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MR_Edwards Homes-2025" sheetId="1" r:id="rId4"/>
    <sheet state="visible" name="Team Scoreboard" sheetId="2" r:id="rId5"/>
    <sheet state="visible" name="KPIs" sheetId="3" r:id="rId6"/>
    <sheet state="hidden" name="Detail2-El Paso" sheetId="4" r:id="rId7"/>
    <sheet state="hidden" name="Detail1" sheetId="5" r:id="rId8"/>
    <sheet state="visible" name="E.H. _ Pipeline" sheetId="6" r:id="rId9"/>
    <sheet state="hidden" name="Sheet11" sheetId="7" r:id="rId10"/>
    <sheet state="visible" name="E.H. _ Pipeline - Commissions" sheetId="8" r:id="rId11"/>
    <sheet state="visible" name="Other Builders _Pipeline" sheetId="9" r:id="rId12"/>
    <sheet state="visible" name="Resales - 2025 v2" sheetId="10" r:id="rId13"/>
    <sheet state="hidden" name="References" sheetId="11" r:id="rId14"/>
    <sheet state="hidden" name="Split Agents for KPIs" sheetId="12" r:id="rId15"/>
    <sheet state="visible" name="Lists" sheetId="13" r:id="rId16"/>
    <sheet state="hidden" name="DAG_Pipeline-Terminated" sheetId="14" r:id="rId17"/>
  </sheets>
  <definedNames>
    <definedName hidden="1" localSheetId="1" name="_xlnm._FilterDatabase">'Team Scoreboard'!$A$1:$I$999</definedName>
    <definedName hidden="1" localSheetId="5" name="_xlnm._FilterDatabase">'E.H. _ Pipeline'!$A$2:$AI$50</definedName>
    <definedName hidden="1" localSheetId="8" name="_xlnm._FilterDatabase">'Other Builders _Pipeline'!$A$2:$AH$3</definedName>
    <definedName hidden="1" localSheetId="9" name="_xlnm._FilterDatabase">'Resales - 2025 v2'!$A$2:$AC$3</definedName>
    <definedName hidden="1" localSheetId="12" name="_xlnm._FilterDatabase">Lists!$M$1:$Q$40</definedName>
    <definedName hidden="1" localSheetId="5" name="Z_2B3FED7C_0E79_4DC7_A43A_F67ACACD2000_.wvu.FilterData">'E.H. _ Pipeline'!$A$2:$AI$861</definedName>
    <definedName hidden="1" localSheetId="8" name="Z_2B3FED7C_0E79_4DC7_A43A_F67ACACD2000_.wvu.FilterData">'Other Builders _Pipeline'!$L$3:$L$846</definedName>
    <definedName hidden="1" localSheetId="9" name="Z_2B3FED7C_0E79_4DC7_A43A_F67ACACD2000_.wvu.FilterData">'Resales - 2025 v2'!$L$3:$L$849</definedName>
  </definedNames>
  <calcPr/>
  <customWorkbookViews>
    <customWorkbookView activeSheetId="0" maximized="1" windowHeight="0" windowWidth="0" guid="{2B3FED7C-0E79-4DC7-A43A-F67ACACD2000}" name="Filter 1"/>
  </customWorkbookViews>
  <pivotCaches>
    <pivotCache cacheId="0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If either 4.99 or 4.75 is selected it will be affecting Additional Contribution %
if its 10k the additional contribution will be 10k usd</t>
      </text>
    </comment>
    <comment authorId="0" ref="F2">
      <text>
        <t xml:space="preserve">Should be around 6%
</t>
      </text>
    </comment>
    <comment authorId="0" ref="H2">
      <text>
        <t xml:space="preserve">In contract sample is 3 %
</t>
      </text>
    </comment>
    <comment authorId="0" ref="J2">
      <text>
        <t xml:space="preserve">In this case of the contract sample is 1%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This table is for Assisting Agent column on EH Pipeline</t>
      </text>
    </comment>
    <comment authorId="0" ref="M1">
      <text>
        <t xml:space="preserve">This table is for Agent section in KPI's sheet</t>
      </text>
    </comment>
  </commentList>
</comments>
</file>

<file path=xl/sharedStrings.xml><?xml version="1.0" encoding="utf-8"?>
<sst xmlns="http://schemas.openxmlformats.org/spreadsheetml/2006/main" count="3031" uniqueCount="812">
  <si>
    <t xml:space="preserve">       PENDING BUYERS</t>
  </si>
  <si>
    <t>PENDING LENDER PARTNERS</t>
  </si>
  <si>
    <t>PENDING BUILDER PARTNER</t>
  </si>
  <si>
    <t>#</t>
  </si>
  <si>
    <t>Split</t>
  </si>
  <si>
    <t>Assist</t>
  </si>
  <si>
    <t>BUYER'S NAME</t>
  </si>
  <si>
    <t>ADDRESS</t>
  </si>
  <si>
    <t>City</t>
  </si>
  <si>
    <t>State</t>
  </si>
  <si>
    <t>Zip</t>
  </si>
  <si>
    <t>EXECUTED</t>
  </si>
  <si>
    <t>AMMENDMENT TYPE</t>
  </si>
  <si>
    <t>PRICE</t>
  </si>
  <si>
    <t>SCHEDULED CLOSING</t>
  </si>
  <si>
    <t>NEW CLOSING DATE</t>
  </si>
  <si>
    <t>EXECUTED DATE</t>
  </si>
  <si>
    <t>FLOORPLAN</t>
  </si>
  <si>
    <t>ASSISTING AGENT</t>
  </si>
  <si>
    <t>LOAN STATUS</t>
  </si>
  <si>
    <t>LO NAME</t>
  </si>
  <si>
    <t>LO MOBILE PHONE</t>
  </si>
  <si>
    <t>MTG CO.</t>
  </si>
  <si>
    <t>REALTARDS NAME</t>
  </si>
  <si>
    <t>REALTOR NUMBER</t>
  </si>
  <si>
    <t>BROKER NAME</t>
  </si>
  <si>
    <t>BUILDER TOTAL CONTRIBUTION</t>
  </si>
  <si>
    <t>Closing Cost Percent</t>
  </si>
  <si>
    <t>Closing Cost Total $</t>
  </si>
  <si>
    <t xml:space="preserve">Additional Builder % </t>
  </si>
  <si>
    <t>Additional Builder Promotion</t>
  </si>
  <si>
    <t xml:space="preserve">Total C.C. + Contribution </t>
  </si>
  <si>
    <t>B.A. Commision Percent</t>
  </si>
  <si>
    <t xml:space="preserve">B.A. Commission </t>
  </si>
  <si>
    <t>B.A. Bonus</t>
  </si>
  <si>
    <t xml:space="preserve">B.A. Total Commision </t>
  </si>
  <si>
    <t>Closing Cost + B.A. Commision</t>
  </si>
  <si>
    <t>No</t>
  </si>
  <si>
    <t>Daniel Mata</t>
  </si>
  <si>
    <t xml:space="preserve">804 Paseo Pacifico </t>
  </si>
  <si>
    <t>El Paso</t>
  </si>
  <si>
    <t>TX</t>
  </si>
  <si>
    <t>YES</t>
  </si>
  <si>
    <t>30 Days Out</t>
  </si>
  <si>
    <t>Karla IV F</t>
  </si>
  <si>
    <t>Personal</t>
  </si>
  <si>
    <t>Closed</t>
  </si>
  <si>
    <t>Pauline Barrio</t>
  </si>
  <si>
    <t>915-799-8249</t>
  </si>
  <si>
    <t>RMMC</t>
  </si>
  <si>
    <t>Vada Garcia</t>
  </si>
  <si>
    <t>915-282-8346</t>
  </si>
  <si>
    <t>Grow Real Estate</t>
  </si>
  <si>
    <t xml:space="preserve">Juan Esteban Cardona Serrano </t>
  </si>
  <si>
    <t>15024 Ambition Ave.</t>
  </si>
  <si>
    <t>51086 Desert Calico Ave.</t>
  </si>
  <si>
    <t>Disclosures Signed</t>
  </si>
  <si>
    <t>51013 Purple Mat Ave.</t>
  </si>
  <si>
    <t>13961 Lorenz Ave</t>
  </si>
  <si>
    <t>Ayde T</t>
  </si>
  <si>
    <t>Sandie Sanchez</t>
  </si>
  <si>
    <t>915-373-4428</t>
  </si>
  <si>
    <t>Angel Flores</t>
  </si>
  <si>
    <t>915-701-7672</t>
  </si>
  <si>
    <t>Marisela Harper - Clearview Realty</t>
  </si>
  <si>
    <t>1041 Callie Ct.</t>
  </si>
  <si>
    <t>13721 Lorenz Ave.</t>
  </si>
  <si>
    <t>Aide Mier</t>
  </si>
  <si>
    <t xml:space="preserve">12468 Cayo Norte Dr. </t>
  </si>
  <si>
    <t>Carmella</t>
  </si>
  <si>
    <t xml:space="preserve">Closed </t>
  </si>
  <si>
    <t>Ruth Guevarra</t>
  </si>
  <si>
    <t>915-422-0333</t>
  </si>
  <si>
    <t>Mark Morales</t>
  </si>
  <si>
    <t>915-355-2887</t>
  </si>
  <si>
    <t>ERA</t>
  </si>
  <si>
    <t>Yes</t>
  </si>
  <si>
    <t>Desiree Hernandez</t>
  </si>
  <si>
    <t>12812 Middlesbrough</t>
  </si>
  <si>
    <t>Natalia</t>
  </si>
  <si>
    <t>Jesse</t>
  </si>
  <si>
    <t>Suzie Gallardo</t>
  </si>
  <si>
    <t>915-873-8884</t>
  </si>
  <si>
    <t>Annie Mac</t>
  </si>
  <si>
    <t>Christopher Gil</t>
  </si>
  <si>
    <t>915-493-9551</t>
  </si>
  <si>
    <t>Home Pros</t>
  </si>
  <si>
    <t xml:space="preserve">15232 Imagine Dr. </t>
  </si>
  <si>
    <t>12700 Middlesbrough</t>
  </si>
  <si>
    <t>825 Paseo Tranquilo</t>
  </si>
  <si>
    <t>813 Paseo Pacifico</t>
  </si>
  <si>
    <t>12437 Polo Norte</t>
  </si>
  <si>
    <t>51013 Desert Calico Ave.</t>
  </si>
  <si>
    <t>15209 Purpose Ave.</t>
  </si>
  <si>
    <t xml:space="preserve">
</t>
  </si>
  <si>
    <t>TOTAL</t>
  </si>
  <si>
    <t>Agent</t>
  </si>
  <si>
    <t>Edwards Personal</t>
  </si>
  <si>
    <t>Edwards Assist</t>
  </si>
  <si>
    <t>Other Builders</t>
  </si>
  <si>
    <t>Resale</t>
  </si>
  <si>
    <t>Referrals</t>
  </si>
  <si>
    <t>New Home Tier</t>
  </si>
  <si>
    <t>Resale Tier</t>
  </si>
  <si>
    <t>Notes</t>
  </si>
  <si>
    <t>Sales &amp; Pricing</t>
  </si>
  <si>
    <t>Time &amp; Performance</t>
  </si>
  <si>
    <t>Loan &amp; Financing</t>
  </si>
  <si>
    <t>Realtors &amp; Brokers</t>
  </si>
  <si>
    <t>Agents</t>
  </si>
  <si>
    <t>Data validation</t>
  </si>
  <si>
    <t>Internal Realtors</t>
  </si>
  <si>
    <t>External Realtors</t>
  </si>
  <si>
    <t>Realtors by Sales</t>
  </si>
  <si>
    <t>Units with Extension per Realtors</t>
  </si>
  <si>
    <t>Personal Deals</t>
  </si>
  <si>
    <t>Assisted Deals</t>
  </si>
  <si>
    <t>Addresses with Closed Date earlier than Scheduled Closing Date</t>
  </si>
  <si>
    <t>Total Sales</t>
  </si>
  <si>
    <t>Lowest Price</t>
  </si>
  <si>
    <t>Average Price</t>
  </si>
  <si>
    <t>Highest Price</t>
  </si>
  <si>
    <t>Floorplan</t>
  </si>
  <si>
    <t>Homes Sold</t>
  </si>
  <si>
    <t>Total Deals</t>
  </si>
  <si>
    <t>Loan Type</t>
  </si>
  <si>
    <t>Deals</t>
  </si>
  <si>
    <t>LO Name</t>
  </si>
  <si>
    <t>Count</t>
  </si>
  <si>
    <t>Loan Amount</t>
  </si>
  <si>
    <t>BOM Tracking</t>
  </si>
  <si>
    <t>Units</t>
  </si>
  <si>
    <t>Allocated Sales</t>
  </si>
  <si>
    <t>Avg. Allocated Sales</t>
  </si>
  <si>
    <t>FHA</t>
  </si>
  <si>
    <t>Ruth Guevara</t>
  </si>
  <si>
    <t>Rocky Mountain</t>
  </si>
  <si>
    <t>BOM Count</t>
  </si>
  <si>
    <t>BOM (%)</t>
  </si>
  <si>
    <t>Ariana</t>
  </si>
  <si>
    <t>VA</t>
  </si>
  <si>
    <t>Michael Anthony Sanchez</t>
  </si>
  <si>
    <t>Benchmark</t>
  </si>
  <si>
    <t xml:space="preserve">Ariana </t>
  </si>
  <si>
    <t>Deals Executed (%)</t>
  </si>
  <si>
    <t>Deals Executed</t>
  </si>
  <si>
    <t>Deals Not Executed (%)</t>
  </si>
  <si>
    <t>Deals Not Executed</t>
  </si>
  <si>
    <t>Tru Rate Lending</t>
  </si>
  <si>
    <t>Na</t>
  </si>
  <si>
    <t>Homes Executed</t>
  </si>
  <si>
    <t>Progress Ahead/Behind Monthly Goal (%)</t>
  </si>
  <si>
    <t>Progress Ahead/Behind Yearly Goal (%)</t>
  </si>
  <si>
    <t>Ayde</t>
  </si>
  <si>
    <t>CONV</t>
  </si>
  <si>
    <t>Cecilia Estrada</t>
  </si>
  <si>
    <t>CMG</t>
  </si>
  <si>
    <t>Priscilla Perez</t>
  </si>
  <si>
    <t>ClearView Realty</t>
  </si>
  <si>
    <t>Ayde II F</t>
  </si>
  <si>
    <t>Cash</t>
  </si>
  <si>
    <t>Brandon List</t>
  </si>
  <si>
    <t>Veterans United</t>
  </si>
  <si>
    <t>eXp Realty</t>
  </si>
  <si>
    <t>Deals Closed (%)</t>
  </si>
  <si>
    <t>Deals Closed</t>
  </si>
  <si>
    <t>Deals Not Closed (%)</t>
  </si>
  <si>
    <t>Deals Not Closed</t>
  </si>
  <si>
    <t>Grand Total</t>
  </si>
  <si>
    <t>rmmc</t>
  </si>
  <si>
    <t>Sandra Aguilera-Sanchez</t>
  </si>
  <si>
    <t>Grow</t>
  </si>
  <si>
    <t>City View</t>
  </si>
  <si>
    <t>Carmella C</t>
  </si>
  <si>
    <t>na</t>
  </si>
  <si>
    <t>Revolve Realty LLC</t>
  </si>
  <si>
    <t>Carmella T</t>
  </si>
  <si>
    <t>TRURATE LENDING</t>
  </si>
  <si>
    <t>Realty ONE Group MB</t>
  </si>
  <si>
    <t>Danielle S</t>
  </si>
  <si>
    <t>On-Time Deals (%)</t>
  </si>
  <si>
    <t>On-Time Deals</t>
  </si>
  <si>
    <t>Extended Deals (%)</t>
  </si>
  <si>
    <t>Extended Deals</t>
  </si>
  <si>
    <t>Sean Bemis</t>
  </si>
  <si>
    <t xml:space="preserve">Rocky Mountain Mortgage </t>
  </si>
  <si>
    <t>Sandy Messer</t>
  </si>
  <si>
    <t>Horizon City</t>
  </si>
  <si>
    <t>Elena T</t>
  </si>
  <si>
    <t>Back On Market (BOM)</t>
  </si>
  <si>
    <t>Mpire</t>
  </si>
  <si>
    <t>The WAR Team</t>
  </si>
  <si>
    <t>Socorro</t>
  </si>
  <si>
    <t>Helsinki</t>
  </si>
  <si>
    <t>CASH</t>
  </si>
  <si>
    <t>Mortgage Solutions Financial</t>
  </si>
  <si>
    <t>El Paso Team Results</t>
  </si>
  <si>
    <t>Juliana</t>
  </si>
  <si>
    <t>Average Days</t>
  </si>
  <si>
    <t xml:space="preserve">Ruth Guevara </t>
  </si>
  <si>
    <t>Home Plate</t>
  </si>
  <si>
    <t>Karla</t>
  </si>
  <si>
    <t>Sub. to Exe. Date</t>
  </si>
  <si>
    <t>Exe. to Sch. Date</t>
  </si>
  <si>
    <t>Sch. to Ext. Date</t>
  </si>
  <si>
    <t>Exe. to Closed Date</t>
  </si>
  <si>
    <t>Conditions Submitted</t>
  </si>
  <si>
    <t>Randi Cabrera Alper</t>
  </si>
  <si>
    <t>Guild</t>
  </si>
  <si>
    <t>Disclosures Sent</t>
  </si>
  <si>
    <t>Change</t>
  </si>
  <si>
    <t>Karla T</t>
  </si>
  <si>
    <t>File in Processing</t>
  </si>
  <si>
    <t xml:space="preserve">Paul Francisco </t>
  </si>
  <si>
    <t>AnnieMac</t>
  </si>
  <si>
    <t>Lillian Ii</t>
  </si>
  <si>
    <t>Funded</t>
  </si>
  <si>
    <t>Omar Gardea</t>
  </si>
  <si>
    <t>All Western</t>
  </si>
  <si>
    <t>Madeline</t>
  </si>
  <si>
    <t>Loan Application Received</t>
  </si>
  <si>
    <t>Oly Perez</t>
  </si>
  <si>
    <t>Mariel T</t>
  </si>
  <si>
    <t>Nancy Martinez</t>
  </si>
  <si>
    <t>Nailea</t>
  </si>
  <si>
    <t xml:space="preserve">Liz Urbina </t>
  </si>
  <si>
    <t>Karlie Clark</t>
  </si>
  <si>
    <t>Plan Carmella</t>
  </si>
  <si>
    <t>Jeffery Ferguson</t>
  </si>
  <si>
    <t xml:space="preserve">Yoli </t>
  </si>
  <si>
    <t>Gilbert Madrid</t>
  </si>
  <si>
    <t>Yoli F</t>
  </si>
  <si>
    <t>Evelyn Lopez</t>
  </si>
  <si>
    <t>Yoli T</t>
  </si>
  <si>
    <t xml:space="preserve">Caleb Lutsch </t>
  </si>
  <si>
    <t>SALES PRICE</t>
  </si>
  <si>
    <t>SUB'D DATE</t>
  </si>
  <si>
    <t>MONTH EXECUTED DATE</t>
  </si>
  <si>
    <t>YEAR EXECUTED DATE</t>
  </si>
  <si>
    <t>EXTENSION DATE</t>
  </si>
  <si>
    <t>CLOSED DATE</t>
  </si>
  <si>
    <t>LOAN TYPE</t>
  </si>
  <si>
    <t>LOAN AMOUNT</t>
  </si>
  <si>
    <t>LO EMAIL</t>
  </si>
  <si>
    <t>REALTOR PARTNER</t>
  </si>
  <si>
    <t>REALTOR EMAIL</t>
  </si>
  <si>
    <t>NOTES</t>
  </si>
  <si>
    <t>Paul Rene Madrid/ Alexandra Renee Martell</t>
  </si>
  <si>
    <t>15060 Destination</t>
  </si>
  <si>
    <t>Dec</t>
  </si>
  <si>
    <t>915-791-4162</t>
  </si>
  <si>
    <t>Ruth@rmmc.com</t>
  </si>
  <si>
    <t>Mark@wesellep.com</t>
  </si>
  <si>
    <t>Mary Katherine Adrian And Roberto Contreras</t>
  </si>
  <si>
    <t>3849 Peak Pl</t>
  </si>
  <si>
    <t>Financing Delay</t>
  </si>
  <si>
    <t xml:space="preserve"> 915-594-3280</t>
  </si>
  <si>
    <t>Cecilia@rmmc.com</t>
  </si>
  <si>
    <t>Jesse Loya, Diana Caballero</t>
  </si>
  <si>
    <t>Robert Gilles</t>
  </si>
  <si>
    <t>15033 Function</t>
  </si>
  <si>
    <t>Jferguson@veteransunited.com</t>
  </si>
  <si>
    <t>Alfonso Yanez</t>
  </si>
  <si>
    <t>+1 (915) 315-3095</t>
  </si>
  <si>
    <t>Alfonsoyanez.realtor@gmail.com</t>
  </si>
  <si>
    <t>Nicholas S Cuevas/ Deborah Gonzalez</t>
  </si>
  <si>
    <t>51089 Sand Verbena</t>
  </si>
  <si>
    <t>Alex Morales</t>
  </si>
  <si>
    <t>Mario Antonio Jimenez</t>
  </si>
  <si>
    <t>15209 Purpose</t>
  </si>
  <si>
    <t>915-996-4223</t>
  </si>
  <si>
    <t>Ogardea@cmghomeloans.com</t>
  </si>
  <si>
    <t>Alberto Sanchez</t>
  </si>
  <si>
    <t>915-250-4647</t>
  </si>
  <si>
    <t>Albertsanchezrealtor@gmail.com</t>
  </si>
  <si>
    <t>15024 Ambition</t>
  </si>
  <si>
    <t>Jul</t>
  </si>
  <si>
    <t xml:space="preserve"> Ruth@rmmc.com</t>
  </si>
  <si>
    <t>Uriah Ahmed Baker, Susan Elizabeth Baker</t>
  </si>
  <si>
    <t>51013 Purple Mat</t>
  </si>
  <si>
    <t>May</t>
  </si>
  <si>
    <t>512-997-8669</t>
  </si>
  <si>
    <t>Paul@mpirefi.com</t>
  </si>
  <si>
    <t>Seiichi Yoshizaki</t>
  </si>
  <si>
    <t>210-365-3132</t>
  </si>
  <si>
    <t>Yoshi.realtor369@gmail.com</t>
  </si>
  <si>
    <t>Edgar Barrio</t>
  </si>
  <si>
    <t>Jessica Leyva</t>
  </si>
  <si>
    <t>51086 Desert Calico</t>
  </si>
  <si>
    <t>915-422-3211</t>
  </si>
  <si>
    <t>Operez@cmghomeloans.com</t>
  </si>
  <si>
    <t>915-760-0808</t>
  </si>
  <si>
    <t>Ebarrio@callmereg.com</t>
  </si>
  <si>
    <t>Isaiah Warren</t>
  </si>
  <si>
    <t>7324 Fray Garcia Way</t>
  </si>
  <si>
    <t>michael@rmmc.com</t>
  </si>
  <si>
    <t>Jesse Loya</t>
  </si>
  <si>
    <t>jesseloya.realtor@gmail.com</t>
  </si>
  <si>
    <t>7333 John Gerald Way</t>
  </si>
  <si>
    <t>Buyer Request</t>
  </si>
  <si>
    <t>915-637-8571</t>
  </si>
  <si>
    <t>915-330-7305</t>
  </si>
  <si>
    <t>Buyer Cancelled After Executing - Transferred to 7324 Fray Garcia</t>
  </si>
  <si>
    <t>Jamedal Nichelle Hudson</t>
  </si>
  <si>
    <t>817 Paseo Pacifico</t>
  </si>
  <si>
    <t>Carmella II F</t>
  </si>
  <si>
    <t>719-653-1356</t>
  </si>
  <si>
    <t>brandon@truratelending.com</t>
  </si>
  <si>
    <t>Mark Morales, Alex Morales</t>
  </si>
  <si>
    <t xml:space="preserve">Astrid Michelle Portillo/ Denisse Minerva Lemus Peregrino </t>
  </si>
  <si>
    <t>7328 Fray Garcia Way</t>
  </si>
  <si>
    <t>Emily T</t>
  </si>
  <si>
    <t>ruth@rmmc.com</t>
  </si>
  <si>
    <t>Mark Morales, Alejandro Morales</t>
  </si>
  <si>
    <t>915-355-2887/ 915-691-5252</t>
  </si>
  <si>
    <t>mark@wesellep.com</t>
  </si>
  <si>
    <t>Enrique Cepeda Olvera</t>
  </si>
  <si>
    <t>15061 Function</t>
  </si>
  <si>
    <t>915-549-3280</t>
  </si>
  <si>
    <t>cecilia@rmmc.com</t>
  </si>
  <si>
    <t>Lynette Garcia</t>
  </si>
  <si>
    <t>915-730-0101</t>
  </si>
  <si>
    <t>lynettemgarcia9@gmail.com</t>
  </si>
  <si>
    <t>ETHAN JOSEPH DEPEW</t>
  </si>
  <si>
    <t>948 Sandhurst</t>
  </si>
  <si>
    <t>BRANDON LIST</t>
  </si>
  <si>
    <t>518-921-2058</t>
  </si>
  <si>
    <t>Brandon@truratelending.com</t>
  </si>
  <si>
    <t>Faride Scarlett Centeno Fournier</t>
  </si>
  <si>
    <t>915-216-1470</t>
  </si>
  <si>
    <t>Soldbyscarlett.tx@yahoo.com</t>
  </si>
  <si>
    <t>Robert S Hanner/ Linda S Hanner</t>
  </si>
  <si>
    <t>13921 Paseo Bosque Avenue</t>
  </si>
  <si>
    <t>Inspection Repairs / Contractor Delay</t>
  </si>
  <si>
    <t>Buyer Cancelled After Executing - Moved to different builder (mark personal deal)</t>
  </si>
  <si>
    <t>Jessica Salas</t>
  </si>
  <si>
    <t>1037 Callie</t>
  </si>
  <si>
    <t>Builder Delay</t>
  </si>
  <si>
    <t>915-204-3867</t>
  </si>
  <si>
    <t>Rcabrera@guildmortgage.net</t>
  </si>
  <si>
    <t>Loren Favela</t>
  </si>
  <si>
    <t>915-294-8427</t>
  </si>
  <si>
    <t>Lorenrealtorelp@gmail.com</t>
  </si>
  <si>
    <t>The Williams Advanced Realty Team (The War Team)</t>
  </si>
  <si>
    <t>Maria Aguilar</t>
  </si>
  <si>
    <t>13789 Lorenz</t>
  </si>
  <si>
    <t>915-346-1774</t>
  </si>
  <si>
    <t>Pperez@cmgfi.com</t>
  </si>
  <si>
    <t>Pamela Gonzalez Pulido</t>
  </si>
  <si>
    <t>915-328-6677</t>
  </si>
  <si>
    <t>Pamelap.realtor@yahoo.com</t>
  </si>
  <si>
    <t>Buyer Ccancelled Due to Repairs</t>
  </si>
  <si>
    <t>Jose J Lafon</t>
  </si>
  <si>
    <t>12716 Middlesbrough</t>
  </si>
  <si>
    <t>915-422-5466</t>
  </si>
  <si>
    <t>Sbemis@changemtg.com</t>
  </si>
  <si>
    <t>David Acosta</t>
  </si>
  <si>
    <t>David@david-acosta.com</t>
  </si>
  <si>
    <t>Jose Manuel Grisanti/ Brandon Christopher Grisanti</t>
  </si>
  <si>
    <t>812 Paseo Pacifico</t>
  </si>
  <si>
    <t>Jesse Loya, Juan Amaya</t>
  </si>
  <si>
    <t>Desiree R. Hernandez</t>
  </si>
  <si>
    <t>12812 Middlesbrough Ave</t>
  </si>
  <si>
    <t>Jun</t>
  </si>
  <si>
    <t>sgallardo@annie-mac.com</t>
  </si>
  <si>
    <t>christophergilrealtor@gmail.com</t>
  </si>
  <si>
    <t>Jonathan Adam Charters/ Maria Teresa Charters</t>
  </si>
  <si>
    <t>51013 Desert Calico</t>
  </si>
  <si>
    <t>469-279-7921</t>
  </si>
  <si>
    <t>Caleb.lutsch@mortgagesolutions.net</t>
  </si>
  <si>
    <t>Jacalyn L Perez</t>
  </si>
  <si>
    <t>915-328-0530</t>
  </si>
  <si>
    <t>Jacalyn@partnersrealtygrp.com</t>
  </si>
  <si>
    <t xml:space="preserve">Aide Mier </t>
  </si>
  <si>
    <t>12468 Cayo Norte</t>
  </si>
  <si>
    <t>Ruth@@rmmc.com</t>
  </si>
  <si>
    <t>Lorena Lizeth Jaquez Tellez / Jesus Javier Gallegos Aldaz</t>
  </si>
  <si>
    <t>1041 Callie</t>
  </si>
  <si>
    <t>915-777-2278</t>
  </si>
  <si>
    <t>Elopez@allwestern.com</t>
  </si>
  <si>
    <t>Deleina Galvan</t>
  </si>
  <si>
    <t>915-329-2723</t>
  </si>
  <si>
    <t>Realtor.deleinagalvan@gmail.com</t>
  </si>
  <si>
    <t>Israel Estrada And Sandra J Estrada</t>
  </si>
  <si>
    <t>Sandie@rmmc.com</t>
  </si>
  <si>
    <t>Angelflowers282@gmail.com</t>
  </si>
  <si>
    <t>Alex Morales, Priscilla Ramos</t>
  </si>
  <si>
    <t>Jerson Edmundo Morales Rios</t>
  </si>
  <si>
    <t>13721 Lorenz</t>
  </si>
  <si>
    <t>Christian Andrew Marin</t>
  </si>
  <si>
    <t>825 Paseo Tranquilo Pl</t>
  </si>
  <si>
    <t>Karla Iv F</t>
  </si>
  <si>
    <t>Pauline@rmmc.com</t>
  </si>
  <si>
    <t>Lizeth Lozano</t>
  </si>
  <si>
    <t>915-543-1273</t>
  </si>
  <si>
    <t>Llozanolizeth@gmail.com</t>
  </si>
  <si>
    <t>Nicolas Perez &amp; Susana Portillo</t>
  </si>
  <si>
    <t>12700 Middlesbrough Avenue</t>
  </si>
  <si>
    <t>(915)799-8249</t>
  </si>
  <si>
    <t>(915)760-0808</t>
  </si>
  <si>
    <t xml:space="preserve">Daniel Mata </t>
  </si>
  <si>
    <t>804 Paseo Pacifico Pl</t>
  </si>
  <si>
    <t>Apr</t>
  </si>
  <si>
    <t>Vada@callmereg.com</t>
  </si>
  <si>
    <t>Densly Vianey Torres Saenz</t>
  </si>
  <si>
    <t>915-309-2452</t>
  </si>
  <si>
    <t>Carmen Luna</t>
  </si>
  <si>
    <t>915-333-2784</t>
  </si>
  <si>
    <t>Cvianeyluna@gmail.com</t>
  </si>
  <si>
    <t>Martha And Ignacio Morales</t>
  </si>
  <si>
    <t>12437 Polo Norte Dr</t>
  </si>
  <si>
    <t>Jesus Padilla</t>
  </si>
  <si>
    <t>15232 Imagine Dr</t>
  </si>
  <si>
    <t>PHONE NUMBER</t>
  </si>
  <si>
    <t>EMAIL</t>
  </si>
  <si>
    <t>NO</t>
  </si>
  <si>
    <t>3804 Perspective</t>
  </si>
  <si>
    <t>William Richard Darwin</t>
  </si>
  <si>
    <t>sandie@rmmc.com</t>
  </si>
  <si>
    <t>Buyer Cancelled Prior to Executing</t>
  </si>
  <si>
    <t>7309 John Gerald Way</t>
  </si>
  <si>
    <t xml:space="preserve">Isaiah Warren </t>
  </si>
  <si>
    <t>(915) 637-8571</t>
  </si>
  <si>
    <t>Michael@rmmc.com</t>
  </si>
  <si>
    <t>(915) 330-7305</t>
  </si>
  <si>
    <t>Jesseloya.realtor@gmail.com</t>
  </si>
  <si>
    <t>Never Executed - Buyer submitted 7333 John Gerald</t>
  </si>
  <si>
    <t>Angel Alba</t>
  </si>
  <si>
    <t>252 Park Vista Pl.</t>
  </si>
  <si>
    <t>Carlos Amaya</t>
  </si>
  <si>
    <t>(915) 304-0342</t>
  </si>
  <si>
    <t>gilbert@homeplatemortgage@gmail.com</t>
  </si>
  <si>
    <t>Fernando Sanchez</t>
  </si>
  <si>
    <t>(915) 740-9772</t>
  </si>
  <si>
    <t>ferniesanchezrealtor@gmail.com</t>
  </si>
  <si>
    <t>(915) 760-0808</t>
  </si>
  <si>
    <t>12317 Ben Dowell Way</t>
  </si>
  <si>
    <t>CC clarification</t>
  </si>
  <si>
    <t>Richard De ALmeida Monteiro</t>
  </si>
  <si>
    <t>karlie.clark@veteransunited.com</t>
  </si>
  <si>
    <t xml:space="preserve">12305 Ben Dowell Way </t>
  </si>
  <si>
    <t>Ian Chase Laningham / Chelsey Ann Laningham</t>
  </si>
  <si>
    <t>915-790-9853</t>
  </si>
  <si>
    <t>pauline@rmmc.com</t>
  </si>
  <si>
    <t>ebarrio@callmereg.com</t>
  </si>
  <si>
    <t xml:space="preserve">7341 JOHN GERALD WAY </t>
  </si>
  <si>
    <t>Alonso Aguilar Picharra</t>
  </si>
  <si>
    <t>915-873-1067</t>
  </si>
  <si>
    <t>alonsoagup@gmail.com</t>
  </si>
  <si>
    <t>2801 Tierra Vigo, El Paso Tx 79938</t>
  </si>
  <si>
    <t>841 Paseo Tranquilo</t>
  </si>
  <si>
    <t>NA</t>
  </si>
  <si>
    <t>Horizon</t>
  </si>
  <si>
    <t>Buyer went ghost and cold. no answer</t>
  </si>
  <si>
    <t xml:space="preserve">3841 Peak Pl. </t>
  </si>
  <si>
    <t>Antonio Jose Rodriguez Valpais/ Vianka Marina Resto Morales</t>
  </si>
  <si>
    <t>Diana Caballero</t>
  </si>
  <si>
    <t>14569 John Mcneely</t>
  </si>
  <si>
    <t>Appraisal Delay</t>
  </si>
  <si>
    <t xml:space="preserve">Carlos Alejandro Palomares </t>
  </si>
  <si>
    <t>lizzet@rmmc.com</t>
  </si>
  <si>
    <t>lorenahomes6@gmail.com</t>
  </si>
  <si>
    <t>7325 John Gerald</t>
  </si>
  <si>
    <t>Joseph Louis Vega/ Maria Antonitta Vega</t>
  </si>
  <si>
    <t>12309 Ben Dowell Dr</t>
  </si>
  <si>
    <t>Priscilla Ramos</t>
  </si>
  <si>
    <t>12844 Fredericksberg</t>
  </si>
  <si>
    <t>Robert Soriano, Janeth Elizabeth Burciaga</t>
  </si>
  <si>
    <t>(915) 422-0333</t>
  </si>
  <si>
    <t>Oscar Rivas</t>
  </si>
  <si>
    <t>(915) 304-9470</t>
  </si>
  <si>
    <t>oscar.rivas@revolvetx.com</t>
  </si>
  <si>
    <t>252 Mar Vista</t>
  </si>
  <si>
    <t>904 Sandhurst Pl.</t>
  </si>
  <si>
    <t>Elizabeth Ramirez</t>
  </si>
  <si>
    <t>Faride Scarlett</t>
  </si>
  <si>
    <t>soldbyscarlett.tx@yahoo.com</t>
  </si>
  <si>
    <t>(915) 791-4162</t>
  </si>
  <si>
    <t>(915) 355-2887</t>
  </si>
  <si>
    <t xml:space="preserve">15029 Destination </t>
  </si>
  <si>
    <t>Heriberto Lopez Ortega Jr</t>
  </si>
  <si>
    <t>nancy@rmmc.com</t>
  </si>
  <si>
    <t>Caren Carver</t>
  </si>
  <si>
    <t>caren.txrealestate@gmail.com</t>
  </si>
  <si>
    <t>12649 Middlesbrough Ave.</t>
  </si>
  <si>
    <t>(915) 346-1774</t>
  </si>
  <si>
    <t>(915) 328-6677</t>
  </si>
  <si>
    <t xml:space="preserve">Astrid Michelle Portillo, Denisse Minerva Lemus Peregrino </t>
  </si>
  <si>
    <t>(915) 204-3867</t>
  </si>
  <si>
    <t>(915) 294-8427</t>
  </si>
  <si>
    <t>(915) 594-3280</t>
  </si>
  <si>
    <t>(915) 422-5466</t>
  </si>
  <si>
    <t>(915) 252-7600</t>
  </si>
  <si>
    <t>(518) 921-2058</t>
  </si>
  <si>
    <t>(573) 778-1718</t>
  </si>
  <si>
    <t>(915) 315-3095</t>
  </si>
  <si>
    <t>(915) 873-8884</t>
  </si>
  <si>
    <t>(915) 493-9551</t>
  </si>
  <si>
    <t>(469) 279-7921</t>
  </si>
  <si>
    <t>(915) 328-0530</t>
  </si>
  <si>
    <t>(915) 996-4223</t>
  </si>
  <si>
    <t>(915) 250-4647</t>
  </si>
  <si>
    <t>(915) 777-2278</t>
  </si>
  <si>
    <t>(915) 329-2723</t>
  </si>
  <si>
    <t>(915) 373-4428</t>
  </si>
  <si>
    <t>(915) 701-7672</t>
  </si>
  <si>
    <t>(512) 997-8669</t>
  </si>
  <si>
    <t>(210) 365-3132</t>
  </si>
  <si>
    <t>(915) 422-3211</t>
  </si>
  <si>
    <t>(915) 799-8249</t>
  </si>
  <si>
    <t>(915) 543-1273</t>
  </si>
  <si>
    <t>(915) 282-8346</t>
  </si>
  <si>
    <t>(915) 309-2452</t>
  </si>
  <si>
    <t>(915) 333-2784</t>
  </si>
  <si>
    <t xml:space="preserve">15157 Destination Ave. </t>
  </si>
  <si>
    <t>Address</t>
  </si>
  <si>
    <t>Closing Cost (%)</t>
  </si>
  <si>
    <t>Additional Contribution</t>
  </si>
  <si>
    <t xml:space="preserve">Total Builder Contribution </t>
  </si>
  <si>
    <t>B.A. Commision (%)</t>
  </si>
  <si>
    <t>B.A. Bonus (%)</t>
  </si>
  <si>
    <t>Contribution value on contract (3% applied n loan amount)</t>
  </si>
  <si>
    <t>3% * Loan Amounts</t>
  </si>
  <si>
    <t>4.99 %</t>
  </si>
  <si>
    <t>$ amount expected</t>
  </si>
  <si>
    <t>(Closing Cost (CC) + Additional Contribution) / Sales Price * 100</t>
  </si>
  <si>
    <t>Closing Cost (CC) + Additional Contributions</t>
  </si>
  <si>
    <t>3-7 %</t>
  </si>
  <si>
    <t>Sales Price * (3-7 %)</t>
  </si>
  <si>
    <t>BA Commision + BA Bonus</t>
  </si>
  <si>
    <t>Total Builder Contribution + Total BA Commision</t>
  </si>
  <si>
    <t>12700 Middlesbrough Av</t>
  </si>
  <si>
    <t>Address 1</t>
  </si>
  <si>
    <t>4.75 %</t>
  </si>
  <si>
    <t>Address 2</t>
  </si>
  <si>
    <t xml:space="preserve">THEN THE REST OF THE TABLE ABOVE </t>
  </si>
  <si>
    <t>SUBMITTED DATE</t>
  </si>
  <si>
    <t>Column 30</t>
  </si>
  <si>
    <t>Column 31</t>
  </si>
  <si>
    <t>Column 32</t>
  </si>
  <si>
    <t>Column 33</t>
  </si>
  <si>
    <t>Column 34</t>
  </si>
  <si>
    <t>Form</t>
  </si>
  <si>
    <t>Aggregate</t>
  </si>
  <si>
    <t>Aggregage</t>
  </si>
  <si>
    <t>Date</t>
  </si>
  <si>
    <t>Associate Name</t>
  </si>
  <si>
    <t>Buyer Name</t>
  </si>
  <si>
    <t>Property Address</t>
  </si>
  <si>
    <t xml:space="preserve">City </t>
  </si>
  <si>
    <t>Sales Price</t>
  </si>
  <si>
    <t>Scheduled Closing Date</t>
  </si>
  <si>
    <t>Executed</t>
  </si>
  <si>
    <t>Executed Date</t>
  </si>
  <si>
    <t>Buyer Agent Commission</t>
  </si>
  <si>
    <t>Buyer Agent Bonus</t>
  </si>
  <si>
    <t>Builder Representative</t>
  </si>
  <si>
    <t>Phone Number</t>
  </si>
  <si>
    <t>email</t>
  </si>
  <si>
    <t>Builder Name</t>
  </si>
  <si>
    <t>Lo Number</t>
  </si>
  <si>
    <t>LO Email</t>
  </si>
  <si>
    <t>Mtg. Co</t>
  </si>
  <si>
    <t>Escrow Officer</t>
  </si>
  <si>
    <t>Escrow Number</t>
  </si>
  <si>
    <t>Escrow Email</t>
  </si>
  <si>
    <t>Escrow Co.</t>
  </si>
  <si>
    <t>Admin Asssistance</t>
  </si>
  <si>
    <t>Buyer Docs (Y /N)</t>
  </si>
  <si>
    <t>Lead Source</t>
  </si>
  <si>
    <t>Uploads</t>
  </si>
  <si>
    <t>Agent 1</t>
  </si>
  <si>
    <t>Agent 2</t>
  </si>
  <si>
    <t>Manual</t>
  </si>
  <si>
    <t>Cover sheet</t>
  </si>
  <si>
    <t>Cover Sheet</t>
  </si>
  <si>
    <t>Predefined List</t>
  </si>
  <si>
    <t>Contribution value on contract (3%)</t>
  </si>
  <si>
    <t>Price (Agent Split)</t>
  </si>
  <si>
    <t>Cmg</t>
  </si>
  <si>
    <t>Rmmc</t>
  </si>
  <si>
    <t xml:space="preserve">Pre Qual With Star Mortgage Getting Pre Qual With Rocky </t>
  </si>
  <si>
    <t xml:space="preserve">Mpire Financial </t>
  </si>
  <si>
    <t>All Western Mortgage</t>
  </si>
  <si>
    <t>Ayde Ii F</t>
  </si>
  <si>
    <t>Initial UW</t>
  </si>
  <si>
    <t>Ceci Estrada</t>
  </si>
  <si>
    <t>Rocky Mountain Mortgage Co</t>
  </si>
  <si>
    <t xml:space="preserve">Mark Morales </t>
  </si>
  <si>
    <t xml:space="preserve">Mortgage Solutions Financial </t>
  </si>
  <si>
    <t>Cmg Financial</t>
  </si>
  <si>
    <t>Rocky Mountain Mortgage Company</t>
  </si>
  <si>
    <t>Juan Amaya</t>
  </si>
  <si>
    <t xml:space="preserve">Rocky Mountain Mortgage Company </t>
  </si>
  <si>
    <t xml:space="preserve">Veterans United </t>
  </si>
  <si>
    <t xml:space="preserve">Tru Rate Lending </t>
  </si>
  <si>
    <t>BOM</t>
  </si>
  <si>
    <t xml:space="preserve">Rmmc </t>
  </si>
  <si>
    <t>Change Mortgage</t>
  </si>
  <si>
    <t>David Acosta The One And Only Big Poppa Pop</t>
  </si>
  <si>
    <t>Loan Documents</t>
  </si>
  <si>
    <t>Guild Mortgage</t>
  </si>
  <si>
    <t xml:space="preserve">Jesse Thomas Loya </t>
  </si>
  <si>
    <t>Mortgage Companies</t>
  </si>
  <si>
    <t>Broker Name</t>
  </si>
  <si>
    <t>Loan Status</t>
  </si>
  <si>
    <t>Ammendment Type</t>
  </si>
  <si>
    <t>Realtor Partner</t>
  </si>
  <si>
    <t>Factor</t>
  </si>
  <si>
    <t>Barrett</t>
  </si>
  <si>
    <t>Title / HOA / Legal Docs Pending</t>
  </si>
  <si>
    <t>Cadence</t>
  </si>
  <si>
    <t>Loan Documents Collected</t>
  </si>
  <si>
    <t>CITI</t>
  </si>
  <si>
    <t>Appraisal Ordered</t>
  </si>
  <si>
    <t>Appraisal Received</t>
  </si>
  <si>
    <t>Seller Request</t>
  </si>
  <si>
    <t>EMI Funding</t>
  </si>
  <si>
    <t>Initial Underwriting (IUW)</t>
  </si>
  <si>
    <t>Early Closing Requested</t>
  </si>
  <si>
    <t>Empire</t>
  </si>
  <si>
    <t>Conditions Requested</t>
  </si>
  <si>
    <t>Mutual Agreement / Other</t>
  </si>
  <si>
    <t>First Community</t>
  </si>
  <si>
    <t>Final Underwriting (FUW)</t>
  </si>
  <si>
    <t>Clear to Close (CTC)</t>
  </si>
  <si>
    <t>Closing Disclosure (CD) Issued</t>
  </si>
  <si>
    <t>Closing Disclosure (CD) Signed</t>
  </si>
  <si>
    <t>Closing Scheduled</t>
  </si>
  <si>
    <t>View</t>
  </si>
  <si>
    <t>Loan Complete / Transfer</t>
  </si>
  <si>
    <t xml:space="preserve">               PENDING BUYERS</t>
  </si>
  <si>
    <t>PENDING PARTNERS</t>
  </si>
  <si>
    <t>PENDING - Builder</t>
  </si>
  <si>
    <t xml:space="preserve">DAG_LISTING SIDE </t>
  </si>
  <si>
    <t>DAG_BUYER'S SIDE - Personal Deals</t>
  </si>
  <si>
    <t>I.H.</t>
  </si>
  <si>
    <t>Purchase Type</t>
  </si>
  <si>
    <t>New Closing Date</t>
  </si>
  <si>
    <t>Column 28</t>
  </si>
  <si>
    <t>LISTING COMISSION   %</t>
  </si>
  <si>
    <t>GCI</t>
  </si>
  <si>
    <t>SPLIT</t>
  </si>
  <si>
    <t>EXP SPLIT                        ( 20% )</t>
  </si>
  <si>
    <t>NET COMMISSION</t>
  </si>
  <si>
    <t>TL SPLIT</t>
  </si>
  <si>
    <t>CAP FEE</t>
  </si>
  <si>
    <t>BROKER REVIEW FEE</t>
  </si>
  <si>
    <t>E&amp;O</t>
  </si>
  <si>
    <t>DAG  NET            COMMISSION</t>
  </si>
  <si>
    <t>Column 2</t>
  </si>
  <si>
    <t>Column 3</t>
  </si>
  <si>
    <t>BUYER 
COMISSION  %</t>
  </si>
  <si>
    <t>Bonus</t>
  </si>
  <si>
    <t>EXP SPLIT 
(20%)</t>
  </si>
  <si>
    <t>DAG Split 
(10%)</t>
  </si>
  <si>
    <t>Broker Assist</t>
  </si>
  <si>
    <t>Flat Fee Total</t>
  </si>
  <si>
    <t xml:space="preserve">DAG Flat Fee </t>
  </si>
  <si>
    <t>TL Flat Fee</t>
  </si>
  <si>
    <t>BA Flat  FEE</t>
  </si>
  <si>
    <t>Column 4</t>
  </si>
  <si>
    <t>DAG TOTAL COMMISSION</t>
  </si>
  <si>
    <t>TOTAL FEES (Income)</t>
  </si>
  <si>
    <t>- FEES                         ( paid )</t>
  </si>
  <si>
    <t>DAG TOTAL INCOME</t>
  </si>
  <si>
    <t>Column 5</t>
  </si>
  <si>
    <t>Column 6</t>
  </si>
  <si>
    <t>Column 7</t>
  </si>
  <si>
    <t>Column 8</t>
  </si>
  <si>
    <t xml:space="preserve">Ana Pasaret &amp; Armando Olivas </t>
  </si>
  <si>
    <t>136 Ruth Trail</t>
  </si>
  <si>
    <t>Santa Teresa</t>
  </si>
  <si>
    <t xml:space="preserve">N.M. </t>
  </si>
  <si>
    <t>Early Closing</t>
  </si>
  <si>
    <t>Dione Serna</t>
  </si>
  <si>
    <t>Jenell Mendoza</t>
  </si>
  <si>
    <t>Cadence Lending</t>
  </si>
  <si>
    <t>Marcel Gomez</t>
  </si>
  <si>
    <t>5.5% .</t>
  </si>
  <si>
    <t>Shardae Boutte &amp; Jaqueline Ornelas</t>
  </si>
  <si>
    <t>7416 Norte Valley Ln,.</t>
  </si>
  <si>
    <t>Late Closing</t>
  </si>
  <si>
    <t>Nydia Cano</t>
  </si>
  <si>
    <t>Edgardo Martinez</t>
  </si>
  <si>
    <t>CITI Bank</t>
  </si>
  <si>
    <t>Rodrigo Gonzalez Cosio Trevino</t>
  </si>
  <si>
    <t>132 Ruth Trail</t>
  </si>
  <si>
    <t>Pending Builder</t>
  </si>
  <si>
    <t xml:space="preserve">Deleina Galvan </t>
  </si>
  <si>
    <t>Joyie Francisco</t>
  </si>
  <si>
    <t>512-364-3171</t>
  </si>
  <si>
    <t>Empire Mortgage</t>
  </si>
  <si>
    <t>Alex Gamboa</t>
  </si>
  <si>
    <t>915-328-9799</t>
  </si>
  <si>
    <t>KW</t>
  </si>
  <si>
    <t>Joshua Morales</t>
  </si>
  <si>
    <t xml:space="preserve">3757 Focus Pl. </t>
  </si>
  <si>
    <t>Bloom</t>
  </si>
  <si>
    <t xml:space="preserve">Lynette Garcia </t>
  </si>
  <si>
    <t>Greg Pell</t>
  </si>
  <si>
    <t>573-409-5796</t>
  </si>
  <si>
    <t>EXP</t>
  </si>
  <si>
    <t>James Collier Shaleen</t>
  </si>
  <si>
    <t>130 Bonnie Trail</t>
  </si>
  <si>
    <t>915- 799- 8249</t>
  </si>
  <si>
    <t>Alfonso</t>
  </si>
  <si>
    <t>Yanez</t>
  </si>
  <si>
    <t>Lila and Juan Guzman</t>
  </si>
  <si>
    <t>3740 Focus Pl.</t>
  </si>
  <si>
    <t>Seminole - Farm</t>
  </si>
  <si>
    <t>Cristina Moreno</t>
  </si>
  <si>
    <t>The Broker Sponsor</t>
  </si>
  <si>
    <t>Gabriela Pearson</t>
  </si>
  <si>
    <t>11964 Loess Pl.</t>
  </si>
  <si>
    <t>Lina Miramontes</t>
  </si>
  <si>
    <t>Final UW</t>
  </si>
  <si>
    <t>Brian Martinez</t>
  </si>
  <si>
    <t>Maria Saenz</t>
  </si>
  <si>
    <t>Kendra Vigil</t>
  </si>
  <si>
    <t>13893 Paseo Celeste Dr.</t>
  </si>
  <si>
    <t>Fernando Estrada</t>
  </si>
  <si>
    <t>13901 Summmer View Ave.</t>
  </si>
  <si>
    <t>Seminole</t>
  </si>
  <si>
    <t>Danny Sanchez</t>
  </si>
  <si>
    <t>6076 Dalhart</t>
  </si>
  <si>
    <t>CTC</t>
  </si>
  <si>
    <t>Angie Torres Ortiz</t>
  </si>
  <si>
    <t>915-538-6237</t>
  </si>
  <si>
    <t>EXIT West Realty</t>
  </si>
  <si>
    <t>Surasi Gandara and Claudia Eugenia Rojas</t>
  </si>
  <si>
    <t>142 Ruth Trail</t>
  </si>
  <si>
    <t>Santa Barbara</t>
  </si>
  <si>
    <t>Arnold Varela</t>
  </si>
  <si>
    <t>Joel Padilla and Noreen Lopez</t>
  </si>
  <si>
    <t xml:space="preserve">3788 Surmise </t>
  </si>
  <si>
    <t>Liz Urbina</t>
  </si>
  <si>
    <t>Enrique Z. Navarrete &amp; Juana Zavala</t>
  </si>
  <si>
    <t xml:space="preserve">11961 Medalla, </t>
  </si>
  <si>
    <t>Saffron</t>
  </si>
  <si>
    <t>Tracey Escobedo</t>
  </si>
  <si>
    <t>David Vasquez</t>
  </si>
  <si>
    <t>915-929-9866</t>
  </si>
  <si>
    <t>Jackie Stevens</t>
  </si>
  <si>
    <t>915-630-4441</t>
  </si>
  <si>
    <t>The Real Brokerage</t>
  </si>
  <si>
    <t>2383 Enchanted Knoll Ln</t>
  </si>
  <si>
    <r>
      <rPr>
        <rFont val="Arial"/>
        <color theme="1"/>
      </rPr>
      <t xml:space="preserve">Pedro RIvera Jr </t>
    </r>
    <r>
      <rPr>
        <rFont val="Arial"/>
        <color rgb="FFFF0000"/>
      </rPr>
      <t>+.5%</t>
    </r>
  </si>
  <si>
    <r>
      <rPr>
        <rFont val="Arial"/>
        <color theme="1"/>
      </rPr>
      <t xml:space="preserve">3752 Focus </t>
    </r>
    <r>
      <rPr>
        <rFont val="Arial"/>
        <color rgb="FFFF0000"/>
      </rPr>
      <t>+.5%</t>
    </r>
  </si>
  <si>
    <t>Maria ROdarte</t>
  </si>
  <si>
    <t>Acala Investments</t>
  </si>
  <si>
    <t>Ron Rangel</t>
  </si>
  <si>
    <t>Diligent Real Estate</t>
  </si>
  <si>
    <t>Ramon Castaneda</t>
  </si>
  <si>
    <t xml:space="preserve">134 Ruth Trail </t>
  </si>
  <si>
    <t>Daisy Melendez</t>
  </si>
  <si>
    <t>Pending UW</t>
  </si>
  <si>
    <t>Sergio Andres Sanchez</t>
  </si>
  <si>
    <t xml:space="preserve">348 Playa Vista </t>
  </si>
  <si>
    <t>Joe Lopez</t>
  </si>
  <si>
    <t xml:space="preserve">Christian Castaneda &amp; Samantha Linette Castaneda </t>
  </si>
  <si>
    <t>12429 Cayo Norte Dr,</t>
  </si>
  <si>
    <t>Alejandro Morales</t>
  </si>
  <si>
    <t>CD Signed, Pending UW</t>
  </si>
  <si>
    <t>Derrieka Dixon (zia, 359K, 5%)  BOM</t>
  </si>
  <si>
    <t>10709 Troy Aikman Dr</t>
  </si>
  <si>
    <t>Yumaira Herrera</t>
  </si>
  <si>
    <t>REAL Broker LLC</t>
  </si>
  <si>
    <t>Hugo Gomez Nahle &amp; Renata Saenz</t>
  </si>
  <si>
    <t>4363 Purple Sage</t>
  </si>
  <si>
    <t>Las Cruces</t>
  </si>
  <si>
    <t>Lail RT 2173</t>
  </si>
  <si>
    <t>Patrick Guera</t>
  </si>
  <si>
    <t>915.588.1651</t>
  </si>
  <si>
    <t>Michelle McKAy</t>
  </si>
  <si>
    <t>Sather Enterprises</t>
  </si>
  <si>
    <t>William Dudley Forester Jr</t>
  </si>
  <si>
    <t>6064 Dalhart</t>
  </si>
  <si>
    <r>
      <rPr>
        <rFont val="Arial"/>
        <color theme="1"/>
      </rPr>
      <t xml:space="preserve">Omar Gonzalo Garcia </t>
    </r>
    <r>
      <rPr>
        <rFont val="Arial"/>
        <color rgb="FFFF0000"/>
      </rPr>
      <t>+.5%</t>
    </r>
  </si>
  <si>
    <r>
      <rPr>
        <rFont val="Arial"/>
        <color theme="1"/>
      </rPr>
      <t xml:space="preserve">3744 Focus </t>
    </r>
    <r>
      <rPr>
        <rFont val="Arial"/>
        <color rgb="FFFF0000"/>
      </rPr>
      <t>+.5%</t>
    </r>
  </si>
  <si>
    <t>Castilla</t>
  </si>
  <si>
    <t>Fernando</t>
  </si>
  <si>
    <t>Apodaca</t>
  </si>
  <si>
    <t>Veronca Quesada</t>
  </si>
  <si>
    <t>Christian Y. Ornelas &amp; Oscar A. Camarero</t>
  </si>
  <si>
    <t>1115 Bronze Hill Ave</t>
  </si>
  <si>
    <t>Presale</t>
  </si>
  <si>
    <t>(915)727-7420</t>
  </si>
  <si>
    <t>Harley Quinana</t>
  </si>
  <si>
    <t>1126 Bronze Hill Ave.</t>
  </si>
  <si>
    <t>Angie Utajara</t>
  </si>
  <si>
    <t>Alexandra Lofgren</t>
  </si>
  <si>
    <t>EDICA ALEJANDRA SANCHEZ RECINOS</t>
  </si>
  <si>
    <t>1110 Bronze Hill</t>
  </si>
  <si>
    <t>Seminole Spanish</t>
  </si>
  <si>
    <t>Sandy Messer And Associates</t>
  </si>
  <si>
    <t>German &amp; Zayra Acosta</t>
  </si>
  <si>
    <t>13352 Eton Court</t>
  </si>
  <si>
    <t xml:space="preserve">Edgar Barrio </t>
  </si>
  <si>
    <t>914-422-3211</t>
  </si>
  <si>
    <t>Jaime and Karina Joseph</t>
  </si>
  <si>
    <t xml:space="preserve">10700 Elise St. </t>
  </si>
  <si>
    <t>Pending Sale</t>
  </si>
  <si>
    <t>Sequoia</t>
  </si>
  <si>
    <t>Carlos and Griselda Granados</t>
  </si>
  <si>
    <t>10708 Elise St.</t>
  </si>
  <si>
    <t>Zinia</t>
  </si>
  <si>
    <t>CD Needs to be sent</t>
  </si>
  <si>
    <t>Angel Contreras &amp; Alondra Izaguirre</t>
  </si>
  <si>
    <t>1845 Stirrup Place</t>
  </si>
  <si>
    <t>Custom</t>
  </si>
  <si>
    <t>146 Ruth 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</si>
</sst>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(###)###-####"/>
    <numFmt numFmtId="165" formatCode="_-&quot;$&quot;* #,##0.00_-;\-&quot;$&quot;* #,##0.00_-;_-&quot;$&quot;* &quot;-&quot;??_-;_-@"/>
    <numFmt numFmtId="166" formatCode="M/d/yyyy"/>
    <numFmt numFmtId="167" formatCode="&quot;$&quot;#,##0"/>
    <numFmt numFmtId="168" formatCode="&quot;$&quot;#,##0.00"/>
    <numFmt numFmtId="169" formatCode="0.0%"/>
    <numFmt numFmtId="170" formatCode="_(&quot;$&quot;* #,##0.00_);_(&quot;$&quot;* \(#,##0.00\);_(&quot;$&quot;* &quot;-&quot;??_);_(@_)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24.0"/>
      <color rgb="FFFFFFFF"/>
      <name val="Roboto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rgb="FFFF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24.0"/>
      <color theme="1"/>
      <name val="Roboto"/>
    </font>
    <font>
      <color rgb="FF00FF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09ED0"/>
        <bgColor rgb="FF609ED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77389"/>
        <bgColor rgb="FF677389"/>
      </patternFill>
    </fill>
    <fill>
      <patternFill patternType="solid">
        <fgColor rgb="FF8093B3"/>
        <bgColor rgb="FF8093B3"/>
      </patternFill>
    </fill>
    <fill>
      <patternFill patternType="solid">
        <fgColor rgb="FFEAD1DC"/>
        <bgColor rgb="FFEAD1DC"/>
      </patternFill>
    </fill>
    <fill>
      <patternFill patternType="solid">
        <fgColor rgb="FF779DCB"/>
        <bgColor rgb="FF779DCB"/>
      </patternFill>
    </fill>
    <fill>
      <patternFill patternType="solid">
        <fgColor rgb="FFBDBDBD"/>
        <bgColor rgb="FFBDBDBD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 style="thick">
        <color rgb="FFFFFFFF"/>
      </left>
      <right/>
      <top/>
      <bottom/>
    </border>
    <border>
      <left/>
      <right/>
      <top/>
      <bottom/>
    </border>
    <border>
      <left style="thick">
        <color rgb="FFFFFFFF"/>
      </left>
    </border>
    <border>
      <top style="thick">
        <color rgb="FF1C4587"/>
      </top>
    </border>
    <border>
      <left style="thick">
        <color rgb="FFFFFFFF"/>
      </left>
      <top style="thick">
        <color rgb="FF1C4587"/>
      </top>
    </border>
    <border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left style="thick">
        <color rgb="FFFFFFF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FFFFFF"/>
      </left>
      <top/>
      <bottom/>
    </border>
    <border>
      <top/>
      <bottom style="thin">
        <color rgb="FF000000"/>
      </bottom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2" xfId="0" applyBorder="1" applyFont="1" applyNumberFormat="1"/>
    <xf borderId="2" fillId="2" fontId="2" numFmtId="0" xfId="0" applyBorder="1" applyFont="1"/>
    <xf borderId="1" fillId="2" fontId="3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readingOrder="0"/>
    </xf>
    <xf borderId="5" fillId="2" fontId="2" numFmtId="0" xfId="0" applyBorder="1" applyFont="1"/>
    <xf borderId="5" fillId="2" fontId="2" numFmtId="164" xfId="0" applyBorder="1" applyFont="1" applyNumberFormat="1"/>
    <xf borderId="1" fillId="2" fontId="2" numFmtId="0" xfId="0" applyBorder="1" applyFont="1"/>
    <xf borderId="5" fillId="2" fontId="2" numFmtId="9" xfId="0" applyBorder="1" applyFont="1" applyNumberFormat="1"/>
    <xf borderId="5" fillId="2" fontId="2" numFmtId="165" xfId="0" applyBorder="1" applyFont="1" applyNumberFormat="1"/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6" fillId="0" fontId="5" numFmtId="49" xfId="0" applyAlignment="1" applyBorder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6" fillId="0" fontId="5" numFmtId="9" xfId="0" applyAlignment="1" applyBorder="1" applyFont="1" applyNumberFormat="1">
      <alignment horizontal="center" readingOrder="0" shrinkToFit="0" vertical="center" wrapText="1"/>
    </xf>
    <xf borderId="0" fillId="0" fontId="5" numFmtId="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7" numFmtId="2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1"/>
    </xf>
    <xf borderId="6" fillId="0" fontId="7" numFmtId="0" xfId="0" applyAlignment="1" applyBorder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6" fillId="0" fontId="7" numFmtId="10" xfId="0" applyAlignment="1" applyBorder="1" applyFont="1" applyNumberFormat="1">
      <alignment readingOrder="0" shrinkToFit="0" vertical="center" wrapText="0"/>
    </xf>
    <xf borderId="0" fillId="0" fontId="7" numFmtId="10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0" xfId="0" applyAlignment="1" applyFont="1" applyNumberFormat="1">
      <alignment shrinkToFit="0" vertical="center" wrapText="0"/>
    </xf>
    <xf borderId="0" fillId="0" fontId="7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3" xfId="0" applyAlignment="1" applyFont="1" applyNumberFormat="1">
      <alignment horizontal="center" readingOrder="0" shrinkToFit="0" vertical="center" wrapText="0"/>
    </xf>
    <xf borderId="0" fillId="0" fontId="7" numFmtId="166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0"/>
    </xf>
    <xf borderId="6" fillId="0" fontId="7" numFmtId="0" xfId="0" applyAlignment="1" applyBorder="1" applyFon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6" fillId="0" fontId="7" numFmtId="10" xfId="0" applyAlignment="1" applyBorder="1" applyFont="1" applyNumberFormat="1">
      <alignment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3" fontId="7" numFmtId="2" xfId="0" applyAlignment="1" applyFont="1" applyNumberForma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166" xfId="0" applyAlignment="1" applyFont="1" applyNumberFormat="1">
      <alignment readingOrder="0" shrinkToFit="0" vertical="center" wrapText="1"/>
    </xf>
    <xf borderId="0" fillId="3" fontId="7" numFmtId="166" xfId="0" applyAlignment="1" applyFont="1" applyNumberFormat="1">
      <alignment readingOrder="0" shrinkToFit="0" vertical="center" wrapText="0"/>
    </xf>
    <xf borderId="6" fillId="3" fontId="7" numFmtId="0" xfId="0" applyAlignment="1" applyBorder="1" applyFont="1">
      <alignment shrinkToFit="0" vertical="center" wrapText="0"/>
    </xf>
    <xf borderId="0" fillId="3" fontId="7" numFmtId="164" xfId="0" applyAlignment="1" applyFont="1" applyNumberFormat="1">
      <alignment readingOrder="0" shrinkToFit="0" vertical="center" wrapText="0"/>
    </xf>
    <xf borderId="6" fillId="3" fontId="7" numFmtId="10" xfId="0" applyAlignment="1" applyBorder="1" applyFont="1" applyNumberFormat="1">
      <alignment readingOrder="0" shrinkToFit="0" vertical="center" wrapText="0"/>
    </xf>
    <xf borderId="0" fillId="3" fontId="7" numFmtId="10" xfId="0" applyAlignment="1" applyFont="1" applyNumberFormat="1">
      <alignment shrinkToFit="0" vertical="center" wrapText="0"/>
    </xf>
    <xf borderId="0" fillId="3" fontId="7" numFmtId="0" xfId="0" applyAlignment="1" applyFont="1">
      <alignment shrinkToFit="0" vertical="center" wrapText="0"/>
    </xf>
    <xf borderId="7" fillId="4" fontId="8" numFmtId="0" xfId="0" applyAlignment="1" applyBorder="1" applyFill="1" applyFont="1">
      <alignment horizontal="center" shrinkToFit="0" vertical="center" wrapText="0"/>
    </xf>
    <xf borderId="7" fillId="4" fontId="8" numFmtId="2" xfId="0" applyAlignment="1" applyBorder="1" applyFont="1" applyNumberForma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7" fillId="4" fontId="8" numFmtId="166" xfId="0" applyAlignment="1" applyBorder="1" applyFont="1" applyNumberFormat="1">
      <alignment shrinkToFit="0" vertical="center" wrapText="0"/>
    </xf>
    <xf borderId="8" fillId="4" fontId="8" numFmtId="0" xfId="0" applyAlignment="1" applyBorder="1" applyFont="1">
      <alignment shrinkToFit="0" vertical="center" wrapText="0"/>
    </xf>
    <xf borderId="7" fillId="4" fontId="8" numFmtId="165" xfId="0" applyAlignment="1" applyBorder="1" applyFont="1" applyNumberFormat="1">
      <alignment shrinkToFit="0" vertical="center" wrapText="0"/>
    </xf>
    <xf borderId="7" fillId="4" fontId="8" numFmtId="164" xfId="0" applyAlignment="1" applyBorder="1" applyFont="1" applyNumberFormat="1">
      <alignment shrinkToFit="0" vertical="center" wrapText="0"/>
    </xf>
    <xf borderId="8" fillId="4" fontId="8" numFmtId="10" xfId="0" applyAlignment="1" applyBorder="1" applyFont="1" applyNumberFormat="1">
      <alignment shrinkToFit="0" vertical="center" wrapText="0"/>
    </xf>
    <xf borderId="7" fillId="4" fontId="8" numFmtId="10" xfId="0" applyAlignment="1" applyBorder="1" applyFont="1" applyNumberFormat="1">
      <alignment shrinkToFit="0" vertical="center" wrapText="0"/>
    </xf>
    <xf borderId="0" fillId="4" fontId="8" numFmtId="0" xfId="0" applyAlignment="1" applyFont="1">
      <alignment horizontal="center" shrinkToFit="0" vertical="center" wrapText="0"/>
    </xf>
    <xf borderId="0" fillId="4" fontId="8" numFmtId="2" xfId="0" applyAlignment="1" applyFont="1" applyNumberForma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166" xfId="0" applyAlignment="1" applyFont="1" applyNumberFormat="1">
      <alignment shrinkToFit="0" vertical="center" wrapText="0"/>
    </xf>
    <xf borderId="6" fillId="4" fontId="8" numFmtId="0" xfId="0" applyAlignment="1" applyBorder="1" applyFont="1">
      <alignment shrinkToFit="0" vertical="center" wrapText="0"/>
    </xf>
    <xf borderId="0" fillId="4" fontId="8" numFmtId="165" xfId="0" applyAlignment="1" applyFont="1" applyNumberFormat="1">
      <alignment shrinkToFit="0" vertical="center" wrapText="0"/>
    </xf>
    <xf borderId="0" fillId="4" fontId="8" numFmtId="164" xfId="0" applyAlignment="1" applyFont="1" applyNumberFormat="1">
      <alignment shrinkToFit="0" vertical="center" wrapText="0"/>
    </xf>
    <xf borderId="6" fillId="4" fontId="8" numFmtId="10" xfId="0" applyAlignment="1" applyBorder="1" applyFont="1" applyNumberFormat="1">
      <alignment shrinkToFit="0" vertical="center" wrapText="0"/>
    </xf>
    <xf borderId="0" fillId="4" fontId="8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center"/>
    </xf>
    <xf borderId="0" fillId="0" fontId="2" numFmtId="2" xfId="0" applyFont="1" applyNumberFormat="1"/>
    <xf borderId="0" fillId="0" fontId="2" numFmtId="0" xfId="0" applyFont="1"/>
    <xf borderId="9" fillId="0" fontId="2" numFmtId="0" xfId="0" applyBorder="1" applyFont="1"/>
    <xf borderId="0" fillId="0" fontId="2" numFmtId="165" xfId="0" applyFont="1" applyNumberFormat="1"/>
    <xf borderId="6" fillId="0" fontId="2" numFmtId="0" xfId="0" applyBorder="1" applyFont="1"/>
    <xf borderId="0" fillId="0" fontId="2" numFmtId="164" xfId="0" applyFont="1" applyNumberFormat="1"/>
    <xf borderId="6" fillId="0" fontId="2" numFmtId="9" xfId="0" applyBorder="1" applyFont="1" applyNumberFormat="1"/>
    <xf borderId="0" fillId="0" fontId="2" numFmtId="9" xfId="0" applyFont="1" applyNumberFormat="1"/>
    <xf borderId="0" fillId="0" fontId="1" numFmtId="0" xfId="0" applyAlignment="1" applyFont="1">
      <alignment horizontal="center"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10" fillId="3" fontId="1" numFmtId="0" xfId="0" applyAlignment="1" applyBorder="1" applyFont="1">
      <alignment horizontal="center" vertical="bottom"/>
    </xf>
    <xf borderId="10" fillId="3" fontId="2" numFmtId="2" xfId="0" applyAlignment="1" applyBorder="1" applyFont="1" applyNumberFormat="1">
      <alignment vertical="bottom"/>
    </xf>
    <xf borderId="10" fillId="3" fontId="2" numFmtId="0" xfId="0" applyAlignment="1" applyBorder="1" applyFont="1">
      <alignment vertical="bottom"/>
    </xf>
    <xf borderId="11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10" fillId="3" fontId="2" numFmtId="164" xfId="0" applyAlignment="1" applyBorder="1" applyFont="1" applyNumberFormat="1">
      <alignment vertical="bottom"/>
    </xf>
    <xf borderId="10" fillId="3" fontId="1" numFmtId="0" xfId="0" applyAlignment="1" applyBorder="1" applyFont="1">
      <alignment horizontal="center"/>
    </xf>
    <xf borderId="10" fillId="3" fontId="2" numFmtId="2" xfId="0" applyBorder="1" applyFont="1" applyNumberFormat="1"/>
    <xf borderId="10" fillId="3" fontId="2" numFmtId="0" xfId="0" applyBorder="1" applyFont="1"/>
    <xf borderId="10" fillId="3" fontId="2" numFmtId="165" xfId="0" applyAlignment="1" applyBorder="1" applyFont="1" applyNumberFormat="1">
      <alignment vertical="bottom"/>
    </xf>
    <xf borderId="12" fillId="3" fontId="2" numFmtId="9" xfId="0" applyAlignment="1" applyBorder="1" applyFont="1" applyNumberFormat="1">
      <alignment vertical="bottom"/>
    </xf>
    <xf borderId="10" fillId="3" fontId="2" numFmtId="9" xfId="0" applyAlignment="1" applyBorder="1" applyFont="1" applyNumberFormat="1">
      <alignment vertical="bottom"/>
    </xf>
    <xf borderId="10" fillId="3" fontId="2" numFmtId="165" xfId="0" applyBorder="1" applyFont="1" applyNumberFormat="1"/>
    <xf borderId="11" fillId="3" fontId="2" numFmtId="0" xfId="0" applyBorder="1" applyFont="1"/>
    <xf borderId="12" fillId="3" fontId="2" numFmtId="0" xfId="0" applyBorder="1" applyFont="1"/>
    <xf borderId="10" fillId="3" fontId="2" numFmtId="164" xfId="0" applyBorder="1" applyFont="1" applyNumberFormat="1"/>
    <xf borderId="12" fillId="3" fontId="2" numFmtId="9" xfId="0" applyBorder="1" applyFont="1" applyNumberFormat="1"/>
    <xf borderId="10" fillId="3" fontId="2" numFmtId="9" xfId="0" applyBorder="1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13" fillId="0" fontId="6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0" fillId="0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5" fontId="7" numFmtId="0" xfId="0" applyFont="1"/>
    <xf borderId="0" fillId="6" fontId="10" numFmtId="0" xfId="0" applyFill="1" applyFont="1"/>
    <xf borderId="16" fillId="7" fontId="10" numFmtId="0" xfId="0" applyAlignment="1" applyBorder="1" applyFill="1" applyFont="1">
      <alignment horizontal="center" readingOrder="0"/>
    </xf>
    <xf borderId="17" fillId="0" fontId="4" numFmtId="0" xfId="0" applyBorder="1" applyFont="1"/>
    <xf borderId="18" fillId="0" fontId="4" numFmtId="0" xfId="0" applyBorder="1" applyFont="1"/>
    <xf borderId="0" fillId="0" fontId="7" numFmtId="0" xfId="0" applyFont="1"/>
    <xf borderId="0" fillId="0" fontId="10" numFmtId="0" xfId="0" applyFont="1"/>
    <xf borderId="0" fillId="6" fontId="10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Font="1"/>
    <xf borderId="19" fillId="0" fontId="7" numFmtId="0" xfId="0" applyAlignment="1" applyBorder="1" applyFont="1">
      <alignment horizontal="center"/>
    </xf>
    <xf borderId="20" fillId="0" fontId="4" numFmtId="0" xfId="0" applyBorder="1" applyFont="1"/>
    <xf borderId="0" fillId="7" fontId="11" numFmtId="0" xfId="0" applyAlignment="1" applyFont="1">
      <alignment readingOrder="0"/>
    </xf>
    <xf borderId="0" fillId="0" fontId="7" numFmtId="0" xfId="0" applyFont="1"/>
    <xf borderId="0" fillId="0" fontId="7" numFmtId="167" xfId="0" applyFont="1" applyNumberFormat="1"/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168" xfId="0" applyFont="1" applyNumberFormat="1"/>
    <xf borderId="0" fillId="0" fontId="7" numFmtId="0" xfId="0" applyAlignment="1" applyFont="1">
      <alignment horizontal="left"/>
    </xf>
    <xf borderId="19" fillId="0" fontId="7" numFmtId="0" xfId="0" applyBorder="1" applyFont="1"/>
    <xf borderId="20" fillId="0" fontId="7" numFmtId="0" xfId="0" applyBorder="1" applyFont="1"/>
    <xf borderId="0" fillId="0" fontId="7" numFmtId="2" xfId="0" applyFont="1" applyNumberFormat="1"/>
    <xf borderId="13" fillId="0" fontId="7" numFmtId="0" xfId="0" applyAlignment="1" applyBorder="1" applyFont="1">
      <alignment horizontal="center" readingOrder="0"/>
    </xf>
    <xf borderId="19" fillId="7" fontId="10" numFmtId="0" xfId="0" applyAlignment="1" applyBorder="1" applyFont="1">
      <alignment horizontal="left" readingOrder="0"/>
    </xf>
    <xf borderId="0" fillId="7" fontId="10" numFmtId="0" xfId="0" applyFont="1"/>
    <xf borderId="19" fillId="0" fontId="7" numFmtId="2" xfId="0" applyAlignment="1" applyBorder="1" applyFont="1" applyNumberFormat="1">
      <alignment horizontal="left"/>
    </xf>
    <xf borderId="0" fillId="0" fontId="7" numFmtId="2" xfId="0" applyAlignment="1" applyFont="1" applyNumberFormat="1">
      <alignment horizontal="left"/>
    </xf>
    <xf borderId="20" fillId="0" fontId="7" numFmtId="0" xfId="0" applyAlignment="1" applyBorder="1" applyFont="1">
      <alignment horizontal="left"/>
    </xf>
    <xf borderId="0" fillId="0" fontId="6" numFmtId="2" xfId="0" applyAlignment="1" applyFont="1" applyNumberFormat="1">
      <alignment readingOrder="0"/>
    </xf>
    <xf borderId="19" fillId="0" fontId="7" numFmtId="0" xfId="0" applyAlignment="1" applyBorder="1" applyFont="1">
      <alignment horizontal="left"/>
    </xf>
    <xf borderId="0" fillId="5" fontId="7" numFmtId="0" xfId="0" applyAlignment="1" applyFont="1">
      <alignment horizontal="left"/>
    </xf>
    <xf borderId="0" fillId="0" fontId="7" numFmtId="49" xfId="0" applyFont="1" applyNumberFormat="1"/>
    <xf borderId="21" fillId="0" fontId="7" numFmtId="2" xfId="0" applyAlignment="1" applyBorder="1" applyFont="1" applyNumberFormat="1">
      <alignment horizontal="left"/>
    </xf>
    <xf borderId="22" fillId="0" fontId="7" numFmtId="0" xfId="0" applyAlignment="1" applyBorder="1" applyFont="1">
      <alignment horizontal="left"/>
    </xf>
    <xf borderId="22" fillId="0" fontId="7" numFmtId="2" xfId="0" applyAlignment="1" applyBorder="1" applyFont="1" applyNumberFormat="1">
      <alignment horizontal="left"/>
    </xf>
    <xf borderId="23" fillId="0" fontId="7" numFmtId="0" xfId="0" applyAlignment="1" applyBorder="1" applyFont="1">
      <alignment horizontal="left"/>
    </xf>
    <xf borderId="16" fillId="0" fontId="6" numFmtId="0" xfId="0" applyAlignment="1" applyBorder="1" applyFont="1">
      <alignment horizontal="center" readingOrder="0"/>
    </xf>
    <xf borderId="21" fillId="0" fontId="7" numFmtId="1" xfId="0" applyAlignment="1" applyBorder="1" applyFont="1" applyNumberFormat="1">
      <alignment horizontal="left"/>
    </xf>
    <xf borderId="22" fillId="0" fontId="7" numFmtId="1" xfId="0" applyAlignment="1" applyBorder="1" applyFont="1" applyNumberFormat="1">
      <alignment horizontal="left"/>
    </xf>
    <xf borderId="23" fillId="0" fontId="7" numFmtId="1" xfId="0" applyAlignment="1" applyBorder="1" applyFont="1" applyNumberFormat="1">
      <alignment horizontal="left"/>
    </xf>
    <xf borderId="0" fillId="3" fontId="7" numFmtId="0" xfId="0" applyFont="1"/>
    <xf borderId="0" fillId="0" fontId="7" numFmtId="1" xfId="0" applyAlignment="1" applyFont="1" applyNumberFormat="1">
      <alignment horizontal="center"/>
    </xf>
    <xf borderId="0" fillId="3" fontId="7" numFmtId="0" xfId="0" applyAlignment="1" applyFont="1">
      <alignment readingOrder="0"/>
    </xf>
    <xf borderId="24" fillId="0" fontId="10" numFmtId="0" xfId="0" applyAlignment="1" applyBorder="1" applyFont="1">
      <alignment horizontal="center" readingOrder="0"/>
    </xf>
    <xf borderId="25" fillId="0" fontId="10" numFmtId="49" xfId="0" applyAlignment="1" applyBorder="1" applyFont="1" applyNumberFormat="1">
      <alignment horizontal="center" readingOrder="0"/>
    </xf>
    <xf borderId="25" fillId="0" fontId="10" numFmtId="0" xfId="0" applyAlignment="1" applyBorder="1" applyFont="1">
      <alignment horizontal="center" readingOrder="0"/>
    </xf>
    <xf borderId="25" fillId="0" fontId="10" numFmtId="165" xfId="0" applyAlignment="1" applyBorder="1" applyFont="1" applyNumberFormat="1">
      <alignment horizontal="center" readingOrder="0"/>
    </xf>
    <xf borderId="25" fillId="0" fontId="10" numFmtId="164" xfId="0" applyAlignment="1" applyBorder="1" applyFont="1" applyNumberFormat="1">
      <alignment horizontal="center" readingOrder="0"/>
    </xf>
    <xf borderId="26" fillId="0" fontId="10" numFmtId="0" xfId="0" applyAlignment="1" applyBorder="1" applyFont="1">
      <alignment horizontal="center" readingOrder="0"/>
    </xf>
    <xf borderId="27" fillId="0" fontId="7" numFmtId="0" xfId="0" applyAlignment="1" applyBorder="1" applyFont="1">
      <alignment readingOrder="0"/>
    </xf>
    <xf borderId="28" fillId="0" fontId="7" numFmtId="0" xfId="0" applyAlignment="1" applyBorder="1" applyFont="1">
      <alignment readingOrder="0"/>
    </xf>
    <xf borderId="28" fillId="0" fontId="7" numFmtId="0" xfId="0" applyAlignment="1" applyBorder="1" applyFont="1">
      <alignment readingOrder="0"/>
    </xf>
    <xf borderId="28" fillId="0" fontId="7" numFmtId="166" xfId="0" applyAlignment="1" applyBorder="1" applyFont="1" applyNumberFormat="1">
      <alignment readingOrder="0"/>
    </xf>
    <xf borderId="28" fillId="0" fontId="7" numFmtId="0" xfId="0" applyBorder="1" applyFont="1"/>
    <xf borderId="29" fillId="0" fontId="7" numFmtId="0" xfId="0" applyBorder="1" applyFont="1"/>
    <xf borderId="28" fillId="0" fontId="7" numFmtId="164" xfId="0" applyAlignment="1" applyBorder="1" applyFont="1" applyNumberFormat="1">
      <alignment readingOrder="0"/>
    </xf>
    <xf quotePrefix="1" borderId="28" fillId="0" fontId="7" numFmtId="0" xfId="0" applyAlignment="1" applyBorder="1" applyFont="1">
      <alignment readingOrder="0"/>
    </xf>
    <xf borderId="29" fillId="0" fontId="7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0" fillId="0" fontId="12" numFmtId="0" xfId="0" applyAlignment="1" applyFont="1">
      <alignment horizontal="left" readingOrder="0" vertical="center"/>
    </xf>
    <xf borderId="2" fillId="0" fontId="12" numFmtId="0" xfId="0" applyAlignment="1" applyBorder="1" applyFont="1">
      <alignment horizontal="left" readingOrder="0" vertical="center"/>
    </xf>
    <xf borderId="30" fillId="0" fontId="12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31" fillId="0" fontId="12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165" xfId="0" applyAlignment="1" applyFont="1" applyNumberForma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32" fillId="0" fontId="5" numFmtId="49" xfId="0" applyAlignment="1" applyBorder="1" applyFont="1" applyNumberFormat="1">
      <alignment horizontal="left" readingOrder="0" shrinkToFit="0" vertical="center" wrapText="1"/>
    </xf>
    <xf borderId="14" fillId="0" fontId="5" numFmtId="49" xfId="0" applyAlignment="1" applyBorder="1" applyFont="1" applyNumberFormat="1">
      <alignment horizontal="left" readingOrder="0" shrinkToFit="0" vertical="center" wrapText="1"/>
    </xf>
    <xf borderId="0" fillId="0" fontId="5" numFmtId="164" xfId="0" applyAlignment="1" applyFont="1" applyNumberFormat="1">
      <alignment horizontal="left" readingOrder="0" shrinkToFit="0" vertical="center" wrapText="1"/>
    </xf>
    <xf borderId="0" fillId="8" fontId="6" numFmtId="0" xfId="0" applyAlignment="1" applyFill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horizontal="left" readingOrder="0" shrinkToFit="0" vertical="center" wrapText="0"/>
    </xf>
    <xf borderId="32" fillId="0" fontId="7" numFmtId="0" xfId="0" applyAlignment="1" applyBorder="1" applyFont="1">
      <alignment readingOrder="0" shrinkToFit="0" vertical="center" wrapText="0"/>
    </xf>
    <xf borderId="0" fillId="0" fontId="7" numFmtId="166" xfId="0" applyAlignment="1" applyFont="1" applyNumberFormat="1">
      <alignment horizontal="left" shrinkToFit="0" vertical="center" wrapText="1"/>
    </xf>
    <xf borderId="14" fillId="0" fontId="7" numFmtId="0" xfId="0" applyAlignment="1" applyBorder="1" applyFont="1">
      <alignment readingOrder="0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8" fontId="7" numFmtId="166" xfId="0" applyAlignment="1" applyFont="1" applyNumberFormat="1">
      <alignment horizontal="left" readingOrder="0" shrinkToFit="0" vertical="center" wrapText="1"/>
    </xf>
    <xf borderId="0" fillId="8" fontId="13" numFmtId="0" xfId="0" applyAlignment="1" applyFont="1">
      <alignment horizontal="left" readingOrder="0"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0" fillId="8" fontId="7" numFmtId="166" xfId="0" applyAlignment="1" applyFont="1" applyNumberFormat="1">
      <alignment horizontal="left" readingOrder="0" shrinkToFit="0" vertical="center" wrapText="0"/>
    </xf>
    <xf borderId="32" fillId="8" fontId="7" numFmtId="0" xfId="0" applyAlignment="1" applyBorder="1" applyFont="1">
      <alignment readingOrder="0" shrinkToFit="0" vertical="center" wrapText="0"/>
    </xf>
    <xf borderId="0" fillId="8" fontId="7" numFmtId="0" xfId="0" applyAlignment="1" applyFont="1">
      <alignment horizontal="left" readingOrder="0" shrinkToFit="0" vertical="center" wrapText="1"/>
    </xf>
    <xf borderId="0" fillId="8" fontId="7" numFmtId="0" xfId="0" applyAlignment="1" applyFont="1">
      <alignment horizontal="left" readingOrder="0" shrinkToFit="0" vertical="center" wrapText="0"/>
    </xf>
    <xf borderId="14" fillId="8" fontId="7" numFmtId="0" xfId="0" applyAlignment="1" applyBorder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166" xfId="0" applyAlignment="1" applyFont="1" applyNumberForma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readingOrder="0" shrinkToFit="0" vertical="center" wrapText="0"/>
    </xf>
    <xf borderId="32" fillId="0" fontId="7" numFmtId="0" xfId="0" applyAlignment="1" applyBorder="1" applyFont="1">
      <alignment readingOrder="0" shrinkToFit="0" vertical="center" wrapText="0"/>
    </xf>
    <xf borderId="32" fillId="0" fontId="7" numFmtId="0" xfId="0" applyAlignment="1" applyBorder="1" applyFont="1">
      <alignment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0" fillId="8" fontId="9" numFmtId="0" xfId="0" applyAlignment="1" applyFont="1">
      <alignment horizontal="left" readingOrder="0" shrinkToFit="0" vertical="center" wrapText="0"/>
    </xf>
    <xf borderId="0" fillId="8" fontId="7" numFmtId="164" xfId="0" applyAlignment="1" applyFont="1" applyNumberFormat="1">
      <alignment horizontal="left" readingOrder="0" shrinkToFit="0" vertical="center" wrapText="0"/>
    </xf>
    <xf borderId="14" fillId="8" fontId="7" numFmtId="0" xfId="0" applyAlignment="1" applyBorder="1" applyFont="1">
      <alignment readingOrder="0" shrinkToFit="0" vertical="center" wrapText="0"/>
    </xf>
    <xf borderId="14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7" numFmtId="166" xfId="0" applyAlignment="1" applyFont="1" applyNumberForma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3" fontId="7" numFmtId="166" xfId="0" applyAlignment="1" applyFont="1" applyNumberFormat="1">
      <alignment horizontal="left" readingOrder="0" shrinkToFit="0" vertical="center" wrapText="0"/>
    </xf>
    <xf borderId="32" fillId="3" fontId="7" numFmtId="0" xfId="0" applyAlignment="1" applyBorder="1" applyFont="1">
      <alignment readingOrder="0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14" fillId="3" fontId="7" numFmtId="0" xfId="0" applyAlignment="1" applyBorder="1" applyFont="1">
      <alignment readingOrder="0" shrinkToFit="0" vertical="center" wrapText="0"/>
    </xf>
    <xf borderId="0" fillId="3" fontId="7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32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4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32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left"/>
    </xf>
    <xf borderId="17" fillId="0" fontId="2" numFmtId="0" xfId="0" applyAlignment="1" applyBorder="1" applyFont="1">
      <alignment horizontal="left"/>
    </xf>
    <xf borderId="0" fillId="0" fontId="7" numFmtId="0" xfId="0" applyAlignment="1" applyFont="1">
      <alignment readingOrder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6" fillId="0" fontId="5" numFmtId="49" xfId="0" applyAlignment="1" applyBorder="1" applyFont="1" applyNumberFormat="1">
      <alignment horizontal="left" readingOrder="0" shrinkToFit="0" vertical="center" wrapText="1"/>
    </xf>
    <xf borderId="0" fillId="8" fontId="7" numFmtId="166" xfId="0" applyAlignment="1" applyFont="1" applyNumberFormat="1">
      <alignment readingOrder="0" shrinkToFit="0" vertical="center" wrapText="1"/>
    </xf>
    <xf borderId="0" fillId="8" fontId="7" numFmtId="166" xfId="0" applyAlignment="1" applyFont="1" applyNumberFormat="1">
      <alignment readingOrder="0" shrinkToFit="0" vertical="center" wrapText="0"/>
    </xf>
    <xf borderId="6" fillId="8" fontId="7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left" readingOrder="0"/>
    </xf>
    <xf borderId="6" fillId="0" fontId="2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165" xfId="0" applyAlignment="1" applyFont="1" applyNumberFormat="1">
      <alignment horizontal="left" readingOrder="0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quotePrefix="1" borderId="0" fillId="0" fontId="7" numFmtId="164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1" fillId="9" fontId="2" numFmtId="0" xfId="0" applyBorder="1" applyFill="1" applyFont="1"/>
    <xf borderId="2" fillId="9" fontId="2" numFmtId="0" xfId="0" applyBorder="1" applyFont="1"/>
    <xf borderId="1" fillId="9" fontId="3" numFmtId="0" xfId="0" applyAlignment="1" applyBorder="1" applyFont="1">
      <alignment horizontal="left"/>
    </xf>
    <xf borderId="5" fillId="2" fontId="3" numFmtId="0" xfId="0" applyBorder="1" applyFont="1"/>
    <xf borderId="5" fillId="10" fontId="2" numFmtId="168" xfId="0" applyBorder="1" applyFill="1" applyFont="1" applyNumberFormat="1"/>
    <xf borderId="1" fillId="10" fontId="3" numFmtId="168" xfId="0" applyAlignment="1" applyBorder="1" applyFont="1" applyNumberFormat="1">
      <alignment shrinkToFit="0" wrapText="1"/>
    </xf>
    <xf borderId="2" fillId="10" fontId="4" numFmtId="0" xfId="0" applyBorder="1" applyFont="1"/>
    <xf borderId="3" fillId="10" fontId="4" numFmtId="0" xfId="0" applyBorder="1" applyFont="1"/>
    <xf borderId="1" fillId="2" fontId="3" numFmtId="0" xfId="0" applyAlignment="1" applyBorder="1" applyFont="1">
      <alignment shrinkToFit="0" wrapText="1"/>
    </xf>
    <xf borderId="0" fillId="2" fontId="2" numFmtId="0" xfId="0" applyFont="1"/>
    <xf borderId="0" fillId="0" fontId="7" numFmtId="0" xfId="0" applyAlignment="1" applyFon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7" numFmtId="164" xfId="0" applyAlignment="1" applyFont="1" applyNumberFormat="1">
      <alignment horizontal="left" readingOrder="0" shrinkToFit="0" vertical="center" wrapText="1"/>
    </xf>
    <xf borderId="0" fillId="0" fontId="7" numFmtId="9" xfId="0" applyAlignment="1" applyFont="1" applyNumberFormat="1">
      <alignment horizontal="left" readingOrder="0" shrinkToFit="0" vertical="center" wrapText="1"/>
    </xf>
    <xf borderId="0" fillId="0" fontId="7" numFmtId="9" xfId="0" applyAlignment="1" applyFont="1" applyNumberFormat="1">
      <alignment horizontal="left" readingOrder="0" shrinkToFit="0" vertical="center" wrapText="1"/>
    </xf>
    <xf borderId="0" fillId="0" fontId="7" numFmtId="168" xfId="0" applyAlignment="1" applyFont="1" applyNumberFormat="1">
      <alignment horizontal="left" readingOrder="0" shrinkToFit="0" vertical="center" wrapText="1"/>
    </xf>
    <xf borderId="0" fillId="0" fontId="7" numFmtId="169" xfId="0" applyAlignment="1" applyFont="1" applyNumberFormat="1">
      <alignment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9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shrinkToFit="0" vertical="center" wrapText="0"/>
    </xf>
    <xf borderId="0" fillId="0" fontId="7" numFmtId="170" xfId="0" applyAlignment="1" applyFont="1" applyNumberFormat="1">
      <alignment shrinkToFit="0" vertical="center" wrapText="0"/>
    </xf>
    <xf borderId="0" fillId="0" fontId="7" numFmtId="9" xfId="0" applyAlignment="1" applyFont="1" applyNumberFormat="1">
      <alignment shrinkToFit="0" vertical="center" wrapText="0"/>
    </xf>
    <xf borderId="0" fillId="0" fontId="2" numFmtId="9" xfId="0" applyFont="1" applyNumberFormat="1"/>
    <xf borderId="0" fillId="0" fontId="2" numFmtId="168" xfId="0" applyFont="1" applyNumberFormat="1"/>
    <xf borderId="0" fillId="0" fontId="2" numFmtId="170" xfId="0" applyFont="1" applyNumberFormat="1"/>
    <xf borderId="10" fillId="3" fontId="2" numFmtId="9" xfId="0" applyAlignment="1" applyBorder="1" applyFont="1" applyNumberFormat="1">
      <alignment vertical="bottom"/>
    </xf>
    <xf borderId="10" fillId="3" fontId="2" numFmtId="168" xfId="0" applyAlignment="1" applyBorder="1" applyFont="1" applyNumberFormat="1">
      <alignment vertical="bottom"/>
    </xf>
    <xf borderId="10" fillId="3" fontId="2" numFmtId="170" xfId="0" applyAlignment="1" applyBorder="1" applyFont="1" applyNumberFormat="1">
      <alignment vertical="bottom"/>
    </xf>
    <xf borderId="10" fillId="3" fontId="2" numFmtId="9" xfId="0" applyBorder="1" applyFont="1" applyNumberFormat="1"/>
    <xf borderId="10" fillId="3" fontId="2" numFmtId="168" xfId="0" applyBorder="1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0054A6"/>
          <bgColor rgb="FF0054A6"/>
        </patternFill>
      </fill>
      <border/>
    </dxf>
  </dxfs>
  <tableStyles count="16">
    <tableStyle count="4" pivot="0" name="CMR_Edwards Homes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 Scoreboard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3" pivot="0" name="Detail2-El Paso-style">
      <tableStyleElement dxfId="6" type="headerRow"/>
      <tableStyleElement dxfId="7" type="firstRowStripe"/>
      <tableStyleElement dxfId="2" type="secondRowStripe"/>
    </tableStyle>
    <tableStyle count="3" pivot="0" name="Detail1-style">
      <tableStyleElement dxfId="6" type="headerRow"/>
      <tableStyleElement dxfId="7" type="firstRowStripe"/>
      <tableStyleElement dxfId="2" type="secondRowStripe"/>
    </tableStyle>
    <tableStyle count="4" pivot="0" name="E.H. _ Pipeline - Commis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 Builders _Pipeline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Resales - 2025 v2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Split Agents for KPI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4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5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6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sts-style 7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DAG_Pipeline-Terminat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190500</xdr:rowOff>
    </xdr:from>
    <xdr:ext cx="28860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7</xdr:row>
      <xdr:rowOff>200025</xdr:rowOff>
    </xdr:from>
    <xdr:ext cx="2162175" cy="952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1238250</xdr:colOff>
      <xdr:row>8</xdr:row>
      <xdr:rowOff>28575</xdr:rowOff>
    </xdr:from>
    <xdr:ext cx="1590675" cy="895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7</xdr:row>
      <xdr:rowOff>200025</xdr:rowOff>
    </xdr:from>
    <xdr:ext cx="866775" cy="10096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28575</xdr:rowOff>
    </xdr:from>
    <xdr:ext cx="1219200" cy="895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171450</xdr:rowOff>
    </xdr:from>
    <xdr:ext cx="1038225" cy="10096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190500</xdr:rowOff>
    </xdr:from>
    <xdr:ext cx="28860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190500</xdr:rowOff>
    </xdr:from>
    <xdr:ext cx="28860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AI50" sheet="E.H. _ Pipeline"/>
  </cacheSource>
  <cacheFields>
    <cacheField name="#" numFmtId="0">
      <sharedItems containsString="0" containsBlank="1" containsNumber="1" containsInteger="1">
        <n v="1.0"/>
        <n v="2.0"/>
        <n v="3.0"/>
        <n v="34.0"/>
        <n v="4.0"/>
        <m/>
        <n v="38.0"/>
        <n v="37.0"/>
        <n v="36.0"/>
        <n v="35.0"/>
        <n v="10.0"/>
        <n v="12.0"/>
        <n v="6.0"/>
        <n v="7.0"/>
        <n v="8.0"/>
        <n v="9.0"/>
        <n v="5.0"/>
        <n v="11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</sharedItems>
    </cacheField>
    <cacheField name="Count" numFmtId="0">
      <sharedItems containsString="0" containsBlank="1" containsNumber="1" containsInteger="1">
        <n v="1.0"/>
        <n v="0.0"/>
        <n v="2.0"/>
        <n v="4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m/>
      </sharedItems>
    </cacheField>
    <cacheField name="SUB'D DATE" numFmtId="166">
      <sharedItems containsDate="1" containsString="0" containsBlank="1">
        <d v="2025-09-03T00:00:00Z"/>
        <d v="2025-08-25T00:00:00Z"/>
        <d v="2025-09-08T00:00:00Z"/>
        <d v="2025-09-22T00:00:00Z"/>
        <d v="2025-08-29T00:00:00Z"/>
        <d v="2025-10-27T00:00:00Z"/>
        <d v="2025-11-10T00:00:00Z"/>
        <d v="2025-11-05T00:00:00Z"/>
        <d v="2025-11-02T00:00:00Z"/>
        <d v="2025-11-04T00:00:00Z"/>
        <d v="2025-10-26T00:00:00Z"/>
        <d v="2025-10-21T00:00:00Z"/>
        <d v="2023-10-01T00:00:00Z"/>
        <d v="2025-07-27T00:00:00Z"/>
        <d v="2025-09-01T00:00:00Z"/>
        <d v="2025-08-04T00:00:00Z"/>
        <d v="2025-09-15T00:00:00Z"/>
        <d v="2025-08-30T00:00:00Z"/>
        <d v="2025-08-20T00:00:00Z"/>
        <d v="2025-08-14T00:00:00Z"/>
        <d v="2025-06-19T00:00:00Z"/>
        <d v="2025-08-05T00:00:00Z"/>
        <d v="2025-07-18T00:00:00Z"/>
        <d v="2025-07-02T00:00:00Z"/>
        <m/>
        <d v="2025-06-28T00:00:00Z"/>
        <d v="2025-06-25T00:00:00Z"/>
        <d v="2025-06-22T00:00:00Z"/>
        <d v="2025-05-23T00:00:00Z"/>
        <d v="2025-06-04T00:00:00Z"/>
        <d v="2025-05-20T00:00:00Z"/>
        <d v="2025-05-16T00:00:00Z"/>
        <d v="2025-05-15T00:00:00Z"/>
        <d v="2025-05-10T00:00:00Z"/>
        <d v="2025-05-05T00:00:00Z"/>
        <d v="2025-04-24T00:00:00Z"/>
        <d v="2025-04-14T00:00:00Z"/>
        <d v="2025-04-05T00:00:00Z"/>
        <d v="2025-04-03T00:00:00Z"/>
      </sharedItems>
    </cacheField>
    <cacheField name="Assist" numFmtId="0">
      <sharedItems containsBlank="1">
        <s v="No"/>
        <s v="Yes"/>
        <m/>
      </sharedItems>
    </cacheField>
    <cacheField name="EXECUTED" numFmtId="0">
      <sharedItems containsBlank="1">
        <s v="NO"/>
        <s v="YES"/>
        <m/>
      </sharedItems>
    </cacheField>
    <cacheField name="ASSISTING AGENT" numFmtId="0">
      <sharedItems containsBlank="1">
        <s v="Mark Morales"/>
        <s v="Angel Alba"/>
        <s v="Edgar Barrio"/>
        <s v="Diana Caballero"/>
        <s v="Priscilla Ramos"/>
        <s v="Alex Morales"/>
        <s v="Jesse Loya, Diana Caballero"/>
        <s v="Jesse Loya, Juan Amaya"/>
        <s v="Alex Morales, Priscilla Ramos"/>
        <s v="Vada Garcia"/>
        <m/>
      </sharedItems>
    </cacheField>
    <cacheField name=" SALES PRICE" numFmtId="0">
      <sharedItems containsString="0" containsBlank="1" containsNumber="1" containsInteger="1">
        <n v="294950.0"/>
        <n v="272950.0"/>
        <n v="269950.0"/>
        <n v="301950.0"/>
        <n v="274950.0"/>
        <n v="273950.0"/>
        <n v="369950.0"/>
        <n v="439950.0"/>
        <n v="279950.0"/>
        <n v="282950.0"/>
        <n v="304950.0"/>
        <n v="346950.0"/>
        <n v="328950.0"/>
        <n v="332950.0"/>
        <n v="264950.0"/>
        <n v="259950.0"/>
        <n v="331950.0"/>
        <n v="360950.0"/>
        <n v="277950.0"/>
        <m/>
      </sharedItems>
    </cacheField>
    <cacheField name="ADDRESS" numFmtId="0">
      <sharedItems>
        <s v="3804 Perspective"/>
        <s v="7309 John Gerald Way"/>
        <s v="7324 Fray Garcia Way"/>
        <s v="252 Park Vista Pl."/>
        <s v="7333 John Gerald Way"/>
        <s v="12317 Ben Dowell Way"/>
        <s v="12305 Ben Dowell Way "/>
        <s v="7341 JOHN GERALD WAY "/>
        <s v="841 Paseo Tranquilo"/>
        <s v="3841 Peak Pl. "/>
        <s v="14569 John Mcneely"/>
        <s v="7325 John Gerald"/>
        <s v="12309 Ben Dowell Dr"/>
        <s v="12844 Fredericksberg"/>
        <s v="252 Mar Vista"/>
        <s v="904 Sandhurst Pl."/>
        <s v="13921 Paseo Bosque Avenue"/>
        <s v="15029 Destination "/>
        <s v="12649 Middlesbrough Ave."/>
        <s v="13789 Lorenz"/>
        <s v="7328 Fray Garcia Way"/>
        <s v="15061 Function"/>
        <s v="948 Sandhurst"/>
        <s v="15060 Destination"/>
        <s v="817 Paseo Pacifico"/>
        <s v="1037 Callie"/>
        <s v="3849 Peak Pl"/>
        <s v="12716 Middlesbrough"/>
        <s v="812 Paseo Pacifico"/>
        <s v="15033 Function"/>
        <s v="12812 Middlesbrough Ave"/>
        <s v="51089 Sand Verbena"/>
        <s v="51013 Desert Calico"/>
        <s v="15209 Purpose"/>
        <s v="15024 Ambition"/>
        <s v="12468 Cayo Norte"/>
        <s v="1041 Callie"/>
        <s v="13961 Lorenz Ave"/>
        <s v="13721 Lorenz"/>
        <s v="51013 Purple Mat"/>
        <s v="51086 Desert Calico"/>
        <s v="825 Paseo Tranquilo Pl"/>
        <s v="12700 Middlesbrough Avenue"/>
        <s v="804 Paseo Pacifico Pl"/>
        <s v="813 Paseo Pacifico"/>
        <s v="12437 Polo Norte Dr"/>
        <s v="15232 Imagine Dr"/>
        <s v="15157 Destination Ave. "/>
      </sharedItems>
    </cacheField>
    <cacheField name="EXECUTED DATE" numFmtId="0">
      <sharedItems containsDate="1" containsString="0" containsBlank="1">
        <m/>
        <d v="2025-09-12T00:00:00Z"/>
        <d v="2025-09-04T00:00:00Z"/>
        <d v="2025-10-30T00:00:00Z"/>
        <d v="2025-11-03T00:00:00Z"/>
        <d v="2025-11-13T00:00:00Z"/>
        <d v="2025-10-03T00:00:00Z"/>
        <d v="2025-07-31T00:00:00Z"/>
        <d v="2025-09-02T00:00:00Z"/>
        <d v="2025-08-11T00:00:00Z"/>
        <d v="2025-09-16T00:00:00Z"/>
        <d v="2025-09-05T00:00:00Z"/>
        <d v="2025-09-03T00:00:00Z"/>
        <d v="2025-08-25T00:00:00Z"/>
        <d v="2025-08-18T00:00:00Z"/>
        <d v="2025-06-27T00:00:00Z"/>
        <d v="2025-08-07T00:00:00Z"/>
        <d v="2025-07-23T00:00:00Z"/>
        <d v="2025-07-10T00:00:00Z"/>
        <d v="2025-06-23T00:00:00Z"/>
        <d v="2025-07-01T00:00:00Z"/>
        <d v="2025-06-26T00:00:00Z"/>
        <d v="2025-07-07T00:00:00Z"/>
        <d v="2025-06-10T00:00:00Z"/>
        <d v="2025-05-22T00:00:00Z"/>
        <d v="2025-05-13T00:00:00Z"/>
        <d v="2025-05-07T00:00:00Z"/>
        <d v="2025-04-11T00:00:00Z"/>
        <d v="2025-03-14T00:00:00Z"/>
      </sharedItems>
    </cacheField>
    <cacheField name="MONTH EXECUTED DATE" numFmtId="0">
      <sharedItems containsBlank="1">
        <m/>
        <s v="Dec"/>
        <s v="Jun"/>
        <s v="Jul"/>
        <s v="May"/>
        <s v="Apr"/>
      </sharedItems>
    </cacheField>
    <cacheField name="YEAR EXECUTED DATE" numFmtId="0">
      <sharedItems containsString="0" containsBlank="1" containsNumber="1" containsInteger="1">
        <m/>
        <n v="2025.0"/>
      </sharedItems>
    </cacheField>
    <cacheField name="SCHEDULED CLOSING" numFmtId="166">
      <sharedItems containsDate="1" containsString="0" containsBlank="1">
        <d v="2026-03-02T21:00:00Z"/>
        <d v="2026-02-25T00:00:00Z"/>
        <d v="2026-01-15T00:00:00Z"/>
        <d v="2026-01-14T21:00:00Z"/>
        <d v="2025-12-14T21:00:00Z"/>
        <d v="2025-12-16T00:00:00Z"/>
        <d v="2025-12-10T00:00:00Z"/>
        <d v="2025-11-26T00:00:00Z"/>
        <d v="2025-12-07T21:00:00Z"/>
        <d v="2025-12-08T00:00:00Z"/>
        <d v="2025-11-27T21:00:00Z"/>
        <d v="2025-11-24T00:00:00Z"/>
        <d v="2025-10-21T22:00:00Z"/>
        <d v="2025-11-20T00:00:00Z"/>
        <d v="2025-11-05T00:00:00Z"/>
        <d v="2025-09-22T00:00:00Z"/>
        <d v="2025-10-24T00:00:00Z"/>
        <d v="2025-10-21T00:00:00Z"/>
        <d v="2025-08-29T00:00:00Z"/>
        <d v="2025-10-12T22:00:00Z"/>
        <d v="2025-10-02T22:00:00Z"/>
        <d v="2025-09-30T00:00:00Z"/>
        <d v="2025-09-14T22:00:00Z"/>
        <d v="2025-09-01T00:00:00Z"/>
        <d v="2025-08-25T00:00:00Z"/>
        <d v="2025-08-22T00:00:00Z"/>
        <d v="2025-08-18T00:00:00Z"/>
        <d v="2025-08-11T00:00:00Z"/>
        <d v="2025-08-08T00:00:00Z"/>
        <d v="2025-07-28T00:00:00Z"/>
        <d v="2025-07-18T00:00:00Z"/>
        <d v="2025-07-07T00:00:00Z"/>
        <d v="2025-06-30T00:00:00Z"/>
        <d v="2025-06-20T00:00:00Z"/>
        <d v="2025-06-18T00:00:00Z"/>
        <d v="2025-06-16T00:00:00Z"/>
        <d v="2025-06-10T00:00:00Z"/>
        <d v="2025-06-05T00:00:00Z"/>
        <d v="2025-05-15T00:00:00Z"/>
        <d v="2025-05-14T00:00:00Z"/>
        <d v="2025-05-05T00:00:00Z"/>
        <d v="2025-05-01T00:00:00Z"/>
        <d v="2025-04-30T00:00:00Z"/>
        <m/>
      </sharedItems>
    </cacheField>
    <cacheField name="CLOSED DATE" numFmtId="0">
      <sharedItems containsDate="1" containsString="0" containsBlank="1">
        <m/>
        <d v="2025-11-03T00:00:00Z"/>
        <d v="2023-10-28T00:00:00Z"/>
        <d v="2025-10-28T00:00:00Z"/>
        <d v="2025-10-03T00:00:00Z"/>
        <d v="2025-09-23T00:00:00Z"/>
        <d v="2025-10-15T00:00:00Z"/>
        <d v="2025-09-04T00:00:00Z"/>
        <d v="2025-09-16T00:00:00Z"/>
        <d v="2025-09-18T00:00:00Z"/>
        <d v="2025-08-11T00:00:00Z"/>
        <d v="2025-09-10T00:00:00Z"/>
        <d v="2025-08-19T00:00:00Z"/>
        <d v="2025-07-23T00:00:00Z"/>
        <d v="2025-06-30T00:00:00Z"/>
        <d v="2025-06-23T00:00:00Z"/>
        <d v="2025-06-18T00:00:00Z"/>
        <d v="2025-06-27T00:00:00Z"/>
      </sharedItems>
    </cacheField>
    <cacheField name="LOAN STATUS" numFmtId="0">
      <sharedItems containsBlank="1">
        <s v="Back On Market (BOM)"/>
        <s v="Disclosures Sent"/>
        <s v="Conditions Submitted"/>
        <s v="File in Processing"/>
        <s v="CASH"/>
        <s v="Loan Application Received"/>
        <m/>
        <s v="Closed"/>
        <s v="Funded"/>
      </sharedItems>
    </cacheField>
    <cacheField name="AMMENDMENT TYPE" numFmtId="0">
      <sharedItems containsBlank="1">
        <s v="Buyer Request"/>
        <m/>
        <s v="CC clarification"/>
        <s v="Financing Delay"/>
        <s v="Appraisal Delay"/>
        <s v="Inspection Repairs / Contractor Delay"/>
        <s v="Builder Delay"/>
      </sharedItems>
    </cacheField>
    <cacheField name="EXTENSION DATE" numFmtId="0">
      <sharedItems containsDate="1" containsString="0" containsBlank="1">
        <m/>
        <d v="2025-10-28T00:00:00Z"/>
        <d v="2025-09-04T00:00:00Z"/>
        <d v="2025-09-15T00:00:00Z"/>
        <d v="2025-09-17T00:00:00Z"/>
        <d v="2025-08-11T00:00:00Z"/>
        <d v="2025-09-10T00:00:00Z"/>
        <d v="2025-08-19T00:00:00Z"/>
        <d v="2025-06-30T00:00:00Z"/>
        <d v="2025-06-23T00:00:00Z"/>
        <d v="2025-06-18T00:00:00Z"/>
        <d v="2025-06-27T00:00:00Z"/>
      </sharedItems>
    </cacheField>
    <cacheField name="FLOORPLAN" numFmtId="0">
      <sharedItems containsBlank="1">
        <s v="Carmella T"/>
        <s v="Mariel T"/>
        <m/>
        <s v="Elena T"/>
        <s v="Karla IV F"/>
        <s v="Yoli T"/>
        <s v="Ariana"/>
        <s v="Nailea"/>
        <s v="Yoli "/>
        <s v="Karla T"/>
        <s v="Carmella C"/>
        <s v="Ayde T"/>
        <s v="Helsinki"/>
        <s v="Natalia"/>
        <s v="Yoli F"/>
        <s v="Ariana "/>
        <s v="Madeline"/>
        <s v="Ayde"/>
        <s v="Karla"/>
        <s v="Plan Carmella"/>
        <s v="Danielle S"/>
        <s v="Juliana"/>
        <s v="Lillian Ii"/>
        <s v="Ayde II F"/>
      </sharedItems>
    </cacheField>
    <cacheField name="BUYER'S NAME" numFmtId="0">
      <sharedItems containsBlank="1">
        <s v="William Richard Darwin"/>
        <s v="Isaiah Warren "/>
        <s v="Isaiah Warren"/>
        <s v="Carlos Amaya"/>
        <s v="Richard De ALmeida Monteiro"/>
        <s v="Ian Chase Laningham / Chelsey Ann Laningham"/>
        <s v="Alonso Aguilar Picharra"/>
        <s v="NA"/>
        <s v="Antonio Jose Rodriguez Valpais/ Vianka Marina Resto Morales"/>
        <s v="Carlos Alejandro Palomares "/>
        <s v="Joseph Louis Vega/ Maria Antonitta Vega"/>
        <m/>
        <s v="Robert Soriano, Janeth Elizabeth Burciaga"/>
        <s v="Elizabeth Ramirez"/>
        <s v="Robert S Hanner/ Linda S Hanner"/>
        <s v="Heriberto Lopez Ortega Jr"/>
        <s v="Maria Aguilar"/>
        <s v="Astrid Michelle Portillo, Denisse Minerva Lemus Peregrino "/>
        <s v="Enrique Cepeda Olvera"/>
        <s v="ETHAN JOSEPH DEPEW"/>
        <s v="Paul Rene Madrid/ Alexandra Renee Martell"/>
        <s v="Jamedal Nichelle Hudson"/>
        <s v="Jessica Salas"/>
        <s v="Mary Katherine Adrian And Roberto Contreras"/>
        <s v="Jose J Lafon"/>
        <s v="Jose Manuel Grisanti/ Brandon Christopher Grisanti"/>
        <s v="Robert Gilles"/>
        <s v="Desiree R. Hernandez"/>
        <s v="Nicholas S Cuevas/ Deborah Gonzalez"/>
        <s v="Jonathan Adam Charters/ Maria Teresa Charters"/>
        <s v="Mario Antonio Jimenez"/>
        <s v="Juan Esteban Cardona Serrano "/>
        <s v="Aide Mier "/>
        <s v="Lorena Lizeth Jaquez Tellez / Jesus Javier Gallegos Aldaz"/>
        <s v="Israel Estrada And Sandra J Estrada"/>
        <s v="Jerson Edmundo Morales Rios"/>
        <s v="Uriah Ahmed Baker, Susan Elizabeth Baker"/>
        <s v="Jessica Leyva"/>
        <s v="Christian Andrew Marin"/>
        <s v="Nicolas Perez &amp; Susana Portillo"/>
        <s v="Daniel Mata "/>
        <s v="Densly Vianey Torres Saenz"/>
        <s v="Martha And Ignacio Morales"/>
        <s v="Jesus Padilla"/>
      </sharedItems>
    </cacheField>
    <cacheField name="PHONE NUMBER" numFmtId="0">
      <sharedItems containsBlank="1">
        <m/>
        <s v="915-873-1067"/>
      </sharedItems>
    </cacheField>
    <cacheField name="EMAIL" numFmtId="0">
      <sharedItems containsBlank="1">
        <m/>
        <s v="alonsoagup@gmail.com"/>
      </sharedItems>
    </cacheField>
    <cacheField name="address2" numFmtId="0">
      <sharedItems containsBlank="1">
        <m/>
        <s v="2801 Tierra Vigo, El Paso Tx 79938"/>
      </sharedItems>
    </cacheField>
    <cacheField name="City" numFmtId="0">
      <sharedItems containsBlank="1">
        <s v="El Paso"/>
        <s v="Horizon City"/>
        <s v="Horizon"/>
        <m/>
        <s v="Socorro"/>
      </sharedItems>
    </cacheField>
    <cacheField name="State" numFmtId="0">
      <sharedItems containsBlank="1">
        <s v="TX"/>
        <m/>
      </sharedItems>
    </cacheField>
    <cacheField name="Zip" numFmtId="0">
      <sharedItems containsString="0" containsBlank="1" containsNumber="1" containsInteger="1">
        <n v="79938.0"/>
        <n v="79934.0"/>
        <n v="79927.0"/>
        <n v="79928.0"/>
        <m/>
      </sharedItems>
    </cacheField>
    <cacheField name="LOAN TYPE" numFmtId="0">
      <sharedItems containsBlank="1">
        <s v="VA"/>
        <s v="CONV"/>
        <s v="Cash"/>
        <s v="FHA"/>
        <m/>
      </sharedItems>
    </cacheField>
    <cacheField name="LOAN AMOUNT" numFmtId="0">
      <sharedItems containsString="0" containsBlank="1" containsNumber="1">
        <m/>
        <n v="269950.0"/>
        <n v="256657.0"/>
        <n v="215966.0"/>
        <n v="0.0"/>
        <n v="0.035"/>
        <n v="369950.0"/>
        <n v="357001.0"/>
        <n v="265326.0"/>
        <n v="273046.0"/>
        <n v="279950.0"/>
        <n v="294276.0"/>
        <n v="294907.0"/>
        <n v="274950.0"/>
        <n v="317436.0"/>
      </sharedItems>
    </cacheField>
    <cacheField name="LO NAME" numFmtId="0">
      <sharedItems containsBlank="1">
        <s v="Sandra Aguilera-Sanchez"/>
        <s v="Michael Anthony Sanchez"/>
        <s v="Gilbert Madrid"/>
        <s v="Karlie Clark"/>
        <s v="Pauline Barrio"/>
        <s v="na"/>
        <m/>
        <s v="Liz Urbina "/>
        <s v="Ruth Guevara"/>
        <s v="Brandon List"/>
        <s v="Nancy Martinez"/>
        <s v="Priscilla Perez"/>
        <s v="Ruth Guevara "/>
        <s v="Cecilia Estrada"/>
        <s v="Randi Cabrera Alper"/>
        <s v="Sean Bemis"/>
        <s v="Jeffery Ferguson"/>
        <s v="Suzie Gallardo"/>
        <s v="Caleb Lutsch "/>
        <s v="Omar Gardea"/>
        <s v="Evelyn Lopez"/>
        <s v="Sandie Sanchez"/>
        <s v="Paul Francisco "/>
        <s v="Oly Perez"/>
      </sharedItems>
    </cacheField>
    <cacheField name="LO MOBILE PHONE">
      <sharedItems containsBlank="1" containsMixedTypes="1" containsNumber="1" containsInteger="1">
        <m/>
        <s v="(915) 637-8571"/>
        <s v="(915) 304-0342"/>
        <n v="5.7587626E9"/>
        <s v="915-790-9853"/>
        <s v="na"/>
        <s v="(915) 422-0333"/>
        <n v="5.189212058E9"/>
        <s v="(915) 791-4162"/>
        <n v="9.159297769E9"/>
        <s v="(915) 346-1774"/>
        <s v="719-653-1356"/>
        <s v="(915) 204-3867"/>
        <s v="(915) 594-3280"/>
        <s v="(915) 422-5466"/>
        <s v="(518) 921-2058"/>
        <s v="(573) 778-1718"/>
        <s v="(915) 873-8884"/>
        <s v="(469) 279-7921"/>
        <s v="(915) 996-4223"/>
        <s v="(915) 777-2278"/>
        <s v="(915) 373-4428"/>
        <s v="(512) 997-8669"/>
        <s v="(915) 422-3211"/>
        <s v="(915) 799-8249"/>
        <s v="(915) 309-2452"/>
      </sharedItems>
    </cacheField>
    <cacheField name="LO EMAIL" numFmtId="0">
      <sharedItems containsBlank="1">
        <s v="sandie@rmmc.com"/>
        <s v="Michael@rmmc.com"/>
        <s v="gilbert@homeplatemortgage@gmail.com"/>
        <s v="karlie.clark@veteransunited.com"/>
        <s v="pauline@rmmc.com"/>
        <s v="na"/>
        <m/>
        <s v="lizzet@rmmc.com"/>
        <s v="ruth@rmmc.com"/>
        <s v="Brandon@truratelending.com"/>
        <s v="nancy@rmmc.com"/>
        <s v="Pperez@cmgfi.com"/>
        <s v="cecilia@rmmc.com"/>
        <s v="Rcabrera@guildmortgage.net"/>
        <s v="Sbemis@changemtg.com"/>
        <s v="Jferguson@veteransunited.com"/>
        <s v="sgallardo@annie-mac.com"/>
        <s v="Caleb.lutsch@mortgagesolutions.net"/>
        <s v="Ogardea@cmghomeloans.com"/>
        <s v=" Ruth@rmmc.com"/>
        <s v="Ruth@@rmmc.com"/>
        <s v="Elopez@allwestern.com"/>
        <s v="Paul@mpirefi.com"/>
        <s v="Operez@cmghomeloans.com"/>
      </sharedItems>
    </cacheField>
    <cacheField name="MTG CO." numFmtId="0">
      <sharedItems containsBlank="1">
        <s v="rmmc"/>
        <s v="Rocky Mountain"/>
        <s v="Home Plate"/>
        <s v="Veterans United"/>
        <s v="na"/>
        <m/>
        <s v="Rocky Mountain Mortgage "/>
        <s v="Tru Rate Lending"/>
        <s v="CMG"/>
        <s v="TRURATE LENDING"/>
        <s v="Guild"/>
        <s v="Change"/>
        <s v="AnnieMac"/>
        <s v="Mortgage Solutions Financial"/>
        <s v="All Western"/>
        <s v="Mpire"/>
      </sharedItems>
    </cacheField>
    <cacheField name="REALTOR PARTNER" numFmtId="0">
      <sharedItems containsBlank="1">
        <m/>
        <s v="Jesse Loya"/>
        <s v="Fernando Sanchez"/>
        <s v="Edgar Barrio"/>
        <s v="Mark Morales"/>
        <s v="Oscar Rivas"/>
        <s v="Faride Scarlett"/>
        <s v="Caren Carver"/>
        <s v="Pamela Gonzalez Pulido"/>
        <s v="Loren Favela"/>
        <s v="David Acosta"/>
        <s v="Alfonso Yanez"/>
        <s v="Christopher Gil"/>
        <s v="Jacalyn L Perez"/>
        <s v="Alberto Sanchez"/>
        <s v="Deleina Galvan"/>
        <s v="Angel Flores"/>
        <s v="Seiichi Yoshizaki"/>
        <s v="Lizeth Lozano"/>
        <s v="Vada Garcia"/>
        <s v="Carmen Luna"/>
      </sharedItems>
    </cacheField>
    <cacheField name="REALTOR NUMBER">
      <sharedItems containsBlank="1" containsMixedTypes="1" containsNumber="1" containsInteger="1">
        <m/>
        <s v="(915) 330-7305"/>
        <s v="(915) 740-9772"/>
        <s v="(915) 760-0808"/>
        <s v="915-355-2887"/>
        <s v="915-760-0808"/>
        <s v="(915) 304-9470"/>
        <n v="9.15216147E9"/>
        <s v="(915) 355-2887"/>
        <n v="5.755289962E9"/>
        <s v="(915) 328-6677"/>
        <s v="(915) 294-8427"/>
        <s v="(915) 252-7600"/>
        <s v="(915) 315-3095"/>
        <s v="(915) 493-9551"/>
        <s v="(915) 328-0530"/>
        <s v="(915) 250-4647"/>
        <s v="(915) 329-2723"/>
        <s v="(915) 701-7672"/>
        <s v="(210) 365-3132"/>
        <s v="(915) 543-1273"/>
        <s v="(915) 282-8346"/>
        <s v="(915) 333-2784"/>
      </sharedItems>
    </cacheField>
    <cacheField name="REALTOR EMAIL" numFmtId="0">
      <sharedItems containsBlank="1">
        <s v="mark@wesellep.com"/>
        <s v="Jesseloya.realtor@gmail.com"/>
        <s v="ferniesanchezrealtor@gmail.com"/>
        <s v="ebarrio@callmereg.com"/>
        <m/>
        <s v="lorenahomes6@gmail.com"/>
        <s v="oscar.rivas@revolvetx.com"/>
        <s v="soldbyscarlett.tx@yahoo.com"/>
        <s v="caren.txrealestate@gmail.com"/>
        <s v="Pamelap.realtor@yahoo.com"/>
        <s v="lynettemgarcia9@gmail.com"/>
        <s v="Lorenrealtorelp@gmail.com"/>
        <s v="David@david-acosta.com"/>
        <s v="Alfonsoyanez.realtor@gmail.com"/>
        <s v="christophergilrealtor@gmail.com"/>
        <s v="Jacalyn@partnersrealtygrp.com"/>
        <s v="Albertsanchezrealtor@gmail.com"/>
        <s v="Realtor.deleinagalvan@gmail.com"/>
        <s v="Angelflowers282@gmail.com"/>
        <s v="Yoshi.realtor369@gmail.com"/>
        <s v="Llozanolizeth@gmail.com"/>
        <s v="Vada@callmereg.com"/>
        <s v="Cvianeyluna@gmail.com"/>
      </sharedItems>
    </cacheField>
    <cacheField name="BROKER NAME" numFmtId="0">
      <sharedItems containsBlank="1">
        <s v="ERA"/>
        <s v="Home Pros"/>
        <s v="El Paso Team Results"/>
        <m/>
        <s v="Realty ONE Group MB"/>
        <s v="Revolve Realty LLC"/>
        <s v="ClearView Realty"/>
        <s v="The WAR Team"/>
        <s v="eXp Realty"/>
        <s v="Sandy Messer"/>
        <s v="Grow"/>
      </sharedItems>
    </cacheField>
    <cacheField name="NOTES" numFmtId="0">
      <sharedItems containsBlank="1">
        <s v="Buyer Cancelled Prior to Executing"/>
        <s v="Never Executed - Buyer submitted 7333 John Gerald"/>
        <m/>
        <s v="Buyer Cancelled After Executing - Transferred to 7324 Fray Garcia"/>
        <s v="Buyer went ghost and cold. no answer"/>
        <s v="Buyer Cancelled After Executing - Moved to different builder (mark personal deal)"/>
        <s v="Buyer Ccancelled Due to Repai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PIs" cacheId="0" dataCaption="" compact="0" compactData="0">
  <location ref="A3:D4" firstHeaderRow="0" firstDataRow="1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colFields>
    <field x="-2"/>
  </colFields>
  <dataFields>
    <dataField name="Total Sales" fld="6" baseField="0"/>
    <dataField name="Lowest Price" fld="6" subtotal="min" baseField="0"/>
    <dataField name="Average Price" fld="6" subtotal="average" baseField="0"/>
    <dataField name="Highest Price" fld="6" subtotal="max" baseField="0"/>
  </dataFields>
</pivotTableDefinition>
</file>

<file path=xl/pivotTables/pivotTable2.xml><?xml version="1.0" encoding="utf-8"?>
<pivotTableDefinition xmlns="http://schemas.openxmlformats.org/spreadsheetml/2006/main" name="KPIs 2" cacheId="0" dataCaption="" rowGrandTotals="0" compact="0" compactData="0">
  <location ref="F3:H27" firstHeaderRow="0" firstDataRow="2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axis="axisRow" compact="0" outline="0" multipleItemSelectionAllowed="1" showAll="0" sortType="ascending">
      <items>
        <item x="2"/>
        <item x="6"/>
        <item x="15"/>
        <item x="17"/>
        <item x="23"/>
        <item x="11"/>
        <item x="10"/>
        <item x="0"/>
        <item x="20"/>
        <item x="3"/>
        <item x="12"/>
        <item x="21"/>
        <item x="18"/>
        <item x="4"/>
        <item x="9"/>
        <item x="22"/>
        <item x="16"/>
        <item x="1"/>
        <item x="7"/>
        <item x="13"/>
        <item x="19"/>
        <item x="8"/>
        <item x="14"/>
        <item x="5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6"/>
  </rowFields>
  <colFields>
    <field x="-2"/>
  </colFields>
  <dataFields>
    <dataField name="Average Price" fld="6" subtotal="average" baseField="0"/>
    <dataField name="Homes Sold" fld="7" subtotal="count" baseField="0"/>
  </dataFields>
</pivotTableDefinition>
</file>

<file path=xl/pivotTables/pivotTable3.xml><?xml version="1.0" encoding="utf-8"?>
<pivotTableDefinition xmlns="http://schemas.openxmlformats.org/spreadsheetml/2006/main" name="KPIs 3" cacheId="0" dataCaption="" compact="0" compactData="0">
  <location ref="O3:P9" firstHeaderRow="0" firstDataRow="1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4"/>
  </rowFields>
  <dataFields>
    <dataField name="Deals" fld="7" subtotal="count" baseField="0"/>
  </dataFields>
</pivotTableDefinition>
</file>

<file path=xl/pivotTables/pivotTable4.xml><?xml version="1.0" encoding="utf-8"?>
<pivotTableDefinition xmlns="http://schemas.openxmlformats.org/spreadsheetml/2006/main" name="KPIs 4" cacheId="0" dataCaption="" rowGrandTotals="0" compact="0" compactData="0">
  <location ref="R3:S27" firstHeaderRow="0" firstDataRow="1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6"/>
  </rowFields>
  <dataFields>
    <dataField name="Deals" fld="7" subtotal="count" baseField="0"/>
  </dataFields>
</pivotTableDefinition>
</file>

<file path=xl/pivotTables/pivotTable5.xml><?xml version="1.0" encoding="utf-8"?>
<pivotTableDefinition xmlns="http://schemas.openxmlformats.org/spreadsheetml/2006/main" name="KPIs 5" cacheId="0" dataCaption="" compact="0" compactData="0">
  <location ref="U3:W20" firstHeaderRow="0" firstDataRow="2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9"/>
  </rowFields>
  <colFields>
    <field x="-2"/>
  </colFields>
  <dataFields>
    <dataField name="Count" fld="7" subtotal="count" baseField="0"/>
    <dataField name="Loan Amount" fld="25" baseField="0"/>
  </dataFields>
</pivotTableDefinition>
</file>

<file path=xl/pivotTables/pivotTable6.xml><?xml version="1.0" encoding="utf-8"?>
<pivotTableDefinition xmlns="http://schemas.openxmlformats.org/spreadsheetml/2006/main" name="KPIs 6" cacheId="0" dataCaption="" rowGrandTotals="0" compact="0" compactData="0">
  <location ref="AL3:AN14" firstHeaderRow="0" firstDataRow="2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3"/>
  </rowFields>
  <colFields>
    <field x="-2"/>
  </colFields>
  <dataFields>
    <dataField name="Units" fld="7" subtotal="count" baseField="0"/>
    <dataField name="Total Sales" fld="6" baseField="0"/>
  </dataFields>
</pivotTableDefinition>
</file>

<file path=xl/pivotTables/pivotTable7.xml><?xml version="1.0" encoding="utf-8"?>
<pivotTableDefinition xmlns="http://schemas.openxmlformats.org/spreadsheetml/2006/main" name="KPIs 7" cacheId="0" dataCaption="" compact="0" compactData="0">
  <location ref="Y4:Z10" firstHeaderRow="0" firstDataRow="1" firstDataCol="0" rowPageCount="1" colPageCount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axis="axisRow" compact="0" outline="0" multipleItemSelectionAllowed="1" showAll="0" sortType="ascending">
      <items>
        <item x="6"/>
        <item x="9"/>
        <item x="18"/>
        <item x="13"/>
        <item x="20"/>
        <item x="2"/>
        <item x="16"/>
        <item x="3"/>
        <item x="7"/>
        <item x="1"/>
        <item x="5"/>
        <item x="10"/>
        <item x="23"/>
        <item x="19"/>
        <item x="22"/>
        <item x="4"/>
        <item x="11"/>
        <item x="14"/>
        <item x="8"/>
        <item x="12"/>
        <item x="21"/>
        <item x="0"/>
        <item x="15"/>
        <item x="17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6"/>
  </rowFields>
  <pageFields>
    <pageField fld="13"/>
  </pageFields>
  <dataFields>
    <dataField name="BOM Count" fld="7" subtotal="count" baseField="0"/>
  </dataFields>
</pivotTableDefinition>
</file>

<file path=xl/pivotTables/pivotTable8.xml><?xml version="1.0" encoding="utf-8"?>
<pivotTableDefinition xmlns="http://schemas.openxmlformats.org/spreadsheetml/2006/main" name="KPIs 8" cacheId="0" dataCaption="" compact="0" compactData="0">
  <location ref="A7:A8" firstHeaderRow="0" firstDataRow="0" firstDataCol="0" rowPageCount="1" colPageCount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axis="axisPage" compact="0" outline="0" multipleItemSelectionAllowed="1" showAll="0">
      <items>
        <item h="1" x="0"/>
        <item x="1"/>
        <item h="1"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pageFields>
    <pageField fld="4"/>
  </pageFields>
  <dataFields>
    <dataField name="Homes Executed" fld="7" subtotal="count" baseField="0"/>
  </dataFields>
</pivotTableDefinition>
</file>

<file path=xl/pivotTables/pivotTable9.xml><?xml version="1.0" encoding="utf-8"?>
<pivotTableDefinition xmlns="http://schemas.openxmlformats.org/spreadsheetml/2006/main" name="KPIs 9" cacheId="0" dataCaption="" compact="0" compactData="0">
  <location ref="A11:D15" firstHeaderRow="0" firstDataRow="2" firstDataCol="0" rowPageCount="1" colPageCount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1"/>
  </rowFields>
  <colFields>
    <field x="-2"/>
  </colFields>
  <pageFields>
    <pageField fld="13"/>
  </pageFields>
  <dataFields>
    <dataField name="Total Sales" fld="6" baseField="0"/>
    <dataField name="Average Price" fld="6" subtotal="average" baseField="0"/>
    <dataField name="Homes Sold" fld="7" subtotal="count" baseField="0"/>
  </dataFields>
</pivotTableDefinition>
</file>

<file path=xl/pivotTables/pivotTable10.xml><?xml version="1.0" encoding="utf-8"?>
<pivotTableDefinition xmlns="http://schemas.openxmlformats.org/spreadsheetml/2006/main" name="KPIs 10" cacheId="0" dataCaption="" compact="0" compactData="0">
  <location ref="O11:P21" firstHeaderRow="0" firstDataRow="1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UB'D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" compact="0" outline="0" multipleItemSelectionAllowed="1" showAll="0">
      <items>
        <item x="0"/>
        <item x="1"/>
        <item x="2"/>
        <item t="default"/>
      </items>
    </pivotField>
    <pivotField name="EXECUTED" compact="0" outline="0" multipleItemSelectionAllowed="1" showAll="0">
      <items>
        <item x="0"/>
        <item x="1"/>
        <item x="2"/>
        <item t="default"/>
      </items>
    </pivotField>
    <pivotField name="ASSISTING 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SALES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EXECU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ONTH EXECUTED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 EXECUTED DATE" compact="0" outline="0" multipleItemSelectionAllowed="1" showAll="0">
      <items>
        <item x="0"/>
        <item x="1"/>
        <item t="default"/>
      </items>
    </pivotField>
    <pivotField name="SCHEDULED CLOS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LOS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AN STATUS" axis="axisRow" compact="0" outline="0" multipleItemSelectionAllowed="1" showAll="0" sortType="ascending">
      <items>
        <item x="6"/>
        <item x="0"/>
        <item x="4"/>
        <item x="7"/>
        <item x="2"/>
        <item x="1"/>
        <item x="3"/>
        <item x="8"/>
        <item x="5"/>
        <item t="default"/>
      </items>
    </pivotField>
    <pivotField name="AMMENDMENT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TEN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LOOR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YER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HONE NUMBER" compact="0" outline="0" multipleItemSelectionAllowed="1" showAll="0">
      <items>
        <item x="0"/>
        <item x="1"/>
        <item t="default"/>
      </items>
    </pivotField>
    <pivotField name="EMAIL" compact="0" outline="0" multipleItemSelectionAllowed="1" showAll="0">
      <items>
        <item x="0"/>
        <item x="1"/>
        <item t="default"/>
      </items>
    </pivotField>
    <pivotField name="address2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A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 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O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TG C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ALTOR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TO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ALTO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OK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dataFields>
    <dataField name="Deals" fld="7" subtotal="count" baseField="0"/>
  </dataFields>
</pivotTableDefinition>
</file>

<file path=xl/tables/table1.xml><?xml version="1.0" encoding="utf-8"?>
<table xmlns="http://schemas.openxmlformats.org/spreadsheetml/2006/main" ref="A2:AH29" displayName="Edwards_Homes" name="Edwards_Homes" id="1">
  <tableColumns count="34">
    <tableColumn name="#" id="1"/>
    <tableColumn name="Split" id="2"/>
    <tableColumn name="Assist" id="3"/>
    <tableColumn name="BUYER'S NAME" id="4"/>
    <tableColumn name="ADDRESS" id="5"/>
    <tableColumn name="City" id="6"/>
    <tableColumn name="State" id="7"/>
    <tableColumn name="Zip" id="8"/>
    <tableColumn name="EXECUTED" id="9"/>
    <tableColumn name="AMMENDMENT TYPE" id="10"/>
    <tableColumn name="PRICE" id="11"/>
    <tableColumn name="SCHEDULED CLOSING" id="12"/>
    <tableColumn name="NEW CLOSING DATE" id="13"/>
    <tableColumn name="EXECUTED DATE" id="14"/>
    <tableColumn name="FLOORPLAN" id="15"/>
    <tableColumn name="ASSISTING AGENT" id="16"/>
    <tableColumn name="LOAN STATUS" id="17"/>
    <tableColumn name="LO NAME" id="18"/>
    <tableColumn name="LO MOBILE PHONE" id="19"/>
    <tableColumn name="MTG CO." id="20"/>
    <tableColumn name="REALTARDS NAME" id="21"/>
    <tableColumn name="REALTOR NUMBER" id="22"/>
    <tableColumn name="BROKER NAME" id="23"/>
    <tableColumn name="BUILDER TOTAL CONTRIBUTION" id="24"/>
    <tableColumn name="Closing Cost Percent" id="25"/>
    <tableColumn name="Closing Cost Total $" id="26"/>
    <tableColumn name="Additional Builder % " id="27"/>
    <tableColumn name="Additional Builder Promotion" id="28"/>
    <tableColumn name="Total C.C. + Contribution " id="29"/>
    <tableColumn name="B.A. Commision Percent" id="30"/>
    <tableColumn name="B.A. Commission " id="31"/>
    <tableColumn name="B.A. Bonus" id="32"/>
    <tableColumn name="B.A. Total Commision " id="33"/>
    <tableColumn name="Closing Cost + B.A. Commision" id="34"/>
  </tableColumns>
  <tableStyleInfo name="CMR_Edwards Homes-2025-style" showColumnStripes="0" showFirstColumn="1" showLastColumn="1" showRowStripes="1"/>
</table>
</file>

<file path=xl/tables/table2.xml><?xml version="1.0" encoding="utf-8"?>
<table xmlns="http://schemas.openxmlformats.org/spreadsheetml/2006/main" ref="A1:I999" displayName="Scoreboard" name="Scoreboard" id="2">
  <autoFilter ref="$A$1:$I$999">
    <filterColumn colId="0">
      <filters>
        <filter val="Angel Alba"/>
        <filter val="Alex Morales"/>
        <filter val="Priscilla Ramos"/>
        <filter val="Edgar Barrio"/>
        <filter val="Juan Amaya"/>
        <filter val="Vada Garcia"/>
        <filter val="Diana Caballero"/>
        <filter val="Mark Morales"/>
        <filter val="Jesse Loya"/>
      </filters>
    </filterColumn>
  </autoFilter>
  <tableColumns count="9">
    <tableColumn name="Agent" id="1"/>
    <tableColumn name="Edwards Personal" id="2"/>
    <tableColumn name="Edwards Assist" id="3"/>
    <tableColumn name="Other Builders" id="4"/>
    <tableColumn name="Resale" id="5"/>
    <tableColumn name="Referrals" id="6"/>
    <tableColumn name="New Home Tier" id="7"/>
    <tableColumn name="Resale Tier" id="8"/>
    <tableColumn name="Notes" id="9"/>
  </tableColumns>
  <tableStyleInfo name="Team Scoreboard-style" showColumnStripes="0" showFirstColumn="1" showLastColumn="1" showRowStripes="1"/>
</table>
</file>

<file path=xl/tables/table3.xml><?xml version="1.0" encoding="utf-8"?>
<table xmlns="http://schemas.openxmlformats.org/spreadsheetml/2006/main" ref="A1:AE9" displayName="Table_1" name="Table_1" id="3">
  <tableColumns count="31">
    <tableColumn name="#" id="1"/>
    <tableColumn name="Assist" id="2"/>
    <tableColumn name="ASSISTING AGENT" id="3"/>
    <tableColumn name="BUYER'S NAME" id="4"/>
    <tableColumn name="ADDRESS" id="5"/>
    <tableColumn name="City" id="6"/>
    <tableColumn name="State" id="7"/>
    <tableColumn name="Zip" id="8"/>
    <tableColumn name="EXECUTED" id="9"/>
    <tableColumn name="SALES PRICE" id="10"/>
    <tableColumn name="SUB'D DATE" id="11"/>
    <tableColumn name="EXECUTED DATE" id="12"/>
    <tableColumn name="MONTH EXECUTED DATE" id="13"/>
    <tableColumn name="YEAR EXECUTED DATE" id="14"/>
    <tableColumn name="SCHEDULED CLOSING" id="15"/>
    <tableColumn name="EXTENSION DATE" id="16"/>
    <tableColumn name="AMMENDMENT TYPE" id="17"/>
    <tableColumn name="FLOORPLAN" id="18"/>
    <tableColumn name="CLOSED DATE" id="19"/>
    <tableColumn name="LOAN TYPE" id="20"/>
    <tableColumn name="LOAN STATUS" id="21"/>
    <tableColumn name="LOAN AMOUNT" id="22"/>
    <tableColumn name="LO NAME" id="23"/>
    <tableColumn name="LO MOBILE PHONE" id="24"/>
    <tableColumn name="LO EMAIL" id="25"/>
    <tableColumn name="MTG CO." id="26"/>
    <tableColumn name="REALTOR PARTNER" id="27"/>
    <tableColumn name="REALTOR NUMBER" id="28"/>
    <tableColumn name="REALTOR EMAIL" id="29"/>
    <tableColumn name="BROKER NAME" id="30"/>
    <tableColumn name="NOTES" id="31"/>
  </tableColumns>
  <tableStyleInfo name="Detail2-El Paso-style" showColumnStripes="0" showFirstColumn="1" showLastColumn="1" showRowStripes="1"/>
</table>
</file>

<file path=xl/tables/table4.xml><?xml version="1.0" encoding="utf-8"?>
<table xmlns="http://schemas.openxmlformats.org/spreadsheetml/2006/main" ref="A1:AE32" displayName="Table_2" name="Table_2" id="4">
  <tableColumns count="31">
    <tableColumn name="#" id="1"/>
    <tableColumn name="Assist" id="2"/>
    <tableColumn name="ASSISTING AGENT" id="3"/>
    <tableColumn name="BUYER'S NAME" id="4"/>
    <tableColumn name="ADDRESS" id="5"/>
    <tableColumn name="City" id="6"/>
    <tableColumn name="State" id="7"/>
    <tableColumn name="Zip" id="8"/>
    <tableColumn name="EXECUTED" id="9"/>
    <tableColumn name="SALES PRICE" id="10"/>
    <tableColumn name="SUB'D DATE" id="11"/>
    <tableColumn name="EXECUTED DATE" id="12"/>
    <tableColumn name="MONTH EXECUTED DATE" id="13"/>
    <tableColumn name="YEAR EXECUTED DATE" id="14"/>
    <tableColumn name="SCHEDULED CLOSING" id="15"/>
    <tableColumn name="EXTENSION DATE" id="16"/>
    <tableColumn name="AMMENDMENT TYPE" id="17"/>
    <tableColumn name="FLOORPLAN" id="18"/>
    <tableColumn name="CLOSED DATE" id="19"/>
    <tableColumn name="LOAN TYPE" id="20"/>
    <tableColumn name="LOAN STATUS" id="21"/>
    <tableColumn name="LOAN AMOUNT" id="22"/>
    <tableColumn name="LO NAME" id="23"/>
    <tableColumn name="LO MOBILE PHONE" id="24"/>
    <tableColumn name="LO EMAIL" id="25"/>
    <tableColumn name="MTG CO." id="26"/>
    <tableColumn name="REALTOR PARTNER" id="27"/>
    <tableColumn name="REALTOR NUMBER" id="28"/>
    <tableColumn name="REALTOR EMAIL" id="29"/>
    <tableColumn name="BROKER NAME" id="30"/>
    <tableColumn name="NOTES" id="31"/>
  </tableColumns>
  <tableStyleInfo name="Detail1-style" showColumnStripes="0" showFirstColumn="1" showLastColumn="1" showRowStripes="1"/>
</table>
</file>

<file path=xl/tables/table5.xml><?xml version="1.0" encoding="utf-8"?>
<table xmlns="http://schemas.openxmlformats.org/spreadsheetml/2006/main" ref="A1:L6" displayName="Table4" name="Table4" id="5">
  <tableColumns count="12">
    <tableColumn name="Address" id="1"/>
    <tableColumn name="Closing Cost (%)" id="2"/>
    <tableColumn name="Closing Cost Total $" id="3"/>
    <tableColumn name="Additional Builder Promotion" id="4"/>
    <tableColumn name="Additional Contribution" id="5"/>
    <tableColumn name="BUILDER TOTAL CONTRIBUTION" id="6"/>
    <tableColumn name="Total Builder Contribution " id="7"/>
    <tableColumn name="B.A. Commision (%)" id="8"/>
    <tableColumn name="B.A. Commission " id="9"/>
    <tableColumn name="B.A. Bonus (%)" id="10"/>
    <tableColumn name="B.A. Total Commision " id="11"/>
    <tableColumn name="Closing Cost + B.A. Commision" id="12"/>
  </tableColumns>
  <tableStyleInfo name="E.H. _ Pipeline - Commissions-style" showColumnStripes="0" showFirstColumn="1" showLastColumn="1" showRowStripes="1"/>
</table>
</file>

<file path=xl/tables/table6.xml><?xml version="1.0" encoding="utf-8"?>
<table xmlns="http://schemas.openxmlformats.org/spreadsheetml/2006/main" ref="A2:AH3" displayName="OtherBuilders" name="OtherBuilders" id="6">
  <autoFilter ref="$A$2:$AH$3"/>
  <tableColumns count="34">
    <tableColumn name="#" id="1"/>
    <tableColumn name="Assist" id="2"/>
    <tableColumn name="ASSISTING AGENT" id="3"/>
    <tableColumn name="BUYER'S NAME" id="4"/>
    <tableColumn name="ADDRESS" id="5"/>
    <tableColumn name="City" id="6"/>
    <tableColumn name="State" id="7"/>
    <tableColumn name="Zip" id="8"/>
    <tableColumn name="EXECUTED" id="9"/>
    <tableColumn name="PRICE" id="10"/>
    <tableColumn name="EXECUTED DATE" id="11"/>
    <tableColumn name="MONTH EXECUTED DATE" id="12"/>
    <tableColumn name="YEAR EXECUTED DATE" id="13"/>
    <tableColumn name="SUBMITTED DATE" id="14"/>
    <tableColumn name="SCHEDULED CLOSING" id="15"/>
    <tableColumn name="EXTENSION DATE" id="16"/>
    <tableColumn name="AMMENDMENT TYPE" id="17"/>
    <tableColumn name="FLOORPLAN" id="18"/>
    <tableColumn name="CLOSED DATE" id="19"/>
    <tableColumn name="LOAN STATUS" id="20"/>
    <tableColumn name="LOAN AMOUNT" id="21"/>
    <tableColumn name="LO NAME" id="22"/>
    <tableColumn name="LO MOBILE PHONE" id="23"/>
    <tableColumn name="LO EMAIL" id="24"/>
    <tableColumn name="MTG CO." id="25"/>
    <tableColumn name="REALTOR PARTNER" id="26"/>
    <tableColumn name="REALTOR NUMBER" id="27"/>
    <tableColumn name="REALTOR EMAIL" id="28"/>
    <tableColumn name="BROKER NAME" id="29"/>
    <tableColumn name="Column 30" id="30"/>
    <tableColumn name="Column 31" id="31"/>
    <tableColumn name="Column 32" id="32"/>
    <tableColumn name="Column 33" id="33"/>
    <tableColumn name="Column 34" id="34"/>
  </tableColumns>
  <tableStyleInfo name="Other Builders _Pipeline-style" showColumnStripes="0" showFirstColumn="1" showLastColumn="1" showRowStripes="1"/>
</table>
</file>

<file path=xl/tables/table7.xml><?xml version="1.0" encoding="utf-8"?>
<table xmlns="http://schemas.openxmlformats.org/spreadsheetml/2006/main" ref="A2:AC3" displayName="Resales" name="Resales" id="7">
  <autoFilter ref="$A$2:$AC$3"/>
  <tableColumns count="29">
    <tableColumn name="#" id="1"/>
    <tableColumn name="Assist" id="2"/>
    <tableColumn name="ASSISTING AGENT" id="3"/>
    <tableColumn name="BUYER'S NAME" id="4"/>
    <tableColumn name="ADDRESS" id="5"/>
    <tableColumn name="City" id="6"/>
    <tableColumn name="State" id="7"/>
    <tableColumn name="Zip" id="8"/>
    <tableColumn name="EXECUTED" id="9"/>
    <tableColumn name="PRICE" id="10"/>
    <tableColumn name="EXECUTED DATE" id="11"/>
    <tableColumn name="MONTH EXECUTED DATE" id="12"/>
    <tableColumn name="YEAR EXECUTED DATE" id="13"/>
    <tableColumn name="SUBMITTED DATE" id="14"/>
    <tableColumn name="SCHEDULED CLOSING" id="15"/>
    <tableColumn name="EXTENSION DATE" id="16"/>
    <tableColumn name="AMMENDMENT TYPE" id="17"/>
    <tableColumn name="FLOORPLAN" id="18"/>
    <tableColumn name="CLOSED DATE" id="19"/>
    <tableColumn name="LOAN STATUS" id="20"/>
    <tableColumn name="LOAN AMOUNT" id="21"/>
    <tableColumn name="LO NAME" id="22"/>
    <tableColumn name="LO MOBILE PHONE" id="23"/>
    <tableColumn name="LO EMAIL" id="24"/>
    <tableColumn name="MTG CO." id="25"/>
    <tableColumn name="REALTOR PARTNER" id="26"/>
    <tableColumn name="REALTOR NUMBER" id="27"/>
    <tableColumn name="REALTOR EMAIL" id="28"/>
    <tableColumn name="BROKER NAME" id="29"/>
  </tableColumns>
  <tableStyleInfo name="Resales - 2025 v2-style" showColumnStripes="0" showFirstColumn="1" showLastColumn="1" showRowStripes="1"/>
</table>
</file>

<file path=xl/tables/table8.xml><?xml version="1.0" encoding="utf-8"?>
<table xmlns="http://schemas.openxmlformats.org/spreadsheetml/2006/main" ref="A1:X29" displayName="Split_Agents" name="Split_Agents" id="8">
  <tableColumns count="24">
    <tableColumn name="#" id="1"/>
    <tableColumn name="ASSISTING AGENT" id="2"/>
    <tableColumn name="BUYER'S NAME" id="3"/>
    <tableColumn name="ADDRESS" id="4"/>
    <tableColumn name="City" id="5"/>
    <tableColumn name="State" id="6"/>
    <tableColumn name="Zip" id="7"/>
    <tableColumn name="EXECUTED" id="8"/>
    <tableColumn name="AMMENDMENT TYPE" id="9"/>
    <tableColumn name="PRICE" id="10"/>
    <tableColumn name="Price (Agent Split)" id="11"/>
    <tableColumn name="EXECUTED DATE" id="12"/>
    <tableColumn name="SCHEDULED CLOSING" id="13"/>
    <tableColumn name="EXTENSION DATE" id="14"/>
    <tableColumn name="FLOORPLAN" id="15"/>
    <tableColumn name="LOAN STATUS" id="16"/>
    <tableColumn name="LO NAME" id="17"/>
    <tableColumn name="LO MOBILE PHONE" id="18"/>
    <tableColumn name="LO EMAIL" id="19"/>
    <tableColumn name="MTG CO." id="20"/>
    <tableColumn name="REALTARDS NAME" id="21"/>
    <tableColumn name="REALTOR NUMBER" id="22"/>
    <tableColumn name="REALTOR EMAIL" id="23"/>
    <tableColumn name="BROKER NAME" id="24"/>
  </tableColumns>
  <tableStyleInfo name="Split Agents for KPIs-style" showColumnStripes="0" showFirstColumn="1" showLastColumn="1" showRowStripes="1"/>
</table>
</file>

<file path=xl/tables/table9.xml><?xml version="1.0" encoding="utf-8"?>
<table xmlns="http://schemas.openxmlformats.org/spreadsheetml/2006/main" ref="A1:A19" displayName="Table1" name="Table1" id="9">
  <tableColumns count="1">
    <tableColumn name="Mortgage Companies" id="1"/>
  </tableColumns>
  <tableStyleInfo name="Lists-style" showColumnStripes="0" showFirstColumn="1" showLastColumn="1" showRowStripes="1"/>
</table>
</file>

<file path=xl/tables/table10.xml><?xml version="1.0" encoding="utf-8"?>
<table xmlns="http://schemas.openxmlformats.org/spreadsheetml/2006/main" ref="C1:C11" displayName="Table3" name="Table3" id="10">
  <tableColumns count="1">
    <tableColumn name="Broker Name" id="1"/>
  </tableColumns>
  <tableStyleInfo name="Lists-style 2" showColumnStripes="0" showFirstColumn="1" showLastColumn="1" showRowStripes="1"/>
</table>
</file>

<file path=xl/tables/table11.xml><?xml version="1.0" encoding="utf-8"?>
<table xmlns="http://schemas.openxmlformats.org/spreadsheetml/2006/main" ref="E1:E21" displayName="Table5" name="Table5" id="11">
  <tableColumns count="1">
    <tableColumn name="Loan Status" id="1"/>
  </tableColumns>
  <tableStyleInfo name="Lists-style 3" showColumnStripes="0" showFirstColumn="1" showLastColumn="1" showRowStripes="1"/>
</table>
</file>

<file path=xl/tables/table12.xml><?xml version="1.0" encoding="utf-8"?>
<table xmlns="http://schemas.openxmlformats.org/spreadsheetml/2006/main" ref="G1:G10" displayName="Table6" name="Table6" id="12">
  <tableColumns count="1">
    <tableColumn name="Ammendment Type" id="1"/>
  </tableColumns>
  <tableStyleInfo name="Lists-style 4" showColumnStripes="0" showFirstColumn="1" showLastColumn="1" showRowStripes="1"/>
</table>
</file>

<file path=xl/tables/table13.xml><?xml version="1.0" encoding="utf-8"?>
<table xmlns="http://schemas.openxmlformats.org/spreadsheetml/2006/main" ref="I1:I1002" displayName="ActiveRoster" name="ActiveRoster" id="13">
  <tableColumns count="1">
    <tableColumn name="Agent" id="1"/>
  </tableColumns>
  <tableStyleInfo name="Lists-style 5" showColumnStripes="0" showFirstColumn="1" showLastColumn="1" showRowStripes="1"/>
</table>
</file>

<file path=xl/tables/table14.xml><?xml version="1.0" encoding="utf-8"?>
<table xmlns="http://schemas.openxmlformats.org/spreadsheetml/2006/main" ref="K1:K1002" displayName="FullRoster" name="FullRoster" id="14">
  <tableColumns count="1">
    <tableColumn name="Agent" id="1"/>
  </tableColumns>
  <tableStyleInfo name="Lists-style 6" showColumnStripes="0" showFirstColumn="1" showLastColumn="1" showRowStripes="1"/>
</table>
</file>

<file path=xl/tables/table15.xml><?xml version="1.0" encoding="utf-8"?>
<table xmlns="http://schemas.openxmlformats.org/spreadsheetml/2006/main" ref="M1:Q40" displayName="AuxTable1" name="AuxTable1" id="15">
  <autoFilter ref="$M$1:$Q$40"/>
  <tableColumns count="5">
    <tableColumn name="Agent" id="1"/>
    <tableColumn name="Address" id="2"/>
    <tableColumn name="Sales Price" id="3"/>
    <tableColumn name="Realtor Partner" id="4"/>
    <tableColumn name="Factor" id="5"/>
  </tableColumns>
  <tableStyleInfo name="Lists-style 7" showColumnStripes="0" showFirstColumn="1" showLastColumn="1" showRowStripes="1"/>
</table>
</file>

<file path=xl/tables/table16.xml><?xml version="1.0" encoding="utf-8"?>
<table xmlns="http://schemas.openxmlformats.org/spreadsheetml/2006/main" headerRowCount="0" ref="A2:BM40" displayName="Table1_2" name="Table1_2" id="16">
  <tableColumns count="6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</tableColumns>
  <tableStyleInfo name="DAG_Pipeline-Termina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3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9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Relationship Id="rId17" Type="http://schemas.openxmlformats.org/officeDocument/2006/relationships/table" Target="../tables/table15.xml"/><Relationship Id="rId16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4.0"/>
    <col customWidth="1" min="2" max="2" width="9.75"/>
    <col customWidth="1" min="3" max="3" width="14.38"/>
    <col customWidth="1" min="4" max="4" width="18.88"/>
    <col customWidth="1" min="5" max="5" width="22.13"/>
    <col customWidth="1" min="9" max="9" width="17.25"/>
    <col customWidth="1" min="10" max="10" width="20.88"/>
    <col customWidth="1" min="11" max="11" width="14.25"/>
    <col customWidth="1" min="12" max="12" width="19.63"/>
    <col customWidth="1" min="13" max="13" width="20.38"/>
    <col customWidth="1" min="14" max="14" width="17.0"/>
    <col customWidth="1" min="15" max="15" width="18.5"/>
    <col customWidth="1" min="16" max="16" width="17.0"/>
    <col customWidth="1" min="17" max="17" width="21.25"/>
    <col customWidth="1" min="18" max="20" width="17.38"/>
    <col customWidth="1" min="21" max="21" width="17.25"/>
    <col customWidth="1" min="22" max="23" width="16.0"/>
    <col customWidth="1" min="24" max="24" width="25.0"/>
    <col customWidth="1" min="25" max="25" width="21.38"/>
    <col customWidth="1" min="26" max="26" width="20.38"/>
    <col customWidth="1" min="27" max="27" width="19.63"/>
    <col customWidth="1" min="28" max="28" width="18.38"/>
    <col customWidth="1" min="29" max="29" width="20.25"/>
    <col customWidth="1" min="30" max="30" width="23.13"/>
    <col customWidth="1" min="31" max="31" width="27.0"/>
    <col customWidth="1" min="32" max="32" width="20.75"/>
    <col customWidth="1" min="33" max="33" width="19.0"/>
    <col customWidth="1" min="34" max="34" width="26.63"/>
  </cols>
  <sheetData>
    <row r="1">
      <c r="A1" s="1"/>
      <c r="B1" s="2"/>
      <c r="C1" s="3"/>
      <c r="D1" s="4" t="s">
        <v>0</v>
      </c>
      <c r="E1" s="5"/>
      <c r="F1" s="3"/>
      <c r="G1" s="5"/>
      <c r="H1" s="5"/>
      <c r="I1" s="5"/>
      <c r="J1" s="5"/>
      <c r="K1" s="5"/>
      <c r="L1" s="5"/>
      <c r="M1" s="5"/>
      <c r="N1" s="5"/>
      <c r="O1" s="5"/>
      <c r="P1" s="6"/>
      <c r="Q1" s="7" t="s">
        <v>1</v>
      </c>
      <c r="R1" s="8"/>
      <c r="S1" s="8"/>
      <c r="T1" s="8"/>
      <c r="U1" s="8"/>
      <c r="V1" s="9"/>
      <c r="W1" s="10"/>
      <c r="X1" s="7" t="s">
        <v>2</v>
      </c>
      <c r="Y1" s="11"/>
      <c r="Z1" s="11"/>
      <c r="AA1" s="11"/>
      <c r="AB1" s="11"/>
      <c r="AC1" s="11"/>
      <c r="AD1" s="11"/>
      <c r="AE1" s="11"/>
      <c r="AF1" s="11"/>
      <c r="AG1" s="11"/>
      <c r="AH1" s="12"/>
    </row>
    <row r="2" ht="22.5" customHeight="1">
      <c r="A2" s="13" t="s">
        <v>3</v>
      </c>
      <c r="B2" s="14" t="s">
        <v>4</v>
      </c>
      <c r="C2" s="14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4" t="s">
        <v>11</v>
      </c>
      <c r="J2" s="14" t="s">
        <v>12</v>
      </c>
      <c r="K2" s="15" t="s">
        <v>13</v>
      </c>
      <c r="L2" s="13" t="s">
        <v>14</v>
      </c>
      <c r="M2" s="14" t="s">
        <v>15</v>
      </c>
      <c r="N2" s="13" t="s">
        <v>16</v>
      </c>
      <c r="O2" s="14" t="s">
        <v>17</v>
      </c>
      <c r="P2" s="13" t="s">
        <v>18</v>
      </c>
      <c r="Q2" s="16" t="s">
        <v>19</v>
      </c>
      <c r="R2" s="13" t="s">
        <v>20</v>
      </c>
      <c r="S2" s="13" t="s">
        <v>21</v>
      </c>
      <c r="T2" s="13" t="s">
        <v>22</v>
      </c>
      <c r="U2" s="13" t="s">
        <v>23</v>
      </c>
      <c r="V2" s="17" t="s">
        <v>24</v>
      </c>
      <c r="W2" s="13" t="s">
        <v>25</v>
      </c>
      <c r="X2" s="18" t="s">
        <v>26</v>
      </c>
      <c r="Y2" s="19" t="s">
        <v>27</v>
      </c>
      <c r="Z2" s="19" t="s">
        <v>28</v>
      </c>
      <c r="AA2" s="14" t="s">
        <v>29</v>
      </c>
      <c r="AB2" s="19" t="s">
        <v>30</v>
      </c>
      <c r="AC2" s="19" t="s">
        <v>31</v>
      </c>
      <c r="AD2" s="19" t="s">
        <v>32</v>
      </c>
      <c r="AE2" s="19" t="s">
        <v>33</v>
      </c>
      <c r="AF2" s="19" t="s">
        <v>34</v>
      </c>
      <c r="AG2" s="19" t="s">
        <v>35</v>
      </c>
      <c r="AH2" s="15" t="s">
        <v>36</v>
      </c>
    </row>
    <row r="3" ht="22.5" customHeight="1">
      <c r="A3" s="20">
        <v>10.0</v>
      </c>
      <c r="B3" s="21">
        <v>0.5</v>
      </c>
      <c r="C3" s="22" t="s">
        <v>37</v>
      </c>
      <c r="D3" s="23" t="s">
        <v>38</v>
      </c>
      <c r="E3" s="23" t="s">
        <v>39</v>
      </c>
      <c r="F3" s="22" t="s">
        <v>40</v>
      </c>
      <c r="G3" s="22" t="s">
        <v>41</v>
      </c>
      <c r="H3" s="22">
        <v>79928.0</v>
      </c>
      <c r="I3" s="22" t="s">
        <v>42</v>
      </c>
      <c r="J3" s="22" t="s">
        <v>43</v>
      </c>
      <c r="K3" s="24">
        <v>277950.0</v>
      </c>
      <c r="L3" s="25">
        <v>45793.0</v>
      </c>
      <c r="M3" s="25">
        <v>45835.0</v>
      </c>
      <c r="N3" s="25">
        <v>45758.0</v>
      </c>
      <c r="O3" s="23" t="s">
        <v>44</v>
      </c>
      <c r="P3" s="22" t="s">
        <v>45</v>
      </c>
      <c r="Q3" s="26" t="s">
        <v>46</v>
      </c>
      <c r="R3" s="23" t="s">
        <v>47</v>
      </c>
      <c r="S3" s="23" t="s">
        <v>48</v>
      </c>
      <c r="T3" s="22" t="s">
        <v>49</v>
      </c>
      <c r="U3" s="23" t="s">
        <v>50</v>
      </c>
      <c r="V3" s="27" t="s">
        <v>51</v>
      </c>
      <c r="W3" s="23" t="s">
        <v>52</v>
      </c>
      <c r="X3" s="28">
        <v>0.06</v>
      </c>
      <c r="Y3" s="29">
        <v>0.03</v>
      </c>
      <c r="Z3" s="30"/>
      <c r="AA3" s="31"/>
      <c r="AB3" s="30"/>
      <c r="AC3" s="30"/>
      <c r="AD3" s="31"/>
      <c r="AE3" s="30"/>
      <c r="AF3" s="30"/>
      <c r="AG3" s="30"/>
      <c r="AH3" s="30"/>
    </row>
    <row r="4" ht="22.5" customHeight="1">
      <c r="A4" s="20">
        <v>4.0</v>
      </c>
      <c r="B4" s="32"/>
      <c r="C4" s="33"/>
      <c r="D4" s="23" t="s">
        <v>53</v>
      </c>
      <c r="E4" s="23" t="s">
        <v>54</v>
      </c>
      <c r="F4" s="33"/>
      <c r="G4" s="33"/>
      <c r="H4" s="33"/>
      <c r="I4" s="22" t="s">
        <v>42</v>
      </c>
      <c r="J4" s="33"/>
      <c r="K4" s="34">
        <v>264950.0</v>
      </c>
      <c r="L4" s="25">
        <v>45805.0</v>
      </c>
      <c r="M4" s="35"/>
      <c r="N4" s="25">
        <v>45845.0</v>
      </c>
      <c r="O4" s="36"/>
      <c r="P4" s="33"/>
      <c r="Q4" s="37"/>
      <c r="R4" s="36"/>
      <c r="S4" s="36"/>
      <c r="T4" s="33"/>
      <c r="U4" s="36"/>
      <c r="V4" s="38"/>
      <c r="W4" s="36"/>
      <c r="X4" s="39"/>
      <c r="Y4" s="31"/>
      <c r="Z4" s="30"/>
      <c r="AA4" s="31"/>
      <c r="AB4" s="30"/>
      <c r="AC4" s="30"/>
      <c r="AD4" s="31"/>
      <c r="AE4" s="30"/>
      <c r="AF4" s="30"/>
      <c r="AG4" s="30"/>
      <c r="AH4" s="30"/>
    </row>
    <row r="5" ht="22.5" customHeight="1">
      <c r="A5" s="20">
        <v>1.0</v>
      </c>
      <c r="B5" s="32"/>
      <c r="C5" s="33"/>
      <c r="D5" s="36"/>
      <c r="E5" s="23" t="s">
        <v>55</v>
      </c>
      <c r="F5" s="33"/>
      <c r="G5" s="33"/>
      <c r="H5" s="33"/>
      <c r="I5" s="33"/>
      <c r="J5" s="33"/>
      <c r="K5" s="30"/>
      <c r="L5" s="40">
        <v>45812.0</v>
      </c>
      <c r="M5" s="41"/>
      <c r="N5" s="40">
        <v>45784.0</v>
      </c>
      <c r="O5" s="36"/>
      <c r="P5" s="33"/>
      <c r="Q5" s="26" t="s">
        <v>56</v>
      </c>
      <c r="R5" s="36"/>
      <c r="S5" s="36"/>
      <c r="T5" s="22" t="s">
        <v>49</v>
      </c>
      <c r="U5" s="36"/>
      <c r="V5" s="36"/>
      <c r="W5" s="36"/>
      <c r="X5" s="28"/>
      <c r="Y5" s="29"/>
      <c r="Z5" s="24"/>
      <c r="AA5" s="29"/>
      <c r="AB5" s="30"/>
      <c r="AC5" s="30"/>
      <c r="AD5" s="31"/>
      <c r="AE5" s="30"/>
      <c r="AF5" s="30"/>
      <c r="AG5" s="30"/>
      <c r="AH5" s="30"/>
    </row>
    <row r="6" ht="22.5" customHeight="1">
      <c r="A6" s="20">
        <v>5.0</v>
      </c>
      <c r="B6" s="32"/>
      <c r="C6" s="33"/>
      <c r="D6" s="36"/>
      <c r="E6" s="23" t="s">
        <v>57</v>
      </c>
      <c r="F6" s="33"/>
      <c r="G6" s="33"/>
      <c r="H6" s="33"/>
      <c r="I6" s="33"/>
      <c r="J6" s="33"/>
      <c r="K6" s="30"/>
      <c r="L6" s="25">
        <v>45818.0</v>
      </c>
      <c r="M6" s="25">
        <v>45826.0</v>
      </c>
      <c r="N6" s="25">
        <v>45790.0</v>
      </c>
      <c r="O6" s="36"/>
      <c r="P6" s="33"/>
      <c r="Q6" s="37"/>
      <c r="R6" s="36"/>
      <c r="S6" s="36"/>
      <c r="T6" s="33"/>
      <c r="U6" s="36"/>
      <c r="V6" s="38"/>
      <c r="W6" s="36"/>
      <c r="X6" s="39"/>
      <c r="Y6" s="31"/>
      <c r="Z6" s="30"/>
      <c r="AA6" s="31"/>
      <c r="AB6" s="30"/>
      <c r="AC6" s="30"/>
      <c r="AD6" s="31"/>
      <c r="AE6" s="30"/>
      <c r="AF6" s="30"/>
      <c r="AG6" s="30"/>
      <c r="AH6" s="30"/>
    </row>
    <row r="7" ht="22.5" customHeight="1">
      <c r="A7" s="42">
        <v>2.0</v>
      </c>
      <c r="B7" s="43"/>
      <c r="C7" s="44" t="s">
        <v>37</v>
      </c>
      <c r="D7" s="45"/>
      <c r="E7" s="46" t="s">
        <v>58</v>
      </c>
      <c r="F7" s="44" t="s">
        <v>40</v>
      </c>
      <c r="G7" s="44" t="s">
        <v>41</v>
      </c>
      <c r="H7" s="44">
        <v>79928.0</v>
      </c>
      <c r="I7" s="44" t="s">
        <v>42</v>
      </c>
      <c r="J7" s="47"/>
      <c r="K7" s="48">
        <v>282950.0</v>
      </c>
      <c r="L7" s="49">
        <v>45826.0</v>
      </c>
      <c r="M7" s="50">
        <v>45831.0</v>
      </c>
      <c r="N7" s="49">
        <v>45799.0</v>
      </c>
      <c r="O7" s="46" t="s">
        <v>59</v>
      </c>
      <c r="P7" s="44"/>
      <c r="Q7" s="51"/>
      <c r="R7" s="46" t="s">
        <v>60</v>
      </c>
      <c r="S7" s="46" t="s">
        <v>61</v>
      </c>
      <c r="T7" s="44" t="s">
        <v>49</v>
      </c>
      <c r="U7" s="46" t="s">
        <v>62</v>
      </c>
      <c r="V7" s="52" t="s">
        <v>63</v>
      </c>
      <c r="W7" s="46" t="s">
        <v>64</v>
      </c>
      <c r="X7" s="53"/>
      <c r="Y7" s="54"/>
      <c r="Z7" s="55"/>
      <c r="AA7" s="54"/>
      <c r="AB7" s="55"/>
      <c r="AC7" s="55"/>
      <c r="AD7" s="54"/>
      <c r="AE7" s="55"/>
      <c r="AF7" s="55"/>
      <c r="AG7" s="55"/>
      <c r="AH7" s="55"/>
    </row>
    <row r="8" ht="22.5" customHeight="1">
      <c r="A8" s="20">
        <v>6.0</v>
      </c>
      <c r="B8" s="32"/>
      <c r="C8" s="33"/>
      <c r="D8" s="36"/>
      <c r="E8" s="23" t="s">
        <v>65</v>
      </c>
      <c r="F8" s="33"/>
      <c r="G8" s="33"/>
      <c r="H8" s="33"/>
      <c r="I8" s="33"/>
      <c r="J8" s="33"/>
      <c r="K8" s="30"/>
      <c r="L8" s="40">
        <v>45827.0</v>
      </c>
      <c r="M8" s="41"/>
      <c r="N8" s="41"/>
      <c r="O8" s="36"/>
      <c r="P8" s="33"/>
      <c r="Q8" s="37"/>
      <c r="R8" s="36"/>
      <c r="S8" s="36"/>
      <c r="T8" s="33"/>
      <c r="U8" s="36"/>
      <c r="V8" s="36"/>
      <c r="W8" s="36"/>
      <c r="X8" s="39"/>
      <c r="Y8" s="31"/>
      <c r="Z8" s="30"/>
      <c r="AA8" s="31"/>
      <c r="AB8" s="30"/>
      <c r="AC8" s="30"/>
      <c r="AD8" s="31"/>
      <c r="AE8" s="30"/>
      <c r="AF8" s="30"/>
      <c r="AG8" s="30"/>
      <c r="AH8" s="30"/>
    </row>
    <row r="9" ht="22.5" customHeight="1">
      <c r="A9" s="20">
        <v>3.0</v>
      </c>
      <c r="B9" s="32"/>
      <c r="C9" s="33"/>
      <c r="D9" s="36"/>
      <c r="E9" s="23" t="s">
        <v>66</v>
      </c>
      <c r="F9" s="33"/>
      <c r="G9" s="33"/>
      <c r="H9" s="33"/>
      <c r="I9" s="33"/>
      <c r="J9" s="33"/>
      <c r="K9" s="30"/>
      <c r="L9" s="25">
        <v>45831.0</v>
      </c>
      <c r="M9" s="35"/>
      <c r="N9" s="35"/>
      <c r="O9" s="36"/>
      <c r="P9" s="33"/>
      <c r="Q9" s="37"/>
      <c r="R9" s="36"/>
      <c r="S9" s="36"/>
      <c r="T9" s="33"/>
      <c r="U9" s="36"/>
      <c r="V9" s="38"/>
      <c r="W9" s="36"/>
      <c r="X9" s="39"/>
      <c r="Y9" s="31"/>
      <c r="Z9" s="30"/>
      <c r="AA9" s="31"/>
      <c r="AB9" s="30"/>
      <c r="AC9" s="30"/>
      <c r="AD9" s="31"/>
      <c r="AE9" s="30"/>
      <c r="AF9" s="30"/>
      <c r="AG9" s="30"/>
      <c r="AH9" s="30"/>
    </row>
    <row r="10" ht="22.5" customHeight="1">
      <c r="A10" s="20">
        <v>15.0</v>
      </c>
      <c r="B10" s="21">
        <v>1.0</v>
      </c>
      <c r="C10" s="22" t="s">
        <v>37</v>
      </c>
      <c r="D10" s="23" t="s">
        <v>67</v>
      </c>
      <c r="E10" s="23" t="s">
        <v>68</v>
      </c>
      <c r="F10" s="22" t="s">
        <v>40</v>
      </c>
      <c r="G10" s="22" t="s">
        <v>41</v>
      </c>
      <c r="H10" s="22">
        <v>79924.0</v>
      </c>
      <c r="I10" s="22" t="s">
        <v>42</v>
      </c>
      <c r="J10" s="22" t="s">
        <v>43</v>
      </c>
      <c r="K10" s="24">
        <v>259950.0</v>
      </c>
      <c r="L10" s="25">
        <v>45838.0</v>
      </c>
      <c r="M10" s="25">
        <v>45838.0</v>
      </c>
      <c r="N10" s="25">
        <v>45818.0</v>
      </c>
      <c r="O10" s="23" t="s">
        <v>69</v>
      </c>
      <c r="P10" s="22" t="s">
        <v>45</v>
      </c>
      <c r="Q10" s="26" t="s">
        <v>70</v>
      </c>
      <c r="R10" s="23" t="s">
        <v>71</v>
      </c>
      <c r="S10" s="23" t="s">
        <v>72</v>
      </c>
      <c r="T10" s="22" t="s">
        <v>49</v>
      </c>
      <c r="U10" s="23" t="s">
        <v>73</v>
      </c>
      <c r="V10" s="27" t="s">
        <v>74</v>
      </c>
      <c r="W10" s="23" t="s">
        <v>75</v>
      </c>
      <c r="X10" s="28">
        <v>0.06</v>
      </c>
      <c r="Y10" s="29">
        <v>0.03</v>
      </c>
      <c r="Z10" s="30"/>
      <c r="AA10" s="31"/>
      <c r="AB10" s="30"/>
      <c r="AC10" s="30"/>
      <c r="AD10" s="31"/>
      <c r="AE10" s="24">
        <v>4.0</v>
      </c>
      <c r="AF10" s="24">
        <v>0.01</v>
      </c>
      <c r="AG10" s="30"/>
      <c r="AH10" s="30"/>
    </row>
    <row r="11" ht="22.5" customHeight="1">
      <c r="A11" s="20">
        <v>16.0</v>
      </c>
      <c r="B11" s="21">
        <v>1.25</v>
      </c>
      <c r="C11" s="22" t="s">
        <v>76</v>
      </c>
      <c r="D11" s="23" t="s">
        <v>77</v>
      </c>
      <c r="E11" s="23" t="s">
        <v>78</v>
      </c>
      <c r="F11" s="22" t="s">
        <v>40</v>
      </c>
      <c r="G11" s="22" t="s">
        <v>41</v>
      </c>
      <c r="H11" s="22">
        <v>79928.0</v>
      </c>
      <c r="I11" s="22" t="s">
        <v>42</v>
      </c>
      <c r="J11" s="22" t="s">
        <v>43</v>
      </c>
      <c r="K11" s="24">
        <v>346950.0</v>
      </c>
      <c r="L11" s="25">
        <v>45877.0</v>
      </c>
      <c r="M11" s="35"/>
      <c r="N11" s="40">
        <v>45831.0</v>
      </c>
      <c r="O11" s="23" t="s">
        <v>79</v>
      </c>
      <c r="P11" s="22" t="s">
        <v>80</v>
      </c>
      <c r="Q11" s="37"/>
      <c r="R11" s="23" t="s">
        <v>81</v>
      </c>
      <c r="S11" s="23" t="s">
        <v>82</v>
      </c>
      <c r="T11" s="22" t="s">
        <v>83</v>
      </c>
      <c r="U11" s="23" t="s">
        <v>84</v>
      </c>
      <c r="V11" s="27" t="s">
        <v>85</v>
      </c>
      <c r="W11" s="23" t="s">
        <v>86</v>
      </c>
      <c r="X11" s="28">
        <v>0.06</v>
      </c>
      <c r="Y11" s="29">
        <v>0.03</v>
      </c>
      <c r="Z11" s="24">
        <v>6.0</v>
      </c>
      <c r="AA11" s="31"/>
      <c r="AB11" s="30"/>
      <c r="AC11" s="30"/>
      <c r="AD11" s="31"/>
      <c r="AE11" s="30"/>
      <c r="AF11" s="30"/>
      <c r="AG11" s="30"/>
      <c r="AH11" s="30"/>
    </row>
    <row r="12" ht="22.5" customHeight="1">
      <c r="A12" s="20">
        <v>7.0</v>
      </c>
      <c r="B12" s="32"/>
      <c r="C12" s="33"/>
      <c r="D12" s="36"/>
      <c r="E12" s="23" t="s">
        <v>87</v>
      </c>
      <c r="F12" s="33"/>
      <c r="G12" s="33"/>
      <c r="H12" s="33"/>
      <c r="I12" s="33"/>
      <c r="J12" s="33"/>
      <c r="K12" s="30"/>
      <c r="L12" s="41"/>
      <c r="M12" s="41"/>
      <c r="N12" s="41"/>
      <c r="O12" s="36"/>
      <c r="P12" s="33"/>
      <c r="Q12" s="37"/>
      <c r="R12" s="36"/>
      <c r="S12" s="36"/>
      <c r="T12" s="33"/>
      <c r="U12" s="36"/>
      <c r="V12" s="36"/>
      <c r="W12" s="36"/>
      <c r="X12" s="39"/>
      <c r="Y12" s="31"/>
      <c r="Z12" s="30"/>
      <c r="AA12" s="31"/>
      <c r="AB12" s="30"/>
      <c r="AC12" s="30"/>
      <c r="AD12" s="31"/>
      <c r="AE12" s="30"/>
      <c r="AF12" s="30"/>
      <c r="AG12" s="30"/>
      <c r="AH12" s="30"/>
    </row>
    <row r="13" ht="22.5" customHeight="1">
      <c r="A13" s="20">
        <v>8.0</v>
      </c>
      <c r="B13" s="32"/>
      <c r="C13" s="33"/>
      <c r="D13" s="36"/>
      <c r="E13" s="23" t="s">
        <v>88</v>
      </c>
      <c r="F13" s="33"/>
      <c r="G13" s="33"/>
      <c r="H13" s="33"/>
      <c r="I13" s="33"/>
      <c r="J13" s="33"/>
      <c r="K13" s="30"/>
      <c r="L13" s="35"/>
      <c r="M13" s="41"/>
      <c r="N13" s="35"/>
      <c r="O13" s="36"/>
      <c r="P13" s="33"/>
      <c r="Q13" s="37"/>
      <c r="R13" s="36"/>
      <c r="S13" s="36"/>
      <c r="T13" s="33"/>
      <c r="U13" s="36"/>
      <c r="V13" s="38"/>
      <c r="W13" s="36"/>
      <c r="X13" s="39"/>
      <c r="Y13" s="31"/>
      <c r="Z13" s="30"/>
      <c r="AA13" s="31"/>
      <c r="AB13" s="30"/>
      <c r="AC13" s="30"/>
      <c r="AD13" s="31"/>
      <c r="AE13" s="30"/>
      <c r="AF13" s="30"/>
      <c r="AG13" s="30"/>
      <c r="AH13" s="30"/>
    </row>
    <row r="14" ht="22.5" customHeight="1">
      <c r="A14" s="20">
        <v>9.0</v>
      </c>
      <c r="B14" s="32"/>
      <c r="C14" s="33"/>
      <c r="D14" s="36"/>
      <c r="E14" s="23" t="s">
        <v>89</v>
      </c>
      <c r="F14" s="33"/>
      <c r="G14" s="33"/>
      <c r="H14" s="33"/>
      <c r="I14" s="33"/>
      <c r="J14" s="33"/>
      <c r="K14" s="30"/>
      <c r="L14" s="35"/>
      <c r="M14" s="35"/>
      <c r="N14" s="41"/>
      <c r="O14" s="36"/>
      <c r="P14" s="33"/>
      <c r="Q14" s="37"/>
      <c r="R14" s="36"/>
      <c r="S14" s="36"/>
      <c r="T14" s="33"/>
      <c r="U14" s="36"/>
      <c r="V14" s="38"/>
      <c r="W14" s="36"/>
      <c r="X14" s="39"/>
      <c r="Y14" s="31"/>
      <c r="Z14" s="30"/>
      <c r="AA14" s="31"/>
      <c r="AB14" s="30"/>
      <c r="AC14" s="30"/>
      <c r="AD14" s="31"/>
      <c r="AE14" s="30"/>
      <c r="AF14" s="30"/>
      <c r="AG14" s="30"/>
      <c r="AH14" s="30"/>
    </row>
    <row r="15" ht="22.5" customHeight="1">
      <c r="A15" s="20">
        <v>11.0</v>
      </c>
      <c r="B15" s="32"/>
      <c r="C15" s="33"/>
      <c r="D15" s="36"/>
      <c r="E15" s="23" t="s">
        <v>90</v>
      </c>
      <c r="F15" s="33"/>
      <c r="G15" s="33"/>
      <c r="H15" s="33"/>
      <c r="I15" s="33"/>
      <c r="J15" s="33"/>
      <c r="K15" s="30"/>
      <c r="L15" s="35"/>
      <c r="M15" s="35"/>
      <c r="N15" s="35"/>
      <c r="O15" s="36"/>
      <c r="P15" s="33"/>
      <c r="Q15" s="37"/>
      <c r="R15" s="36"/>
      <c r="S15" s="36"/>
      <c r="T15" s="33"/>
      <c r="U15" s="36"/>
      <c r="V15" s="38"/>
      <c r="W15" s="36"/>
      <c r="X15" s="39"/>
      <c r="Y15" s="31"/>
      <c r="Z15" s="30"/>
      <c r="AA15" s="31"/>
      <c r="AB15" s="30"/>
      <c r="AC15" s="30"/>
      <c r="AD15" s="31"/>
      <c r="AE15" s="30"/>
      <c r="AF15" s="30"/>
      <c r="AG15" s="30"/>
      <c r="AH15" s="30"/>
    </row>
    <row r="16" ht="22.5" customHeight="1">
      <c r="A16" s="20">
        <v>12.0</v>
      </c>
      <c r="B16" s="32"/>
      <c r="C16" s="33"/>
      <c r="D16" s="36"/>
      <c r="E16" s="23" t="s">
        <v>91</v>
      </c>
      <c r="F16" s="33"/>
      <c r="G16" s="33"/>
      <c r="H16" s="33"/>
      <c r="I16" s="33"/>
      <c r="J16" s="33"/>
      <c r="K16" s="30"/>
      <c r="L16" s="35"/>
      <c r="M16" s="41"/>
      <c r="N16" s="35"/>
      <c r="O16" s="36"/>
      <c r="P16" s="33"/>
      <c r="Q16" s="37"/>
      <c r="R16" s="36"/>
      <c r="S16" s="36"/>
      <c r="T16" s="33"/>
      <c r="U16" s="36"/>
      <c r="V16" s="38"/>
      <c r="W16" s="36"/>
      <c r="X16" s="39"/>
      <c r="Y16" s="31"/>
      <c r="Z16" s="30"/>
      <c r="AA16" s="31"/>
      <c r="AB16" s="30"/>
      <c r="AC16" s="30"/>
      <c r="AD16" s="31"/>
      <c r="AE16" s="30"/>
      <c r="AF16" s="30"/>
      <c r="AG16" s="30"/>
      <c r="AH16" s="30"/>
    </row>
    <row r="17" ht="22.5" customHeight="1">
      <c r="A17" s="20">
        <v>13.0</v>
      </c>
      <c r="B17" s="32"/>
      <c r="C17" s="33"/>
      <c r="D17" s="36"/>
      <c r="E17" s="23" t="s">
        <v>92</v>
      </c>
      <c r="F17" s="33"/>
      <c r="G17" s="33"/>
      <c r="H17" s="33"/>
      <c r="I17" s="33"/>
      <c r="J17" s="33"/>
      <c r="K17" s="30"/>
      <c r="L17" s="35"/>
      <c r="M17" s="35"/>
      <c r="N17" s="25">
        <v>45834.0</v>
      </c>
      <c r="O17" s="36"/>
      <c r="P17" s="33"/>
      <c r="Q17" s="37"/>
      <c r="R17" s="36"/>
      <c r="S17" s="36"/>
      <c r="T17" s="33"/>
      <c r="U17" s="36"/>
      <c r="V17" s="38"/>
      <c r="W17" s="36"/>
      <c r="X17" s="39"/>
      <c r="Y17" s="31"/>
      <c r="Z17" s="30"/>
      <c r="AA17" s="31"/>
      <c r="AB17" s="30"/>
      <c r="AC17" s="30"/>
      <c r="AD17" s="31"/>
      <c r="AE17" s="30"/>
      <c r="AF17" s="30"/>
      <c r="AG17" s="30"/>
      <c r="AH17" s="30"/>
    </row>
    <row r="18" ht="22.5" customHeight="1">
      <c r="A18" s="20">
        <v>14.0</v>
      </c>
      <c r="B18" s="32"/>
      <c r="C18" s="33"/>
      <c r="D18" s="36"/>
      <c r="E18" s="23" t="s">
        <v>93</v>
      </c>
      <c r="F18" s="33"/>
      <c r="G18" s="33"/>
      <c r="H18" s="33"/>
      <c r="I18" s="33"/>
      <c r="J18" s="33"/>
      <c r="K18" s="30"/>
      <c r="L18" s="35"/>
      <c r="M18" s="35"/>
      <c r="N18" s="41"/>
      <c r="O18" s="36"/>
      <c r="P18" s="33"/>
      <c r="Q18" s="37"/>
      <c r="R18" s="36"/>
      <c r="S18" s="36"/>
      <c r="T18" s="33"/>
      <c r="U18" s="36"/>
      <c r="V18" s="38"/>
      <c r="W18" s="36"/>
      <c r="X18" s="39"/>
      <c r="Y18" s="31"/>
      <c r="Z18" s="30"/>
      <c r="AA18" s="31"/>
      <c r="AB18" s="30"/>
      <c r="AC18" s="30"/>
      <c r="AD18" s="31"/>
      <c r="AE18" s="30"/>
      <c r="AF18" s="30"/>
      <c r="AG18" s="30"/>
      <c r="AH18" s="30"/>
    </row>
    <row r="19" ht="22.5" customHeight="1">
      <c r="A19" s="20">
        <v>17.0</v>
      </c>
      <c r="B19" s="32"/>
      <c r="C19" s="33"/>
      <c r="D19" s="36"/>
      <c r="E19" s="36"/>
      <c r="F19" s="33"/>
      <c r="G19" s="33"/>
      <c r="H19" s="33"/>
      <c r="I19" s="33"/>
      <c r="J19" s="33"/>
      <c r="K19" s="30"/>
      <c r="L19" s="35"/>
      <c r="M19" s="35"/>
      <c r="N19" s="35"/>
      <c r="O19" s="36"/>
      <c r="P19" s="33"/>
      <c r="Q19" s="37"/>
      <c r="R19" s="36"/>
      <c r="S19" s="36"/>
      <c r="T19" s="33"/>
      <c r="U19" s="36"/>
      <c r="V19" s="38"/>
      <c r="W19" s="36"/>
      <c r="X19" s="39"/>
      <c r="Y19" s="31"/>
      <c r="Z19" s="30"/>
      <c r="AA19" s="31"/>
      <c r="AB19" s="30"/>
      <c r="AC19" s="30"/>
      <c r="AD19" s="31"/>
      <c r="AE19" s="30"/>
      <c r="AF19" s="30"/>
      <c r="AG19" s="30"/>
      <c r="AH19" s="30"/>
    </row>
    <row r="20" ht="22.5" customHeight="1">
      <c r="A20" s="20">
        <v>18.0</v>
      </c>
      <c r="B20" s="32"/>
      <c r="C20" s="33"/>
      <c r="D20" s="36"/>
      <c r="E20" s="36"/>
      <c r="F20" s="33"/>
      <c r="G20" s="33"/>
      <c r="H20" s="33"/>
      <c r="I20" s="33"/>
      <c r="J20" s="33"/>
      <c r="K20" s="30"/>
      <c r="L20" s="41"/>
      <c r="M20" s="41"/>
      <c r="N20" s="41"/>
      <c r="O20" s="36"/>
      <c r="P20" s="33"/>
      <c r="Q20" s="37"/>
      <c r="R20" s="36"/>
      <c r="S20" s="36"/>
      <c r="T20" s="33"/>
      <c r="U20" s="36"/>
      <c r="V20" s="38"/>
      <c r="W20" s="36"/>
      <c r="X20" s="39"/>
      <c r="Y20" s="31"/>
      <c r="Z20" s="30"/>
      <c r="AA20" s="31"/>
      <c r="AB20" s="30"/>
      <c r="AC20" s="30"/>
      <c r="AD20" s="31"/>
      <c r="AE20" s="30"/>
      <c r="AF20" s="30"/>
      <c r="AG20" s="30"/>
      <c r="AH20" s="30"/>
    </row>
    <row r="21" ht="22.5" customHeight="1">
      <c r="A21" s="20">
        <v>19.0</v>
      </c>
      <c r="B21" s="32"/>
      <c r="C21" s="33"/>
      <c r="D21" s="36"/>
      <c r="E21" s="36"/>
      <c r="F21" s="33"/>
      <c r="G21" s="33"/>
      <c r="H21" s="33"/>
      <c r="I21" s="33"/>
      <c r="J21" s="33"/>
      <c r="K21" s="30"/>
      <c r="L21" s="41"/>
      <c r="M21" s="41"/>
      <c r="N21" s="41"/>
      <c r="O21" s="36"/>
      <c r="P21" s="33"/>
      <c r="Q21" s="37"/>
      <c r="R21" s="36"/>
      <c r="S21" s="36"/>
      <c r="T21" s="33"/>
      <c r="U21" s="36"/>
      <c r="V21" s="38"/>
      <c r="W21" s="36"/>
      <c r="X21" s="39"/>
      <c r="Y21" s="31"/>
      <c r="Z21" s="30"/>
      <c r="AA21" s="31"/>
      <c r="AB21" s="30"/>
      <c r="AC21" s="30"/>
      <c r="AD21" s="31"/>
      <c r="AE21" s="30"/>
      <c r="AF21" s="30"/>
      <c r="AG21" s="30"/>
      <c r="AH21" s="30"/>
    </row>
    <row r="22" ht="22.5" customHeight="1">
      <c r="A22" s="20">
        <v>20.0</v>
      </c>
      <c r="B22" s="32"/>
      <c r="C22" s="33"/>
      <c r="D22" s="36"/>
      <c r="E22" s="36"/>
      <c r="F22" s="33"/>
      <c r="G22" s="33"/>
      <c r="H22" s="33"/>
      <c r="I22" s="33"/>
      <c r="J22" s="33"/>
      <c r="K22" s="30"/>
      <c r="L22" s="35"/>
      <c r="M22" s="35"/>
      <c r="N22" s="41"/>
      <c r="O22" s="36"/>
      <c r="P22" s="33"/>
      <c r="Q22" s="37"/>
      <c r="R22" s="36"/>
      <c r="S22" s="36"/>
      <c r="T22" s="33"/>
      <c r="U22" s="36"/>
      <c r="V22" s="38"/>
      <c r="W22" s="36"/>
      <c r="X22" s="39"/>
      <c r="Y22" s="31"/>
      <c r="Z22" s="30"/>
      <c r="AA22" s="31"/>
      <c r="AB22" s="30"/>
      <c r="AC22" s="30"/>
      <c r="AD22" s="31"/>
      <c r="AE22" s="30"/>
      <c r="AF22" s="30"/>
      <c r="AG22" s="30"/>
      <c r="AH22" s="30"/>
    </row>
    <row r="23" ht="22.5" customHeight="1">
      <c r="A23" s="20">
        <v>21.0</v>
      </c>
      <c r="B23" s="32"/>
      <c r="C23" s="33"/>
      <c r="D23" s="36"/>
      <c r="E23" s="36"/>
      <c r="F23" s="33"/>
      <c r="G23" s="33"/>
      <c r="H23" s="33"/>
      <c r="I23" s="33"/>
      <c r="J23" s="33"/>
      <c r="K23" s="30"/>
      <c r="L23" s="35"/>
      <c r="M23" s="35"/>
      <c r="N23" s="35"/>
      <c r="O23" s="36"/>
      <c r="P23" s="33"/>
      <c r="Q23" s="37"/>
      <c r="R23" s="36"/>
      <c r="S23" s="36"/>
      <c r="T23" s="33"/>
      <c r="U23" s="36"/>
      <c r="V23" s="38"/>
      <c r="W23" s="36"/>
      <c r="X23" s="39"/>
      <c r="Y23" s="31"/>
      <c r="Z23" s="30"/>
      <c r="AA23" s="31"/>
      <c r="AB23" s="30"/>
      <c r="AC23" s="30"/>
      <c r="AD23" s="31"/>
      <c r="AE23" s="30"/>
      <c r="AF23" s="30"/>
      <c r="AG23" s="30"/>
      <c r="AH23" s="30"/>
    </row>
    <row r="24" ht="22.5" customHeight="1">
      <c r="A24" s="20">
        <v>22.0</v>
      </c>
      <c r="B24" s="32"/>
      <c r="C24" s="33"/>
      <c r="D24" s="36"/>
      <c r="E24" s="36"/>
      <c r="F24" s="33"/>
      <c r="G24" s="33"/>
      <c r="H24" s="33"/>
      <c r="I24" s="33"/>
      <c r="J24" s="33"/>
      <c r="K24" s="30"/>
      <c r="L24" s="35"/>
      <c r="M24" s="35"/>
      <c r="N24" s="35"/>
      <c r="O24" s="36"/>
      <c r="P24" s="33"/>
      <c r="Q24" s="37"/>
      <c r="R24" s="36"/>
      <c r="S24" s="36"/>
      <c r="T24" s="33"/>
      <c r="U24" s="36"/>
      <c r="V24" s="38"/>
      <c r="W24" s="36"/>
      <c r="X24" s="39"/>
      <c r="Y24" s="31"/>
      <c r="Z24" s="30"/>
      <c r="AA24" s="31"/>
      <c r="AB24" s="30"/>
      <c r="AC24" s="30"/>
      <c r="AD24" s="31"/>
      <c r="AE24" s="30"/>
      <c r="AF24" s="30"/>
      <c r="AG24" s="30"/>
      <c r="AH24" s="30"/>
    </row>
    <row r="25" ht="22.5" customHeight="1">
      <c r="A25" s="20">
        <v>23.0</v>
      </c>
      <c r="B25" s="32"/>
      <c r="C25" s="33"/>
      <c r="D25" s="36"/>
      <c r="E25" s="36"/>
      <c r="F25" s="33"/>
      <c r="G25" s="33"/>
      <c r="H25" s="33"/>
      <c r="I25" s="33"/>
      <c r="J25" s="33"/>
      <c r="K25" s="30"/>
      <c r="L25" s="35"/>
      <c r="M25" s="35"/>
      <c r="N25" s="35"/>
      <c r="O25" s="36"/>
      <c r="P25" s="33"/>
      <c r="Q25" s="37"/>
      <c r="R25" s="36"/>
      <c r="S25" s="36"/>
      <c r="T25" s="33"/>
      <c r="U25" s="36"/>
      <c r="V25" s="38"/>
      <c r="W25" s="36"/>
      <c r="X25" s="39"/>
      <c r="Y25" s="31"/>
      <c r="Z25" s="30"/>
      <c r="AA25" s="31"/>
      <c r="AB25" s="30"/>
      <c r="AC25" s="30"/>
      <c r="AD25" s="31"/>
      <c r="AE25" s="30"/>
      <c r="AF25" s="30"/>
      <c r="AG25" s="30"/>
      <c r="AH25" s="30"/>
    </row>
    <row r="26" ht="22.5" customHeight="1">
      <c r="A26" s="20">
        <v>24.0</v>
      </c>
      <c r="B26" s="32"/>
      <c r="C26" s="33"/>
      <c r="D26" s="36"/>
      <c r="E26" s="36"/>
      <c r="F26" s="33"/>
      <c r="G26" s="33"/>
      <c r="H26" s="33"/>
      <c r="I26" s="33"/>
      <c r="J26" s="33"/>
      <c r="K26" s="30"/>
      <c r="L26" s="35"/>
      <c r="M26" s="35"/>
      <c r="N26" s="35"/>
      <c r="O26" s="36"/>
      <c r="P26" s="33"/>
      <c r="Q26" s="37"/>
      <c r="R26" s="36"/>
      <c r="S26" s="36"/>
      <c r="T26" s="33"/>
      <c r="U26" s="36"/>
      <c r="V26" s="38"/>
      <c r="W26" s="36"/>
      <c r="X26" s="39"/>
      <c r="Y26" s="31"/>
      <c r="Z26" s="30"/>
      <c r="AA26" s="31"/>
      <c r="AB26" s="30"/>
      <c r="AC26" s="30"/>
      <c r="AD26" s="31"/>
      <c r="AE26" s="30"/>
      <c r="AF26" s="30"/>
      <c r="AG26" s="30"/>
      <c r="AH26" s="30"/>
    </row>
    <row r="27" ht="22.5" customHeight="1">
      <c r="A27" s="20">
        <v>25.0</v>
      </c>
      <c r="B27" s="32"/>
      <c r="C27" s="33"/>
      <c r="D27" s="36"/>
      <c r="E27" s="36"/>
      <c r="F27" s="33"/>
      <c r="G27" s="33"/>
      <c r="H27" s="33"/>
      <c r="I27" s="33"/>
      <c r="J27" s="33"/>
      <c r="K27" s="30"/>
      <c r="L27" s="35"/>
      <c r="M27" s="35"/>
      <c r="N27" s="35"/>
      <c r="O27" s="36"/>
      <c r="P27" s="33"/>
      <c r="Q27" s="37"/>
      <c r="R27" s="36"/>
      <c r="S27" s="36"/>
      <c r="T27" s="33"/>
      <c r="U27" s="36"/>
      <c r="V27" s="38"/>
      <c r="W27" s="36"/>
      <c r="X27" s="39"/>
      <c r="Y27" s="31"/>
      <c r="Z27" s="30"/>
      <c r="AA27" s="31"/>
      <c r="AB27" s="30"/>
      <c r="AC27" s="30"/>
      <c r="AD27" s="31"/>
      <c r="AE27" s="30"/>
      <c r="AF27" s="30"/>
      <c r="AG27" s="30"/>
      <c r="AH27" s="30"/>
    </row>
    <row r="28" ht="22.5" customHeight="1">
      <c r="A28" s="56"/>
      <c r="B28" s="57"/>
      <c r="C28" s="58"/>
      <c r="D28" s="59" t="s">
        <v>94</v>
      </c>
      <c r="E28" s="59"/>
      <c r="F28" s="58"/>
      <c r="G28" s="58"/>
      <c r="H28" s="58"/>
      <c r="I28" s="58"/>
      <c r="J28" s="58"/>
      <c r="K28" s="60">
        <f t="shared" ref="K28:K29" si="2">SUM(K3:K23)</f>
        <v>1432750</v>
      </c>
      <c r="L28" s="61"/>
      <c r="M28" s="61"/>
      <c r="N28" s="61"/>
      <c r="O28" s="59"/>
      <c r="P28" s="58"/>
      <c r="Q28" s="62"/>
      <c r="R28" s="63"/>
      <c r="S28" s="63"/>
      <c r="T28" s="58"/>
      <c r="U28" s="59"/>
      <c r="V28" s="64"/>
      <c r="W28" s="59" t="s">
        <v>95</v>
      </c>
      <c r="X28" s="65"/>
      <c r="Y28" s="66"/>
      <c r="Z28" s="60">
        <f t="shared" ref="Z28:Z29" si="3">SUM(Z3:Z23)</f>
        <v>6</v>
      </c>
      <c r="AA28" s="66"/>
      <c r="AB28" s="60"/>
      <c r="AC28" s="60">
        <f t="shared" ref="AC28:AC29" si="4">SUM(AC3:AC23)</f>
        <v>0</v>
      </c>
      <c r="AD28" s="66"/>
      <c r="AE28" s="60">
        <f t="shared" ref="AE28:AH28" si="1">SUM(AE3:AE23)</f>
        <v>4</v>
      </c>
      <c r="AF28" s="60">
        <f t="shared" si="1"/>
        <v>0.01</v>
      </c>
      <c r="AG28" s="60">
        <f t="shared" si="1"/>
        <v>0</v>
      </c>
      <c r="AH28" s="60">
        <f t="shared" si="1"/>
        <v>0</v>
      </c>
    </row>
    <row r="29" ht="22.5" customHeight="1">
      <c r="A29" s="67"/>
      <c r="B29" s="68"/>
      <c r="C29" s="69"/>
      <c r="D29" s="70"/>
      <c r="E29" s="70"/>
      <c r="F29" s="69"/>
      <c r="G29" s="69"/>
      <c r="H29" s="69"/>
      <c r="I29" s="69"/>
      <c r="J29" s="69"/>
      <c r="K29" s="71">
        <f t="shared" si="2"/>
        <v>1154800</v>
      </c>
      <c r="L29" s="72"/>
      <c r="M29" s="72"/>
      <c r="N29" s="72"/>
      <c r="O29" s="70"/>
      <c r="P29" s="69"/>
      <c r="Q29" s="73"/>
      <c r="R29" s="74"/>
      <c r="S29" s="74"/>
      <c r="T29" s="69"/>
      <c r="U29" s="70"/>
      <c r="V29" s="75"/>
      <c r="W29" s="70"/>
      <c r="X29" s="76"/>
      <c r="Y29" s="77"/>
      <c r="Z29" s="71">
        <f t="shared" si="3"/>
        <v>6</v>
      </c>
      <c r="AA29" s="77"/>
      <c r="AB29" s="71"/>
      <c r="AC29" s="71">
        <f t="shared" si="4"/>
        <v>0</v>
      </c>
      <c r="AD29" s="77"/>
      <c r="AE29" s="71">
        <f t="shared" ref="AE29:AH29" si="5">SUM(AE4:AE24)</f>
        <v>4</v>
      </c>
      <c r="AF29" s="71">
        <f t="shared" si="5"/>
        <v>0.01</v>
      </c>
      <c r="AG29" s="71">
        <f t="shared" si="5"/>
        <v>0</v>
      </c>
      <c r="AH29" s="71">
        <f t="shared" si="5"/>
        <v>0</v>
      </c>
    </row>
    <row r="30">
      <c r="A30" s="78"/>
      <c r="B30" s="79"/>
      <c r="C30" s="80"/>
      <c r="D30" s="80"/>
      <c r="E30" s="80"/>
      <c r="F30" s="80"/>
      <c r="G30" s="80"/>
      <c r="H30" s="80"/>
      <c r="I30" s="80"/>
      <c r="J30" s="81"/>
      <c r="K30" s="82"/>
      <c r="L30" s="80"/>
      <c r="M30" s="80"/>
      <c r="N30" s="80"/>
      <c r="O30" s="80"/>
      <c r="P30" s="80"/>
      <c r="Q30" s="83"/>
      <c r="R30" s="80"/>
      <c r="S30" s="80"/>
      <c r="T30" s="80"/>
      <c r="U30" s="80"/>
      <c r="V30" s="84"/>
      <c r="W30" s="80"/>
      <c r="X30" s="85"/>
      <c r="Y30" s="86"/>
      <c r="Z30" s="86"/>
      <c r="AA30" s="86"/>
      <c r="AB30" s="86"/>
      <c r="AC30" s="86"/>
      <c r="AD30" s="86"/>
      <c r="AE30" s="86"/>
      <c r="AF30" s="86"/>
      <c r="AG30" s="86"/>
      <c r="AH30" s="82"/>
    </row>
    <row r="31">
      <c r="A31" s="87"/>
      <c r="B31" s="88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90"/>
      <c r="R31" s="89"/>
      <c r="S31" s="89"/>
      <c r="T31" s="89"/>
      <c r="U31" s="89"/>
      <c r="V31" s="91"/>
      <c r="W31" s="89"/>
      <c r="X31" s="90"/>
      <c r="Y31" s="89"/>
      <c r="Z31" s="89"/>
      <c r="AA31" s="89"/>
      <c r="AB31" s="89"/>
      <c r="AC31" s="89"/>
      <c r="AD31" s="89"/>
      <c r="AE31" s="89"/>
      <c r="AF31" s="89"/>
      <c r="AG31" s="89"/>
      <c r="AH31" s="89"/>
    </row>
    <row r="32">
      <c r="A32" s="92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5"/>
      <c r="Q32" s="96"/>
      <c r="R32" s="94"/>
      <c r="S32" s="94"/>
      <c r="T32" s="94"/>
      <c r="U32" s="94"/>
      <c r="V32" s="97"/>
      <c r="W32" s="95"/>
      <c r="X32" s="96"/>
      <c r="Y32" s="94"/>
      <c r="Z32" s="94"/>
      <c r="AA32" s="94"/>
      <c r="AB32" s="94"/>
      <c r="AC32" s="94"/>
      <c r="AD32" s="94"/>
      <c r="AE32" s="94"/>
      <c r="AF32" s="94"/>
      <c r="AG32" s="94"/>
      <c r="AH32" s="94"/>
    </row>
    <row r="33">
      <c r="A33" s="92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5"/>
      <c r="Q33" s="96"/>
      <c r="R33" s="94"/>
      <c r="S33" s="94"/>
      <c r="T33" s="94"/>
      <c r="U33" s="94"/>
      <c r="V33" s="97"/>
      <c r="W33" s="95"/>
      <c r="X33" s="96"/>
      <c r="Y33" s="94"/>
      <c r="Z33" s="94"/>
      <c r="AA33" s="94"/>
      <c r="AB33" s="94"/>
      <c r="AC33" s="94"/>
      <c r="AD33" s="94"/>
      <c r="AE33" s="94"/>
      <c r="AF33" s="94"/>
      <c r="AG33" s="94"/>
      <c r="AH33" s="94"/>
    </row>
    <row r="34">
      <c r="A34" s="92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5"/>
      <c r="Q34" s="96"/>
      <c r="R34" s="94"/>
      <c r="S34" s="94"/>
      <c r="T34" s="94"/>
      <c r="U34" s="94"/>
      <c r="V34" s="97"/>
      <c r="W34" s="95"/>
      <c r="X34" s="96"/>
      <c r="Y34" s="94"/>
      <c r="Z34" s="94"/>
      <c r="AA34" s="94"/>
      <c r="AB34" s="94"/>
      <c r="AC34" s="94"/>
      <c r="AD34" s="94"/>
      <c r="AE34" s="94"/>
      <c r="AF34" s="94"/>
      <c r="AG34" s="94"/>
      <c r="AH34" s="94"/>
    </row>
    <row r="35">
      <c r="A35" s="92"/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5"/>
      <c r="Q35" s="96"/>
      <c r="R35" s="94"/>
      <c r="S35" s="94"/>
      <c r="T35" s="94"/>
      <c r="U35" s="94"/>
      <c r="V35" s="97"/>
      <c r="W35" s="95"/>
      <c r="X35" s="96"/>
      <c r="Y35" s="94"/>
      <c r="Z35" s="94"/>
      <c r="AA35" s="94"/>
      <c r="AB35" s="94"/>
      <c r="AC35" s="94"/>
      <c r="AD35" s="94"/>
      <c r="AE35" s="94"/>
      <c r="AF35" s="94"/>
      <c r="AG35" s="94"/>
      <c r="AH35" s="94"/>
    </row>
    <row r="36">
      <c r="A36" s="92"/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5"/>
      <c r="Q36" s="96"/>
      <c r="R36" s="94"/>
      <c r="S36" s="94"/>
      <c r="T36" s="94"/>
      <c r="U36" s="94"/>
      <c r="V36" s="97"/>
      <c r="W36" s="95"/>
      <c r="X36" s="96"/>
      <c r="Y36" s="94"/>
      <c r="Z36" s="94"/>
      <c r="AA36" s="94"/>
      <c r="AB36" s="94"/>
      <c r="AC36" s="94"/>
      <c r="AD36" s="94"/>
      <c r="AE36" s="94"/>
      <c r="AF36" s="94"/>
      <c r="AG36" s="94"/>
      <c r="AH36" s="94"/>
    </row>
    <row r="37">
      <c r="A37" s="92"/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5"/>
      <c r="Q37" s="96"/>
      <c r="R37" s="94"/>
      <c r="S37" s="94"/>
      <c r="T37" s="94"/>
      <c r="U37" s="94"/>
      <c r="V37" s="97"/>
      <c r="W37" s="95"/>
      <c r="X37" s="96"/>
      <c r="Y37" s="94"/>
      <c r="Z37" s="94"/>
      <c r="AA37" s="94"/>
      <c r="AB37" s="94"/>
      <c r="AC37" s="94"/>
      <c r="AD37" s="94"/>
      <c r="AE37" s="94"/>
      <c r="AF37" s="94"/>
      <c r="AG37" s="94"/>
      <c r="AH37" s="94"/>
    </row>
    <row r="38">
      <c r="A38" s="92"/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5"/>
      <c r="Q38" s="96"/>
      <c r="R38" s="94"/>
      <c r="S38" s="94"/>
      <c r="T38" s="94"/>
      <c r="U38" s="94"/>
      <c r="V38" s="97"/>
      <c r="W38" s="95"/>
      <c r="X38" s="96"/>
      <c r="Y38" s="94"/>
      <c r="Z38" s="94"/>
      <c r="AA38" s="94"/>
      <c r="AB38" s="94"/>
      <c r="AC38" s="94"/>
      <c r="AD38" s="94"/>
      <c r="AE38" s="94"/>
      <c r="AF38" s="94"/>
      <c r="AG38" s="94"/>
      <c r="AH38" s="94"/>
    </row>
    <row r="39">
      <c r="A39" s="92"/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5"/>
      <c r="Q39" s="96"/>
      <c r="R39" s="94"/>
      <c r="S39" s="94"/>
      <c r="T39" s="94"/>
      <c r="U39" s="94"/>
      <c r="V39" s="97"/>
      <c r="W39" s="95"/>
      <c r="X39" s="96"/>
      <c r="Y39" s="94"/>
      <c r="Z39" s="94"/>
      <c r="AA39" s="94"/>
      <c r="AB39" s="94"/>
      <c r="AC39" s="94"/>
      <c r="AD39" s="94"/>
      <c r="AE39" s="94"/>
      <c r="AF39" s="94"/>
      <c r="AG39" s="94"/>
      <c r="AH39" s="94"/>
    </row>
    <row r="40">
      <c r="A40" s="92"/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5"/>
      <c r="Q40" s="96"/>
      <c r="R40" s="94"/>
      <c r="S40" s="94"/>
      <c r="T40" s="94"/>
      <c r="U40" s="94"/>
      <c r="V40" s="97"/>
      <c r="W40" s="95"/>
      <c r="X40" s="96"/>
      <c r="Y40" s="94"/>
      <c r="Z40" s="94"/>
      <c r="AA40" s="94"/>
      <c r="AB40" s="94"/>
      <c r="AC40" s="94"/>
      <c r="AD40" s="94"/>
      <c r="AE40" s="94"/>
      <c r="AF40" s="94"/>
      <c r="AG40" s="94"/>
      <c r="AH40" s="94"/>
    </row>
    <row r="41">
      <c r="A41" s="92"/>
      <c r="B41" s="93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5"/>
      <c r="Q41" s="96"/>
      <c r="R41" s="94"/>
      <c r="S41" s="94"/>
      <c r="T41" s="94"/>
      <c r="U41" s="94"/>
      <c r="V41" s="97"/>
      <c r="W41" s="95"/>
      <c r="X41" s="96"/>
      <c r="Y41" s="94"/>
      <c r="Z41" s="94"/>
      <c r="AA41" s="94"/>
      <c r="AB41" s="94"/>
      <c r="AC41" s="94"/>
      <c r="AD41" s="94"/>
      <c r="AE41" s="94"/>
      <c r="AF41" s="94"/>
      <c r="AG41" s="94"/>
      <c r="AH41" s="94"/>
    </row>
    <row r="42">
      <c r="A42" s="92"/>
      <c r="B42" s="93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5"/>
      <c r="Q42" s="96"/>
      <c r="R42" s="94"/>
      <c r="S42" s="94"/>
      <c r="T42" s="94"/>
      <c r="U42" s="94"/>
      <c r="V42" s="97"/>
      <c r="W42" s="95"/>
      <c r="X42" s="96"/>
      <c r="Y42" s="94"/>
      <c r="Z42" s="94"/>
      <c r="AA42" s="94"/>
      <c r="AB42" s="94"/>
      <c r="AC42" s="94"/>
      <c r="AD42" s="94"/>
      <c r="AE42" s="94"/>
      <c r="AF42" s="94"/>
      <c r="AG42" s="94"/>
      <c r="AH42" s="94"/>
    </row>
    <row r="43">
      <c r="A43" s="92"/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5"/>
      <c r="Q43" s="96"/>
      <c r="R43" s="94"/>
      <c r="S43" s="94"/>
      <c r="T43" s="94"/>
      <c r="U43" s="94"/>
      <c r="V43" s="97"/>
      <c r="W43" s="95"/>
      <c r="X43" s="96"/>
      <c r="Y43" s="94"/>
      <c r="Z43" s="94"/>
      <c r="AA43" s="94"/>
      <c r="AB43" s="94"/>
      <c r="AC43" s="94"/>
      <c r="AD43" s="94"/>
      <c r="AE43" s="94"/>
      <c r="AF43" s="94"/>
      <c r="AG43" s="94"/>
      <c r="AH43" s="94"/>
    </row>
    <row r="44">
      <c r="A44" s="92"/>
      <c r="B44" s="9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  <c r="Q44" s="96"/>
      <c r="R44" s="94"/>
      <c r="S44" s="94"/>
      <c r="T44" s="94"/>
      <c r="U44" s="94"/>
      <c r="V44" s="97"/>
      <c r="W44" s="95"/>
      <c r="X44" s="96"/>
      <c r="Y44" s="94"/>
      <c r="Z44" s="94"/>
      <c r="AA44" s="94"/>
      <c r="AB44" s="94"/>
      <c r="AC44" s="94"/>
      <c r="AD44" s="94"/>
      <c r="AE44" s="94"/>
      <c r="AF44" s="94"/>
      <c r="AG44" s="94"/>
      <c r="AH44" s="94"/>
    </row>
    <row r="45">
      <c r="A45" s="92"/>
      <c r="B45" s="93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5"/>
      <c r="Q45" s="96"/>
      <c r="R45" s="94"/>
      <c r="S45" s="94"/>
      <c r="T45" s="94"/>
      <c r="U45" s="94"/>
      <c r="V45" s="97"/>
      <c r="W45" s="95"/>
      <c r="X45" s="96"/>
      <c r="Y45" s="94"/>
      <c r="Z45" s="94"/>
      <c r="AA45" s="94"/>
      <c r="AB45" s="94"/>
      <c r="AC45" s="94"/>
      <c r="AD45" s="94"/>
      <c r="AE45" s="94"/>
      <c r="AF45" s="94"/>
      <c r="AG45" s="94"/>
      <c r="AH45" s="94"/>
    </row>
    <row r="46">
      <c r="A46" s="92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5"/>
      <c r="Q46" s="96"/>
      <c r="R46" s="94"/>
      <c r="S46" s="94"/>
      <c r="T46" s="94"/>
      <c r="U46" s="94"/>
      <c r="V46" s="97"/>
      <c r="W46" s="95"/>
      <c r="X46" s="96"/>
      <c r="Y46" s="94"/>
      <c r="Z46" s="94"/>
      <c r="AA46" s="94"/>
      <c r="AB46" s="94"/>
      <c r="AC46" s="94"/>
      <c r="AD46" s="94"/>
      <c r="AE46" s="94"/>
      <c r="AF46" s="94"/>
      <c r="AG46" s="94"/>
      <c r="AH46" s="94"/>
    </row>
    <row r="47">
      <c r="A47" s="92"/>
      <c r="B47" s="93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5"/>
      <c r="Q47" s="96"/>
      <c r="R47" s="94"/>
      <c r="S47" s="94"/>
      <c r="T47" s="94"/>
      <c r="U47" s="94"/>
      <c r="V47" s="97"/>
      <c r="W47" s="95"/>
      <c r="X47" s="96"/>
      <c r="Y47" s="94"/>
      <c r="Z47" s="94"/>
      <c r="AA47" s="94"/>
      <c r="AB47" s="94"/>
      <c r="AC47" s="94"/>
      <c r="AD47" s="94"/>
      <c r="AE47" s="94"/>
      <c r="AF47" s="94"/>
      <c r="AG47" s="94"/>
      <c r="AH47" s="94"/>
    </row>
    <row r="48">
      <c r="A48" s="92"/>
      <c r="B48" s="93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5"/>
      <c r="Q48" s="96"/>
      <c r="R48" s="94"/>
      <c r="S48" s="94"/>
      <c r="T48" s="94"/>
      <c r="U48" s="94"/>
      <c r="V48" s="97"/>
      <c r="W48" s="95"/>
      <c r="X48" s="96"/>
      <c r="Y48" s="94"/>
      <c r="Z48" s="94"/>
      <c r="AA48" s="94"/>
      <c r="AB48" s="94"/>
      <c r="AC48" s="94"/>
      <c r="AD48" s="94"/>
      <c r="AE48" s="94"/>
      <c r="AF48" s="94"/>
      <c r="AG48" s="94"/>
      <c r="AH48" s="94"/>
    </row>
    <row r="49">
      <c r="A49" s="92"/>
      <c r="B49" s="93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5"/>
      <c r="Q49" s="96"/>
      <c r="R49" s="94"/>
      <c r="S49" s="94"/>
      <c r="T49" s="94"/>
      <c r="U49" s="94"/>
      <c r="V49" s="97"/>
      <c r="W49" s="95"/>
      <c r="X49" s="96"/>
      <c r="Y49" s="94"/>
      <c r="Z49" s="94"/>
      <c r="AA49" s="94"/>
      <c r="AB49" s="94"/>
      <c r="AC49" s="94"/>
      <c r="AD49" s="94"/>
      <c r="AE49" s="94"/>
      <c r="AF49" s="94"/>
      <c r="AG49" s="94"/>
      <c r="AH49" s="94"/>
    </row>
    <row r="50">
      <c r="A50" s="92"/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5"/>
      <c r="Q50" s="96"/>
      <c r="R50" s="94"/>
      <c r="S50" s="94"/>
      <c r="T50" s="94"/>
      <c r="U50" s="94"/>
      <c r="V50" s="97"/>
      <c r="W50" s="95"/>
      <c r="X50" s="96"/>
      <c r="Y50" s="94"/>
      <c r="Z50" s="94"/>
      <c r="AA50" s="94"/>
      <c r="AB50" s="94"/>
      <c r="AC50" s="94"/>
      <c r="AD50" s="94"/>
      <c r="AE50" s="94"/>
      <c r="AF50" s="94"/>
      <c r="AG50" s="94"/>
      <c r="AH50" s="94"/>
    </row>
    <row r="51">
      <c r="A51" s="92"/>
      <c r="B51" s="93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5"/>
      <c r="Q51" s="96"/>
      <c r="R51" s="94"/>
      <c r="S51" s="94"/>
      <c r="T51" s="94"/>
      <c r="U51" s="94"/>
      <c r="V51" s="97"/>
      <c r="W51" s="95"/>
      <c r="X51" s="96"/>
      <c r="Y51" s="94"/>
      <c r="Z51" s="94"/>
      <c r="AA51" s="94"/>
      <c r="AB51" s="94"/>
      <c r="AC51" s="94"/>
      <c r="AD51" s="94"/>
      <c r="AE51" s="94"/>
      <c r="AF51" s="94"/>
      <c r="AG51" s="94"/>
      <c r="AH51" s="94"/>
    </row>
    <row r="52">
      <c r="A52" s="92"/>
      <c r="B52" s="93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5"/>
      <c r="Q52" s="96"/>
      <c r="R52" s="94"/>
      <c r="S52" s="94"/>
      <c r="T52" s="94"/>
      <c r="U52" s="94"/>
      <c r="V52" s="97"/>
      <c r="W52" s="95"/>
      <c r="X52" s="96"/>
      <c r="Y52" s="94"/>
      <c r="Z52" s="94"/>
      <c r="AA52" s="94"/>
      <c r="AB52" s="94"/>
      <c r="AC52" s="94"/>
      <c r="AD52" s="94"/>
      <c r="AE52" s="94"/>
      <c r="AF52" s="94"/>
      <c r="AG52" s="94"/>
      <c r="AH52" s="94"/>
    </row>
    <row r="53">
      <c r="A53" s="92"/>
      <c r="B53" s="93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5"/>
      <c r="Q53" s="96"/>
      <c r="R53" s="94"/>
      <c r="S53" s="94"/>
      <c r="T53" s="94"/>
      <c r="U53" s="94"/>
      <c r="V53" s="97"/>
      <c r="W53" s="95"/>
      <c r="X53" s="96"/>
      <c r="Y53" s="94"/>
      <c r="Z53" s="94"/>
      <c r="AA53" s="94"/>
      <c r="AB53" s="94"/>
      <c r="AC53" s="94"/>
      <c r="AD53" s="94"/>
      <c r="AE53" s="94"/>
      <c r="AF53" s="94"/>
      <c r="AG53" s="94"/>
      <c r="AH53" s="94"/>
    </row>
    <row r="54">
      <c r="A54" s="92"/>
      <c r="B54" s="93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5"/>
      <c r="Q54" s="96"/>
      <c r="R54" s="94"/>
      <c r="S54" s="94"/>
      <c r="T54" s="94"/>
      <c r="U54" s="94"/>
      <c r="V54" s="97"/>
      <c r="W54" s="95"/>
      <c r="X54" s="96"/>
      <c r="Y54" s="94"/>
      <c r="Z54" s="94"/>
      <c r="AA54" s="94"/>
      <c r="AB54" s="94"/>
      <c r="AC54" s="94"/>
      <c r="AD54" s="94"/>
      <c r="AE54" s="94"/>
      <c r="AF54" s="94"/>
      <c r="AG54" s="94"/>
      <c r="AH54" s="94"/>
    </row>
    <row r="55">
      <c r="A55" s="92"/>
      <c r="B55" s="93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5"/>
      <c r="Q55" s="96"/>
      <c r="R55" s="94"/>
      <c r="S55" s="94"/>
      <c r="T55" s="94"/>
      <c r="U55" s="94"/>
      <c r="V55" s="97"/>
      <c r="W55" s="95"/>
      <c r="X55" s="96"/>
      <c r="Y55" s="94"/>
      <c r="Z55" s="94"/>
      <c r="AA55" s="94"/>
      <c r="AB55" s="94"/>
      <c r="AC55" s="94"/>
      <c r="AD55" s="94"/>
      <c r="AE55" s="94"/>
      <c r="AF55" s="94"/>
      <c r="AG55" s="94"/>
      <c r="AH55" s="94"/>
    </row>
    <row r="56">
      <c r="A56" s="92"/>
      <c r="B56" s="93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5"/>
      <c r="Q56" s="96"/>
      <c r="R56" s="94"/>
      <c r="S56" s="94"/>
      <c r="T56" s="94"/>
      <c r="U56" s="94"/>
      <c r="V56" s="97"/>
      <c r="W56" s="95"/>
      <c r="X56" s="96"/>
      <c r="Y56" s="94"/>
      <c r="Z56" s="94"/>
      <c r="AA56" s="94"/>
      <c r="AB56" s="94"/>
      <c r="AC56" s="94"/>
      <c r="AD56" s="94"/>
      <c r="AE56" s="94"/>
      <c r="AF56" s="94"/>
      <c r="AG56" s="94"/>
      <c r="AH56" s="94"/>
    </row>
    <row r="57">
      <c r="A57" s="92"/>
      <c r="B57" s="93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5"/>
      <c r="Q57" s="96"/>
      <c r="R57" s="94"/>
      <c r="S57" s="94"/>
      <c r="T57" s="94"/>
      <c r="U57" s="94"/>
      <c r="V57" s="97"/>
      <c r="W57" s="95"/>
      <c r="X57" s="96"/>
      <c r="Y57" s="94"/>
      <c r="Z57" s="94"/>
      <c r="AA57" s="94"/>
      <c r="AB57" s="94"/>
      <c r="AC57" s="94"/>
      <c r="AD57" s="94"/>
      <c r="AE57" s="94"/>
      <c r="AF57" s="94"/>
      <c r="AG57" s="94"/>
      <c r="AH57" s="94"/>
    </row>
    <row r="58">
      <c r="A58" s="92"/>
      <c r="B58" s="93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5"/>
      <c r="Q58" s="96"/>
      <c r="R58" s="94"/>
      <c r="S58" s="94"/>
      <c r="T58" s="94"/>
      <c r="U58" s="94"/>
      <c r="V58" s="97"/>
      <c r="W58" s="95"/>
      <c r="X58" s="96"/>
      <c r="Y58" s="94"/>
      <c r="Z58" s="94"/>
      <c r="AA58" s="94"/>
      <c r="AB58" s="94"/>
      <c r="AC58" s="94"/>
      <c r="AD58" s="94"/>
      <c r="AE58" s="94"/>
      <c r="AF58" s="94"/>
      <c r="AG58" s="94"/>
      <c r="AH58" s="94"/>
    </row>
    <row r="59">
      <c r="A59" s="92"/>
      <c r="B59" s="93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5"/>
      <c r="Q59" s="96"/>
      <c r="R59" s="94"/>
      <c r="S59" s="94"/>
      <c r="T59" s="94"/>
      <c r="U59" s="94"/>
      <c r="V59" s="97"/>
      <c r="W59" s="95"/>
      <c r="X59" s="96"/>
      <c r="Y59" s="94"/>
      <c r="Z59" s="94"/>
      <c r="AA59" s="94"/>
      <c r="AB59" s="94"/>
      <c r="AC59" s="94"/>
      <c r="AD59" s="94"/>
      <c r="AE59" s="94"/>
      <c r="AF59" s="94"/>
      <c r="AG59" s="94"/>
      <c r="AH59" s="94"/>
    </row>
    <row r="60">
      <c r="A60" s="92"/>
      <c r="B60" s="93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5"/>
      <c r="Q60" s="96"/>
      <c r="R60" s="94"/>
      <c r="S60" s="94"/>
      <c r="T60" s="94"/>
      <c r="U60" s="94"/>
      <c r="V60" s="97"/>
      <c r="W60" s="95"/>
      <c r="X60" s="96"/>
      <c r="Y60" s="94"/>
      <c r="Z60" s="94"/>
      <c r="AA60" s="94"/>
      <c r="AB60" s="94"/>
      <c r="AC60" s="94"/>
      <c r="AD60" s="94"/>
      <c r="AE60" s="94"/>
      <c r="AF60" s="94"/>
      <c r="AG60" s="94"/>
      <c r="AH60" s="94"/>
    </row>
    <row r="61">
      <c r="A61" s="92"/>
      <c r="B61" s="93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5"/>
      <c r="Q61" s="96"/>
      <c r="R61" s="94"/>
      <c r="S61" s="94"/>
      <c r="T61" s="94"/>
      <c r="U61" s="94"/>
      <c r="V61" s="97"/>
      <c r="W61" s="95"/>
      <c r="X61" s="96"/>
      <c r="Y61" s="94"/>
      <c r="Z61" s="94"/>
      <c r="AA61" s="94"/>
      <c r="AB61" s="94"/>
      <c r="AC61" s="94"/>
      <c r="AD61" s="94"/>
      <c r="AE61" s="94"/>
      <c r="AF61" s="94"/>
      <c r="AG61" s="94"/>
      <c r="AH61" s="94"/>
    </row>
    <row r="62">
      <c r="A62" s="92"/>
      <c r="B62" s="93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5"/>
      <c r="Q62" s="96"/>
      <c r="R62" s="94"/>
      <c r="S62" s="94"/>
      <c r="T62" s="94"/>
      <c r="U62" s="94"/>
      <c r="V62" s="97"/>
      <c r="W62" s="95"/>
      <c r="X62" s="96"/>
      <c r="Y62" s="94"/>
      <c r="Z62" s="94"/>
      <c r="AA62" s="94"/>
      <c r="AB62" s="94"/>
      <c r="AC62" s="94"/>
      <c r="AD62" s="94"/>
      <c r="AE62" s="94"/>
      <c r="AF62" s="94"/>
      <c r="AG62" s="94"/>
      <c r="AH62" s="94"/>
    </row>
    <row r="63">
      <c r="A63" s="92"/>
      <c r="B63" s="93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5"/>
      <c r="Q63" s="96"/>
      <c r="R63" s="94"/>
      <c r="S63" s="94"/>
      <c r="T63" s="94"/>
      <c r="U63" s="94"/>
      <c r="V63" s="97"/>
      <c r="W63" s="95"/>
      <c r="X63" s="96"/>
      <c r="Y63" s="94"/>
      <c r="Z63" s="94"/>
      <c r="AA63" s="94"/>
      <c r="AB63" s="94"/>
      <c r="AC63" s="94"/>
      <c r="AD63" s="94"/>
      <c r="AE63" s="94"/>
      <c r="AF63" s="94"/>
      <c r="AG63" s="94"/>
      <c r="AH63" s="94"/>
    </row>
    <row r="64">
      <c r="A64" s="92"/>
      <c r="B64" s="93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5"/>
      <c r="Q64" s="96"/>
      <c r="R64" s="94"/>
      <c r="S64" s="94"/>
      <c r="T64" s="94"/>
      <c r="U64" s="94"/>
      <c r="V64" s="97"/>
      <c r="W64" s="95"/>
      <c r="X64" s="96"/>
      <c r="Y64" s="94"/>
      <c r="Z64" s="94"/>
      <c r="AA64" s="94"/>
      <c r="AB64" s="94"/>
      <c r="AC64" s="94"/>
      <c r="AD64" s="94"/>
      <c r="AE64" s="94"/>
      <c r="AF64" s="94"/>
      <c r="AG64" s="94"/>
      <c r="AH64" s="94"/>
    </row>
    <row r="65">
      <c r="A65" s="92"/>
      <c r="B65" s="93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5"/>
      <c r="Q65" s="96"/>
      <c r="R65" s="94"/>
      <c r="S65" s="94"/>
      <c r="T65" s="94"/>
      <c r="U65" s="94"/>
      <c r="V65" s="97"/>
      <c r="W65" s="95"/>
      <c r="X65" s="96"/>
      <c r="Y65" s="94"/>
      <c r="Z65" s="94"/>
      <c r="AA65" s="94"/>
      <c r="AB65" s="94"/>
      <c r="AC65" s="94"/>
      <c r="AD65" s="94"/>
      <c r="AE65" s="94"/>
      <c r="AF65" s="94"/>
      <c r="AG65" s="94"/>
      <c r="AH65" s="94"/>
    </row>
    <row r="66">
      <c r="A66" s="92"/>
      <c r="B66" s="93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5"/>
      <c r="Q66" s="96"/>
      <c r="R66" s="94"/>
      <c r="S66" s="94"/>
      <c r="T66" s="94"/>
      <c r="U66" s="94"/>
      <c r="V66" s="97"/>
      <c r="W66" s="95"/>
      <c r="X66" s="96"/>
      <c r="Y66" s="94"/>
      <c r="Z66" s="94"/>
      <c r="AA66" s="94"/>
      <c r="AB66" s="94"/>
      <c r="AC66" s="94"/>
      <c r="AD66" s="94"/>
      <c r="AE66" s="94"/>
      <c r="AF66" s="94"/>
      <c r="AG66" s="94"/>
      <c r="AH66" s="94"/>
    </row>
    <row r="67">
      <c r="A67" s="92"/>
      <c r="B67" s="93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5"/>
      <c r="Q67" s="96"/>
      <c r="R67" s="94"/>
      <c r="S67" s="94"/>
      <c r="T67" s="94"/>
      <c r="U67" s="94"/>
      <c r="V67" s="97"/>
      <c r="W67" s="95"/>
      <c r="X67" s="96"/>
      <c r="Y67" s="94"/>
      <c r="Z67" s="94"/>
      <c r="AA67" s="94"/>
      <c r="AB67" s="94"/>
      <c r="AC67" s="94"/>
      <c r="AD67" s="94"/>
      <c r="AE67" s="94"/>
      <c r="AF67" s="94"/>
      <c r="AG67" s="94"/>
      <c r="AH67" s="94"/>
    </row>
    <row r="68">
      <c r="A68" s="92"/>
      <c r="B68" s="93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5"/>
      <c r="Q68" s="96"/>
      <c r="R68" s="94"/>
      <c r="S68" s="94"/>
      <c r="T68" s="94"/>
      <c r="U68" s="94"/>
      <c r="V68" s="97"/>
      <c r="W68" s="95"/>
      <c r="X68" s="96"/>
      <c r="Y68" s="94"/>
      <c r="Z68" s="94"/>
      <c r="AA68" s="94"/>
      <c r="AB68" s="94"/>
      <c r="AC68" s="94"/>
      <c r="AD68" s="94"/>
      <c r="AE68" s="94"/>
      <c r="AF68" s="94"/>
      <c r="AG68" s="94"/>
      <c r="AH68" s="94"/>
    </row>
    <row r="69">
      <c r="A69" s="92"/>
      <c r="B69" s="93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5"/>
      <c r="Q69" s="96"/>
      <c r="R69" s="94"/>
      <c r="S69" s="94"/>
      <c r="T69" s="94"/>
      <c r="U69" s="94"/>
      <c r="V69" s="97"/>
      <c r="W69" s="95"/>
      <c r="X69" s="96"/>
      <c r="Y69" s="94"/>
      <c r="Z69" s="94"/>
      <c r="AA69" s="94"/>
      <c r="AB69" s="94"/>
      <c r="AC69" s="94"/>
      <c r="AD69" s="94"/>
      <c r="AE69" s="94"/>
      <c r="AF69" s="94"/>
      <c r="AG69" s="94"/>
      <c r="AH69" s="94"/>
    </row>
    <row r="70">
      <c r="A70" s="92"/>
      <c r="B70" s="93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5"/>
      <c r="Q70" s="96"/>
      <c r="R70" s="94"/>
      <c r="S70" s="94"/>
      <c r="T70" s="94"/>
      <c r="U70" s="94"/>
      <c r="V70" s="97"/>
      <c r="W70" s="95"/>
      <c r="X70" s="96"/>
      <c r="Y70" s="94"/>
      <c r="Z70" s="94"/>
      <c r="AA70" s="94"/>
      <c r="AB70" s="94"/>
      <c r="AC70" s="94"/>
      <c r="AD70" s="94"/>
      <c r="AE70" s="94"/>
      <c r="AF70" s="94"/>
      <c r="AG70" s="94"/>
      <c r="AH70" s="94"/>
    </row>
    <row r="71">
      <c r="A71" s="92"/>
      <c r="B71" s="93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5"/>
      <c r="Q71" s="96"/>
      <c r="R71" s="94"/>
      <c r="S71" s="94"/>
      <c r="T71" s="94"/>
      <c r="U71" s="94"/>
      <c r="V71" s="97"/>
      <c r="W71" s="95"/>
      <c r="X71" s="96"/>
      <c r="Y71" s="94"/>
      <c r="Z71" s="94"/>
      <c r="AA71" s="94"/>
      <c r="AB71" s="94"/>
      <c r="AC71" s="94"/>
      <c r="AD71" s="94"/>
      <c r="AE71" s="94"/>
      <c r="AF71" s="94"/>
      <c r="AG71" s="94"/>
      <c r="AH71" s="94"/>
    </row>
    <row r="72">
      <c r="A72" s="92"/>
      <c r="B72" s="93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5"/>
      <c r="Q72" s="96"/>
      <c r="R72" s="94"/>
      <c r="S72" s="94"/>
      <c r="T72" s="94"/>
      <c r="U72" s="94"/>
      <c r="V72" s="97"/>
      <c r="W72" s="95"/>
      <c r="X72" s="96"/>
      <c r="Y72" s="94"/>
      <c r="Z72" s="94"/>
      <c r="AA72" s="94"/>
      <c r="AB72" s="94"/>
      <c r="AC72" s="94"/>
      <c r="AD72" s="94"/>
      <c r="AE72" s="94"/>
      <c r="AF72" s="94"/>
      <c r="AG72" s="94"/>
      <c r="AH72" s="94"/>
    </row>
    <row r="73">
      <c r="A73" s="92"/>
      <c r="B73" s="93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5"/>
      <c r="Q73" s="96"/>
      <c r="R73" s="94"/>
      <c r="S73" s="94"/>
      <c r="T73" s="94"/>
      <c r="U73" s="94"/>
      <c r="V73" s="97"/>
      <c r="W73" s="95"/>
      <c r="X73" s="96"/>
      <c r="Y73" s="94"/>
      <c r="Z73" s="94"/>
      <c r="AA73" s="94"/>
      <c r="AB73" s="94"/>
      <c r="AC73" s="94"/>
      <c r="AD73" s="94"/>
      <c r="AE73" s="94"/>
      <c r="AF73" s="94"/>
      <c r="AG73" s="94"/>
      <c r="AH73" s="94"/>
    </row>
    <row r="74">
      <c r="A74" s="92"/>
      <c r="B74" s="93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5"/>
      <c r="Q74" s="96"/>
      <c r="R74" s="94"/>
      <c r="S74" s="94"/>
      <c r="T74" s="94"/>
      <c r="U74" s="94"/>
      <c r="V74" s="97"/>
      <c r="W74" s="95"/>
      <c r="X74" s="96"/>
      <c r="Y74" s="94"/>
      <c r="Z74" s="94"/>
      <c r="AA74" s="94"/>
      <c r="AB74" s="94"/>
      <c r="AC74" s="94"/>
      <c r="AD74" s="94"/>
      <c r="AE74" s="94"/>
      <c r="AF74" s="94"/>
      <c r="AG74" s="94"/>
      <c r="AH74" s="94"/>
    </row>
    <row r="75">
      <c r="A75" s="92"/>
      <c r="B75" s="93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5"/>
      <c r="Q75" s="96"/>
      <c r="R75" s="94"/>
      <c r="S75" s="94"/>
      <c r="T75" s="94"/>
      <c r="U75" s="94"/>
      <c r="V75" s="97"/>
      <c r="W75" s="95"/>
      <c r="X75" s="96"/>
      <c r="Y75" s="94"/>
      <c r="Z75" s="94"/>
      <c r="AA75" s="94"/>
      <c r="AB75" s="94"/>
      <c r="AC75" s="94"/>
      <c r="AD75" s="94"/>
      <c r="AE75" s="94"/>
      <c r="AF75" s="94"/>
      <c r="AG75" s="94"/>
      <c r="AH75" s="94"/>
    </row>
    <row r="76">
      <c r="A76" s="92"/>
      <c r="B76" s="93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5"/>
      <c r="Q76" s="96"/>
      <c r="R76" s="94"/>
      <c r="S76" s="94"/>
      <c r="T76" s="94"/>
      <c r="U76" s="94"/>
      <c r="V76" s="97"/>
      <c r="W76" s="95"/>
      <c r="X76" s="96"/>
      <c r="Y76" s="94"/>
      <c r="Z76" s="94"/>
      <c r="AA76" s="94"/>
      <c r="AB76" s="94"/>
      <c r="AC76" s="94"/>
      <c r="AD76" s="94"/>
      <c r="AE76" s="94"/>
      <c r="AF76" s="94"/>
      <c r="AG76" s="94"/>
      <c r="AH76" s="94"/>
    </row>
    <row r="77">
      <c r="A77" s="98"/>
      <c r="B77" s="99"/>
      <c r="C77" s="100"/>
      <c r="D77" s="94"/>
      <c r="E77" s="94"/>
      <c r="F77" s="94"/>
      <c r="G77" s="94"/>
      <c r="H77" s="94"/>
      <c r="I77" s="94"/>
      <c r="J77" s="94"/>
      <c r="K77" s="101"/>
      <c r="L77" s="94"/>
      <c r="M77" s="94"/>
      <c r="N77" s="94"/>
      <c r="O77" s="94"/>
      <c r="P77" s="95"/>
      <c r="Q77" s="96"/>
      <c r="R77" s="94"/>
      <c r="S77" s="94"/>
      <c r="T77" s="94"/>
      <c r="U77" s="94"/>
      <c r="V77" s="97"/>
      <c r="W77" s="95"/>
      <c r="X77" s="102"/>
      <c r="Y77" s="103"/>
      <c r="Z77" s="103"/>
      <c r="AA77" s="103"/>
      <c r="AB77" s="103"/>
      <c r="AC77" s="103"/>
      <c r="AD77" s="103"/>
      <c r="AE77" s="103"/>
      <c r="AF77" s="103"/>
      <c r="AG77" s="103"/>
      <c r="AH77" s="101"/>
    </row>
    <row r="78">
      <c r="A78" s="98"/>
      <c r="B78" s="99"/>
      <c r="C78" s="100"/>
      <c r="D78" s="94"/>
      <c r="E78" s="94"/>
      <c r="F78" s="94"/>
      <c r="G78" s="94"/>
      <c r="H78" s="94"/>
      <c r="I78" s="94"/>
      <c r="J78" s="94"/>
      <c r="K78" s="101"/>
      <c r="L78" s="94"/>
      <c r="M78" s="94"/>
      <c r="N78" s="94"/>
      <c r="O78" s="94"/>
      <c r="P78" s="95"/>
      <c r="Q78" s="96"/>
      <c r="R78" s="94"/>
      <c r="S78" s="94"/>
      <c r="T78" s="94"/>
      <c r="U78" s="94"/>
      <c r="V78" s="97"/>
      <c r="W78" s="95"/>
      <c r="X78" s="102"/>
      <c r="Y78" s="103"/>
      <c r="Z78" s="103"/>
      <c r="AA78" s="103"/>
      <c r="AB78" s="103"/>
      <c r="AC78" s="103"/>
      <c r="AD78" s="103"/>
      <c r="AE78" s="103"/>
      <c r="AF78" s="103"/>
      <c r="AG78" s="103"/>
      <c r="AH78" s="101"/>
    </row>
    <row r="79">
      <c r="A79" s="98"/>
      <c r="B79" s="99"/>
      <c r="C79" s="100"/>
      <c r="D79" s="94"/>
      <c r="E79" s="94"/>
      <c r="F79" s="94"/>
      <c r="G79" s="94"/>
      <c r="H79" s="94"/>
      <c r="I79" s="94"/>
      <c r="J79" s="94"/>
      <c r="K79" s="101"/>
      <c r="L79" s="94"/>
      <c r="M79" s="94"/>
      <c r="N79" s="94"/>
      <c r="O79" s="94"/>
      <c r="P79" s="95"/>
      <c r="Q79" s="96"/>
      <c r="R79" s="94"/>
      <c r="S79" s="94"/>
      <c r="T79" s="94"/>
      <c r="U79" s="94"/>
      <c r="V79" s="97"/>
      <c r="W79" s="95"/>
      <c r="X79" s="102"/>
      <c r="Y79" s="103"/>
      <c r="Z79" s="103"/>
      <c r="AA79" s="103"/>
      <c r="AB79" s="103"/>
      <c r="AC79" s="103"/>
      <c r="AD79" s="103"/>
      <c r="AE79" s="103"/>
      <c r="AF79" s="103"/>
      <c r="AG79" s="103"/>
      <c r="AH79" s="101"/>
    </row>
    <row r="80">
      <c r="A80" s="98"/>
      <c r="B80" s="99"/>
      <c r="C80" s="100"/>
      <c r="D80" s="94"/>
      <c r="E80" s="94"/>
      <c r="F80" s="94"/>
      <c r="G80" s="94"/>
      <c r="H80" s="94"/>
      <c r="I80" s="94"/>
      <c r="J80" s="94"/>
      <c r="K80" s="101"/>
      <c r="L80" s="94"/>
      <c r="M80" s="94"/>
      <c r="N80" s="94"/>
      <c r="O80" s="94"/>
      <c r="P80" s="95"/>
      <c r="Q80" s="96"/>
      <c r="R80" s="94"/>
      <c r="S80" s="94"/>
      <c r="T80" s="94"/>
      <c r="U80" s="94"/>
      <c r="V80" s="97"/>
      <c r="W80" s="95"/>
      <c r="X80" s="102"/>
      <c r="Y80" s="103"/>
      <c r="Z80" s="103"/>
      <c r="AA80" s="103"/>
      <c r="AB80" s="103"/>
      <c r="AC80" s="103"/>
      <c r="AD80" s="103"/>
      <c r="AE80" s="103"/>
      <c r="AF80" s="103"/>
      <c r="AG80" s="103"/>
      <c r="AH80" s="101"/>
    </row>
    <row r="81">
      <c r="A81" s="98"/>
      <c r="B81" s="99"/>
      <c r="C81" s="100"/>
      <c r="D81" s="94"/>
      <c r="E81" s="94"/>
      <c r="F81" s="94"/>
      <c r="G81" s="94"/>
      <c r="H81" s="94"/>
      <c r="I81" s="94"/>
      <c r="J81" s="94"/>
      <c r="K81" s="101"/>
      <c r="L81" s="94"/>
      <c r="M81" s="94"/>
      <c r="N81" s="94"/>
      <c r="O81" s="94"/>
      <c r="P81" s="95"/>
      <c r="Q81" s="96"/>
      <c r="R81" s="94"/>
      <c r="S81" s="94"/>
      <c r="T81" s="94"/>
      <c r="U81" s="94"/>
      <c r="V81" s="97"/>
      <c r="W81" s="95"/>
      <c r="X81" s="102"/>
      <c r="Y81" s="103"/>
      <c r="Z81" s="103"/>
      <c r="AA81" s="103"/>
      <c r="AB81" s="103"/>
      <c r="AC81" s="103"/>
      <c r="AD81" s="103"/>
      <c r="AE81" s="103"/>
      <c r="AF81" s="103"/>
      <c r="AG81" s="103"/>
      <c r="AH81" s="101"/>
    </row>
    <row r="82">
      <c r="A82" s="98"/>
      <c r="B82" s="99"/>
      <c r="C82" s="100"/>
      <c r="D82" s="94"/>
      <c r="E82" s="94"/>
      <c r="F82" s="94"/>
      <c r="G82" s="94"/>
      <c r="H82" s="94"/>
      <c r="I82" s="94"/>
      <c r="J82" s="94"/>
      <c r="K82" s="101"/>
      <c r="L82" s="94"/>
      <c r="M82" s="94"/>
      <c r="N82" s="94"/>
      <c r="O82" s="94"/>
      <c r="P82" s="95"/>
      <c r="Q82" s="96"/>
      <c r="R82" s="94"/>
      <c r="S82" s="94"/>
      <c r="T82" s="94"/>
      <c r="U82" s="94"/>
      <c r="V82" s="97"/>
      <c r="W82" s="95"/>
      <c r="X82" s="102"/>
      <c r="Y82" s="103"/>
      <c r="Z82" s="103"/>
      <c r="AA82" s="103"/>
      <c r="AB82" s="103"/>
      <c r="AC82" s="103"/>
      <c r="AD82" s="103"/>
      <c r="AE82" s="103"/>
      <c r="AF82" s="103"/>
      <c r="AG82" s="103"/>
      <c r="AH82" s="101"/>
    </row>
    <row r="83">
      <c r="A83" s="98"/>
      <c r="B83" s="99"/>
      <c r="C83" s="100"/>
      <c r="D83" s="94"/>
      <c r="E83" s="94"/>
      <c r="F83" s="94"/>
      <c r="G83" s="94"/>
      <c r="H83" s="94"/>
      <c r="I83" s="94"/>
      <c r="J83" s="94"/>
      <c r="K83" s="101"/>
      <c r="L83" s="94"/>
      <c r="M83" s="94"/>
      <c r="N83" s="94"/>
      <c r="O83" s="94"/>
      <c r="P83" s="95"/>
      <c r="Q83" s="96"/>
      <c r="R83" s="94"/>
      <c r="S83" s="94"/>
      <c r="T83" s="94"/>
      <c r="U83" s="94"/>
      <c r="V83" s="97"/>
      <c r="W83" s="95"/>
      <c r="X83" s="102"/>
      <c r="Y83" s="103"/>
      <c r="Z83" s="103"/>
      <c r="AA83" s="103"/>
      <c r="AB83" s="103"/>
      <c r="AC83" s="103"/>
      <c r="AD83" s="103"/>
      <c r="AE83" s="103"/>
      <c r="AF83" s="103"/>
      <c r="AG83" s="103"/>
      <c r="AH83" s="101"/>
    </row>
    <row r="84">
      <c r="A84" s="98"/>
      <c r="B84" s="99"/>
      <c r="C84" s="100"/>
      <c r="D84" s="94"/>
      <c r="E84" s="94"/>
      <c r="F84" s="94"/>
      <c r="G84" s="94"/>
      <c r="H84" s="94"/>
      <c r="I84" s="94"/>
      <c r="J84" s="94"/>
      <c r="K84" s="101"/>
      <c r="L84" s="94"/>
      <c r="M84" s="94"/>
      <c r="N84" s="94"/>
      <c r="O84" s="94"/>
      <c r="P84" s="95"/>
      <c r="Q84" s="96"/>
      <c r="R84" s="94"/>
      <c r="S84" s="94"/>
      <c r="T84" s="94"/>
      <c r="U84" s="94"/>
      <c r="V84" s="97"/>
      <c r="W84" s="95"/>
      <c r="X84" s="102"/>
      <c r="Y84" s="103"/>
      <c r="Z84" s="103"/>
      <c r="AA84" s="103"/>
      <c r="AB84" s="103"/>
      <c r="AC84" s="103"/>
      <c r="AD84" s="103"/>
      <c r="AE84" s="103"/>
      <c r="AF84" s="103"/>
      <c r="AG84" s="103"/>
      <c r="AH84" s="101"/>
    </row>
    <row r="85">
      <c r="A85" s="98"/>
      <c r="B85" s="99"/>
      <c r="C85" s="100"/>
      <c r="D85" s="94"/>
      <c r="E85" s="94"/>
      <c r="F85" s="94"/>
      <c r="G85" s="94"/>
      <c r="H85" s="94"/>
      <c r="I85" s="94"/>
      <c r="J85" s="94"/>
      <c r="K85" s="101"/>
      <c r="L85" s="94"/>
      <c r="M85" s="94"/>
      <c r="N85" s="94"/>
      <c r="O85" s="94"/>
      <c r="P85" s="95"/>
      <c r="Q85" s="96"/>
      <c r="R85" s="94"/>
      <c r="S85" s="94"/>
      <c r="T85" s="94"/>
      <c r="U85" s="94"/>
      <c r="V85" s="97"/>
      <c r="W85" s="95"/>
      <c r="X85" s="102"/>
      <c r="Y85" s="103"/>
      <c r="Z85" s="103"/>
      <c r="AA85" s="103"/>
      <c r="AB85" s="103"/>
      <c r="AC85" s="103"/>
      <c r="AD85" s="103"/>
      <c r="AE85" s="103"/>
      <c r="AF85" s="103"/>
      <c r="AG85" s="103"/>
      <c r="AH85" s="101"/>
    </row>
    <row r="86">
      <c r="A86" s="98"/>
      <c r="B86" s="99"/>
      <c r="C86" s="100"/>
      <c r="D86" s="94"/>
      <c r="E86" s="94"/>
      <c r="F86" s="94"/>
      <c r="G86" s="94"/>
      <c r="H86" s="94"/>
      <c r="I86" s="94"/>
      <c r="J86" s="94"/>
      <c r="K86" s="101"/>
      <c r="L86" s="94"/>
      <c r="M86" s="94"/>
      <c r="N86" s="94"/>
      <c r="O86" s="94"/>
      <c r="P86" s="95"/>
      <c r="Q86" s="96"/>
      <c r="R86" s="94"/>
      <c r="S86" s="94"/>
      <c r="T86" s="94"/>
      <c r="U86" s="94"/>
      <c r="V86" s="97"/>
      <c r="W86" s="95"/>
      <c r="X86" s="102"/>
      <c r="Y86" s="103"/>
      <c r="Z86" s="103"/>
      <c r="AA86" s="103"/>
      <c r="AB86" s="103"/>
      <c r="AC86" s="103"/>
      <c r="AD86" s="103"/>
      <c r="AE86" s="103"/>
      <c r="AF86" s="103"/>
      <c r="AG86" s="103"/>
      <c r="AH86" s="101"/>
    </row>
    <row r="87">
      <c r="A87" s="98"/>
      <c r="B87" s="99"/>
      <c r="C87" s="100"/>
      <c r="D87" s="94"/>
      <c r="E87" s="94"/>
      <c r="F87" s="94"/>
      <c r="G87" s="94"/>
      <c r="H87" s="94"/>
      <c r="I87" s="94"/>
      <c r="J87" s="94"/>
      <c r="K87" s="101"/>
      <c r="L87" s="94"/>
      <c r="M87" s="94"/>
      <c r="N87" s="94"/>
      <c r="O87" s="94"/>
      <c r="P87" s="95"/>
      <c r="Q87" s="96"/>
      <c r="R87" s="94"/>
      <c r="S87" s="94"/>
      <c r="T87" s="94"/>
      <c r="U87" s="94"/>
      <c r="V87" s="97"/>
      <c r="W87" s="95"/>
      <c r="X87" s="102"/>
      <c r="Y87" s="103"/>
      <c r="Z87" s="103"/>
      <c r="AA87" s="103"/>
      <c r="AB87" s="103"/>
      <c r="AC87" s="103"/>
      <c r="AD87" s="103"/>
      <c r="AE87" s="103"/>
      <c r="AF87" s="103"/>
      <c r="AG87" s="103"/>
      <c r="AH87" s="101"/>
    </row>
    <row r="88">
      <c r="A88" s="98"/>
      <c r="B88" s="99"/>
      <c r="C88" s="100"/>
      <c r="D88" s="94"/>
      <c r="E88" s="94"/>
      <c r="F88" s="94"/>
      <c r="G88" s="94"/>
      <c r="H88" s="94"/>
      <c r="I88" s="94"/>
      <c r="J88" s="94"/>
      <c r="K88" s="101"/>
      <c r="L88" s="94"/>
      <c r="M88" s="94"/>
      <c r="N88" s="94"/>
      <c r="O88" s="94"/>
      <c r="P88" s="95"/>
      <c r="Q88" s="96"/>
      <c r="R88" s="94"/>
      <c r="S88" s="94"/>
      <c r="T88" s="94"/>
      <c r="U88" s="94"/>
      <c r="V88" s="97"/>
      <c r="W88" s="95"/>
      <c r="X88" s="102"/>
      <c r="Y88" s="103"/>
      <c r="Z88" s="103"/>
      <c r="AA88" s="103"/>
      <c r="AB88" s="103"/>
      <c r="AC88" s="103"/>
      <c r="AD88" s="103"/>
      <c r="AE88" s="103"/>
      <c r="AF88" s="103"/>
      <c r="AG88" s="103"/>
      <c r="AH88" s="101"/>
    </row>
    <row r="89">
      <c r="A89" s="98"/>
      <c r="B89" s="99"/>
      <c r="C89" s="100"/>
      <c r="D89" s="100"/>
      <c r="E89" s="100"/>
      <c r="F89" s="100"/>
      <c r="G89" s="100"/>
      <c r="H89" s="100"/>
      <c r="I89" s="100"/>
      <c r="J89" s="100"/>
      <c r="K89" s="104"/>
      <c r="L89" s="100"/>
      <c r="M89" s="100"/>
      <c r="N89" s="100"/>
      <c r="O89" s="100"/>
      <c r="P89" s="105"/>
      <c r="Q89" s="106"/>
      <c r="R89" s="100"/>
      <c r="S89" s="100"/>
      <c r="T89" s="100"/>
      <c r="U89" s="100"/>
      <c r="V89" s="107"/>
      <c r="W89" s="105"/>
      <c r="X89" s="108"/>
      <c r="Y89" s="109"/>
      <c r="Z89" s="109"/>
      <c r="AA89" s="109"/>
      <c r="AB89" s="109"/>
      <c r="AC89" s="109"/>
      <c r="AD89" s="109"/>
      <c r="AE89" s="109"/>
      <c r="AF89" s="109"/>
      <c r="AG89" s="109"/>
      <c r="AH89" s="104"/>
    </row>
    <row r="90">
      <c r="A90" s="98"/>
      <c r="B90" s="99"/>
      <c r="C90" s="100"/>
      <c r="D90" s="100"/>
      <c r="E90" s="100"/>
      <c r="F90" s="100"/>
      <c r="G90" s="100"/>
      <c r="H90" s="100"/>
      <c r="I90" s="100"/>
      <c r="J90" s="100"/>
      <c r="K90" s="104"/>
      <c r="L90" s="100"/>
      <c r="M90" s="100"/>
      <c r="N90" s="100"/>
      <c r="O90" s="100"/>
      <c r="P90" s="105"/>
      <c r="Q90" s="106"/>
      <c r="R90" s="100"/>
      <c r="S90" s="100"/>
      <c r="T90" s="100"/>
      <c r="U90" s="100"/>
      <c r="V90" s="107"/>
      <c r="W90" s="105"/>
      <c r="X90" s="108"/>
      <c r="Y90" s="109"/>
      <c r="Z90" s="109"/>
      <c r="AA90" s="109"/>
      <c r="AB90" s="109"/>
      <c r="AC90" s="109"/>
      <c r="AD90" s="109"/>
      <c r="AE90" s="109"/>
      <c r="AF90" s="109"/>
      <c r="AG90" s="109"/>
      <c r="AH90" s="104"/>
    </row>
    <row r="91">
      <c r="A91" s="98"/>
      <c r="B91" s="99"/>
      <c r="C91" s="100"/>
      <c r="D91" s="100"/>
      <c r="E91" s="100"/>
      <c r="F91" s="100"/>
      <c r="G91" s="100"/>
      <c r="H91" s="100"/>
      <c r="I91" s="100"/>
      <c r="J91" s="100"/>
      <c r="K91" s="104"/>
      <c r="L91" s="100"/>
      <c r="M91" s="100"/>
      <c r="N91" s="100"/>
      <c r="O91" s="100"/>
      <c r="P91" s="105"/>
      <c r="Q91" s="106"/>
      <c r="R91" s="100"/>
      <c r="S91" s="100"/>
      <c r="T91" s="100"/>
      <c r="U91" s="100"/>
      <c r="V91" s="107"/>
      <c r="W91" s="105"/>
      <c r="X91" s="108"/>
      <c r="Y91" s="109"/>
      <c r="Z91" s="109"/>
      <c r="AA91" s="109"/>
      <c r="AB91" s="109"/>
      <c r="AC91" s="109"/>
      <c r="AD91" s="109"/>
      <c r="AE91" s="109"/>
      <c r="AF91" s="109"/>
      <c r="AG91" s="109"/>
      <c r="AH91" s="104"/>
    </row>
    <row r="92">
      <c r="A92" s="98"/>
      <c r="B92" s="99"/>
      <c r="C92" s="100"/>
      <c r="D92" s="100"/>
      <c r="E92" s="100"/>
      <c r="F92" s="100"/>
      <c r="G92" s="100"/>
      <c r="H92" s="100"/>
      <c r="I92" s="100"/>
      <c r="J92" s="100"/>
      <c r="K92" s="104"/>
      <c r="L92" s="100"/>
      <c r="M92" s="100"/>
      <c r="N92" s="100"/>
      <c r="O92" s="100"/>
      <c r="P92" s="105"/>
      <c r="Q92" s="106"/>
      <c r="R92" s="100"/>
      <c r="S92" s="100"/>
      <c r="T92" s="100"/>
      <c r="U92" s="100"/>
      <c r="V92" s="107"/>
      <c r="W92" s="105"/>
      <c r="X92" s="108"/>
      <c r="Y92" s="109"/>
      <c r="Z92" s="109"/>
      <c r="AA92" s="109"/>
      <c r="AB92" s="109"/>
      <c r="AC92" s="109"/>
      <c r="AD92" s="109"/>
      <c r="AE92" s="109"/>
      <c r="AF92" s="109"/>
      <c r="AG92" s="109"/>
      <c r="AH92" s="104"/>
    </row>
    <row r="93">
      <c r="A93" s="78"/>
      <c r="B93" s="79"/>
      <c r="C93" s="80"/>
      <c r="D93" s="80"/>
      <c r="E93" s="80"/>
      <c r="F93" s="80"/>
      <c r="G93" s="80"/>
      <c r="H93" s="80"/>
      <c r="I93" s="80"/>
      <c r="J93" s="80"/>
      <c r="K93" s="82"/>
      <c r="L93" s="80"/>
      <c r="M93" s="80"/>
      <c r="N93" s="80"/>
      <c r="O93" s="80"/>
      <c r="P93" s="80"/>
      <c r="Q93" s="83"/>
      <c r="R93" s="80"/>
      <c r="S93" s="80"/>
      <c r="T93" s="80"/>
      <c r="U93" s="80"/>
      <c r="V93" s="84"/>
      <c r="W93" s="80"/>
      <c r="X93" s="85"/>
      <c r="Y93" s="86"/>
      <c r="Z93" s="86"/>
      <c r="AA93" s="86"/>
      <c r="AB93" s="86"/>
      <c r="AC93" s="86"/>
      <c r="AD93" s="86"/>
      <c r="AE93" s="86"/>
      <c r="AF93" s="86"/>
      <c r="AG93" s="86"/>
      <c r="AH93" s="82"/>
    </row>
    <row r="94">
      <c r="A94" s="78"/>
      <c r="B94" s="79"/>
      <c r="C94" s="80"/>
      <c r="D94" s="80"/>
      <c r="E94" s="80"/>
      <c r="F94" s="80"/>
      <c r="G94" s="80"/>
      <c r="H94" s="80"/>
      <c r="I94" s="80"/>
      <c r="J94" s="80"/>
      <c r="K94" s="82"/>
      <c r="L94" s="80"/>
      <c r="M94" s="80"/>
      <c r="N94" s="80"/>
      <c r="O94" s="80"/>
      <c r="P94" s="80"/>
      <c r="Q94" s="83"/>
      <c r="R94" s="80"/>
      <c r="S94" s="80"/>
      <c r="T94" s="80"/>
      <c r="U94" s="80"/>
      <c r="V94" s="84"/>
      <c r="W94" s="80"/>
      <c r="X94" s="85"/>
      <c r="Y94" s="86"/>
      <c r="Z94" s="86"/>
      <c r="AA94" s="86"/>
      <c r="AB94" s="86"/>
      <c r="AC94" s="86"/>
      <c r="AD94" s="86"/>
      <c r="AE94" s="86"/>
      <c r="AF94" s="86"/>
      <c r="AG94" s="86"/>
      <c r="AH94" s="82"/>
    </row>
    <row r="95">
      <c r="A95" s="78"/>
      <c r="B95" s="79"/>
      <c r="C95" s="80"/>
      <c r="D95" s="80"/>
      <c r="E95" s="80"/>
      <c r="F95" s="80"/>
      <c r="G95" s="80"/>
      <c r="H95" s="80"/>
      <c r="I95" s="80"/>
      <c r="J95" s="80"/>
      <c r="K95" s="82"/>
      <c r="L95" s="80"/>
      <c r="M95" s="80"/>
      <c r="N95" s="80"/>
      <c r="O95" s="80"/>
      <c r="P95" s="80"/>
      <c r="Q95" s="83"/>
      <c r="R95" s="80"/>
      <c r="S95" s="80"/>
      <c r="T95" s="80"/>
      <c r="U95" s="80"/>
      <c r="V95" s="84"/>
      <c r="W95" s="80"/>
      <c r="X95" s="85"/>
      <c r="Y95" s="86"/>
      <c r="Z95" s="86"/>
      <c r="AA95" s="86"/>
      <c r="AB95" s="86"/>
      <c r="AC95" s="86"/>
      <c r="AD95" s="86"/>
      <c r="AE95" s="86"/>
      <c r="AF95" s="86"/>
      <c r="AG95" s="86"/>
      <c r="AH95" s="82"/>
    </row>
    <row r="96">
      <c r="A96" s="78"/>
      <c r="B96" s="79"/>
      <c r="C96" s="80"/>
      <c r="D96" s="80"/>
      <c r="E96" s="80"/>
      <c r="F96" s="80"/>
      <c r="G96" s="80"/>
      <c r="H96" s="80"/>
      <c r="I96" s="80"/>
      <c r="J96" s="80"/>
      <c r="K96" s="82"/>
      <c r="L96" s="80"/>
      <c r="M96" s="80"/>
      <c r="N96" s="80"/>
      <c r="O96" s="80"/>
      <c r="P96" s="80"/>
      <c r="Q96" s="83"/>
      <c r="R96" s="80"/>
      <c r="S96" s="80"/>
      <c r="T96" s="80"/>
      <c r="U96" s="80"/>
      <c r="V96" s="84"/>
      <c r="W96" s="80"/>
      <c r="X96" s="85"/>
      <c r="Y96" s="86"/>
      <c r="Z96" s="86"/>
      <c r="AA96" s="86"/>
      <c r="AB96" s="86"/>
      <c r="AC96" s="86"/>
      <c r="AD96" s="86"/>
      <c r="AE96" s="86"/>
      <c r="AF96" s="86"/>
      <c r="AG96" s="86"/>
      <c r="AH96" s="82"/>
    </row>
    <row r="97">
      <c r="A97" s="78"/>
      <c r="B97" s="79"/>
      <c r="C97" s="80"/>
      <c r="D97" s="80"/>
      <c r="E97" s="80"/>
      <c r="F97" s="80"/>
      <c r="G97" s="80"/>
      <c r="H97" s="80"/>
      <c r="I97" s="80"/>
      <c r="J97" s="80"/>
      <c r="K97" s="82"/>
      <c r="L97" s="80"/>
      <c r="M97" s="80"/>
      <c r="N97" s="80"/>
      <c r="O97" s="80"/>
      <c r="P97" s="80"/>
      <c r="Q97" s="83"/>
      <c r="R97" s="80"/>
      <c r="S97" s="80"/>
      <c r="T97" s="80"/>
      <c r="U97" s="80"/>
      <c r="V97" s="84"/>
      <c r="W97" s="80"/>
      <c r="X97" s="85"/>
      <c r="Y97" s="86"/>
      <c r="Z97" s="86"/>
      <c r="AA97" s="86"/>
      <c r="AB97" s="86"/>
      <c r="AC97" s="86"/>
      <c r="AD97" s="86"/>
      <c r="AE97" s="86"/>
      <c r="AF97" s="86"/>
      <c r="AG97" s="86"/>
      <c r="AH97" s="82"/>
    </row>
    <row r="98">
      <c r="A98" s="78"/>
      <c r="B98" s="79"/>
      <c r="C98" s="80"/>
      <c r="D98" s="80"/>
      <c r="E98" s="80"/>
      <c r="F98" s="80"/>
      <c r="G98" s="80"/>
      <c r="H98" s="80"/>
      <c r="I98" s="80"/>
      <c r="J98" s="80"/>
      <c r="K98" s="82"/>
      <c r="L98" s="80"/>
      <c r="M98" s="80"/>
      <c r="N98" s="80"/>
      <c r="O98" s="80"/>
      <c r="P98" s="80"/>
      <c r="Q98" s="83"/>
      <c r="R98" s="80"/>
      <c r="S98" s="80"/>
      <c r="T98" s="80"/>
      <c r="U98" s="80"/>
      <c r="V98" s="84"/>
      <c r="W98" s="80"/>
      <c r="X98" s="85"/>
      <c r="Y98" s="86"/>
      <c r="Z98" s="86"/>
      <c r="AA98" s="86"/>
      <c r="AB98" s="86"/>
      <c r="AC98" s="86"/>
      <c r="AD98" s="86"/>
      <c r="AE98" s="86"/>
      <c r="AF98" s="86"/>
      <c r="AG98" s="86"/>
      <c r="AH98" s="82"/>
    </row>
    <row r="99">
      <c r="A99" s="78"/>
      <c r="B99" s="79"/>
      <c r="C99" s="80"/>
      <c r="D99" s="80"/>
      <c r="E99" s="80"/>
      <c r="F99" s="80"/>
      <c r="G99" s="80"/>
      <c r="H99" s="80"/>
      <c r="I99" s="80"/>
      <c r="J99" s="80"/>
      <c r="K99" s="82"/>
      <c r="L99" s="80"/>
      <c r="M99" s="80"/>
      <c r="N99" s="80"/>
      <c r="O99" s="80"/>
      <c r="P99" s="80"/>
      <c r="Q99" s="83"/>
      <c r="R99" s="80"/>
      <c r="S99" s="80"/>
      <c r="T99" s="80"/>
      <c r="U99" s="80"/>
      <c r="V99" s="84"/>
      <c r="W99" s="80"/>
      <c r="X99" s="85"/>
      <c r="Y99" s="86"/>
      <c r="Z99" s="86"/>
      <c r="AA99" s="86"/>
      <c r="AB99" s="86"/>
      <c r="AC99" s="86"/>
      <c r="AD99" s="86"/>
      <c r="AE99" s="86"/>
      <c r="AF99" s="86"/>
      <c r="AG99" s="86"/>
      <c r="AH99" s="82"/>
    </row>
    <row r="100">
      <c r="A100" s="78"/>
      <c r="B100" s="79"/>
      <c r="C100" s="80"/>
      <c r="D100" s="80"/>
      <c r="E100" s="80"/>
      <c r="F100" s="80"/>
      <c r="G100" s="80"/>
      <c r="H100" s="80"/>
      <c r="I100" s="80"/>
      <c r="J100" s="80"/>
      <c r="K100" s="82"/>
      <c r="L100" s="80"/>
      <c r="M100" s="80"/>
      <c r="N100" s="80"/>
      <c r="O100" s="80"/>
      <c r="P100" s="80"/>
      <c r="Q100" s="83"/>
      <c r="R100" s="80"/>
      <c r="S100" s="80"/>
      <c r="T100" s="80"/>
      <c r="U100" s="80"/>
      <c r="V100" s="84"/>
      <c r="W100" s="80"/>
      <c r="X100" s="85"/>
      <c r="Y100" s="86"/>
      <c r="Z100" s="86"/>
      <c r="AA100" s="86"/>
      <c r="AB100" s="86"/>
      <c r="AC100" s="86"/>
      <c r="AD100" s="86"/>
      <c r="AE100" s="86"/>
      <c r="AF100" s="86"/>
      <c r="AG100" s="86"/>
      <c r="AH100" s="82"/>
    </row>
    <row r="101">
      <c r="A101" s="78"/>
      <c r="B101" s="79"/>
      <c r="C101" s="80"/>
      <c r="D101" s="80"/>
      <c r="E101" s="80"/>
      <c r="F101" s="80"/>
      <c r="G101" s="80"/>
      <c r="H101" s="80"/>
      <c r="I101" s="80"/>
      <c r="J101" s="80"/>
      <c r="K101" s="82"/>
      <c r="L101" s="80"/>
      <c r="M101" s="80"/>
      <c r="N101" s="80"/>
      <c r="O101" s="80"/>
      <c r="P101" s="80"/>
      <c r="Q101" s="83"/>
      <c r="R101" s="80"/>
      <c r="S101" s="80"/>
      <c r="T101" s="80"/>
      <c r="U101" s="80"/>
      <c r="V101" s="84"/>
      <c r="W101" s="80"/>
      <c r="X101" s="85"/>
      <c r="Y101" s="86"/>
      <c r="Z101" s="86"/>
      <c r="AA101" s="86"/>
      <c r="AB101" s="86"/>
      <c r="AC101" s="86"/>
      <c r="AD101" s="86"/>
      <c r="AE101" s="86"/>
      <c r="AF101" s="86"/>
      <c r="AG101" s="86"/>
      <c r="AH101" s="82"/>
    </row>
    <row r="102">
      <c r="A102" s="78"/>
      <c r="B102" s="79"/>
      <c r="C102" s="80"/>
      <c r="D102" s="80"/>
      <c r="E102" s="80"/>
      <c r="F102" s="80"/>
      <c r="G102" s="80"/>
      <c r="H102" s="80"/>
      <c r="I102" s="80"/>
      <c r="J102" s="80"/>
      <c r="K102" s="82"/>
      <c r="L102" s="80"/>
      <c r="M102" s="80"/>
      <c r="N102" s="80"/>
      <c r="O102" s="80"/>
      <c r="P102" s="80"/>
      <c r="Q102" s="83"/>
      <c r="R102" s="80"/>
      <c r="S102" s="80"/>
      <c r="T102" s="80"/>
      <c r="U102" s="80"/>
      <c r="V102" s="84"/>
      <c r="W102" s="80"/>
      <c r="X102" s="85"/>
      <c r="Y102" s="86"/>
      <c r="Z102" s="86"/>
      <c r="AA102" s="86"/>
      <c r="AB102" s="86"/>
      <c r="AC102" s="86"/>
      <c r="AD102" s="86"/>
      <c r="AE102" s="86"/>
      <c r="AF102" s="86"/>
      <c r="AG102" s="86"/>
      <c r="AH102" s="82"/>
    </row>
    <row r="103">
      <c r="A103" s="78"/>
      <c r="B103" s="79"/>
      <c r="C103" s="80"/>
      <c r="D103" s="80"/>
      <c r="E103" s="80"/>
      <c r="F103" s="80"/>
      <c r="G103" s="80"/>
      <c r="H103" s="80"/>
      <c r="I103" s="80"/>
      <c r="J103" s="80"/>
      <c r="K103" s="82"/>
      <c r="L103" s="80"/>
      <c r="M103" s="80"/>
      <c r="N103" s="80"/>
      <c r="O103" s="80"/>
      <c r="P103" s="80"/>
      <c r="Q103" s="83"/>
      <c r="R103" s="80"/>
      <c r="S103" s="80"/>
      <c r="T103" s="80"/>
      <c r="U103" s="80"/>
      <c r="V103" s="84"/>
      <c r="W103" s="80"/>
      <c r="X103" s="85"/>
      <c r="Y103" s="86"/>
      <c r="Z103" s="86"/>
      <c r="AA103" s="86"/>
      <c r="AB103" s="86"/>
      <c r="AC103" s="86"/>
      <c r="AD103" s="86"/>
      <c r="AE103" s="86"/>
      <c r="AF103" s="86"/>
      <c r="AG103" s="86"/>
      <c r="AH103" s="82"/>
    </row>
    <row r="104">
      <c r="A104" s="78"/>
      <c r="B104" s="79"/>
      <c r="C104" s="80"/>
      <c r="D104" s="80"/>
      <c r="E104" s="80"/>
      <c r="F104" s="80"/>
      <c r="G104" s="80"/>
      <c r="H104" s="80"/>
      <c r="I104" s="80"/>
      <c r="J104" s="80"/>
      <c r="K104" s="82"/>
      <c r="L104" s="80"/>
      <c r="M104" s="80"/>
      <c r="N104" s="80"/>
      <c r="O104" s="80"/>
      <c r="P104" s="80"/>
      <c r="Q104" s="83"/>
      <c r="R104" s="80"/>
      <c r="S104" s="80"/>
      <c r="T104" s="80"/>
      <c r="U104" s="80"/>
      <c r="V104" s="84"/>
      <c r="W104" s="80"/>
      <c r="X104" s="85"/>
      <c r="Y104" s="86"/>
      <c r="Z104" s="86"/>
      <c r="AA104" s="86"/>
      <c r="AB104" s="86"/>
      <c r="AC104" s="86"/>
      <c r="AD104" s="86"/>
      <c r="AE104" s="86"/>
      <c r="AF104" s="86"/>
      <c r="AG104" s="86"/>
      <c r="AH104" s="82"/>
    </row>
    <row r="105">
      <c r="A105" s="78"/>
      <c r="B105" s="79"/>
      <c r="C105" s="80"/>
      <c r="D105" s="80"/>
      <c r="E105" s="80"/>
      <c r="F105" s="80"/>
      <c r="G105" s="80"/>
      <c r="H105" s="80"/>
      <c r="I105" s="80"/>
      <c r="J105" s="80"/>
      <c r="K105" s="82"/>
      <c r="L105" s="80"/>
      <c r="M105" s="80"/>
      <c r="N105" s="80"/>
      <c r="O105" s="80"/>
      <c r="P105" s="80"/>
      <c r="Q105" s="83"/>
      <c r="R105" s="80"/>
      <c r="S105" s="80"/>
      <c r="T105" s="80"/>
      <c r="U105" s="80"/>
      <c r="V105" s="84"/>
      <c r="W105" s="80"/>
      <c r="X105" s="85"/>
      <c r="Y105" s="86"/>
      <c r="Z105" s="86"/>
      <c r="AA105" s="86"/>
      <c r="AB105" s="86"/>
      <c r="AC105" s="86"/>
      <c r="AD105" s="86"/>
      <c r="AE105" s="86"/>
      <c r="AF105" s="86"/>
      <c r="AG105" s="86"/>
      <c r="AH105" s="82"/>
    </row>
    <row r="106">
      <c r="A106" s="78"/>
      <c r="B106" s="79"/>
      <c r="C106" s="80"/>
      <c r="D106" s="80"/>
      <c r="E106" s="80"/>
      <c r="F106" s="80"/>
      <c r="G106" s="80"/>
      <c r="H106" s="80"/>
      <c r="I106" s="80"/>
      <c r="J106" s="80"/>
      <c r="K106" s="82"/>
      <c r="L106" s="80"/>
      <c r="M106" s="80"/>
      <c r="N106" s="80"/>
      <c r="O106" s="80"/>
      <c r="P106" s="80"/>
      <c r="Q106" s="83"/>
      <c r="R106" s="80"/>
      <c r="S106" s="80"/>
      <c r="T106" s="80"/>
      <c r="U106" s="80"/>
      <c r="V106" s="84"/>
      <c r="W106" s="80"/>
      <c r="X106" s="85"/>
      <c r="Y106" s="86"/>
      <c r="Z106" s="86"/>
      <c r="AA106" s="86"/>
      <c r="AB106" s="86"/>
      <c r="AC106" s="86"/>
      <c r="AD106" s="86"/>
      <c r="AE106" s="86"/>
      <c r="AF106" s="86"/>
      <c r="AG106" s="86"/>
      <c r="AH106" s="82"/>
    </row>
    <row r="107">
      <c r="A107" s="78"/>
      <c r="B107" s="79"/>
      <c r="C107" s="80"/>
      <c r="D107" s="80"/>
      <c r="E107" s="80"/>
      <c r="F107" s="80"/>
      <c r="G107" s="80"/>
      <c r="H107" s="80"/>
      <c r="I107" s="80"/>
      <c r="J107" s="80"/>
      <c r="K107" s="82"/>
      <c r="L107" s="80"/>
      <c r="M107" s="80"/>
      <c r="N107" s="80"/>
      <c r="O107" s="80"/>
      <c r="P107" s="80"/>
      <c r="Q107" s="83"/>
      <c r="R107" s="80"/>
      <c r="S107" s="80"/>
      <c r="T107" s="80"/>
      <c r="U107" s="80"/>
      <c r="V107" s="84"/>
      <c r="W107" s="80"/>
      <c r="X107" s="85"/>
      <c r="Y107" s="86"/>
      <c r="Z107" s="86"/>
      <c r="AA107" s="86"/>
      <c r="AB107" s="86"/>
      <c r="AC107" s="86"/>
      <c r="AD107" s="86"/>
      <c r="AE107" s="86"/>
      <c r="AF107" s="86"/>
      <c r="AG107" s="86"/>
      <c r="AH107" s="82"/>
    </row>
    <row r="108">
      <c r="A108" s="78"/>
      <c r="B108" s="79"/>
      <c r="C108" s="80"/>
      <c r="D108" s="80"/>
      <c r="E108" s="80"/>
      <c r="F108" s="80"/>
      <c r="G108" s="80"/>
      <c r="H108" s="80"/>
      <c r="I108" s="80"/>
      <c r="J108" s="80"/>
      <c r="K108" s="82"/>
      <c r="L108" s="80"/>
      <c r="M108" s="80"/>
      <c r="N108" s="80"/>
      <c r="O108" s="80"/>
      <c r="P108" s="80"/>
      <c r="Q108" s="83"/>
      <c r="R108" s="80"/>
      <c r="S108" s="80"/>
      <c r="T108" s="80"/>
      <c r="U108" s="80"/>
      <c r="V108" s="84"/>
      <c r="W108" s="80"/>
      <c r="X108" s="85"/>
      <c r="Y108" s="86"/>
      <c r="Z108" s="86"/>
      <c r="AA108" s="86"/>
      <c r="AB108" s="86"/>
      <c r="AC108" s="86"/>
      <c r="AD108" s="86"/>
      <c r="AE108" s="86"/>
      <c r="AF108" s="86"/>
      <c r="AG108" s="86"/>
      <c r="AH108" s="82"/>
    </row>
    <row r="109">
      <c r="A109" s="78"/>
      <c r="B109" s="79"/>
      <c r="C109" s="80"/>
      <c r="D109" s="80"/>
      <c r="E109" s="80"/>
      <c r="F109" s="80"/>
      <c r="G109" s="80"/>
      <c r="H109" s="80"/>
      <c r="I109" s="80"/>
      <c r="J109" s="80"/>
      <c r="K109" s="82"/>
      <c r="L109" s="80"/>
      <c r="M109" s="80"/>
      <c r="N109" s="80"/>
      <c r="O109" s="80"/>
      <c r="P109" s="80"/>
      <c r="Q109" s="83"/>
      <c r="R109" s="80"/>
      <c r="S109" s="80"/>
      <c r="T109" s="80"/>
      <c r="U109" s="80"/>
      <c r="V109" s="84"/>
      <c r="W109" s="80"/>
      <c r="X109" s="85"/>
      <c r="Y109" s="86"/>
      <c r="Z109" s="86"/>
      <c r="AA109" s="86"/>
      <c r="AB109" s="86"/>
      <c r="AC109" s="86"/>
      <c r="AD109" s="86"/>
      <c r="AE109" s="86"/>
      <c r="AF109" s="86"/>
      <c r="AG109" s="86"/>
      <c r="AH109" s="82"/>
    </row>
    <row r="110">
      <c r="A110" s="78"/>
      <c r="B110" s="79"/>
      <c r="C110" s="80"/>
      <c r="D110" s="80"/>
      <c r="E110" s="80"/>
      <c r="F110" s="80"/>
      <c r="G110" s="80"/>
      <c r="H110" s="80"/>
      <c r="I110" s="80"/>
      <c r="J110" s="80"/>
      <c r="K110" s="82"/>
      <c r="L110" s="80"/>
      <c r="M110" s="80"/>
      <c r="N110" s="80"/>
      <c r="O110" s="80"/>
      <c r="P110" s="80"/>
      <c r="Q110" s="83"/>
      <c r="R110" s="80"/>
      <c r="S110" s="80"/>
      <c r="T110" s="80"/>
      <c r="U110" s="80"/>
      <c r="V110" s="84"/>
      <c r="W110" s="80"/>
      <c r="X110" s="85"/>
      <c r="Y110" s="86"/>
      <c r="Z110" s="86"/>
      <c r="AA110" s="86"/>
      <c r="AB110" s="86"/>
      <c r="AC110" s="86"/>
      <c r="AD110" s="86"/>
      <c r="AE110" s="86"/>
      <c r="AF110" s="86"/>
      <c r="AG110" s="86"/>
      <c r="AH110" s="82"/>
    </row>
    <row r="111">
      <c r="A111" s="78"/>
      <c r="B111" s="79"/>
      <c r="C111" s="80"/>
      <c r="D111" s="80"/>
      <c r="E111" s="80"/>
      <c r="F111" s="80"/>
      <c r="G111" s="80"/>
      <c r="H111" s="80"/>
      <c r="I111" s="80"/>
      <c r="J111" s="80"/>
      <c r="K111" s="82"/>
      <c r="L111" s="80"/>
      <c r="M111" s="80"/>
      <c r="N111" s="80"/>
      <c r="O111" s="80"/>
      <c r="P111" s="80"/>
      <c r="Q111" s="83"/>
      <c r="R111" s="80"/>
      <c r="S111" s="80"/>
      <c r="T111" s="80"/>
      <c r="U111" s="80"/>
      <c r="V111" s="84"/>
      <c r="W111" s="80"/>
      <c r="X111" s="85"/>
      <c r="Y111" s="86"/>
      <c r="Z111" s="86"/>
      <c r="AA111" s="86"/>
      <c r="AB111" s="86"/>
      <c r="AC111" s="86"/>
      <c r="AD111" s="86"/>
      <c r="AE111" s="86"/>
      <c r="AF111" s="86"/>
      <c r="AG111" s="86"/>
      <c r="AH111" s="82"/>
    </row>
    <row r="112">
      <c r="A112" s="78"/>
      <c r="B112" s="79"/>
      <c r="C112" s="80"/>
      <c r="D112" s="80"/>
      <c r="E112" s="80"/>
      <c r="F112" s="80"/>
      <c r="G112" s="80"/>
      <c r="H112" s="80"/>
      <c r="I112" s="80"/>
      <c r="J112" s="80"/>
      <c r="K112" s="82"/>
      <c r="L112" s="80"/>
      <c r="M112" s="80"/>
      <c r="N112" s="80"/>
      <c r="O112" s="80"/>
      <c r="P112" s="80"/>
      <c r="Q112" s="83"/>
      <c r="R112" s="80"/>
      <c r="S112" s="80"/>
      <c r="T112" s="80"/>
      <c r="U112" s="80"/>
      <c r="V112" s="84"/>
      <c r="W112" s="80"/>
      <c r="X112" s="85"/>
      <c r="Y112" s="86"/>
      <c r="Z112" s="86"/>
      <c r="AA112" s="86"/>
      <c r="AB112" s="86"/>
      <c r="AC112" s="86"/>
      <c r="AD112" s="86"/>
      <c r="AE112" s="86"/>
      <c r="AF112" s="86"/>
      <c r="AG112" s="86"/>
      <c r="AH112" s="82"/>
    </row>
    <row r="113">
      <c r="A113" s="78"/>
      <c r="B113" s="79"/>
      <c r="C113" s="80"/>
      <c r="D113" s="80"/>
      <c r="E113" s="80"/>
      <c r="F113" s="80"/>
      <c r="G113" s="80"/>
      <c r="H113" s="80"/>
      <c r="I113" s="80"/>
      <c r="J113" s="80"/>
      <c r="K113" s="82"/>
      <c r="L113" s="80"/>
      <c r="M113" s="80"/>
      <c r="N113" s="80"/>
      <c r="O113" s="80"/>
      <c r="P113" s="80"/>
      <c r="Q113" s="83"/>
      <c r="R113" s="80"/>
      <c r="S113" s="80"/>
      <c r="T113" s="80"/>
      <c r="U113" s="80"/>
      <c r="V113" s="84"/>
      <c r="W113" s="80"/>
      <c r="X113" s="85"/>
      <c r="Y113" s="86"/>
      <c r="Z113" s="86"/>
      <c r="AA113" s="86"/>
      <c r="AB113" s="86"/>
      <c r="AC113" s="86"/>
      <c r="AD113" s="86"/>
      <c r="AE113" s="86"/>
      <c r="AF113" s="86"/>
      <c r="AG113" s="86"/>
      <c r="AH113" s="82"/>
    </row>
    <row r="114">
      <c r="A114" s="78"/>
      <c r="B114" s="79"/>
      <c r="C114" s="80"/>
      <c r="D114" s="80"/>
      <c r="E114" s="80"/>
      <c r="F114" s="80"/>
      <c r="G114" s="80"/>
      <c r="H114" s="80"/>
      <c r="I114" s="80"/>
      <c r="J114" s="80"/>
      <c r="K114" s="82"/>
      <c r="L114" s="80"/>
      <c r="M114" s="80"/>
      <c r="N114" s="80"/>
      <c r="O114" s="80"/>
      <c r="P114" s="80"/>
      <c r="Q114" s="83"/>
      <c r="R114" s="80"/>
      <c r="S114" s="80"/>
      <c r="T114" s="80"/>
      <c r="U114" s="80"/>
      <c r="V114" s="84"/>
      <c r="W114" s="80"/>
      <c r="X114" s="85"/>
      <c r="Y114" s="86"/>
      <c r="Z114" s="86"/>
      <c r="AA114" s="86"/>
      <c r="AB114" s="86"/>
      <c r="AC114" s="86"/>
      <c r="AD114" s="86"/>
      <c r="AE114" s="86"/>
      <c r="AF114" s="86"/>
      <c r="AG114" s="86"/>
      <c r="AH114" s="82"/>
    </row>
    <row r="115">
      <c r="A115" s="78"/>
      <c r="B115" s="79"/>
      <c r="C115" s="80"/>
      <c r="D115" s="80"/>
      <c r="E115" s="80"/>
      <c r="F115" s="80"/>
      <c r="G115" s="80"/>
      <c r="H115" s="80"/>
      <c r="I115" s="80"/>
      <c r="J115" s="80"/>
      <c r="K115" s="82"/>
      <c r="L115" s="80"/>
      <c r="M115" s="80"/>
      <c r="N115" s="80"/>
      <c r="O115" s="80"/>
      <c r="P115" s="80"/>
      <c r="Q115" s="83"/>
      <c r="R115" s="80"/>
      <c r="S115" s="80"/>
      <c r="T115" s="80"/>
      <c r="U115" s="80"/>
      <c r="V115" s="84"/>
      <c r="W115" s="80"/>
      <c r="X115" s="85"/>
      <c r="Y115" s="86"/>
      <c r="Z115" s="86"/>
      <c r="AA115" s="86"/>
      <c r="AB115" s="86"/>
      <c r="AC115" s="86"/>
      <c r="AD115" s="86"/>
      <c r="AE115" s="86"/>
      <c r="AF115" s="86"/>
      <c r="AG115" s="86"/>
      <c r="AH115" s="82"/>
    </row>
    <row r="116">
      <c r="A116" s="78"/>
      <c r="B116" s="79"/>
      <c r="C116" s="80"/>
      <c r="D116" s="80"/>
      <c r="E116" s="80"/>
      <c r="F116" s="80"/>
      <c r="G116" s="80"/>
      <c r="H116" s="80"/>
      <c r="I116" s="80"/>
      <c r="J116" s="80"/>
      <c r="K116" s="82"/>
      <c r="L116" s="80"/>
      <c r="M116" s="80"/>
      <c r="N116" s="80"/>
      <c r="O116" s="80"/>
      <c r="P116" s="80"/>
      <c r="Q116" s="83"/>
      <c r="R116" s="80"/>
      <c r="S116" s="80"/>
      <c r="T116" s="80"/>
      <c r="U116" s="80"/>
      <c r="V116" s="84"/>
      <c r="W116" s="80"/>
      <c r="X116" s="85"/>
      <c r="Y116" s="86"/>
      <c r="Z116" s="86"/>
      <c r="AA116" s="86"/>
      <c r="AB116" s="86"/>
      <c r="AC116" s="86"/>
      <c r="AD116" s="86"/>
      <c r="AE116" s="86"/>
      <c r="AF116" s="86"/>
      <c r="AG116" s="86"/>
      <c r="AH116" s="82"/>
    </row>
    <row r="117">
      <c r="A117" s="78"/>
      <c r="B117" s="79"/>
      <c r="C117" s="80"/>
      <c r="D117" s="80"/>
      <c r="E117" s="80"/>
      <c r="F117" s="80"/>
      <c r="G117" s="80"/>
      <c r="H117" s="80"/>
      <c r="I117" s="80"/>
      <c r="J117" s="80"/>
      <c r="K117" s="82"/>
      <c r="L117" s="80"/>
      <c r="M117" s="80"/>
      <c r="N117" s="80"/>
      <c r="O117" s="80"/>
      <c r="P117" s="80"/>
      <c r="Q117" s="83"/>
      <c r="R117" s="80"/>
      <c r="S117" s="80"/>
      <c r="T117" s="80"/>
      <c r="U117" s="80"/>
      <c r="V117" s="84"/>
      <c r="W117" s="80"/>
      <c r="X117" s="85"/>
      <c r="Y117" s="86"/>
      <c r="Z117" s="86"/>
      <c r="AA117" s="86"/>
      <c r="AB117" s="86"/>
      <c r="AC117" s="86"/>
      <c r="AD117" s="86"/>
      <c r="AE117" s="86"/>
      <c r="AF117" s="86"/>
      <c r="AG117" s="86"/>
      <c r="AH117" s="82"/>
    </row>
    <row r="118">
      <c r="A118" s="78"/>
      <c r="B118" s="79"/>
      <c r="C118" s="80"/>
      <c r="D118" s="80"/>
      <c r="E118" s="80"/>
      <c r="F118" s="80"/>
      <c r="G118" s="80"/>
      <c r="H118" s="80"/>
      <c r="I118" s="80"/>
      <c r="J118" s="80"/>
      <c r="K118" s="82"/>
      <c r="L118" s="80"/>
      <c r="M118" s="80"/>
      <c r="N118" s="80"/>
      <c r="O118" s="80"/>
      <c r="P118" s="80"/>
      <c r="Q118" s="83"/>
      <c r="R118" s="80"/>
      <c r="S118" s="80"/>
      <c r="T118" s="80"/>
      <c r="U118" s="80"/>
      <c r="V118" s="84"/>
      <c r="W118" s="80"/>
      <c r="X118" s="85"/>
      <c r="Y118" s="86"/>
      <c r="Z118" s="86"/>
      <c r="AA118" s="86"/>
      <c r="AB118" s="86"/>
      <c r="AC118" s="86"/>
      <c r="AD118" s="86"/>
      <c r="AE118" s="86"/>
      <c r="AF118" s="86"/>
      <c r="AG118" s="86"/>
      <c r="AH118" s="82"/>
    </row>
    <row r="119">
      <c r="A119" s="78"/>
      <c r="B119" s="79"/>
      <c r="C119" s="80"/>
      <c r="D119" s="80"/>
      <c r="E119" s="80"/>
      <c r="F119" s="80"/>
      <c r="G119" s="80"/>
      <c r="H119" s="80"/>
      <c r="I119" s="80"/>
      <c r="J119" s="80"/>
      <c r="K119" s="82"/>
      <c r="L119" s="80"/>
      <c r="M119" s="80"/>
      <c r="N119" s="80"/>
      <c r="O119" s="80"/>
      <c r="P119" s="80"/>
      <c r="Q119" s="83"/>
      <c r="R119" s="80"/>
      <c r="S119" s="80"/>
      <c r="T119" s="80"/>
      <c r="U119" s="80"/>
      <c r="V119" s="84"/>
      <c r="W119" s="80"/>
      <c r="X119" s="85"/>
      <c r="Y119" s="86"/>
      <c r="Z119" s="86"/>
      <c r="AA119" s="86"/>
      <c r="AB119" s="86"/>
      <c r="AC119" s="86"/>
      <c r="AD119" s="86"/>
      <c r="AE119" s="86"/>
      <c r="AF119" s="86"/>
      <c r="AG119" s="86"/>
      <c r="AH119" s="82"/>
    </row>
    <row r="120">
      <c r="A120" s="78"/>
      <c r="B120" s="79"/>
      <c r="C120" s="80"/>
      <c r="D120" s="80"/>
      <c r="E120" s="80"/>
      <c r="F120" s="80"/>
      <c r="G120" s="80"/>
      <c r="H120" s="80"/>
      <c r="I120" s="80"/>
      <c r="J120" s="80"/>
      <c r="K120" s="82"/>
      <c r="L120" s="80"/>
      <c r="M120" s="80"/>
      <c r="N120" s="80"/>
      <c r="O120" s="80"/>
      <c r="P120" s="80"/>
      <c r="Q120" s="83"/>
      <c r="R120" s="80"/>
      <c r="S120" s="80"/>
      <c r="T120" s="80"/>
      <c r="U120" s="80"/>
      <c r="V120" s="84"/>
      <c r="W120" s="80"/>
      <c r="X120" s="85"/>
      <c r="Y120" s="86"/>
      <c r="Z120" s="86"/>
      <c r="AA120" s="86"/>
      <c r="AB120" s="86"/>
      <c r="AC120" s="86"/>
      <c r="AD120" s="86"/>
      <c r="AE120" s="86"/>
      <c r="AF120" s="86"/>
      <c r="AG120" s="86"/>
      <c r="AH120" s="82"/>
    </row>
    <row r="121">
      <c r="A121" s="78"/>
      <c r="B121" s="79"/>
      <c r="C121" s="80"/>
      <c r="D121" s="80"/>
      <c r="E121" s="80"/>
      <c r="F121" s="80"/>
      <c r="G121" s="80"/>
      <c r="H121" s="80"/>
      <c r="I121" s="80"/>
      <c r="J121" s="80"/>
      <c r="K121" s="82"/>
      <c r="L121" s="80"/>
      <c r="M121" s="80"/>
      <c r="N121" s="80"/>
      <c r="O121" s="80"/>
      <c r="P121" s="80"/>
      <c r="Q121" s="83"/>
      <c r="R121" s="80"/>
      <c r="S121" s="80"/>
      <c r="T121" s="80"/>
      <c r="U121" s="80"/>
      <c r="V121" s="84"/>
      <c r="W121" s="80"/>
      <c r="X121" s="85"/>
      <c r="Y121" s="86"/>
      <c r="Z121" s="86"/>
      <c r="AA121" s="86"/>
      <c r="AB121" s="86"/>
      <c r="AC121" s="86"/>
      <c r="AD121" s="86"/>
      <c r="AE121" s="86"/>
      <c r="AF121" s="86"/>
      <c r="AG121" s="86"/>
      <c r="AH121" s="82"/>
    </row>
    <row r="122">
      <c r="A122" s="78"/>
      <c r="B122" s="79"/>
      <c r="C122" s="80"/>
      <c r="D122" s="80"/>
      <c r="E122" s="80"/>
      <c r="F122" s="80"/>
      <c r="G122" s="80"/>
      <c r="H122" s="80"/>
      <c r="I122" s="80"/>
      <c r="J122" s="80"/>
      <c r="K122" s="82"/>
      <c r="L122" s="80"/>
      <c r="M122" s="80"/>
      <c r="N122" s="80"/>
      <c r="O122" s="80"/>
      <c r="P122" s="80"/>
      <c r="Q122" s="83"/>
      <c r="R122" s="80"/>
      <c r="S122" s="80"/>
      <c r="T122" s="80"/>
      <c r="U122" s="80"/>
      <c r="V122" s="84"/>
      <c r="W122" s="80"/>
      <c r="X122" s="85"/>
      <c r="Y122" s="86"/>
      <c r="Z122" s="86"/>
      <c r="AA122" s="86"/>
      <c r="AB122" s="86"/>
      <c r="AC122" s="86"/>
      <c r="AD122" s="86"/>
      <c r="AE122" s="86"/>
      <c r="AF122" s="86"/>
      <c r="AG122" s="86"/>
      <c r="AH122" s="82"/>
    </row>
    <row r="123">
      <c r="A123" s="78"/>
      <c r="B123" s="79"/>
      <c r="C123" s="80"/>
      <c r="D123" s="80"/>
      <c r="E123" s="80"/>
      <c r="F123" s="80"/>
      <c r="G123" s="80"/>
      <c r="H123" s="80"/>
      <c r="I123" s="80"/>
      <c r="J123" s="80"/>
      <c r="K123" s="82"/>
      <c r="L123" s="80"/>
      <c r="M123" s="80"/>
      <c r="N123" s="80"/>
      <c r="O123" s="80"/>
      <c r="P123" s="80"/>
      <c r="Q123" s="83"/>
      <c r="R123" s="80"/>
      <c r="S123" s="80"/>
      <c r="T123" s="80"/>
      <c r="U123" s="80"/>
      <c r="V123" s="84"/>
      <c r="W123" s="80"/>
      <c r="X123" s="85"/>
      <c r="Y123" s="86"/>
      <c r="Z123" s="86"/>
      <c r="AA123" s="86"/>
      <c r="AB123" s="86"/>
      <c r="AC123" s="86"/>
      <c r="AD123" s="86"/>
      <c r="AE123" s="86"/>
      <c r="AF123" s="86"/>
      <c r="AG123" s="86"/>
      <c r="AH123" s="82"/>
    </row>
    <row r="124">
      <c r="A124" s="78"/>
      <c r="B124" s="79"/>
      <c r="C124" s="80"/>
      <c r="D124" s="80"/>
      <c r="E124" s="80"/>
      <c r="F124" s="80"/>
      <c r="G124" s="80"/>
      <c r="H124" s="80"/>
      <c r="I124" s="80"/>
      <c r="J124" s="80"/>
      <c r="K124" s="82"/>
      <c r="L124" s="80"/>
      <c r="M124" s="80"/>
      <c r="N124" s="80"/>
      <c r="O124" s="80"/>
      <c r="P124" s="80"/>
      <c r="Q124" s="83"/>
      <c r="R124" s="80"/>
      <c r="S124" s="80"/>
      <c r="T124" s="80"/>
      <c r="U124" s="80"/>
      <c r="V124" s="84"/>
      <c r="W124" s="80"/>
      <c r="X124" s="85"/>
      <c r="Y124" s="86"/>
      <c r="Z124" s="86"/>
      <c r="AA124" s="86"/>
      <c r="AB124" s="86"/>
      <c r="AC124" s="86"/>
      <c r="AD124" s="86"/>
      <c r="AE124" s="86"/>
      <c r="AF124" s="86"/>
      <c r="AG124" s="86"/>
      <c r="AH124" s="82"/>
    </row>
    <row r="125">
      <c r="A125" s="78"/>
      <c r="B125" s="79"/>
      <c r="C125" s="80"/>
      <c r="D125" s="80"/>
      <c r="E125" s="80"/>
      <c r="F125" s="80"/>
      <c r="G125" s="80"/>
      <c r="H125" s="80"/>
      <c r="I125" s="80"/>
      <c r="J125" s="80"/>
      <c r="K125" s="82"/>
      <c r="L125" s="80"/>
      <c r="M125" s="80"/>
      <c r="N125" s="80"/>
      <c r="O125" s="80"/>
      <c r="P125" s="80"/>
      <c r="Q125" s="83"/>
      <c r="R125" s="80"/>
      <c r="S125" s="80"/>
      <c r="T125" s="80"/>
      <c r="U125" s="80"/>
      <c r="V125" s="84"/>
      <c r="W125" s="80"/>
      <c r="X125" s="85"/>
      <c r="Y125" s="86"/>
      <c r="Z125" s="86"/>
      <c r="AA125" s="86"/>
      <c r="AB125" s="86"/>
      <c r="AC125" s="86"/>
      <c r="AD125" s="86"/>
      <c r="AE125" s="86"/>
      <c r="AF125" s="86"/>
      <c r="AG125" s="86"/>
      <c r="AH125" s="82"/>
    </row>
    <row r="126">
      <c r="A126" s="78"/>
      <c r="B126" s="79"/>
      <c r="C126" s="80"/>
      <c r="D126" s="80"/>
      <c r="E126" s="80"/>
      <c r="F126" s="80"/>
      <c r="G126" s="80"/>
      <c r="H126" s="80"/>
      <c r="I126" s="80"/>
      <c r="J126" s="80"/>
      <c r="K126" s="82"/>
      <c r="L126" s="80"/>
      <c r="M126" s="80"/>
      <c r="N126" s="80"/>
      <c r="O126" s="80"/>
      <c r="P126" s="80"/>
      <c r="Q126" s="83"/>
      <c r="R126" s="80"/>
      <c r="S126" s="80"/>
      <c r="T126" s="80"/>
      <c r="U126" s="80"/>
      <c r="V126" s="84"/>
      <c r="W126" s="80"/>
      <c r="X126" s="85"/>
      <c r="Y126" s="86"/>
      <c r="Z126" s="86"/>
      <c r="AA126" s="86"/>
      <c r="AB126" s="86"/>
      <c r="AC126" s="86"/>
      <c r="AD126" s="86"/>
      <c r="AE126" s="86"/>
      <c r="AF126" s="86"/>
      <c r="AG126" s="86"/>
      <c r="AH126" s="82"/>
    </row>
    <row r="127">
      <c r="A127" s="78"/>
      <c r="B127" s="79"/>
      <c r="C127" s="80"/>
      <c r="D127" s="80"/>
      <c r="E127" s="80"/>
      <c r="F127" s="80"/>
      <c r="G127" s="80"/>
      <c r="H127" s="80"/>
      <c r="I127" s="80"/>
      <c r="J127" s="80"/>
      <c r="K127" s="82"/>
      <c r="L127" s="80"/>
      <c r="M127" s="80"/>
      <c r="N127" s="80"/>
      <c r="O127" s="80"/>
      <c r="P127" s="80"/>
      <c r="Q127" s="83"/>
      <c r="R127" s="80"/>
      <c r="S127" s="80"/>
      <c r="T127" s="80"/>
      <c r="U127" s="80"/>
      <c r="V127" s="84"/>
      <c r="W127" s="80"/>
      <c r="X127" s="85"/>
      <c r="Y127" s="86"/>
      <c r="Z127" s="86"/>
      <c r="AA127" s="86"/>
      <c r="AB127" s="86"/>
      <c r="AC127" s="86"/>
      <c r="AD127" s="86"/>
      <c r="AE127" s="86"/>
      <c r="AF127" s="86"/>
      <c r="AG127" s="86"/>
      <c r="AH127" s="82"/>
    </row>
    <row r="128">
      <c r="A128" s="78"/>
      <c r="B128" s="79"/>
      <c r="C128" s="80"/>
      <c r="D128" s="80"/>
      <c r="E128" s="80"/>
      <c r="F128" s="80"/>
      <c r="G128" s="80"/>
      <c r="H128" s="80"/>
      <c r="I128" s="80"/>
      <c r="J128" s="80"/>
      <c r="K128" s="82"/>
      <c r="L128" s="80"/>
      <c r="M128" s="80"/>
      <c r="N128" s="80"/>
      <c r="O128" s="80"/>
      <c r="P128" s="80"/>
      <c r="Q128" s="83"/>
      <c r="R128" s="80"/>
      <c r="S128" s="80"/>
      <c r="T128" s="80"/>
      <c r="U128" s="80"/>
      <c r="V128" s="84"/>
      <c r="W128" s="80"/>
      <c r="X128" s="85"/>
      <c r="Y128" s="86"/>
      <c r="Z128" s="86"/>
      <c r="AA128" s="86"/>
      <c r="AB128" s="86"/>
      <c r="AC128" s="86"/>
      <c r="AD128" s="86"/>
      <c r="AE128" s="86"/>
      <c r="AF128" s="86"/>
      <c r="AG128" s="86"/>
      <c r="AH128" s="82"/>
    </row>
    <row r="129">
      <c r="A129" s="78"/>
      <c r="B129" s="79"/>
      <c r="C129" s="80"/>
      <c r="D129" s="80"/>
      <c r="E129" s="80"/>
      <c r="F129" s="80"/>
      <c r="G129" s="80"/>
      <c r="H129" s="80"/>
      <c r="I129" s="80"/>
      <c r="J129" s="80"/>
      <c r="K129" s="82"/>
      <c r="L129" s="80"/>
      <c r="M129" s="80"/>
      <c r="N129" s="80"/>
      <c r="O129" s="80"/>
      <c r="P129" s="80"/>
      <c r="Q129" s="83"/>
      <c r="R129" s="80"/>
      <c r="S129" s="80"/>
      <c r="T129" s="80"/>
      <c r="U129" s="80"/>
      <c r="V129" s="84"/>
      <c r="W129" s="80"/>
      <c r="X129" s="85"/>
      <c r="Y129" s="86"/>
      <c r="Z129" s="86"/>
      <c r="AA129" s="86"/>
      <c r="AB129" s="86"/>
      <c r="AC129" s="86"/>
      <c r="AD129" s="86"/>
      <c r="AE129" s="86"/>
      <c r="AF129" s="86"/>
      <c r="AG129" s="86"/>
      <c r="AH129" s="82"/>
    </row>
    <row r="130">
      <c r="A130" s="78"/>
      <c r="B130" s="79"/>
      <c r="C130" s="80"/>
      <c r="D130" s="80"/>
      <c r="E130" s="80"/>
      <c r="F130" s="80"/>
      <c r="G130" s="80"/>
      <c r="H130" s="80"/>
      <c r="I130" s="80"/>
      <c r="J130" s="80"/>
      <c r="K130" s="82"/>
      <c r="L130" s="80"/>
      <c r="M130" s="80"/>
      <c r="N130" s="80"/>
      <c r="O130" s="80"/>
      <c r="P130" s="80"/>
      <c r="Q130" s="83"/>
      <c r="R130" s="80"/>
      <c r="S130" s="80"/>
      <c r="T130" s="80"/>
      <c r="U130" s="80"/>
      <c r="V130" s="84"/>
      <c r="W130" s="80"/>
      <c r="X130" s="85"/>
      <c r="Y130" s="86"/>
      <c r="Z130" s="86"/>
      <c r="AA130" s="86"/>
      <c r="AB130" s="86"/>
      <c r="AC130" s="86"/>
      <c r="AD130" s="86"/>
      <c r="AE130" s="86"/>
      <c r="AF130" s="86"/>
      <c r="AG130" s="86"/>
      <c r="AH130" s="82"/>
    </row>
    <row r="131">
      <c r="A131" s="78"/>
      <c r="B131" s="79"/>
      <c r="C131" s="80"/>
      <c r="D131" s="80"/>
      <c r="E131" s="80"/>
      <c r="F131" s="80"/>
      <c r="G131" s="80"/>
      <c r="H131" s="80"/>
      <c r="I131" s="80"/>
      <c r="J131" s="80"/>
      <c r="K131" s="82"/>
      <c r="L131" s="80"/>
      <c r="M131" s="80"/>
      <c r="N131" s="80"/>
      <c r="O131" s="80"/>
      <c r="P131" s="80"/>
      <c r="Q131" s="83"/>
      <c r="R131" s="80"/>
      <c r="S131" s="80"/>
      <c r="T131" s="80"/>
      <c r="U131" s="80"/>
      <c r="V131" s="84"/>
      <c r="W131" s="80"/>
      <c r="X131" s="85"/>
      <c r="Y131" s="86"/>
      <c r="Z131" s="86"/>
      <c r="AA131" s="86"/>
      <c r="AB131" s="86"/>
      <c r="AC131" s="86"/>
      <c r="AD131" s="86"/>
      <c r="AE131" s="86"/>
      <c r="AF131" s="86"/>
      <c r="AG131" s="86"/>
      <c r="AH131" s="82"/>
    </row>
    <row r="132">
      <c r="A132" s="78"/>
      <c r="B132" s="79"/>
      <c r="C132" s="80"/>
      <c r="D132" s="80"/>
      <c r="E132" s="80"/>
      <c r="F132" s="80"/>
      <c r="G132" s="80"/>
      <c r="H132" s="80"/>
      <c r="I132" s="80"/>
      <c r="J132" s="80"/>
      <c r="K132" s="82"/>
      <c r="L132" s="80"/>
      <c r="M132" s="80"/>
      <c r="N132" s="80"/>
      <c r="O132" s="80"/>
      <c r="P132" s="80"/>
      <c r="Q132" s="83"/>
      <c r="R132" s="80"/>
      <c r="S132" s="80"/>
      <c r="T132" s="80"/>
      <c r="U132" s="80"/>
      <c r="V132" s="84"/>
      <c r="W132" s="80"/>
      <c r="X132" s="85"/>
      <c r="Y132" s="86"/>
      <c r="Z132" s="86"/>
      <c r="AA132" s="86"/>
      <c r="AB132" s="86"/>
      <c r="AC132" s="86"/>
      <c r="AD132" s="86"/>
      <c r="AE132" s="86"/>
      <c r="AF132" s="86"/>
      <c r="AG132" s="86"/>
      <c r="AH132" s="82"/>
    </row>
    <row r="133">
      <c r="A133" s="78"/>
      <c r="B133" s="79"/>
      <c r="C133" s="80"/>
      <c r="D133" s="80"/>
      <c r="E133" s="80"/>
      <c r="F133" s="80"/>
      <c r="G133" s="80"/>
      <c r="H133" s="80"/>
      <c r="I133" s="80"/>
      <c r="J133" s="80"/>
      <c r="K133" s="82"/>
      <c r="L133" s="80"/>
      <c r="M133" s="80"/>
      <c r="N133" s="80"/>
      <c r="O133" s="80"/>
      <c r="P133" s="80"/>
      <c r="Q133" s="83"/>
      <c r="R133" s="80"/>
      <c r="S133" s="80"/>
      <c r="T133" s="80"/>
      <c r="U133" s="80"/>
      <c r="V133" s="84"/>
      <c r="W133" s="80"/>
      <c r="X133" s="85"/>
      <c r="Y133" s="86"/>
      <c r="Z133" s="86"/>
      <c r="AA133" s="86"/>
      <c r="AB133" s="86"/>
      <c r="AC133" s="86"/>
      <c r="AD133" s="86"/>
      <c r="AE133" s="86"/>
      <c r="AF133" s="86"/>
      <c r="AG133" s="86"/>
      <c r="AH133" s="82"/>
    </row>
    <row r="134">
      <c r="A134" s="78"/>
      <c r="B134" s="79"/>
      <c r="C134" s="80"/>
      <c r="D134" s="80"/>
      <c r="E134" s="80"/>
      <c r="F134" s="80"/>
      <c r="G134" s="80"/>
      <c r="H134" s="80"/>
      <c r="I134" s="80"/>
      <c r="J134" s="80"/>
      <c r="K134" s="82"/>
      <c r="L134" s="80"/>
      <c r="M134" s="80"/>
      <c r="N134" s="80"/>
      <c r="O134" s="80"/>
      <c r="P134" s="80"/>
      <c r="Q134" s="83"/>
      <c r="R134" s="80"/>
      <c r="S134" s="80"/>
      <c r="T134" s="80"/>
      <c r="U134" s="80"/>
      <c r="V134" s="84"/>
      <c r="W134" s="80"/>
      <c r="X134" s="85"/>
      <c r="Y134" s="86"/>
      <c r="Z134" s="86"/>
      <c r="AA134" s="86"/>
      <c r="AB134" s="86"/>
      <c r="AC134" s="86"/>
      <c r="AD134" s="86"/>
      <c r="AE134" s="86"/>
      <c r="AF134" s="86"/>
      <c r="AG134" s="86"/>
      <c r="AH134" s="82"/>
    </row>
    <row r="135">
      <c r="A135" s="78"/>
      <c r="B135" s="79"/>
      <c r="C135" s="80"/>
      <c r="D135" s="80"/>
      <c r="E135" s="80"/>
      <c r="F135" s="80"/>
      <c r="G135" s="80"/>
      <c r="H135" s="80"/>
      <c r="I135" s="80"/>
      <c r="J135" s="80"/>
      <c r="K135" s="82"/>
      <c r="L135" s="80"/>
      <c r="M135" s="80"/>
      <c r="N135" s="80"/>
      <c r="O135" s="80"/>
      <c r="P135" s="80"/>
      <c r="Q135" s="83"/>
      <c r="R135" s="80"/>
      <c r="S135" s="80"/>
      <c r="T135" s="80"/>
      <c r="U135" s="80"/>
      <c r="V135" s="84"/>
      <c r="W135" s="80"/>
      <c r="X135" s="85"/>
      <c r="Y135" s="86"/>
      <c r="Z135" s="86"/>
      <c r="AA135" s="86"/>
      <c r="AB135" s="86"/>
      <c r="AC135" s="86"/>
      <c r="AD135" s="86"/>
      <c r="AE135" s="86"/>
      <c r="AF135" s="86"/>
      <c r="AG135" s="86"/>
      <c r="AH135" s="82"/>
    </row>
    <row r="136">
      <c r="A136" s="78"/>
      <c r="B136" s="79"/>
      <c r="C136" s="80"/>
      <c r="D136" s="80"/>
      <c r="E136" s="80"/>
      <c r="F136" s="80"/>
      <c r="G136" s="80"/>
      <c r="H136" s="80"/>
      <c r="I136" s="80"/>
      <c r="J136" s="80"/>
      <c r="K136" s="82"/>
      <c r="L136" s="80"/>
      <c r="M136" s="80"/>
      <c r="N136" s="80"/>
      <c r="O136" s="80"/>
      <c r="P136" s="80"/>
      <c r="Q136" s="83"/>
      <c r="R136" s="80"/>
      <c r="S136" s="80"/>
      <c r="T136" s="80"/>
      <c r="U136" s="80"/>
      <c r="V136" s="84"/>
      <c r="W136" s="80"/>
      <c r="X136" s="85"/>
      <c r="Y136" s="86"/>
      <c r="Z136" s="86"/>
      <c r="AA136" s="86"/>
      <c r="AB136" s="86"/>
      <c r="AC136" s="86"/>
      <c r="AD136" s="86"/>
      <c r="AE136" s="86"/>
      <c r="AF136" s="86"/>
      <c r="AG136" s="86"/>
      <c r="AH136" s="82"/>
    </row>
    <row r="137">
      <c r="A137" s="78"/>
      <c r="B137" s="79"/>
      <c r="C137" s="80"/>
      <c r="D137" s="80"/>
      <c r="E137" s="80"/>
      <c r="F137" s="80"/>
      <c r="G137" s="80"/>
      <c r="H137" s="80"/>
      <c r="I137" s="80"/>
      <c r="J137" s="80"/>
      <c r="K137" s="82"/>
      <c r="L137" s="80"/>
      <c r="M137" s="80"/>
      <c r="N137" s="80"/>
      <c r="O137" s="80"/>
      <c r="P137" s="80"/>
      <c r="Q137" s="83"/>
      <c r="R137" s="80"/>
      <c r="S137" s="80"/>
      <c r="T137" s="80"/>
      <c r="U137" s="80"/>
      <c r="V137" s="84"/>
      <c r="W137" s="80"/>
      <c r="X137" s="85"/>
      <c r="Y137" s="86"/>
      <c r="Z137" s="86"/>
      <c r="AA137" s="86"/>
      <c r="AB137" s="86"/>
      <c r="AC137" s="86"/>
      <c r="AD137" s="86"/>
      <c r="AE137" s="86"/>
      <c r="AF137" s="86"/>
      <c r="AG137" s="86"/>
      <c r="AH137" s="82"/>
    </row>
    <row r="138">
      <c r="A138" s="78"/>
      <c r="B138" s="79"/>
      <c r="C138" s="80"/>
      <c r="D138" s="80"/>
      <c r="E138" s="80"/>
      <c r="F138" s="80"/>
      <c r="G138" s="80"/>
      <c r="H138" s="80"/>
      <c r="I138" s="80"/>
      <c r="J138" s="80"/>
      <c r="K138" s="82"/>
      <c r="L138" s="80"/>
      <c r="M138" s="80"/>
      <c r="N138" s="80"/>
      <c r="O138" s="80"/>
      <c r="P138" s="80"/>
      <c r="Q138" s="83"/>
      <c r="R138" s="80"/>
      <c r="S138" s="80"/>
      <c r="T138" s="80"/>
      <c r="U138" s="80"/>
      <c r="V138" s="84"/>
      <c r="W138" s="80"/>
      <c r="X138" s="85"/>
      <c r="Y138" s="86"/>
      <c r="Z138" s="86"/>
      <c r="AA138" s="86"/>
      <c r="AB138" s="86"/>
      <c r="AC138" s="86"/>
      <c r="AD138" s="86"/>
      <c r="AE138" s="86"/>
      <c r="AF138" s="86"/>
      <c r="AG138" s="86"/>
      <c r="AH138" s="82"/>
    </row>
    <row r="139">
      <c r="A139" s="78"/>
      <c r="B139" s="79"/>
      <c r="C139" s="80"/>
      <c r="D139" s="80"/>
      <c r="E139" s="80"/>
      <c r="F139" s="80"/>
      <c r="G139" s="80"/>
      <c r="H139" s="80"/>
      <c r="I139" s="80"/>
      <c r="J139" s="80"/>
      <c r="K139" s="82"/>
      <c r="L139" s="80"/>
      <c r="M139" s="80"/>
      <c r="N139" s="80"/>
      <c r="O139" s="80"/>
      <c r="P139" s="80"/>
      <c r="Q139" s="83"/>
      <c r="R139" s="80"/>
      <c r="S139" s="80"/>
      <c r="T139" s="80"/>
      <c r="U139" s="80"/>
      <c r="V139" s="84"/>
      <c r="W139" s="80"/>
      <c r="X139" s="85"/>
      <c r="Y139" s="86"/>
      <c r="Z139" s="86"/>
      <c r="AA139" s="86"/>
      <c r="AB139" s="86"/>
      <c r="AC139" s="86"/>
      <c r="AD139" s="86"/>
      <c r="AE139" s="86"/>
      <c r="AF139" s="86"/>
      <c r="AG139" s="86"/>
      <c r="AH139" s="82"/>
    </row>
    <row r="140">
      <c r="A140" s="78"/>
      <c r="B140" s="79"/>
      <c r="C140" s="80"/>
      <c r="D140" s="80"/>
      <c r="E140" s="80"/>
      <c r="F140" s="80"/>
      <c r="G140" s="80"/>
      <c r="H140" s="80"/>
      <c r="I140" s="80"/>
      <c r="J140" s="80"/>
      <c r="K140" s="82"/>
      <c r="L140" s="80"/>
      <c r="M140" s="80"/>
      <c r="N140" s="80"/>
      <c r="O140" s="80"/>
      <c r="P140" s="80"/>
      <c r="Q140" s="83"/>
      <c r="R140" s="80"/>
      <c r="S140" s="80"/>
      <c r="T140" s="80"/>
      <c r="U140" s="80"/>
      <c r="V140" s="84"/>
      <c r="W140" s="80"/>
      <c r="X140" s="85"/>
      <c r="Y140" s="86"/>
      <c r="Z140" s="86"/>
      <c r="AA140" s="86"/>
      <c r="AB140" s="86"/>
      <c r="AC140" s="86"/>
      <c r="AD140" s="86"/>
      <c r="AE140" s="86"/>
      <c r="AF140" s="86"/>
      <c r="AG140" s="86"/>
      <c r="AH140" s="82"/>
    </row>
    <row r="141">
      <c r="A141" s="78"/>
      <c r="B141" s="79"/>
      <c r="C141" s="80"/>
      <c r="D141" s="80"/>
      <c r="E141" s="80"/>
      <c r="F141" s="80"/>
      <c r="G141" s="80"/>
      <c r="H141" s="80"/>
      <c r="I141" s="80"/>
      <c r="J141" s="80"/>
      <c r="K141" s="82"/>
      <c r="L141" s="80"/>
      <c r="M141" s="80"/>
      <c r="N141" s="80"/>
      <c r="O141" s="80"/>
      <c r="P141" s="80"/>
      <c r="Q141" s="83"/>
      <c r="R141" s="80"/>
      <c r="S141" s="80"/>
      <c r="T141" s="80"/>
      <c r="U141" s="80"/>
      <c r="V141" s="84"/>
      <c r="W141" s="80"/>
      <c r="X141" s="85"/>
      <c r="Y141" s="86"/>
      <c r="Z141" s="86"/>
      <c r="AA141" s="86"/>
      <c r="AB141" s="86"/>
      <c r="AC141" s="86"/>
      <c r="AD141" s="86"/>
      <c r="AE141" s="86"/>
      <c r="AF141" s="86"/>
      <c r="AG141" s="86"/>
      <c r="AH141" s="82"/>
    </row>
    <row r="142">
      <c r="A142" s="78"/>
      <c r="B142" s="79"/>
      <c r="C142" s="80"/>
      <c r="D142" s="80"/>
      <c r="E142" s="80"/>
      <c r="F142" s="80"/>
      <c r="G142" s="80"/>
      <c r="H142" s="80"/>
      <c r="I142" s="80"/>
      <c r="J142" s="80"/>
      <c r="K142" s="82"/>
      <c r="L142" s="80"/>
      <c r="M142" s="80"/>
      <c r="N142" s="80"/>
      <c r="O142" s="80"/>
      <c r="P142" s="80"/>
      <c r="Q142" s="83"/>
      <c r="R142" s="80"/>
      <c r="S142" s="80"/>
      <c r="T142" s="80"/>
      <c r="U142" s="80"/>
      <c r="V142" s="84"/>
      <c r="W142" s="80"/>
      <c r="X142" s="85"/>
      <c r="Y142" s="86"/>
      <c r="Z142" s="86"/>
      <c r="AA142" s="86"/>
      <c r="AB142" s="86"/>
      <c r="AC142" s="86"/>
      <c r="AD142" s="86"/>
      <c r="AE142" s="86"/>
      <c r="AF142" s="86"/>
      <c r="AG142" s="86"/>
      <c r="AH142" s="82"/>
    </row>
    <row r="143">
      <c r="A143" s="78"/>
      <c r="B143" s="79"/>
      <c r="C143" s="80"/>
      <c r="D143" s="80"/>
      <c r="E143" s="80"/>
      <c r="F143" s="80"/>
      <c r="G143" s="80"/>
      <c r="H143" s="80"/>
      <c r="I143" s="80"/>
      <c r="J143" s="80"/>
      <c r="K143" s="82"/>
      <c r="L143" s="80"/>
      <c r="M143" s="80"/>
      <c r="N143" s="80"/>
      <c r="O143" s="80"/>
      <c r="P143" s="80"/>
      <c r="Q143" s="83"/>
      <c r="R143" s="80"/>
      <c r="S143" s="80"/>
      <c r="T143" s="80"/>
      <c r="U143" s="80"/>
      <c r="V143" s="84"/>
      <c r="W143" s="80"/>
      <c r="X143" s="85"/>
      <c r="Y143" s="86"/>
      <c r="Z143" s="86"/>
      <c r="AA143" s="86"/>
      <c r="AB143" s="86"/>
      <c r="AC143" s="86"/>
      <c r="AD143" s="86"/>
      <c r="AE143" s="86"/>
      <c r="AF143" s="86"/>
      <c r="AG143" s="86"/>
      <c r="AH143" s="82"/>
    </row>
    <row r="144">
      <c r="A144" s="78"/>
      <c r="B144" s="79"/>
      <c r="C144" s="80"/>
      <c r="D144" s="80"/>
      <c r="E144" s="80"/>
      <c r="F144" s="80"/>
      <c r="G144" s="80"/>
      <c r="H144" s="80"/>
      <c r="I144" s="80"/>
      <c r="J144" s="80"/>
      <c r="K144" s="82"/>
      <c r="L144" s="80"/>
      <c r="M144" s="80"/>
      <c r="N144" s="80"/>
      <c r="O144" s="80"/>
      <c r="P144" s="80"/>
      <c r="Q144" s="83"/>
      <c r="R144" s="80"/>
      <c r="S144" s="80"/>
      <c r="T144" s="80"/>
      <c r="U144" s="80"/>
      <c r="V144" s="84"/>
      <c r="W144" s="80"/>
      <c r="X144" s="85"/>
      <c r="Y144" s="86"/>
      <c r="Z144" s="86"/>
      <c r="AA144" s="86"/>
      <c r="AB144" s="86"/>
      <c r="AC144" s="86"/>
      <c r="AD144" s="86"/>
      <c r="AE144" s="86"/>
      <c r="AF144" s="86"/>
      <c r="AG144" s="86"/>
      <c r="AH144" s="82"/>
    </row>
    <row r="145">
      <c r="A145" s="78"/>
      <c r="B145" s="79"/>
      <c r="C145" s="80"/>
      <c r="D145" s="80"/>
      <c r="E145" s="80"/>
      <c r="F145" s="80"/>
      <c r="G145" s="80"/>
      <c r="H145" s="80"/>
      <c r="I145" s="80"/>
      <c r="J145" s="80"/>
      <c r="K145" s="82"/>
      <c r="L145" s="80"/>
      <c r="M145" s="80"/>
      <c r="N145" s="80"/>
      <c r="O145" s="80"/>
      <c r="P145" s="80"/>
      <c r="Q145" s="83"/>
      <c r="R145" s="80"/>
      <c r="S145" s="80"/>
      <c r="T145" s="80"/>
      <c r="U145" s="80"/>
      <c r="V145" s="84"/>
      <c r="W145" s="80"/>
      <c r="X145" s="85"/>
      <c r="Y145" s="86"/>
      <c r="Z145" s="86"/>
      <c r="AA145" s="86"/>
      <c r="AB145" s="86"/>
      <c r="AC145" s="86"/>
      <c r="AD145" s="86"/>
      <c r="AE145" s="86"/>
      <c r="AF145" s="86"/>
      <c r="AG145" s="86"/>
      <c r="AH145" s="82"/>
    </row>
    <row r="146">
      <c r="A146" s="78"/>
      <c r="B146" s="79"/>
      <c r="C146" s="80"/>
      <c r="D146" s="80"/>
      <c r="E146" s="80"/>
      <c r="F146" s="80"/>
      <c r="G146" s="80"/>
      <c r="H146" s="80"/>
      <c r="I146" s="80"/>
      <c r="J146" s="80"/>
      <c r="K146" s="82"/>
      <c r="L146" s="80"/>
      <c r="M146" s="80"/>
      <c r="N146" s="80"/>
      <c r="O146" s="80"/>
      <c r="P146" s="80"/>
      <c r="Q146" s="83"/>
      <c r="R146" s="80"/>
      <c r="S146" s="80"/>
      <c r="T146" s="80"/>
      <c r="U146" s="80"/>
      <c r="V146" s="84"/>
      <c r="W146" s="80"/>
      <c r="X146" s="85"/>
      <c r="Y146" s="86"/>
      <c r="Z146" s="86"/>
      <c r="AA146" s="86"/>
      <c r="AB146" s="86"/>
      <c r="AC146" s="86"/>
      <c r="AD146" s="86"/>
      <c r="AE146" s="86"/>
      <c r="AF146" s="86"/>
      <c r="AG146" s="86"/>
      <c r="AH146" s="82"/>
    </row>
    <row r="147">
      <c r="A147" s="78"/>
      <c r="B147" s="79"/>
      <c r="C147" s="80"/>
      <c r="D147" s="80"/>
      <c r="E147" s="80"/>
      <c r="F147" s="80"/>
      <c r="G147" s="80"/>
      <c r="H147" s="80"/>
      <c r="I147" s="80"/>
      <c r="J147" s="80"/>
      <c r="K147" s="82"/>
      <c r="L147" s="80"/>
      <c r="M147" s="80"/>
      <c r="N147" s="80"/>
      <c r="O147" s="80"/>
      <c r="P147" s="80"/>
      <c r="Q147" s="83"/>
      <c r="R147" s="80"/>
      <c r="S147" s="80"/>
      <c r="T147" s="80"/>
      <c r="U147" s="80"/>
      <c r="V147" s="84"/>
      <c r="W147" s="80"/>
      <c r="X147" s="85"/>
      <c r="Y147" s="86"/>
      <c r="Z147" s="86"/>
      <c r="AA147" s="86"/>
      <c r="AB147" s="86"/>
      <c r="AC147" s="86"/>
      <c r="AD147" s="86"/>
      <c r="AE147" s="86"/>
      <c r="AF147" s="86"/>
      <c r="AG147" s="86"/>
      <c r="AH147" s="82"/>
    </row>
    <row r="148">
      <c r="A148" s="78"/>
      <c r="B148" s="79"/>
      <c r="C148" s="80"/>
      <c r="D148" s="80"/>
      <c r="E148" s="80"/>
      <c r="F148" s="80"/>
      <c r="G148" s="80"/>
      <c r="H148" s="80"/>
      <c r="I148" s="80"/>
      <c r="J148" s="80"/>
      <c r="K148" s="82"/>
      <c r="L148" s="80"/>
      <c r="M148" s="80"/>
      <c r="N148" s="80"/>
      <c r="O148" s="80"/>
      <c r="P148" s="80"/>
      <c r="Q148" s="83"/>
      <c r="R148" s="80"/>
      <c r="S148" s="80"/>
      <c r="T148" s="80"/>
      <c r="U148" s="80"/>
      <c r="V148" s="84"/>
      <c r="W148" s="80"/>
      <c r="X148" s="85"/>
      <c r="Y148" s="86"/>
      <c r="Z148" s="86"/>
      <c r="AA148" s="86"/>
      <c r="AB148" s="86"/>
      <c r="AC148" s="86"/>
      <c r="AD148" s="86"/>
      <c r="AE148" s="86"/>
      <c r="AF148" s="86"/>
      <c r="AG148" s="86"/>
      <c r="AH148" s="82"/>
    </row>
    <row r="149">
      <c r="A149" s="78"/>
      <c r="B149" s="79"/>
      <c r="C149" s="80"/>
      <c r="D149" s="80"/>
      <c r="E149" s="80"/>
      <c r="F149" s="80"/>
      <c r="G149" s="80"/>
      <c r="H149" s="80"/>
      <c r="I149" s="80"/>
      <c r="J149" s="80"/>
      <c r="K149" s="82"/>
      <c r="L149" s="80"/>
      <c r="M149" s="80"/>
      <c r="N149" s="80"/>
      <c r="O149" s="80"/>
      <c r="P149" s="80"/>
      <c r="Q149" s="83"/>
      <c r="R149" s="80"/>
      <c r="S149" s="80"/>
      <c r="T149" s="80"/>
      <c r="U149" s="80"/>
      <c r="V149" s="84"/>
      <c r="W149" s="80"/>
      <c r="X149" s="85"/>
      <c r="Y149" s="86"/>
      <c r="Z149" s="86"/>
      <c r="AA149" s="86"/>
      <c r="AB149" s="86"/>
      <c r="AC149" s="86"/>
      <c r="AD149" s="86"/>
      <c r="AE149" s="86"/>
      <c r="AF149" s="86"/>
      <c r="AG149" s="86"/>
      <c r="AH149" s="82"/>
    </row>
    <row r="150">
      <c r="A150" s="78"/>
      <c r="B150" s="79"/>
      <c r="C150" s="80"/>
      <c r="D150" s="80"/>
      <c r="E150" s="80"/>
      <c r="F150" s="80"/>
      <c r="G150" s="80"/>
      <c r="H150" s="80"/>
      <c r="I150" s="80"/>
      <c r="J150" s="80"/>
      <c r="K150" s="82"/>
      <c r="L150" s="80"/>
      <c r="M150" s="80"/>
      <c r="N150" s="80"/>
      <c r="O150" s="80"/>
      <c r="P150" s="80"/>
      <c r="Q150" s="83"/>
      <c r="R150" s="80"/>
      <c r="S150" s="80"/>
      <c r="T150" s="80"/>
      <c r="U150" s="80"/>
      <c r="V150" s="84"/>
      <c r="W150" s="80"/>
      <c r="X150" s="85"/>
      <c r="Y150" s="86"/>
      <c r="Z150" s="86"/>
      <c r="AA150" s="86"/>
      <c r="AB150" s="86"/>
      <c r="AC150" s="86"/>
      <c r="AD150" s="86"/>
      <c r="AE150" s="86"/>
      <c r="AF150" s="86"/>
      <c r="AG150" s="86"/>
      <c r="AH150" s="82"/>
    </row>
    <row r="151">
      <c r="A151" s="78"/>
      <c r="B151" s="79"/>
      <c r="C151" s="80"/>
      <c r="D151" s="80"/>
      <c r="E151" s="80"/>
      <c r="F151" s="80"/>
      <c r="G151" s="80"/>
      <c r="H151" s="80"/>
      <c r="I151" s="80"/>
      <c r="J151" s="80"/>
      <c r="K151" s="82"/>
      <c r="L151" s="80"/>
      <c r="M151" s="80"/>
      <c r="N151" s="80"/>
      <c r="O151" s="80"/>
      <c r="P151" s="80"/>
      <c r="Q151" s="83"/>
      <c r="R151" s="80"/>
      <c r="S151" s="80"/>
      <c r="T151" s="80"/>
      <c r="U151" s="80"/>
      <c r="V151" s="84"/>
      <c r="W151" s="80"/>
      <c r="X151" s="85"/>
      <c r="Y151" s="86"/>
      <c r="Z151" s="86"/>
      <c r="AA151" s="86"/>
      <c r="AB151" s="86"/>
      <c r="AC151" s="86"/>
      <c r="AD151" s="86"/>
      <c r="AE151" s="86"/>
      <c r="AF151" s="86"/>
      <c r="AG151" s="86"/>
      <c r="AH151" s="82"/>
    </row>
    <row r="152">
      <c r="A152" s="78"/>
      <c r="B152" s="79"/>
      <c r="C152" s="80"/>
      <c r="D152" s="80"/>
      <c r="E152" s="80"/>
      <c r="F152" s="80"/>
      <c r="G152" s="80"/>
      <c r="H152" s="80"/>
      <c r="I152" s="80"/>
      <c r="J152" s="80"/>
      <c r="K152" s="82"/>
      <c r="L152" s="80"/>
      <c r="M152" s="80"/>
      <c r="N152" s="80"/>
      <c r="O152" s="80"/>
      <c r="P152" s="80"/>
      <c r="Q152" s="83"/>
      <c r="R152" s="80"/>
      <c r="S152" s="80"/>
      <c r="T152" s="80"/>
      <c r="U152" s="80"/>
      <c r="V152" s="84"/>
      <c r="W152" s="80"/>
      <c r="X152" s="85"/>
      <c r="Y152" s="86"/>
      <c r="Z152" s="86"/>
      <c r="AA152" s="86"/>
      <c r="AB152" s="86"/>
      <c r="AC152" s="86"/>
      <c r="AD152" s="86"/>
      <c r="AE152" s="86"/>
      <c r="AF152" s="86"/>
      <c r="AG152" s="86"/>
      <c r="AH152" s="82"/>
    </row>
    <row r="153">
      <c r="A153" s="78"/>
      <c r="B153" s="79"/>
      <c r="C153" s="80"/>
      <c r="D153" s="80"/>
      <c r="E153" s="80"/>
      <c r="F153" s="80"/>
      <c r="G153" s="80"/>
      <c r="H153" s="80"/>
      <c r="I153" s="80"/>
      <c r="J153" s="80"/>
      <c r="K153" s="82"/>
      <c r="L153" s="80"/>
      <c r="M153" s="80"/>
      <c r="N153" s="80"/>
      <c r="O153" s="80"/>
      <c r="P153" s="80"/>
      <c r="Q153" s="83"/>
      <c r="R153" s="80"/>
      <c r="S153" s="80"/>
      <c r="T153" s="80"/>
      <c r="U153" s="80"/>
      <c r="V153" s="84"/>
      <c r="W153" s="80"/>
      <c r="X153" s="85"/>
      <c r="Y153" s="86"/>
      <c r="Z153" s="86"/>
      <c r="AA153" s="86"/>
      <c r="AB153" s="86"/>
      <c r="AC153" s="86"/>
      <c r="AD153" s="86"/>
      <c r="AE153" s="86"/>
      <c r="AF153" s="86"/>
      <c r="AG153" s="86"/>
      <c r="AH153" s="82"/>
    </row>
    <row r="154">
      <c r="A154" s="78"/>
      <c r="B154" s="79"/>
      <c r="C154" s="80"/>
      <c r="D154" s="80"/>
      <c r="E154" s="80"/>
      <c r="F154" s="80"/>
      <c r="G154" s="80"/>
      <c r="H154" s="80"/>
      <c r="I154" s="80"/>
      <c r="J154" s="80"/>
      <c r="K154" s="82"/>
      <c r="L154" s="80"/>
      <c r="M154" s="80"/>
      <c r="N154" s="80"/>
      <c r="O154" s="80"/>
      <c r="P154" s="80"/>
      <c r="Q154" s="83"/>
      <c r="R154" s="80"/>
      <c r="S154" s="80"/>
      <c r="T154" s="80"/>
      <c r="U154" s="80"/>
      <c r="V154" s="84"/>
      <c r="W154" s="80"/>
      <c r="X154" s="85"/>
      <c r="Y154" s="86"/>
      <c r="Z154" s="86"/>
      <c r="AA154" s="86"/>
      <c r="AB154" s="86"/>
      <c r="AC154" s="86"/>
      <c r="AD154" s="86"/>
      <c r="AE154" s="86"/>
      <c r="AF154" s="86"/>
      <c r="AG154" s="86"/>
      <c r="AH154" s="82"/>
    </row>
    <row r="155">
      <c r="A155" s="78"/>
      <c r="B155" s="79"/>
      <c r="C155" s="80"/>
      <c r="D155" s="80"/>
      <c r="E155" s="80"/>
      <c r="F155" s="80"/>
      <c r="G155" s="80"/>
      <c r="H155" s="80"/>
      <c r="I155" s="80"/>
      <c r="J155" s="80"/>
      <c r="K155" s="82"/>
      <c r="L155" s="80"/>
      <c r="M155" s="80"/>
      <c r="N155" s="80"/>
      <c r="O155" s="80"/>
      <c r="P155" s="80"/>
      <c r="Q155" s="83"/>
      <c r="R155" s="80"/>
      <c r="S155" s="80"/>
      <c r="T155" s="80"/>
      <c r="U155" s="80"/>
      <c r="V155" s="84"/>
      <c r="W155" s="80"/>
      <c r="X155" s="85"/>
      <c r="Y155" s="86"/>
      <c r="Z155" s="86"/>
      <c r="AA155" s="86"/>
      <c r="AB155" s="86"/>
      <c r="AC155" s="86"/>
      <c r="AD155" s="86"/>
      <c r="AE155" s="86"/>
      <c r="AF155" s="86"/>
      <c r="AG155" s="86"/>
      <c r="AH155" s="82"/>
    </row>
    <row r="156">
      <c r="A156" s="78"/>
      <c r="B156" s="79"/>
      <c r="C156" s="80"/>
      <c r="D156" s="80"/>
      <c r="E156" s="80"/>
      <c r="F156" s="80"/>
      <c r="G156" s="80"/>
      <c r="H156" s="80"/>
      <c r="I156" s="80"/>
      <c r="J156" s="80"/>
      <c r="K156" s="82"/>
      <c r="L156" s="80"/>
      <c r="M156" s="80"/>
      <c r="N156" s="80"/>
      <c r="O156" s="80"/>
      <c r="P156" s="80"/>
      <c r="Q156" s="83"/>
      <c r="R156" s="80"/>
      <c r="S156" s="80"/>
      <c r="T156" s="80"/>
      <c r="U156" s="80"/>
      <c r="V156" s="84"/>
      <c r="W156" s="80"/>
      <c r="X156" s="85"/>
      <c r="Y156" s="86"/>
      <c r="Z156" s="86"/>
      <c r="AA156" s="86"/>
      <c r="AB156" s="86"/>
      <c r="AC156" s="86"/>
      <c r="AD156" s="86"/>
      <c r="AE156" s="86"/>
      <c r="AF156" s="86"/>
      <c r="AG156" s="86"/>
      <c r="AH156" s="82"/>
    </row>
    <row r="157">
      <c r="A157" s="78"/>
      <c r="B157" s="79"/>
      <c r="C157" s="80"/>
      <c r="D157" s="80"/>
      <c r="E157" s="80"/>
      <c r="F157" s="80"/>
      <c r="G157" s="80"/>
      <c r="H157" s="80"/>
      <c r="I157" s="80"/>
      <c r="J157" s="80"/>
      <c r="K157" s="82"/>
      <c r="L157" s="80"/>
      <c r="M157" s="80"/>
      <c r="N157" s="80"/>
      <c r="O157" s="80"/>
      <c r="P157" s="80"/>
      <c r="Q157" s="83"/>
      <c r="R157" s="80"/>
      <c r="S157" s="80"/>
      <c r="T157" s="80"/>
      <c r="U157" s="80"/>
      <c r="V157" s="84"/>
      <c r="W157" s="80"/>
      <c r="X157" s="85"/>
      <c r="Y157" s="86"/>
      <c r="Z157" s="86"/>
      <c r="AA157" s="86"/>
      <c r="AB157" s="86"/>
      <c r="AC157" s="86"/>
      <c r="AD157" s="86"/>
      <c r="AE157" s="86"/>
      <c r="AF157" s="86"/>
      <c r="AG157" s="86"/>
      <c r="AH157" s="82"/>
    </row>
    <row r="158">
      <c r="A158" s="78"/>
      <c r="B158" s="79"/>
      <c r="C158" s="80"/>
      <c r="D158" s="80"/>
      <c r="E158" s="80"/>
      <c r="F158" s="80"/>
      <c r="G158" s="80"/>
      <c r="H158" s="80"/>
      <c r="I158" s="80"/>
      <c r="J158" s="80"/>
      <c r="K158" s="82"/>
      <c r="L158" s="80"/>
      <c r="M158" s="80"/>
      <c r="N158" s="80"/>
      <c r="O158" s="80"/>
      <c r="P158" s="80"/>
      <c r="Q158" s="83"/>
      <c r="R158" s="80"/>
      <c r="S158" s="80"/>
      <c r="T158" s="80"/>
      <c r="U158" s="80"/>
      <c r="V158" s="84"/>
      <c r="W158" s="80"/>
      <c r="X158" s="85"/>
      <c r="Y158" s="86"/>
      <c r="Z158" s="86"/>
      <c r="AA158" s="86"/>
      <c r="AB158" s="86"/>
      <c r="AC158" s="86"/>
      <c r="AD158" s="86"/>
      <c r="AE158" s="86"/>
      <c r="AF158" s="86"/>
      <c r="AG158" s="86"/>
      <c r="AH158" s="82"/>
    </row>
    <row r="159">
      <c r="A159" s="78"/>
      <c r="B159" s="79"/>
      <c r="C159" s="80"/>
      <c r="D159" s="80"/>
      <c r="E159" s="80"/>
      <c r="F159" s="80"/>
      <c r="G159" s="80"/>
      <c r="H159" s="80"/>
      <c r="I159" s="80"/>
      <c r="J159" s="80"/>
      <c r="K159" s="82"/>
      <c r="L159" s="80"/>
      <c r="M159" s="80"/>
      <c r="N159" s="80"/>
      <c r="O159" s="80"/>
      <c r="P159" s="80"/>
      <c r="Q159" s="83"/>
      <c r="R159" s="80"/>
      <c r="S159" s="80"/>
      <c r="T159" s="80"/>
      <c r="U159" s="80"/>
      <c r="V159" s="84"/>
      <c r="W159" s="80"/>
      <c r="X159" s="85"/>
      <c r="Y159" s="86"/>
      <c r="Z159" s="86"/>
      <c r="AA159" s="86"/>
      <c r="AB159" s="86"/>
      <c r="AC159" s="86"/>
      <c r="AD159" s="86"/>
      <c r="AE159" s="86"/>
      <c r="AF159" s="86"/>
      <c r="AG159" s="86"/>
      <c r="AH159" s="82"/>
    </row>
    <row r="160">
      <c r="A160" s="78"/>
      <c r="B160" s="79"/>
      <c r="C160" s="80"/>
      <c r="D160" s="80"/>
      <c r="E160" s="80"/>
      <c r="F160" s="80"/>
      <c r="G160" s="80"/>
      <c r="H160" s="80"/>
      <c r="I160" s="80"/>
      <c r="J160" s="80"/>
      <c r="K160" s="82"/>
      <c r="L160" s="80"/>
      <c r="M160" s="80"/>
      <c r="N160" s="80"/>
      <c r="O160" s="80"/>
      <c r="P160" s="80"/>
      <c r="Q160" s="83"/>
      <c r="R160" s="80"/>
      <c r="S160" s="80"/>
      <c r="T160" s="80"/>
      <c r="U160" s="80"/>
      <c r="V160" s="84"/>
      <c r="W160" s="80"/>
      <c r="X160" s="85"/>
      <c r="Y160" s="86"/>
      <c r="Z160" s="86"/>
      <c r="AA160" s="86"/>
      <c r="AB160" s="86"/>
      <c r="AC160" s="86"/>
      <c r="AD160" s="86"/>
      <c r="AE160" s="86"/>
      <c r="AF160" s="86"/>
      <c r="AG160" s="86"/>
      <c r="AH160" s="82"/>
    </row>
    <row r="161">
      <c r="A161" s="78"/>
      <c r="B161" s="79"/>
      <c r="C161" s="80"/>
      <c r="D161" s="80"/>
      <c r="E161" s="80"/>
      <c r="F161" s="80"/>
      <c r="G161" s="80"/>
      <c r="H161" s="80"/>
      <c r="I161" s="80"/>
      <c r="J161" s="80"/>
      <c r="K161" s="82"/>
      <c r="L161" s="80"/>
      <c r="M161" s="80"/>
      <c r="N161" s="80"/>
      <c r="O161" s="80"/>
      <c r="P161" s="80"/>
      <c r="Q161" s="83"/>
      <c r="R161" s="80"/>
      <c r="S161" s="80"/>
      <c r="T161" s="80"/>
      <c r="U161" s="80"/>
      <c r="V161" s="84"/>
      <c r="W161" s="80"/>
      <c r="X161" s="85"/>
      <c r="Y161" s="86"/>
      <c r="Z161" s="86"/>
      <c r="AA161" s="86"/>
      <c r="AB161" s="86"/>
      <c r="AC161" s="86"/>
      <c r="AD161" s="86"/>
      <c r="AE161" s="86"/>
      <c r="AF161" s="86"/>
      <c r="AG161" s="86"/>
      <c r="AH161" s="82"/>
    </row>
    <row r="162">
      <c r="A162" s="78"/>
      <c r="B162" s="79"/>
      <c r="C162" s="80"/>
      <c r="D162" s="80"/>
      <c r="E162" s="80"/>
      <c r="F162" s="80"/>
      <c r="G162" s="80"/>
      <c r="H162" s="80"/>
      <c r="I162" s="80"/>
      <c r="J162" s="80"/>
      <c r="K162" s="82"/>
      <c r="L162" s="80"/>
      <c r="M162" s="80"/>
      <c r="N162" s="80"/>
      <c r="O162" s="80"/>
      <c r="P162" s="80"/>
      <c r="Q162" s="83"/>
      <c r="R162" s="80"/>
      <c r="S162" s="80"/>
      <c r="T162" s="80"/>
      <c r="U162" s="80"/>
      <c r="V162" s="84"/>
      <c r="W162" s="80"/>
      <c r="X162" s="85"/>
      <c r="Y162" s="86"/>
      <c r="Z162" s="86"/>
      <c r="AA162" s="86"/>
      <c r="AB162" s="86"/>
      <c r="AC162" s="86"/>
      <c r="AD162" s="86"/>
      <c r="AE162" s="86"/>
      <c r="AF162" s="86"/>
      <c r="AG162" s="86"/>
      <c r="AH162" s="82"/>
    </row>
    <row r="163">
      <c r="A163" s="78"/>
      <c r="B163" s="79"/>
      <c r="C163" s="80"/>
      <c r="D163" s="80"/>
      <c r="E163" s="80"/>
      <c r="F163" s="80"/>
      <c r="G163" s="80"/>
      <c r="H163" s="80"/>
      <c r="I163" s="80"/>
      <c r="J163" s="80"/>
      <c r="K163" s="82"/>
      <c r="L163" s="80"/>
      <c r="M163" s="80"/>
      <c r="N163" s="80"/>
      <c r="O163" s="80"/>
      <c r="P163" s="80"/>
      <c r="Q163" s="83"/>
      <c r="R163" s="80"/>
      <c r="S163" s="80"/>
      <c r="T163" s="80"/>
      <c r="U163" s="80"/>
      <c r="V163" s="84"/>
      <c r="W163" s="80"/>
      <c r="X163" s="85"/>
      <c r="Y163" s="86"/>
      <c r="Z163" s="86"/>
      <c r="AA163" s="86"/>
      <c r="AB163" s="86"/>
      <c r="AC163" s="86"/>
      <c r="AD163" s="86"/>
      <c r="AE163" s="86"/>
      <c r="AF163" s="86"/>
      <c r="AG163" s="86"/>
      <c r="AH163" s="82"/>
    </row>
    <row r="164">
      <c r="A164" s="78"/>
      <c r="B164" s="79"/>
      <c r="C164" s="80"/>
      <c r="D164" s="80"/>
      <c r="E164" s="80"/>
      <c r="F164" s="80"/>
      <c r="G164" s="80"/>
      <c r="H164" s="80"/>
      <c r="I164" s="80"/>
      <c r="J164" s="80"/>
      <c r="K164" s="82"/>
      <c r="L164" s="80"/>
      <c r="M164" s="80"/>
      <c r="N164" s="80"/>
      <c r="O164" s="80"/>
      <c r="P164" s="80"/>
      <c r="Q164" s="83"/>
      <c r="R164" s="80"/>
      <c r="S164" s="80"/>
      <c r="T164" s="80"/>
      <c r="U164" s="80"/>
      <c r="V164" s="84"/>
      <c r="W164" s="80"/>
      <c r="X164" s="85"/>
      <c r="Y164" s="86"/>
      <c r="Z164" s="86"/>
      <c r="AA164" s="86"/>
      <c r="AB164" s="86"/>
      <c r="AC164" s="86"/>
      <c r="AD164" s="86"/>
      <c r="AE164" s="86"/>
      <c r="AF164" s="86"/>
      <c r="AG164" s="86"/>
      <c r="AH164" s="82"/>
    </row>
    <row r="165">
      <c r="A165" s="78"/>
      <c r="B165" s="79"/>
      <c r="C165" s="80"/>
      <c r="D165" s="80"/>
      <c r="E165" s="80"/>
      <c r="F165" s="80"/>
      <c r="G165" s="80"/>
      <c r="H165" s="80"/>
      <c r="I165" s="80"/>
      <c r="J165" s="80"/>
      <c r="K165" s="82"/>
      <c r="L165" s="80"/>
      <c r="M165" s="80"/>
      <c r="N165" s="80"/>
      <c r="O165" s="80"/>
      <c r="P165" s="80"/>
      <c r="Q165" s="83"/>
      <c r="R165" s="80"/>
      <c r="S165" s="80"/>
      <c r="T165" s="80"/>
      <c r="U165" s="80"/>
      <c r="V165" s="84"/>
      <c r="W165" s="80"/>
      <c r="X165" s="85"/>
      <c r="Y165" s="86"/>
      <c r="Z165" s="86"/>
      <c r="AA165" s="86"/>
      <c r="AB165" s="86"/>
      <c r="AC165" s="86"/>
      <c r="AD165" s="86"/>
      <c r="AE165" s="86"/>
      <c r="AF165" s="86"/>
      <c r="AG165" s="86"/>
      <c r="AH165" s="82"/>
    </row>
    <row r="166">
      <c r="A166" s="78"/>
      <c r="B166" s="79"/>
      <c r="C166" s="80"/>
      <c r="D166" s="80"/>
      <c r="E166" s="80"/>
      <c r="F166" s="80"/>
      <c r="G166" s="80"/>
      <c r="H166" s="80"/>
      <c r="I166" s="80"/>
      <c r="J166" s="80"/>
      <c r="K166" s="82"/>
      <c r="L166" s="80"/>
      <c r="M166" s="80"/>
      <c r="N166" s="80"/>
      <c r="O166" s="80"/>
      <c r="P166" s="80"/>
      <c r="Q166" s="83"/>
      <c r="R166" s="80"/>
      <c r="S166" s="80"/>
      <c r="T166" s="80"/>
      <c r="U166" s="80"/>
      <c r="V166" s="84"/>
      <c r="W166" s="80"/>
      <c r="X166" s="85"/>
      <c r="Y166" s="86"/>
      <c r="Z166" s="86"/>
      <c r="AA166" s="86"/>
      <c r="AB166" s="86"/>
      <c r="AC166" s="86"/>
      <c r="AD166" s="86"/>
      <c r="AE166" s="86"/>
      <c r="AF166" s="86"/>
      <c r="AG166" s="86"/>
      <c r="AH166" s="82"/>
    </row>
    <row r="167">
      <c r="A167" s="78"/>
      <c r="B167" s="79"/>
      <c r="C167" s="80"/>
      <c r="D167" s="80"/>
      <c r="E167" s="80"/>
      <c r="F167" s="80"/>
      <c r="G167" s="80"/>
      <c r="H167" s="80"/>
      <c r="I167" s="80"/>
      <c r="J167" s="80"/>
      <c r="K167" s="82"/>
      <c r="L167" s="80"/>
      <c r="M167" s="80"/>
      <c r="N167" s="80"/>
      <c r="O167" s="80"/>
      <c r="P167" s="80"/>
      <c r="Q167" s="83"/>
      <c r="R167" s="80"/>
      <c r="S167" s="80"/>
      <c r="T167" s="80"/>
      <c r="U167" s="80"/>
      <c r="V167" s="84"/>
      <c r="W167" s="80"/>
      <c r="X167" s="85"/>
      <c r="Y167" s="86"/>
      <c r="Z167" s="86"/>
      <c r="AA167" s="86"/>
      <c r="AB167" s="86"/>
      <c r="AC167" s="86"/>
      <c r="AD167" s="86"/>
      <c r="AE167" s="86"/>
      <c r="AF167" s="86"/>
      <c r="AG167" s="86"/>
      <c r="AH167" s="82"/>
    </row>
    <row r="168">
      <c r="A168" s="78"/>
      <c r="B168" s="79"/>
      <c r="C168" s="80"/>
      <c r="D168" s="80"/>
      <c r="E168" s="80"/>
      <c r="F168" s="80"/>
      <c r="G168" s="80"/>
      <c r="H168" s="80"/>
      <c r="I168" s="80"/>
      <c r="J168" s="80"/>
      <c r="K168" s="82"/>
      <c r="L168" s="80"/>
      <c r="M168" s="80"/>
      <c r="N168" s="80"/>
      <c r="O168" s="80"/>
      <c r="P168" s="80"/>
      <c r="Q168" s="83"/>
      <c r="R168" s="80"/>
      <c r="S168" s="80"/>
      <c r="T168" s="80"/>
      <c r="U168" s="80"/>
      <c r="V168" s="84"/>
      <c r="W168" s="80"/>
      <c r="X168" s="85"/>
      <c r="Y168" s="86"/>
      <c r="Z168" s="86"/>
      <c r="AA168" s="86"/>
      <c r="AB168" s="86"/>
      <c r="AC168" s="86"/>
      <c r="AD168" s="86"/>
      <c r="AE168" s="86"/>
      <c r="AF168" s="86"/>
      <c r="AG168" s="86"/>
      <c r="AH168" s="82"/>
    </row>
    <row r="169">
      <c r="A169" s="78"/>
      <c r="B169" s="79"/>
      <c r="C169" s="80"/>
      <c r="D169" s="80"/>
      <c r="E169" s="80"/>
      <c r="F169" s="80"/>
      <c r="G169" s="80"/>
      <c r="H169" s="80"/>
      <c r="I169" s="80"/>
      <c r="J169" s="80"/>
      <c r="K169" s="82"/>
      <c r="L169" s="80"/>
      <c r="M169" s="80"/>
      <c r="N169" s="80"/>
      <c r="O169" s="80"/>
      <c r="P169" s="80"/>
      <c r="Q169" s="83"/>
      <c r="R169" s="80"/>
      <c r="S169" s="80"/>
      <c r="T169" s="80"/>
      <c r="U169" s="80"/>
      <c r="V169" s="84"/>
      <c r="W169" s="80"/>
      <c r="X169" s="85"/>
      <c r="Y169" s="86"/>
      <c r="Z169" s="86"/>
      <c r="AA169" s="86"/>
      <c r="AB169" s="86"/>
      <c r="AC169" s="86"/>
      <c r="AD169" s="86"/>
      <c r="AE169" s="86"/>
      <c r="AF169" s="86"/>
      <c r="AG169" s="86"/>
      <c r="AH169" s="82"/>
    </row>
    <row r="170">
      <c r="A170" s="78"/>
      <c r="B170" s="79"/>
      <c r="C170" s="80"/>
      <c r="D170" s="80"/>
      <c r="E170" s="80"/>
      <c r="F170" s="80"/>
      <c r="G170" s="80"/>
      <c r="H170" s="80"/>
      <c r="I170" s="80"/>
      <c r="J170" s="80"/>
      <c r="K170" s="82"/>
      <c r="L170" s="80"/>
      <c r="M170" s="80"/>
      <c r="N170" s="80"/>
      <c r="O170" s="80"/>
      <c r="P170" s="80"/>
      <c r="Q170" s="83"/>
      <c r="R170" s="80"/>
      <c r="S170" s="80"/>
      <c r="T170" s="80"/>
      <c r="U170" s="80"/>
      <c r="V170" s="84"/>
      <c r="W170" s="80"/>
      <c r="X170" s="85"/>
      <c r="Y170" s="86"/>
      <c r="Z170" s="86"/>
      <c r="AA170" s="86"/>
      <c r="AB170" s="86"/>
      <c r="AC170" s="86"/>
      <c r="AD170" s="86"/>
      <c r="AE170" s="86"/>
      <c r="AF170" s="86"/>
      <c r="AG170" s="86"/>
      <c r="AH170" s="82"/>
    </row>
    <row r="171">
      <c r="A171" s="78"/>
      <c r="B171" s="79"/>
      <c r="C171" s="80"/>
      <c r="D171" s="80"/>
      <c r="E171" s="80"/>
      <c r="F171" s="80"/>
      <c r="G171" s="80"/>
      <c r="H171" s="80"/>
      <c r="I171" s="80"/>
      <c r="J171" s="80"/>
      <c r="K171" s="82"/>
      <c r="L171" s="80"/>
      <c r="M171" s="80"/>
      <c r="N171" s="80"/>
      <c r="O171" s="80"/>
      <c r="P171" s="80"/>
      <c r="Q171" s="83"/>
      <c r="R171" s="80"/>
      <c r="S171" s="80"/>
      <c r="T171" s="80"/>
      <c r="U171" s="80"/>
      <c r="V171" s="84"/>
      <c r="W171" s="80"/>
      <c r="X171" s="85"/>
      <c r="Y171" s="86"/>
      <c r="Z171" s="86"/>
      <c r="AA171" s="86"/>
      <c r="AB171" s="86"/>
      <c r="AC171" s="86"/>
      <c r="AD171" s="86"/>
      <c r="AE171" s="86"/>
      <c r="AF171" s="86"/>
      <c r="AG171" s="86"/>
      <c r="AH171" s="82"/>
    </row>
    <row r="172">
      <c r="A172" s="78"/>
      <c r="B172" s="79"/>
      <c r="C172" s="80"/>
      <c r="D172" s="80"/>
      <c r="E172" s="80"/>
      <c r="F172" s="80"/>
      <c r="G172" s="80"/>
      <c r="H172" s="80"/>
      <c r="I172" s="80"/>
      <c r="J172" s="80"/>
      <c r="K172" s="82"/>
      <c r="L172" s="80"/>
      <c r="M172" s="80"/>
      <c r="N172" s="80"/>
      <c r="O172" s="80"/>
      <c r="P172" s="80"/>
      <c r="Q172" s="83"/>
      <c r="R172" s="80"/>
      <c r="S172" s="80"/>
      <c r="T172" s="80"/>
      <c r="U172" s="80"/>
      <c r="V172" s="84"/>
      <c r="W172" s="80"/>
      <c r="X172" s="85"/>
      <c r="Y172" s="86"/>
      <c r="Z172" s="86"/>
      <c r="AA172" s="86"/>
      <c r="AB172" s="86"/>
      <c r="AC172" s="86"/>
      <c r="AD172" s="86"/>
      <c r="AE172" s="86"/>
      <c r="AF172" s="86"/>
      <c r="AG172" s="86"/>
      <c r="AH172" s="82"/>
    </row>
    <row r="173">
      <c r="A173" s="78"/>
      <c r="B173" s="79"/>
      <c r="C173" s="80"/>
      <c r="D173" s="80"/>
      <c r="E173" s="80"/>
      <c r="F173" s="80"/>
      <c r="G173" s="80"/>
      <c r="H173" s="80"/>
      <c r="I173" s="80"/>
      <c r="J173" s="80"/>
      <c r="K173" s="82"/>
      <c r="L173" s="80"/>
      <c r="M173" s="80"/>
      <c r="N173" s="80"/>
      <c r="O173" s="80"/>
      <c r="P173" s="80"/>
      <c r="Q173" s="83"/>
      <c r="R173" s="80"/>
      <c r="S173" s="80"/>
      <c r="T173" s="80"/>
      <c r="U173" s="80"/>
      <c r="V173" s="84"/>
      <c r="W173" s="80"/>
      <c r="X173" s="85"/>
      <c r="Y173" s="86"/>
      <c r="Z173" s="86"/>
      <c r="AA173" s="86"/>
      <c r="AB173" s="86"/>
      <c r="AC173" s="86"/>
      <c r="AD173" s="86"/>
      <c r="AE173" s="86"/>
      <c r="AF173" s="86"/>
      <c r="AG173" s="86"/>
      <c r="AH173" s="82"/>
    </row>
    <row r="174">
      <c r="A174" s="78"/>
      <c r="B174" s="79"/>
      <c r="C174" s="80"/>
      <c r="D174" s="80"/>
      <c r="E174" s="80"/>
      <c r="F174" s="80"/>
      <c r="G174" s="80"/>
      <c r="H174" s="80"/>
      <c r="I174" s="80"/>
      <c r="J174" s="80"/>
      <c r="K174" s="82"/>
      <c r="L174" s="80"/>
      <c r="M174" s="80"/>
      <c r="N174" s="80"/>
      <c r="O174" s="80"/>
      <c r="P174" s="80"/>
      <c r="Q174" s="83"/>
      <c r="R174" s="80"/>
      <c r="S174" s="80"/>
      <c r="T174" s="80"/>
      <c r="U174" s="80"/>
      <c r="V174" s="84"/>
      <c r="W174" s="80"/>
      <c r="X174" s="85"/>
      <c r="Y174" s="86"/>
      <c r="Z174" s="86"/>
      <c r="AA174" s="86"/>
      <c r="AB174" s="86"/>
      <c r="AC174" s="86"/>
      <c r="AD174" s="86"/>
      <c r="AE174" s="86"/>
      <c r="AF174" s="86"/>
      <c r="AG174" s="86"/>
      <c r="AH174" s="82"/>
    </row>
    <row r="175">
      <c r="A175" s="78"/>
      <c r="B175" s="79"/>
      <c r="C175" s="80"/>
      <c r="D175" s="80"/>
      <c r="E175" s="80"/>
      <c r="F175" s="80"/>
      <c r="G175" s="80"/>
      <c r="H175" s="80"/>
      <c r="I175" s="80"/>
      <c r="J175" s="80"/>
      <c r="K175" s="82"/>
      <c r="L175" s="80"/>
      <c r="M175" s="80"/>
      <c r="N175" s="80"/>
      <c r="O175" s="80"/>
      <c r="P175" s="80"/>
      <c r="Q175" s="83"/>
      <c r="R175" s="80"/>
      <c r="S175" s="80"/>
      <c r="T175" s="80"/>
      <c r="U175" s="80"/>
      <c r="V175" s="84"/>
      <c r="W175" s="80"/>
      <c r="X175" s="85"/>
      <c r="Y175" s="86"/>
      <c r="Z175" s="86"/>
      <c r="AA175" s="86"/>
      <c r="AB175" s="86"/>
      <c r="AC175" s="86"/>
      <c r="AD175" s="86"/>
      <c r="AE175" s="86"/>
      <c r="AF175" s="86"/>
      <c r="AG175" s="86"/>
      <c r="AH175" s="82"/>
    </row>
    <row r="176">
      <c r="A176" s="78"/>
      <c r="B176" s="79"/>
      <c r="C176" s="80"/>
      <c r="D176" s="80"/>
      <c r="E176" s="80"/>
      <c r="F176" s="80"/>
      <c r="G176" s="80"/>
      <c r="H176" s="80"/>
      <c r="I176" s="80"/>
      <c r="J176" s="80"/>
      <c r="K176" s="82"/>
      <c r="L176" s="80"/>
      <c r="M176" s="80"/>
      <c r="N176" s="80"/>
      <c r="O176" s="80"/>
      <c r="P176" s="80"/>
      <c r="Q176" s="83"/>
      <c r="R176" s="80"/>
      <c r="S176" s="80"/>
      <c r="T176" s="80"/>
      <c r="U176" s="80"/>
      <c r="V176" s="84"/>
      <c r="W176" s="80"/>
      <c r="X176" s="85"/>
      <c r="Y176" s="86"/>
      <c r="Z176" s="86"/>
      <c r="AA176" s="86"/>
      <c r="AB176" s="86"/>
      <c r="AC176" s="86"/>
      <c r="AD176" s="86"/>
      <c r="AE176" s="86"/>
      <c r="AF176" s="86"/>
      <c r="AG176" s="86"/>
      <c r="AH176" s="82"/>
    </row>
    <row r="177">
      <c r="A177" s="78"/>
      <c r="B177" s="79"/>
      <c r="C177" s="80"/>
      <c r="D177" s="80"/>
      <c r="E177" s="80"/>
      <c r="F177" s="80"/>
      <c r="G177" s="80"/>
      <c r="H177" s="80"/>
      <c r="I177" s="80"/>
      <c r="J177" s="80"/>
      <c r="K177" s="82"/>
      <c r="L177" s="80"/>
      <c r="M177" s="80"/>
      <c r="N177" s="80"/>
      <c r="O177" s="80"/>
      <c r="P177" s="80"/>
      <c r="Q177" s="83"/>
      <c r="R177" s="80"/>
      <c r="S177" s="80"/>
      <c r="T177" s="80"/>
      <c r="U177" s="80"/>
      <c r="V177" s="84"/>
      <c r="W177" s="80"/>
      <c r="X177" s="85"/>
      <c r="Y177" s="86"/>
      <c r="Z177" s="86"/>
      <c r="AA177" s="86"/>
      <c r="AB177" s="86"/>
      <c r="AC177" s="86"/>
      <c r="AD177" s="86"/>
      <c r="AE177" s="86"/>
      <c r="AF177" s="86"/>
      <c r="AG177" s="86"/>
      <c r="AH177" s="82"/>
    </row>
    <row r="178">
      <c r="A178" s="78"/>
      <c r="B178" s="79"/>
      <c r="C178" s="80"/>
      <c r="D178" s="80"/>
      <c r="E178" s="80"/>
      <c r="F178" s="80"/>
      <c r="G178" s="80"/>
      <c r="H178" s="80"/>
      <c r="I178" s="80"/>
      <c r="J178" s="80"/>
      <c r="K178" s="82"/>
      <c r="L178" s="80"/>
      <c r="M178" s="80"/>
      <c r="N178" s="80"/>
      <c r="O178" s="80"/>
      <c r="P178" s="80"/>
      <c r="Q178" s="83"/>
      <c r="R178" s="80"/>
      <c r="S178" s="80"/>
      <c r="T178" s="80"/>
      <c r="U178" s="80"/>
      <c r="V178" s="84"/>
      <c r="W178" s="80"/>
      <c r="X178" s="85"/>
      <c r="Y178" s="86"/>
      <c r="Z178" s="86"/>
      <c r="AA178" s="86"/>
      <c r="AB178" s="86"/>
      <c r="AC178" s="86"/>
      <c r="AD178" s="86"/>
      <c r="AE178" s="86"/>
      <c r="AF178" s="86"/>
      <c r="AG178" s="86"/>
      <c r="AH178" s="82"/>
    </row>
    <row r="179">
      <c r="A179" s="78"/>
      <c r="B179" s="79"/>
      <c r="C179" s="80"/>
      <c r="D179" s="80"/>
      <c r="E179" s="80"/>
      <c r="F179" s="80"/>
      <c r="G179" s="80"/>
      <c r="H179" s="80"/>
      <c r="I179" s="80"/>
      <c r="J179" s="80"/>
      <c r="K179" s="82"/>
      <c r="L179" s="80"/>
      <c r="M179" s="80"/>
      <c r="N179" s="80"/>
      <c r="O179" s="80"/>
      <c r="P179" s="80"/>
      <c r="Q179" s="83"/>
      <c r="R179" s="80"/>
      <c r="S179" s="80"/>
      <c r="T179" s="80"/>
      <c r="U179" s="80"/>
      <c r="V179" s="84"/>
      <c r="W179" s="80"/>
      <c r="X179" s="85"/>
      <c r="Y179" s="86"/>
      <c r="Z179" s="86"/>
      <c r="AA179" s="86"/>
      <c r="AB179" s="86"/>
      <c r="AC179" s="86"/>
      <c r="AD179" s="86"/>
      <c r="AE179" s="86"/>
      <c r="AF179" s="86"/>
      <c r="AG179" s="86"/>
      <c r="AH179" s="82"/>
    </row>
    <row r="180">
      <c r="A180" s="78"/>
      <c r="B180" s="79"/>
      <c r="C180" s="80"/>
      <c r="D180" s="80"/>
      <c r="E180" s="80"/>
      <c r="F180" s="80"/>
      <c r="G180" s="80"/>
      <c r="H180" s="80"/>
      <c r="I180" s="80"/>
      <c r="J180" s="80"/>
      <c r="K180" s="82"/>
      <c r="L180" s="80"/>
      <c r="M180" s="80"/>
      <c r="N180" s="80"/>
      <c r="O180" s="80"/>
      <c r="P180" s="80"/>
      <c r="Q180" s="83"/>
      <c r="R180" s="80"/>
      <c r="S180" s="80"/>
      <c r="T180" s="80"/>
      <c r="U180" s="80"/>
      <c r="V180" s="84"/>
      <c r="W180" s="80"/>
      <c r="X180" s="85"/>
      <c r="Y180" s="86"/>
      <c r="Z180" s="86"/>
      <c r="AA180" s="86"/>
      <c r="AB180" s="86"/>
      <c r="AC180" s="86"/>
      <c r="AD180" s="86"/>
      <c r="AE180" s="86"/>
      <c r="AF180" s="86"/>
      <c r="AG180" s="86"/>
      <c r="AH180" s="82"/>
    </row>
    <row r="181">
      <c r="A181" s="78"/>
      <c r="B181" s="79"/>
      <c r="C181" s="80"/>
      <c r="D181" s="80"/>
      <c r="E181" s="80"/>
      <c r="F181" s="80"/>
      <c r="G181" s="80"/>
      <c r="H181" s="80"/>
      <c r="I181" s="80"/>
      <c r="J181" s="80"/>
      <c r="K181" s="82"/>
      <c r="L181" s="80"/>
      <c r="M181" s="80"/>
      <c r="N181" s="80"/>
      <c r="O181" s="80"/>
      <c r="P181" s="80"/>
      <c r="Q181" s="83"/>
      <c r="R181" s="80"/>
      <c r="S181" s="80"/>
      <c r="T181" s="80"/>
      <c r="U181" s="80"/>
      <c r="V181" s="84"/>
      <c r="W181" s="80"/>
      <c r="X181" s="85"/>
      <c r="Y181" s="86"/>
      <c r="Z181" s="86"/>
      <c r="AA181" s="86"/>
      <c r="AB181" s="86"/>
      <c r="AC181" s="86"/>
      <c r="AD181" s="86"/>
      <c r="AE181" s="86"/>
      <c r="AF181" s="86"/>
      <c r="AG181" s="86"/>
      <c r="AH181" s="82"/>
    </row>
    <row r="182">
      <c r="A182" s="78"/>
      <c r="B182" s="79"/>
      <c r="C182" s="80"/>
      <c r="D182" s="80"/>
      <c r="E182" s="80"/>
      <c r="F182" s="80"/>
      <c r="G182" s="80"/>
      <c r="H182" s="80"/>
      <c r="I182" s="80"/>
      <c r="J182" s="80"/>
      <c r="K182" s="82"/>
      <c r="L182" s="80"/>
      <c r="M182" s="80"/>
      <c r="N182" s="80"/>
      <c r="O182" s="80"/>
      <c r="P182" s="80"/>
      <c r="Q182" s="83"/>
      <c r="R182" s="80"/>
      <c r="S182" s="80"/>
      <c r="T182" s="80"/>
      <c r="U182" s="80"/>
      <c r="V182" s="84"/>
      <c r="W182" s="80"/>
      <c r="X182" s="85"/>
      <c r="Y182" s="86"/>
      <c r="Z182" s="86"/>
      <c r="AA182" s="86"/>
      <c r="AB182" s="86"/>
      <c r="AC182" s="86"/>
      <c r="AD182" s="86"/>
      <c r="AE182" s="86"/>
      <c r="AF182" s="86"/>
      <c r="AG182" s="86"/>
      <c r="AH182" s="82"/>
    </row>
    <row r="183">
      <c r="A183" s="78"/>
      <c r="B183" s="79"/>
      <c r="C183" s="80"/>
      <c r="D183" s="80"/>
      <c r="E183" s="80"/>
      <c r="F183" s="80"/>
      <c r="G183" s="80"/>
      <c r="H183" s="80"/>
      <c r="I183" s="80"/>
      <c r="J183" s="80"/>
      <c r="K183" s="82"/>
      <c r="L183" s="80"/>
      <c r="M183" s="80"/>
      <c r="N183" s="80"/>
      <c r="O183" s="80"/>
      <c r="P183" s="80"/>
      <c r="Q183" s="83"/>
      <c r="R183" s="80"/>
      <c r="S183" s="80"/>
      <c r="T183" s="80"/>
      <c r="U183" s="80"/>
      <c r="V183" s="84"/>
      <c r="W183" s="80"/>
      <c r="X183" s="85"/>
      <c r="Y183" s="86"/>
      <c r="Z183" s="86"/>
      <c r="AA183" s="86"/>
      <c r="AB183" s="86"/>
      <c r="AC183" s="86"/>
      <c r="AD183" s="86"/>
      <c r="AE183" s="86"/>
      <c r="AF183" s="86"/>
      <c r="AG183" s="86"/>
      <c r="AH183" s="82"/>
    </row>
    <row r="184">
      <c r="A184" s="78"/>
      <c r="B184" s="79"/>
      <c r="C184" s="80"/>
      <c r="D184" s="80"/>
      <c r="E184" s="80"/>
      <c r="F184" s="80"/>
      <c r="G184" s="80"/>
      <c r="H184" s="80"/>
      <c r="I184" s="80"/>
      <c r="J184" s="80"/>
      <c r="K184" s="82"/>
      <c r="L184" s="80"/>
      <c r="M184" s="80"/>
      <c r="N184" s="80"/>
      <c r="O184" s="80"/>
      <c r="P184" s="80"/>
      <c r="Q184" s="83"/>
      <c r="R184" s="80"/>
      <c r="S184" s="80"/>
      <c r="T184" s="80"/>
      <c r="U184" s="80"/>
      <c r="V184" s="84"/>
      <c r="W184" s="80"/>
      <c r="X184" s="85"/>
      <c r="Y184" s="86"/>
      <c r="Z184" s="86"/>
      <c r="AA184" s="86"/>
      <c r="AB184" s="86"/>
      <c r="AC184" s="86"/>
      <c r="AD184" s="86"/>
      <c r="AE184" s="86"/>
      <c r="AF184" s="86"/>
      <c r="AG184" s="86"/>
      <c r="AH184" s="82"/>
    </row>
    <row r="185">
      <c r="A185" s="78"/>
      <c r="B185" s="79"/>
      <c r="C185" s="80"/>
      <c r="D185" s="80"/>
      <c r="E185" s="80"/>
      <c r="F185" s="80"/>
      <c r="G185" s="80"/>
      <c r="H185" s="80"/>
      <c r="I185" s="80"/>
      <c r="J185" s="80"/>
      <c r="K185" s="82"/>
      <c r="L185" s="80"/>
      <c r="M185" s="80"/>
      <c r="N185" s="80"/>
      <c r="O185" s="80"/>
      <c r="P185" s="80"/>
      <c r="Q185" s="83"/>
      <c r="R185" s="80"/>
      <c r="S185" s="80"/>
      <c r="T185" s="80"/>
      <c r="U185" s="80"/>
      <c r="V185" s="84"/>
      <c r="W185" s="80"/>
      <c r="X185" s="85"/>
      <c r="Y185" s="86"/>
      <c r="Z185" s="86"/>
      <c r="AA185" s="86"/>
      <c r="AB185" s="86"/>
      <c r="AC185" s="86"/>
      <c r="AD185" s="86"/>
      <c r="AE185" s="86"/>
      <c r="AF185" s="86"/>
      <c r="AG185" s="86"/>
      <c r="AH185" s="82"/>
    </row>
    <row r="186">
      <c r="A186" s="78"/>
      <c r="B186" s="79"/>
      <c r="C186" s="80"/>
      <c r="D186" s="80"/>
      <c r="E186" s="80"/>
      <c r="F186" s="80"/>
      <c r="G186" s="80"/>
      <c r="H186" s="80"/>
      <c r="I186" s="80"/>
      <c r="J186" s="80"/>
      <c r="K186" s="82"/>
      <c r="L186" s="80"/>
      <c r="M186" s="80"/>
      <c r="N186" s="80"/>
      <c r="O186" s="80"/>
      <c r="P186" s="80"/>
      <c r="Q186" s="83"/>
      <c r="R186" s="80"/>
      <c r="S186" s="80"/>
      <c r="T186" s="80"/>
      <c r="U186" s="80"/>
      <c r="V186" s="84"/>
      <c r="W186" s="80"/>
      <c r="X186" s="85"/>
      <c r="Y186" s="86"/>
      <c r="Z186" s="86"/>
      <c r="AA186" s="86"/>
      <c r="AB186" s="86"/>
      <c r="AC186" s="86"/>
      <c r="AD186" s="86"/>
      <c r="AE186" s="86"/>
      <c r="AF186" s="86"/>
      <c r="AG186" s="86"/>
      <c r="AH186" s="82"/>
    </row>
    <row r="187">
      <c r="A187" s="78"/>
      <c r="B187" s="79"/>
      <c r="C187" s="80"/>
      <c r="D187" s="80"/>
      <c r="E187" s="80"/>
      <c r="F187" s="80"/>
      <c r="G187" s="80"/>
      <c r="H187" s="80"/>
      <c r="I187" s="80"/>
      <c r="J187" s="80"/>
      <c r="K187" s="82"/>
      <c r="L187" s="80"/>
      <c r="M187" s="80"/>
      <c r="N187" s="80"/>
      <c r="O187" s="80"/>
      <c r="P187" s="80"/>
      <c r="Q187" s="83"/>
      <c r="R187" s="80"/>
      <c r="S187" s="80"/>
      <c r="T187" s="80"/>
      <c r="U187" s="80"/>
      <c r="V187" s="84"/>
      <c r="W187" s="80"/>
      <c r="X187" s="85"/>
      <c r="Y187" s="86"/>
      <c r="Z187" s="86"/>
      <c r="AA187" s="86"/>
      <c r="AB187" s="86"/>
      <c r="AC187" s="86"/>
      <c r="AD187" s="86"/>
      <c r="AE187" s="86"/>
      <c r="AF187" s="86"/>
      <c r="AG187" s="86"/>
      <c r="AH187" s="82"/>
    </row>
    <row r="188">
      <c r="A188" s="78"/>
      <c r="B188" s="79"/>
      <c r="C188" s="80"/>
      <c r="D188" s="80"/>
      <c r="E188" s="80"/>
      <c r="F188" s="80"/>
      <c r="G188" s="80"/>
      <c r="H188" s="80"/>
      <c r="I188" s="80"/>
      <c r="J188" s="80"/>
      <c r="K188" s="82"/>
      <c r="L188" s="80"/>
      <c r="M188" s="80"/>
      <c r="N188" s="80"/>
      <c r="O188" s="80"/>
      <c r="P188" s="80"/>
      <c r="Q188" s="83"/>
      <c r="R188" s="80"/>
      <c r="S188" s="80"/>
      <c r="T188" s="80"/>
      <c r="U188" s="80"/>
      <c r="V188" s="84"/>
      <c r="W188" s="80"/>
      <c r="X188" s="85"/>
      <c r="Y188" s="86"/>
      <c r="Z188" s="86"/>
      <c r="AA188" s="86"/>
      <c r="AB188" s="86"/>
      <c r="AC188" s="86"/>
      <c r="AD188" s="86"/>
      <c r="AE188" s="86"/>
      <c r="AF188" s="86"/>
      <c r="AG188" s="86"/>
      <c r="AH188" s="82"/>
    </row>
    <row r="189">
      <c r="A189" s="78"/>
      <c r="B189" s="79"/>
      <c r="C189" s="80"/>
      <c r="D189" s="80"/>
      <c r="E189" s="80"/>
      <c r="F189" s="80"/>
      <c r="G189" s="80"/>
      <c r="H189" s="80"/>
      <c r="I189" s="80"/>
      <c r="J189" s="80"/>
      <c r="K189" s="82"/>
      <c r="L189" s="80"/>
      <c r="M189" s="80"/>
      <c r="N189" s="80"/>
      <c r="O189" s="80"/>
      <c r="P189" s="80"/>
      <c r="Q189" s="83"/>
      <c r="R189" s="80"/>
      <c r="S189" s="80"/>
      <c r="T189" s="80"/>
      <c r="U189" s="80"/>
      <c r="V189" s="84"/>
      <c r="W189" s="80"/>
      <c r="X189" s="85"/>
      <c r="Y189" s="86"/>
      <c r="Z189" s="86"/>
      <c r="AA189" s="86"/>
      <c r="AB189" s="86"/>
      <c r="AC189" s="86"/>
      <c r="AD189" s="86"/>
      <c r="AE189" s="86"/>
      <c r="AF189" s="86"/>
      <c r="AG189" s="86"/>
      <c r="AH189" s="82"/>
    </row>
    <row r="190">
      <c r="A190" s="78"/>
      <c r="B190" s="79"/>
      <c r="C190" s="80"/>
      <c r="D190" s="80"/>
      <c r="E190" s="80"/>
      <c r="F190" s="80"/>
      <c r="G190" s="80"/>
      <c r="H190" s="80"/>
      <c r="I190" s="80"/>
      <c r="J190" s="80"/>
      <c r="K190" s="82"/>
      <c r="L190" s="80"/>
      <c r="M190" s="80"/>
      <c r="N190" s="80"/>
      <c r="O190" s="80"/>
      <c r="P190" s="80"/>
      <c r="Q190" s="83"/>
      <c r="R190" s="80"/>
      <c r="S190" s="80"/>
      <c r="T190" s="80"/>
      <c r="U190" s="80"/>
      <c r="V190" s="84"/>
      <c r="W190" s="80"/>
      <c r="X190" s="85"/>
      <c r="Y190" s="86"/>
      <c r="Z190" s="86"/>
      <c r="AA190" s="86"/>
      <c r="AB190" s="86"/>
      <c r="AC190" s="86"/>
      <c r="AD190" s="86"/>
      <c r="AE190" s="86"/>
      <c r="AF190" s="86"/>
      <c r="AG190" s="86"/>
      <c r="AH190" s="82"/>
    </row>
    <row r="191">
      <c r="A191" s="78"/>
      <c r="B191" s="79"/>
      <c r="C191" s="80"/>
      <c r="D191" s="80"/>
      <c r="E191" s="80"/>
      <c r="F191" s="80"/>
      <c r="G191" s="80"/>
      <c r="H191" s="80"/>
      <c r="I191" s="80"/>
      <c r="J191" s="80"/>
      <c r="K191" s="82"/>
      <c r="L191" s="80"/>
      <c r="M191" s="80"/>
      <c r="N191" s="80"/>
      <c r="O191" s="80"/>
      <c r="P191" s="80"/>
      <c r="Q191" s="83"/>
      <c r="R191" s="80"/>
      <c r="S191" s="80"/>
      <c r="T191" s="80"/>
      <c r="U191" s="80"/>
      <c r="V191" s="84"/>
      <c r="W191" s="80"/>
      <c r="X191" s="85"/>
      <c r="Y191" s="86"/>
      <c r="Z191" s="86"/>
      <c r="AA191" s="86"/>
      <c r="AB191" s="86"/>
      <c r="AC191" s="86"/>
      <c r="AD191" s="86"/>
      <c r="AE191" s="86"/>
      <c r="AF191" s="86"/>
      <c r="AG191" s="86"/>
      <c r="AH191" s="82"/>
    </row>
    <row r="192">
      <c r="A192" s="78"/>
      <c r="B192" s="79"/>
      <c r="C192" s="80"/>
      <c r="D192" s="80"/>
      <c r="E192" s="80"/>
      <c r="F192" s="80"/>
      <c r="G192" s="80"/>
      <c r="H192" s="80"/>
      <c r="I192" s="80"/>
      <c r="J192" s="80"/>
      <c r="K192" s="82"/>
      <c r="L192" s="80"/>
      <c r="M192" s="80"/>
      <c r="N192" s="80"/>
      <c r="O192" s="80"/>
      <c r="P192" s="80"/>
      <c r="Q192" s="83"/>
      <c r="R192" s="80"/>
      <c r="S192" s="80"/>
      <c r="T192" s="80"/>
      <c r="U192" s="80"/>
      <c r="V192" s="84"/>
      <c r="W192" s="80"/>
      <c r="X192" s="85"/>
      <c r="Y192" s="86"/>
      <c r="Z192" s="86"/>
      <c r="AA192" s="86"/>
      <c r="AB192" s="86"/>
      <c r="AC192" s="86"/>
      <c r="AD192" s="86"/>
      <c r="AE192" s="86"/>
      <c r="AF192" s="86"/>
      <c r="AG192" s="86"/>
      <c r="AH192" s="82"/>
    </row>
    <row r="193">
      <c r="A193" s="78"/>
      <c r="B193" s="79"/>
      <c r="C193" s="80"/>
      <c r="D193" s="80"/>
      <c r="E193" s="80"/>
      <c r="F193" s="80"/>
      <c r="G193" s="80"/>
      <c r="H193" s="80"/>
      <c r="I193" s="80"/>
      <c r="J193" s="80"/>
      <c r="K193" s="82"/>
      <c r="L193" s="80"/>
      <c r="M193" s="80"/>
      <c r="N193" s="80"/>
      <c r="O193" s="80"/>
      <c r="P193" s="80"/>
      <c r="Q193" s="83"/>
      <c r="R193" s="80"/>
      <c r="S193" s="80"/>
      <c r="T193" s="80"/>
      <c r="U193" s="80"/>
      <c r="V193" s="84"/>
      <c r="W193" s="80"/>
      <c r="X193" s="85"/>
      <c r="Y193" s="86"/>
      <c r="Z193" s="86"/>
      <c r="AA193" s="86"/>
      <c r="AB193" s="86"/>
      <c r="AC193" s="86"/>
      <c r="AD193" s="86"/>
      <c r="AE193" s="86"/>
      <c r="AF193" s="86"/>
      <c r="AG193" s="86"/>
      <c r="AH193" s="82"/>
    </row>
    <row r="194">
      <c r="A194" s="78"/>
      <c r="B194" s="79"/>
      <c r="C194" s="80"/>
      <c r="D194" s="80"/>
      <c r="E194" s="80"/>
      <c r="F194" s="80"/>
      <c r="G194" s="80"/>
      <c r="H194" s="80"/>
      <c r="I194" s="80"/>
      <c r="J194" s="80"/>
      <c r="K194" s="82"/>
      <c r="L194" s="80"/>
      <c r="M194" s="80"/>
      <c r="N194" s="80"/>
      <c r="O194" s="80"/>
      <c r="P194" s="80"/>
      <c r="Q194" s="83"/>
      <c r="R194" s="80"/>
      <c r="S194" s="80"/>
      <c r="T194" s="80"/>
      <c r="U194" s="80"/>
      <c r="V194" s="84"/>
      <c r="W194" s="80"/>
      <c r="X194" s="85"/>
      <c r="Y194" s="86"/>
      <c r="Z194" s="86"/>
      <c r="AA194" s="86"/>
      <c r="AB194" s="86"/>
      <c r="AC194" s="86"/>
      <c r="AD194" s="86"/>
      <c r="AE194" s="86"/>
      <c r="AF194" s="86"/>
      <c r="AG194" s="86"/>
      <c r="AH194" s="82"/>
    </row>
    <row r="195">
      <c r="A195" s="78"/>
      <c r="B195" s="79"/>
      <c r="C195" s="80"/>
      <c r="D195" s="80"/>
      <c r="E195" s="80"/>
      <c r="F195" s="80"/>
      <c r="G195" s="80"/>
      <c r="H195" s="80"/>
      <c r="I195" s="80"/>
      <c r="J195" s="80"/>
      <c r="K195" s="82"/>
      <c r="L195" s="80"/>
      <c r="M195" s="80"/>
      <c r="N195" s="80"/>
      <c r="O195" s="80"/>
      <c r="P195" s="80"/>
      <c r="Q195" s="83"/>
      <c r="R195" s="80"/>
      <c r="S195" s="80"/>
      <c r="T195" s="80"/>
      <c r="U195" s="80"/>
      <c r="V195" s="84"/>
      <c r="W195" s="80"/>
      <c r="X195" s="85"/>
      <c r="Y195" s="86"/>
      <c r="Z195" s="86"/>
      <c r="AA195" s="86"/>
      <c r="AB195" s="86"/>
      <c r="AC195" s="86"/>
      <c r="AD195" s="86"/>
      <c r="AE195" s="86"/>
      <c r="AF195" s="86"/>
      <c r="AG195" s="86"/>
      <c r="AH195" s="82"/>
    </row>
    <row r="196">
      <c r="A196" s="78"/>
      <c r="B196" s="79"/>
      <c r="C196" s="80"/>
      <c r="D196" s="80"/>
      <c r="E196" s="80"/>
      <c r="F196" s="80"/>
      <c r="G196" s="80"/>
      <c r="H196" s="80"/>
      <c r="I196" s="80"/>
      <c r="J196" s="80"/>
      <c r="K196" s="82"/>
      <c r="L196" s="80"/>
      <c r="M196" s="80"/>
      <c r="N196" s="80"/>
      <c r="O196" s="80"/>
      <c r="P196" s="80"/>
      <c r="Q196" s="83"/>
      <c r="R196" s="80"/>
      <c r="S196" s="80"/>
      <c r="T196" s="80"/>
      <c r="U196" s="80"/>
      <c r="V196" s="84"/>
      <c r="W196" s="80"/>
      <c r="X196" s="85"/>
      <c r="Y196" s="86"/>
      <c r="Z196" s="86"/>
      <c r="AA196" s="86"/>
      <c r="AB196" s="86"/>
      <c r="AC196" s="86"/>
      <c r="AD196" s="86"/>
      <c r="AE196" s="86"/>
      <c r="AF196" s="86"/>
      <c r="AG196" s="86"/>
      <c r="AH196" s="82"/>
    </row>
    <row r="197">
      <c r="A197" s="78"/>
      <c r="B197" s="79"/>
      <c r="C197" s="80"/>
      <c r="D197" s="80"/>
      <c r="E197" s="80"/>
      <c r="F197" s="80"/>
      <c r="G197" s="80"/>
      <c r="H197" s="80"/>
      <c r="I197" s="80"/>
      <c r="J197" s="80"/>
      <c r="K197" s="82"/>
      <c r="L197" s="80"/>
      <c r="M197" s="80"/>
      <c r="N197" s="80"/>
      <c r="O197" s="80"/>
      <c r="P197" s="80"/>
      <c r="Q197" s="83"/>
      <c r="R197" s="80"/>
      <c r="S197" s="80"/>
      <c r="T197" s="80"/>
      <c r="U197" s="80"/>
      <c r="V197" s="84"/>
      <c r="W197" s="80"/>
      <c r="X197" s="85"/>
      <c r="Y197" s="86"/>
      <c r="Z197" s="86"/>
      <c r="AA197" s="86"/>
      <c r="AB197" s="86"/>
      <c r="AC197" s="86"/>
      <c r="AD197" s="86"/>
      <c r="AE197" s="86"/>
      <c r="AF197" s="86"/>
      <c r="AG197" s="86"/>
      <c r="AH197" s="82"/>
    </row>
    <row r="198">
      <c r="A198" s="78"/>
      <c r="B198" s="79"/>
      <c r="C198" s="80"/>
      <c r="D198" s="80"/>
      <c r="E198" s="80"/>
      <c r="F198" s="80"/>
      <c r="G198" s="80"/>
      <c r="H198" s="80"/>
      <c r="I198" s="80"/>
      <c r="J198" s="80"/>
      <c r="K198" s="82"/>
      <c r="L198" s="80"/>
      <c r="M198" s="80"/>
      <c r="N198" s="80"/>
      <c r="O198" s="80"/>
      <c r="P198" s="80"/>
      <c r="Q198" s="83"/>
      <c r="R198" s="80"/>
      <c r="S198" s="80"/>
      <c r="T198" s="80"/>
      <c r="U198" s="80"/>
      <c r="V198" s="84"/>
      <c r="W198" s="80"/>
      <c r="X198" s="85"/>
      <c r="Y198" s="86"/>
      <c r="Z198" s="86"/>
      <c r="AA198" s="86"/>
      <c r="AB198" s="86"/>
      <c r="AC198" s="86"/>
      <c r="AD198" s="86"/>
      <c r="AE198" s="86"/>
      <c r="AF198" s="86"/>
      <c r="AG198" s="86"/>
      <c r="AH198" s="82"/>
    </row>
    <row r="199">
      <c r="A199" s="78"/>
      <c r="B199" s="79"/>
      <c r="C199" s="80"/>
      <c r="D199" s="80"/>
      <c r="E199" s="80"/>
      <c r="F199" s="80"/>
      <c r="G199" s="80"/>
      <c r="H199" s="80"/>
      <c r="I199" s="80"/>
      <c r="J199" s="80"/>
      <c r="K199" s="82"/>
      <c r="L199" s="80"/>
      <c r="M199" s="80"/>
      <c r="N199" s="80"/>
      <c r="O199" s="80"/>
      <c r="P199" s="80"/>
      <c r="Q199" s="83"/>
      <c r="R199" s="80"/>
      <c r="S199" s="80"/>
      <c r="T199" s="80"/>
      <c r="U199" s="80"/>
      <c r="V199" s="84"/>
      <c r="W199" s="80"/>
      <c r="X199" s="85"/>
      <c r="Y199" s="86"/>
      <c r="Z199" s="86"/>
      <c r="AA199" s="86"/>
      <c r="AB199" s="86"/>
      <c r="AC199" s="86"/>
      <c r="AD199" s="86"/>
      <c r="AE199" s="86"/>
      <c r="AF199" s="86"/>
      <c r="AG199" s="86"/>
      <c r="AH199" s="82"/>
    </row>
    <row r="200">
      <c r="A200" s="78"/>
      <c r="B200" s="79"/>
      <c r="C200" s="80"/>
      <c r="D200" s="80"/>
      <c r="E200" s="80"/>
      <c r="F200" s="80"/>
      <c r="G200" s="80"/>
      <c r="H200" s="80"/>
      <c r="I200" s="80"/>
      <c r="J200" s="80"/>
      <c r="K200" s="82"/>
      <c r="L200" s="80"/>
      <c r="M200" s="80"/>
      <c r="N200" s="80"/>
      <c r="O200" s="80"/>
      <c r="P200" s="80"/>
      <c r="Q200" s="83"/>
      <c r="R200" s="80"/>
      <c r="S200" s="80"/>
      <c r="T200" s="80"/>
      <c r="U200" s="80"/>
      <c r="V200" s="84"/>
      <c r="W200" s="80"/>
      <c r="X200" s="85"/>
      <c r="Y200" s="86"/>
      <c r="Z200" s="86"/>
      <c r="AA200" s="86"/>
      <c r="AB200" s="86"/>
      <c r="AC200" s="86"/>
      <c r="AD200" s="86"/>
      <c r="AE200" s="86"/>
      <c r="AF200" s="86"/>
      <c r="AG200" s="86"/>
      <c r="AH200" s="82"/>
    </row>
    <row r="201">
      <c r="A201" s="78"/>
      <c r="B201" s="79"/>
      <c r="C201" s="80"/>
      <c r="D201" s="80"/>
      <c r="E201" s="80"/>
      <c r="F201" s="80"/>
      <c r="G201" s="80"/>
      <c r="H201" s="80"/>
      <c r="I201" s="80"/>
      <c r="J201" s="80"/>
      <c r="K201" s="82"/>
      <c r="L201" s="80"/>
      <c r="M201" s="80"/>
      <c r="N201" s="80"/>
      <c r="O201" s="80"/>
      <c r="P201" s="80"/>
      <c r="Q201" s="83"/>
      <c r="R201" s="80"/>
      <c r="S201" s="80"/>
      <c r="T201" s="80"/>
      <c r="U201" s="80"/>
      <c r="V201" s="84"/>
      <c r="W201" s="80"/>
      <c r="X201" s="85"/>
      <c r="Y201" s="86"/>
      <c r="Z201" s="86"/>
      <c r="AA201" s="86"/>
      <c r="AB201" s="86"/>
      <c r="AC201" s="86"/>
      <c r="AD201" s="86"/>
      <c r="AE201" s="86"/>
      <c r="AF201" s="86"/>
      <c r="AG201" s="86"/>
      <c r="AH201" s="82"/>
    </row>
    <row r="202">
      <c r="A202" s="78"/>
      <c r="B202" s="79"/>
      <c r="C202" s="80"/>
      <c r="D202" s="80"/>
      <c r="E202" s="80"/>
      <c r="F202" s="80"/>
      <c r="G202" s="80"/>
      <c r="H202" s="80"/>
      <c r="I202" s="80"/>
      <c r="J202" s="80"/>
      <c r="K202" s="82"/>
      <c r="L202" s="80"/>
      <c r="M202" s="80"/>
      <c r="N202" s="80"/>
      <c r="O202" s="80"/>
      <c r="P202" s="80"/>
      <c r="Q202" s="83"/>
      <c r="R202" s="80"/>
      <c r="S202" s="80"/>
      <c r="T202" s="80"/>
      <c r="U202" s="80"/>
      <c r="V202" s="84"/>
      <c r="W202" s="80"/>
      <c r="X202" s="85"/>
      <c r="Y202" s="86"/>
      <c r="Z202" s="86"/>
      <c r="AA202" s="86"/>
      <c r="AB202" s="86"/>
      <c r="AC202" s="86"/>
      <c r="AD202" s="86"/>
      <c r="AE202" s="86"/>
      <c r="AF202" s="86"/>
      <c r="AG202" s="86"/>
      <c r="AH202" s="82"/>
    </row>
    <row r="203">
      <c r="A203" s="78"/>
      <c r="B203" s="79"/>
      <c r="C203" s="80"/>
      <c r="D203" s="80"/>
      <c r="E203" s="80"/>
      <c r="F203" s="80"/>
      <c r="G203" s="80"/>
      <c r="H203" s="80"/>
      <c r="I203" s="80"/>
      <c r="J203" s="80"/>
      <c r="K203" s="82"/>
      <c r="L203" s="80"/>
      <c r="M203" s="80"/>
      <c r="N203" s="80"/>
      <c r="O203" s="80"/>
      <c r="P203" s="80"/>
      <c r="Q203" s="83"/>
      <c r="R203" s="80"/>
      <c r="S203" s="80"/>
      <c r="T203" s="80"/>
      <c r="U203" s="80"/>
      <c r="V203" s="84"/>
      <c r="W203" s="80"/>
      <c r="X203" s="85"/>
      <c r="Y203" s="86"/>
      <c r="Z203" s="86"/>
      <c r="AA203" s="86"/>
      <c r="AB203" s="86"/>
      <c r="AC203" s="86"/>
      <c r="AD203" s="86"/>
      <c r="AE203" s="86"/>
      <c r="AF203" s="86"/>
      <c r="AG203" s="86"/>
      <c r="AH203" s="82"/>
    </row>
    <row r="204">
      <c r="A204" s="78"/>
      <c r="B204" s="79"/>
      <c r="C204" s="80"/>
      <c r="D204" s="80"/>
      <c r="E204" s="80"/>
      <c r="F204" s="80"/>
      <c r="G204" s="80"/>
      <c r="H204" s="80"/>
      <c r="I204" s="80"/>
      <c r="J204" s="80"/>
      <c r="K204" s="82"/>
      <c r="L204" s="80"/>
      <c r="M204" s="80"/>
      <c r="N204" s="80"/>
      <c r="O204" s="80"/>
      <c r="P204" s="80"/>
      <c r="Q204" s="83"/>
      <c r="R204" s="80"/>
      <c r="S204" s="80"/>
      <c r="T204" s="80"/>
      <c r="U204" s="80"/>
      <c r="V204" s="84"/>
      <c r="W204" s="80"/>
      <c r="X204" s="85"/>
      <c r="Y204" s="86"/>
      <c r="Z204" s="86"/>
      <c r="AA204" s="86"/>
      <c r="AB204" s="86"/>
      <c r="AC204" s="86"/>
      <c r="AD204" s="86"/>
      <c r="AE204" s="86"/>
      <c r="AF204" s="86"/>
      <c r="AG204" s="86"/>
      <c r="AH204" s="82"/>
    </row>
    <row r="205">
      <c r="A205" s="78"/>
      <c r="B205" s="79"/>
      <c r="C205" s="80"/>
      <c r="D205" s="80"/>
      <c r="E205" s="80"/>
      <c r="F205" s="80"/>
      <c r="G205" s="80"/>
      <c r="H205" s="80"/>
      <c r="I205" s="80"/>
      <c r="J205" s="80"/>
      <c r="K205" s="82"/>
      <c r="L205" s="80"/>
      <c r="M205" s="80"/>
      <c r="N205" s="80"/>
      <c r="O205" s="80"/>
      <c r="P205" s="80"/>
      <c r="Q205" s="83"/>
      <c r="R205" s="80"/>
      <c r="S205" s="80"/>
      <c r="T205" s="80"/>
      <c r="U205" s="80"/>
      <c r="V205" s="84"/>
      <c r="W205" s="80"/>
      <c r="X205" s="85"/>
      <c r="Y205" s="86"/>
      <c r="Z205" s="86"/>
      <c r="AA205" s="86"/>
      <c r="AB205" s="86"/>
      <c r="AC205" s="86"/>
      <c r="AD205" s="86"/>
      <c r="AE205" s="86"/>
      <c r="AF205" s="86"/>
      <c r="AG205" s="86"/>
      <c r="AH205" s="82"/>
    </row>
    <row r="206">
      <c r="A206" s="78"/>
      <c r="B206" s="79"/>
      <c r="C206" s="80"/>
      <c r="D206" s="80"/>
      <c r="E206" s="80"/>
      <c r="F206" s="80"/>
      <c r="G206" s="80"/>
      <c r="H206" s="80"/>
      <c r="I206" s="80"/>
      <c r="J206" s="80"/>
      <c r="K206" s="82"/>
      <c r="L206" s="80"/>
      <c r="M206" s="80"/>
      <c r="N206" s="80"/>
      <c r="O206" s="80"/>
      <c r="P206" s="80"/>
      <c r="Q206" s="83"/>
      <c r="R206" s="80"/>
      <c r="S206" s="80"/>
      <c r="T206" s="80"/>
      <c r="U206" s="80"/>
      <c r="V206" s="84"/>
      <c r="W206" s="80"/>
      <c r="X206" s="85"/>
      <c r="Y206" s="86"/>
      <c r="Z206" s="86"/>
      <c r="AA206" s="86"/>
      <c r="AB206" s="86"/>
      <c r="AC206" s="86"/>
      <c r="AD206" s="86"/>
      <c r="AE206" s="86"/>
      <c r="AF206" s="86"/>
      <c r="AG206" s="86"/>
      <c r="AH206" s="82"/>
    </row>
    <row r="207">
      <c r="A207" s="78"/>
      <c r="B207" s="79"/>
      <c r="C207" s="80"/>
      <c r="D207" s="80"/>
      <c r="E207" s="80"/>
      <c r="F207" s="80"/>
      <c r="G207" s="80"/>
      <c r="H207" s="80"/>
      <c r="I207" s="80"/>
      <c r="J207" s="80"/>
      <c r="K207" s="82"/>
      <c r="L207" s="80"/>
      <c r="M207" s="80"/>
      <c r="N207" s="80"/>
      <c r="O207" s="80"/>
      <c r="P207" s="80"/>
      <c r="Q207" s="83"/>
      <c r="R207" s="80"/>
      <c r="S207" s="80"/>
      <c r="T207" s="80"/>
      <c r="U207" s="80"/>
      <c r="V207" s="84"/>
      <c r="W207" s="80"/>
      <c r="X207" s="85"/>
      <c r="Y207" s="86"/>
      <c r="Z207" s="86"/>
      <c r="AA207" s="86"/>
      <c r="AB207" s="86"/>
      <c r="AC207" s="86"/>
      <c r="AD207" s="86"/>
      <c r="AE207" s="86"/>
      <c r="AF207" s="86"/>
      <c r="AG207" s="86"/>
      <c r="AH207" s="82"/>
    </row>
    <row r="208">
      <c r="A208" s="78"/>
      <c r="B208" s="79"/>
      <c r="C208" s="80"/>
      <c r="D208" s="80"/>
      <c r="E208" s="80"/>
      <c r="F208" s="80"/>
      <c r="G208" s="80"/>
      <c r="H208" s="80"/>
      <c r="I208" s="80"/>
      <c r="J208" s="80"/>
      <c r="K208" s="82"/>
      <c r="L208" s="80"/>
      <c r="M208" s="80"/>
      <c r="N208" s="80"/>
      <c r="O208" s="80"/>
      <c r="P208" s="80"/>
      <c r="Q208" s="83"/>
      <c r="R208" s="80"/>
      <c r="S208" s="80"/>
      <c r="T208" s="80"/>
      <c r="U208" s="80"/>
      <c r="V208" s="84"/>
      <c r="W208" s="80"/>
      <c r="X208" s="85"/>
      <c r="Y208" s="86"/>
      <c r="Z208" s="86"/>
      <c r="AA208" s="86"/>
      <c r="AB208" s="86"/>
      <c r="AC208" s="86"/>
      <c r="AD208" s="86"/>
      <c r="AE208" s="86"/>
      <c r="AF208" s="86"/>
      <c r="AG208" s="86"/>
      <c r="AH208" s="82"/>
    </row>
    <row r="209">
      <c r="A209" s="78"/>
      <c r="B209" s="79"/>
      <c r="C209" s="80"/>
      <c r="D209" s="80"/>
      <c r="E209" s="80"/>
      <c r="F209" s="80"/>
      <c r="G209" s="80"/>
      <c r="H209" s="80"/>
      <c r="I209" s="80"/>
      <c r="J209" s="80"/>
      <c r="K209" s="82"/>
      <c r="L209" s="80"/>
      <c r="M209" s="80"/>
      <c r="N209" s="80"/>
      <c r="O209" s="80"/>
      <c r="P209" s="80"/>
      <c r="Q209" s="83"/>
      <c r="R209" s="80"/>
      <c r="S209" s="80"/>
      <c r="T209" s="80"/>
      <c r="U209" s="80"/>
      <c r="V209" s="84"/>
      <c r="W209" s="80"/>
      <c r="X209" s="85"/>
      <c r="Y209" s="86"/>
      <c r="Z209" s="86"/>
      <c r="AA209" s="86"/>
      <c r="AB209" s="86"/>
      <c r="AC209" s="86"/>
      <c r="AD209" s="86"/>
      <c r="AE209" s="86"/>
      <c r="AF209" s="86"/>
      <c r="AG209" s="86"/>
      <c r="AH209" s="82"/>
    </row>
    <row r="210">
      <c r="A210" s="78"/>
      <c r="B210" s="79"/>
      <c r="C210" s="80"/>
      <c r="D210" s="80"/>
      <c r="E210" s="80"/>
      <c r="F210" s="80"/>
      <c r="G210" s="80"/>
      <c r="H210" s="80"/>
      <c r="I210" s="80"/>
      <c r="J210" s="80"/>
      <c r="K210" s="82"/>
      <c r="L210" s="80"/>
      <c r="M210" s="80"/>
      <c r="N210" s="80"/>
      <c r="O210" s="80"/>
      <c r="P210" s="80"/>
      <c r="Q210" s="83"/>
      <c r="R210" s="80"/>
      <c r="S210" s="80"/>
      <c r="T210" s="80"/>
      <c r="U210" s="80"/>
      <c r="V210" s="84"/>
      <c r="W210" s="80"/>
      <c r="X210" s="85"/>
      <c r="Y210" s="86"/>
      <c r="Z210" s="86"/>
      <c r="AA210" s="86"/>
      <c r="AB210" s="86"/>
      <c r="AC210" s="86"/>
      <c r="AD210" s="86"/>
      <c r="AE210" s="86"/>
      <c r="AF210" s="86"/>
      <c r="AG210" s="86"/>
      <c r="AH210" s="82"/>
    </row>
    <row r="211">
      <c r="A211" s="78"/>
      <c r="B211" s="79"/>
      <c r="C211" s="80"/>
      <c r="D211" s="80"/>
      <c r="E211" s="80"/>
      <c r="F211" s="80"/>
      <c r="G211" s="80"/>
      <c r="H211" s="80"/>
      <c r="I211" s="80"/>
      <c r="J211" s="80"/>
      <c r="K211" s="82"/>
      <c r="L211" s="80"/>
      <c r="M211" s="80"/>
      <c r="N211" s="80"/>
      <c r="O211" s="80"/>
      <c r="P211" s="80"/>
      <c r="Q211" s="83"/>
      <c r="R211" s="80"/>
      <c r="S211" s="80"/>
      <c r="T211" s="80"/>
      <c r="U211" s="80"/>
      <c r="V211" s="84"/>
      <c r="W211" s="80"/>
      <c r="X211" s="85"/>
      <c r="Y211" s="86"/>
      <c r="Z211" s="86"/>
      <c r="AA211" s="86"/>
      <c r="AB211" s="86"/>
      <c r="AC211" s="86"/>
      <c r="AD211" s="86"/>
      <c r="AE211" s="86"/>
      <c r="AF211" s="86"/>
      <c r="AG211" s="86"/>
      <c r="AH211" s="82"/>
    </row>
    <row r="212">
      <c r="A212" s="78"/>
      <c r="B212" s="79"/>
      <c r="C212" s="80"/>
      <c r="D212" s="80"/>
      <c r="E212" s="80"/>
      <c r="F212" s="80"/>
      <c r="G212" s="80"/>
      <c r="H212" s="80"/>
      <c r="I212" s="80"/>
      <c r="J212" s="80"/>
      <c r="K212" s="82"/>
      <c r="L212" s="80"/>
      <c r="M212" s="80"/>
      <c r="N212" s="80"/>
      <c r="O212" s="80"/>
      <c r="P212" s="80"/>
      <c r="Q212" s="83"/>
      <c r="R212" s="80"/>
      <c r="S212" s="80"/>
      <c r="T212" s="80"/>
      <c r="U212" s="80"/>
      <c r="V212" s="84"/>
      <c r="W212" s="80"/>
      <c r="X212" s="85"/>
      <c r="Y212" s="86"/>
      <c r="Z212" s="86"/>
      <c r="AA212" s="86"/>
      <c r="AB212" s="86"/>
      <c r="AC212" s="86"/>
      <c r="AD212" s="86"/>
      <c r="AE212" s="86"/>
      <c r="AF212" s="86"/>
      <c r="AG212" s="86"/>
      <c r="AH212" s="82"/>
    </row>
    <row r="213">
      <c r="A213" s="78"/>
      <c r="B213" s="79"/>
      <c r="C213" s="80"/>
      <c r="D213" s="80"/>
      <c r="E213" s="80"/>
      <c r="F213" s="80"/>
      <c r="G213" s="80"/>
      <c r="H213" s="80"/>
      <c r="I213" s="80"/>
      <c r="J213" s="80"/>
      <c r="K213" s="82"/>
      <c r="L213" s="80"/>
      <c r="M213" s="80"/>
      <c r="N213" s="80"/>
      <c r="O213" s="80"/>
      <c r="P213" s="80"/>
      <c r="Q213" s="83"/>
      <c r="R213" s="80"/>
      <c r="S213" s="80"/>
      <c r="T213" s="80"/>
      <c r="U213" s="80"/>
      <c r="V213" s="84"/>
      <c r="W213" s="80"/>
      <c r="X213" s="85"/>
      <c r="Y213" s="86"/>
      <c r="Z213" s="86"/>
      <c r="AA213" s="86"/>
      <c r="AB213" s="86"/>
      <c r="AC213" s="86"/>
      <c r="AD213" s="86"/>
      <c r="AE213" s="86"/>
      <c r="AF213" s="86"/>
      <c r="AG213" s="86"/>
      <c r="AH213" s="82"/>
    </row>
    <row r="214">
      <c r="A214" s="78"/>
      <c r="B214" s="79"/>
      <c r="C214" s="80"/>
      <c r="D214" s="80"/>
      <c r="E214" s="80"/>
      <c r="F214" s="80"/>
      <c r="G214" s="80"/>
      <c r="H214" s="80"/>
      <c r="I214" s="80"/>
      <c r="J214" s="80"/>
      <c r="K214" s="82"/>
      <c r="L214" s="80"/>
      <c r="M214" s="80"/>
      <c r="N214" s="80"/>
      <c r="O214" s="80"/>
      <c r="P214" s="80"/>
      <c r="Q214" s="83"/>
      <c r="R214" s="80"/>
      <c r="S214" s="80"/>
      <c r="T214" s="80"/>
      <c r="U214" s="80"/>
      <c r="V214" s="84"/>
      <c r="W214" s="80"/>
      <c r="X214" s="85"/>
      <c r="Y214" s="86"/>
      <c r="Z214" s="86"/>
      <c r="AA214" s="86"/>
      <c r="AB214" s="86"/>
      <c r="AC214" s="86"/>
      <c r="AD214" s="86"/>
      <c r="AE214" s="86"/>
      <c r="AF214" s="86"/>
      <c r="AG214" s="86"/>
      <c r="AH214" s="82"/>
    </row>
    <row r="215">
      <c r="A215" s="78"/>
      <c r="B215" s="79"/>
      <c r="C215" s="80"/>
      <c r="D215" s="80"/>
      <c r="E215" s="80"/>
      <c r="F215" s="80"/>
      <c r="G215" s="80"/>
      <c r="H215" s="80"/>
      <c r="I215" s="80"/>
      <c r="J215" s="80"/>
      <c r="K215" s="82"/>
      <c r="L215" s="80"/>
      <c r="M215" s="80"/>
      <c r="N215" s="80"/>
      <c r="O215" s="80"/>
      <c r="P215" s="80"/>
      <c r="Q215" s="83"/>
      <c r="R215" s="80"/>
      <c r="S215" s="80"/>
      <c r="T215" s="80"/>
      <c r="U215" s="80"/>
      <c r="V215" s="84"/>
      <c r="W215" s="80"/>
      <c r="X215" s="85"/>
      <c r="Y215" s="86"/>
      <c r="Z215" s="86"/>
      <c r="AA215" s="86"/>
      <c r="AB215" s="86"/>
      <c r="AC215" s="86"/>
      <c r="AD215" s="86"/>
      <c r="AE215" s="86"/>
      <c r="AF215" s="86"/>
      <c r="AG215" s="86"/>
      <c r="AH215" s="82"/>
    </row>
    <row r="216">
      <c r="A216" s="78"/>
      <c r="B216" s="79"/>
      <c r="C216" s="80"/>
      <c r="D216" s="80"/>
      <c r="E216" s="80"/>
      <c r="F216" s="80"/>
      <c r="G216" s="80"/>
      <c r="H216" s="80"/>
      <c r="I216" s="80"/>
      <c r="J216" s="80"/>
      <c r="K216" s="82"/>
      <c r="L216" s="80"/>
      <c r="M216" s="80"/>
      <c r="N216" s="80"/>
      <c r="O216" s="80"/>
      <c r="P216" s="80"/>
      <c r="Q216" s="83"/>
      <c r="R216" s="80"/>
      <c r="S216" s="80"/>
      <c r="T216" s="80"/>
      <c r="U216" s="80"/>
      <c r="V216" s="84"/>
      <c r="W216" s="80"/>
      <c r="X216" s="85"/>
      <c r="Y216" s="86"/>
      <c r="Z216" s="86"/>
      <c r="AA216" s="86"/>
      <c r="AB216" s="86"/>
      <c r="AC216" s="86"/>
      <c r="AD216" s="86"/>
      <c r="AE216" s="86"/>
      <c r="AF216" s="86"/>
      <c r="AG216" s="86"/>
      <c r="AH216" s="82"/>
    </row>
    <row r="217">
      <c r="A217" s="78"/>
      <c r="B217" s="79"/>
      <c r="C217" s="80"/>
      <c r="D217" s="80"/>
      <c r="E217" s="80"/>
      <c r="F217" s="80"/>
      <c r="G217" s="80"/>
      <c r="H217" s="80"/>
      <c r="I217" s="80"/>
      <c r="J217" s="80"/>
      <c r="K217" s="82"/>
      <c r="L217" s="80"/>
      <c r="M217" s="80"/>
      <c r="N217" s="80"/>
      <c r="O217" s="80"/>
      <c r="P217" s="80"/>
      <c r="Q217" s="83"/>
      <c r="R217" s="80"/>
      <c r="S217" s="80"/>
      <c r="T217" s="80"/>
      <c r="U217" s="80"/>
      <c r="V217" s="84"/>
      <c r="W217" s="80"/>
      <c r="X217" s="85"/>
      <c r="Y217" s="86"/>
      <c r="Z217" s="86"/>
      <c r="AA217" s="86"/>
      <c r="AB217" s="86"/>
      <c r="AC217" s="86"/>
      <c r="AD217" s="86"/>
      <c r="AE217" s="86"/>
      <c r="AF217" s="86"/>
      <c r="AG217" s="86"/>
      <c r="AH217" s="82"/>
    </row>
    <row r="218">
      <c r="A218" s="78"/>
      <c r="B218" s="79"/>
      <c r="C218" s="80"/>
      <c r="D218" s="80"/>
      <c r="E218" s="80"/>
      <c r="F218" s="80"/>
      <c r="G218" s="80"/>
      <c r="H218" s="80"/>
      <c r="I218" s="80"/>
      <c r="J218" s="80"/>
      <c r="K218" s="82"/>
      <c r="L218" s="80"/>
      <c r="M218" s="80"/>
      <c r="N218" s="80"/>
      <c r="O218" s="80"/>
      <c r="P218" s="80"/>
      <c r="Q218" s="83"/>
      <c r="R218" s="80"/>
      <c r="S218" s="80"/>
      <c r="T218" s="80"/>
      <c r="U218" s="80"/>
      <c r="V218" s="84"/>
      <c r="W218" s="80"/>
      <c r="X218" s="85"/>
      <c r="Y218" s="86"/>
      <c r="Z218" s="86"/>
      <c r="AA218" s="86"/>
      <c r="AB218" s="86"/>
      <c r="AC218" s="86"/>
      <c r="AD218" s="86"/>
      <c r="AE218" s="86"/>
      <c r="AF218" s="86"/>
      <c r="AG218" s="86"/>
      <c r="AH218" s="82"/>
    </row>
    <row r="219">
      <c r="A219" s="78"/>
      <c r="B219" s="79"/>
      <c r="C219" s="80"/>
      <c r="D219" s="80"/>
      <c r="E219" s="80"/>
      <c r="F219" s="80"/>
      <c r="G219" s="80"/>
      <c r="H219" s="80"/>
      <c r="I219" s="80"/>
      <c r="J219" s="80"/>
      <c r="K219" s="82"/>
      <c r="L219" s="80"/>
      <c r="M219" s="80"/>
      <c r="N219" s="80"/>
      <c r="O219" s="80"/>
      <c r="P219" s="80"/>
      <c r="Q219" s="83"/>
      <c r="R219" s="80"/>
      <c r="S219" s="80"/>
      <c r="T219" s="80"/>
      <c r="U219" s="80"/>
      <c r="V219" s="84"/>
      <c r="W219" s="80"/>
      <c r="X219" s="85"/>
      <c r="Y219" s="86"/>
      <c r="Z219" s="86"/>
      <c r="AA219" s="86"/>
      <c r="AB219" s="86"/>
      <c r="AC219" s="86"/>
      <c r="AD219" s="86"/>
      <c r="AE219" s="86"/>
      <c r="AF219" s="86"/>
      <c r="AG219" s="86"/>
      <c r="AH219" s="82"/>
    </row>
    <row r="220">
      <c r="A220" s="78"/>
      <c r="B220" s="79"/>
      <c r="C220" s="80"/>
      <c r="D220" s="80"/>
      <c r="E220" s="80"/>
      <c r="F220" s="80"/>
      <c r="G220" s="80"/>
      <c r="H220" s="80"/>
      <c r="I220" s="80"/>
      <c r="J220" s="80"/>
      <c r="K220" s="82"/>
      <c r="L220" s="80"/>
      <c r="M220" s="80"/>
      <c r="N220" s="80"/>
      <c r="O220" s="80"/>
      <c r="P220" s="80"/>
      <c r="Q220" s="83"/>
      <c r="R220" s="80"/>
      <c r="S220" s="80"/>
      <c r="T220" s="80"/>
      <c r="U220" s="80"/>
      <c r="V220" s="84"/>
      <c r="W220" s="80"/>
      <c r="X220" s="85"/>
      <c r="Y220" s="86"/>
      <c r="Z220" s="86"/>
      <c r="AA220" s="86"/>
      <c r="AB220" s="86"/>
      <c r="AC220" s="86"/>
      <c r="AD220" s="86"/>
      <c r="AE220" s="86"/>
      <c r="AF220" s="86"/>
      <c r="AG220" s="86"/>
      <c r="AH220" s="82"/>
    </row>
    <row r="221">
      <c r="A221" s="78"/>
      <c r="B221" s="79"/>
      <c r="C221" s="80"/>
      <c r="D221" s="80"/>
      <c r="E221" s="80"/>
      <c r="F221" s="80"/>
      <c r="G221" s="80"/>
      <c r="H221" s="80"/>
      <c r="I221" s="80"/>
      <c r="J221" s="80"/>
      <c r="K221" s="82"/>
      <c r="L221" s="80"/>
      <c r="M221" s="80"/>
      <c r="N221" s="80"/>
      <c r="O221" s="80"/>
      <c r="P221" s="80"/>
      <c r="Q221" s="83"/>
      <c r="R221" s="80"/>
      <c r="S221" s="80"/>
      <c r="T221" s="80"/>
      <c r="U221" s="80"/>
      <c r="V221" s="84"/>
      <c r="W221" s="80"/>
      <c r="X221" s="85"/>
      <c r="Y221" s="86"/>
      <c r="Z221" s="86"/>
      <c r="AA221" s="86"/>
      <c r="AB221" s="86"/>
      <c r="AC221" s="86"/>
      <c r="AD221" s="86"/>
      <c r="AE221" s="86"/>
      <c r="AF221" s="86"/>
      <c r="AG221" s="86"/>
      <c r="AH221" s="82"/>
    </row>
    <row r="222">
      <c r="A222" s="78"/>
      <c r="B222" s="79"/>
      <c r="C222" s="80"/>
      <c r="D222" s="80"/>
      <c r="E222" s="80"/>
      <c r="F222" s="80"/>
      <c r="G222" s="80"/>
      <c r="H222" s="80"/>
      <c r="I222" s="80"/>
      <c r="J222" s="80"/>
      <c r="K222" s="82"/>
      <c r="L222" s="80"/>
      <c r="M222" s="80"/>
      <c r="N222" s="80"/>
      <c r="O222" s="80"/>
      <c r="P222" s="80"/>
      <c r="Q222" s="83"/>
      <c r="R222" s="80"/>
      <c r="S222" s="80"/>
      <c r="T222" s="80"/>
      <c r="U222" s="80"/>
      <c r="V222" s="84"/>
      <c r="W222" s="80"/>
      <c r="X222" s="85"/>
      <c r="Y222" s="86"/>
      <c r="Z222" s="86"/>
      <c r="AA222" s="86"/>
      <c r="AB222" s="86"/>
      <c r="AC222" s="86"/>
      <c r="AD222" s="86"/>
      <c r="AE222" s="86"/>
      <c r="AF222" s="86"/>
      <c r="AG222" s="86"/>
      <c r="AH222" s="82"/>
    </row>
    <row r="223">
      <c r="A223" s="78"/>
      <c r="B223" s="79"/>
      <c r="C223" s="80"/>
      <c r="D223" s="80"/>
      <c r="E223" s="80"/>
      <c r="F223" s="80"/>
      <c r="G223" s="80"/>
      <c r="H223" s="80"/>
      <c r="I223" s="80"/>
      <c r="J223" s="80"/>
      <c r="K223" s="82"/>
      <c r="L223" s="80"/>
      <c r="M223" s="80"/>
      <c r="N223" s="80"/>
      <c r="O223" s="80"/>
      <c r="P223" s="80"/>
      <c r="Q223" s="83"/>
      <c r="R223" s="80"/>
      <c r="S223" s="80"/>
      <c r="T223" s="80"/>
      <c r="U223" s="80"/>
      <c r="V223" s="84"/>
      <c r="W223" s="80"/>
      <c r="X223" s="85"/>
      <c r="Y223" s="86"/>
      <c r="Z223" s="86"/>
      <c r="AA223" s="86"/>
      <c r="AB223" s="86"/>
      <c r="AC223" s="86"/>
      <c r="AD223" s="86"/>
      <c r="AE223" s="86"/>
      <c r="AF223" s="86"/>
      <c r="AG223" s="86"/>
      <c r="AH223" s="82"/>
    </row>
    <row r="224">
      <c r="A224" s="78"/>
      <c r="B224" s="79"/>
      <c r="C224" s="80"/>
      <c r="D224" s="80"/>
      <c r="E224" s="80"/>
      <c r="F224" s="80"/>
      <c r="G224" s="80"/>
      <c r="H224" s="80"/>
      <c r="I224" s="80"/>
      <c r="J224" s="80"/>
      <c r="K224" s="82"/>
      <c r="L224" s="80"/>
      <c r="M224" s="80"/>
      <c r="N224" s="80"/>
      <c r="O224" s="80"/>
      <c r="P224" s="80"/>
      <c r="Q224" s="83"/>
      <c r="R224" s="80"/>
      <c r="S224" s="80"/>
      <c r="T224" s="80"/>
      <c r="U224" s="80"/>
      <c r="V224" s="84"/>
      <c r="W224" s="80"/>
      <c r="X224" s="85"/>
      <c r="Y224" s="86"/>
      <c r="Z224" s="86"/>
      <c r="AA224" s="86"/>
      <c r="AB224" s="86"/>
      <c r="AC224" s="86"/>
      <c r="AD224" s="86"/>
      <c r="AE224" s="86"/>
      <c r="AF224" s="86"/>
      <c r="AG224" s="86"/>
      <c r="AH224" s="82"/>
    </row>
    <row r="225">
      <c r="A225" s="78"/>
      <c r="B225" s="79"/>
      <c r="C225" s="80"/>
      <c r="D225" s="80"/>
      <c r="E225" s="80"/>
      <c r="F225" s="80"/>
      <c r="G225" s="80"/>
      <c r="H225" s="80"/>
      <c r="I225" s="80"/>
      <c r="J225" s="80"/>
      <c r="K225" s="82"/>
      <c r="L225" s="80"/>
      <c r="M225" s="80"/>
      <c r="N225" s="80"/>
      <c r="O225" s="80"/>
      <c r="P225" s="80"/>
      <c r="Q225" s="83"/>
      <c r="R225" s="80"/>
      <c r="S225" s="80"/>
      <c r="T225" s="80"/>
      <c r="U225" s="80"/>
      <c r="V225" s="84"/>
      <c r="W225" s="80"/>
      <c r="X225" s="85"/>
      <c r="Y225" s="86"/>
      <c r="Z225" s="86"/>
      <c r="AA225" s="86"/>
      <c r="AB225" s="86"/>
      <c r="AC225" s="86"/>
      <c r="AD225" s="86"/>
      <c r="AE225" s="86"/>
      <c r="AF225" s="86"/>
      <c r="AG225" s="86"/>
      <c r="AH225" s="82"/>
    </row>
    <row r="226">
      <c r="A226" s="78"/>
      <c r="B226" s="79"/>
      <c r="C226" s="80"/>
      <c r="D226" s="80"/>
      <c r="E226" s="80"/>
      <c r="F226" s="80"/>
      <c r="G226" s="80"/>
      <c r="H226" s="80"/>
      <c r="I226" s="80"/>
      <c r="J226" s="80"/>
      <c r="K226" s="82"/>
      <c r="L226" s="80"/>
      <c r="M226" s="80"/>
      <c r="N226" s="80"/>
      <c r="O226" s="80"/>
      <c r="P226" s="80"/>
      <c r="Q226" s="83"/>
      <c r="R226" s="80"/>
      <c r="S226" s="80"/>
      <c r="T226" s="80"/>
      <c r="U226" s="80"/>
      <c r="V226" s="84"/>
      <c r="W226" s="80"/>
      <c r="X226" s="85"/>
      <c r="Y226" s="86"/>
      <c r="Z226" s="86"/>
      <c r="AA226" s="86"/>
      <c r="AB226" s="86"/>
      <c r="AC226" s="86"/>
      <c r="AD226" s="86"/>
      <c r="AE226" s="86"/>
      <c r="AF226" s="86"/>
      <c r="AG226" s="86"/>
      <c r="AH226" s="82"/>
    </row>
    <row r="227">
      <c r="A227" s="78"/>
      <c r="B227" s="79"/>
      <c r="C227" s="80"/>
      <c r="D227" s="80"/>
      <c r="E227" s="80"/>
      <c r="F227" s="80"/>
      <c r="G227" s="80"/>
      <c r="H227" s="80"/>
      <c r="I227" s="80"/>
      <c r="J227" s="80"/>
      <c r="K227" s="82"/>
      <c r="L227" s="80"/>
      <c r="M227" s="80"/>
      <c r="N227" s="80"/>
      <c r="O227" s="80"/>
      <c r="P227" s="80"/>
      <c r="Q227" s="83"/>
      <c r="R227" s="80"/>
      <c r="S227" s="80"/>
      <c r="T227" s="80"/>
      <c r="U227" s="80"/>
      <c r="V227" s="84"/>
      <c r="W227" s="80"/>
      <c r="X227" s="85"/>
      <c r="Y227" s="86"/>
      <c r="Z227" s="86"/>
      <c r="AA227" s="86"/>
      <c r="AB227" s="86"/>
      <c r="AC227" s="86"/>
      <c r="AD227" s="86"/>
      <c r="AE227" s="86"/>
      <c r="AF227" s="86"/>
      <c r="AG227" s="86"/>
      <c r="AH227" s="82"/>
    </row>
    <row r="228">
      <c r="A228" s="78"/>
      <c r="B228" s="79"/>
      <c r="C228" s="80"/>
      <c r="D228" s="80"/>
      <c r="E228" s="80"/>
      <c r="F228" s="80"/>
      <c r="G228" s="80"/>
      <c r="H228" s="80"/>
      <c r="I228" s="80"/>
      <c r="J228" s="80"/>
      <c r="K228" s="82"/>
      <c r="L228" s="80"/>
      <c r="M228" s="80"/>
      <c r="N228" s="80"/>
      <c r="O228" s="80"/>
      <c r="P228" s="80"/>
      <c r="Q228" s="83"/>
      <c r="R228" s="80"/>
      <c r="S228" s="80"/>
      <c r="T228" s="80"/>
      <c r="U228" s="80"/>
      <c r="V228" s="84"/>
      <c r="W228" s="80"/>
      <c r="X228" s="85"/>
      <c r="Y228" s="86"/>
      <c r="Z228" s="86"/>
      <c r="AA228" s="86"/>
      <c r="AB228" s="86"/>
      <c r="AC228" s="86"/>
      <c r="AD228" s="86"/>
      <c r="AE228" s="86"/>
      <c r="AF228" s="86"/>
      <c r="AG228" s="86"/>
      <c r="AH228" s="82"/>
    </row>
    <row r="229">
      <c r="A229" s="78"/>
      <c r="B229" s="79"/>
      <c r="C229" s="80"/>
      <c r="D229" s="80"/>
      <c r="E229" s="80"/>
      <c r="F229" s="80"/>
      <c r="G229" s="80"/>
      <c r="H229" s="80"/>
      <c r="I229" s="80"/>
      <c r="J229" s="80"/>
      <c r="K229" s="82"/>
      <c r="L229" s="80"/>
      <c r="M229" s="80"/>
      <c r="N229" s="80"/>
      <c r="O229" s="80"/>
      <c r="P229" s="80"/>
      <c r="Q229" s="83"/>
      <c r="R229" s="80"/>
      <c r="S229" s="80"/>
      <c r="T229" s="80"/>
      <c r="U229" s="80"/>
      <c r="V229" s="84"/>
      <c r="W229" s="80"/>
      <c r="X229" s="85"/>
      <c r="Y229" s="86"/>
      <c r="Z229" s="86"/>
      <c r="AA229" s="86"/>
      <c r="AB229" s="86"/>
      <c r="AC229" s="86"/>
      <c r="AD229" s="86"/>
      <c r="AE229" s="86"/>
      <c r="AF229" s="86"/>
      <c r="AG229" s="86"/>
      <c r="AH229" s="82"/>
    </row>
    <row r="230">
      <c r="A230" s="78"/>
      <c r="B230" s="79"/>
      <c r="C230" s="80"/>
      <c r="D230" s="80"/>
      <c r="E230" s="80"/>
      <c r="F230" s="80"/>
      <c r="G230" s="80"/>
      <c r="H230" s="80"/>
      <c r="I230" s="80"/>
      <c r="J230" s="80"/>
      <c r="K230" s="82"/>
      <c r="L230" s="80"/>
      <c r="M230" s="80"/>
      <c r="N230" s="80"/>
      <c r="O230" s="80"/>
      <c r="P230" s="80"/>
      <c r="Q230" s="83"/>
      <c r="R230" s="80"/>
      <c r="S230" s="80"/>
      <c r="T230" s="80"/>
      <c r="U230" s="80"/>
      <c r="V230" s="84"/>
      <c r="W230" s="80"/>
      <c r="X230" s="85"/>
      <c r="Y230" s="86"/>
      <c r="Z230" s="86"/>
      <c r="AA230" s="86"/>
      <c r="AB230" s="86"/>
      <c r="AC230" s="86"/>
      <c r="AD230" s="86"/>
      <c r="AE230" s="86"/>
      <c r="AF230" s="86"/>
      <c r="AG230" s="86"/>
      <c r="AH230" s="82"/>
    </row>
    <row r="231">
      <c r="A231" s="78"/>
      <c r="B231" s="79"/>
      <c r="C231" s="80"/>
      <c r="D231" s="80"/>
      <c r="E231" s="80"/>
      <c r="F231" s="80"/>
      <c r="G231" s="80"/>
      <c r="H231" s="80"/>
      <c r="I231" s="80"/>
      <c r="J231" s="80"/>
      <c r="K231" s="82"/>
      <c r="L231" s="80"/>
      <c r="M231" s="80"/>
      <c r="N231" s="80"/>
      <c r="O231" s="80"/>
      <c r="P231" s="80"/>
      <c r="Q231" s="83"/>
      <c r="R231" s="80"/>
      <c r="S231" s="80"/>
      <c r="T231" s="80"/>
      <c r="U231" s="80"/>
      <c r="V231" s="84"/>
      <c r="W231" s="80"/>
      <c r="X231" s="85"/>
      <c r="Y231" s="86"/>
      <c r="Z231" s="86"/>
      <c r="AA231" s="86"/>
      <c r="AB231" s="86"/>
      <c r="AC231" s="86"/>
      <c r="AD231" s="86"/>
      <c r="AE231" s="86"/>
      <c r="AF231" s="86"/>
      <c r="AG231" s="86"/>
      <c r="AH231" s="82"/>
    </row>
    <row r="232">
      <c r="A232" s="78"/>
      <c r="B232" s="79"/>
      <c r="C232" s="80"/>
      <c r="D232" s="80"/>
      <c r="E232" s="80"/>
      <c r="F232" s="80"/>
      <c r="G232" s="80"/>
      <c r="H232" s="80"/>
      <c r="I232" s="80"/>
      <c r="J232" s="80"/>
      <c r="K232" s="82"/>
      <c r="L232" s="80"/>
      <c r="M232" s="80"/>
      <c r="N232" s="80"/>
      <c r="O232" s="80"/>
      <c r="P232" s="80"/>
      <c r="Q232" s="83"/>
      <c r="R232" s="80"/>
      <c r="S232" s="80"/>
      <c r="T232" s="80"/>
      <c r="U232" s="80"/>
      <c r="V232" s="84"/>
      <c r="W232" s="80"/>
      <c r="X232" s="85"/>
      <c r="Y232" s="86"/>
      <c r="Z232" s="86"/>
      <c r="AA232" s="86"/>
      <c r="AB232" s="86"/>
      <c r="AC232" s="86"/>
      <c r="AD232" s="86"/>
      <c r="AE232" s="86"/>
      <c r="AF232" s="86"/>
      <c r="AG232" s="86"/>
      <c r="AH232" s="82"/>
    </row>
    <row r="233">
      <c r="A233" s="78"/>
      <c r="B233" s="79"/>
      <c r="C233" s="80"/>
      <c r="D233" s="80"/>
      <c r="E233" s="80"/>
      <c r="F233" s="80"/>
      <c r="G233" s="80"/>
      <c r="H233" s="80"/>
      <c r="I233" s="80"/>
      <c r="J233" s="80"/>
      <c r="K233" s="82"/>
      <c r="L233" s="80"/>
      <c r="M233" s="80"/>
      <c r="N233" s="80"/>
      <c r="O233" s="80"/>
      <c r="P233" s="80"/>
      <c r="Q233" s="83"/>
      <c r="R233" s="80"/>
      <c r="S233" s="80"/>
      <c r="T233" s="80"/>
      <c r="U233" s="80"/>
      <c r="V233" s="84"/>
      <c r="W233" s="80"/>
      <c r="X233" s="85"/>
      <c r="Y233" s="86"/>
      <c r="Z233" s="86"/>
      <c r="AA233" s="86"/>
      <c r="AB233" s="86"/>
      <c r="AC233" s="86"/>
      <c r="AD233" s="86"/>
      <c r="AE233" s="86"/>
      <c r="AF233" s="86"/>
      <c r="AG233" s="86"/>
      <c r="AH233" s="82"/>
    </row>
    <row r="234">
      <c r="A234" s="78"/>
      <c r="B234" s="79"/>
      <c r="C234" s="80"/>
      <c r="D234" s="80"/>
      <c r="E234" s="80"/>
      <c r="F234" s="80"/>
      <c r="G234" s="80"/>
      <c r="H234" s="80"/>
      <c r="I234" s="80"/>
      <c r="J234" s="80"/>
      <c r="K234" s="82"/>
      <c r="L234" s="80"/>
      <c r="M234" s="80"/>
      <c r="N234" s="80"/>
      <c r="O234" s="80"/>
      <c r="P234" s="80"/>
      <c r="Q234" s="83"/>
      <c r="R234" s="80"/>
      <c r="S234" s="80"/>
      <c r="T234" s="80"/>
      <c r="U234" s="80"/>
      <c r="V234" s="84"/>
      <c r="W234" s="80"/>
      <c r="X234" s="85"/>
      <c r="Y234" s="86"/>
      <c r="Z234" s="86"/>
      <c r="AA234" s="86"/>
      <c r="AB234" s="86"/>
      <c r="AC234" s="86"/>
      <c r="AD234" s="86"/>
      <c r="AE234" s="86"/>
      <c r="AF234" s="86"/>
      <c r="AG234" s="86"/>
      <c r="AH234" s="82"/>
    </row>
    <row r="235">
      <c r="A235" s="78"/>
      <c r="B235" s="79"/>
      <c r="C235" s="80"/>
      <c r="D235" s="80"/>
      <c r="E235" s="80"/>
      <c r="F235" s="80"/>
      <c r="G235" s="80"/>
      <c r="H235" s="80"/>
      <c r="I235" s="80"/>
      <c r="J235" s="80"/>
      <c r="K235" s="82"/>
      <c r="L235" s="80"/>
      <c r="M235" s="80"/>
      <c r="N235" s="80"/>
      <c r="O235" s="80"/>
      <c r="P235" s="80"/>
      <c r="Q235" s="83"/>
      <c r="R235" s="80"/>
      <c r="S235" s="80"/>
      <c r="T235" s="80"/>
      <c r="U235" s="80"/>
      <c r="V235" s="84"/>
      <c r="W235" s="80"/>
      <c r="X235" s="85"/>
      <c r="Y235" s="86"/>
      <c r="Z235" s="86"/>
      <c r="AA235" s="86"/>
      <c r="AB235" s="86"/>
      <c r="AC235" s="86"/>
      <c r="AD235" s="86"/>
      <c r="AE235" s="86"/>
      <c r="AF235" s="86"/>
      <c r="AG235" s="86"/>
      <c r="AH235" s="82"/>
    </row>
    <row r="236">
      <c r="A236" s="78"/>
      <c r="B236" s="79"/>
      <c r="C236" s="80"/>
      <c r="D236" s="80"/>
      <c r="E236" s="80"/>
      <c r="F236" s="80"/>
      <c r="G236" s="80"/>
      <c r="H236" s="80"/>
      <c r="I236" s="80"/>
      <c r="J236" s="80"/>
      <c r="K236" s="82"/>
      <c r="L236" s="80"/>
      <c r="M236" s="80"/>
      <c r="N236" s="80"/>
      <c r="O236" s="80"/>
      <c r="P236" s="80"/>
      <c r="Q236" s="83"/>
      <c r="R236" s="80"/>
      <c r="S236" s="80"/>
      <c r="T236" s="80"/>
      <c r="U236" s="80"/>
      <c r="V236" s="84"/>
      <c r="W236" s="80"/>
      <c r="X236" s="85"/>
      <c r="Y236" s="86"/>
      <c r="Z236" s="86"/>
      <c r="AA236" s="86"/>
      <c r="AB236" s="86"/>
      <c r="AC236" s="86"/>
      <c r="AD236" s="86"/>
      <c r="AE236" s="86"/>
      <c r="AF236" s="86"/>
      <c r="AG236" s="86"/>
      <c r="AH236" s="82"/>
    </row>
    <row r="237">
      <c r="A237" s="78"/>
      <c r="B237" s="79"/>
      <c r="C237" s="80"/>
      <c r="D237" s="80"/>
      <c r="E237" s="80"/>
      <c r="F237" s="80"/>
      <c r="G237" s="80"/>
      <c r="H237" s="80"/>
      <c r="I237" s="80"/>
      <c r="J237" s="80"/>
      <c r="K237" s="82"/>
      <c r="L237" s="80"/>
      <c r="M237" s="80"/>
      <c r="N237" s="80"/>
      <c r="O237" s="80"/>
      <c r="P237" s="80"/>
      <c r="Q237" s="83"/>
      <c r="R237" s="80"/>
      <c r="S237" s="80"/>
      <c r="T237" s="80"/>
      <c r="U237" s="80"/>
      <c r="V237" s="84"/>
      <c r="W237" s="80"/>
      <c r="X237" s="85"/>
      <c r="Y237" s="86"/>
      <c r="Z237" s="86"/>
      <c r="AA237" s="86"/>
      <c r="AB237" s="86"/>
      <c r="AC237" s="86"/>
      <c r="AD237" s="86"/>
      <c r="AE237" s="86"/>
      <c r="AF237" s="86"/>
      <c r="AG237" s="86"/>
      <c r="AH237" s="82"/>
    </row>
    <row r="238">
      <c r="A238" s="78"/>
      <c r="B238" s="79"/>
      <c r="C238" s="80"/>
      <c r="D238" s="80"/>
      <c r="E238" s="80"/>
      <c r="F238" s="80"/>
      <c r="G238" s="80"/>
      <c r="H238" s="80"/>
      <c r="I238" s="80"/>
      <c r="J238" s="80"/>
      <c r="K238" s="82"/>
      <c r="L238" s="80"/>
      <c r="M238" s="80"/>
      <c r="N238" s="80"/>
      <c r="O238" s="80"/>
      <c r="P238" s="80"/>
      <c r="Q238" s="83"/>
      <c r="R238" s="80"/>
      <c r="S238" s="80"/>
      <c r="T238" s="80"/>
      <c r="U238" s="80"/>
      <c r="V238" s="84"/>
      <c r="W238" s="80"/>
      <c r="X238" s="85"/>
      <c r="Y238" s="86"/>
      <c r="Z238" s="86"/>
      <c r="AA238" s="86"/>
      <c r="AB238" s="86"/>
      <c r="AC238" s="86"/>
      <c r="AD238" s="86"/>
      <c r="AE238" s="86"/>
      <c r="AF238" s="86"/>
      <c r="AG238" s="86"/>
      <c r="AH238" s="82"/>
    </row>
    <row r="239">
      <c r="A239" s="78"/>
      <c r="B239" s="79"/>
      <c r="C239" s="80"/>
      <c r="D239" s="80"/>
      <c r="E239" s="80"/>
      <c r="F239" s="80"/>
      <c r="G239" s="80"/>
      <c r="H239" s="80"/>
      <c r="I239" s="80"/>
      <c r="J239" s="80"/>
      <c r="K239" s="82"/>
      <c r="L239" s="80"/>
      <c r="M239" s="80"/>
      <c r="N239" s="80"/>
      <c r="O239" s="80"/>
      <c r="P239" s="80"/>
      <c r="Q239" s="83"/>
      <c r="R239" s="80"/>
      <c r="S239" s="80"/>
      <c r="T239" s="80"/>
      <c r="U239" s="80"/>
      <c r="V239" s="84"/>
      <c r="W239" s="80"/>
      <c r="X239" s="85"/>
      <c r="Y239" s="86"/>
      <c r="Z239" s="86"/>
      <c r="AA239" s="86"/>
      <c r="AB239" s="86"/>
      <c r="AC239" s="86"/>
      <c r="AD239" s="86"/>
      <c r="AE239" s="86"/>
      <c r="AF239" s="86"/>
      <c r="AG239" s="86"/>
      <c r="AH239" s="82"/>
    </row>
    <row r="240">
      <c r="A240" s="78"/>
      <c r="B240" s="79"/>
      <c r="C240" s="80"/>
      <c r="D240" s="80"/>
      <c r="E240" s="80"/>
      <c r="F240" s="80"/>
      <c r="G240" s="80"/>
      <c r="H240" s="80"/>
      <c r="I240" s="80"/>
      <c r="J240" s="80"/>
      <c r="K240" s="82"/>
      <c r="L240" s="80"/>
      <c r="M240" s="80"/>
      <c r="N240" s="80"/>
      <c r="O240" s="80"/>
      <c r="P240" s="80"/>
      <c r="Q240" s="83"/>
      <c r="R240" s="80"/>
      <c r="S240" s="80"/>
      <c r="T240" s="80"/>
      <c r="U240" s="80"/>
      <c r="V240" s="84"/>
      <c r="W240" s="80"/>
      <c r="X240" s="85"/>
      <c r="Y240" s="86"/>
      <c r="Z240" s="86"/>
      <c r="AA240" s="86"/>
      <c r="AB240" s="86"/>
      <c r="AC240" s="86"/>
      <c r="AD240" s="86"/>
      <c r="AE240" s="86"/>
      <c r="AF240" s="86"/>
      <c r="AG240" s="86"/>
      <c r="AH240" s="82"/>
    </row>
    <row r="241">
      <c r="A241" s="78"/>
      <c r="B241" s="79"/>
      <c r="C241" s="80"/>
      <c r="D241" s="80"/>
      <c r="E241" s="80"/>
      <c r="F241" s="80"/>
      <c r="G241" s="80"/>
      <c r="H241" s="80"/>
      <c r="I241" s="80"/>
      <c r="J241" s="80"/>
      <c r="K241" s="82"/>
      <c r="L241" s="80"/>
      <c r="M241" s="80"/>
      <c r="N241" s="80"/>
      <c r="O241" s="80"/>
      <c r="P241" s="80"/>
      <c r="Q241" s="83"/>
      <c r="R241" s="80"/>
      <c r="S241" s="80"/>
      <c r="T241" s="80"/>
      <c r="U241" s="80"/>
      <c r="V241" s="84"/>
      <c r="W241" s="80"/>
      <c r="X241" s="85"/>
      <c r="Y241" s="86"/>
      <c r="Z241" s="86"/>
      <c r="AA241" s="86"/>
      <c r="AB241" s="86"/>
      <c r="AC241" s="86"/>
      <c r="AD241" s="86"/>
      <c r="AE241" s="86"/>
      <c r="AF241" s="86"/>
      <c r="AG241" s="86"/>
      <c r="AH241" s="82"/>
    </row>
    <row r="242">
      <c r="A242" s="78"/>
      <c r="B242" s="79"/>
      <c r="C242" s="80"/>
      <c r="D242" s="80"/>
      <c r="E242" s="80"/>
      <c r="F242" s="80"/>
      <c r="G242" s="80"/>
      <c r="H242" s="80"/>
      <c r="I242" s="80"/>
      <c r="J242" s="80"/>
      <c r="K242" s="82"/>
      <c r="L242" s="80"/>
      <c r="M242" s="80"/>
      <c r="N242" s="80"/>
      <c r="O242" s="80"/>
      <c r="P242" s="80"/>
      <c r="Q242" s="83"/>
      <c r="R242" s="80"/>
      <c r="S242" s="80"/>
      <c r="T242" s="80"/>
      <c r="U242" s="80"/>
      <c r="V242" s="84"/>
      <c r="W242" s="80"/>
      <c r="X242" s="85"/>
      <c r="Y242" s="86"/>
      <c r="Z242" s="86"/>
      <c r="AA242" s="86"/>
      <c r="AB242" s="86"/>
      <c r="AC242" s="86"/>
      <c r="AD242" s="86"/>
      <c r="AE242" s="86"/>
      <c r="AF242" s="86"/>
      <c r="AG242" s="86"/>
      <c r="AH242" s="82"/>
    </row>
    <row r="243">
      <c r="A243" s="78"/>
      <c r="B243" s="79"/>
      <c r="C243" s="80"/>
      <c r="D243" s="80"/>
      <c r="E243" s="80"/>
      <c r="F243" s="80"/>
      <c r="G243" s="80"/>
      <c r="H243" s="80"/>
      <c r="I243" s="80"/>
      <c r="J243" s="80"/>
      <c r="K243" s="82"/>
      <c r="L243" s="80"/>
      <c r="M243" s="80"/>
      <c r="N243" s="80"/>
      <c r="O243" s="80"/>
      <c r="P243" s="80"/>
      <c r="Q243" s="83"/>
      <c r="R243" s="80"/>
      <c r="S243" s="80"/>
      <c r="T243" s="80"/>
      <c r="U243" s="80"/>
      <c r="V243" s="84"/>
      <c r="W243" s="80"/>
      <c r="X243" s="85"/>
      <c r="Y243" s="86"/>
      <c r="Z243" s="86"/>
      <c r="AA243" s="86"/>
      <c r="AB243" s="86"/>
      <c r="AC243" s="86"/>
      <c r="AD243" s="86"/>
      <c r="AE243" s="86"/>
      <c r="AF243" s="86"/>
      <c r="AG243" s="86"/>
      <c r="AH243" s="82"/>
    </row>
    <row r="244">
      <c r="A244" s="78"/>
      <c r="B244" s="79"/>
      <c r="C244" s="80"/>
      <c r="D244" s="80"/>
      <c r="E244" s="80"/>
      <c r="F244" s="80"/>
      <c r="G244" s="80"/>
      <c r="H244" s="80"/>
      <c r="I244" s="80"/>
      <c r="J244" s="80"/>
      <c r="K244" s="82"/>
      <c r="L244" s="80"/>
      <c r="M244" s="80"/>
      <c r="N244" s="80"/>
      <c r="O244" s="80"/>
      <c r="P244" s="80"/>
      <c r="Q244" s="83"/>
      <c r="R244" s="80"/>
      <c r="S244" s="80"/>
      <c r="T244" s="80"/>
      <c r="U244" s="80"/>
      <c r="V244" s="84"/>
      <c r="W244" s="80"/>
      <c r="X244" s="85"/>
      <c r="Y244" s="86"/>
      <c r="Z244" s="86"/>
      <c r="AA244" s="86"/>
      <c r="AB244" s="86"/>
      <c r="AC244" s="86"/>
      <c r="AD244" s="86"/>
      <c r="AE244" s="86"/>
      <c r="AF244" s="86"/>
      <c r="AG244" s="86"/>
      <c r="AH244" s="82"/>
    </row>
    <row r="245">
      <c r="A245" s="78"/>
      <c r="B245" s="79"/>
      <c r="C245" s="80"/>
      <c r="D245" s="80"/>
      <c r="E245" s="80"/>
      <c r="F245" s="80"/>
      <c r="G245" s="80"/>
      <c r="H245" s="80"/>
      <c r="I245" s="80"/>
      <c r="J245" s="80"/>
      <c r="K245" s="82"/>
      <c r="L245" s="80"/>
      <c r="M245" s="80"/>
      <c r="N245" s="80"/>
      <c r="O245" s="80"/>
      <c r="P245" s="80"/>
      <c r="Q245" s="83"/>
      <c r="R245" s="80"/>
      <c r="S245" s="80"/>
      <c r="T245" s="80"/>
      <c r="U245" s="80"/>
      <c r="V245" s="84"/>
      <c r="W245" s="80"/>
      <c r="X245" s="85"/>
      <c r="Y245" s="86"/>
      <c r="Z245" s="86"/>
      <c r="AA245" s="86"/>
      <c r="AB245" s="86"/>
      <c r="AC245" s="86"/>
      <c r="AD245" s="86"/>
      <c r="AE245" s="86"/>
      <c r="AF245" s="86"/>
      <c r="AG245" s="86"/>
      <c r="AH245" s="82"/>
    </row>
    <row r="246">
      <c r="A246" s="78"/>
      <c r="B246" s="79"/>
      <c r="C246" s="80"/>
      <c r="D246" s="80"/>
      <c r="E246" s="80"/>
      <c r="F246" s="80"/>
      <c r="G246" s="80"/>
      <c r="H246" s="80"/>
      <c r="I246" s="80"/>
      <c r="J246" s="80"/>
      <c r="K246" s="82"/>
      <c r="L246" s="80"/>
      <c r="M246" s="80"/>
      <c r="N246" s="80"/>
      <c r="O246" s="80"/>
      <c r="P246" s="80"/>
      <c r="Q246" s="83"/>
      <c r="R246" s="80"/>
      <c r="S246" s="80"/>
      <c r="T246" s="80"/>
      <c r="U246" s="80"/>
      <c r="V246" s="84"/>
      <c r="W246" s="80"/>
      <c r="X246" s="85"/>
      <c r="Y246" s="86"/>
      <c r="Z246" s="86"/>
      <c r="AA246" s="86"/>
      <c r="AB246" s="86"/>
      <c r="AC246" s="86"/>
      <c r="AD246" s="86"/>
      <c r="AE246" s="86"/>
      <c r="AF246" s="86"/>
      <c r="AG246" s="86"/>
      <c r="AH246" s="82"/>
    </row>
    <row r="247">
      <c r="A247" s="78"/>
      <c r="B247" s="79"/>
      <c r="C247" s="80"/>
      <c r="D247" s="80"/>
      <c r="E247" s="80"/>
      <c r="F247" s="80"/>
      <c r="G247" s="80"/>
      <c r="H247" s="80"/>
      <c r="I247" s="80"/>
      <c r="J247" s="80"/>
      <c r="K247" s="82"/>
      <c r="L247" s="80"/>
      <c r="M247" s="80"/>
      <c r="N247" s="80"/>
      <c r="O247" s="80"/>
      <c r="P247" s="80"/>
      <c r="Q247" s="83"/>
      <c r="R247" s="80"/>
      <c r="S247" s="80"/>
      <c r="T247" s="80"/>
      <c r="U247" s="80"/>
      <c r="V247" s="84"/>
      <c r="W247" s="80"/>
      <c r="X247" s="85"/>
      <c r="Y247" s="86"/>
      <c r="Z247" s="86"/>
      <c r="AA247" s="86"/>
      <c r="AB247" s="86"/>
      <c r="AC247" s="86"/>
      <c r="AD247" s="86"/>
      <c r="AE247" s="86"/>
      <c r="AF247" s="86"/>
      <c r="AG247" s="86"/>
      <c r="AH247" s="82"/>
    </row>
    <row r="248">
      <c r="A248" s="78"/>
      <c r="B248" s="79"/>
      <c r="C248" s="80"/>
      <c r="D248" s="80"/>
      <c r="E248" s="80"/>
      <c r="F248" s="80"/>
      <c r="G248" s="80"/>
      <c r="H248" s="80"/>
      <c r="I248" s="80"/>
      <c r="J248" s="80"/>
      <c r="K248" s="82"/>
      <c r="L248" s="80"/>
      <c r="M248" s="80"/>
      <c r="N248" s="80"/>
      <c r="O248" s="80"/>
      <c r="P248" s="80"/>
      <c r="Q248" s="83"/>
      <c r="R248" s="80"/>
      <c r="S248" s="80"/>
      <c r="T248" s="80"/>
      <c r="U248" s="80"/>
      <c r="V248" s="84"/>
      <c r="W248" s="80"/>
      <c r="X248" s="85"/>
      <c r="Y248" s="86"/>
      <c r="Z248" s="86"/>
      <c r="AA248" s="86"/>
      <c r="AB248" s="86"/>
      <c r="AC248" s="86"/>
      <c r="AD248" s="86"/>
      <c r="AE248" s="86"/>
      <c r="AF248" s="86"/>
      <c r="AG248" s="86"/>
      <c r="AH248" s="82"/>
    </row>
    <row r="249">
      <c r="A249" s="78"/>
      <c r="B249" s="79"/>
      <c r="C249" s="80"/>
      <c r="D249" s="80"/>
      <c r="E249" s="80"/>
      <c r="F249" s="80"/>
      <c r="G249" s="80"/>
      <c r="H249" s="80"/>
      <c r="I249" s="80"/>
      <c r="J249" s="80"/>
      <c r="K249" s="82"/>
      <c r="L249" s="80"/>
      <c r="M249" s="80"/>
      <c r="N249" s="80"/>
      <c r="O249" s="80"/>
      <c r="P249" s="80"/>
      <c r="Q249" s="83"/>
      <c r="R249" s="80"/>
      <c r="S249" s="80"/>
      <c r="T249" s="80"/>
      <c r="U249" s="80"/>
      <c r="V249" s="84"/>
      <c r="W249" s="80"/>
      <c r="X249" s="85"/>
      <c r="Y249" s="86"/>
      <c r="Z249" s="86"/>
      <c r="AA249" s="86"/>
      <c r="AB249" s="86"/>
      <c r="AC249" s="86"/>
      <c r="AD249" s="86"/>
      <c r="AE249" s="86"/>
      <c r="AF249" s="86"/>
      <c r="AG249" s="86"/>
      <c r="AH249" s="82"/>
    </row>
    <row r="250">
      <c r="A250" s="78"/>
      <c r="B250" s="79"/>
      <c r="C250" s="80"/>
      <c r="D250" s="80"/>
      <c r="E250" s="80"/>
      <c r="F250" s="80"/>
      <c r="G250" s="80"/>
      <c r="H250" s="80"/>
      <c r="I250" s="80"/>
      <c r="J250" s="80"/>
      <c r="K250" s="82"/>
      <c r="L250" s="80"/>
      <c r="M250" s="80"/>
      <c r="N250" s="80"/>
      <c r="O250" s="80"/>
      <c r="P250" s="80"/>
      <c r="Q250" s="83"/>
      <c r="R250" s="80"/>
      <c r="S250" s="80"/>
      <c r="T250" s="80"/>
      <c r="U250" s="80"/>
      <c r="V250" s="84"/>
      <c r="W250" s="80"/>
      <c r="X250" s="85"/>
      <c r="Y250" s="86"/>
      <c r="Z250" s="86"/>
      <c r="AA250" s="86"/>
      <c r="AB250" s="86"/>
      <c r="AC250" s="86"/>
      <c r="AD250" s="86"/>
      <c r="AE250" s="86"/>
      <c r="AF250" s="86"/>
      <c r="AG250" s="86"/>
      <c r="AH250" s="82"/>
    </row>
    <row r="251">
      <c r="A251" s="78"/>
      <c r="B251" s="79"/>
      <c r="C251" s="80"/>
      <c r="D251" s="80"/>
      <c r="E251" s="80"/>
      <c r="F251" s="80"/>
      <c r="G251" s="80"/>
      <c r="H251" s="80"/>
      <c r="I251" s="80"/>
      <c r="J251" s="80"/>
      <c r="K251" s="82"/>
      <c r="L251" s="80"/>
      <c r="M251" s="80"/>
      <c r="N251" s="80"/>
      <c r="O251" s="80"/>
      <c r="P251" s="80"/>
      <c r="Q251" s="83"/>
      <c r="R251" s="80"/>
      <c r="S251" s="80"/>
      <c r="T251" s="80"/>
      <c r="U251" s="80"/>
      <c r="V251" s="84"/>
      <c r="W251" s="80"/>
      <c r="X251" s="85"/>
      <c r="Y251" s="86"/>
      <c r="Z251" s="86"/>
      <c r="AA251" s="86"/>
      <c r="AB251" s="86"/>
      <c r="AC251" s="86"/>
      <c r="AD251" s="86"/>
      <c r="AE251" s="86"/>
      <c r="AF251" s="86"/>
      <c r="AG251" s="86"/>
      <c r="AH251" s="82"/>
    </row>
    <row r="252">
      <c r="A252" s="78"/>
      <c r="B252" s="79"/>
      <c r="C252" s="80"/>
      <c r="D252" s="80"/>
      <c r="E252" s="80"/>
      <c r="F252" s="80"/>
      <c r="G252" s="80"/>
      <c r="H252" s="80"/>
      <c r="I252" s="80"/>
      <c r="J252" s="80"/>
      <c r="K252" s="82"/>
      <c r="L252" s="80"/>
      <c r="M252" s="80"/>
      <c r="N252" s="80"/>
      <c r="O252" s="80"/>
      <c r="P252" s="80"/>
      <c r="Q252" s="83"/>
      <c r="R252" s="80"/>
      <c r="S252" s="80"/>
      <c r="T252" s="80"/>
      <c r="U252" s="80"/>
      <c r="V252" s="84"/>
      <c r="W252" s="80"/>
      <c r="X252" s="85"/>
      <c r="Y252" s="86"/>
      <c r="Z252" s="86"/>
      <c r="AA252" s="86"/>
      <c r="AB252" s="86"/>
      <c r="AC252" s="86"/>
      <c r="AD252" s="86"/>
      <c r="AE252" s="86"/>
      <c r="AF252" s="86"/>
      <c r="AG252" s="86"/>
      <c r="AH252" s="82"/>
    </row>
    <row r="253">
      <c r="A253" s="78"/>
      <c r="B253" s="79"/>
      <c r="C253" s="80"/>
      <c r="D253" s="80"/>
      <c r="E253" s="80"/>
      <c r="F253" s="80"/>
      <c r="G253" s="80"/>
      <c r="H253" s="80"/>
      <c r="I253" s="80"/>
      <c r="J253" s="80"/>
      <c r="K253" s="82"/>
      <c r="L253" s="80"/>
      <c r="M253" s="80"/>
      <c r="N253" s="80"/>
      <c r="O253" s="80"/>
      <c r="P253" s="80"/>
      <c r="Q253" s="83"/>
      <c r="R253" s="80"/>
      <c r="S253" s="80"/>
      <c r="T253" s="80"/>
      <c r="U253" s="80"/>
      <c r="V253" s="84"/>
      <c r="W253" s="80"/>
      <c r="X253" s="85"/>
      <c r="Y253" s="86"/>
      <c r="Z253" s="86"/>
      <c r="AA253" s="86"/>
      <c r="AB253" s="86"/>
      <c r="AC253" s="86"/>
      <c r="AD253" s="86"/>
      <c r="AE253" s="86"/>
      <c r="AF253" s="86"/>
      <c r="AG253" s="86"/>
      <c r="AH253" s="82"/>
    </row>
    <row r="254">
      <c r="A254" s="78"/>
      <c r="B254" s="79"/>
      <c r="C254" s="80"/>
      <c r="D254" s="80"/>
      <c r="E254" s="80"/>
      <c r="F254" s="80"/>
      <c r="G254" s="80"/>
      <c r="H254" s="80"/>
      <c r="I254" s="80"/>
      <c r="J254" s="80"/>
      <c r="K254" s="82"/>
      <c r="L254" s="80"/>
      <c r="M254" s="80"/>
      <c r="N254" s="80"/>
      <c r="O254" s="80"/>
      <c r="P254" s="80"/>
      <c r="Q254" s="83"/>
      <c r="R254" s="80"/>
      <c r="S254" s="80"/>
      <c r="T254" s="80"/>
      <c r="U254" s="80"/>
      <c r="V254" s="84"/>
      <c r="W254" s="80"/>
      <c r="X254" s="85"/>
      <c r="Y254" s="86"/>
      <c r="Z254" s="86"/>
      <c r="AA254" s="86"/>
      <c r="AB254" s="86"/>
      <c r="AC254" s="86"/>
      <c r="AD254" s="86"/>
      <c r="AE254" s="86"/>
      <c r="AF254" s="86"/>
      <c r="AG254" s="86"/>
      <c r="AH254" s="82"/>
    </row>
    <row r="255">
      <c r="A255" s="78"/>
      <c r="B255" s="79"/>
      <c r="C255" s="80"/>
      <c r="D255" s="80"/>
      <c r="E255" s="80"/>
      <c r="F255" s="80"/>
      <c r="G255" s="80"/>
      <c r="H255" s="80"/>
      <c r="I255" s="80"/>
      <c r="J255" s="80"/>
      <c r="K255" s="82"/>
      <c r="L255" s="80"/>
      <c r="M255" s="80"/>
      <c r="N255" s="80"/>
      <c r="O255" s="80"/>
      <c r="P255" s="80"/>
      <c r="Q255" s="83"/>
      <c r="R255" s="80"/>
      <c r="S255" s="80"/>
      <c r="T255" s="80"/>
      <c r="U255" s="80"/>
      <c r="V255" s="84"/>
      <c r="W255" s="80"/>
      <c r="X255" s="85"/>
      <c r="Y255" s="86"/>
      <c r="Z255" s="86"/>
      <c r="AA255" s="86"/>
      <c r="AB255" s="86"/>
      <c r="AC255" s="86"/>
      <c r="AD255" s="86"/>
      <c r="AE255" s="86"/>
      <c r="AF255" s="86"/>
      <c r="AG255" s="86"/>
      <c r="AH255" s="82"/>
    </row>
    <row r="256">
      <c r="A256" s="78"/>
      <c r="B256" s="79"/>
      <c r="C256" s="80"/>
      <c r="D256" s="80"/>
      <c r="E256" s="80"/>
      <c r="F256" s="80"/>
      <c r="G256" s="80"/>
      <c r="H256" s="80"/>
      <c r="I256" s="80"/>
      <c r="J256" s="80"/>
      <c r="K256" s="82"/>
      <c r="L256" s="80"/>
      <c r="M256" s="80"/>
      <c r="N256" s="80"/>
      <c r="O256" s="80"/>
      <c r="P256" s="80"/>
      <c r="Q256" s="83"/>
      <c r="R256" s="80"/>
      <c r="S256" s="80"/>
      <c r="T256" s="80"/>
      <c r="U256" s="80"/>
      <c r="V256" s="84"/>
      <c r="W256" s="80"/>
      <c r="X256" s="85"/>
      <c r="Y256" s="86"/>
      <c r="Z256" s="86"/>
      <c r="AA256" s="86"/>
      <c r="AB256" s="86"/>
      <c r="AC256" s="86"/>
      <c r="AD256" s="86"/>
      <c r="AE256" s="86"/>
      <c r="AF256" s="86"/>
      <c r="AG256" s="86"/>
      <c r="AH256" s="82"/>
    </row>
    <row r="257">
      <c r="A257" s="78"/>
      <c r="B257" s="79"/>
      <c r="C257" s="80"/>
      <c r="D257" s="80"/>
      <c r="E257" s="80"/>
      <c r="F257" s="80"/>
      <c r="G257" s="80"/>
      <c r="H257" s="80"/>
      <c r="I257" s="80"/>
      <c r="J257" s="80"/>
      <c r="K257" s="82"/>
      <c r="L257" s="80"/>
      <c r="M257" s="80"/>
      <c r="N257" s="80"/>
      <c r="O257" s="80"/>
      <c r="P257" s="80"/>
      <c r="Q257" s="83"/>
      <c r="R257" s="80"/>
      <c r="S257" s="80"/>
      <c r="T257" s="80"/>
      <c r="U257" s="80"/>
      <c r="V257" s="84"/>
      <c r="W257" s="80"/>
      <c r="X257" s="85"/>
      <c r="Y257" s="86"/>
      <c r="Z257" s="86"/>
      <c r="AA257" s="86"/>
      <c r="AB257" s="86"/>
      <c r="AC257" s="86"/>
      <c r="AD257" s="86"/>
      <c r="AE257" s="86"/>
      <c r="AF257" s="86"/>
      <c r="AG257" s="86"/>
      <c r="AH257" s="82"/>
    </row>
    <row r="258">
      <c r="A258" s="78"/>
      <c r="B258" s="79"/>
      <c r="C258" s="80"/>
      <c r="D258" s="80"/>
      <c r="E258" s="80"/>
      <c r="F258" s="80"/>
      <c r="G258" s="80"/>
      <c r="H258" s="80"/>
      <c r="I258" s="80"/>
      <c r="J258" s="80"/>
      <c r="K258" s="82"/>
      <c r="L258" s="80"/>
      <c r="M258" s="80"/>
      <c r="N258" s="80"/>
      <c r="O258" s="80"/>
      <c r="P258" s="80"/>
      <c r="Q258" s="83"/>
      <c r="R258" s="80"/>
      <c r="S258" s="80"/>
      <c r="T258" s="80"/>
      <c r="U258" s="80"/>
      <c r="V258" s="84"/>
      <c r="W258" s="80"/>
      <c r="X258" s="85"/>
      <c r="Y258" s="86"/>
      <c r="Z258" s="86"/>
      <c r="AA258" s="86"/>
      <c r="AB258" s="86"/>
      <c r="AC258" s="86"/>
      <c r="AD258" s="86"/>
      <c r="AE258" s="86"/>
      <c r="AF258" s="86"/>
      <c r="AG258" s="86"/>
      <c r="AH258" s="82"/>
    </row>
    <row r="259">
      <c r="A259" s="78"/>
      <c r="B259" s="79"/>
      <c r="C259" s="80"/>
      <c r="D259" s="80"/>
      <c r="E259" s="80"/>
      <c r="F259" s="80"/>
      <c r="G259" s="80"/>
      <c r="H259" s="80"/>
      <c r="I259" s="80"/>
      <c r="J259" s="80"/>
      <c r="K259" s="82"/>
      <c r="L259" s="80"/>
      <c r="M259" s="80"/>
      <c r="N259" s="80"/>
      <c r="O259" s="80"/>
      <c r="P259" s="80"/>
      <c r="Q259" s="83"/>
      <c r="R259" s="80"/>
      <c r="S259" s="80"/>
      <c r="T259" s="80"/>
      <c r="U259" s="80"/>
      <c r="V259" s="84"/>
      <c r="W259" s="80"/>
      <c r="X259" s="85"/>
      <c r="Y259" s="86"/>
      <c r="Z259" s="86"/>
      <c r="AA259" s="86"/>
      <c r="AB259" s="86"/>
      <c r="AC259" s="86"/>
      <c r="AD259" s="86"/>
      <c r="AE259" s="86"/>
      <c r="AF259" s="86"/>
      <c r="AG259" s="86"/>
      <c r="AH259" s="82"/>
    </row>
    <row r="260">
      <c r="A260" s="78"/>
      <c r="B260" s="79"/>
      <c r="C260" s="80"/>
      <c r="D260" s="80"/>
      <c r="E260" s="80"/>
      <c r="F260" s="80"/>
      <c r="G260" s="80"/>
      <c r="H260" s="80"/>
      <c r="I260" s="80"/>
      <c r="J260" s="80"/>
      <c r="K260" s="82"/>
      <c r="L260" s="80"/>
      <c r="M260" s="80"/>
      <c r="N260" s="80"/>
      <c r="O260" s="80"/>
      <c r="P260" s="80"/>
      <c r="Q260" s="83"/>
      <c r="R260" s="80"/>
      <c r="S260" s="80"/>
      <c r="T260" s="80"/>
      <c r="U260" s="80"/>
      <c r="V260" s="84"/>
      <c r="W260" s="80"/>
      <c r="X260" s="85"/>
      <c r="Y260" s="86"/>
      <c r="Z260" s="86"/>
      <c r="AA260" s="86"/>
      <c r="AB260" s="86"/>
      <c r="AC260" s="86"/>
      <c r="AD260" s="86"/>
      <c r="AE260" s="86"/>
      <c r="AF260" s="86"/>
      <c r="AG260" s="86"/>
      <c r="AH260" s="82"/>
    </row>
    <row r="261">
      <c r="A261" s="78"/>
      <c r="B261" s="79"/>
      <c r="C261" s="80"/>
      <c r="D261" s="80"/>
      <c r="E261" s="80"/>
      <c r="F261" s="80"/>
      <c r="G261" s="80"/>
      <c r="H261" s="80"/>
      <c r="I261" s="80"/>
      <c r="J261" s="80"/>
      <c r="K261" s="82"/>
      <c r="L261" s="80"/>
      <c r="M261" s="80"/>
      <c r="N261" s="80"/>
      <c r="O261" s="80"/>
      <c r="P261" s="80"/>
      <c r="Q261" s="83"/>
      <c r="R261" s="80"/>
      <c r="S261" s="80"/>
      <c r="T261" s="80"/>
      <c r="U261" s="80"/>
      <c r="V261" s="84"/>
      <c r="W261" s="80"/>
      <c r="X261" s="85"/>
      <c r="Y261" s="86"/>
      <c r="Z261" s="86"/>
      <c r="AA261" s="86"/>
      <c r="AB261" s="86"/>
      <c r="AC261" s="86"/>
      <c r="AD261" s="86"/>
      <c r="AE261" s="86"/>
      <c r="AF261" s="86"/>
      <c r="AG261" s="86"/>
      <c r="AH261" s="82"/>
    </row>
    <row r="262">
      <c r="A262" s="78"/>
      <c r="B262" s="79"/>
      <c r="C262" s="80"/>
      <c r="D262" s="80"/>
      <c r="E262" s="80"/>
      <c r="F262" s="80"/>
      <c r="G262" s="80"/>
      <c r="H262" s="80"/>
      <c r="I262" s="80"/>
      <c r="J262" s="80"/>
      <c r="K262" s="82"/>
      <c r="L262" s="80"/>
      <c r="M262" s="80"/>
      <c r="N262" s="80"/>
      <c r="O262" s="80"/>
      <c r="P262" s="80"/>
      <c r="Q262" s="83"/>
      <c r="R262" s="80"/>
      <c r="S262" s="80"/>
      <c r="T262" s="80"/>
      <c r="U262" s="80"/>
      <c r="V262" s="84"/>
      <c r="W262" s="80"/>
      <c r="X262" s="85"/>
      <c r="Y262" s="86"/>
      <c r="Z262" s="86"/>
      <c r="AA262" s="86"/>
      <c r="AB262" s="86"/>
      <c r="AC262" s="86"/>
      <c r="AD262" s="86"/>
      <c r="AE262" s="86"/>
      <c r="AF262" s="86"/>
      <c r="AG262" s="86"/>
      <c r="AH262" s="82"/>
    </row>
    <row r="263">
      <c r="A263" s="78"/>
      <c r="B263" s="79"/>
      <c r="C263" s="80"/>
      <c r="D263" s="80"/>
      <c r="E263" s="80"/>
      <c r="F263" s="80"/>
      <c r="G263" s="80"/>
      <c r="H263" s="80"/>
      <c r="I263" s="80"/>
      <c r="J263" s="80"/>
      <c r="K263" s="82"/>
      <c r="L263" s="80"/>
      <c r="M263" s="80"/>
      <c r="N263" s="80"/>
      <c r="O263" s="80"/>
      <c r="P263" s="80"/>
      <c r="Q263" s="83"/>
      <c r="R263" s="80"/>
      <c r="S263" s="80"/>
      <c r="T263" s="80"/>
      <c r="U263" s="80"/>
      <c r="V263" s="84"/>
      <c r="W263" s="80"/>
      <c r="X263" s="85"/>
      <c r="Y263" s="86"/>
      <c r="Z263" s="86"/>
      <c r="AA263" s="86"/>
      <c r="AB263" s="86"/>
      <c r="AC263" s="86"/>
      <c r="AD263" s="86"/>
      <c r="AE263" s="86"/>
      <c r="AF263" s="86"/>
      <c r="AG263" s="86"/>
      <c r="AH263" s="82"/>
    </row>
    <row r="264">
      <c r="A264" s="78"/>
      <c r="B264" s="79"/>
      <c r="C264" s="80"/>
      <c r="D264" s="80"/>
      <c r="E264" s="80"/>
      <c r="F264" s="80"/>
      <c r="G264" s="80"/>
      <c r="H264" s="80"/>
      <c r="I264" s="80"/>
      <c r="J264" s="80"/>
      <c r="K264" s="82"/>
      <c r="L264" s="80"/>
      <c r="M264" s="80"/>
      <c r="N264" s="80"/>
      <c r="O264" s="80"/>
      <c r="P264" s="80"/>
      <c r="Q264" s="83"/>
      <c r="R264" s="80"/>
      <c r="S264" s="80"/>
      <c r="T264" s="80"/>
      <c r="U264" s="80"/>
      <c r="V264" s="84"/>
      <c r="W264" s="80"/>
      <c r="X264" s="85"/>
      <c r="Y264" s="86"/>
      <c r="Z264" s="86"/>
      <c r="AA264" s="86"/>
      <c r="AB264" s="86"/>
      <c r="AC264" s="86"/>
      <c r="AD264" s="86"/>
      <c r="AE264" s="86"/>
      <c r="AF264" s="86"/>
      <c r="AG264" s="86"/>
      <c r="AH264" s="82"/>
    </row>
    <row r="265">
      <c r="A265" s="78"/>
      <c r="B265" s="79"/>
      <c r="C265" s="80"/>
      <c r="D265" s="80"/>
      <c r="E265" s="80"/>
      <c r="F265" s="80"/>
      <c r="G265" s="80"/>
      <c r="H265" s="80"/>
      <c r="I265" s="80"/>
      <c r="J265" s="80"/>
      <c r="K265" s="82"/>
      <c r="L265" s="80"/>
      <c r="M265" s="80"/>
      <c r="N265" s="80"/>
      <c r="O265" s="80"/>
      <c r="P265" s="80"/>
      <c r="Q265" s="83"/>
      <c r="R265" s="80"/>
      <c r="S265" s="80"/>
      <c r="T265" s="80"/>
      <c r="U265" s="80"/>
      <c r="V265" s="84"/>
      <c r="W265" s="80"/>
      <c r="X265" s="85"/>
      <c r="Y265" s="86"/>
      <c r="Z265" s="86"/>
      <c r="AA265" s="86"/>
      <c r="AB265" s="86"/>
      <c r="AC265" s="86"/>
      <c r="AD265" s="86"/>
      <c r="AE265" s="86"/>
      <c r="AF265" s="86"/>
      <c r="AG265" s="86"/>
      <c r="AH265" s="82"/>
    </row>
    <row r="266">
      <c r="A266" s="78"/>
      <c r="B266" s="79"/>
      <c r="C266" s="80"/>
      <c r="D266" s="80"/>
      <c r="E266" s="80"/>
      <c r="F266" s="80"/>
      <c r="G266" s="80"/>
      <c r="H266" s="80"/>
      <c r="I266" s="80"/>
      <c r="J266" s="80"/>
      <c r="K266" s="82"/>
      <c r="L266" s="80"/>
      <c r="M266" s="80"/>
      <c r="N266" s="80"/>
      <c r="O266" s="80"/>
      <c r="P266" s="80"/>
      <c r="Q266" s="83"/>
      <c r="R266" s="80"/>
      <c r="S266" s="80"/>
      <c r="T266" s="80"/>
      <c r="U266" s="80"/>
      <c r="V266" s="84"/>
      <c r="W266" s="80"/>
      <c r="X266" s="85"/>
      <c r="Y266" s="86"/>
      <c r="Z266" s="86"/>
      <c r="AA266" s="86"/>
      <c r="AB266" s="86"/>
      <c r="AC266" s="86"/>
      <c r="AD266" s="86"/>
      <c r="AE266" s="86"/>
      <c r="AF266" s="86"/>
      <c r="AG266" s="86"/>
      <c r="AH266" s="82"/>
    </row>
    <row r="267">
      <c r="A267" s="78"/>
      <c r="B267" s="79"/>
      <c r="C267" s="80"/>
      <c r="D267" s="80"/>
      <c r="E267" s="80"/>
      <c r="F267" s="80"/>
      <c r="G267" s="80"/>
      <c r="H267" s="80"/>
      <c r="I267" s="80"/>
      <c r="J267" s="80"/>
      <c r="K267" s="82"/>
      <c r="L267" s="80"/>
      <c r="M267" s="80"/>
      <c r="N267" s="80"/>
      <c r="O267" s="80"/>
      <c r="P267" s="80"/>
      <c r="Q267" s="83"/>
      <c r="R267" s="80"/>
      <c r="S267" s="80"/>
      <c r="T267" s="80"/>
      <c r="U267" s="80"/>
      <c r="V267" s="84"/>
      <c r="W267" s="80"/>
      <c r="X267" s="85"/>
      <c r="Y267" s="86"/>
      <c r="Z267" s="86"/>
      <c r="AA267" s="86"/>
      <c r="AB267" s="86"/>
      <c r="AC267" s="86"/>
      <c r="AD267" s="86"/>
      <c r="AE267" s="86"/>
      <c r="AF267" s="86"/>
      <c r="AG267" s="86"/>
      <c r="AH267" s="82"/>
    </row>
    <row r="268">
      <c r="A268" s="78"/>
      <c r="B268" s="79"/>
      <c r="C268" s="80"/>
      <c r="D268" s="80"/>
      <c r="E268" s="80"/>
      <c r="F268" s="80"/>
      <c r="G268" s="80"/>
      <c r="H268" s="80"/>
      <c r="I268" s="80"/>
      <c r="J268" s="80"/>
      <c r="K268" s="82"/>
      <c r="L268" s="80"/>
      <c r="M268" s="80"/>
      <c r="N268" s="80"/>
      <c r="O268" s="80"/>
      <c r="P268" s="80"/>
      <c r="Q268" s="83"/>
      <c r="R268" s="80"/>
      <c r="S268" s="80"/>
      <c r="T268" s="80"/>
      <c r="U268" s="80"/>
      <c r="V268" s="84"/>
      <c r="W268" s="80"/>
      <c r="X268" s="85"/>
      <c r="Y268" s="86"/>
      <c r="Z268" s="86"/>
      <c r="AA268" s="86"/>
      <c r="AB268" s="86"/>
      <c r="AC268" s="86"/>
      <c r="AD268" s="86"/>
      <c r="AE268" s="86"/>
      <c r="AF268" s="86"/>
      <c r="AG268" s="86"/>
      <c r="AH268" s="82"/>
    </row>
    <row r="269">
      <c r="A269" s="78"/>
      <c r="B269" s="79"/>
      <c r="C269" s="80"/>
      <c r="D269" s="80"/>
      <c r="E269" s="80"/>
      <c r="F269" s="80"/>
      <c r="G269" s="80"/>
      <c r="H269" s="80"/>
      <c r="I269" s="80"/>
      <c r="J269" s="80"/>
      <c r="K269" s="82"/>
      <c r="L269" s="80"/>
      <c r="M269" s="80"/>
      <c r="N269" s="80"/>
      <c r="O269" s="80"/>
      <c r="P269" s="80"/>
      <c r="Q269" s="83"/>
      <c r="R269" s="80"/>
      <c r="S269" s="80"/>
      <c r="T269" s="80"/>
      <c r="U269" s="80"/>
      <c r="V269" s="84"/>
      <c r="W269" s="80"/>
      <c r="X269" s="85"/>
      <c r="Y269" s="86"/>
      <c r="Z269" s="86"/>
      <c r="AA269" s="86"/>
      <c r="AB269" s="86"/>
      <c r="AC269" s="86"/>
      <c r="AD269" s="86"/>
      <c r="AE269" s="86"/>
      <c r="AF269" s="86"/>
      <c r="AG269" s="86"/>
      <c r="AH269" s="82"/>
    </row>
    <row r="270">
      <c r="A270" s="78"/>
      <c r="B270" s="79"/>
      <c r="C270" s="80"/>
      <c r="D270" s="80"/>
      <c r="E270" s="80"/>
      <c r="F270" s="80"/>
      <c r="G270" s="80"/>
      <c r="H270" s="80"/>
      <c r="I270" s="80"/>
      <c r="J270" s="80"/>
      <c r="K270" s="82"/>
      <c r="L270" s="80"/>
      <c r="M270" s="80"/>
      <c r="N270" s="80"/>
      <c r="O270" s="80"/>
      <c r="P270" s="80"/>
      <c r="Q270" s="83"/>
      <c r="R270" s="80"/>
      <c r="S270" s="80"/>
      <c r="T270" s="80"/>
      <c r="U270" s="80"/>
      <c r="V270" s="84"/>
      <c r="W270" s="80"/>
      <c r="X270" s="85"/>
      <c r="Y270" s="86"/>
      <c r="Z270" s="86"/>
      <c r="AA270" s="86"/>
      <c r="AB270" s="86"/>
      <c r="AC270" s="86"/>
      <c r="AD270" s="86"/>
      <c r="AE270" s="86"/>
      <c r="AF270" s="86"/>
      <c r="AG270" s="86"/>
      <c r="AH270" s="82"/>
    </row>
    <row r="271">
      <c r="A271" s="78"/>
      <c r="B271" s="79"/>
      <c r="C271" s="80"/>
      <c r="D271" s="80"/>
      <c r="E271" s="80"/>
      <c r="F271" s="80"/>
      <c r="G271" s="80"/>
      <c r="H271" s="80"/>
      <c r="I271" s="80"/>
      <c r="J271" s="80"/>
      <c r="K271" s="82"/>
      <c r="L271" s="80"/>
      <c r="M271" s="80"/>
      <c r="N271" s="80"/>
      <c r="O271" s="80"/>
      <c r="P271" s="80"/>
      <c r="Q271" s="83"/>
      <c r="R271" s="80"/>
      <c r="S271" s="80"/>
      <c r="T271" s="80"/>
      <c r="U271" s="80"/>
      <c r="V271" s="84"/>
      <c r="W271" s="80"/>
      <c r="X271" s="85"/>
      <c r="Y271" s="86"/>
      <c r="Z271" s="86"/>
      <c r="AA271" s="86"/>
      <c r="AB271" s="86"/>
      <c r="AC271" s="86"/>
      <c r="AD271" s="86"/>
      <c r="AE271" s="86"/>
      <c r="AF271" s="86"/>
      <c r="AG271" s="86"/>
      <c r="AH271" s="82"/>
    </row>
    <row r="272">
      <c r="A272" s="78"/>
      <c r="B272" s="79"/>
      <c r="C272" s="80"/>
      <c r="D272" s="80"/>
      <c r="E272" s="80"/>
      <c r="F272" s="80"/>
      <c r="G272" s="80"/>
      <c r="H272" s="80"/>
      <c r="I272" s="80"/>
      <c r="J272" s="80"/>
      <c r="K272" s="82"/>
      <c r="L272" s="80"/>
      <c r="M272" s="80"/>
      <c r="N272" s="80"/>
      <c r="O272" s="80"/>
      <c r="P272" s="80"/>
      <c r="Q272" s="83"/>
      <c r="R272" s="80"/>
      <c r="S272" s="80"/>
      <c r="T272" s="80"/>
      <c r="U272" s="80"/>
      <c r="V272" s="84"/>
      <c r="W272" s="80"/>
      <c r="X272" s="85"/>
      <c r="Y272" s="86"/>
      <c r="Z272" s="86"/>
      <c r="AA272" s="86"/>
      <c r="AB272" s="86"/>
      <c r="AC272" s="86"/>
      <c r="AD272" s="86"/>
      <c r="AE272" s="86"/>
      <c r="AF272" s="86"/>
      <c r="AG272" s="86"/>
      <c r="AH272" s="82"/>
    </row>
    <row r="273">
      <c r="A273" s="78"/>
      <c r="B273" s="79"/>
      <c r="C273" s="80"/>
      <c r="D273" s="80"/>
      <c r="E273" s="80"/>
      <c r="F273" s="80"/>
      <c r="G273" s="80"/>
      <c r="H273" s="80"/>
      <c r="I273" s="80"/>
      <c r="J273" s="80"/>
      <c r="K273" s="82"/>
      <c r="L273" s="80"/>
      <c r="M273" s="80"/>
      <c r="N273" s="80"/>
      <c r="O273" s="80"/>
      <c r="P273" s="80"/>
      <c r="Q273" s="83"/>
      <c r="R273" s="80"/>
      <c r="S273" s="80"/>
      <c r="T273" s="80"/>
      <c r="U273" s="80"/>
      <c r="V273" s="84"/>
      <c r="W273" s="80"/>
      <c r="X273" s="85"/>
      <c r="Y273" s="86"/>
      <c r="Z273" s="86"/>
      <c r="AA273" s="86"/>
      <c r="AB273" s="86"/>
      <c r="AC273" s="86"/>
      <c r="AD273" s="86"/>
      <c r="AE273" s="86"/>
      <c r="AF273" s="86"/>
      <c r="AG273" s="86"/>
      <c r="AH273" s="82"/>
    </row>
    <row r="274">
      <c r="A274" s="78"/>
      <c r="B274" s="79"/>
      <c r="C274" s="80"/>
      <c r="D274" s="80"/>
      <c r="E274" s="80"/>
      <c r="F274" s="80"/>
      <c r="G274" s="80"/>
      <c r="H274" s="80"/>
      <c r="I274" s="80"/>
      <c r="J274" s="80"/>
      <c r="K274" s="82"/>
      <c r="L274" s="80"/>
      <c r="M274" s="80"/>
      <c r="N274" s="80"/>
      <c r="O274" s="80"/>
      <c r="P274" s="80"/>
      <c r="Q274" s="83"/>
      <c r="R274" s="80"/>
      <c r="S274" s="80"/>
      <c r="T274" s="80"/>
      <c r="U274" s="80"/>
      <c r="V274" s="84"/>
      <c r="W274" s="80"/>
      <c r="X274" s="85"/>
      <c r="Y274" s="86"/>
      <c r="Z274" s="86"/>
      <c r="AA274" s="86"/>
      <c r="AB274" s="86"/>
      <c r="AC274" s="86"/>
      <c r="AD274" s="86"/>
      <c r="AE274" s="86"/>
      <c r="AF274" s="86"/>
      <c r="AG274" s="86"/>
      <c r="AH274" s="82"/>
    </row>
    <row r="275">
      <c r="A275" s="78"/>
      <c r="B275" s="79"/>
      <c r="C275" s="80"/>
      <c r="D275" s="80"/>
      <c r="E275" s="80"/>
      <c r="F275" s="80"/>
      <c r="G275" s="80"/>
      <c r="H275" s="80"/>
      <c r="I275" s="80"/>
      <c r="J275" s="80"/>
      <c r="K275" s="82"/>
      <c r="L275" s="80"/>
      <c r="M275" s="80"/>
      <c r="N275" s="80"/>
      <c r="O275" s="80"/>
      <c r="P275" s="80"/>
      <c r="Q275" s="83"/>
      <c r="R275" s="80"/>
      <c r="S275" s="80"/>
      <c r="T275" s="80"/>
      <c r="U275" s="80"/>
      <c r="V275" s="84"/>
      <c r="W275" s="80"/>
      <c r="X275" s="85"/>
      <c r="Y275" s="86"/>
      <c r="Z275" s="86"/>
      <c r="AA275" s="86"/>
      <c r="AB275" s="86"/>
      <c r="AC275" s="86"/>
      <c r="AD275" s="86"/>
      <c r="AE275" s="86"/>
      <c r="AF275" s="86"/>
      <c r="AG275" s="86"/>
      <c r="AH275" s="82"/>
    </row>
    <row r="276">
      <c r="A276" s="78"/>
      <c r="B276" s="79"/>
      <c r="C276" s="80"/>
      <c r="D276" s="80"/>
      <c r="E276" s="80"/>
      <c r="F276" s="80"/>
      <c r="G276" s="80"/>
      <c r="H276" s="80"/>
      <c r="I276" s="80"/>
      <c r="J276" s="80"/>
      <c r="K276" s="82"/>
      <c r="L276" s="80"/>
      <c r="M276" s="80"/>
      <c r="N276" s="80"/>
      <c r="O276" s="80"/>
      <c r="P276" s="80"/>
      <c r="Q276" s="83"/>
      <c r="R276" s="80"/>
      <c r="S276" s="80"/>
      <c r="T276" s="80"/>
      <c r="U276" s="80"/>
      <c r="V276" s="84"/>
      <c r="W276" s="80"/>
      <c r="X276" s="85"/>
      <c r="Y276" s="86"/>
      <c r="Z276" s="86"/>
      <c r="AA276" s="86"/>
      <c r="AB276" s="86"/>
      <c r="AC276" s="86"/>
      <c r="AD276" s="86"/>
      <c r="AE276" s="86"/>
      <c r="AF276" s="86"/>
      <c r="AG276" s="86"/>
      <c r="AH276" s="82"/>
    </row>
    <row r="277">
      <c r="A277" s="78"/>
      <c r="B277" s="79"/>
      <c r="C277" s="80"/>
      <c r="D277" s="80"/>
      <c r="E277" s="80"/>
      <c r="F277" s="80"/>
      <c r="G277" s="80"/>
      <c r="H277" s="80"/>
      <c r="I277" s="80"/>
      <c r="J277" s="80"/>
      <c r="K277" s="82"/>
      <c r="L277" s="80"/>
      <c r="M277" s="80"/>
      <c r="N277" s="80"/>
      <c r="O277" s="80"/>
      <c r="P277" s="80"/>
      <c r="Q277" s="83"/>
      <c r="R277" s="80"/>
      <c r="S277" s="80"/>
      <c r="T277" s="80"/>
      <c r="U277" s="80"/>
      <c r="V277" s="84"/>
      <c r="W277" s="80"/>
      <c r="X277" s="85"/>
      <c r="Y277" s="86"/>
      <c r="Z277" s="86"/>
      <c r="AA277" s="86"/>
      <c r="AB277" s="86"/>
      <c r="AC277" s="86"/>
      <c r="AD277" s="86"/>
      <c r="AE277" s="86"/>
      <c r="AF277" s="86"/>
      <c r="AG277" s="86"/>
      <c r="AH277" s="82"/>
    </row>
    <row r="278">
      <c r="A278" s="78"/>
      <c r="B278" s="79"/>
      <c r="C278" s="80"/>
      <c r="D278" s="80"/>
      <c r="E278" s="80"/>
      <c r="F278" s="80"/>
      <c r="G278" s="80"/>
      <c r="H278" s="80"/>
      <c r="I278" s="80"/>
      <c r="J278" s="80"/>
      <c r="K278" s="82"/>
      <c r="L278" s="80"/>
      <c r="M278" s="80"/>
      <c r="N278" s="80"/>
      <c r="O278" s="80"/>
      <c r="P278" s="80"/>
      <c r="Q278" s="83"/>
      <c r="R278" s="80"/>
      <c r="S278" s="80"/>
      <c r="T278" s="80"/>
      <c r="U278" s="80"/>
      <c r="V278" s="84"/>
      <c r="W278" s="80"/>
      <c r="X278" s="85"/>
      <c r="Y278" s="86"/>
      <c r="Z278" s="86"/>
      <c r="AA278" s="86"/>
      <c r="AB278" s="86"/>
      <c r="AC278" s="86"/>
      <c r="AD278" s="86"/>
      <c r="AE278" s="86"/>
      <c r="AF278" s="86"/>
      <c r="AG278" s="86"/>
      <c r="AH278" s="82"/>
    </row>
    <row r="279">
      <c r="A279" s="78"/>
      <c r="B279" s="79"/>
      <c r="C279" s="80"/>
      <c r="D279" s="80"/>
      <c r="E279" s="80"/>
      <c r="F279" s="80"/>
      <c r="G279" s="80"/>
      <c r="H279" s="80"/>
      <c r="I279" s="80"/>
      <c r="J279" s="80"/>
      <c r="K279" s="82"/>
      <c r="L279" s="80"/>
      <c r="M279" s="80"/>
      <c r="N279" s="80"/>
      <c r="O279" s="80"/>
      <c r="P279" s="80"/>
      <c r="Q279" s="83"/>
      <c r="R279" s="80"/>
      <c r="S279" s="80"/>
      <c r="T279" s="80"/>
      <c r="U279" s="80"/>
      <c r="V279" s="84"/>
      <c r="W279" s="80"/>
      <c r="X279" s="85"/>
      <c r="Y279" s="86"/>
      <c r="Z279" s="86"/>
      <c r="AA279" s="86"/>
      <c r="AB279" s="86"/>
      <c r="AC279" s="86"/>
      <c r="AD279" s="86"/>
      <c r="AE279" s="86"/>
      <c r="AF279" s="86"/>
      <c r="AG279" s="86"/>
      <c r="AH279" s="82"/>
    </row>
    <row r="280">
      <c r="A280" s="78"/>
      <c r="B280" s="79"/>
      <c r="C280" s="80"/>
      <c r="D280" s="80"/>
      <c r="E280" s="80"/>
      <c r="F280" s="80"/>
      <c r="G280" s="80"/>
      <c r="H280" s="80"/>
      <c r="I280" s="80"/>
      <c r="J280" s="80"/>
      <c r="K280" s="82"/>
      <c r="L280" s="80"/>
      <c r="M280" s="80"/>
      <c r="N280" s="80"/>
      <c r="O280" s="80"/>
      <c r="P280" s="80"/>
      <c r="Q280" s="83"/>
      <c r="R280" s="80"/>
      <c r="S280" s="80"/>
      <c r="T280" s="80"/>
      <c r="U280" s="80"/>
      <c r="V280" s="84"/>
      <c r="W280" s="80"/>
      <c r="X280" s="85"/>
      <c r="Y280" s="86"/>
      <c r="Z280" s="86"/>
      <c r="AA280" s="86"/>
      <c r="AB280" s="86"/>
      <c r="AC280" s="86"/>
      <c r="AD280" s="86"/>
      <c r="AE280" s="86"/>
      <c r="AF280" s="86"/>
      <c r="AG280" s="86"/>
      <c r="AH280" s="82"/>
    </row>
    <row r="281">
      <c r="A281" s="78"/>
      <c r="B281" s="79"/>
      <c r="C281" s="80"/>
      <c r="D281" s="80"/>
      <c r="E281" s="80"/>
      <c r="F281" s="80"/>
      <c r="G281" s="80"/>
      <c r="H281" s="80"/>
      <c r="I281" s="80"/>
      <c r="J281" s="80"/>
      <c r="K281" s="82"/>
      <c r="L281" s="80"/>
      <c r="M281" s="80"/>
      <c r="N281" s="80"/>
      <c r="O281" s="80"/>
      <c r="P281" s="80"/>
      <c r="Q281" s="83"/>
      <c r="R281" s="80"/>
      <c r="S281" s="80"/>
      <c r="T281" s="80"/>
      <c r="U281" s="80"/>
      <c r="V281" s="84"/>
      <c r="W281" s="80"/>
      <c r="X281" s="85"/>
      <c r="Y281" s="86"/>
      <c r="Z281" s="86"/>
      <c r="AA281" s="86"/>
      <c r="AB281" s="86"/>
      <c r="AC281" s="86"/>
      <c r="AD281" s="86"/>
      <c r="AE281" s="86"/>
      <c r="AF281" s="86"/>
      <c r="AG281" s="86"/>
      <c r="AH281" s="82"/>
    </row>
    <row r="282">
      <c r="A282" s="78"/>
      <c r="B282" s="79"/>
      <c r="C282" s="80"/>
      <c r="D282" s="80"/>
      <c r="E282" s="80"/>
      <c r="F282" s="80"/>
      <c r="G282" s="80"/>
      <c r="H282" s="80"/>
      <c r="I282" s="80"/>
      <c r="J282" s="80"/>
      <c r="K282" s="82"/>
      <c r="L282" s="80"/>
      <c r="M282" s="80"/>
      <c r="N282" s="80"/>
      <c r="O282" s="80"/>
      <c r="P282" s="80"/>
      <c r="Q282" s="83"/>
      <c r="R282" s="80"/>
      <c r="S282" s="80"/>
      <c r="T282" s="80"/>
      <c r="U282" s="80"/>
      <c r="V282" s="84"/>
      <c r="W282" s="80"/>
      <c r="X282" s="85"/>
      <c r="Y282" s="86"/>
      <c r="Z282" s="86"/>
      <c r="AA282" s="86"/>
      <c r="AB282" s="86"/>
      <c r="AC282" s="86"/>
      <c r="AD282" s="86"/>
      <c r="AE282" s="86"/>
      <c r="AF282" s="86"/>
      <c r="AG282" s="86"/>
      <c r="AH282" s="82"/>
    </row>
    <row r="283">
      <c r="A283" s="78"/>
      <c r="B283" s="79"/>
      <c r="C283" s="80"/>
      <c r="D283" s="80"/>
      <c r="E283" s="80"/>
      <c r="F283" s="80"/>
      <c r="G283" s="80"/>
      <c r="H283" s="80"/>
      <c r="I283" s="80"/>
      <c r="J283" s="80"/>
      <c r="K283" s="82"/>
      <c r="L283" s="80"/>
      <c r="M283" s="80"/>
      <c r="N283" s="80"/>
      <c r="O283" s="80"/>
      <c r="P283" s="80"/>
      <c r="Q283" s="83"/>
      <c r="R283" s="80"/>
      <c r="S283" s="80"/>
      <c r="T283" s="80"/>
      <c r="U283" s="80"/>
      <c r="V283" s="84"/>
      <c r="W283" s="80"/>
      <c r="X283" s="85"/>
      <c r="Y283" s="86"/>
      <c r="Z283" s="86"/>
      <c r="AA283" s="86"/>
      <c r="AB283" s="86"/>
      <c r="AC283" s="86"/>
      <c r="AD283" s="86"/>
      <c r="AE283" s="86"/>
      <c r="AF283" s="86"/>
      <c r="AG283" s="86"/>
      <c r="AH283" s="82"/>
    </row>
    <row r="284">
      <c r="A284" s="78"/>
      <c r="B284" s="79"/>
      <c r="C284" s="80"/>
      <c r="D284" s="80"/>
      <c r="E284" s="80"/>
      <c r="F284" s="80"/>
      <c r="G284" s="80"/>
      <c r="H284" s="80"/>
      <c r="I284" s="80"/>
      <c r="J284" s="80"/>
      <c r="K284" s="82"/>
      <c r="L284" s="80"/>
      <c r="M284" s="80"/>
      <c r="N284" s="80"/>
      <c r="O284" s="80"/>
      <c r="P284" s="80"/>
      <c r="Q284" s="83"/>
      <c r="R284" s="80"/>
      <c r="S284" s="80"/>
      <c r="T284" s="80"/>
      <c r="U284" s="80"/>
      <c r="V284" s="84"/>
      <c r="W284" s="80"/>
      <c r="X284" s="85"/>
      <c r="Y284" s="86"/>
      <c r="Z284" s="86"/>
      <c r="AA284" s="86"/>
      <c r="AB284" s="86"/>
      <c r="AC284" s="86"/>
      <c r="AD284" s="86"/>
      <c r="AE284" s="86"/>
      <c r="AF284" s="86"/>
      <c r="AG284" s="86"/>
      <c r="AH284" s="82"/>
    </row>
    <row r="285">
      <c r="A285" s="78"/>
      <c r="B285" s="79"/>
      <c r="C285" s="80"/>
      <c r="D285" s="80"/>
      <c r="E285" s="80"/>
      <c r="F285" s="80"/>
      <c r="G285" s="80"/>
      <c r="H285" s="80"/>
      <c r="I285" s="80"/>
      <c r="J285" s="80"/>
      <c r="K285" s="82"/>
      <c r="L285" s="80"/>
      <c r="M285" s="80"/>
      <c r="N285" s="80"/>
      <c r="O285" s="80"/>
      <c r="P285" s="80"/>
      <c r="Q285" s="83"/>
      <c r="R285" s="80"/>
      <c r="S285" s="80"/>
      <c r="T285" s="80"/>
      <c r="U285" s="80"/>
      <c r="V285" s="84"/>
      <c r="W285" s="80"/>
      <c r="X285" s="85"/>
      <c r="Y285" s="86"/>
      <c r="Z285" s="86"/>
      <c r="AA285" s="86"/>
      <c r="AB285" s="86"/>
      <c r="AC285" s="86"/>
      <c r="AD285" s="86"/>
      <c r="AE285" s="86"/>
      <c r="AF285" s="86"/>
      <c r="AG285" s="86"/>
      <c r="AH285" s="82"/>
    </row>
    <row r="286">
      <c r="A286" s="78"/>
      <c r="B286" s="79"/>
      <c r="C286" s="80"/>
      <c r="D286" s="80"/>
      <c r="E286" s="80"/>
      <c r="F286" s="80"/>
      <c r="G286" s="80"/>
      <c r="H286" s="80"/>
      <c r="I286" s="80"/>
      <c r="J286" s="80"/>
      <c r="K286" s="82"/>
      <c r="L286" s="80"/>
      <c r="M286" s="80"/>
      <c r="N286" s="80"/>
      <c r="O286" s="80"/>
      <c r="P286" s="80"/>
      <c r="Q286" s="83"/>
      <c r="R286" s="80"/>
      <c r="S286" s="80"/>
      <c r="T286" s="80"/>
      <c r="U286" s="80"/>
      <c r="V286" s="84"/>
      <c r="W286" s="80"/>
      <c r="X286" s="85"/>
      <c r="Y286" s="86"/>
      <c r="Z286" s="86"/>
      <c r="AA286" s="86"/>
      <c r="AB286" s="86"/>
      <c r="AC286" s="86"/>
      <c r="AD286" s="86"/>
      <c r="AE286" s="86"/>
      <c r="AF286" s="86"/>
      <c r="AG286" s="86"/>
      <c r="AH286" s="82"/>
    </row>
    <row r="287">
      <c r="A287" s="78"/>
      <c r="B287" s="79"/>
      <c r="C287" s="80"/>
      <c r="D287" s="80"/>
      <c r="E287" s="80"/>
      <c r="F287" s="80"/>
      <c r="G287" s="80"/>
      <c r="H287" s="80"/>
      <c r="I287" s="80"/>
      <c r="J287" s="80"/>
      <c r="K287" s="82"/>
      <c r="L287" s="80"/>
      <c r="M287" s="80"/>
      <c r="N287" s="80"/>
      <c r="O287" s="80"/>
      <c r="P287" s="80"/>
      <c r="Q287" s="83"/>
      <c r="R287" s="80"/>
      <c r="S287" s="80"/>
      <c r="T287" s="80"/>
      <c r="U287" s="80"/>
      <c r="V287" s="84"/>
      <c r="W287" s="80"/>
      <c r="X287" s="85"/>
      <c r="Y287" s="86"/>
      <c r="Z287" s="86"/>
      <c r="AA287" s="86"/>
      <c r="AB287" s="86"/>
      <c r="AC287" s="86"/>
      <c r="AD287" s="86"/>
      <c r="AE287" s="86"/>
      <c r="AF287" s="86"/>
      <c r="AG287" s="86"/>
      <c r="AH287" s="82"/>
    </row>
    <row r="288">
      <c r="A288" s="78"/>
      <c r="B288" s="79"/>
      <c r="C288" s="80"/>
      <c r="D288" s="80"/>
      <c r="E288" s="80"/>
      <c r="F288" s="80"/>
      <c r="G288" s="80"/>
      <c r="H288" s="80"/>
      <c r="I288" s="80"/>
      <c r="J288" s="80"/>
      <c r="K288" s="82"/>
      <c r="L288" s="80"/>
      <c r="M288" s="80"/>
      <c r="N288" s="80"/>
      <c r="O288" s="80"/>
      <c r="P288" s="80"/>
      <c r="Q288" s="83"/>
      <c r="R288" s="80"/>
      <c r="S288" s="80"/>
      <c r="T288" s="80"/>
      <c r="U288" s="80"/>
      <c r="V288" s="84"/>
      <c r="W288" s="80"/>
      <c r="X288" s="85"/>
      <c r="Y288" s="86"/>
      <c r="Z288" s="86"/>
      <c r="AA288" s="86"/>
      <c r="AB288" s="86"/>
      <c r="AC288" s="86"/>
      <c r="AD288" s="86"/>
      <c r="AE288" s="86"/>
      <c r="AF288" s="86"/>
      <c r="AG288" s="86"/>
      <c r="AH288" s="82"/>
    </row>
    <row r="289">
      <c r="A289" s="78"/>
      <c r="B289" s="79"/>
      <c r="C289" s="80"/>
      <c r="D289" s="80"/>
      <c r="E289" s="80"/>
      <c r="F289" s="80"/>
      <c r="G289" s="80"/>
      <c r="H289" s="80"/>
      <c r="I289" s="80"/>
      <c r="J289" s="80"/>
      <c r="K289" s="82"/>
      <c r="L289" s="80"/>
      <c r="M289" s="80"/>
      <c r="N289" s="80"/>
      <c r="O289" s="80"/>
      <c r="P289" s="80"/>
      <c r="Q289" s="83"/>
      <c r="R289" s="80"/>
      <c r="S289" s="80"/>
      <c r="T289" s="80"/>
      <c r="U289" s="80"/>
      <c r="V289" s="84"/>
      <c r="W289" s="80"/>
      <c r="X289" s="85"/>
      <c r="Y289" s="86"/>
      <c r="Z289" s="86"/>
      <c r="AA289" s="86"/>
      <c r="AB289" s="86"/>
      <c r="AC289" s="86"/>
      <c r="AD289" s="86"/>
      <c r="AE289" s="86"/>
      <c r="AF289" s="86"/>
      <c r="AG289" s="86"/>
      <c r="AH289" s="82"/>
    </row>
    <row r="290">
      <c r="A290" s="78"/>
      <c r="B290" s="79"/>
      <c r="C290" s="80"/>
      <c r="D290" s="80"/>
      <c r="E290" s="80"/>
      <c r="F290" s="80"/>
      <c r="G290" s="80"/>
      <c r="H290" s="80"/>
      <c r="I290" s="80"/>
      <c r="J290" s="80"/>
      <c r="K290" s="82"/>
      <c r="L290" s="80"/>
      <c r="M290" s="80"/>
      <c r="N290" s="80"/>
      <c r="O290" s="80"/>
      <c r="P290" s="80"/>
      <c r="Q290" s="83"/>
      <c r="R290" s="80"/>
      <c r="S290" s="80"/>
      <c r="T290" s="80"/>
      <c r="U290" s="80"/>
      <c r="V290" s="84"/>
      <c r="W290" s="80"/>
      <c r="X290" s="85"/>
      <c r="Y290" s="86"/>
      <c r="Z290" s="86"/>
      <c r="AA290" s="86"/>
      <c r="AB290" s="86"/>
      <c r="AC290" s="86"/>
      <c r="AD290" s="86"/>
      <c r="AE290" s="86"/>
      <c r="AF290" s="86"/>
      <c r="AG290" s="86"/>
      <c r="AH290" s="82"/>
    </row>
    <row r="291">
      <c r="A291" s="78"/>
      <c r="B291" s="79"/>
      <c r="C291" s="80"/>
      <c r="D291" s="80"/>
      <c r="E291" s="80"/>
      <c r="F291" s="80"/>
      <c r="G291" s="80"/>
      <c r="H291" s="80"/>
      <c r="I291" s="80"/>
      <c r="J291" s="80"/>
      <c r="K291" s="82"/>
      <c r="L291" s="80"/>
      <c r="M291" s="80"/>
      <c r="N291" s="80"/>
      <c r="O291" s="80"/>
      <c r="P291" s="80"/>
      <c r="Q291" s="83"/>
      <c r="R291" s="80"/>
      <c r="S291" s="80"/>
      <c r="T291" s="80"/>
      <c r="U291" s="80"/>
      <c r="V291" s="84"/>
      <c r="W291" s="80"/>
      <c r="X291" s="85"/>
      <c r="Y291" s="86"/>
      <c r="Z291" s="86"/>
      <c r="AA291" s="86"/>
      <c r="AB291" s="86"/>
      <c r="AC291" s="86"/>
      <c r="AD291" s="86"/>
      <c r="AE291" s="86"/>
      <c r="AF291" s="86"/>
      <c r="AG291" s="86"/>
      <c r="AH291" s="82"/>
    </row>
    <row r="292">
      <c r="A292" s="78"/>
      <c r="B292" s="79"/>
      <c r="C292" s="80"/>
      <c r="D292" s="80"/>
      <c r="E292" s="80"/>
      <c r="F292" s="80"/>
      <c r="G292" s="80"/>
      <c r="H292" s="80"/>
      <c r="I292" s="80"/>
      <c r="J292" s="80"/>
      <c r="K292" s="82"/>
      <c r="L292" s="80"/>
      <c r="M292" s="80"/>
      <c r="N292" s="80"/>
      <c r="O292" s="80"/>
      <c r="P292" s="80"/>
      <c r="Q292" s="83"/>
      <c r="R292" s="80"/>
      <c r="S292" s="80"/>
      <c r="T292" s="80"/>
      <c r="U292" s="80"/>
      <c r="V292" s="84"/>
      <c r="W292" s="80"/>
      <c r="X292" s="85"/>
      <c r="Y292" s="86"/>
      <c r="Z292" s="86"/>
      <c r="AA292" s="86"/>
      <c r="AB292" s="86"/>
      <c r="AC292" s="86"/>
      <c r="AD292" s="86"/>
      <c r="AE292" s="86"/>
      <c r="AF292" s="86"/>
      <c r="AG292" s="86"/>
      <c r="AH292" s="82"/>
    </row>
    <row r="293">
      <c r="A293" s="78"/>
      <c r="B293" s="79"/>
      <c r="C293" s="80"/>
      <c r="D293" s="80"/>
      <c r="E293" s="80"/>
      <c r="F293" s="80"/>
      <c r="G293" s="80"/>
      <c r="H293" s="80"/>
      <c r="I293" s="80"/>
      <c r="J293" s="80"/>
      <c r="K293" s="82"/>
      <c r="L293" s="80"/>
      <c r="M293" s="80"/>
      <c r="N293" s="80"/>
      <c r="O293" s="80"/>
      <c r="P293" s="80"/>
      <c r="Q293" s="83"/>
      <c r="R293" s="80"/>
      <c r="S293" s="80"/>
      <c r="T293" s="80"/>
      <c r="U293" s="80"/>
      <c r="V293" s="84"/>
      <c r="W293" s="80"/>
      <c r="X293" s="85"/>
      <c r="Y293" s="86"/>
      <c r="Z293" s="86"/>
      <c r="AA293" s="86"/>
      <c r="AB293" s="86"/>
      <c r="AC293" s="86"/>
      <c r="AD293" s="86"/>
      <c r="AE293" s="86"/>
      <c r="AF293" s="86"/>
      <c r="AG293" s="86"/>
      <c r="AH293" s="82"/>
    </row>
    <row r="294">
      <c r="A294" s="78"/>
      <c r="B294" s="79"/>
      <c r="C294" s="80"/>
      <c r="D294" s="80"/>
      <c r="E294" s="80"/>
      <c r="F294" s="80"/>
      <c r="G294" s="80"/>
      <c r="H294" s="80"/>
      <c r="I294" s="80"/>
      <c r="J294" s="80"/>
      <c r="K294" s="82"/>
      <c r="L294" s="80"/>
      <c r="M294" s="80"/>
      <c r="N294" s="80"/>
      <c r="O294" s="80"/>
      <c r="P294" s="80"/>
      <c r="Q294" s="83"/>
      <c r="R294" s="80"/>
      <c r="S294" s="80"/>
      <c r="T294" s="80"/>
      <c r="U294" s="80"/>
      <c r="V294" s="84"/>
      <c r="W294" s="80"/>
      <c r="X294" s="85"/>
      <c r="Y294" s="86"/>
      <c r="Z294" s="86"/>
      <c r="AA294" s="86"/>
      <c r="AB294" s="86"/>
      <c r="AC294" s="86"/>
      <c r="AD294" s="86"/>
      <c r="AE294" s="86"/>
      <c r="AF294" s="86"/>
      <c r="AG294" s="86"/>
      <c r="AH294" s="82"/>
    </row>
    <row r="295">
      <c r="A295" s="78"/>
      <c r="B295" s="79"/>
      <c r="C295" s="80"/>
      <c r="D295" s="80"/>
      <c r="E295" s="80"/>
      <c r="F295" s="80"/>
      <c r="G295" s="80"/>
      <c r="H295" s="80"/>
      <c r="I295" s="80"/>
      <c r="J295" s="80"/>
      <c r="K295" s="82"/>
      <c r="L295" s="80"/>
      <c r="M295" s="80"/>
      <c r="N295" s="80"/>
      <c r="O295" s="80"/>
      <c r="P295" s="80"/>
      <c r="Q295" s="83"/>
      <c r="R295" s="80"/>
      <c r="S295" s="80"/>
      <c r="T295" s="80"/>
      <c r="U295" s="80"/>
      <c r="V295" s="84"/>
      <c r="W295" s="80"/>
      <c r="X295" s="85"/>
      <c r="Y295" s="86"/>
      <c r="Z295" s="86"/>
      <c r="AA295" s="86"/>
      <c r="AB295" s="86"/>
      <c r="AC295" s="86"/>
      <c r="AD295" s="86"/>
      <c r="AE295" s="86"/>
      <c r="AF295" s="86"/>
      <c r="AG295" s="86"/>
      <c r="AH295" s="82"/>
    </row>
    <row r="296">
      <c r="A296" s="78"/>
      <c r="B296" s="79"/>
      <c r="C296" s="80"/>
      <c r="D296" s="80"/>
      <c r="E296" s="80"/>
      <c r="F296" s="80"/>
      <c r="G296" s="80"/>
      <c r="H296" s="80"/>
      <c r="I296" s="80"/>
      <c r="J296" s="80"/>
      <c r="K296" s="82"/>
      <c r="L296" s="80"/>
      <c r="M296" s="80"/>
      <c r="N296" s="80"/>
      <c r="O296" s="80"/>
      <c r="P296" s="80"/>
      <c r="Q296" s="83"/>
      <c r="R296" s="80"/>
      <c r="S296" s="80"/>
      <c r="T296" s="80"/>
      <c r="U296" s="80"/>
      <c r="V296" s="84"/>
      <c r="W296" s="80"/>
      <c r="X296" s="85"/>
      <c r="Y296" s="86"/>
      <c r="Z296" s="86"/>
      <c r="AA296" s="86"/>
      <c r="AB296" s="86"/>
      <c r="AC296" s="86"/>
      <c r="AD296" s="86"/>
      <c r="AE296" s="86"/>
      <c r="AF296" s="86"/>
      <c r="AG296" s="86"/>
      <c r="AH296" s="82"/>
    </row>
    <row r="297">
      <c r="A297" s="78"/>
      <c r="B297" s="79"/>
      <c r="C297" s="80"/>
      <c r="D297" s="80"/>
      <c r="E297" s="80"/>
      <c r="F297" s="80"/>
      <c r="G297" s="80"/>
      <c r="H297" s="80"/>
      <c r="I297" s="80"/>
      <c r="J297" s="80"/>
      <c r="K297" s="82"/>
      <c r="L297" s="80"/>
      <c r="M297" s="80"/>
      <c r="N297" s="80"/>
      <c r="O297" s="80"/>
      <c r="P297" s="80"/>
      <c r="Q297" s="83"/>
      <c r="R297" s="80"/>
      <c r="S297" s="80"/>
      <c r="T297" s="80"/>
      <c r="U297" s="80"/>
      <c r="V297" s="84"/>
      <c r="W297" s="80"/>
      <c r="X297" s="85"/>
      <c r="Y297" s="86"/>
      <c r="Z297" s="86"/>
      <c r="AA297" s="86"/>
      <c r="AB297" s="86"/>
      <c r="AC297" s="86"/>
      <c r="AD297" s="86"/>
      <c r="AE297" s="86"/>
      <c r="AF297" s="86"/>
      <c r="AG297" s="86"/>
      <c r="AH297" s="82"/>
    </row>
    <row r="298">
      <c r="A298" s="78"/>
      <c r="B298" s="79"/>
      <c r="C298" s="80"/>
      <c r="D298" s="80"/>
      <c r="E298" s="80"/>
      <c r="F298" s="80"/>
      <c r="G298" s="80"/>
      <c r="H298" s="80"/>
      <c r="I298" s="80"/>
      <c r="J298" s="80"/>
      <c r="K298" s="82"/>
      <c r="L298" s="80"/>
      <c r="M298" s="80"/>
      <c r="N298" s="80"/>
      <c r="O298" s="80"/>
      <c r="P298" s="80"/>
      <c r="Q298" s="83"/>
      <c r="R298" s="80"/>
      <c r="S298" s="80"/>
      <c r="T298" s="80"/>
      <c r="U298" s="80"/>
      <c r="V298" s="84"/>
      <c r="W298" s="80"/>
      <c r="X298" s="85"/>
      <c r="Y298" s="86"/>
      <c r="Z298" s="86"/>
      <c r="AA298" s="86"/>
      <c r="AB298" s="86"/>
      <c r="AC298" s="86"/>
      <c r="AD298" s="86"/>
      <c r="AE298" s="86"/>
      <c r="AF298" s="86"/>
      <c r="AG298" s="86"/>
      <c r="AH298" s="82"/>
    </row>
    <row r="299">
      <c r="A299" s="78"/>
      <c r="B299" s="79"/>
      <c r="C299" s="80"/>
      <c r="D299" s="80"/>
      <c r="E299" s="80"/>
      <c r="F299" s="80"/>
      <c r="G299" s="80"/>
      <c r="H299" s="80"/>
      <c r="I299" s="80"/>
      <c r="J299" s="80"/>
      <c r="K299" s="82"/>
      <c r="L299" s="80"/>
      <c r="M299" s="80"/>
      <c r="N299" s="80"/>
      <c r="O299" s="80"/>
      <c r="P299" s="80"/>
      <c r="Q299" s="83"/>
      <c r="R299" s="80"/>
      <c r="S299" s="80"/>
      <c r="T299" s="80"/>
      <c r="U299" s="80"/>
      <c r="V299" s="84"/>
      <c r="W299" s="80"/>
      <c r="X299" s="85"/>
      <c r="Y299" s="86"/>
      <c r="Z299" s="86"/>
      <c r="AA299" s="86"/>
      <c r="AB299" s="86"/>
      <c r="AC299" s="86"/>
      <c r="AD299" s="86"/>
      <c r="AE299" s="86"/>
      <c r="AF299" s="86"/>
      <c r="AG299" s="86"/>
      <c r="AH299" s="82"/>
    </row>
    <row r="300">
      <c r="A300" s="78"/>
      <c r="B300" s="79"/>
      <c r="C300" s="80"/>
      <c r="D300" s="80"/>
      <c r="E300" s="80"/>
      <c r="F300" s="80"/>
      <c r="G300" s="80"/>
      <c r="H300" s="80"/>
      <c r="I300" s="80"/>
      <c r="J300" s="80"/>
      <c r="K300" s="82"/>
      <c r="L300" s="80"/>
      <c r="M300" s="80"/>
      <c r="N300" s="80"/>
      <c r="O300" s="80"/>
      <c r="P300" s="80"/>
      <c r="Q300" s="83"/>
      <c r="R300" s="80"/>
      <c r="S300" s="80"/>
      <c r="T300" s="80"/>
      <c r="U300" s="80"/>
      <c r="V300" s="84"/>
      <c r="W300" s="80"/>
      <c r="X300" s="85"/>
      <c r="Y300" s="86"/>
      <c r="Z300" s="86"/>
      <c r="AA300" s="86"/>
      <c r="AB300" s="86"/>
      <c r="AC300" s="86"/>
      <c r="AD300" s="86"/>
      <c r="AE300" s="86"/>
      <c r="AF300" s="86"/>
      <c r="AG300" s="86"/>
      <c r="AH300" s="82"/>
    </row>
    <row r="301">
      <c r="A301" s="78"/>
      <c r="B301" s="79"/>
      <c r="C301" s="80"/>
      <c r="D301" s="80"/>
      <c r="E301" s="80"/>
      <c r="F301" s="80"/>
      <c r="G301" s="80"/>
      <c r="H301" s="80"/>
      <c r="I301" s="80"/>
      <c r="J301" s="80"/>
      <c r="K301" s="82"/>
      <c r="L301" s="80"/>
      <c r="M301" s="80"/>
      <c r="N301" s="80"/>
      <c r="O301" s="80"/>
      <c r="P301" s="80"/>
      <c r="Q301" s="83"/>
      <c r="R301" s="80"/>
      <c r="S301" s="80"/>
      <c r="T301" s="80"/>
      <c r="U301" s="80"/>
      <c r="V301" s="84"/>
      <c r="W301" s="80"/>
      <c r="X301" s="85"/>
      <c r="Y301" s="86"/>
      <c r="Z301" s="86"/>
      <c r="AA301" s="86"/>
      <c r="AB301" s="86"/>
      <c r="AC301" s="86"/>
      <c r="AD301" s="86"/>
      <c r="AE301" s="86"/>
      <c r="AF301" s="86"/>
      <c r="AG301" s="86"/>
      <c r="AH301" s="82"/>
    </row>
    <row r="302">
      <c r="A302" s="78"/>
      <c r="B302" s="79"/>
      <c r="C302" s="80"/>
      <c r="D302" s="80"/>
      <c r="E302" s="80"/>
      <c r="F302" s="80"/>
      <c r="G302" s="80"/>
      <c r="H302" s="80"/>
      <c r="I302" s="80"/>
      <c r="J302" s="80"/>
      <c r="K302" s="82"/>
      <c r="L302" s="80"/>
      <c r="M302" s="80"/>
      <c r="N302" s="80"/>
      <c r="O302" s="80"/>
      <c r="P302" s="80"/>
      <c r="Q302" s="83"/>
      <c r="R302" s="80"/>
      <c r="S302" s="80"/>
      <c r="T302" s="80"/>
      <c r="U302" s="80"/>
      <c r="V302" s="84"/>
      <c r="W302" s="80"/>
      <c r="X302" s="85"/>
      <c r="Y302" s="86"/>
      <c r="Z302" s="86"/>
      <c r="AA302" s="86"/>
      <c r="AB302" s="86"/>
      <c r="AC302" s="86"/>
      <c r="AD302" s="86"/>
      <c r="AE302" s="86"/>
      <c r="AF302" s="86"/>
      <c r="AG302" s="86"/>
      <c r="AH302" s="82"/>
    </row>
    <row r="303">
      <c r="A303" s="78"/>
      <c r="B303" s="79"/>
      <c r="C303" s="80"/>
      <c r="D303" s="80"/>
      <c r="E303" s="80"/>
      <c r="F303" s="80"/>
      <c r="G303" s="80"/>
      <c r="H303" s="80"/>
      <c r="I303" s="80"/>
      <c r="J303" s="80"/>
      <c r="K303" s="82"/>
      <c r="L303" s="80"/>
      <c r="M303" s="80"/>
      <c r="N303" s="80"/>
      <c r="O303" s="80"/>
      <c r="P303" s="80"/>
      <c r="Q303" s="83"/>
      <c r="R303" s="80"/>
      <c r="S303" s="80"/>
      <c r="T303" s="80"/>
      <c r="U303" s="80"/>
      <c r="V303" s="84"/>
      <c r="W303" s="80"/>
      <c r="X303" s="85"/>
      <c r="Y303" s="86"/>
      <c r="Z303" s="86"/>
      <c r="AA303" s="86"/>
      <c r="AB303" s="86"/>
      <c r="AC303" s="86"/>
      <c r="AD303" s="86"/>
      <c r="AE303" s="86"/>
      <c r="AF303" s="86"/>
      <c r="AG303" s="86"/>
      <c r="AH303" s="82"/>
    </row>
    <row r="304">
      <c r="A304" s="78"/>
      <c r="B304" s="79"/>
      <c r="C304" s="80"/>
      <c r="D304" s="80"/>
      <c r="E304" s="80"/>
      <c r="F304" s="80"/>
      <c r="G304" s="80"/>
      <c r="H304" s="80"/>
      <c r="I304" s="80"/>
      <c r="J304" s="80"/>
      <c r="K304" s="82"/>
      <c r="L304" s="80"/>
      <c r="M304" s="80"/>
      <c r="N304" s="80"/>
      <c r="O304" s="80"/>
      <c r="P304" s="80"/>
      <c r="Q304" s="83"/>
      <c r="R304" s="80"/>
      <c r="S304" s="80"/>
      <c r="T304" s="80"/>
      <c r="U304" s="80"/>
      <c r="V304" s="84"/>
      <c r="W304" s="80"/>
      <c r="X304" s="85"/>
      <c r="Y304" s="86"/>
      <c r="Z304" s="86"/>
      <c r="AA304" s="86"/>
      <c r="AB304" s="86"/>
      <c r="AC304" s="86"/>
      <c r="AD304" s="86"/>
      <c r="AE304" s="86"/>
      <c r="AF304" s="86"/>
      <c r="AG304" s="86"/>
      <c r="AH304" s="82"/>
    </row>
    <row r="305">
      <c r="A305" s="78"/>
      <c r="B305" s="79"/>
      <c r="C305" s="80"/>
      <c r="D305" s="80"/>
      <c r="E305" s="80"/>
      <c r="F305" s="80"/>
      <c r="G305" s="80"/>
      <c r="H305" s="80"/>
      <c r="I305" s="80"/>
      <c r="J305" s="80"/>
      <c r="K305" s="82"/>
      <c r="L305" s="80"/>
      <c r="M305" s="80"/>
      <c r="N305" s="80"/>
      <c r="O305" s="80"/>
      <c r="P305" s="80"/>
      <c r="Q305" s="83"/>
      <c r="R305" s="80"/>
      <c r="S305" s="80"/>
      <c r="T305" s="80"/>
      <c r="U305" s="80"/>
      <c r="V305" s="84"/>
      <c r="W305" s="80"/>
      <c r="X305" s="85"/>
      <c r="Y305" s="86"/>
      <c r="Z305" s="86"/>
      <c r="AA305" s="86"/>
      <c r="AB305" s="86"/>
      <c r="AC305" s="86"/>
      <c r="AD305" s="86"/>
      <c r="AE305" s="86"/>
      <c r="AF305" s="86"/>
      <c r="AG305" s="86"/>
      <c r="AH305" s="82"/>
    </row>
    <row r="306">
      <c r="A306" s="78"/>
      <c r="B306" s="79"/>
      <c r="C306" s="80"/>
      <c r="D306" s="80"/>
      <c r="E306" s="80"/>
      <c r="F306" s="80"/>
      <c r="G306" s="80"/>
      <c r="H306" s="80"/>
      <c r="I306" s="80"/>
      <c r="J306" s="80"/>
      <c r="K306" s="82"/>
      <c r="L306" s="80"/>
      <c r="M306" s="80"/>
      <c r="N306" s="80"/>
      <c r="O306" s="80"/>
      <c r="P306" s="80"/>
      <c r="Q306" s="83"/>
      <c r="R306" s="80"/>
      <c r="S306" s="80"/>
      <c r="T306" s="80"/>
      <c r="U306" s="80"/>
      <c r="V306" s="84"/>
      <c r="W306" s="80"/>
      <c r="X306" s="85"/>
      <c r="Y306" s="86"/>
      <c r="Z306" s="86"/>
      <c r="AA306" s="86"/>
      <c r="AB306" s="86"/>
      <c r="AC306" s="86"/>
      <c r="AD306" s="86"/>
      <c r="AE306" s="86"/>
      <c r="AF306" s="86"/>
      <c r="AG306" s="86"/>
      <c r="AH306" s="82"/>
    </row>
    <row r="307">
      <c r="A307" s="78"/>
      <c r="B307" s="79"/>
      <c r="C307" s="80"/>
      <c r="D307" s="80"/>
      <c r="E307" s="80"/>
      <c r="F307" s="80"/>
      <c r="G307" s="80"/>
      <c r="H307" s="80"/>
      <c r="I307" s="80"/>
      <c r="J307" s="80"/>
      <c r="K307" s="82"/>
      <c r="L307" s="80"/>
      <c r="M307" s="80"/>
      <c r="N307" s="80"/>
      <c r="O307" s="80"/>
      <c r="P307" s="80"/>
      <c r="Q307" s="83"/>
      <c r="R307" s="80"/>
      <c r="S307" s="80"/>
      <c r="T307" s="80"/>
      <c r="U307" s="80"/>
      <c r="V307" s="84"/>
      <c r="W307" s="80"/>
      <c r="X307" s="85"/>
      <c r="Y307" s="86"/>
      <c r="Z307" s="86"/>
      <c r="AA307" s="86"/>
      <c r="AB307" s="86"/>
      <c r="AC307" s="86"/>
      <c r="AD307" s="86"/>
      <c r="AE307" s="86"/>
      <c r="AF307" s="86"/>
      <c r="AG307" s="86"/>
      <c r="AH307" s="82"/>
    </row>
    <row r="308">
      <c r="A308" s="78"/>
      <c r="B308" s="79"/>
      <c r="C308" s="80"/>
      <c r="D308" s="80"/>
      <c r="E308" s="80"/>
      <c r="F308" s="80"/>
      <c r="G308" s="80"/>
      <c r="H308" s="80"/>
      <c r="I308" s="80"/>
      <c r="J308" s="80"/>
      <c r="K308" s="82"/>
      <c r="L308" s="80"/>
      <c r="M308" s="80"/>
      <c r="N308" s="80"/>
      <c r="O308" s="80"/>
      <c r="P308" s="80"/>
      <c r="Q308" s="83"/>
      <c r="R308" s="80"/>
      <c r="S308" s="80"/>
      <c r="T308" s="80"/>
      <c r="U308" s="80"/>
      <c r="V308" s="84"/>
      <c r="W308" s="80"/>
      <c r="X308" s="85"/>
      <c r="Y308" s="86"/>
      <c r="Z308" s="86"/>
      <c r="AA308" s="86"/>
      <c r="AB308" s="86"/>
      <c r="AC308" s="86"/>
      <c r="AD308" s="86"/>
      <c r="AE308" s="86"/>
      <c r="AF308" s="86"/>
      <c r="AG308" s="86"/>
      <c r="AH308" s="82"/>
    </row>
    <row r="309">
      <c r="A309" s="78"/>
      <c r="B309" s="79"/>
      <c r="C309" s="80"/>
      <c r="D309" s="80"/>
      <c r="E309" s="80"/>
      <c r="F309" s="80"/>
      <c r="G309" s="80"/>
      <c r="H309" s="80"/>
      <c r="I309" s="80"/>
      <c r="J309" s="80"/>
      <c r="K309" s="82"/>
      <c r="L309" s="80"/>
      <c r="M309" s="80"/>
      <c r="N309" s="80"/>
      <c r="O309" s="80"/>
      <c r="P309" s="80"/>
      <c r="Q309" s="83"/>
      <c r="R309" s="80"/>
      <c r="S309" s="80"/>
      <c r="T309" s="80"/>
      <c r="U309" s="80"/>
      <c r="V309" s="84"/>
      <c r="W309" s="80"/>
      <c r="X309" s="85"/>
      <c r="Y309" s="86"/>
      <c r="Z309" s="86"/>
      <c r="AA309" s="86"/>
      <c r="AB309" s="86"/>
      <c r="AC309" s="86"/>
      <c r="AD309" s="86"/>
      <c r="AE309" s="86"/>
      <c r="AF309" s="86"/>
      <c r="AG309" s="86"/>
      <c r="AH309" s="82"/>
    </row>
    <row r="310">
      <c r="A310" s="78"/>
      <c r="B310" s="79"/>
      <c r="C310" s="80"/>
      <c r="D310" s="80"/>
      <c r="E310" s="80"/>
      <c r="F310" s="80"/>
      <c r="G310" s="80"/>
      <c r="H310" s="80"/>
      <c r="I310" s="80"/>
      <c r="J310" s="80"/>
      <c r="K310" s="82"/>
      <c r="L310" s="80"/>
      <c r="M310" s="80"/>
      <c r="N310" s="80"/>
      <c r="O310" s="80"/>
      <c r="P310" s="80"/>
      <c r="Q310" s="83"/>
      <c r="R310" s="80"/>
      <c r="S310" s="80"/>
      <c r="T310" s="80"/>
      <c r="U310" s="80"/>
      <c r="V310" s="84"/>
      <c r="W310" s="80"/>
      <c r="X310" s="85"/>
      <c r="Y310" s="86"/>
      <c r="Z310" s="86"/>
      <c r="AA310" s="86"/>
      <c r="AB310" s="86"/>
      <c r="AC310" s="86"/>
      <c r="AD310" s="86"/>
      <c r="AE310" s="86"/>
      <c r="AF310" s="86"/>
      <c r="AG310" s="86"/>
      <c r="AH310" s="82"/>
    </row>
    <row r="311">
      <c r="A311" s="78"/>
      <c r="B311" s="79"/>
      <c r="C311" s="80"/>
      <c r="D311" s="80"/>
      <c r="E311" s="80"/>
      <c r="F311" s="80"/>
      <c r="G311" s="80"/>
      <c r="H311" s="80"/>
      <c r="I311" s="80"/>
      <c r="J311" s="80"/>
      <c r="K311" s="82"/>
      <c r="L311" s="80"/>
      <c r="M311" s="80"/>
      <c r="N311" s="80"/>
      <c r="O311" s="80"/>
      <c r="P311" s="80"/>
      <c r="Q311" s="83"/>
      <c r="R311" s="80"/>
      <c r="S311" s="80"/>
      <c r="T311" s="80"/>
      <c r="U311" s="80"/>
      <c r="V311" s="84"/>
      <c r="W311" s="80"/>
      <c r="X311" s="85"/>
      <c r="Y311" s="86"/>
      <c r="Z311" s="86"/>
      <c r="AA311" s="86"/>
      <c r="AB311" s="86"/>
      <c r="AC311" s="86"/>
      <c r="AD311" s="86"/>
      <c r="AE311" s="86"/>
      <c r="AF311" s="86"/>
      <c r="AG311" s="86"/>
      <c r="AH311" s="82"/>
    </row>
    <row r="312">
      <c r="A312" s="78"/>
      <c r="B312" s="79"/>
      <c r="C312" s="80"/>
      <c r="D312" s="80"/>
      <c r="E312" s="80"/>
      <c r="F312" s="80"/>
      <c r="G312" s="80"/>
      <c r="H312" s="80"/>
      <c r="I312" s="80"/>
      <c r="J312" s="80"/>
      <c r="K312" s="82"/>
      <c r="L312" s="80"/>
      <c r="M312" s="80"/>
      <c r="N312" s="80"/>
      <c r="O312" s="80"/>
      <c r="P312" s="80"/>
      <c r="Q312" s="83"/>
      <c r="R312" s="80"/>
      <c r="S312" s="80"/>
      <c r="T312" s="80"/>
      <c r="U312" s="80"/>
      <c r="V312" s="84"/>
      <c r="W312" s="80"/>
      <c r="X312" s="85"/>
      <c r="Y312" s="86"/>
      <c r="Z312" s="86"/>
      <c r="AA312" s="86"/>
      <c r="AB312" s="86"/>
      <c r="AC312" s="86"/>
      <c r="AD312" s="86"/>
      <c r="AE312" s="86"/>
      <c r="AF312" s="86"/>
      <c r="AG312" s="86"/>
      <c r="AH312" s="82"/>
    </row>
    <row r="313">
      <c r="A313" s="78"/>
      <c r="B313" s="79"/>
      <c r="C313" s="80"/>
      <c r="D313" s="80"/>
      <c r="E313" s="80"/>
      <c r="F313" s="80"/>
      <c r="G313" s="80"/>
      <c r="H313" s="80"/>
      <c r="I313" s="80"/>
      <c r="J313" s="80"/>
      <c r="K313" s="82"/>
      <c r="L313" s="80"/>
      <c r="M313" s="80"/>
      <c r="N313" s="80"/>
      <c r="O313" s="80"/>
      <c r="P313" s="80"/>
      <c r="Q313" s="83"/>
      <c r="R313" s="80"/>
      <c r="S313" s="80"/>
      <c r="T313" s="80"/>
      <c r="U313" s="80"/>
      <c r="V313" s="84"/>
      <c r="W313" s="80"/>
      <c r="X313" s="85"/>
      <c r="Y313" s="86"/>
      <c r="Z313" s="86"/>
      <c r="AA313" s="86"/>
      <c r="AB313" s="86"/>
      <c r="AC313" s="86"/>
      <c r="AD313" s="86"/>
      <c r="AE313" s="86"/>
      <c r="AF313" s="86"/>
      <c r="AG313" s="86"/>
      <c r="AH313" s="82"/>
    </row>
    <row r="314">
      <c r="A314" s="78"/>
      <c r="B314" s="79"/>
      <c r="C314" s="80"/>
      <c r="D314" s="80"/>
      <c r="E314" s="80"/>
      <c r="F314" s="80"/>
      <c r="G314" s="80"/>
      <c r="H314" s="80"/>
      <c r="I314" s="80"/>
      <c r="J314" s="80"/>
      <c r="K314" s="82"/>
      <c r="L314" s="80"/>
      <c r="M314" s="80"/>
      <c r="N314" s="80"/>
      <c r="O314" s="80"/>
      <c r="P314" s="80"/>
      <c r="Q314" s="83"/>
      <c r="R314" s="80"/>
      <c r="S314" s="80"/>
      <c r="T314" s="80"/>
      <c r="U314" s="80"/>
      <c r="V314" s="84"/>
      <c r="W314" s="80"/>
      <c r="X314" s="85"/>
      <c r="Y314" s="86"/>
      <c r="Z314" s="86"/>
      <c r="AA314" s="86"/>
      <c r="AB314" s="86"/>
      <c r="AC314" s="86"/>
      <c r="AD314" s="86"/>
      <c r="AE314" s="86"/>
      <c r="AF314" s="86"/>
      <c r="AG314" s="86"/>
      <c r="AH314" s="82"/>
    </row>
    <row r="315">
      <c r="A315" s="78"/>
      <c r="B315" s="79"/>
      <c r="C315" s="80"/>
      <c r="D315" s="80"/>
      <c r="E315" s="80"/>
      <c r="F315" s="80"/>
      <c r="G315" s="80"/>
      <c r="H315" s="80"/>
      <c r="I315" s="80"/>
      <c r="J315" s="80"/>
      <c r="K315" s="82"/>
      <c r="L315" s="80"/>
      <c r="M315" s="80"/>
      <c r="N315" s="80"/>
      <c r="O315" s="80"/>
      <c r="P315" s="80"/>
      <c r="Q315" s="83"/>
      <c r="R315" s="80"/>
      <c r="S315" s="80"/>
      <c r="T315" s="80"/>
      <c r="U315" s="80"/>
      <c r="V315" s="84"/>
      <c r="W315" s="80"/>
      <c r="X315" s="85"/>
      <c r="Y315" s="86"/>
      <c r="Z315" s="86"/>
      <c r="AA315" s="86"/>
      <c r="AB315" s="86"/>
      <c r="AC315" s="86"/>
      <c r="AD315" s="86"/>
      <c r="AE315" s="86"/>
      <c r="AF315" s="86"/>
      <c r="AG315" s="86"/>
      <c r="AH315" s="82"/>
    </row>
    <row r="316">
      <c r="A316" s="78"/>
      <c r="B316" s="79"/>
      <c r="C316" s="80"/>
      <c r="D316" s="80"/>
      <c r="E316" s="80"/>
      <c r="F316" s="80"/>
      <c r="G316" s="80"/>
      <c r="H316" s="80"/>
      <c r="I316" s="80"/>
      <c r="J316" s="80"/>
      <c r="K316" s="82"/>
      <c r="L316" s="80"/>
      <c r="M316" s="80"/>
      <c r="N316" s="80"/>
      <c r="O316" s="80"/>
      <c r="P316" s="80"/>
      <c r="Q316" s="83"/>
      <c r="R316" s="80"/>
      <c r="S316" s="80"/>
      <c r="T316" s="80"/>
      <c r="U316" s="80"/>
      <c r="V316" s="84"/>
      <c r="W316" s="80"/>
      <c r="X316" s="85"/>
      <c r="Y316" s="86"/>
      <c r="Z316" s="86"/>
      <c r="AA316" s="86"/>
      <c r="AB316" s="86"/>
      <c r="AC316" s="86"/>
      <c r="AD316" s="86"/>
      <c r="AE316" s="86"/>
      <c r="AF316" s="86"/>
      <c r="AG316" s="86"/>
      <c r="AH316" s="82"/>
    </row>
    <row r="317">
      <c r="A317" s="78"/>
      <c r="B317" s="79"/>
      <c r="C317" s="80"/>
      <c r="D317" s="80"/>
      <c r="E317" s="80"/>
      <c r="F317" s="80"/>
      <c r="G317" s="80"/>
      <c r="H317" s="80"/>
      <c r="I317" s="80"/>
      <c r="J317" s="80"/>
      <c r="K317" s="82"/>
      <c r="L317" s="80"/>
      <c r="M317" s="80"/>
      <c r="N317" s="80"/>
      <c r="O317" s="80"/>
      <c r="P317" s="80"/>
      <c r="Q317" s="83"/>
      <c r="R317" s="80"/>
      <c r="S317" s="80"/>
      <c r="T317" s="80"/>
      <c r="U317" s="80"/>
      <c r="V317" s="84"/>
      <c r="W317" s="80"/>
      <c r="X317" s="85"/>
      <c r="Y317" s="86"/>
      <c r="Z317" s="86"/>
      <c r="AA317" s="86"/>
      <c r="AB317" s="86"/>
      <c r="AC317" s="86"/>
      <c r="AD317" s="86"/>
      <c r="AE317" s="86"/>
      <c r="AF317" s="86"/>
      <c r="AG317" s="86"/>
      <c r="AH317" s="82"/>
    </row>
    <row r="318">
      <c r="A318" s="78"/>
      <c r="B318" s="79"/>
      <c r="C318" s="80"/>
      <c r="D318" s="80"/>
      <c r="E318" s="80"/>
      <c r="F318" s="80"/>
      <c r="G318" s="80"/>
      <c r="H318" s="80"/>
      <c r="I318" s="80"/>
      <c r="J318" s="80"/>
      <c r="K318" s="82"/>
      <c r="L318" s="80"/>
      <c r="M318" s="80"/>
      <c r="N318" s="80"/>
      <c r="O318" s="80"/>
      <c r="P318" s="80"/>
      <c r="Q318" s="83"/>
      <c r="R318" s="80"/>
      <c r="S318" s="80"/>
      <c r="T318" s="80"/>
      <c r="U318" s="80"/>
      <c r="V318" s="84"/>
      <c r="W318" s="80"/>
      <c r="X318" s="85"/>
      <c r="Y318" s="86"/>
      <c r="Z318" s="86"/>
      <c r="AA318" s="86"/>
      <c r="AB318" s="86"/>
      <c r="AC318" s="86"/>
      <c r="AD318" s="86"/>
      <c r="AE318" s="86"/>
      <c r="AF318" s="86"/>
      <c r="AG318" s="86"/>
      <c r="AH318" s="82"/>
    </row>
    <row r="319">
      <c r="A319" s="78"/>
      <c r="B319" s="79"/>
      <c r="C319" s="80"/>
      <c r="D319" s="80"/>
      <c r="E319" s="80"/>
      <c r="F319" s="80"/>
      <c r="G319" s="80"/>
      <c r="H319" s="80"/>
      <c r="I319" s="80"/>
      <c r="J319" s="80"/>
      <c r="K319" s="82"/>
      <c r="L319" s="80"/>
      <c r="M319" s="80"/>
      <c r="N319" s="80"/>
      <c r="O319" s="80"/>
      <c r="P319" s="80"/>
      <c r="Q319" s="83"/>
      <c r="R319" s="80"/>
      <c r="S319" s="80"/>
      <c r="T319" s="80"/>
      <c r="U319" s="80"/>
      <c r="V319" s="84"/>
      <c r="W319" s="80"/>
      <c r="X319" s="85"/>
      <c r="Y319" s="86"/>
      <c r="Z319" s="86"/>
      <c r="AA319" s="86"/>
      <c r="AB319" s="86"/>
      <c r="AC319" s="86"/>
      <c r="AD319" s="86"/>
      <c r="AE319" s="86"/>
      <c r="AF319" s="86"/>
      <c r="AG319" s="86"/>
      <c r="AH319" s="82"/>
    </row>
    <row r="320">
      <c r="A320" s="78"/>
      <c r="B320" s="79"/>
      <c r="C320" s="80"/>
      <c r="D320" s="80"/>
      <c r="E320" s="80"/>
      <c r="F320" s="80"/>
      <c r="G320" s="80"/>
      <c r="H320" s="80"/>
      <c r="I320" s="80"/>
      <c r="J320" s="80"/>
      <c r="K320" s="82"/>
      <c r="L320" s="80"/>
      <c r="M320" s="80"/>
      <c r="N320" s="80"/>
      <c r="O320" s="80"/>
      <c r="P320" s="80"/>
      <c r="Q320" s="83"/>
      <c r="R320" s="80"/>
      <c r="S320" s="80"/>
      <c r="T320" s="80"/>
      <c r="U320" s="80"/>
      <c r="V320" s="84"/>
      <c r="W320" s="80"/>
      <c r="X320" s="85"/>
      <c r="Y320" s="86"/>
      <c r="Z320" s="86"/>
      <c r="AA320" s="86"/>
      <c r="AB320" s="86"/>
      <c r="AC320" s="86"/>
      <c r="AD320" s="86"/>
      <c r="AE320" s="86"/>
      <c r="AF320" s="86"/>
      <c r="AG320" s="86"/>
      <c r="AH320" s="82"/>
    </row>
    <row r="321">
      <c r="A321" s="78"/>
      <c r="B321" s="79"/>
      <c r="C321" s="80"/>
      <c r="D321" s="80"/>
      <c r="E321" s="80"/>
      <c r="F321" s="80"/>
      <c r="G321" s="80"/>
      <c r="H321" s="80"/>
      <c r="I321" s="80"/>
      <c r="J321" s="80"/>
      <c r="K321" s="82"/>
      <c r="L321" s="80"/>
      <c r="M321" s="80"/>
      <c r="N321" s="80"/>
      <c r="O321" s="80"/>
      <c r="P321" s="80"/>
      <c r="Q321" s="83"/>
      <c r="R321" s="80"/>
      <c r="S321" s="80"/>
      <c r="T321" s="80"/>
      <c r="U321" s="80"/>
      <c r="V321" s="84"/>
      <c r="W321" s="80"/>
      <c r="X321" s="85"/>
      <c r="Y321" s="86"/>
      <c r="Z321" s="86"/>
      <c r="AA321" s="86"/>
      <c r="AB321" s="86"/>
      <c r="AC321" s="86"/>
      <c r="AD321" s="86"/>
      <c r="AE321" s="86"/>
      <c r="AF321" s="86"/>
      <c r="AG321" s="86"/>
      <c r="AH321" s="82"/>
    </row>
    <row r="322">
      <c r="A322" s="78"/>
      <c r="B322" s="79"/>
      <c r="C322" s="80"/>
      <c r="D322" s="80"/>
      <c r="E322" s="80"/>
      <c r="F322" s="80"/>
      <c r="G322" s="80"/>
      <c r="H322" s="80"/>
      <c r="I322" s="80"/>
      <c r="J322" s="80"/>
      <c r="K322" s="82"/>
      <c r="L322" s="80"/>
      <c r="M322" s="80"/>
      <c r="N322" s="80"/>
      <c r="O322" s="80"/>
      <c r="P322" s="80"/>
      <c r="Q322" s="83"/>
      <c r="R322" s="80"/>
      <c r="S322" s="80"/>
      <c r="T322" s="80"/>
      <c r="U322" s="80"/>
      <c r="V322" s="84"/>
      <c r="W322" s="80"/>
      <c r="X322" s="85"/>
      <c r="Y322" s="86"/>
      <c r="Z322" s="86"/>
      <c r="AA322" s="86"/>
      <c r="AB322" s="86"/>
      <c r="AC322" s="86"/>
      <c r="AD322" s="86"/>
      <c r="AE322" s="86"/>
      <c r="AF322" s="86"/>
      <c r="AG322" s="86"/>
      <c r="AH322" s="82"/>
    </row>
    <row r="323">
      <c r="A323" s="78"/>
      <c r="B323" s="79"/>
      <c r="C323" s="80"/>
      <c r="D323" s="80"/>
      <c r="E323" s="80"/>
      <c r="F323" s="80"/>
      <c r="G323" s="80"/>
      <c r="H323" s="80"/>
      <c r="I323" s="80"/>
      <c r="J323" s="80"/>
      <c r="K323" s="82"/>
      <c r="L323" s="80"/>
      <c r="M323" s="80"/>
      <c r="N323" s="80"/>
      <c r="O323" s="80"/>
      <c r="P323" s="80"/>
      <c r="Q323" s="83"/>
      <c r="R323" s="80"/>
      <c r="S323" s="80"/>
      <c r="T323" s="80"/>
      <c r="U323" s="80"/>
      <c r="V323" s="84"/>
      <c r="W323" s="80"/>
      <c r="X323" s="85"/>
      <c r="Y323" s="86"/>
      <c r="Z323" s="86"/>
      <c r="AA323" s="86"/>
      <c r="AB323" s="86"/>
      <c r="AC323" s="86"/>
      <c r="AD323" s="86"/>
      <c r="AE323" s="86"/>
      <c r="AF323" s="86"/>
      <c r="AG323" s="86"/>
      <c r="AH323" s="82"/>
    </row>
    <row r="324">
      <c r="A324" s="78"/>
      <c r="B324" s="79"/>
      <c r="C324" s="80"/>
      <c r="D324" s="80"/>
      <c r="E324" s="80"/>
      <c r="F324" s="80"/>
      <c r="G324" s="80"/>
      <c r="H324" s="80"/>
      <c r="I324" s="80"/>
      <c r="J324" s="80"/>
      <c r="K324" s="82"/>
      <c r="L324" s="80"/>
      <c r="M324" s="80"/>
      <c r="N324" s="80"/>
      <c r="O324" s="80"/>
      <c r="P324" s="80"/>
      <c r="Q324" s="83"/>
      <c r="R324" s="80"/>
      <c r="S324" s="80"/>
      <c r="T324" s="80"/>
      <c r="U324" s="80"/>
      <c r="V324" s="84"/>
      <c r="W324" s="80"/>
      <c r="X324" s="85"/>
      <c r="Y324" s="86"/>
      <c r="Z324" s="86"/>
      <c r="AA324" s="86"/>
      <c r="AB324" s="86"/>
      <c r="AC324" s="86"/>
      <c r="AD324" s="86"/>
      <c r="AE324" s="86"/>
      <c r="AF324" s="86"/>
      <c r="AG324" s="86"/>
      <c r="AH324" s="82"/>
    </row>
    <row r="325">
      <c r="A325" s="78"/>
      <c r="B325" s="79"/>
      <c r="C325" s="80"/>
      <c r="D325" s="80"/>
      <c r="E325" s="80"/>
      <c r="F325" s="80"/>
      <c r="G325" s="80"/>
      <c r="H325" s="80"/>
      <c r="I325" s="80"/>
      <c r="J325" s="80"/>
      <c r="K325" s="82"/>
      <c r="L325" s="80"/>
      <c r="M325" s="80"/>
      <c r="N325" s="80"/>
      <c r="O325" s="80"/>
      <c r="P325" s="80"/>
      <c r="Q325" s="83"/>
      <c r="R325" s="80"/>
      <c r="S325" s="80"/>
      <c r="T325" s="80"/>
      <c r="U325" s="80"/>
      <c r="V325" s="84"/>
      <c r="W325" s="80"/>
      <c r="X325" s="85"/>
      <c r="Y325" s="86"/>
      <c r="Z325" s="86"/>
      <c r="AA325" s="86"/>
      <c r="AB325" s="86"/>
      <c r="AC325" s="86"/>
      <c r="AD325" s="86"/>
      <c r="AE325" s="86"/>
      <c r="AF325" s="86"/>
      <c r="AG325" s="86"/>
      <c r="AH325" s="82"/>
    </row>
    <row r="326">
      <c r="A326" s="78"/>
      <c r="B326" s="79"/>
      <c r="C326" s="80"/>
      <c r="D326" s="80"/>
      <c r="E326" s="80"/>
      <c r="F326" s="80"/>
      <c r="G326" s="80"/>
      <c r="H326" s="80"/>
      <c r="I326" s="80"/>
      <c r="J326" s="80"/>
      <c r="K326" s="82"/>
      <c r="L326" s="80"/>
      <c r="M326" s="80"/>
      <c r="N326" s="80"/>
      <c r="O326" s="80"/>
      <c r="P326" s="80"/>
      <c r="Q326" s="83"/>
      <c r="R326" s="80"/>
      <c r="S326" s="80"/>
      <c r="T326" s="80"/>
      <c r="U326" s="80"/>
      <c r="V326" s="84"/>
      <c r="W326" s="80"/>
      <c r="X326" s="85"/>
      <c r="Y326" s="86"/>
      <c r="Z326" s="86"/>
      <c r="AA326" s="86"/>
      <c r="AB326" s="86"/>
      <c r="AC326" s="86"/>
      <c r="AD326" s="86"/>
      <c r="AE326" s="86"/>
      <c r="AF326" s="86"/>
      <c r="AG326" s="86"/>
      <c r="AH326" s="82"/>
    </row>
    <row r="327">
      <c r="A327" s="78"/>
      <c r="B327" s="79"/>
      <c r="C327" s="80"/>
      <c r="D327" s="80"/>
      <c r="E327" s="80"/>
      <c r="F327" s="80"/>
      <c r="G327" s="80"/>
      <c r="H327" s="80"/>
      <c r="I327" s="80"/>
      <c r="J327" s="80"/>
      <c r="K327" s="82"/>
      <c r="L327" s="80"/>
      <c r="M327" s="80"/>
      <c r="N327" s="80"/>
      <c r="O327" s="80"/>
      <c r="P327" s="80"/>
      <c r="Q327" s="83"/>
      <c r="R327" s="80"/>
      <c r="S327" s="80"/>
      <c r="T327" s="80"/>
      <c r="U327" s="80"/>
      <c r="V327" s="84"/>
      <c r="W327" s="80"/>
      <c r="X327" s="85"/>
      <c r="Y327" s="86"/>
      <c r="Z327" s="86"/>
      <c r="AA327" s="86"/>
      <c r="AB327" s="86"/>
      <c r="AC327" s="86"/>
      <c r="AD327" s="86"/>
      <c r="AE327" s="86"/>
      <c r="AF327" s="86"/>
      <c r="AG327" s="86"/>
      <c r="AH327" s="82"/>
    </row>
    <row r="328">
      <c r="A328" s="78"/>
      <c r="B328" s="79"/>
      <c r="C328" s="80"/>
      <c r="D328" s="80"/>
      <c r="E328" s="80"/>
      <c r="F328" s="80"/>
      <c r="G328" s="80"/>
      <c r="H328" s="80"/>
      <c r="I328" s="80"/>
      <c r="J328" s="80"/>
      <c r="K328" s="82"/>
      <c r="L328" s="80"/>
      <c r="M328" s="80"/>
      <c r="N328" s="80"/>
      <c r="O328" s="80"/>
      <c r="P328" s="80"/>
      <c r="Q328" s="83"/>
      <c r="R328" s="80"/>
      <c r="S328" s="80"/>
      <c r="T328" s="80"/>
      <c r="U328" s="80"/>
      <c r="V328" s="84"/>
      <c r="W328" s="80"/>
      <c r="X328" s="85"/>
      <c r="Y328" s="86"/>
      <c r="Z328" s="86"/>
      <c r="AA328" s="86"/>
      <c r="AB328" s="86"/>
      <c r="AC328" s="86"/>
      <c r="AD328" s="86"/>
      <c r="AE328" s="86"/>
      <c r="AF328" s="86"/>
      <c r="AG328" s="86"/>
      <c r="AH328" s="82"/>
    </row>
    <row r="329">
      <c r="A329" s="78"/>
      <c r="B329" s="79"/>
      <c r="C329" s="80"/>
      <c r="D329" s="80"/>
      <c r="E329" s="80"/>
      <c r="F329" s="80"/>
      <c r="G329" s="80"/>
      <c r="H329" s="80"/>
      <c r="I329" s="80"/>
      <c r="J329" s="80"/>
      <c r="K329" s="82"/>
      <c r="L329" s="80"/>
      <c r="M329" s="80"/>
      <c r="N329" s="80"/>
      <c r="O329" s="80"/>
      <c r="P329" s="80"/>
      <c r="Q329" s="83"/>
      <c r="R329" s="80"/>
      <c r="S329" s="80"/>
      <c r="T329" s="80"/>
      <c r="U329" s="80"/>
      <c r="V329" s="84"/>
      <c r="W329" s="80"/>
      <c r="X329" s="85"/>
      <c r="Y329" s="86"/>
      <c r="Z329" s="86"/>
      <c r="AA329" s="86"/>
      <c r="AB329" s="86"/>
      <c r="AC329" s="86"/>
      <c r="AD329" s="86"/>
      <c r="AE329" s="86"/>
      <c r="AF329" s="86"/>
      <c r="AG329" s="86"/>
      <c r="AH329" s="82"/>
    </row>
    <row r="330">
      <c r="A330" s="78"/>
      <c r="B330" s="79"/>
      <c r="C330" s="80"/>
      <c r="D330" s="80"/>
      <c r="E330" s="80"/>
      <c r="F330" s="80"/>
      <c r="G330" s="80"/>
      <c r="H330" s="80"/>
      <c r="I330" s="80"/>
      <c r="J330" s="80"/>
      <c r="K330" s="82"/>
      <c r="L330" s="80"/>
      <c r="M330" s="80"/>
      <c r="N330" s="80"/>
      <c r="O330" s="80"/>
      <c r="P330" s="80"/>
      <c r="Q330" s="83"/>
      <c r="R330" s="80"/>
      <c r="S330" s="80"/>
      <c r="T330" s="80"/>
      <c r="U330" s="80"/>
      <c r="V330" s="84"/>
      <c r="W330" s="80"/>
      <c r="X330" s="85"/>
      <c r="Y330" s="86"/>
      <c r="Z330" s="86"/>
      <c r="AA330" s="86"/>
      <c r="AB330" s="86"/>
      <c r="AC330" s="86"/>
      <c r="AD330" s="86"/>
      <c r="AE330" s="86"/>
      <c r="AF330" s="86"/>
      <c r="AG330" s="86"/>
      <c r="AH330" s="82"/>
    </row>
    <row r="331">
      <c r="A331" s="78"/>
      <c r="B331" s="79"/>
      <c r="C331" s="80"/>
      <c r="D331" s="80"/>
      <c r="E331" s="80"/>
      <c r="F331" s="80"/>
      <c r="G331" s="80"/>
      <c r="H331" s="80"/>
      <c r="I331" s="80"/>
      <c r="J331" s="80"/>
      <c r="K331" s="82"/>
      <c r="L331" s="80"/>
      <c r="M331" s="80"/>
      <c r="N331" s="80"/>
      <c r="O331" s="80"/>
      <c r="P331" s="80"/>
      <c r="Q331" s="83"/>
      <c r="R331" s="80"/>
      <c r="S331" s="80"/>
      <c r="T331" s="80"/>
      <c r="U331" s="80"/>
      <c r="V331" s="84"/>
      <c r="W331" s="80"/>
      <c r="X331" s="85"/>
      <c r="Y331" s="86"/>
      <c r="Z331" s="86"/>
      <c r="AA331" s="86"/>
      <c r="AB331" s="86"/>
      <c r="AC331" s="86"/>
      <c r="AD331" s="86"/>
      <c r="AE331" s="86"/>
      <c r="AF331" s="86"/>
      <c r="AG331" s="86"/>
      <c r="AH331" s="82"/>
    </row>
    <row r="332">
      <c r="A332" s="78"/>
      <c r="B332" s="79"/>
      <c r="C332" s="80"/>
      <c r="D332" s="80"/>
      <c r="E332" s="80"/>
      <c r="F332" s="80"/>
      <c r="G332" s="80"/>
      <c r="H332" s="80"/>
      <c r="I332" s="80"/>
      <c r="J332" s="80"/>
      <c r="K332" s="82"/>
      <c r="L332" s="80"/>
      <c r="M332" s="80"/>
      <c r="N332" s="80"/>
      <c r="O332" s="80"/>
      <c r="P332" s="80"/>
      <c r="Q332" s="83"/>
      <c r="R332" s="80"/>
      <c r="S332" s="80"/>
      <c r="T332" s="80"/>
      <c r="U332" s="80"/>
      <c r="V332" s="84"/>
      <c r="W332" s="80"/>
      <c r="X332" s="85"/>
      <c r="Y332" s="86"/>
      <c r="Z332" s="86"/>
      <c r="AA332" s="86"/>
      <c r="AB332" s="86"/>
      <c r="AC332" s="86"/>
      <c r="AD332" s="86"/>
      <c r="AE332" s="86"/>
      <c r="AF332" s="86"/>
      <c r="AG332" s="86"/>
      <c r="AH332" s="82"/>
    </row>
    <row r="333">
      <c r="A333" s="78"/>
      <c r="B333" s="79"/>
      <c r="C333" s="80"/>
      <c r="D333" s="80"/>
      <c r="E333" s="80"/>
      <c r="F333" s="80"/>
      <c r="G333" s="80"/>
      <c r="H333" s="80"/>
      <c r="I333" s="80"/>
      <c r="J333" s="80"/>
      <c r="K333" s="82"/>
      <c r="L333" s="80"/>
      <c r="M333" s="80"/>
      <c r="N333" s="80"/>
      <c r="O333" s="80"/>
      <c r="P333" s="80"/>
      <c r="Q333" s="83"/>
      <c r="R333" s="80"/>
      <c r="S333" s="80"/>
      <c r="T333" s="80"/>
      <c r="U333" s="80"/>
      <c r="V333" s="84"/>
      <c r="W333" s="80"/>
      <c r="X333" s="85"/>
      <c r="Y333" s="86"/>
      <c r="Z333" s="86"/>
      <c r="AA333" s="86"/>
      <c r="AB333" s="86"/>
      <c r="AC333" s="86"/>
      <c r="AD333" s="86"/>
      <c r="AE333" s="86"/>
      <c r="AF333" s="86"/>
      <c r="AG333" s="86"/>
      <c r="AH333" s="82"/>
    </row>
    <row r="334">
      <c r="A334" s="78"/>
      <c r="B334" s="79"/>
      <c r="C334" s="80"/>
      <c r="D334" s="80"/>
      <c r="E334" s="80"/>
      <c r="F334" s="80"/>
      <c r="G334" s="80"/>
      <c r="H334" s="80"/>
      <c r="I334" s="80"/>
      <c r="J334" s="80"/>
      <c r="K334" s="82"/>
      <c r="L334" s="80"/>
      <c r="M334" s="80"/>
      <c r="N334" s="80"/>
      <c r="O334" s="80"/>
      <c r="P334" s="80"/>
      <c r="Q334" s="83"/>
      <c r="R334" s="80"/>
      <c r="S334" s="80"/>
      <c r="T334" s="80"/>
      <c r="U334" s="80"/>
      <c r="V334" s="84"/>
      <c r="W334" s="80"/>
      <c r="X334" s="85"/>
      <c r="Y334" s="86"/>
      <c r="Z334" s="86"/>
      <c r="AA334" s="86"/>
      <c r="AB334" s="86"/>
      <c r="AC334" s="86"/>
      <c r="AD334" s="86"/>
      <c r="AE334" s="86"/>
      <c r="AF334" s="86"/>
      <c r="AG334" s="86"/>
      <c r="AH334" s="82"/>
    </row>
    <row r="335">
      <c r="A335" s="78"/>
      <c r="B335" s="79"/>
      <c r="C335" s="80"/>
      <c r="D335" s="80"/>
      <c r="E335" s="80"/>
      <c r="F335" s="80"/>
      <c r="G335" s="80"/>
      <c r="H335" s="80"/>
      <c r="I335" s="80"/>
      <c r="J335" s="80"/>
      <c r="K335" s="82"/>
      <c r="L335" s="80"/>
      <c r="M335" s="80"/>
      <c r="N335" s="80"/>
      <c r="O335" s="80"/>
      <c r="P335" s="80"/>
      <c r="Q335" s="83"/>
      <c r="R335" s="80"/>
      <c r="S335" s="80"/>
      <c r="T335" s="80"/>
      <c r="U335" s="80"/>
      <c r="V335" s="84"/>
      <c r="W335" s="80"/>
      <c r="X335" s="85"/>
      <c r="Y335" s="86"/>
      <c r="Z335" s="86"/>
      <c r="AA335" s="86"/>
      <c r="AB335" s="86"/>
      <c r="AC335" s="86"/>
      <c r="AD335" s="86"/>
      <c r="AE335" s="86"/>
      <c r="AF335" s="86"/>
      <c r="AG335" s="86"/>
      <c r="AH335" s="82"/>
    </row>
    <row r="336">
      <c r="A336" s="78"/>
      <c r="B336" s="79"/>
      <c r="C336" s="80"/>
      <c r="D336" s="80"/>
      <c r="E336" s="80"/>
      <c r="F336" s="80"/>
      <c r="G336" s="80"/>
      <c r="H336" s="80"/>
      <c r="I336" s="80"/>
      <c r="J336" s="80"/>
      <c r="K336" s="82"/>
      <c r="L336" s="80"/>
      <c r="M336" s="80"/>
      <c r="N336" s="80"/>
      <c r="O336" s="80"/>
      <c r="P336" s="80"/>
      <c r="Q336" s="83"/>
      <c r="R336" s="80"/>
      <c r="S336" s="80"/>
      <c r="T336" s="80"/>
      <c r="U336" s="80"/>
      <c r="V336" s="84"/>
      <c r="W336" s="80"/>
      <c r="X336" s="85"/>
      <c r="Y336" s="86"/>
      <c r="Z336" s="86"/>
      <c r="AA336" s="86"/>
      <c r="AB336" s="86"/>
      <c r="AC336" s="86"/>
      <c r="AD336" s="86"/>
      <c r="AE336" s="86"/>
      <c r="AF336" s="86"/>
      <c r="AG336" s="86"/>
      <c r="AH336" s="82"/>
    </row>
    <row r="337">
      <c r="A337" s="78"/>
      <c r="B337" s="79"/>
      <c r="C337" s="80"/>
      <c r="D337" s="80"/>
      <c r="E337" s="80"/>
      <c r="F337" s="80"/>
      <c r="G337" s="80"/>
      <c r="H337" s="80"/>
      <c r="I337" s="80"/>
      <c r="J337" s="80"/>
      <c r="K337" s="82"/>
      <c r="L337" s="80"/>
      <c r="M337" s="80"/>
      <c r="N337" s="80"/>
      <c r="O337" s="80"/>
      <c r="P337" s="80"/>
      <c r="Q337" s="83"/>
      <c r="R337" s="80"/>
      <c r="S337" s="80"/>
      <c r="T337" s="80"/>
      <c r="U337" s="80"/>
      <c r="V337" s="84"/>
      <c r="W337" s="80"/>
      <c r="X337" s="85"/>
      <c r="Y337" s="86"/>
      <c r="Z337" s="86"/>
      <c r="AA337" s="86"/>
      <c r="AB337" s="86"/>
      <c r="AC337" s="86"/>
      <c r="AD337" s="86"/>
      <c r="AE337" s="86"/>
      <c r="AF337" s="86"/>
      <c r="AG337" s="86"/>
      <c r="AH337" s="82"/>
    </row>
    <row r="338">
      <c r="A338" s="78"/>
      <c r="B338" s="79"/>
      <c r="C338" s="80"/>
      <c r="D338" s="80"/>
      <c r="E338" s="80"/>
      <c r="F338" s="80"/>
      <c r="G338" s="80"/>
      <c r="H338" s="80"/>
      <c r="I338" s="80"/>
      <c r="J338" s="80"/>
      <c r="K338" s="82"/>
      <c r="L338" s="80"/>
      <c r="M338" s="80"/>
      <c r="N338" s="80"/>
      <c r="O338" s="80"/>
      <c r="P338" s="80"/>
      <c r="Q338" s="83"/>
      <c r="R338" s="80"/>
      <c r="S338" s="80"/>
      <c r="T338" s="80"/>
      <c r="U338" s="80"/>
      <c r="V338" s="84"/>
      <c r="W338" s="80"/>
      <c r="X338" s="85"/>
      <c r="Y338" s="86"/>
      <c r="Z338" s="86"/>
      <c r="AA338" s="86"/>
      <c r="AB338" s="86"/>
      <c r="AC338" s="86"/>
      <c r="AD338" s="86"/>
      <c r="AE338" s="86"/>
      <c r="AF338" s="86"/>
      <c r="AG338" s="86"/>
      <c r="AH338" s="82"/>
    </row>
    <row r="339">
      <c r="A339" s="78"/>
      <c r="B339" s="79"/>
      <c r="C339" s="80"/>
      <c r="D339" s="80"/>
      <c r="E339" s="80"/>
      <c r="F339" s="80"/>
      <c r="G339" s="80"/>
      <c r="H339" s="80"/>
      <c r="I339" s="80"/>
      <c r="J339" s="80"/>
      <c r="K339" s="82"/>
      <c r="L339" s="80"/>
      <c r="M339" s="80"/>
      <c r="N339" s="80"/>
      <c r="O339" s="80"/>
      <c r="P339" s="80"/>
      <c r="Q339" s="83"/>
      <c r="R339" s="80"/>
      <c r="S339" s="80"/>
      <c r="T339" s="80"/>
      <c r="U339" s="80"/>
      <c r="V339" s="84"/>
      <c r="W339" s="80"/>
      <c r="X339" s="85"/>
      <c r="Y339" s="86"/>
      <c r="Z339" s="86"/>
      <c r="AA339" s="86"/>
      <c r="AB339" s="86"/>
      <c r="AC339" s="86"/>
      <c r="AD339" s="86"/>
      <c r="AE339" s="86"/>
      <c r="AF339" s="86"/>
      <c r="AG339" s="86"/>
      <c r="AH339" s="82"/>
    </row>
    <row r="340">
      <c r="A340" s="78"/>
      <c r="B340" s="79"/>
      <c r="C340" s="80"/>
      <c r="D340" s="80"/>
      <c r="E340" s="80"/>
      <c r="F340" s="80"/>
      <c r="G340" s="80"/>
      <c r="H340" s="80"/>
      <c r="I340" s="80"/>
      <c r="J340" s="80"/>
      <c r="K340" s="82"/>
      <c r="L340" s="80"/>
      <c r="M340" s="80"/>
      <c r="N340" s="80"/>
      <c r="O340" s="80"/>
      <c r="P340" s="80"/>
      <c r="Q340" s="83"/>
      <c r="R340" s="80"/>
      <c r="S340" s="80"/>
      <c r="T340" s="80"/>
      <c r="U340" s="80"/>
      <c r="V340" s="84"/>
      <c r="W340" s="80"/>
      <c r="X340" s="85"/>
      <c r="Y340" s="86"/>
      <c r="Z340" s="86"/>
      <c r="AA340" s="86"/>
      <c r="AB340" s="86"/>
      <c r="AC340" s="86"/>
      <c r="AD340" s="86"/>
      <c r="AE340" s="86"/>
      <c r="AF340" s="86"/>
      <c r="AG340" s="86"/>
      <c r="AH340" s="82"/>
    </row>
    <row r="341">
      <c r="A341" s="78"/>
      <c r="B341" s="79"/>
      <c r="C341" s="80"/>
      <c r="D341" s="80"/>
      <c r="E341" s="80"/>
      <c r="F341" s="80"/>
      <c r="G341" s="80"/>
      <c r="H341" s="80"/>
      <c r="I341" s="80"/>
      <c r="J341" s="80"/>
      <c r="K341" s="82"/>
      <c r="L341" s="80"/>
      <c r="M341" s="80"/>
      <c r="N341" s="80"/>
      <c r="O341" s="80"/>
      <c r="P341" s="80"/>
      <c r="Q341" s="83"/>
      <c r="R341" s="80"/>
      <c r="S341" s="80"/>
      <c r="T341" s="80"/>
      <c r="U341" s="80"/>
      <c r="V341" s="84"/>
      <c r="W341" s="80"/>
      <c r="X341" s="85"/>
      <c r="Y341" s="86"/>
      <c r="Z341" s="86"/>
      <c r="AA341" s="86"/>
      <c r="AB341" s="86"/>
      <c r="AC341" s="86"/>
      <c r="AD341" s="86"/>
      <c r="AE341" s="86"/>
      <c r="AF341" s="86"/>
      <c r="AG341" s="86"/>
      <c r="AH341" s="82"/>
    </row>
    <row r="342">
      <c r="A342" s="78"/>
      <c r="B342" s="79"/>
      <c r="C342" s="80"/>
      <c r="D342" s="80"/>
      <c r="E342" s="80"/>
      <c r="F342" s="80"/>
      <c r="G342" s="80"/>
      <c r="H342" s="80"/>
      <c r="I342" s="80"/>
      <c r="J342" s="80"/>
      <c r="K342" s="82"/>
      <c r="L342" s="80"/>
      <c r="M342" s="80"/>
      <c r="N342" s="80"/>
      <c r="O342" s="80"/>
      <c r="P342" s="80"/>
      <c r="Q342" s="83"/>
      <c r="R342" s="80"/>
      <c r="S342" s="80"/>
      <c r="T342" s="80"/>
      <c r="U342" s="80"/>
      <c r="V342" s="84"/>
      <c r="W342" s="80"/>
      <c r="X342" s="85"/>
      <c r="Y342" s="86"/>
      <c r="Z342" s="86"/>
      <c r="AA342" s="86"/>
      <c r="AB342" s="86"/>
      <c r="AC342" s="86"/>
      <c r="AD342" s="86"/>
      <c r="AE342" s="86"/>
      <c r="AF342" s="86"/>
      <c r="AG342" s="86"/>
      <c r="AH342" s="82"/>
    </row>
    <row r="343">
      <c r="A343" s="78"/>
      <c r="B343" s="79"/>
      <c r="C343" s="80"/>
      <c r="D343" s="80"/>
      <c r="E343" s="80"/>
      <c r="F343" s="80"/>
      <c r="G343" s="80"/>
      <c r="H343" s="80"/>
      <c r="I343" s="80"/>
      <c r="J343" s="80"/>
      <c r="K343" s="82"/>
      <c r="L343" s="80"/>
      <c r="M343" s="80"/>
      <c r="N343" s="80"/>
      <c r="O343" s="80"/>
      <c r="P343" s="80"/>
      <c r="Q343" s="83"/>
      <c r="R343" s="80"/>
      <c r="S343" s="80"/>
      <c r="T343" s="80"/>
      <c r="U343" s="80"/>
      <c r="V343" s="84"/>
      <c r="W343" s="80"/>
      <c r="X343" s="85"/>
      <c r="Y343" s="86"/>
      <c r="Z343" s="86"/>
      <c r="AA343" s="86"/>
      <c r="AB343" s="86"/>
      <c r="AC343" s="86"/>
      <c r="AD343" s="86"/>
      <c r="AE343" s="86"/>
      <c r="AF343" s="86"/>
      <c r="AG343" s="86"/>
      <c r="AH343" s="82"/>
    </row>
    <row r="344">
      <c r="A344" s="78"/>
      <c r="B344" s="79"/>
      <c r="C344" s="80"/>
      <c r="D344" s="80"/>
      <c r="E344" s="80"/>
      <c r="F344" s="80"/>
      <c r="G344" s="80"/>
      <c r="H344" s="80"/>
      <c r="I344" s="80"/>
      <c r="J344" s="80"/>
      <c r="K344" s="82"/>
      <c r="L344" s="80"/>
      <c r="M344" s="80"/>
      <c r="N344" s="80"/>
      <c r="O344" s="80"/>
      <c r="P344" s="80"/>
      <c r="Q344" s="83"/>
      <c r="R344" s="80"/>
      <c r="S344" s="80"/>
      <c r="T344" s="80"/>
      <c r="U344" s="80"/>
      <c r="V344" s="84"/>
      <c r="W344" s="80"/>
      <c r="X344" s="85"/>
      <c r="Y344" s="86"/>
      <c r="Z344" s="86"/>
      <c r="AA344" s="86"/>
      <c r="AB344" s="86"/>
      <c r="AC344" s="86"/>
      <c r="AD344" s="86"/>
      <c r="AE344" s="86"/>
      <c r="AF344" s="86"/>
      <c r="AG344" s="86"/>
      <c r="AH344" s="82"/>
    </row>
    <row r="345">
      <c r="A345" s="78"/>
      <c r="B345" s="79"/>
      <c r="C345" s="80"/>
      <c r="D345" s="80"/>
      <c r="E345" s="80"/>
      <c r="F345" s="80"/>
      <c r="G345" s="80"/>
      <c r="H345" s="80"/>
      <c r="I345" s="80"/>
      <c r="J345" s="80"/>
      <c r="K345" s="82"/>
      <c r="L345" s="80"/>
      <c r="M345" s="80"/>
      <c r="N345" s="80"/>
      <c r="O345" s="80"/>
      <c r="P345" s="80"/>
      <c r="Q345" s="83"/>
      <c r="R345" s="80"/>
      <c r="S345" s="80"/>
      <c r="T345" s="80"/>
      <c r="U345" s="80"/>
      <c r="V345" s="84"/>
      <c r="W345" s="80"/>
      <c r="X345" s="85"/>
      <c r="Y345" s="86"/>
      <c r="Z345" s="86"/>
      <c r="AA345" s="86"/>
      <c r="AB345" s="86"/>
      <c r="AC345" s="86"/>
      <c r="AD345" s="86"/>
      <c r="AE345" s="86"/>
      <c r="AF345" s="86"/>
      <c r="AG345" s="86"/>
      <c r="AH345" s="82"/>
    </row>
    <row r="346">
      <c r="A346" s="78"/>
      <c r="B346" s="79"/>
      <c r="C346" s="80"/>
      <c r="D346" s="80"/>
      <c r="E346" s="80"/>
      <c r="F346" s="80"/>
      <c r="G346" s="80"/>
      <c r="H346" s="80"/>
      <c r="I346" s="80"/>
      <c r="J346" s="80"/>
      <c r="K346" s="82"/>
      <c r="L346" s="80"/>
      <c r="M346" s="80"/>
      <c r="N346" s="80"/>
      <c r="O346" s="80"/>
      <c r="P346" s="80"/>
      <c r="Q346" s="83"/>
      <c r="R346" s="80"/>
      <c r="S346" s="80"/>
      <c r="T346" s="80"/>
      <c r="U346" s="80"/>
      <c r="V346" s="84"/>
      <c r="W346" s="80"/>
      <c r="X346" s="85"/>
      <c r="Y346" s="86"/>
      <c r="Z346" s="86"/>
      <c r="AA346" s="86"/>
      <c r="AB346" s="86"/>
      <c r="AC346" s="86"/>
      <c r="AD346" s="86"/>
      <c r="AE346" s="86"/>
      <c r="AF346" s="86"/>
      <c r="AG346" s="86"/>
      <c r="AH346" s="82"/>
    </row>
    <row r="347">
      <c r="A347" s="78"/>
      <c r="B347" s="79"/>
      <c r="C347" s="80"/>
      <c r="D347" s="80"/>
      <c r="E347" s="80"/>
      <c r="F347" s="80"/>
      <c r="G347" s="80"/>
      <c r="H347" s="80"/>
      <c r="I347" s="80"/>
      <c r="J347" s="80"/>
      <c r="K347" s="82"/>
      <c r="L347" s="80"/>
      <c r="M347" s="80"/>
      <c r="N347" s="80"/>
      <c r="O347" s="80"/>
      <c r="P347" s="80"/>
      <c r="Q347" s="83"/>
      <c r="R347" s="80"/>
      <c r="S347" s="80"/>
      <c r="T347" s="80"/>
      <c r="U347" s="80"/>
      <c r="V347" s="84"/>
      <c r="W347" s="80"/>
      <c r="X347" s="85"/>
      <c r="Y347" s="86"/>
      <c r="Z347" s="86"/>
      <c r="AA347" s="86"/>
      <c r="AB347" s="86"/>
      <c r="AC347" s="86"/>
      <c r="AD347" s="86"/>
      <c r="AE347" s="86"/>
      <c r="AF347" s="86"/>
      <c r="AG347" s="86"/>
      <c r="AH347" s="82"/>
    </row>
    <row r="348">
      <c r="A348" s="78"/>
      <c r="B348" s="79"/>
      <c r="C348" s="80"/>
      <c r="D348" s="80"/>
      <c r="E348" s="80"/>
      <c r="F348" s="80"/>
      <c r="G348" s="80"/>
      <c r="H348" s="80"/>
      <c r="I348" s="80"/>
      <c r="J348" s="80"/>
      <c r="K348" s="82"/>
      <c r="L348" s="80"/>
      <c r="M348" s="80"/>
      <c r="N348" s="80"/>
      <c r="O348" s="80"/>
      <c r="P348" s="80"/>
      <c r="Q348" s="83"/>
      <c r="R348" s="80"/>
      <c r="S348" s="80"/>
      <c r="T348" s="80"/>
      <c r="U348" s="80"/>
      <c r="V348" s="84"/>
      <c r="W348" s="80"/>
      <c r="X348" s="85"/>
      <c r="Y348" s="86"/>
      <c r="Z348" s="86"/>
      <c r="AA348" s="86"/>
      <c r="AB348" s="86"/>
      <c r="AC348" s="86"/>
      <c r="AD348" s="86"/>
      <c r="AE348" s="86"/>
      <c r="AF348" s="86"/>
      <c r="AG348" s="86"/>
      <c r="AH348" s="82"/>
    </row>
    <row r="349">
      <c r="A349" s="78"/>
      <c r="B349" s="79"/>
      <c r="C349" s="80"/>
      <c r="D349" s="80"/>
      <c r="E349" s="80"/>
      <c r="F349" s="80"/>
      <c r="G349" s="80"/>
      <c r="H349" s="80"/>
      <c r="I349" s="80"/>
      <c r="J349" s="80"/>
      <c r="K349" s="82"/>
      <c r="L349" s="80"/>
      <c r="M349" s="80"/>
      <c r="N349" s="80"/>
      <c r="O349" s="80"/>
      <c r="P349" s="80"/>
      <c r="Q349" s="83"/>
      <c r="R349" s="80"/>
      <c r="S349" s="80"/>
      <c r="T349" s="80"/>
      <c r="U349" s="80"/>
      <c r="V349" s="84"/>
      <c r="W349" s="80"/>
      <c r="X349" s="85"/>
      <c r="Y349" s="86"/>
      <c r="Z349" s="86"/>
      <c r="AA349" s="86"/>
      <c r="AB349" s="86"/>
      <c r="AC349" s="86"/>
      <c r="AD349" s="86"/>
      <c r="AE349" s="86"/>
      <c r="AF349" s="86"/>
      <c r="AG349" s="86"/>
      <c r="AH349" s="82"/>
    </row>
    <row r="350">
      <c r="A350" s="78"/>
      <c r="B350" s="79"/>
      <c r="C350" s="80"/>
      <c r="D350" s="80"/>
      <c r="E350" s="80"/>
      <c r="F350" s="80"/>
      <c r="G350" s="80"/>
      <c r="H350" s="80"/>
      <c r="I350" s="80"/>
      <c r="J350" s="80"/>
      <c r="K350" s="82"/>
      <c r="L350" s="80"/>
      <c r="M350" s="80"/>
      <c r="N350" s="80"/>
      <c r="O350" s="80"/>
      <c r="P350" s="80"/>
      <c r="Q350" s="83"/>
      <c r="R350" s="80"/>
      <c r="S350" s="80"/>
      <c r="T350" s="80"/>
      <c r="U350" s="80"/>
      <c r="V350" s="84"/>
      <c r="W350" s="80"/>
      <c r="X350" s="85"/>
      <c r="Y350" s="86"/>
      <c r="Z350" s="86"/>
      <c r="AA350" s="86"/>
      <c r="AB350" s="86"/>
      <c r="AC350" s="86"/>
      <c r="AD350" s="86"/>
      <c r="AE350" s="86"/>
      <c r="AF350" s="86"/>
      <c r="AG350" s="86"/>
      <c r="AH350" s="82"/>
    </row>
    <row r="351">
      <c r="A351" s="78"/>
      <c r="B351" s="79"/>
      <c r="C351" s="80"/>
      <c r="D351" s="80"/>
      <c r="E351" s="80"/>
      <c r="F351" s="80"/>
      <c r="G351" s="80"/>
      <c r="H351" s="80"/>
      <c r="I351" s="80"/>
      <c r="J351" s="80"/>
      <c r="K351" s="82"/>
      <c r="L351" s="80"/>
      <c r="M351" s="80"/>
      <c r="N351" s="80"/>
      <c r="O351" s="80"/>
      <c r="P351" s="80"/>
      <c r="Q351" s="83"/>
      <c r="R351" s="80"/>
      <c r="S351" s="80"/>
      <c r="T351" s="80"/>
      <c r="U351" s="80"/>
      <c r="V351" s="84"/>
      <c r="W351" s="80"/>
      <c r="X351" s="85"/>
      <c r="Y351" s="86"/>
      <c r="Z351" s="86"/>
      <c r="AA351" s="86"/>
      <c r="AB351" s="86"/>
      <c r="AC351" s="86"/>
      <c r="AD351" s="86"/>
      <c r="AE351" s="86"/>
      <c r="AF351" s="86"/>
      <c r="AG351" s="86"/>
      <c r="AH351" s="82"/>
    </row>
    <row r="352">
      <c r="A352" s="78"/>
      <c r="B352" s="79"/>
      <c r="C352" s="80"/>
      <c r="D352" s="80"/>
      <c r="E352" s="80"/>
      <c r="F352" s="80"/>
      <c r="G352" s="80"/>
      <c r="H352" s="80"/>
      <c r="I352" s="80"/>
      <c r="J352" s="80"/>
      <c r="K352" s="82"/>
      <c r="L352" s="80"/>
      <c r="M352" s="80"/>
      <c r="N352" s="80"/>
      <c r="O352" s="80"/>
      <c r="P352" s="80"/>
      <c r="Q352" s="83"/>
      <c r="R352" s="80"/>
      <c r="S352" s="80"/>
      <c r="T352" s="80"/>
      <c r="U352" s="80"/>
      <c r="V352" s="84"/>
      <c r="W352" s="80"/>
      <c r="X352" s="85"/>
      <c r="Y352" s="86"/>
      <c r="Z352" s="86"/>
      <c r="AA352" s="86"/>
      <c r="AB352" s="86"/>
      <c r="AC352" s="86"/>
      <c r="AD352" s="86"/>
      <c r="AE352" s="86"/>
      <c r="AF352" s="86"/>
      <c r="AG352" s="86"/>
      <c r="AH352" s="82"/>
    </row>
    <row r="353">
      <c r="A353" s="78"/>
      <c r="B353" s="79"/>
      <c r="C353" s="80"/>
      <c r="D353" s="80"/>
      <c r="E353" s="80"/>
      <c r="F353" s="80"/>
      <c r="G353" s="80"/>
      <c r="H353" s="80"/>
      <c r="I353" s="80"/>
      <c r="J353" s="80"/>
      <c r="K353" s="82"/>
      <c r="L353" s="80"/>
      <c r="M353" s="80"/>
      <c r="N353" s="80"/>
      <c r="O353" s="80"/>
      <c r="P353" s="80"/>
      <c r="Q353" s="83"/>
      <c r="R353" s="80"/>
      <c r="S353" s="80"/>
      <c r="T353" s="80"/>
      <c r="U353" s="80"/>
      <c r="V353" s="84"/>
      <c r="W353" s="80"/>
      <c r="X353" s="85"/>
      <c r="Y353" s="86"/>
      <c r="Z353" s="86"/>
      <c r="AA353" s="86"/>
      <c r="AB353" s="86"/>
      <c r="AC353" s="86"/>
      <c r="AD353" s="86"/>
      <c r="AE353" s="86"/>
      <c r="AF353" s="86"/>
      <c r="AG353" s="86"/>
      <c r="AH353" s="82"/>
    </row>
    <row r="354">
      <c r="A354" s="78"/>
      <c r="B354" s="79"/>
      <c r="C354" s="80"/>
      <c r="D354" s="80"/>
      <c r="E354" s="80"/>
      <c r="F354" s="80"/>
      <c r="G354" s="80"/>
      <c r="H354" s="80"/>
      <c r="I354" s="80"/>
      <c r="J354" s="80"/>
      <c r="K354" s="82"/>
      <c r="L354" s="80"/>
      <c r="M354" s="80"/>
      <c r="N354" s="80"/>
      <c r="O354" s="80"/>
      <c r="P354" s="80"/>
      <c r="Q354" s="83"/>
      <c r="R354" s="80"/>
      <c r="S354" s="80"/>
      <c r="T354" s="80"/>
      <c r="U354" s="80"/>
      <c r="V354" s="84"/>
      <c r="W354" s="80"/>
      <c r="X354" s="85"/>
      <c r="Y354" s="86"/>
      <c r="Z354" s="86"/>
      <c r="AA354" s="86"/>
      <c r="AB354" s="86"/>
      <c r="AC354" s="86"/>
      <c r="AD354" s="86"/>
      <c r="AE354" s="86"/>
      <c r="AF354" s="86"/>
      <c r="AG354" s="86"/>
      <c r="AH354" s="82"/>
    </row>
    <row r="355">
      <c r="A355" s="78"/>
      <c r="B355" s="79"/>
      <c r="C355" s="80"/>
      <c r="D355" s="80"/>
      <c r="E355" s="80"/>
      <c r="F355" s="80"/>
      <c r="G355" s="80"/>
      <c r="H355" s="80"/>
      <c r="I355" s="80"/>
      <c r="J355" s="80"/>
      <c r="K355" s="82"/>
      <c r="L355" s="80"/>
      <c r="M355" s="80"/>
      <c r="N355" s="80"/>
      <c r="O355" s="80"/>
      <c r="P355" s="80"/>
      <c r="Q355" s="83"/>
      <c r="R355" s="80"/>
      <c r="S355" s="80"/>
      <c r="T355" s="80"/>
      <c r="U355" s="80"/>
      <c r="V355" s="84"/>
      <c r="W355" s="80"/>
      <c r="X355" s="85"/>
      <c r="Y355" s="86"/>
      <c r="Z355" s="86"/>
      <c r="AA355" s="86"/>
      <c r="AB355" s="86"/>
      <c r="AC355" s="86"/>
      <c r="AD355" s="86"/>
      <c r="AE355" s="86"/>
      <c r="AF355" s="86"/>
      <c r="AG355" s="86"/>
      <c r="AH355" s="82"/>
    </row>
    <row r="356">
      <c r="A356" s="78"/>
      <c r="B356" s="79"/>
      <c r="C356" s="80"/>
      <c r="D356" s="80"/>
      <c r="E356" s="80"/>
      <c r="F356" s="80"/>
      <c r="G356" s="80"/>
      <c r="H356" s="80"/>
      <c r="I356" s="80"/>
      <c r="J356" s="80"/>
      <c r="K356" s="82"/>
      <c r="L356" s="80"/>
      <c r="M356" s="80"/>
      <c r="N356" s="80"/>
      <c r="O356" s="80"/>
      <c r="P356" s="80"/>
      <c r="Q356" s="83"/>
      <c r="R356" s="80"/>
      <c r="S356" s="80"/>
      <c r="T356" s="80"/>
      <c r="U356" s="80"/>
      <c r="V356" s="84"/>
      <c r="W356" s="80"/>
      <c r="X356" s="85"/>
      <c r="Y356" s="86"/>
      <c r="Z356" s="86"/>
      <c r="AA356" s="86"/>
      <c r="AB356" s="86"/>
      <c r="AC356" s="86"/>
      <c r="AD356" s="86"/>
      <c r="AE356" s="86"/>
      <c r="AF356" s="86"/>
      <c r="AG356" s="86"/>
      <c r="AH356" s="82"/>
    </row>
    <row r="357">
      <c r="A357" s="78"/>
      <c r="B357" s="79"/>
      <c r="C357" s="80"/>
      <c r="D357" s="80"/>
      <c r="E357" s="80"/>
      <c r="F357" s="80"/>
      <c r="G357" s="80"/>
      <c r="H357" s="80"/>
      <c r="I357" s="80"/>
      <c r="J357" s="80"/>
      <c r="K357" s="82"/>
      <c r="L357" s="80"/>
      <c r="M357" s="80"/>
      <c r="N357" s="80"/>
      <c r="O357" s="80"/>
      <c r="P357" s="80"/>
      <c r="Q357" s="83"/>
      <c r="R357" s="80"/>
      <c r="S357" s="80"/>
      <c r="T357" s="80"/>
      <c r="U357" s="80"/>
      <c r="V357" s="84"/>
      <c r="W357" s="80"/>
      <c r="X357" s="85"/>
      <c r="Y357" s="86"/>
      <c r="Z357" s="86"/>
      <c r="AA357" s="86"/>
      <c r="AB357" s="86"/>
      <c r="AC357" s="86"/>
      <c r="AD357" s="86"/>
      <c r="AE357" s="86"/>
      <c r="AF357" s="86"/>
      <c r="AG357" s="86"/>
      <c r="AH357" s="82"/>
    </row>
    <row r="358">
      <c r="A358" s="78"/>
      <c r="B358" s="79"/>
      <c r="C358" s="80"/>
      <c r="D358" s="80"/>
      <c r="E358" s="80"/>
      <c r="F358" s="80"/>
      <c r="G358" s="80"/>
      <c r="H358" s="80"/>
      <c r="I358" s="80"/>
      <c r="J358" s="80"/>
      <c r="K358" s="82"/>
      <c r="L358" s="80"/>
      <c r="M358" s="80"/>
      <c r="N358" s="80"/>
      <c r="O358" s="80"/>
      <c r="P358" s="80"/>
      <c r="Q358" s="83"/>
      <c r="R358" s="80"/>
      <c r="S358" s="80"/>
      <c r="T358" s="80"/>
      <c r="U358" s="80"/>
      <c r="V358" s="84"/>
      <c r="W358" s="80"/>
      <c r="X358" s="85"/>
      <c r="Y358" s="86"/>
      <c r="Z358" s="86"/>
      <c r="AA358" s="86"/>
      <c r="AB358" s="86"/>
      <c r="AC358" s="86"/>
      <c r="AD358" s="86"/>
      <c r="AE358" s="86"/>
      <c r="AF358" s="86"/>
      <c r="AG358" s="86"/>
      <c r="AH358" s="82"/>
    </row>
    <row r="359">
      <c r="A359" s="78"/>
      <c r="B359" s="79"/>
      <c r="C359" s="80"/>
      <c r="D359" s="80"/>
      <c r="E359" s="80"/>
      <c r="F359" s="80"/>
      <c r="G359" s="80"/>
      <c r="H359" s="80"/>
      <c r="I359" s="80"/>
      <c r="J359" s="80"/>
      <c r="K359" s="82"/>
      <c r="L359" s="80"/>
      <c r="M359" s="80"/>
      <c r="N359" s="80"/>
      <c r="O359" s="80"/>
      <c r="P359" s="80"/>
      <c r="Q359" s="83"/>
      <c r="R359" s="80"/>
      <c r="S359" s="80"/>
      <c r="T359" s="80"/>
      <c r="U359" s="80"/>
      <c r="V359" s="84"/>
      <c r="W359" s="80"/>
      <c r="X359" s="85"/>
      <c r="Y359" s="86"/>
      <c r="Z359" s="86"/>
      <c r="AA359" s="86"/>
      <c r="AB359" s="86"/>
      <c r="AC359" s="86"/>
      <c r="AD359" s="86"/>
      <c r="AE359" s="86"/>
      <c r="AF359" s="86"/>
      <c r="AG359" s="86"/>
      <c r="AH359" s="82"/>
    </row>
    <row r="360">
      <c r="A360" s="78"/>
      <c r="B360" s="79"/>
      <c r="C360" s="80"/>
      <c r="D360" s="80"/>
      <c r="E360" s="80"/>
      <c r="F360" s="80"/>
      <c r="G360" s="80"/>
      <c r="H360" s="80"/>
      <c r="I360" s="80"/>
      <c r="J360" s="80"/>
      <c r="K360" s="82"/>
      <c r="L360" s="80"/>
      <c r="M360" s="80"/>
      <c r="N360" s="80"/>
      <c r="O360" s="80"/>
      <c r="P360" s="80"/>
      <c r="Q360" s="83"/>
      <c r="R360" s="80"/>
      <c r="S360" s="80"/>
      <c r="T360" s="80"/>
      <c r="U360" s="80"/>
      <c r="V360" s="84"/>
      <c r="W360" s="80"/>
      <c r="X360" s="85"/>
      <c r="Y360" s="86"/>
      <c r="Z360" s="86"/>
      <c r="AA360" s="86"/>
      <c r="AB360" s="86"/>
      <c r="AC360" s="86"/>
      <c r="AD360" s="86"/>
      <c r="AE360" s="86"/>
      <c r="AF360" s="86"/>
      <c r="AG360" s="86"/>
      <c r="AH360" s="82"/>
    </row>
    <row r="361">
      <c r="A361" s="78"/>
      <c r="B361" s="79"/>
      <c r="C361" s="80"/>
      <c r="D361" s="80"/>
      <c r="E361" s="80"/>
      <c r="F361" s="80"/>
      <c r="G361" s="80"/>
      <c r="H361" s="80"/>
      <c r="I361" s="80"/>
      <c r="J361" s="80"/>
      <c r="K361" s="82"/>
      <c r="L361" s="80"/>
      <c r="M361" s="80"/>
      <c r="N361" s="80"/>
      <c r="O361" s="80"/>
      <c r="P361" s="80"/>
      <c r="Q361" s="83"/>
      <c r="R361" s="80"/>
      <c r="S361" s="80"/>
      <c r="T361" s="80"/>
      <c r="U361" s="80"/>
      <c r="V361" s="84"/>
      <c r="W361" s="80"/>
      <c r="X361" s="85"/>
      <c r="Y361" s="86"/>
      <c r="Z361" s="86"/>
      <c r="AA361" s="86"/>
      <c r="AB361" s="86"/>
      <c r="AC361" s="86"/>
      <c r="AD361" s="86"/>
      <c r="AE361" s="86"/>
      <c r="AF361" s="86"/>
      <c r="AG361" s="86"/>
      <c r="AH361" s="82"/>
    </row>
    <row r="362">
      <c r="A362" s="78"/>
      <c r="B362" s="79"/>
      <c r="C362" s="80"/>
      <c r="D362" s="80"/>
      <c r="E362" s="80"/>
      <c r="F362" s="80"/>
      <c r="G362" s="80"/>
      <c r="H362" s="80"/>
      <c r="I362" s="80"/>
      <c r="J362" s="80"/>
      <c r="K362" s="82"/>
      <c r="L362" s="80"/>
      <c r="M362" s="80"/>
      <c r="N362" s="80"/>
      <c r="O362" s="80"/>
      <c r="P362" s="80"/>
      <c r="Q362" s="83"/>
      <c r="R362" s="80"/>
      <c r="S362" s="80"/>
      <c r="T362" s="80"/>
      <c r="U362" s="80"/>
      <c r="V362" s="84"/>
      <c r="W362" s="80"/>
      <c r="X362" s="85"/>
      <c r="Y362" s="86"/>
      <c r="Z362" s="86"/>
      <c r="AA362" s="86"/>
      <c r="AB362" s="86"/>
      <c r="AC362" s="86"/>
      <c r="AD362" s="86"/>
      <c r="AE362" s="86"/>
      <c r="AF362" s="86"/>
      <c r="AG362" s="86"/>
      <c r="AH362" s="82"/>
    </row>
    <row r="363">
      <c r="A363" s="78"/>
      <c r="B363" s="79"/>
      <c r="C363" s="80"/>
      <c r="D363" s="80"/>
      <c r="E363" s="80"/>
      <c r="F363" s="80"/>
      <c r="G363" s="80"/>
      <c r="H363" s="80"/>
      <c r="I363" s="80"/>
      <c r="J363" s="80"/>
      <c r="K363" s="82"/>
      <c r="L363" s="80"/>
      <c r="M363" s="80"/>
      <c r="N363" s="80"/>
      <c r="O363" s="80"/>
      <c r="P363" s="80"/>
      <c r="Q363" s="83"/>
      <c r="R363" s="80"/>
      <c r="S363" s="80"/>
      <c r="T363" s="80"/>
      <c r="U363" s="80"/>
      <c r="V363" s="84"/>
      <c r="W363" s="80"/>
      <c r="X363" s="85"/>
      <c r="Y363" s="86"/>
      <c r="Z363" s="86"/>
      <c r="AA363" s="86"/>
      <c r="AB363" s="86"/>
      <c r="AC363" s="86"/>
      <c r="AD363" s="86"/>
      <c r="AE363" s="86"/>
      <c r="AF363" s="86"/>
      <c r="AG363" s="86"/>
      <c r="AH363" s="82"/>
    </row>
    <row r="364">
      <c r="A364" s="78"/>
      <c r="B364" s="79"/>
      <c r="C364" s="80"/>
      <c r="D364" s="80"/>
      <c r="E364" s="80"/>
      <c r="F364" s="80"/>
      <c r="G364" s="80"/>
      <c r="H364" s="80"/>
      <c r="I364" s="80"/>
      <c r="J364" s="80"/>
      <c r="K364" s="82"/>
      <c r="L364" s="80"/>
      <c r="M364" s="80"/>
      <c r="N364" s="80"/>
      <c r="O364" s="80"/>
      <c r="P364" s="80"/>
      <c r="Q364" s="83"/>
      <c r="R364" s="80"/>
      <c r="S364" s="80"/>
      <c r="T364" s="80"/>
      <c r="U364" s="80"/>
      <c r="V364" s="84"/>
      <c r="W364" s="80"/>
      <c r="X364" s="85"/>
      <c r="Y364" s="86"/>
      <c r="Z364" s="86"/>
      <c r="AA364" s="86"/>
      <c r="AB364" s="86"/>
      <c r="AC364" s="86"/>
      <c r="AD364" s="86"/>
      <c r="AE364" s="86"/>
      <c r="AF364" s="86"/>
      <c r="AG364" s="86"/>
      <c r="AH364" s="82"/>
    </row>
    <row r="365">
      <c r="A365" s="78"/>
      <c r="B365" s="79"/>
      <c r="C365" s="80"/>
      <c r="D365" s="80"/>
      <c r="E365" s="80"/>
      <c r="F365" s="80"/>
      <c r="G365" s="80"/>
      <c r="H365" s="80"/>
      <c r="I365" s="80"/>
      <c r="J365" s="80"/>
      <c r="K365" s="82"/>
      <c r="L365" s="80"/>
      <c r="M365" s="80"/>
      <c r="N365" s="80"/>
      <c r="O365" s="80"/>
      <c r="P365" s="80"/>
      <c r="Q365" s="83"/>
      <c r="R365" s="80"/>
      <c r="S365" s="80"/>
      <c r="T365" s="80"/>
      <c r="U365" s="80"/>
      <c r="V365" s="84"/>
      <c r="W365" s="80"/>
      <c r="X365" s="85"/>
      <c r="Y365" s="86"/>
      <c r="Z365" s="86"/>
      <c r="AA365" s="86"/>
      <c r="AB365" s="86"/>
      <c r="AC365" s="86"/>
      <c r="AD365" s="86"/>
      <c r="AE365" s="86"/>
      <c r="AF365" s="86"/>
      <c r="AG365" s="86"/>
      <c r="AH365" s="82"/>
    </row>
    <row r="366">
      <c r="A366" s="78"/>
      <c r="B366" s="79"/>
      <c r="C366" s="80"/>
      <c r="D366" s="80"/>
      <c r="E366" s="80"/>
      <c r="F366" s="80"/>
      <c r="G366" s="80"/>
      <c r="H366" s="80"/>
      <c r="I366" s="80"/>
      <c r="J366" s="80"/>
      <c r="K366" s="82"/>
      <c r="L366" s="80"/>
      <c r="M366" s="80"/>
      <c r="N366" s="80"/>
      <c r="O366" s="80"/>
      <c r="P366" s="80"/>
      <c r="Q366" s="83"/>
      <c r="R366" s="80"/>
      <c r="S366" s="80"/>
      <c r="T366" s="80"/>
      <c r="U366" s="80"/>
      <c r="V366" s="84"/>
      <c r="W366" s="80"/>
      <c r="X366" s="85"/>
      <c r="Y366" s="86"/>
      <c r="Z366" s="86"/>
      <c r="AA366" s="86"/>
      <c r="AB366" s="86"/>
      <c r="AC366" s="86"/>
      <c r="AD366" s="86"/>
      <c r="AE366" s="86"/>
      <c r="AF366" s="86"/>
      <c r="AG366" s="86"/>
      <c r="AH366" s="82"/>
    </row>
    <row r="367">
      <c r="A367" s="78"/>
      <c r="B367" s="79"/>
      <c r="C367" s="80"/>
      <c r="D367" s="80"/>
      <c r="E367" s="80"/>
      <c r="F367" s="80"/>
      <c r="G367" s="80"/>
      <c r="H367" s="80"/>
      <c r="I367" s="80"/>
      <c r="J367" s="80"/>
      <c r="K367" s="82"/>
      <c r="L367" s="80"/>
      <c r="M367" s="80"/>
      <c r="N367" s="80"/>
      <c r="O367" s="80"/>
      <c r="P367" s="80"/>
      <c r="Q367" s="83"/>
      <c r="R367" s="80"/>
      <c r="S367" s="80"/>
      <c r="T367" s="80"/>
      <c r="U367" s="80"/>
      <c r="V367" s="84"/>
      <c r="W367" s="80"/>
      <c r="X367" s="85"/>
      <c r="Y367" s="86"/>
      <c r="Z367" s="86"/>
      <c r="AA367" s="86"/>
      <c r="AB367" s="86"/>
      <c r="AC367" s="86"/>
      <c r="AD367" s="86"/>
      <c r="AE367" s="86"/>
      <c r="AF367" s="86"/>
      <c r="AG367" s="86"/>
      <c r="AH367" s="82"/>
    </row>
    <row r="368">
      <c r="A368" s="78"/>
      <c r="B368" s="79"/>
      <c r="C368" s="80"/>
      <c r="D368" s="80"/>
      <c r="E368" s="80"/>
      <c r="F368" s="80"/>
      <c r="G368" s="80"/>
      <c r="H368" s="80"/>
      <c r="I368" s="80"/>
      <c r="J368" s="80"/>
      <c r="K368" s="82"/>
      <c r="L368" s="80"/>
      <c r="M368" s="80"/>
      <c r="N368" s="80"/>
      <c r="O368" s="80"/>
      <c r="P368" s="80"/>
      <c r="Q368" s="83"/>
      <c r="R368" s="80"/>
      <c r="S368" s="80"/>
      <c r="T368" s="80"/>
      <c r="U368" s="80"/>
      <c r="V368" s="84"/>
      <c r="W368" s="80"/>
      <c r="X368" s="85"/>
      <c r="Y368" s="86"/>
      <c r="Z368" s="86"/>
      <c r="AA368" s="86"/>
      <c r="AB368" s="86"/>
      <c r="AC368" s="86"/>
      <c r="AD368" s="86"/>
      <c r="AE368" s="86"/>
      <c r="AF368" s="86"/>
      <c r="AG368" s="86"/>
      <c r="AH368" s="82"/>
    </row>
    <row r="369">
      <c r="A369" s="78"/>
      <c r="B369" s="79"/>
      <c r="C369" s="80"/>
      <c r="D369" s="80"/>
      <c r="E369" s="80"/>
      <c r="F369" s="80"/>
      <c r="G369" s="80"/>
      <c r="H369" s="80"/>
      <c r="I369" s="80"/>
      <c r="J369" s="80"/>
      <c r="K369" s="82"/>
      <c r="L369" s="80"/>
      <c r="M369" s="80"/>
      <c r="N369" s="80"/>
      <c r="O369" s="80"/>
      <c r="P369" s="80"/>
      <c r="Q369" s="83"/>
      <c r="R369" s="80"/>
      <c r="S369" s="80"/>
      <c r="T369" s="80"/>
      <c r="U369" s="80"/>
      <c r="V369" s="84"/>
      <c r="W369" s="80"/>
      <c r="X369" s="85"/>
      <c r="Y369" s="86"/>
      <c r="Z369" s="86"/>
      <c r="AA369" s="86"/>
      <c r="AB369" s="86"/>
      <c r="AC369" s="86"/>
      <c r="AD369" s="86"/>
      <c r="AE369" s="86"/>
      <c r="AF369" s="86"/>
      <c r="AG369" s="86"/>
      <c r="AH369" s="82"/>
    </row>
    <row r="370">
      <c r="A370" s="78"/>
      <c r="B370" s="79"/>
      <c r="C370" s="80"/>
      <c r="D370" s="80"/>
      <c r="E370" s="80"/>
      <c r="F370" s="80"/>
      <c r="G370" s="80"/>
      <c r="H370" s="80"/>
      <c r="I370" s="80"/>
      <c r="J370" s="80"/>
      <c r="K370" s="82"/>
      <c r="L370" s="80"/>
      <c r="M370" s="80"/>
      <c r="N370" s="80"/>
      <c r="O370" s="80"/>
      <c r="P370" s="80"/>
      <c r="Q370" s="83"/>
      <c r="R370" s="80"/>
      <c r="S370" s="80"/>
      <c r="T370" s="80"/>
      <c r="U370" s="80"/>
      <c r="V370" s="84"/>
      <c r="W370" s="80"/>
      <c r="X370" s="85"/>
      <c r="Y370" s="86"/>
      <c r="Z370" s="86"/>
      <c r="AA370" s="86"/>
      <c r="AB370" s="86"/>
      <c r="AC370" s="86"/>
      <c r="AD370" s="86"/>
      <c r="AE370" s="86"/>
      <c r="AF370" s="86"/>
      <c r="AG370" s="86"/>
      <c r="AH370" s="82"/>
    </row>
    <row r="371">
      <c r="A371" s="78"/>
      <c r="B371" s="79"/>
      <c r="C371" s="80"/>
      <c r="D371" s="80"/>
      <c r="E371" s="80"/>
      <c r="F371" s="80"/>
      <c r="G371" s="80"/>
      <c r="H371" s="80"/>
      <c r="I371" s="80"/>
      <c r="J371" s="80"/>
      <c r="K371" s="82"/>
      <c r="L371" s="80"/>
      <c r="M371" s="80"/>
      <c r="N371" s="80"/>
      <c r="O371" s="80"/>
      <c r="P371" s="80"/>
      <c r="Q371" s="83"/>
      <c r="R371" s="80"/>
      <c r="S371" s="80"/>
      <c r="T371" s="80"/>
      <c r="U371" s="80"/>
      <c r="V371" s="84"/>
      <c r="W371" s="80"/>
      <c r="X371" s="85"/>
      <c r="Y371" s="86"/>
      <c r="Z371" s="86"/>
      <c r="AA371" s="86"/>
      <c r="AB371" s="86"/>
      <c r="AC371" s="86"/>
      <c r="AD371" s="86"/>
      <c r="AE371" s="86"/>
      <c r="AF371" s="86"/>
      <c r="AG371" s="86"/>
      <c r="AH371" s="82"/>
    </row>
    <row r="372">
      <c r="A372" s="78"/>
      <c r="B372" s="79"/>
      <c r="C372" s="80"/>
      <c r="D372" s="80"/>
      <c r="E372" s="80"/>
      <c r="F372" s="80"/>
      <c r="G372" s="80"/>
      <c r="H372" s="80"/>
      <c r="I372" s="80"/>
      <c r="J372" s="80"/>
      <c r="K372" s="82"/>
      <c r="L372" s="80"/>
      <c r="M372" s="80"/>
      <c r="N372" s="80"/>
      <c r="O372" s="80"/>
      <c r="P372" s="80"/>
      <c r="Q372" s="83"/>
      <c r="R372" s="80"/>
      <c r="S372" s="80"/>
      <c r="T372" s="80"/>
      <c r="U372" s="80"/>
      <c r="V372" s="84"/>
      <c r="W372" s="80"/>
      <c r="X372" s="85"/>
      <c r="Y372" s="86"/>
      <c r="Z372" s="86"/>
      <c r="AA372" s="86"/>
      <c r="AB372" s="86"/>
      <c r="AC372" s="86"/>
      <c r="AD372" s="86"/>
      <c r="AE372" s="86"/>
      <c r="AF372" s="86"/>
      <c r="AG372" s="86"/>
      <c r="AH372" s="82"/>
    </row>
    <row r="373">
      <c r="A373" s="78"/>
      <c r="B373" s="79"/>
      <c r="C373" s="80"/>
      <c r="D373" s="80"/>
      <c r="E373" s="80"/>
      <c r="F373" s="80"/>
      <c r="G373" s="80"/>
      <c r="H373" s="80"/>
      <c r="I373" s="80"/>
      <c r="J373" s="80"/>
      <c r="K373" s="82"/>
      <c r="L373" s="80"/>
      <c r="M373" s="80"/>
      <c r="N373" s="80"/>
      <c r="O373" s="80"/>
      <c r="P373" s="80"/>
      <c r="Q373" s="83"/>
      <c r="R373" s="80"/>
      <c r="S373" s="80"/>
      <c r="T373" s="80"/>
      <c r="U373" s="80"/>
      <c r="V373" s="84"/>
      <c r="W373" s="80"/>
      <c r="X373" s="85"/>
      <c r="Y373" s="86"/>
      <c r="Z373" s="86"/>
      <c r="AA373" s="86"/>
      <c r="AB373" s="86"/>
      <c r="AC373" s="86"/>
      <c r="AD373" s="86"/>
      <c r="AE373" s="86"/>
      <c r="AF373" s="86"/>
      <c r="AG373" s="86"/>
      <c r="AH373" s="82"/>
    </row>
    <row r="374">
      <c r="A374" s="78"/>
      <c r="B374" s="79"/>
      <c r="C374" s="80"/>
      <c r="D374" s="80"/>
      <c r="E374" s="80"/>
      <c r="F374" s="80"/>
      <c r="G374" s="80"/>
      <c r="H374" s="80"/>
      <c r="I374" s="80"/>
      <c r="J374" s="80"/>
      <c r="K374" s="82"/>
      <c r="L374" s="80"/>
      <c r="M374" s="80"/>
      <c r="N374" s="80"/>
      <c r="O374" s="80"/>
      <c r="P374" s="80"/>
      <c r="Q374" s="83"/>
      <c r="R374" s="80"/>
      <c r="S374" s="80"/>
      <c r="T374" s="80"/>
      <c r="U374" s="80"/>
      <c r="V374" s="84"/>
      <c r="W374" s="80"/>
      <c r="X374" s="85"/>
      <c r="Y374" s="86"/>
      <c r="Z374" s="86"/>
      <c r="AA374" s="86"/>
      <c r="AB374" s="86"/>
      <c r="AC374" s="86"/>
      <c r="AD374" s="86"/>
      <c r="AE374" s="86"/>
      <c r="AF374" s="86"/>
      <c r="AG374" s="86"/>
      <c r="AH374" s="82"/>
    </row>
    <row r="375">
      <c r="A375" s="78"/>
      <c r="B375" s="79"/>
      <c r="C375" s="80"/>
      <c r="D375" s="80"/>
      <c r="E375" s="80"/>
      <c r="F375" s="80"/>
      <c r="G375" s="80"/>
      <c r="H375" s="80"/>
      <c r="I375" s="80"/>
      <c r="J375" s="80"/>
      <c r="K375" s="82"/>
      <c r="L375" s="80"/>
      <c r="M375" s="80"/>
      <c r="N375" s="80"/>
      <c r="O375" s="80"/>
      <c r="P375" s="80"/>
      <c r="Q375" s="83"/>
      <c r="R375" s="80"/>
      <c r="S375" s="80"/>
      <c r="T375" s="80"/>
      <c r="U375" s="80"/>
      <c r="V375" s="84"/>
      <c r="W375" s="80"/>
      <c r="X375" s="85"/>
      <c r="Y375" s="86"/>
      <c r="Z375" s="86"/>
      <c r="AA375" s="86"/>
      <c r="AB375" s="86"/>
      <c r="AC375" s="86"/>
      <c r="AD375" s="86"/>
      <c r="AE375" s="86"/>
      <c r="AF375" s="86"/>
      <c r="AG375" s="86"/>
      <c r="AH375" s="82"/>
    </row>
    <row r="376">
      <c r="A376" s="78"/>
      <c r="B376" s="79"/>
      <c r="C376" s="80"/>
      <c r="D376" s="80"/>
      <c r="E376" s="80"/>
      <c r="F376" s="80"/>
      <c r="G376" s="80"/>
      <c r="H376" s="80"/>
      <c r="I376" s="80"/>
      <c r="J376" s="80"/>
      <c r="K376" s="82"/>
      <c r="L376" s="80"/>
      <c r="M376" s="80"/>
      <c r="N376" s="80"/>
      <c r="O376" s="80"/>
      <c r="P376" s="80"/>
      <c r="Q376" s="83"/>
      <c r="R376" s="80"/>
      <c r="S376" s="80"/>
      <c r="T376" s="80"/>
      <c r="U376" s="80"/>
      <c r="V376" s="84"/>
      <c r="W376" s="80"/>
      <c r="X376" s="85"/>
      <c r="Y376" s="86"/>
      <c r="Z376" s="86"/>
      <c r="AA376" s="86"/>
      <c r="AB376" s="86"/>
      <c r="AC376" s="86"/>
      <c r="AD376" s="86"/>
      <c r="AE376" s="86"/>
      <c r="AF376" s="86"/>
      <c r="AG376" s="86"/>
      <c r="AH376" s="82"/>
    </row>
    <row r="377">
      <c r="A377" s="78"/>
      <c r="B377" s="79"/>
      <c r="C377" s="80"/>
      <c r="D377" s="80"/>
      <c r="E377" s="80"/>
      <c r="F377" s="80"/>
      <c r="G377" s="80"/>
      <c r="H377" s="80"/>
      <c r="I377" s="80"/>
      <c r="J377" s="80"/>
      <c r="K377" s="82"/>
      <c r="L377" s="80"/>
      <c r="M377" s="80"/>
      <c r="N377" s="80"/>
      <c r="O377" s="80"/>
      <c r="P377" s="80"/>
      <c r="Q377" s="83"/>
      <c r="R377" s="80"/>
      <c r="S377" s="80"/>
      <c r="T377" s="80"/>
      <c r="U377" s="80"/>
      <c r="V377" s="84"/>
      <c r="W377" s="80"/>
      <c r="X377" s="85"/>
      <c r="Y377" s="86"/>
      <c r="Z377" s="86"/>
      <c r="AA377" s="86"/>
      <c r="AB377" s="86"/>
      <c r="AC377" s="86"/>
      <c r="AD377" s="86"/>
      <c r="AE377" s="86"/>
      <c r="AF377" s="86"/>
      <c r="AG377" s="86"/>
      <c r="AH377" s="82"/>
    </row>
    <row r="378">
      <c r="A378" s="78"/>
      <c r="B378" s="79"/>
      <c r="C378" s="80"/>
      <c r="D378" s="80"/>
      <c r="E378" s="80"/>
      <c r="F378" s="80"/>
      <c r="G378" s="80"/>
      <c r="H378" s="80"/>
      <c r="I378" s="80"/>
      <c r="J378" s="80"/>
      <c r="K378" s="82"/>
      <c r="L378" s="80"/>
      <c r="M378" s="80"/>
      <c r="N378" s="80"/>
      <c r="O378" s="80"/>
      <c r="P378" s="80"/>
      <c r="Q378" s="83"/>
      <c r="R378" s="80"/>
      <c r="S378" s="80"/>
      <c r="T378" s="80"/>
      <c r="U378" s="80"/>
      <c r="V378" s="84"/>
      <c r="W378" s="80"/>
      <c r="X378" s="85"/>
      <c r="Y378" s="86"/>
      <c r="Z378" s="86"/>
      <c r="AA378" s="86"/>
      <c r="AB378" s="86"/>
      <c r="AC378" s="86"/>
      <c r="AD378" s="86"/>
      <c r="AE378" s="86"/>
      <c r="AF378" s="86"/>
      <c r="AG378" s="86"/>
      <c r="AH378" s="82"/>
    </row>
    <row r="379">
      <c r="A379" s="78"/>
      <c r="B379" s="79"/>
      <c r="C379" s="80"/>
      <c r="D379" s="80"/>
      <c r="E379" s="80"/>
      <c r="F379" s="80"/>
      <c r="G379" s="80"/>
      <c r="H379" s="80"/>
      <c r="I379" s="80"/>
      <c r="J379" s="80"/>
      <c r="K379" s="82"/>
      <c r="L379" s="80"/>
      <c r="M379" s="80"/>
      <c r="N379" s="80"/>
      <c r="O379" s="80"/>
      <c r="P379" s="80"/>
      <c r="Q379" s="83"/>
      <c r="R379" s="80"/>
      <c r="S379" s="80"/>
      <c r="T379" s="80"/>
      <c r="U379" s="80"/>
      <c r="V379" s="84"/>
      <c r="W379" s="80"/>
      <c r="X379" s="85"/>
      <c r="Y379" s="86"/>
      <c r="Z379" s="86"/>
      <c r="AA379" s="86"/>
      <c r="AB379" s="86"/>
      <c r="AC379" s="86"/>
      <c r="AD379" s="86"/>
      <c r="AE379" s="86"/>
      <c r="AF379" s="86"/>
      <c r="AG379" s="86"/>
      <c r="AH379" s="82"/>
    </row>
    <row r="380">
      <c r="A380" s="78"/>
      <c r="B380" s="79"/>
      <c r="C380" s="80"/>
      <c r="D380" s="80"/>
      <c r="E380" s="80"/>
      <c r="F380" s="80"/>
      <c r="G380" s="80"/>
      <c r="H380" s="80"/>
      <c r="I380" s="80"/>
      <c r="J380" s="80"/>
      <c r="K380" s="82"/>
      <c r="L380" s="80"/>
      <c r="M380" s="80"/>
      <c r="N380" s="80"/>
      <c r="O380" s="80"/>
      <c r="P380" s="80"/>
      <c r="Q380" s="83"/>
      <c r="R380" s="80"/>
      <c r="S380" s="80"/>
      <c r="T380" s="80"/>
      <c r="U380" s="80"/>
      <c r="V380" s="84"/>
      <c r="W380" s="80"/>
      <c r="X380" s="85"/>
      <c r="Y380" s="86"/>
      <c r="Z380" s="86"/>
      <c r="AA380" s="86"/>
      <c r="AB380" s="86"/>
      <c r="AC380" s="86"/>
      <c r="AD380" s="86"/>
      <c r="AE380" s="86"/>
      <c r="AF380" s="86"/>
      <c r="AG380" s="86"/>
      <c r="AH380" s="82"/>
    </row>
    <row r="381">
      <c r="A381" s="78"/>
      <c r="B381" s="79"/>
      <c r="C381" s="80"/>
      <c r="D381" s="80"/>
      <c r="E381" s="80"/>
      <c r="F381" s="80"/>
      <c r="G381" s="80"/>
      <c r="H381" s="80"/>
      <c r="I381" s="80"/>
      <c r="J381" s="80"/>
      <c r="K381" s="82"/>
      <c r="L381" s="80"/>
      <c r="M381" s="80"/>
      <c r="N381" s="80"/>
      <c r="O381" s="80"/>
      <c r="P381" s="80"/>
      <c r="Q381" s="83"/>
      <c r="R381" s="80"/>
      <c r="S381" s="80"/>
      <c r="T381" s="80"/>
      <c r="U381" s="80"/>
      <c r="V381" s="84"/>
      <c r="W381" s="80"/>
      <c r="X381" s="85"/>
      <c r="Y381" s="86"/>
      <c r="Z381" s="86"/>
      <c r="AA381" s="86"/>
      <c r="AB381" s="86"/>
      <c r="AC381" s="86"/>
      <c r="AD381" s="86"/>
      <c r="AE381" s="86"/>
      <c r="AF381" s="86"/>
      <c r="AG381" s="86"/>
      <c r="AH381" s="82"/>
    </row>
    <row r="382">
      <c r="A382" s="78"/>
      <c r="B382" s="79"/>
      <c r="C382" s="80"/>
      <c r="D382" s="80"/>
      <c r="E382" s="80"/>
      <c r="F382" s="80"/>
      <c r="G382" s="80"/>
      <c r="H382" s="80"/>
      <c r="I382" s="80"/>
      <c r="J382" s="80"/>
      <c r="K382" s="82"/>
      <c r="L382" s="80"/>
      <c r="M382" s="80"/>
      <c r="N382" s="80"/>
      <c r="O382" s="80"/>
      <c r="P382" s="80"/>
      <c r="Q382" s="83"/>
      <c r="R382" s="80"/>
      <c r="S382" s="80"/>
      <c r="T382" s="80"/>
      <c r="U382" s="80"/>
      <c r="V382" s="84"/>
      <c r="W382" s="80"/>
      <c r="X382" s="85"/>
      <c r="Y382" s="86"/>
      <c r="Z382" s="86"/>
      <c r="AA382" s="86"/>
      <c r="AB382" s="86"/>
      <c r="AC382" s="86"/>
      <c r="AD382" s="86"/>
      <c r="AE382" s="86"/>
      <c r="AF382" s="86"/>
      <c r="AG382" s="86"/>
      <c r="AH382" s="82"/>
    </row>
    <row r="383">
      <c r="A383" s="78"/>
      <c r="B383" s="79"/>
      <c r="C383" s="80"/>
      <c r="D383" s="80"/>
      <c r="E383" s="80"/>
      <c r="F383" s="80"/>
      <c r="G383" s="80"/>
      <c r="H383" s="80"/>
      <c r="I383" s="80"/>
      <c r="J383" s="80"/>
      <c r="K383" s="82"/>
      <c r="L383" s="80"/>
      <c r="M383" s="80"/>
      <c r="N383" s="80"/>
      <c r="O383" s="80"/>
      <c r="P383" s="80"/>
      <c r="Q383" s="83"/>
      <c r="R383" s="80"/>
      <c r="S383" s="80"/>
      <c r="T383" s="80"/>
      <c r="U383" s="80"/>
      <c r="V383" s="84"/>
      <c r="W383" s="80"/>
      <c r="X383" s="85"/>
      <c r="Y383" s="86"/>
      <c r="Z383" s="86"/>
      <c r="AA383" s="86"/>
      <c r="AB383" s="86"/>
      <c r="AC383" s="86"/>
      <c r="AD383" s="86"/>
      <c r="AE383" s="86"/>
      <c r="AF383" s="86"/>
      <c r="AG383" s="86"/>
      <c r="AH383" s="82"/>
    </row>
    <row r="384">
      <c r="A384" s="78"/>
      <c r="B384" s="79"/>
      <c r="C384" s="80"/>
      <c r="D384" s="80"/>
      <c r="E384" s="80"/>
      <c r="F384" s="80"/>
      <c r="G384" s="80"/>
      <c r="H384" s="80"/>
      <c r="I384" s="80"/>
      <c r="J384" s="80"/>
      <c r="K384" s="82"/>
      <c r="L384" s="80"/>
      <c r="M384" s="80"/>
      <c r="N384" s="80"/>
      <c r="O384" s="80"/>
      <c r="P384" s="80"/>
      <c r="Q384" s="83"/>
      <c r="R384" s="80"/>
      <c r="S384" s="80"/>
      <c r="T384" s="80"/>
      <c r="U384" s="80"/>
      <c r="V384" s="84"/>
      <c r="W384" s="80"/>
      <c r="X384" s="85"/>
      <c r="Y384" s="86"/>
      <c r="Z384" s="86"/>
      <c r="AA384" s="86"/>
      <c r="AB384" s="86"/>
      <c r="AC384" s="86"/>
      <c r="AD384" s="86"/>
      <c r="AE384" s="86"/>
      <c r="AF384" s="86"/>
      <c r="AG384" s="86"/>
      <c r="AH384" s="82"/>
    </row>
    <row r="385">
      <c r="A385" s="78"/>
      <c r="B385" s="79"/>
      <c r="C385" s="80"/>
      <c r="D385" s="80"/>
      <c r="E385" s="80"/>
      <c r="F385" s="80"/>
      <c r="G385" s="80"/>
      <c r="H385" s="80"/>
      <c r="I385" s="80"/>
      <c r="J385" s="80"/>
      <c r="K385" s="82"/>
      <c r="L385" s="80"/>
      <c r="M385" s="80"/>
      <c r="N385" s="80"/>
      <c r="O385" s="80"/>
      <c r="P385" s="80"/>
      <c r="Q385" s="83"/>
      <c r="R385" s="80"/>
      <c r="S385" s="80"/>
      <c r="T385" s="80"/>
      <c r="U385" s="80"/>
      <c r="V385" s="84"/>
      <c r="W385" s="80"/>
      <c r="X385" s="85"/>
      <c r="Y385" s="86"/>
      <c r="Z385" s="86"/>
      <c r="AA385" s="86"/>
      <c r="AB385" s="86"/>
      <c r="AC385" s="86"/>
      <c r="AD385" s="86"/>
      <c r="AE385" s="86"/>
      <c r="AF385" s="86"/>
      <c r="AG385" s="86"/>
      <c r="AH385" s="82"/>
    </row>
    <row r="386">
      <c r="A386" s="78"/>
      <c r="B386" s="79"/>
      <c r="C386" s="80"/>
      <c r="D386" s="80"/>
      <c r="E386" s="80"/>
      <c r="F386" s="80"/>
      <c r="G386" s="80"/>
      <c r="H386" s="80"/>
      <c r="I386" s="80"/>
      <c r="J386" s="80"/>
      <c r="K386" s="82"/>
      <c r="L386" s="80"/>
      <c r="M386" s="80"/>
      <c r="N386" s="80"/>
      <c r="O386" s="80"/>
      <c r="P386" s="80"/>
      <c r="Q386" s="83"/>
      <c r="R386" s="80"/>
      <c r="S386" s="80"/>
      <c r="T386" s="80"/>
      <c r="U386" s="80"/>
      <c r="V386" s="84"/>
      <c r="W386" s="80"/>
      <c r="X386" s="85"/>
      <c r="Y386" s="86"/>
      <c r="Z386" s="86"/>
      <c r="AA386" s="86"/>
      <c r="AB386" s="86"/>
      <c r="AC386" s="86"/>
      <c r="AD386" s="86"/>
      <c r="AE386" s="86"/>
      <c r="AF386" s="86"/>
      <c r="AG386" s="86"/>
      <c r="AH386" s="82"/>
    </row>
    <row r="387">
      <c r="A387" s="78"/>
      <c r="B387" s="79"/>
      <c r="C387" s="80"/>
      <c r="D387" s="80"/>
      <c r="E387" s="80"/>
      <c r="F387" s="80"/>
      <c r="G387" s="80"/>
      <c r="H387" s="80"/>
      <c r="I387" s="80"/>
      <c r="J387" s="80"/>
      <c r="K387" s="82"/>
      <c r="L387" s="80"/>
      <c r="M387" s="80"/>
      <c r="N387" s="80"/>
      <c r="O387" s="80"/>
      <c r="P387" s="80"/>
      <c r="Q387" s="83"/>
      <c r="R387" s="80"/>
      <c r="S387" s="80"/>
      <c r="T387" s="80"/>
      <c r="U387" s="80"/>
      <c r="V387" s="84"/>
      <c r="W387" s="80"/>
      <c r="X387" s="85"/>
      <c r="Y387" s="86"/>
      <c r="Z387" s="86"/>
      <c r="AA387" s="86"/>
      <c r="AB387" s="86"/>
      <c r="AC387" s="86"/>
      <c r="AD387" s="86"/>
      <c r="AE387" s="86"/>
      <c r="AF387" s="86"/>
      <c r="AG387" s="86"/>
      <c r="AH387" s="82"/>
    </row>
    <row r="388">
      <c r="A388" s="78"/>
      <c r="B388" s="79"/>
      <c r="C388" s="80"/>
      <c r="D388" s="80"/>
      <c r="E388" s="80"/>
      <c r="F388" s="80"/>
      <c r="G388" s="80"/>
      <c r="H388" s="80"/>
      <c r="I388" s="80"/>
      <c r="J388" s="80"/>
      <c r="K388" s="82"/>
      <c r="L388" s="80"/>
      <c r="M388" s="80"/>
      <c r="N388" s="80"/>
      <c r="O388" s="80"/>
      <c r="P388" s="80"/>
      <c r="Q388" s="83"/>
      <c r="R388" s="80"/>
      <c r="S388" s="80"/>
      <c r="T388" s="80"/>
      <c r="U388" s="80"/>
      <c r="V388" s="84"/>
      <c r="W388" s="80"/>
      <c r="X388" s="85"/>
      <c r="Y388" s="86"/>
      <c r="Z388" s="86"/>
      <c r="AA388" s="86"/>
      <c r="AB388" s="86"/>
      <c r="AC388" s="86"/>
      <c r="AD388" s="86"/>
      <c r="AE388" s="86"/>
      <c r="AF388" s="86"/>
      <c r="AG388" s="86"/>
      <c r="AH388" s="82"/>
    </row>
    <row r="389">
      <c r="A389" s="78"/>
      <c r="B389" s="79"/>
      <c r="C389" s="80"/>
      <c r="D389" s="80"/>
      <c r="E389" s="80"/>
      <c r="F389" s="80"/>
      <c r="G389" s="80"/>
      <c r="H389" s="80"/>
      <c r="I389" s="80"/>
      <c r="J389" s="80"/>
      <c r="K389" s="82"/>
      <c r="L389" s="80"/>
      <c r="M389" s="80"/>
      <c r="N389" s="80"/>
      <c r="O389" s="80"/>
      <c r="P389" s="80"/>
      <c r="Q389" s="83"/>
      <c r="R389" s="80"/>
      <c r="S389" s="80"/>
      <c r="T389" s="80"/>
      <c r="U389" s="80"/>
      <c r="V389" s="84"/>
      <c r="W389" s="80"/>
      <c r="X389" s="85"/>
      <c r="Y389" s="86"/>
      <c r="Z389" s="86"/>
      <c r="AA389" s="86"/>
      <c r="AB389" s="86"/>
      <c r="AC389" s="86"/>
      <c r="AD389" s="86"/>
      <c r="AE389" s="86"/>
      <c r="AF389" s="86"/>
      <c r="AG389" s="86"/>
      <c r="AH389" s="82"/>
    </row>
    <row r="390">
      <c r="A390" s="78"/>
      <c r="B390" s="79"/>
      <c r="C390" s="80"/>
      <c r="D390" s="80"/>
      <c r="E390" s="80"/>
      <c r="F390" s="80"/>
      <c r="G390" s="80"/>
      <c r="H390" s="80"/>
      <c r="I390" s="80"/>
      <c r="J390" s="80"/>
      <c r="K390" s="82"/>
      <c r="L390" s="80"/>
      <c r="M390" s="80"/>
      <c r="N390" s="80"/>
      <c r="O390" s="80"/>
      <c r="P390" s="80"/>
      <c r="Q390" s="83"/>
      <c r="R390" s="80"/>
      <c r="S390" s="80"/>
      <c r="T390" s="80"/>
      <c r="U390" s="80"/>
      <c r="V390" s="84"/>
      <c r="W390" s="80"/>
      <c r="X390" s="85"/>
      <c r="Y390" s="86"/>
      <c r="Z390" s="86"/>
      <c r="AA390" s="86"/>
      <c r="AB390" s="86"/>
      <c r="AC390" s="86"/>
      <c r="AD390" s="86"/>
      <c r="AE390" s="86"/>
      <c r="AF390" s="86"/>
      <c r="AG390" s="86"/>
      <c r="AH390" s="82"/>
    </row>
    <row r="391">
      <c r="A391" s="78"/>
      <c r="B391" s="79"/>
      <c r="C391" s="80"/>
      <c r="D391" s="80"/>
      <c r="E391" s="80"/>
      <c r="F391" s="80"/>
      <c r="G391" s="80"/>
      <c r="H391" s="80"/>
      <c r="I391" s="80"/>
      <c r="J391" s="80"/>
      <c r="K391" s="82"/>
      <c r="L391" s="80"/>
      <c r="M391" s="80"/>
      <c r="N391" s="80"/>
      <c r="O391" s="80"/>
      <c r="P391" s="80"/>
      <c r="Q391" s="83"/>
      <c r="R391" s="80"/>
      <c r="S391" s="80"/>
      <c r="T391" s="80"/>
      <c r="U391" s="80"/>
      <c r="V391" s="84"/>
      <c r="W391" s="80"/>
      <c r="X391" s="85"/>
      <c r="Y391" s="86"/>
      <c r="Z391" s="86"/>
      <c r="AA391" s="86"/>
      <c r="AB391" s="86"/>
      <c r="AC391" s="86"/>
      <c r="AD391" s="86"/>
      <c r="AE391" s="86"/>
      <c r="AF391" s="86"/>
      <c r="AG391" s="86"/>
      <c r="AH391" s="82"/>
    </row>
    <row r="392">
      <c r="A392" s="78"/>
      <c r="B392" s="79"/>
      <c r="C392" s="80"/>
      <c r="D392" s="80"/>
      <c r="E392" s="80"/>
      <c r="F392" s="80"/>
      <c r="G392" s="80"/>
      <c r="H392" s="80"/>
      <c r="I392" s="80"/>
      <c r="J392" s="80"/>
      <c r="K392" s="82"/>
      <c r="L392" s="80"/>
      <c r="M392" s="80"/>
      <c r="N392" s="80"/>
      <c r="O392" s="80"/>
      <c r="P392" s="80"/>
      <c r="Q392" s="83"/>
      <c r="R392" s="80"/>
      <c r="S392" s="80"/>
      <c r="T392" s="80"/>
      <c r="U392" s="80"/>
      <c r="V392" s="84"/>
      <c r="W392" s="80"/>
      <c r="X392" s="85"/>
      <c r="Y392" s="86"/>
      <c r="Z392" s="86"/>
      <c r="AA392" s="86"/>
      <c r="AB392" s="86"/>
      <c r="AC392" s="86"/>
      <c r="AD392" s="86"/>
      <c r="AE392" s="86"/>
      <c r="AF392" s="86"/>
      <c r="AG392" s="86"/>
      <c r="AH392" s="82"/>
    </row>
    <row r="393">
      <c r="A393" s="78"/>
      <c r="B393" s="79"/>
      <c r="C393" s="80"/>
      <c r="D393" s="80"/>
      <c r="E393" s="80"/>
      <c r="F393" s="80"/>
      <c r="G393" s="80"/>
      <c r="H393" s="80"/>
      <c r="I393" s="80"/>
      <c r="J393" s="80"/>
      <c r="K393" s="82"/>
      <c r="L393" s="80"/>
      <c r="M393" s="80"/>
      <c r="N393" s="80"/>
      <c r="O393" s="80"/>
      <c r="P393" s="80"/>
      <c r="Q393" s="83"/>
      <c r="R393" s="80"/>
      <c r="S393" s="80"/>
      <c r="T393" s="80"/>
      <c r="U393" s="80"/>
      <c r="V393" s="84"/>
      <c r="W393" s="80"/>
      <c r="X393" s="85"/>
      <c r="Y393" s="86"/>
      <c r="Z393" s="86"/>
      <c r="AA393" s="86"/>
      <c r="AB393" s="86"/>
      <c r="AC393" s="86"/>
      <c r="AD393" s="86"/>
      <c r="AE393" s="86"/>
      <c r="AF393" s="86"/>
      <c r="AG393" s="86"/>
      <c r="AH393" s="82"/>
    </row>
    <row r="394">
      <c r="A394" s="78"/>
      <c r="B394" s="79"/>
      <c r="C394" s="80"/>
      <c r="D394" s="80"/>
      <c r="E394" s="80"/>
      <c r="F394" s="80"/>
      <c r="G394" s="80"/>
      <c r="H394" s="80"/>
      <c r="I394" s="80"/>
      <c r="J394" s="80"/>
      <c r="K394" s="82"/>
      <c r="L394" s="80"/>
      <c r="M394" s="80"/>
      <c r="N394" s="80"/>
      <c r="O394" s="80"/>
      <c r="P394" s="80"/>
      <c r="Q394" s="83"/>
      <c r="R394" s="80"/>
      <c r="S394" s="80"/>
      <c r="T394" s="80"/>
      <c r="U394" s="80"/>
      <c r="V394" s="84"/>
      <c r="W394" s="80"/>
      <c r="X394" s="85"/>
      <c r="Y394" s="86"/>
      <c r="Z394" s="86"/>
      <c r="AA394" s="86"/>
      <c r="AB394" s="86"/>
      <c r="AC394" s="86"/>
      <c r="AD394" s="86"/>
      <c r="AE394" s="86"/>
      <c r="AF394" s="86"/>
      <c r="AG394" s="86"/>
      <c r="AH394" s="82"/>
    </row>
    <row r="395">
      <c r="A395" s="78"/>
      <c r="B395" s="79"/>
      <c r="C395" s="80"/>
      <c r="D395" s="80"/>
      <c r="E395" s="80"/>
      <c r="F395" s="80"/>
      <c r="G395" s="80"/>
      <c r="H395" s="80"/>
      <c r="I395" s="80"/>
      <c r="J395" s="80"/>
      <c r="K395" s="82"/>
      <c r="L395" s="80"/>
      <c r="M395" s="80"/>
      <c r="N395" s="80"/>
      <c r="O395" s="80"/>
      <c r="P395" s="80"/>
      <c r="Q395" s="83"/>
      <c r="R395" s="80"/>
      <c r="S395" s="80"/>
      <c r="T395" s="80"/>
      <c r="U395" s="80"/>
      <c r="V395" s="84"/>
      <c r="W395" s="80"/>
      <c r="X395" s="85"/>
      <c r="Y395" s="86"/>
      <c r="Z395" s="86"/>
      <c r="AA395" s="86"/>
      <c r="AB395" s="86"/>
      <c r="AC395" s="86"/>
      <c r="AD395" s="86"/>
      <c r="AE395" s="86"/>
      <c r="AF395" s="86"/>
      <c r="AG395" s="86"/>
      <c r="AH395" s="82"/>
    </row>
    <row r="396">
      <c r="A396" s="78"/>
      <c r="B396" s="79"/>
      <c r="C396" s="80"/>
      <c r="D396" s="80"/>
      <c r="E396" s="80"/>
      <c r="F396" s="80"/>
      <c r="G396" s="80"/>
      <c r="H396" s="80"/>
      <c r="I396" s="80"/>
      <c r="J396" s="80"/>
      <c r="K396" s="82"/>
      <c r="L396" s="80"/>
      <c r="M396" s="80"/>
      <c r="N396" s="80"/>
      <c r="O396" s="80"/>
      <c r="P396" s="80"/>
      <c r="Q396" s="83"/>
      <c r="R396" s="80"/>
      <c r="S396" s="80"/>
      <c r="T396" s="80"/>
      <c r="U396" s="80"/>
      <c r="V396" s="84"/>
      <c r="W396" s="80"/>
      <c r="X396" s="85"/>
      <c r="Y396" s="86"/>
      <c r="Z396" s="86"/>
      <c r="AA396" s="86"/>
      <c r="AB396" s="86"/>
      <c r="AC396" s="86"/>
      <c r="AD396" s="86"/>
      <c r="AE396" s="86"/>
      <c r="AF396" s="86"/>
      <c r="AG396" s="86"/>
      <c r="AH396" s="82"/>
    </row>
    <row r="397">
      <c r="A397" s="78"/>
      <c r="B397" s="79"/>
      <c r="C397" s="80"/>
      <c r="D397" s="80"/>
      <c r="E397" s="80"/>
      <c r="F397" s="80"/>
      <c r="G397" s="80"/>
      <c r="H397" s="80"/>
      <c r="I397" s="80"/>
      <c r="J397" s="80"/>
      <c r="K397" s="82"/>
      <c r="L397" s="80"/>
      <c r="M397" s="80"/>
      <c r="N397" s="80"/>
      <c r="O397" s="80"/>
      <c r="P397" s="80"/>
      <c r="Q397" s="83"/>
      <c r="R397" s="80"/>
      <c r="S397" s="80"/>
      <c r="T397" s="80"/>
      <c r="U397" s="80"/>
      <c r="V397" s="84"/>
      <c r="W397" s="80"/>
      <c r="X397" s="85"/>
      <c r="Y397" s="86"/>
      <c r="Z397" s="86"/>
      <c r="AA397" s="86"/>
      <c r="AB397" s="86"/>
      <c r="AC397" s="86"/>
      <c r="AD397" s="86"/>
      <c r="AE397" s="86"/>
      <c r="AF397" s="86"/>
      <c r="AG397" s="86"/>
      <c r="AH397" s="82"/>
    </row>
    <row r="398">
      <c r="A398" s="78"/>
      <c r="B398" s="79"/>
      <c r="C398" s="80"/>
      <c r="D398" s="80"/>
      <c r="E398" s="80"/>
      <c r="F398" s="80"/>
      <c r="G398" s="80"/>
      <c r="H398" s="80"/>
      <c r="I398" s="80"/>
      <c r="J398" s="80"/>
      <c r="K398" s="82"/>
      <c r="L398" s="80"/>
      <c r="M398" s="80"/>
      <c r="N398" s="80"/>
      <c r="O398" s="80"/>
      <c r="P398" s="80"/>
      <c r="Q398" s="83"/>
      <c r="R398" s="80"/>
      <c r="S398" s="80"/>
      <c r="T398" s="80"/>
      <c r="U398" s="80"/>
      <c r="V398" s="84"/>
      <c r="W398" s="80"/>
      <c r="X398" s="85"/>
      <c r="Y398" s="86"/>
      <c r="Z398" s="86"/>
      <c r="AA398" s="86"/>
      <c r="AB398" s="86"/>
      <c r="AC398" s="86"/>
      <c r="AD398" s="86"/>
      <c r="AE398" s="86"/>
      <c r="AF398" s="86"/>
      <c r="AG398" s="86"/>
      <c r="AH398" s="82"/>
    </row>
    <row r="399">
      <c r="A399" s="78"/>
      <c r="B399" s="79"/>
      <c r="C399" s="80"/>
      <c r="D399" s="80"/>
      <c r="E399" s="80"/>
      <c r="F399" s="80"/>
      <c r="G399" s="80"/>
      <c r="H399" s="80"/>
      <c r="I399" s="80"/>
      <c r="J399" s="80"/>
      <c r="K399" s="82"/>
      <c r="L399" s="80"/>
      <c r="M399" s="80"/>
      <c r="N399" s="80"/>
      <c r="O399" s="80"/>
      <c r="P399" s="80"/>
      <c r="Q399" s="83"/>
      <c r="R399" s="80"/>
      <c r="S399" s="80"/>
      <c r="T399" s="80"/>
      <c r="U399" s="80"/>
      <c r="V399" s="84"/>
      <c r="W399" s="80"/>
      <c r="X399" s="85"/>
      <c r="Y399" s="86"/>
      <c r="Z399" s="86"/>
      <c r="AA399" s="86"/>
      <c r="AB399" s="86"/>
      <c r="AC399" s="86"/>
      <c r="AD399" s="86"/>
      <c r="AE399" s="86"/>
      <c r="AF399" s="86"/>
      <c r="AG399" s="86"/>
      <c r="AH399" s="82"/>
    </row>
    <row r="400">
      <c r="A400" s="78"/>
      <c r="B400" s="79"/>
      <c r="C400" s="80"/>
      <c r="D400" s="80"/>
      <c r="E400" s="80"/>
      <c r="F400" s="80"/>
      <c r="G400" s="80"/>
      <c r="H400" s="80"/>
      <c r="I400" s="80"/>
      <c r="J400" s="80"/>
      <c r="K400" s="82"/>
      <c r="L400" s="80"/>
      <c r="M400" s="80"/>
      <c r="N400" s="80"/>
      <c r="O400" s="80"/>
      <c r="P400" s="80"/>
      <c r="Q400" s="83"/>
      <c r="R400" s="80"/>
      <c r="S400" s="80"/>
      <c r="T400" s="80"/>
      <c r="U400" s="80"/>
      <c r="V400" s="84"/>
      <c r="W400" s="80"/>
      <c r="X400" s="85"/>
      <c r="Y400" s="86"/>
      <c r="Z400" s="86"/>
      <c r="AA400" s="86"/>
      <c r="AB400" s="86"/>
      <c r="AC400" s="86"/>
      <c r="AD400" s="86"/>
      <c r="AE400" s="86"/>
      <c r="AF400" s="86"/>
      <c r="AG400" s="86"/>
      <c r="AH400" s="82"/>
    </row>
    <row r="401">
      <c r="A401" s="78"/>
      <c r="B401" s="79"/>
      <c r="C401" s="80"/>
      <c r="D401" s="80"/>
      <c r="E401" s="80"/>
      <c r="F401" s="80"/>
      <c r="G401" s="80"/>
      <c r="H401" s="80"/>
      <c r="I401" s="80"/>
      <c r="J401" s="80"/>
      <c r="K401" s="82"/>
      <c r="L401" s="80"/>
      <c r="M401" s="80"/>
      <c r="N401" s="80"/>
      <c r="O401" s="80"/>
      <c r="P401" s="80"/>
      <c r="Q401" s="83"/>
      <c r="R401" s="80"/>
      <c r="S401" s="80"/>
      <c r="T401" s="80"/>
      <c r="U401" s="80"/>
      <c r="V401" s="84"/>
      <c r="W401" s="80"/>
      <c r="X401" s="85"/>
      <c r="Y401" s="86"/>
      <c r="Z401" s="86"/>
      <c r="AA401" s="86"/>
      <c r="AB401" s="86"/>
      <c r="AC401" s="86"/>
      <c r="AD401" s="86"/>
      <c r="AE401" s="86"/>
      <c r="AF401" s="86"/>
      <c r="AG401" s="86"/>
      <c r="AH401" s="82"/>
    </row>
    <row r="402">
      <c r="A402" s="78"/>
      <c r="B402" s="79"/>
      <c r="C402" s="80"/>
      <c r="D402" s="80"/>
      <c r="E402" s="80"/>
      <c r="F402" s="80"/>
      <c r="G402" s="80"/>
      <c r="H402" s="80"/>
      <c r="I402" s="80"/>
      <c r="J402" s="80"/>
      <c r="K402" s="82"/>
      <c r="L402" s="80"/>
      <c r="M402" s="80"/>
      <c r="N402" s="80"/>
      <c r="O402" s="80"/>
      <c r="P402" s="80"/>
      <c r="Q402" s="83"/>
      <c r="R402" s="80"/>
      <c r="S402" s="80"/>
      <c r="T402" s="80"/>
      <c r="U402" s="80"/>
      <c r="V402" s="84"/>
      <c r="W402" s="80"/>
      <c r="X402" s="85"/>
      <c r="Y402" s="86"/>
      <c r="Z402" s="86"/>
      <c r="AA402" s="86"/>
      <c r="AB402" s="86"/>
      <c r="AC402" s="86"/>
      <c r="AD402" s="86"/>
      <c r="AE402" s="86"/>
      <c r="AF402" s="86"/>
      <c r="AG402" s="86"/>
      <c r="AH402" s="82"/>
    </row>
    <row r="403">
      <c r="A403" s="78"/>
      <c r="B403" s="79"/>
      <c r="C403" s="80"/>
      <c r="D403" s="80"/>
      <c r="E403" s="80"/>
      <c r="F403" s="80"/>
      <c r="G403" s="80"/>
      <c r="H403" s="80"/>
      <c r="I403" s="80"/>
      <c r="J403" s="80"/>
      <c r="K403" s="82"/>
      <c r="L403" s="80"/>
      <c r="M403" s="80"/>
      <c r="N403" s="80"/>
      <c r="O403" s="80"/>
      <c r="P403" s="80"/>
      <c r="Q403" s="83"/>
      <c r="R403" s="80"/>
      <c r="S403" s="80"/>
      <c r="T403" s="80"/>
      <c r="U403" s="80"/>
      <c r="V403" s="84"/>
      <c r="W403" s="80"/>
      <c r="X403" s="85"/>
      <c r="Y403" s="86"/>
      <c r="Z403" s="86"/>
      <c r="AA403" s="86"/>
      <c r="AB403" s="86"/>
      <c r="AC403" s="86"/>
      <c r="AD403" s="86"/>
      <c r="AE403" s="86"/>
      <c r="AF403" s="86"/>
      <c r="AG403" s="86"/>
      <c r="AH403" s="82"/>
    </row>
    <row r="404">
      <c r="A404" s="78"/>
      <c r="B404" s="79"/>
      <c r="C404" s="80"/>
      <c r="D404" s="80"/>
      <c r="E404" s="80"/>
      <c r="F404" s="80"/>
      <c r="G404" s="80"/>
      <c r="H404" s="80"/>
      <c r="I404" s="80"/>
      <c r="J404" s="80"/>
      <c r="K404" s="82"/>
      <c r="L404" s="80"/>
      <c r="M404" s="80"/>
      <c r="N404" s="80"/>
      <c r="O404" s="80"/>
      <c r="P404" s="80"/>
      <c r="Q404" s="83"/>
      <c r="R404" s="80"/>
      <c r="S404" s="80"/>
      <c r="T404" s="80"/>
      <c r="U404" s="80"/>
      <c r="V404" s="84"/>
      <c r="W404" s="80"/>
      <c r="X404" s="85"/>
      <c r="Y404" s="86"/>
      <c r="Z404" s="86"/>
      <c r="AA404" s="86"/>
      <c r="AB404" s="86"/>
      <c r="AC404" s="86"/>
      <c r="AD404" s="86"/>
      <c r="AE404" s="86"/>
      <c r="AF404" s="86"/>
      <c r="AG404" s="86"/>
      <c r="AH404" s="82"/>
    </row>
    <row r="405">
      <c r="A405" s="78"/>
      <c r="B405" s="79"/>
      <c r="C405" s="80"/>
      <c r="D405" s="80"/>
      <c r="E405" s="80"/>
      <c r="F405" s="80"/>
      <c r="G405" s="80"/>
      <c r="H405" s="80"/>
      <c r="I405" s="80"/>
      <c r="J405" s="80"/>
      <c r="K405" s="82"/>
      <c r="L405" s="80"/>
      <c r="M405" s="80"/>
      <c r="N405" s="80"/>
      <c r="O405" s="80"/>
      <c r="P405" s="80"/>
      <c r="Q405" s="83"/>
      <c r="R405" s="80"/>
      <c r="S405" s="80"/>
      <c r="T405" s="80"/>
      <c r="U405" s="80"/>
      <c r="V405" s="84"/>
      <c r="W405" s="80"/>
      <c r="X405" s="85"/>
      <c r="Y405" s="86"/>
      <c r="Z405" s="86"/>
      <c r="AA405" s="86"/>
      <c r="AB405" s="86"/>
      <c r="AC405" s="86"/>
      <c r="AD405" s="86"/>
      <c r="AE405" s="86"/>
      <c r="AF405" s="86"/>
      <c r="AG405" s="86"/>
      <c r="AH405" s="82"/>
    </row>
    <row r="406">
      <c r="A406" s="78"/>
      <c r="B406" s="79"/>
      <c r="C406" s="80"/>
      <c r="D406" s="80"/>
      <c r="E406" s="80"/>
      <c r="F406" s="80"/>
      <c r="G406" s="80"/>
      <c r="H406" s="80"/>
      <c r="I406" s="80"/>
      <c r="J406" s="80"/>
      <c r="K406" s="82"/>
      <c r="L406" s="80"/>
      <c r="M406" s="80"/>
      <c r="N406" s="80"/>
      <c r="O406" s="80"/>
      <c r="P406" s="80"/>
      <c r="Q406" s="83"/>
      <c r="R406" s="80"/>
      <c r="S406" s="80"/>
      <c r="T406" s="80"/>
      <c r="U406" s="80"/>
      <c r="V406" s="84"/>
      <c r="W406" s="80"/>
      <c r="X406" s="85"/>
      <c r="Y406" s="86"/>
      <c r="Z406" s="86"/>
      <c r="AA406" s="86"/>
      <c r="AB406" s="86"/>
      <c r="AC406" s="86"/>
      <c r="AD406" s="86"/>
      <c r="AE406" s="86"/>
      <c r="AF406" s="86"/>
      <c r="AG406" s="86"/>
      <c r="AH406" s="82"/>
    </row>
    <row r="407">
      <c r="A407" s="78"/>
      <c r="B407" s="79"/>
      <c r="C407" s="80"/>
      <c r="D407" s="80"/>
      <c r="E407" s="80"/>
      <c r="F407" s="80"/>
      <c r="G407" s="80"/>
      <c r="H407" s="80"/>
      <c r="I407" s="80"/>
      <c r="J407" s="80"/>
      <c r="K407" s="82"/>
      <c r="L407" s="80"/>
      <c r="M407" s="80"/>
      <c r="N407" s="80"/>
      <c r="O407" s="80"/>
      <c r="P407" s="80"/>
      <c r="Q407" s="83"/>
      <c r="R407" s="80"/>
      <c r="S407" s="80"/>
      <c r="T407" s="80"/>
      <c r="U407" s="80"/>
      <c r="V407" s="84"/>
      <c r="W407" s="80"/>
      <c r="X407" s="85"/>
      <c r="Y407" s="86"/>
      <c r="Z407" s="86"/>
      <c r="AA407" s="86"/>
      <c r="AB407" s="86"/>
      <c r="AC407" s="86"/>
      <c r="AD407" s="86"/>
      <c r="AE407" s="86"/>
      <c r="AF407" s="86"/>
      <c r="AG407" s="86"/>
      <c r="AH407" s="82"/>
    </row>
    <row r="408">
      <c r="A408" s="78"/>
      <c r="B408" s="79"/>
      <c r="C408" s="80"/>
      <c r="D408" s="80"/>
      <c r="E408" s="80"/>
      <c r="F408" s="80"/>
      <c r="G408" s="80"/>
      <c r="H408" s="80"/>
      <c r="I408" s="80"/>
      <c r="J408" s="80"/>
      <c r="K408" s="82"/>
      <c r="L408" s="80"/>
      <c r="M408" s="80"/>
      <c r="N408" s="80"/>
      <c r="O408" s="80"/>
      <c r="P408" s="80"/>
      <c r="Q408" s="83"/>
      <c r="R408" s="80"/>
      <c r="S408" s="80"/>
      <c r="T408" s="80"/>
      <c r="U408" s="80"/>
      <c r="V408" s="84"/>
      <c r="W408" s="80"/>
      <c r="X408" s="85"/>
      <c r="Y408" s="86"/>
      <c r="Z408" s="86"/>
      <c r="AA408" s="86"/>
      <c r="AB408" s="86"/>
      <c r="AC408" s="86"/>
      <c r="AD408" s="86"/>
      <c r="AE408" s="86"/>
      <c r="AF408" s="86"/>
      <c r="AG408" s="86"/>
      <c r="AH408" s="82"/>
    </row>
    <row r="409">
      <c r="A409" s="78"/>
      <c r="B409" s="79"/>
      <c r="C409" s="80"/>
      <c r="D409" s="80"/>
      <c r="E409" s="80"/>
      <c r="F409" s="80"/>
      <c r="G409" s="80"/>
      <c r="H409" s="80"/>
      <c r="I409" s="80"/>
      <c r="J409" s="80"/>
      <c r="K409" s="82"/>
      <c r="L409" s="80"/>
      <c r="M409" s="80"/>
      <c r="N409" s="80"/>
      <c r="O409" s="80"/>
      <c r="P409" s="80"/>
      <c r="Q409" s="83"/>
      <c r="R409" s="80"/>
      <c r="S409" s="80"/>
      <c r="T409" s="80"/>
      <c r="U409" s="80"/>
      <c r="V409" s="84"/>
      <c r="W409" s="80"/>
      <c r="X409" s="85"/>
      <c r="Y409" s="86"/>
      <c r="Z409" s="86"/>
      <c r="AA409" s="86"/>
      <c r="AB409" s="86"/>
      <c r="AC409" s="86"/>
      <c r="AD409" s="86"/>
      <c r="AE409" s="86"/>
      <c r="AF409" s="86"/>
      <c r="AG409" s="86"/>
      <c r="AH409" s="82"/>
    </row>
    <row r="410">
      <c r="A410" s="78"/>
      <c r="B410" s="79"/>
      <c r="C410" s="80"/>
      <c r="D410" s="80"/>
      <c r="E410" s="80"/>
      <c r="F410" s="80"/>
      <c r="G410" s="80"/>
      <c r="H410" s="80"/>
      <c r="I410" s="80"/>
      <c r="J410" s="80"/>
      <c r="K410" s="82"/>
      <c r="L410" s="80"/>
      <c r="M410" s="80"/>
      <c r="N410" s="80"/>
      <c r="O410" s="80"/>
      <c r="P410" s="80"/>
      <c r="Q410" s="83"/>
      <c r="R410" s="80"/>
      <c r="S410" s="80"/>
      <c r="T410" s="80"/>
      <c r="U410" s="80"/>
      <c r="V410" s="84"/>
      <c r="W410" s="80"/>
      <c r="X410" s="85"/>
      <c r="Y410" s="86"/>
      <c r="Z410" s="86"/>
      <c r="AA410" s="86"/>
      <c r="AB410" s="86"/>
      <c r="AC410" s="86"/>
      <c r="AD410" s="86"/>
      <c r="AE410" s="86"/>
      <c r="AF410" s="86"/>
      <c r="AG410" s="86"/>
      <c r="AH410" s="82"/>
    </row>
    <row r="411">
      <c r="A411" s="78"/>
      <c r="B411" s="79"/>
      <c r="C411" s="80"/>
      <c r="D411" s="80"/>
      <c r="E411" s="80"/>
      <c r="F411" s="80"/>
      <c r="G411" s="80"/>
      <c r="H411" s="80"/>
      <c r="I411" s="80"/>
      <c r="J411" s="80"/>
      <c r="K411" s="82"/>
      <c r="L411" s="80"/>
      <c r="M411" s="80"/>
      <c r="N411" s="80"/>
      <c r="O411" s="80"/>
      <c r="P411" s="80"/>
      <c r="Q411" s="83"/>
      <c r="R411" s="80"/>
      <c r="S411" s="80"/>
      <c r="T411" s="80"/>
      <c r="U411" s="80"/>
      <c r="V411" s="84"/>
      <c r="W411" s="80"/>
      <c r="X411" s="85"/>
      <c r="Y411" s="86"/>
      <c r="Z411" s="86"/>
      <c r="AA411" s="86"/>
      <c r="AB411" s="86"/>
      <c r="AC411" s="86"/>
      <c r="AD411" s="86"/>
      <c r="AE411" s="86"/>
      <c r="AF411" s="86"/>
      <c r="AG411" s="86"/>
      <c r="AH411" s="82"/>
    </row>
    <row r="412">
      <c r="A412" s="78"/>
      <c r="B412" s="79"/>
      <c r="C412" s="80"/>
      <c r="D412" s="80"/>
      <c r="E412" s="80"/>
      <c r="F412" s="80"/>
      <c r="G412" s="80"/>
      <c r="H412" s="80"/>
      <c r="I412" s="80"/>
      <c r="J412" s="80"/>
      <c r="K412" s="82"/>
      <c r="L412" s="80"/>
      <c r="M412" s="80"/>
      <c r="N412" s="80"/>
      <c r="O412" s="80"/>
      <c r="P412" s="80"/>
      <c r="Q412" s="83"/>
      <c r="R412" s="80"/>
      <c r="S412" s="80"/>
      <c r="T412" s="80"/>
      <c r="U412" s="80"/>
      <c r="V412" s="84"/>
      <c r="W412" s="80"/>
      <c r="X412" s="85"/>
      <c r="Y412" s="86"/>
      <c r="Z412" s="86"/>
      <c r="AA412" s="86"/>
      <c r="AB412" s="86"/>
      <c r="AC412" s="86"/>
      <c r="AD412" s="86"/>
      <c r="AE412" s="86"/>
      <c r="AF412" s="86"/>
      <c r="AG412" s="86"/>
      <c r="AH412" s="82"/>
    </row>
    <row r="413">
      <c r="A413" s="78"/>
      <c r="B413" s="79"/>
      <c r="C413" s="80"/>
      <c r="D413" s="80"/>
      <c r="E413" s="80"/>
      <c r="F413" s="80"/>
      <c r="G413" s="80"/>
      <c r="H413" s="80"/>
      <c r="I413" s="80"/>
      <c r="J413" s="80"/>
      <c r="K413" s="82"/>
      <c r="L413" s="80"/>
      <c r="M413" s="80"/>
      <c r="N413" s="80"/>
      <c r="O413" s="80"/>
      <c r="P413" s="80"/>
      <c r="Q413" s="83"/>
      <c r="R413" s="80"/>
      <c r="S413" s="80"/>
      <c r="T413" s="80"/>
      <c r="U413" s="80"/>
      <c r="V413" s="84"/>
      <c r="W413" s="80"/>
      <c r="X413" s="85"/>
      <c r="Y413" s="86"/>
      <c r="Z413" s="86"/>
      <c r="AA413" s="86"/>
      <c r="AB413" s="86"/>
      <c r="AC413" s="86"/>
      <c r="AD413" s="86"/>
      <c r="AE413" s="86"/>
      <c r="AF413" s="86"/>
      <c r="AG413" s="86"/>
      <c r="AH413" s="82"/>
    </row>
    <row r="414">
      <c r="A414" s="78"/>
      <c r="B414" s="79"/>
      <c r="C414" s="80"/>
      <c r="D414" s="80"/>
      <c r="E414" s="80"/>
      <c r="F414" s="80"/>
      <c r="G414" s="80"/>
      <c r="H414" s="80"/>
      <c r="I414" s="80"/>
      <c r="J414" s="80"/>
      <c r="K414" s="82"/>
      <c r="L414" s="80"/>
      <c r="M414" s="80"/>
      <c r="N414" s="80"/>
      <c r="O414" s="80"/>
      <c r="P414" s="80"/>
      <c r="Q414" s="83"/>
      <c r="R414" s="80"/>
      <c r="S414" s="80"/>
      <c r="T414" s="80"/>
      <c r="U414" s="80"/>
      <c r="V414" s="84"/>
      <c r="W414" s="80"/>
      <c r="X414" s="85"/>
      <c r="Y414" s="86"/>
      <c r="Z414" s="86"/>
      <c r="AA414" s="86"/>
      <c r="AB414" s="86"/>
      <c r="AC414" s="86"/>
      <c r="AD414" s="86"/>
      <c r="AE414" s="86"/>
      <c r="AF414" s="86"/>
      <c r="AG414" s="86"/>
      <c r="AH414" s="82"/>
    </row>
    <row r="415">
      <c r="A415" s="78"/>
      <c r="B415" s="79"/>
      <c r="C415" s="80"/>
      <c r="D415" s="80"/>
      <c r="E415" s="80"/>
      <c r="F415" s="80"/>
      <c r="G415" s="80"/>
      <c r="H415" s="80"/>
      <c r="I415" s="80"/>
      <c r="J415" s="80"/>
      <c r="K415" s="82"/>
      <c r="L415" s="80"/>
      <c r="M415" s="80"/>
      <c r="N415" s="80"/>
      <c r="O415" s="80"/>
      <c r="P415" s="80"/>
      <c r="Q415" s="83"/>
      <c r="R415" s="80"/>
      <c r="S415" s="80"/>
      <c r="T415" s="80"/>
      <c r="U415" s="80"/>
      <c r="V415" s="84"/>
      <c r="W415" s="80"/>
      <c r="X415" s="85"/>
      <c r="Y415" s="86"/>
      <c r="Z415" s="86"/>
      <c r="AA415" s="86"/>
      <c r="AB415" s="86"/>
      <c r="AC415" s="86"/>
      <c r="AD415" s="86"/>
      <c r="AE415" s="86"/>
      <c r="AF415" s="86"/>
      <c r="AG415" s="86"/>
      <c r="AH415" s="82"/>
    </row>
    <row r="416">
      <c r="A416" s="78"/>
      <c r="B416" s="79"/>
      <c r="C416" s="80"/>
      <c r="D416" s="80"/>
      <c r="E416" s="80"/>
      <c r="F416" s="80"/>
      <c r="G416" s="80"/>
      <c r="H416" s="80"/>
      <c r="I416" s="80"/>
      <c r="J416" s="80"/>
      <c r="K416" s="82"/>
      <c r="L416" s="80"/>
      <c r="M416" s="80"/>
      <c r="N416" s="80"/>
      <c r="O416" s="80"/>
      <c r="P416" s="80"/>
      <c r="Q416" s="83"/>
      <c r="R416" s="80"/>
      <c r="S416" s="80"/>
      <c r="T416" s="80"/>
      <c r="U416" s="80"/>
      <c r="V416" s="84"/>
      <c r="W416" s="80"/>
      <c r="X416" s="85"/>
      <c r="Y416" s="86"/>
      <c r="Z416" s="86"/>
      <c r="AA416" s="86"/>
      <c r="AB416" s="86"/>
      <c r="AC416" s="86"/>
      <c r="AD416" s="86"/>
      <c r="AE416" s="86"/>
      <c r="AF416" s="86"/>
      <c r="AG416" s="86"/>
      <c r="AH416" s="82"/>
    </row>
    <row r="417">
      <c r="A417" s="78"/>
      <c r="B417" s="79"/>
      <c r="C417" s="80"/>
      <c r="D417" s="80"/>
      <c r="E417" s="80"/>
      <c r="F417" s="80"/>
      <c r="G417" s="80"/>
      <c r="H417" s="80"/>
      <c r="I417" s="80"/>
      <c r="J417" s="80"/>
      <c r="K417" s="82"/>
      <c r="L417" s="80"/>
      <c r="M417" s="80"/>
      <c r="N417" s="80"/>
      <c r="O417" s="80"/>
      <c r="P417" s="80"/>
      <c r="Q417" s="83"/>
      <c r="R417" s="80"/>
      <c r="S417" s="80"/>
      <c r="T417" s="80"/>
      <c r="U417" s="80"/>
      <c r="V417" s="84"/>
      <c r="W417" s="80"/>
      <c r="X417" s="85"/>
      <c r="Y417" s="86"/>
      <c r="Z417" s="86"/>
      <c r="AA417" s="86"/>
      <c r="AB417" s="86"/>
      <c r="AC417" s="86"/>
      <c r="AD417" s="86"/>
      <c r="AE417" s="86"/>
      <c r="AF417" s="86"/>
      <c r="AG417" s="86"/>
      <c r="AH417" s="82"/>
    </row>
    <row r="418">
      <c r="A418" s="78"/>
      <c r="B418" s="79"/>
      <c r="C418" s="80"/>
      <c r="D418" s="80"/>
      <c r="E418" s="80"/>
      <c r="F418" s="80"/>
      <c r="G418" s="80"/>
      <c r="H418" s="80"/>
      <c r="I418" s="80"/>
      <c r="J418" s="80"/>
      <c r="K418" s="82"/>
      <c r="L418" s="80"/>
      <c r="M418" s="80"/>
      <c r="N418" s="80"/>
      <c r="O418" s="80"/>
      <c r="P418" s="80"/>
      <c r="Q418" s="83"/>
      <c r="R418" s="80"/>
      <c r="S418" s="80"/>
      <c r="T418" s="80"/>
      <c r="U418" s="80"/>
      <c r="V418" s="84"/>
      <c r="W418" s="80"/>
      <c r="X418" s="85"/>
      <c r="Y418" s="86"/>
      <c r="Z418" s="86"/>
      <c r="AA418" s="86"/>
      <c r="AB418" s="86"/>
      <c r="AC418" s="86"/>
      <c r="AD418" s="86"/>
      <c r="AE418" s="86"/>
      <c r="AF418" s="86"/>
      <c r="AG418" s="86"/>
      <c r="AH418" s="82"/>
    </row>
    <row r="419">
      <c r="A419" s="78"/>
      <c r="B419" s="79"/>
      <c r="C419" s="80"/>
      <c r="D419" s="80"/>
      <c r="E419" s="80"/>
      <c r="F419" s="80"/>
      <c r="G419" s="80"/>
      <c r="H419" s="80"/>
      <c r="I419" s="80"/>
      <c r="J419" s="80"/>
      <c r="K419" s="82"/>
      <c r="L419" s="80"/>
      <c r="M419" s="80"/>
      <c r="N419" s="80"/>
      <c r="O419" s="80"/>
      <c r="P419" s="80"/>
      <c r="Q419" s="83"/>
      <c r="R419" s="80"/>
      <c r="S419" s="80"/>
      <c r="T419" s="80"/>
      <c r="U419" s="80"/>
      <c r="V419" s="84"/>
      <c r="W419" s="80"/>
      <c r="X419" s="85"/>
      <c r="Y419" s="86"/>
      <c r="Z419" s="86"/>
      <c r="AA419" s="86"/>
      <c r="AB419" s="86"/>
      <c r="AC419" s="86"/>
      <c r="AD419" s="86"/>
      <c r="AE419" s="86"/>
      <c r="AF419" s="86"/>
      <c r="AG419" s="86"/>
      <c r="AH419" s="82"/>
    </row>
    <row r="420">
      <c r="A420" s="78"/>
      <c r="B420" s="79"/>
      <c r="C420" s="80"/>
      <c r="D420" s="80"/>
      <c r="E420" s="80"/>
      <c r="F420" s="80"/>
      <c r="G420" s="80"/>
      <c r="H420" s="80"/>
      <c r="I420" s="80"/>
      <c r="J420" s="80"/>
      <c r="K420" s="82"/>
      <c r="L420" s="80"/>
      <c r="M420" s="80"/>
      <c r="N420" s="80"/>
      <c r="O420" s="80"/>
      <c r="P420" s="80"/>
      <c r="Q420" s="83"/>
      <c r="R420" s="80"/>
      <c r="S420" s="80"/>
      <c r="T420" s="80"/>
      <c r="U420" s="80"/>
      <c r="V420" s="84"/>
      <c r="W420" s="80"/>
      <c r="X420" s="85"/>
      <c r="Y420" s="86"/>
      <c r="Z420" s="86"/>
      <c r="AA420" s="86"/>
      <c r="AB420" s="86"/>
      <c r="AC420" s="86"/>
      <c r="AD420" s="86"/>
      <c r="AE420" s="86"/>
      <c r="AF420" s="86"/>
      <c r="AG420" s="86"/>
      <c r="AH420" s="82"/>
    </row>
    <row r="421">
      <c r="A421" s="78"/>
      <c r="B421" s="79"/>
      <c r="C421" s="80"/>
      <c r="D421" s="80"/>
      <c r="E421" s="80"/>
      <c r="F421" s="80"/>
      <c r="G421" s="80"/>
      <c r="H421" s="80"/>
      <c r="I421" s="80"/>
      <c r="J421" s="80"/>
      <c r="K421" s="82"/>
      <c r="L421" s="80"/>
      <c r="M421" s="80"/>
      <c r="N421" s="80"/>
      <c r="O421" s="80"/>
      <c r="P421" s="80"/>
      <c r="Q421" s="83"/>
      <c r="R421" s="80"/>
      <c r="S421" s="80"/>
      <c r="T421" s="80"/>
      <c r="U421" s="80"/>
      <c r="V421" s="84"/>
      <c r="W421" s="80"/>
      <c r="X421" s="85"/>
      <c r="Y421" s="86"/>
      <c r="Z421" s="86"/>
      <c r="AA421" s="86"/>
      <c r="AB421" s="86"/>
      <c r="AC421" s="86"/>
      <c r="AD421" s="86"/>
      <c r="AE421" s="86"/>
      <c r="AF421" s="86"/>
      <c r="AG421" s="86"/>
      <c r="AH421" s="82"/>
    </row>
    <row r="422">
      <c r="A422" s="78"/>
      <c r="B422" s="79"/>
      <c r="C422" s="80"/>
      <c r="D422" s="80"/>
      <c r="E422" s="80"/>
      <c r="F422" s="80"/>
      <c r="G422" s="80"/>
      <c r="H422" s="80"/>
      <c r="I422" s="80"/>
      <c r="J422" s="80"/>
      <c r="K422" s="82"/>
      <c r="L422" s="80"/>
      <c r="M422" s="80"/>
      <c r="N422" s="80"/>
      <c r="O422" s="80"/>
      <c r="P422" s="80"/>
      <c r="Q422" s="83"/>
      <c r="R422" s="80"/>
      <c r="S422" s="80"/>
      <c r="T422" s="80"/>
      <c r="U422" s="80"/>
      <c r="V422" s="84"/>
      <c r="W422" s="80"/>
      <c r="X422" s="85"/>
      <c r="Y422" s="86"/>
      <c r="Z422" s="86"/>
      <c r="AA422" s="86"/>
      <c r="AB422" s="86"/>
      <c r="AC422" s="86"/>
      <c r="AD422" s="86"/>
      <c r="AE422" s="86"/>
      <c r="AF422" s="86"/>
      <c r="AG422" s="86"/>
      <c r="AH422" s="82"/>
    </row>
    <row r="423">
      <c r="A423" s="78"/>
      <c r="B423" s="79"/>
      <c r="C423" s="80"/>
      <c r="D423" s="80"/>
      <c r="E423" s="80"/>
      <c r="F423" s="80"/>
      <c r="G423" s="80"/>
      <c r="H423" s="80"/>
      <c r="I423" s="80"/>
      <c r="J423" s="80"/>
      <c r="K423" s="82"/>
      <c r="L423" s="80"/>
      <c r="M423" s="80"/>
      <c r="N423" s="80"/>
      <c r="O423" s="80"/>
      <c r="P423" s="80"/>
      <c r="Q423" s="83"/>
      <c r="R423" s="80"/>
      <c r="S423" s="80"/>
      <c r="T423" s="80"/>
      <c r="U423" s="80"/>
      <c r="V423" s="84"/>
      <c r="W423" s="80"/>
      <c r="X423" s="85"/>
      <c r="Y423" s="86"/>
      <c r="Z423" s="86"/>
      <c r="AA423" s="86"/>
      <c r="AB423" s="86"/>
      <c r="AC423" s="86"/>
      <c r="AD423" s="86"/>
      <c r="AE423" s="86"/>
      <c r="AF423" s="86"/>
      <c r="AG423" s="86"/>
      <c r="AH423" s="82"/>
    </row>
    <row r="424">
      <c r="A424" s="78"/>
      <c r="B424" s="79"/>
      <c r="C424" s="80"/>
      <c r="D424" s="80"/>
      <c r="E424" s="80"/>
      <c r="F424" s="80"/>
      <c r="G424" s="80"/>
      <c r="H424" s="80"/>
      <c r="I424" s="80"/>
      <c r="J424" s="80"/>
      <c r="K424" s="82"/>
      <c r="L424" s="80"/>
      <c r="M424" s="80"/>
      <c r="N424" s="80"/>
      <c r="O424" s="80"/>
      <c r="P424" s="80"/>
      <c r="Q424" s="83"/>
      <c r="R424" s="80"/>
      <c r="S424" s="80"/>
      <c r="T424" s="80"/>
      <c r="U424" s="80"/>
      <c r="V424" s="84"/>
      <c r="W424" s="80"/>
      <c r="X424" s="85"/>
      <c r="Y424" s="86"/>
      <c r="Z424" s="86"/>
      <c r="AA424" s="86"/>
      <c r="AB424" s="86"/>
      <c r="AC424" s="86"/>
      <c r="AD424" s="86"/>
      <c r="AE424" s="86"/>
      <c r="AF424" s="86"/>
      <c r="AG424" s="86"/>
      <c r="AH424" s="82"/>
    </row>
    <row r="425">
      <c r="A425" s="78"/>
      <c r="B425" s="79"/>
      <c r="C425" s="80"/>
      <c r="D425" s="80"/>
      <c r="E425" s="80"/>
      <c r="F425" s="80"/>
      <c r="G425" s="80"/>
      <c r="H425" s="80"/>
      <c r="I425" s="80"/>
      <c r="J425" s="80"/>
      <c r="K425" s="82"/>
      <c r="L425" s="80"/>
      <c r="M425" s="80"/>
      <c r="N425" s="80"/>
      <c r="O425" s="80"/>
      <c r="P425" s="80"/>
      <c r="Q425" s="83"/>
      <c r="R425" s="80"/>
      <c r="S425" s="80"/>
      <c r="T425" s="80"/>
      <c r="U425" s="80"/>
      <c r="V425" s="84"/>
      <c r="W425" s="80"/>
      <c r="X425" s="85"/>
      <c r="Y425" s="86"/>
      <c r="Z425" s="86"/>
      <c r="AA425" s="86"/>
      <c r="AB425" s="86"/>
      <c r="AC425" s="86"/>
      <c r="AD425" s="86"/>
      <c r="AE425" s="86"/>
      <c r="AF425" s="86"/>
      <c r="AG425" s="86"/>
      <c r="AH425" s="82"/>
    </row>
    <row r="426">
      <c r="A426" s="78"/>
      <c r="B426" s="79"/>
      <c r="C426" s="80"/>
      <c r="D426" s="80"/>
      <c r="E426" s="80"/>
      <c r="F426" s="80"/>
      <c r="G426" s="80"/>
      <c r="H426" s="80"/>
      <c r="I426" s="80"/>
      <c r="J426" s="80"/>
      <c r="K426" s="82"/>
      <c r="L426" s="80"/>
      <c r="M426" s="80"/>
      <c r="N426" s="80"/>
      <c r="O426" s="80"/>
      <c r="P426" s="80"/>
      <c r="Q426" s="83"/>
      <c r="R426" s="80"/>
      <c r="S426" s="80"/>
      <c r="T426" s="80"/>
      <c r="U426" s="80"/>
      <c r="V426" s="84"/>
      <c r="W426" s="80"/>
      <c r="X426" s="85"/>
      <c r="Y426" s="86"/>
      <c r="Z426" s="86"/>
      <c r="AA426" s="86"/>
      <c r="AB426" s="86"/>
      <c r="AC426" s="86"/>
      <c r="AD426" s="86"/>
      <c r="AE426" s="86"/>
      <c r="AF426" s="86"/>
      <c r="AG426" s="86"/>
      <c r="AH426" s="82"/>
    </row>
    <row r="427">
      <c r="A427" s="78"/>
      <c r="B427" s="79"/>
      <c r="C427" s="80"/>
      <c r="D427" s="80"/>
      <c r="E427" s="80"/>
      <c r="F427" s="80"/>
      <c r="G427" s="80"/>
      <c r="H427" s="80"/>
      <c r="I427" s="80"/>
      <c r="J427" s="80"/>
      <c r="K427" s="82"/>
      <c r="L427" s="80"/>
      <c r="M427" s="80"/>
      <c r="N427" s="80"/>
      <c r="O427" s="80"/>
      <c r="P427" s="80"/>
      <c r="Q427" s="83"/>
      <c r="R427" s="80"/>
      <c r="S427" s="80"/>
      <c r="T427" s="80"/>
      <c r="U427" s="80"/>
      <c r="V427" s="84"/>
      <c r="W427" s="80"/>
      <c r="X427" s="85"/>
      <c r="Y427" s="86"/>
      <c r="Z427" s="86"/>
      <c r="AA427" s="86"/>
      <c r="AB427" s="86"/>
      <c r="AC427" s="86"/>
      <c r="AD427" s="86"/>
      <c r="AE427" s="86"/>
      <c r="AF427" s="86"/>
      <c r="AG427" s="86"/>
      <c r="AH427" s="82"/>
    </row>
    <row r="428">
      <c r="A428" s="78"/>
      <c r="B428" s="79"/>
      <c r="C428" s="80"/>
      <c r="D428" s="80"/>
      <c r="E428" s="80"/>
      <c r="F428" s="80"/>
      <c r="G428" s="80"/>
      <c r="H428" s="80"/>
      <c r="I428" s="80"/>
      <c r="J428" s="80"/>
      <c r="K428" s="82"/>
      <c r="L428" s="80"/>
      <c r="M428" s="80"/>
      <c r="N428" s="80"/>
      <c r="O428" s="80"/>
      <c r="P428" s="80"/>
      <c r="Q428" s="83"/>
      <c r="R428" s="80"/>
      <c r="S428" s="80"/>
      <c r="T428" s="80"/>
      <c r="U428" s="80"/>
      <c r="V428" s="84"/>
      <c r="W428" s="80"/>
      <c r="X428" s="85"/>
      <c r="Y428" s="86"/>
      <c r="Z428" s="86"/>
      <c r="AA428" s="86"/>
      <c r="AB428" s="86"/>
      <c r="AC428" s="86"/>
      <c r="AD428" s="86"/>
      <c r="AE428" s="86"/>
      <c r="AF428" s="86"/>
      <c r="AG428" s="86"/>
      <c r="AH428" s="82"/>
    </row>
    <row r="429">
      <c r="A429" s="78"/>
      <c r="B429" s="79"/>
      <c r="C429" s="80"/>
      <c r="D429" s="80"/>
      <c r="E429" s="80"/>
      <c r="F429" s="80"/>
      <c r="G429" s="80"/>
      <c r="H429" s="80"/>
      <c r="I429" s="80"/>
      <c r="J429" s="80"/>
      <c r="K429" s="82"/>
      <c r="L429" s="80"/>
      <c r="M429" s="80"/>
      <c r="N429" s="80"/>
      <c r="O429" s="80"/>
      <c r="P429" s="80"/>
      <c r="Q429" s="83"/>
      <c r="R429" s="80"/>
      <c r="S429" s="80"/>
      <c r="T429" s="80"/>
      <c r="U429" s="80"/>
      <c r="V429" s="84"/>
      <c r="W429" s="80"/>
      <c r="X429" s="85"/>
      <c r="Y429" s="86"/>
      <c r="Z429" s="86"/>
      <c r="AA429" s="86"/>
      <c r="AB429" s="86"/>
      <c r="AC429" s="86"/>
      <c r="AD429" s="86"/>
      <c r="AE429" s="86"/>
      <c r="AF429" s="86"/>
      <c r="AG429" s="86"/>
      <c r="AH429" s="82"/>
    </row>
    <row r="430">
      <c r="A430" s="78"/>
      <c r="B430" s="79"/>
      <c r="C430" s="80"/>
      <c r="D430" s="80"/>
      <c r="E430" s="80"/>
      <c r="F430" s="80"/>
      <c r="G430" s="80"/>
      <c r="H430" s="80"/>
      <c r="I430" s="80"/>
      <c r="J430" s="80"/>
      <c r="K430" s="82"/>
      <c r="L430" s="80"/>
      <c r="M430" s="80"/>
      <c r="N430" s="80"/>
      <c r="O430" s="80"/>
      <c r="P430" s="80"/>
      <c r="Q430" s="83"/>
      <c r="R430" s="80"/>
      <c r="S430" s="80"/>
      <c r="T430" s="80"/>
      <c r="U430" s="80"/>
      <c r="V430" s="84"/>
      <c r="W430" s="80"/>
      <c r="X430" s="85"/>
      <c r="Y430" s="86"/>
      <c r="Z430" s="86"/>
      <c r="AA430" s="86"/>
      <c r="AB430" s="86"/>
      <c r="AC430" s="86"/>
      <c r="AD430" s="86"/>
      <c r="AE430" s="86"/>
      <c r="AF430" s="86"/>
      <c r="AG430" s="86"/>
      <c r="AH430" s="82"/>
    </row>
    <row r="431">
      <c r="A431" s="78"/>
      <c r="B431" s="79"/>
      <c r="C431" s="80"/>
      <c r="D431" s="80"/>
      <c r="E431" s="80"/>
      <c r="F431" s="80"/>
      <c r="G431" s="80"/>
      <c r="H431" s="80"/>
      <c r="I431" s="80"/>
      <c r="J431" s="80"/>
      <c r="K431" s="82"/>
      <c r="L431" s="80"/>
      <c r="M431" s="80"/>
      <c r="N431" s="80"/>
      <c r="O431" s="80"/>
      <c r="P431" s="80"/>
      <c r="Q431" s="83"/>
      <c r="R431" s="80"/>
      <c r="S431" s="80"/>
      <c r="T431" s="80"/>
      <c r="U431" s="80"/>
      <c r="V431" s="84"/>
      <c r="W431" s="80"/>
      <c r="X431" s="85"/>
      <c r="Y431" s="86"/>
      <c r="Z431" s="86"/>
      <c r="AA431" s="86"/>
      <c r="AB431" s="86"/>
      <c r="AC431" s="86"/>
      <c r="AD431" s="86"/>
      <c r="AE431" s="86"/>
      <c r="AF431" s="86"/>
      <c r="AG431" s="86"/>
      <c r="AH431" s="82"/>
    </row>
    <row r="432">
      <c r="A432" s="78"/>
      <c r="B432" s="79"/>
      <c r="C432" s="80"/>
      <c r="D432" s="80"/>
      <c r="E432" s="80"/>
      <c r="F432" s="80"/>
      <c r="G432" s="80"/>
      <c r="H432" s="80"/>
      <c r="I432" s="80"/>
      <c r="J432" s="80"/>
      <c r="K432" s="82"/>
      <c r="L432" s="80"/>
      <c r="M432" s="80"/>
      <c r="N432" s="80"/>
      <c r="O432" s="80"/>
      <c r="P432" s="80"/>
      <c r="Q432" s="83"/>
      <c r="R432" s="80"/>
      <c r="S432" s="80"/>
      <c r="T432" s="80"/>
      <c r="U432" s="80"/>
      <c r="V432" s="84"/>
      <c r="W432" s="80"/>
      <c r="X432" s="85"/>
      <c r="Y432" s="86"/>
      <c r="Z432" s="86"/>
      <c r="AA432" s="86"/>
      <c r="AB432" s="86"/>
      <c r="AC432" s="86"/>
      <c r="AD432" s="86"/>
      <c r="AE432" s="86"/>
      <c r="AF432" s="86"/>
      <c r="AG432" s="86"/>
      <c r="AH432" s="82"/>
    </row>
    <row r="433">
      <c r="A433" s="78"/>
      <c r="B433" s="79"/>
      <c r="C433" s="80"/>
      <c r="D433" s="80"/>
      <c r="E433" s="80"/>
      <c r="F433" s="80"/>
      <c r="G433" s="80"/>
      <c r="H433" s="80"/>
      <c r="I433" s="80"/>
      <c r="J433" s="80"/>
      <c r="K433" s="82"/>
      <c r="L433" s="80"/>
      <c r="M433" s="80"/>
      <c r="N433" s="80"/>
      <c r="O433" s="80"/>
      <c r="P433" s="80"/>
      <c r="Q433" s="83"/>
      <c r="R433" s="80"/>
      <c r="S433" s="80"/>
      <c r="T433" s="80"/>
      <c r="U433" s="80"/>
      <c r="V433" s="84"/>
      <c r="W433" s="80"/>
      <c r="X433" s="85"/>
      <c r="Y433" s="86"/>
      <c r="Z433" s="86"/>
      <c r="AA433" s="86"/>
      <c r="AB433" s="86"/>
      <c r="AC433" s="86"/>
      <c r="AD433" s="86"/>
      <c r="AE433" s="86"/>
      <c r="AF433" s="86"/>
      <c r="AG433" s="86"/>
      <c r="AH433" s="82"/>
    </row>
    <row r="434">
      <c r="A434" s="78"/>
      <c r="B434" s="79"/>
      <c r="C434" s="80"/>
      <c r="D434" s="80"/>
      <c r="E434" s="80"/>
      <c r="F434" s="80"/>
      <c r="G434" s="80"/>
      <c r="H434" s="80"/>
      <c r="I434" s="80"/>
      <c r="J434" s="80"/>
      <c r="K434" s="82"/>
      <c r="L434" s="80"/>
      <c r="M434" s="80"/>
      <c r="N434" s="80"/>
      <c r="O434" s="80"/>
      <c r="P434" s="80"/>
      <c r="Q434" s="83"/>
      <c r="R434" s="80"/>
      <c r="S434" s="80"/>
      <c r="T434" s="80"/>
      <c r="U434" s="80"/>
      <c r="V434" s="84"/>
      <c r="W434" s="80"/>
      <c r="X434" s="85"/>
      <c r="Y434" s="86"/>
      <c r="Z434" s="86"/>
      <c r="AA434" s="86"/>
      <c r="AB434" s="86"/>
      <c r="AC434" s="86"/>
      <c r="AD434" s="86"/>
      <c r="AE434" s="86"/>
      <c r="AF434" s="86"/>
      <c r="AG434" s="86"/>
      <c r="AH434" s="82"/>
    </row>
    <row r="435">
      <c r="A435" s="78"/>
      <c r="B435" s="79"/>
      <c r="C435" s="80"/>
      <c r="D435" s="80"/>
      <c r="E435" s="80"/>
      <c r="F435" s="80"/>
      <c r="G435" s="80"/>
      <c r="H435" s="80"/>
      <c r="I435" s="80"/>
      <c r="J435" s="80"/>
      <c r="K435" s="82"/>
      <c r="L435" s="80"/>
      <c r="M435" s="80"/>
      <c r="N435" s="80"/>
      <c r="O435" s="80"/>
      <c r="P435" s="80"/>
      <c r="Q435" s="83"/>
      <c r="R435" s="80"/>
      <c r="S435" s="80"/>
      <c r="T435" s="80"/>
      <c r="U435" s="80"/>
      <c r="V435" s="84"/>
      <c r="W435" s="80"/>
      <c r="X435" s="85"/>
      <c r="Y435" s="86"/>
      <c r="Z435" s="86"/>
      <c r="AA435" s="86"/>
      <c r="AB435" s="86"/>
      <c r="AC435" s="86"/>
      <c r="AD435" s="86"/>
      <c r="AE435" s="86"/>
      <c r="AF435" s="86"/>
      <c r="AG435" s="86"/>
      <c r="AH435" s="82"/>
    </row>
    <row r="436">
      <c r="A436" s="78"/>
      <c r="B436" s="79"/>
      <c r="C436" s="80"/>
      <c r="D436" s="80"/>
      <c r="E436" s="80"/>
      <c r="F436" s="80"/>
      <c r="G436" s="80"/>
      <c r="H436" s="80"/>
      <c r="I436" s="80"/>
      <c r="J436" s="80"/>
      <c r="K436" s="82"/>
      <c r="L436" s="80"/>
      <c r="M436" s="80"/>
      <c r="N436" s="80"/>
      <c r="O436" s="80"/>
      <c r="P436" s="80"/>
      <c r="Q436" s="83"/>
      <c r="R436" s="80"/>
      <c r="S436" s="80"/>
      <c r="T436" s="80"/>
      <c r="U436" s="80"/>
      <c r="V436" s="84"/>
      <c r="W436" s="80"/>
      <c r="X436" s="85"/>
      <c r="Y436" s="86"/>
      <c r="Z436" s="86"/>
      <c r="AA436" s="86"/>
      <c r="AB436" s="86"/>
      <c r="AC436" s="86"/>
      <c r="AD436" s="86"/>
      <c r="AE436" s="86"/>
      <c r="AF436" s="86"/>
      <c r="AG436" s="86"/>
      <c r="AH436" s="82"/>
    </row>
    <row r="437">
      <c r="A437" s="78"/>
      <c r="B437" s="79"/>
      <c r="C437" s="80"/>
      <c r="D437" s="80"/>
      <c r="E437" s="80"/>
      <c r="F437" s="80"/>
      <c r="G437" s="80"/>
      <c r="H437" s="80"/>
      <c r="I437" s="80"/>
      <c r="J437" s="80"/>
      <c r="K437" s="82"/>
      <c r="L437" s="80"/>
      <c r="M437" s="80"/>
      <c r="N437" s="80"/>
      <c r="O437" s="80"/>
      <c r="P437" s="80"/>
      <c r="Q437" s="83"/>
      <c r="R437" s="80"/>
      <c r="S437" s="80"/>
      <c r="T437" s="80"/>
      <c r="U437" s="80"/>
      <c r="V437" s="84"/>
      <c r="W437" s="80"/>
      <c r="X437" s="85"/>
      <c r="Y437" s="86"/>
      <c r="Z437" s="86"/>
      <c r="AA437" s="86"/>
      <c r="AB437" s="86"/>
      <c r="AC437" s="86"/>
      <c r="AD437" s="86"/>
      <c r="AE437" s="86"/>
      <c r="AF437" s="86"/>
      <c r="AG437" s="86"/>
      <c r="AH437" s="82"/>
    </row>
    <row r="438">
      <c r="A438" s="78"/>
      <c r="B438" s="79"/>
      <c r="C438" s="80"/>
      <c r="D438" s="80"/>
      <c r="E438" s="80"/>
      <c r="F438" s="80"/>
      <c r="G438" s="80"/>
      <c r="H438" s="80"/>
      <c r="I438" s="80"/>
      <c r="J438" s="80"/>
      <c r="K438" s="82"/>
      <c r="L438" s="80"/>
      <c r="M438" s="80"/>
      <c r="N438" s="80"/>
      <c r="O438" s="80"/>
      <c r="P438" s="80"/>
      <c r="Q438" s="83"/>
      <c r="R438" s="80"/>
      <c r="S438" s="80"/>
      <c r="T438" s="80"/>
      <c r="U438" s="80"/>
      <c r="V438" s="84"/>
      <c r="W438" s="80"/>
      <c r="X438" s="85"/>
      <c r="Y438" s="86"/>
      <c r="Z438" s="86"/>
      <c r="AA438" s="86"/>
      <c r="AB438" s="86"/>
      <c r="AC438" s="86"/>
      <c r="AD438" s="86"/>
      <c r="AE438" s="86"/>
      <c r="AF438" s="86"/>
      <c r="AG438" s="86"/>
      <c r="AH438" s="82"/>
    </row>
    <row r="439">
      <c r="A439" s="78"/>
      <c r="B439" s="79"/>
      <c r="C439" s="80"/>
      <c r="D439" s="80"/>
      <c r="E439" s="80"/>
      <c r="F439" s="80"/>
      <c r="G439" s="80"/>
      <c r="H439" s="80"/>
      <c r="I439" s="80"/>
      <c r="J439" s="80"/>
      <c r="K439" s="82"/>
      <c r="L439" s="80"/>
      <c r="M439" s="80"/>
      <c r="N439" s="80"/>
      <c r="O439" s="80"/>
      <c r="P439" s="80"/>
      <c r="Q439" s="83"/>
      <c r="R439" s="80"/>
      <c r="S439" s="80"/>
      <c r="T439" s="80"/>
      <c r="U439" s="80"/>
      <c r="V439" s="84"/>
      <c r="W439" s="80"/>
      <c r="X439" s="85"/>
      <c r="Y439" s="86"/>
      <c r="Z439" s="86"/>
      <c r="AA439" s="86"/>
      <c r="AB439" s="86"/>
      <c r="AC439" s="86"/>
      <c r="AD439" s="86"/>
      <c r="AE439" s="86"/>
      <c r="AF439" s="86"/>
      <c r="AG439" s="86"/>
      <c r="AH439" s="82"/>
    </row>
    <row r="440">
      <c r="A440" s="78"/>
      <c r="B440" s="79"/>
      <c r="C440" s="80"/>
      <c r="D440" s="80"/>
      <c r="E440" s="80"/>
      <c r="F440" s="80"/>
      <c r="G440" s="80"/>
      <c r="H440" s="80"/>
      <c r="I440" s="80"/>
      <c r="J440" s="80"/>
      <c r="K440" s="82"/>
      <c r="L440" s="80"/>
      <c r="M440" s="80"/>
      <c r="N440" s="80"/>
      <c r="O440" s="80"/>
      <c r="P440" s="80"/>
      <c r="Q440" s="83"/>
      <c r="R440" s="80"/>
      <c r="S440" s="80"/>
      <c r="T440" s="80"/>
      <c r="U440" s="80"/>
      <c r="V440" s="84"/>
      <c r="W440" s="80"/>
      <c r="X440" s="85"/>
      <c r="Y440" s="86"/>
      <c r="Z440" s="86"/>
      <c r="AA440" s="86"/>
      <c r="AB440" s="86"/>
      <c r="AC440" s="86"/>
      <c r="AD440" s="86"/>
      <c r="AE440" s="86"/>
      <c r="AF440" s="86"/>
      <c r="AG440" s="86"/>
      <c r="AH440" s="82"/>
    </row>
    <row r="441">
      <c r="A441" s="78"/>
      <c r="B441" s="79"/>
      <c r="C441" s="80"/>
      <c r="D441" s="80"/>
      <c r="E441" s="80"/>
      <c r="F441" s="80"/>
      <c r="G441" s="80"/>
      <c r="H441" s="80"/>
      <c r="I441" s="80"/>
      <c r="J441" s="80"/>
      <c r="K441" s="82"/>
      <c r="L441" s="80"/>
      <c r="M441" s="80"/>
      <c r="N441" s="80"/>
      <c r="O441" s="80"/>
      <c r="P441" s="80"/>
      <c r="Q441" s="83"/>
      <c r="R441" s="80"/>
      <c r="S441" s="80"/>
      <c r="T441" s="80"/>
      <c r="U441" s="80"/>
      <c r="V441" s="84"/>
      <c r="W441" s="80"/>
      <c r="X441" s="85"/>
      <c r="Y441" s="86"/>
      <c r="Z441" s="86"/>
      <c r="AA441" s="86"/>
      <c r="AB441" s="86"/>
      <c r="AC441" s="86"/>
      <c r="AD441" s="86"/>
      <c r="AE441" s="86"/>
      <c r="AF441" s="86"/>
      <c r="AG441" s="86"/>
      <c r="AH441" s="82"/>
    </row>
    <row r="442">
      <c r="A442" s="78"/>
      <c r="B442" s="79"/>
      <c r="C442" s="80"/>
      <c r="D442" s="80"/>
      <c r="E442" s="80"/>
      <c r="F442" s="80"/>
      <c r="G442" s="80"/>
      <c r="H442" s="80"/>
      <c r="I442" s="80"/>
      <c r="J442" s="80"/>
      <c r="K442" s="82"/>
      <c r="L442" s="80"/>
      <c r="M442" s="80"/>
      <c r="N442" s="80"/>
      <c r="O442" s="80"/>
      <c r="P442" s="80"/>
      <c r="Q442" s="83"/>
      <c r="R442" s="80"/>
      <c r="S442" s="80"/>
      <c r="T442" s="80"/>
      <c r="U442" s="80"/>
      <c r="V442" s="84"/>
      <c r="W442" s="80"/>
      <c r="X442" s="85"/>
      <c r="Y442" s="86"/>
      <c r="Z442" s="86"/>
      <c r="AA442" s="86"/>
      <c r="AB442" s="86"/>
      <c r="AC442" s="86"/>
      <c r="AD442" s="86"/>
      <c r="AE442" s="86"/>
      <c r="AF442" s="86"/>
      <c r="AG442" s="86"/>
      <c r="AH442" s="82"/>
    </row>
    <row r="443">
      <c r="A443" s="78"/>
      <c r="B443" s="79"/>
      <c r="C443" s="80"/>
      <c r="D443" s="80"/>
      <c r="E443" s="80"/>
      <c r="F443" s="80"/>
      <c r="G443" s="80"/>
      <c r="H443" s="80"/>
      <c r="I443" s="80"/>
      <c r="J443" s="80"/>
      <c r="K443" s="82"/>
      <c r="L443" s="80"/>
      <c r="M443" s="80"/>
      <c r="N443" s="80"/>
      <c r="O443" s="80"/>
      <c r="P443" s="80"/>
      <c r="Q443" s="83"/>
      <c r="R443" s="80"/>
      <c r="S443" s="80"/>
      <c r="T443" s="80"/>
      <c r="U443" s="80"/>
      <c r="V443" s="84"/>
      <c r="W443" s="80"/>
      <c r="X443" s="85"/>
      <c r="Y443" s="86"/>
      <c r="Z443" s="86"/>
      <c r="AA443" s="86"/>
      <c r="AB443" s="86"/>
      <c r="AC443" s="86"/>
      <c r="AD443" s="86"/>
      <c r="AE443" s="86"/>
      <c r="AF443" s="86"/>
      <c r="AG443" s="86"/>
      <c r="AH443" s="82"/>
    </row>
    <row r="444">
      <c r="A444" s="78"/>
      <c r="B444" s="79"/>
      <c r="C444" s="80"/>
      <c r="D444" s="80"/>
      <c r="E444" s="80"/>
      <c r="F444" s="80"/>
      <c r="G444" s="80"/>
      <c r="H444" s="80"/>
      <c r="I444" s="80"/>
      <c r="J444" s="80"/>
      <c r="K444" s="82"/>
      <c r="L444" s="80"/>
      <c r="M444" s="80"/>
      <c r="N444" s="80"/>
      <c r="O444" s="80"/>
      <c r="P444" s="80"/>
      <c r="Q444" s="83"/>
      <c r="R444" s="80"/>
      <c r="S444" s="80"/>
      <c r="T444" s="80"/>
      <c r="U444" s="80"/>
      <c r="V444" s="84"/>
      <c r="W444" s="80"/>
      <c r="X444" s="85"/>
      <c r="Y444" s="86"/>
      <c r="Z444" s="86"/>
      <c r="AA444" s="86"/>
      <c r="AB444" s="86"/>
      <c r="AC444" s="86"/>
      <c r="AD444" s="86"/>
      <c r="AE444" s="86"/>
      <c r="AF444" s="86"/>
      <c r="AG444" s="86"/>
      <c r="AH444" s="82"/>
    </row>
    <row r="445">
      <c r="A445" s="78"/>
      <c r="B445" s="79"/>
      <c r="C445" s="80"/>
      <c r="D445" s="80"/>
      <c r="E445" s="80"/>
      <c r="F445" s="80"/>
      <c r="G445" s="80"/>
      <c r="H445" s="80"/>
      <c r="I445" s="80"/>
      <c r="J445" s="80"/>
      <c r="K445" s="82"/>
      <c r="L445" s="80"/>
      <c r="M445" s="80"/>
      <c r="N445" s="80"/>
      <c r="O445" s="80"/>
      <c r="P445" s="80"/>
      <c r="Q445" s="83"/>
      <c r="R445" s="80"/>
      <c r="S445" s="80"/>
      <c r="T445" s="80"/>
      <c r="U445" s="80"/>
      <c r="V445" s="84"/>
      <c r="W445" s="80"/>
      <c r="X445" s="85"/>
      <c r="Y445" s="86"/>
      <c r="Z445" s="86"/>
      <c r="AA445" s="86"/>
      <c r="AB445" s="86"/>
      <c r="AC445" s="86"/>
      <c r="AD445" s="86"/>
      <c r="AE445" s="86"/>
      <c r="AF445" s="86"/>
      <c r="AG445" s="86"/>
      <c r="AH445" s="82"/>
    </row>
    <row r="446">
      <c r="A446" s="78"/>
      <c r="B446" s="79"/>
      <c r="C446" s="80"/>
      <c r="D446" s="80"/>
      <c r="E446" s="80"/>
      <c r="F446" s="80"/>
      <c r="G446" s="80"/>
      <c r="H446" s="80"/>
      <c r="I446" s="80"/>
      <c r="J446" s="80"/>
      <c r="K446" s="82"/>
      <c r="L446" s="80"/>
      <c r="M446" s="80"/>
      <c r="N446" s="80"/>
      <c r="O446" s="80"/>
      <c r="P446" s="80"/>
      <c r="Q446" s="83"/>
      <c r="R446" s="80"/>
      <c r="S446" s="80"/>
      <c r="T446" s="80"/>
      <c r="U446" s="80"/>
      <c r="V446" s="84"/>
      <c r="W446" s="80"/>
      <c r="X446" s="85"/>
      <c r="Y446" s="86"/>
      <c r="Z446" s="86"/>
      <c r="AA446" s="86"/>
      <c r="AB446" s="86"/>
      <c r="AC446" s="86"/>
      <c r="AD446" s="86"/>
      <c r="AE446" s="86"/>
      <c r="AF446" s="86"/>
      <c r="AG446" s="86"/>
      <c r="AH446" s="82"/>
    </row>
    <row r="447">
      <c r="A447" s="78"/>
      <c r="B447" s="79"/>
      <c r="C447" s="80"/>
      <c r="D447" s="80"/>
      <c r="E447" s="80"/>
      <c r="F447" s="80"/>
      <c r="G447" s="80"/>
      <c r="H447" s="80"/>
      <c r="I447" s="80"/>
      <c r="J447" s="80"/>
      <c r="K447" s="82"/>
      <c r="L447" s="80"/>
      <c r="M447" s="80"/>
      <c r="N447" s="80"/>
      <c r="O447" s="80"/>
      <c r="P447" s="80"/>
      <c r="Q447" s="83"/>
      <c r="R447" s="80"/>
      <c r="S447" s="80"/>
      <c r="T447" s="80"/>
      <c r="U447" s="80"/>
      <c r="V447" s="84"/>
      <c r="W447" s="80"/>
      <c r="X447" s="85"/>
      <c r="Y447" s="86"/>
      <c r="Z447" s="86"/>
      <c r="AA447" s="86"/>
      <c r="AB447" s="86"/>
      <c r="AC447" s="86"/>
      <c r="AD447" s="86"/>
      <c r="AE447" s="86"/>
      <c r="AF447" s="86"/>
      <c r="AG447" s="86"/>
      <c r="AH447" s="82"/>
    </row>
    <row r="448">
      <c r="A448" s="78"/>
      <c r="B448" s="79"/>
      <c r="C448" s="80"/>
      <c r="D448" s="80"/>
      <c r="E448" s="80"/>
      <c r="F448" s="80"/>
      <c r="G448" s="80"/>
      <c r="H448" s="80"/>
      <c r="I448" s="80"/>
      <c r="J448" s="80"/>
      <c r="K448" s="82"/>
      <c r="L448" s="80"/>
      <c r="M448" s="80"/>
      <c r="N448" s="80"/>
      <c r="O448" s="80"/>
      <c r="P448" s="80"/>
      <c r="Q448" s="83"/>
      <c r="R448" s="80"/>
      <c r="S448" s="80"/>
      <c r="T448" s="80"/>
      <c r="U448" s="80"/>
      <c r="V448" s="84"/>
      <c r="W448" s="80"/>
      <c r="X448" s="85"/>
      <c r="Y448" s="86"/>
      <c r="Z448" s="86"/>
      <c r="AA448" s="86"/>
      <c r="AB448" s="86"/>
      <c r="AC448" s="86"/>
      <c r="AD448" s="86"/>
      <c r="AE448" s="86"/>
      <c r="AF448" s="86"/>
      <c r="AG448" s="86"/>
      <c r="AH448" s="82"/>
    </row>
    <row r="449">
      <c r="A449" s="78"/>
      <c r="B449" s="79"/>
      <c r="C449" s="80"/>
      <c r="D449" s="80"/>
      <c r="E449" s="80"/>
      <c r="F449" s="80"/>
      <c r="G449" s="80"/>
      <c r="H449" s="80"/>
      <c r="I449" s="80"/>
      <c r="J449" s="80"/>
      <c r="K449" s="82"/>
      <c r="L449" s="80"/>
      <c r="M449" s="80"/>
      <c r="N449" s="80"/>
      <c r="O449" s="80"/>
      <c r="P449" s="80"/>
      <c r="Q449" s="83"/>
      <c r="R449" s="80"/>
      <c r="S449" s="80"/>
      <c r="T449" s="80"/>
      <c r="U449" s="80"/>
      <c r="V449" s="84"/>
      <c r="W449" s="80"/>
      <c r="X449" s="85"/>
      <c r="Y449" s="86"/>
      <c r="Z449" s="86"/>
      <c r="AA449" s="86"/>
      <c r="AB449" s="86"/>
      <c r="AC449" s="86"/>
      <c r="AD449" s="86"/>
      <c r="AE449" s="86"/>
      <c r="AF449" s="86"/>
      <c r="AG449" s="86"/>
      <c r="AH449" s="82"/>
    </row>
    <row r="450">
      <c r="A450" s="78"/>
      <c r="B450" s="79"/>
      <c r="C450" s="80"/>
      <c r="D450" s="80"/>
      <c r="E450" s="80"/>
      <c r="F450" s="80"/>
      <c r="G450" s="80"/>
      <c r="H450" s="80"/>
      <c r="I450" s="80"/>
      <c r="J450" s="80"/>
      <c r="K450" s="82"/>
      <c r="L450" s="80"/>
      <c r="M450" s="80"/>
      <c r="N450" s="80"/>
      <c r="O450" s="80"/>
      <c r="P450" s="80"/>
      <c r="Q450" s="83"/>
      <c r="R450" s="80"/>
      <c r="S450" s="80"/>
      <c r="T450" s="80"/>
      <c r="U450" s="80"/>
      <c r="V450" s="84"/>
      <c r="W450" s="80"/>
      <c r="X450" s="85"/>
      <c r="Y450" s="86"/>
      <c r="Z450" s="86"/>
      <c r="AA450" s="86"/>
      <c r="AB450" s="86"/>
      <c r="AC450" s="86"/>
      <c r="AD450" s="86"/>
      <c r="AE450" s="86"/>
      <c r="AF450" s="86"/>
      <c r="AG450" s="86"/>
      <c r="AH450" s="82"/>
    </row>
    <row r="451">
      <c r="A451" s="78"/>
      <c r="B451" s="79"/>
      <c r="C451" s="80"/>
      <c r="D451" s="80"/>
      <c r="E451" s="80"/>
      <c r="F451" s="80"/>
      <c r="G451" s="80"/>
      <c r="H451" s="80"/>
      <c r="I451" s="80"/>
      <c r="J451" s="80"/>
      <c r="K451" s="82"/>
      <c r="L451" s="80"/>
      <c r="M451" s="80"/>
      <c r="N451" s="80"/>
      <c r="O451" s="80"/>
      <c r="P451" s="80"/>
      <c r="Q451" s="83"/>
      <c r="R451" s="80"/>
      <c r="S451" s="80"/>
      <c r="T451" s="80"/>
      <c r="U451" s="80"/>
      <c r="V451" s="84"/>
      <c r="W451" s="80"/>
      <c r="X451" s="85"/>
      <c r="Y451" s="86"/>
      <c r="Z451" s="86"/>
      <c r="AA451" s="86"/>
      <c r="AB451" s="86"/>
      <c r="AC451" s="86"/>
      <c r="AD451" s="86"/>
      <c r="AE451" s="86"/>
      <c r="AF451" s="86"/>
      <c r="AG451" s="86"/>
      <c r="AH451" s="82"/>
    </row>
    <row r="452">
      <c r="A452" s="78"/>
      <c r="B452" s="79"/>
      <c r="C452" s="80"/>
      <c r="D452" s="80"/>
      <c r="E452" s="80"/>
      <c r="F452" s="80"/>
      <c r="G452" s="80"/>
      <c r="H452" s="80"/>
      <c r="I452" s="80"/>
      <c r="J452" s="80"/>
      <c r="K452" s="82"/>
      <c r="L452" s="80"/>
      <c r="M452" s="80"/>
      <c r="N452" s="80"/>
      <c r="O452" s="80"/>
      <c r="P452" s="80"/>
      <c r="Q452" s="83"/>
      <c r="R452" s="80"/>
      <c r="S452" s="80"/>
      <c r="T452" s="80"/>
      <c r="U452" s="80"/>
      <c r="V452" s="84"/>
      <c r="W452" s="80"/>
      <c r="X452" s="85"/>
      <c r="Y452" s="86"/>
      <c r="Z452" s="86"/>
      <c r="AA452" s="86"/>
      <c r="AB452" s="86"/>
      <c r="AC452" s="86"/>
      <c r="AD452" s="86"/>
      <c r="AE452" s="86"/>
      <c r="AF452" s="86"/>
      <c r="AG452" s="86"/>
      <c r="AH452" s="82"/>
    </row>
    <row r="453">
      <c r="A453" s="78"/>
      <c r="B453" s="79"/>
      <c r="C453" s="80"/>
      <c r="D453" s="80"/>
      <c r="E453" s="80"/>
      <c r="F453" s="80"/>
      <c r="G453" s="80"/>
      <c r="H453" s="80"/>
      <c r="I453" s="80"/>
      <c r="J453" s="80"/>
      <c r="K453" s="82"/>
      <c r="L453" s="80"/>
      <c r="M453" s="80"/>
      <c r="N453" s="80"/>
      <c r="O453" s="80"/>
      <c r="P453" s="80"/>
      <c r="Q453" s="83"/>
      <c r="R453" s="80"/>
      <c r="S453" s="80"/>
      <c r="T453" s="80"/>
      <c r="U453" s="80"/>
      <c r="V453" s="84"/>
      <c r="W453" s="80"/>
      <c r="X453" s="85"/>
      <c r="Y453" s="86"/>
      <c r="Z453" s="86"/>
      <c r="AA453" s="86"/>
      <c r="AB453" s="86"/>
      <c r="AC453" s="86"/>
      <c r="AD453" s="86"/>
      <c r="AE453" s="86"/>
      <c r="AF453" s="86"/>
      <c r="AG453" s="86"/>
      <c r="AH453" s="82"/>
    </row>
    <row r="454">
      <c r="A454" s="78"/>
      <c r="B454" s="79"/>
      <c r="C454" s="80"/>
      <c r="D454" s="80"/>
      <c r="E454" s="80"/>
      <c r="F454" s="80"/>
      <c r="G454" s="80"/>
      <c r="H454" s="80"/>
      <c r="I454" s="80"/>
      <c r="J454" s="80"/>
      <c r="K454" s="82"/>
      <c r="L454" s="80"/>
      <c r="M454" s="80"/>
      <c r="N454" s="80"/>
      <c r="O454" s="80"/>
      <c r="P454" s="80"/>
      <c r="Q454" s="83"/>
      <c r="R454" s="80"/>
      <c r="S454" s="80"/>
      <c r="T454" s="80"/>
      <c r="U454" s="80"/>
      <c r="V454" s="84"/>
      <c r="W454" s="80"/>
      <c r="X454" s="85"/>
      <c r="Y454" s="86"/>
      <c r="Z454" s="86"/>
      <c r="AA454" s="86"/>
      <c r="AB454" s="86"/>
      <c r="AC454" s="86"/>
      <c r="AD454" s="86"/>
      <c r="AE454" s="86"/>
      <c r="AF454" s="86"/>
      <c r="AG454" s="86"/>
      <c r="AH454" s="82"/>
    </row>
    <row r="455">
      <c r="A455" s="78"/>
      <c r="B455" s="79"/>
      <c r="C455" s="80"/>
      <c r="D455" s="80"/>
      <c r="E455" s="80"/>
      <c r="F455" s="80"/>
      <c r="G455" s="80"/>
      <c r="H455" s="80"/>
      <c r="I455" s="80"/>
      <c r="J455" s="80"/>
      <c r="K455" s="82"/>
      <c r="L455" s="80"/>
      <c r="M455" s="80"/>
      <c r="N455" s="80"/>
      <c r="O455" s="80"/>
      <c r="P455" s="80"/>
      <c r="Q455" s="83"/>
      <c r="R455" s="80"/>
      <c r="S455" s="80"/>
      <c r="T455" s="80"/>
      <c r="U455" s="80"/>
      <c r="V455" s="84"/>
      <c r="W455" s="80"/>
      <c r="X455" s="85"/>
      <c r="Y455" s="86"/>
      <c r="Z455" s="86"/>
      <c r="AA455" s="86"/>
      <c r="AB455" s="86"/>
      <c r="AC455" s="86"/>
      <c r="AD455" s="86"/>
      <c r="AE455" s="86"/>
      <c r="AF455" s="86"/>
      <c r="AG455" s="86"/>
      <c r="AH455" s="82"/>
    </row>
    <row r="456">
      <c r="A456" s="78"/>
      <c r="B456" s="79"/>
      <c r="C456" s="80"/>
      <c r="D456" s="80"/>
      <c r="E456" s="80"/>
      <c r="F456" s="80"/>
      <c r="G456" s="80"/>
      <c r="H456" s="80"/>
      <c r="I456" s="80"/>
      <c r="J456" s="80"/>
      <c r="K456" s="82"/>
      <c r="L456" s="80"/>
      <c r="M456" s="80"/>
      <c r="N456" s="80"/>
      <c r="O456" s="80"/>
      <c r="P456" s="80"/>
      <c r="Q456" s="83"/>
      <c r="R456" s="80"/>
      <c r="S456" s="80"/>
      <c r="T456" s="80"/>
      <c r="U456" s="80"/>
      <c r="V456" s="84"/>
      <c r="W456" s="80"/>
      <c r="X456" s="85"/>
      <c r="Y456" s="86"/>
      <c r="Z456" s="86"/>
      <c r="AA456" s="86"/>
      <c r="AB456" s="86"/>
      <c r="AC456" s="86"/>
      <c r="AD456" s="86"/>
      <c r="AE456" s="86"/>
      <c r="AF456" s="86"/>
      <c r="AG456" s="86"/>
      <c r="AH456" s="82"/>
    </row>
    <row r="457">
      <c r="A457" s="78"/>
      <c r="B457" s="79"/>
      <c r="C457" s="80"/>
      <c r="D457" s="80"/>
      <c r="E457" s="80"/>
      <c r="F457" s="80"/>
      <c r="G457" s="80"/>
      <c r="H457" s="80"/>
      <c r="I457" s="80"/>
      <c r="J457" s="80"/>
      <c r="K457" s="82"/>
      <c r="L457" s="80"/>
      <c r="M457" s="80"/>
      <c r="N457" s="80"/>
      <c r="O457" s="80"/>
      <c r="P457" s="80"/>
      <c r="Q457" s="83"/>
      <c r="R457" s="80"/>
      <c r="S457" s="80"/>
      <c r="T457" s="80"/>
      <c r="U457" s="80"/>
      <c r="V457" s="84"/>
      <c r="W457" s="80"/>
      <c r="X457" s="85"/>
      <c r="Y457" s="86"/>
      <c r="Z457" s="86"/>
      <c r="AA457" s="86"/>
      <c r="AB457" s="86"/>
      <c r="AC457" s="86"/>
      <c r="AD457" s="86"/>
      <c r="AE457" s="86"/>
      <c r="AF457" s="86"/>
      <c r="AG457" s="86"/>
      <c r="AH457" s="82"/>
    </row>
    <row r="458">
      <c r="A458" s="78"/>
      <c r="B458" s="79"/>
      <c r="C458" s="80"/>
      <c r="D458" s="80"/>
      <c r="E458" s="80"/>
      <c r="F458" s="80"/>
      <c r="G458" s="80"/>
      <c r="H458" s="80"/>
      <c r="I458" s="80"/>
      <c r="J458" s="80"/>
      <c r="K458" s="82"/>
      <c r="L458" s="80"/>
      <c r="M458" s="80"/>
      <c r="N458" s="80"/>
      <c r="O458" s="80"/>
      <c r="P458" s="80"/>
      <c r="Q458" s="83"/>
      <c r="R458" s="80"/>
      <c r="S458" s="80"/>
      <c r="T458" s="80"/>
      <c r="U458" s="80"/>
      <c r="V458" s="84"/>
      <c r="W458" s="80"/>
      <c r="X458" s="85"/>
      <c r="Y458" s="86"/>
      <c r="Z458" s="86"/>
      <c r="AA458" s="86"/>
      <c r="AB458" s="86"/>
      <c r="AC458" s="86"/>
      <c r="AD458" s="86"/>
      <c r="AE458" s="86"/>
      <c r="AF458" s="86"/>
      <c r="AG458" s="86"/>
      <c r="AH458" s="82"/>
    </row>
    <row r="459">
      <c r="A459" s="78"/>
      <c r="B459" s="79"/>
      <c r="C459" s="80"/>
      <c r="D459" s="80"/>
      <c r="E459" s="80"/>
      <c r="F459" s="80"/>
      <c r="G459" s="80"/>
      <c r="H459" s="80"/>
      <c r="I459" s="80"/>
      <c r="J459" s="80"/>
      <c r="K459" s="82"/>
      <c r="L459" s="80"/>
      <c r="M459" s="80"/>
      <c r="N459" s="80"/>
      <c r="O459" s="80"/>
      <c r="P459" s="80"/>
      <c r="Q459" s="83"/>
      <c r="R459" s="80"/>
      <c r="S459" s="80"/>
      <c r="T459" s="80"/>
      <c r="U459" s="80"/>
      <c r="V459" s="84"/>
      <c r="W459" s="80"/>
      <c r="X459" s="85"/>
      <c r="Y459" s="86"/>
      <c r="Z459" s="86"/>
      <c r="AA459" s="86"/>
      <c r="AB459" s="86"/>
      <c r="AC459" s="86"/>
      <c r="AD459" s="86"/>
      <c r="AE459" s="86"/>
      <c r="AF459" s="86"/>
      <c r="AG459" s="86"/>
      <c r="AH459" s="82"/>
    </row>
    <row r="460">
      <c r="A460" s="78"/>
      <c r="B460" s="79"/>
      <c r="C460" s="80"/>
      <c r="D460" s="80"/>
      <c r="E460" s="80"/>
      <c r="F460" s="80"/>
      <c r="G460" s="80"/>
      <c r="H460" s="80"/>
      <c r="I460" s="80"/>
      <c r="J460" s="80"/>
      <c r="K460" s="82"/>
      <c r="L460" s="80"/>
      <c r="M460" s="80"/>
      <c r="N460" s="80"/>
      <c r="O460" s="80"/>
      <c r="P460" s="80"/>
      <c r="Q460" s="83"/>
      <c r="R460" s="80"/>
      <c r="S460" s="80"/>
      <c r="T460" s="80"/>
      <c r="U460" s="80"/>
      <c r="V460" s="84"/>
      <c r="W460" s="80"/>
      <c r="X460" s="85"/>
      <c r="Y460" s="86"/>
      <c r="Z460" s="86"/>
      <c r="AA460" s="86"/>
      <c r="AB460" s="86"/>
      <c r="AC460" s="86"/>
      <c r="AD460" s="86"/>
      <c r="AE460" s="86"/>
      <c r="AF460" s="86"/>
      <c r="AG460" s="86"/>
      <c r="AH460" s="82"/>
    </row>
    <row r="461">
      <c r="A461" s="78"/>
      <c r="B461" s="79"/>
      <c r="C461" s="80"/>
      <c r="D461" s="80"/>
      <c r="E461" s="80"/>
      <c r="F461" s="80"/>
      <c r="G461" s="80"/>
      <c r="H461" s="80"/>
      <c r="I461" s="80"/>
      <c r="J461" s="80"/>
      <c r="K461" s="82"/>
      <c r="L461" s="80"/>
      <c r="M461" s="80"/>
      <c r="N461" s="80"/>
      <c r="O461" s="80"/>
      <c r="P461" s="80"/>
      <c r="Q461" s="83"/>
      <c r="R461" s="80"/>
      <c r="S461" s="80"/>
      <c r="T461" s="80"/>
      <c r="U461" s="80"/>
      <c r="V461" s="84"/>
      <c r="W461" s="80"/>
      <c r="X461" s="85"/>
      <c r="Y461" s="86"/>
      <c r="Z461" s="86"/>
      <c r="AA461" s="86"/>
      <c r="AB461" s="86"/>
      <c r="AC461" s="86"/>
      <c r="AD461" s="86"/>
      <c r="AE461" s="86"/>
      <c r="AF461" s="86"/>
      <c r="AG461" s="86"/>
      <c r="AH461" s="82"/>
    </row>
    <row r="462">
      <c r="A462" s="78"/>
      <c r="B462" s="79"/>
      <c r="C462" s="80"/>
      <c r="D462" s="80"/>
      <c r="E462" s="80"/>
      <c r="F462" s="80"/>
      <c r="G462" s="80"/>
      <c r="H462" s="80"/>
      <c r="I462" s="80"/>
      <c r="J462" s="80"/>
      <c r="K462" s="82"/>
      <c r="L462" s="80"/>
      <c r="M462" s="80"/>
      <c r="N462" s="80"/>
      <c r="O462" s="80"/>
      <c r="P462" s="80"/>
      <c r="Q462" s="83"/>
      <c r="R462" s="80"/>
      <c r="S462" s="80"/>
      <c r="T462" s="80"/>
      <c r="U462" s="80"/>
      <c r="V462" s="84"/>
      <c r="W462" s="80"/>
      <c r="X462" s="85"/>
      <c r="Y462" s="86"/>
      <c r="Z462" s="86"/>
      <c r="AA462" s="86"/>
      <c r="AB462" s="86"/>
      <c r="AC462" s="86"/>
      <c r="AD462" s="86"/>
      <c r="AE462" s="86"/>
      <c r="AF462" s="86"/>
      <c r="AG462" s="86"/>
      <c r="AH462" s="82"/>
    </row>
    <row r="463">
      <c r="A463" s="78"/>
      <c r="B463" s="79"/>
      <c r="C463" s="80"/>
      <c r="D463" s="80"/>
      <c r="E463" s="80"/>
      <c r="F463" s="80"/>
      <c r="G463" s="80"/>
      <c r="H463" s="80"/>
      <c r="I463" s="80"/>
      <c r="J463" s="80"/>
      <c r="K463" s="82"/>
      <c r="L463" s="80"/>
      <c r="M463" s="80"/>
      <c r="N463" s="80"/>
      <c r="O463" s="80"/>
      <c r="P463" s="80"/>
      <c r="Q463" s="83"/>
      <c r="R463" s="80"/>
      <c r="S463" s="80"/>
      <c r="T463" s="80"/>
      <c r="U463" s="80"/>
      <c r="V463" s="84"/>
      <c r="W463" s="80"/>
      <c r="X463" s="85"/>
      <c r="Y463" s="86"/>
      <c r="Z463" s="86"/>
      <c r="AA463" s="86"/>
      <c r="AB463" s="86"/>
      <c r="AC463" s="86"/>
      <c r="AD463" s="86"/>
      <c r="AE463" s="86"/>
      <c r="AF463" s="86"/>
      <c r="AG463" s="86"/>
      <c r="AH463" s="82"/>
    </row>
    <row r="464">
      <c r="A464" s="78"/>
      <c r="B464" s="79"/>
      <c r="C464" s="80"/>
      <c r="D464" s="80"/>
      <c r="E464" s="80"/>
      <c r="F464" s="80"/>
      <c r="G464" s="80"/>
      <c r="H464" s="80"/>
      <c r="I464" s="80"/>
      <c r="J464" s="80"/>
      <c r="K464" s="82"/>
      <c r="L464" s="80"/>
      <c r="M464" s="80"/>
      <c r="N464" s="80"/>
      <c r="O464" s="80"/>
      <c r="P464" s="80"/>
      <c r="Q464" s="83"/>
      <c r="R464" s="80"/>
      <c r="S464" s="80"/>
      <c r="T464" s="80"/>
      <c r="U464" s="80"/>
      <c r="V464" s="84"/>
      <c r="W464" s="80"/>
      <c r="X464" s="85"/>
      <c r="Y464" s="86"/>
      <c r="Z464" s="86"/>
      <c r="AA464" s="86"/>
      <c r="AB464" s="86"/>
      <c r="AC464" s="86"/>
      <c r="AD464" s="86"/>
      <c r="AE464" s="86"/>
      <c r="AF464" s="86"/>
      <c r="AG464" s="86"/>
      <c r="AH464" s="82"/>
    </row>
    <row r="465">
      <c r="A465" s="78"/>
      <c r="B465" s="79"/>
      <c r="C465" s="80"/>
      <c r="D465" s="80"/>
      <c r="E465" s="80"/>
      <c r="F465" s="80"/>
      <c r="G465" s="80"/>
      <c r="H465" s="80"/>
      <c r="I465" s="80"/>
      <c r="J465" s="80"/>
      <c r="K465" s="82"/>
      <c r="L465" s="80"/>
      <c r="M465" s="80"/>
      <c r="N465" s="80"/>
      <c r="O465" s="80"/>
      <c r="P465" s="80"/>
      <c r="Q465" s="83"/>
      <c r="R465" s="80"/>
      <c r="S465" s="80"/>
      <c r="T465" s="80"/>
      <c r="U465" s="80"/>
      <c r="V465" s="84"/>
      <c r="W465" s="80"/>
      <c r="X465" s="85"/>
      <c r="Y465" s="86"/>
      <c r="Z465" s="86"/>
      <c r="AA465" s="86"/>
      <c r="AB465" s="86"/>
      <c r="AC465" s="86"/>
      <c r="AD465" s="86"/>
      <c r="AE465" s="86"/>
      <c r="AF465" s="86"/>
      <c r="AG465" s="86"/>
      <c r="AH465" s="82"/>
    </row>
    <row r="466">
      <c r="A466" s="78"/>
      <c r="B466" s="79"/>
      <c r="C466" s="80"/>
      <c r="D466" s="80"/>
      <c r="E466" s="80"/>
      <c r="F466" s="80"/>
      <c r="G466" s="80"/>
      <c r="H466" s="80"/>
      <c r="I466" s="80"/>
      <c r="J466" s="80"/>
      <c r="K466" s="82"/>
      <c r="L466" s="80"/>
      <c r="M466" s="80"/>
      <c r="N466" s="80"/>
      <c r="O466" s="80"/>
      <c r="P466" s="80"/>
      <c r="Q466" s="83"/>
      <c r="R466" s="80"/>
      <c r="S466" s="80"/>
      <c r="T466" s="80"/>
      <c r="U466" s="80"/>
      <c r="V466" s="84"/>
      <c r="W466" s="80"/>
      <c r="X466" s="85"/>
      <c r="Y466" s="86"/>
      <c r="Z466" s="86"/>
      <c r="AA466" s="86"/>
      <c r="AB466" s="86"/>
      <c r="AC466" s="86"/>
      <c r="AD466" s="86"/>
      <c r="AE466" s="86"/>
      <c r="AF466" s="86"/>
      <c r="AG466" s="86"/>
      <c r="AH466" s="82"/>
    </row>
    <row r="467">
      <c r="A467" s="78"/>
      <c r="B467" s="79"/>
      <c r="C467" s="80"/>
      <c r="D467" s="80"/>
      <c r="E467" s="80"/>
      <c r="F467" s="80"/>
      <c r="G467" s="80"/>
      <c r="H467" s="80"/>
      <c r="I467" s="80"/>
      <c r="J467" s="80"/>
      <c r="K467" s="82"/>
      <c r="L467" s="80"/>
      <c r="M467" s="80"/>
      <c r="N467" s="80"/>
      <c r="O467" s="80"/>
      <c r="P467" s="80"/>
      <c r="Q467" s="83"/>
      <c r="R467" s="80"/>
      <c r="S467" s="80"/>
      <c r="T467" s="80"/>
      <c r="U467" s="80"/>
      <c r="V467" s="84"/>
      <c r="W467" s="80"/>
      <c r="X467" s="85"/>
      <c r="Y467" s="86"/>
      <c r="Z467" s="86"/>
      <c r="AA467" s="86"/>
      <c r="AB467" s="86"/>
      <c r="AC467" s="86"/>
      <c r="AD467" s="86"/>
      <c r="AE467" s="86"/>
      <c r="AF467" s="86"/>
      <c r="AG467" s="86"/>
      <c r="AH467" s="82"/>
    </row>
    <row r="468">
      <c r="A468" s="78"/>
      <c r="B468" s="79"/>
      <c r="C468" s="80"/>
      <c r="D468" s="80"/>
      <c r="E468" s="80"/>
      <c r="F468" s="80"/>
      <c r="G468" s="80"/>
      <c r="H468" s="80"/>
      <c r="I468" s="80"/>
      <c r="J468" s="80"/>
      <c r="K468" s="82"/>
      <c r="L468" s="80"/>
      <c r="M468" s="80"/>
      <c r="N468" s="80"/>
      <c r="O468" s="80"/>
      <c r="P468" s="80"/>
      <c r="Q468" s="83"/>
      <c r="R468" s="80"/>
      <c r="S468" s="80"/>
      <c r="T468" s="80"/>
      <c r="U468" s="80"/>
      <c r="V468" s="84"/>
      <c r="W468" s="80"/>
      <c r="X468" s="85"/>
      <c r="Y468" s="86"/>
      <c r="Z468" s="86"/>
      <c r="AA468" s="86"/>
      <c r="AB468" s="86"/>
      <c r="AC468" s="86"/>
      <c r="AD468" s="86"/>
      <c r="AE468" s="86"/>
      <c r="AF468" s="86"/>
      <c r="AG468" s="86"/>
      <c r="AH468" s="82"/>
    </row>
    <row r="469">
      <c r="A469" s="78"/>
      <c r="B469" s="79"/>
      <c r="C469" s="80"/>
      <c r="D469" s="80"/>
      <c r="E469" s="80"/>
      <c r="F469" s="80"/>
      <c r="G469" s="80"/>
      <c r="H469" s="80"/>
      <c r="I469" s="80"/>
      <c r="J469" s="80"/>
      <c r="K469" s="82"/>
      <c r="L469" s="80"/>
      <c r="M469" s="80"/>
      <c r="N469" s="80"/>
      <c r="O469" s="80"/>
      <c r="P469" s="80"/>
      <c r="Q469" s="83"/>
      <c r="R469" s="80"/>
      <c r="S469" s="80"/>
      <c r="T469" s="80"/>
      <c r="U469" s="80"/>
      <c r="V469" s="84"/>
      <c r="W469" s="80"/>
      <c r="X469" s="85"/>
      <c r="Y469" s="86"/>
      <c r="Z469" s="86"/>
      <c r="AA469" s="86"/>
      <c r="AB469" s="86"/>
      <c r="AC469" s="86"/>
      <c r="AD469" s="86"/>
      <c r="AE469" s="86"/>
      <c r="AF469" s="86"/>
      <c r="AG469" s="86"/>
      <c r="AH469" s="82"/>
    </row>
    <row r="470">
      <c r="A470" s="78"/>
      <c r="B470" s="79"/>
      <c r="C470" s="80"/>
      <c r="D470" s="80"/>
      <c r="E470" s="80"/>
      <c r="F470" s="80"/>
      <c r="G470" s="80"/>
      <c r="H470" s="80"/>
      <c r="I470" s="80"/>
      <c r="J470" s="80"/>
      <c r="K470" s="82"/>
      <c r="L470" s="80"/>
      <c r="M470" s="80"/>
      <c r="N470" s="80"/>
      <c r="O470" s="80"/>
      <c r="P470" s="80"/>
      <c r="Q470" s="83"/>
      <c r="R470" s="80"/>
      <c r="S470" s="80"/>
      <c r="T470" s="80"/>
      <c r="U470" s="80"/>
      <c r="V470" s="84"/>
      <c r="W470" s="80"/>
      <c r="X470" s="85"/>
      <c r="Y470" s="86"/>
      <c r="Z470" s="86"/>
      <c r="AA470" s="86"/>
      <c r="AB470" s="86"/>
      <c r="AC470" s="86"/>
      <c r="AD470" s="86"/>
      <c r="AE470" s="86"/>
      <c r="AF470" s="86"/>
      <c r="AG470" s="86"/>
      <c r="AH470" s="82"/>
    </row>
    <row r="471">
      <c r="A471" s="78"/>
      <c r="B471" s="79"/>
      <c r="C471" s="80"/>
      <c r="D471" s="80"/>
      <c r="E471" s="80"/>
      <c r="F471" s="80"/>
      <c r="G471" s="80"/>
      <c r="H471" s="80"/>
      <c r="I471" s="80"/>
      <c r="J471" s="80"/>
      <c r="K471" s="82"/>
      <c r="L471" s="80"/>
      <c r="M471" s="80"/>
      <c r="N471" s="80"/>
      <c r="O471" s="80"/>
      <c r="P471" s="80"/>
      <c r="Q471" s="83"/>
      <c r="R471" s="80"/>
      <c r="S471" s="80"/>
      <c r="T471" s="80"/>
      <c r="U471" s="80"/>
      <c r="V471" s="84"/>
      <c r="W471" s="80"/>
      <c r="X471" s="85"/>
      <c r="Y471" s="86"/>
      <c r="Z471" s="86"/>
      <c r="AA471" s="86"/>
      <c r="AB471" s="86"/>
      <c r="AC471" s="86"/>
      <c r="AD471" s="86"/>
      <c r="AE471" s="86"/>
      <c r="AF471" s="86"/>
      <c r="AG471" s="86"/>
      <c r="AH471" s="82"/>
    </row>
    <row r="472">
      <c r="A472" s="78"/>
      <c r="B472" s="79"/>
      <c r="C472" s="80"/>
      <c r="D472" s="80"/>
      <c r="E472" s="80"/>
      <c r="F472" s="80"/>
      <c r="G472" s="80"/>
      <c r="H472" s="80"/>
      <c r="I472" s="80"/>
      <c r="J472" s="80"/>
      <c r="K472" s="82"/>
      <c r="L472" s="80"/>
      <c r="M472" s="80"/>
      <c r="N472" s="80"/>
      <c r="O472" s="80"/>
      <c r="P472" s="80"/>
      <c r="Q472" s="83"/>
      <c r="R472" s="80"/>
      <c r="S472" s="80"/>
      <c r="T472" s="80"/>
      <c r="U472" s="80"/>
      <c r="V472" s="84"/>
      <c r="W472" s="80"/>
      <c r="X472" s="85"/>
      <c r="Y472" s="86"/>
      <c r="Z472" s="86"/>
      <c r="AA472" s="86"/>
      <c r="AB472" s="86"/>
      <c r="AC472" s="86"/>
      <c r="AD472" s="86"/>
      <c r="AE472" s="86"/>
      <c r="AF472" s="86"/>
      <c r="AG472" s="86"/>
      <c r="AH472" s="82"/>
    </row>
    <row r="473">
      <c r="A473" s="78"/>
      <c r="B473" s="79"/>
      <c r="C473" s="80"/>
      <c r="D473" s="80"/>
      <c r="E473" s="80"/>
      <c r="F473" s="80"/>
      <c r="G473" s="80"/>
      <c r="H473" s="80"/>
      <c r="I473" s="80"/>
      <c r="J473" s="80"/>
      <c r="K473" s="82"/>
      <c r="L473" s="80"/>
      <c r="M473" s="80"/>
      <c r="N473" s="80"/>
      <c r="O473" s="80"/>
      <c r="P473" s="80"/>
      <c r="Q473" s="83"/>
      <c r="R473" s="80"/>
      <c r="S473" s="80"/>
      <c r="T473" s="80"/>
      <c r="U473" s="80"/>
      <c r="V473" s="84"/>
      <c r="W473" s="80"/>
      <c r="X473" s="85"/>
      <c r="Y473" s="86"/>
      <c r="Z473" s="86"/>
      <c r="AA473" s="86"/>
      <c r="AB473" s="86"/>
      <c r="AC473" s="86"/>
      <c r="AD473" s="86"/>
      <c r="AE473" s="86"/>
      <c r="AF473" s="86"/>
      <c r="AG473" s="86"/>
      <c r="AH473" s="82"/>
    </row>
    <row r="474">
      <c r="A474" s="78"/>
      <c r="B474" s="79"/>
      <c r="C474" s="80"/>
      <c r="D474" s="80"/>
      <c r="E474" s="80"/>
      <c r="F474" s="80"/>
      <c r="G474" s="80"/>
      <c r="H474" s="80"/>
      <c r="I474" s="80"/>
      <c r="J474" s="80"/>
      <c r="K474" s="82"/>
      <c r="L474" s="80"/>
      <c r="M474" s="80"/>
      <c r="N474" s="80"/>
      <c r="O474" s="80"/>
      <c r="P474" s="80"/>
      <c r="Q474" s="83"/>
      <c r="R474" s="80"/>
      <c r="S474" s="80"/>
      <c r="T474" s="80"/>
      <c r="U474" s="80"/>
      <c r="V474" s="84"/>
      <c r="W474" s="80"/>
      <c r="X474" s="85"/>
      <c r="Y474" s="86"/>
      <c r="Z474" s="86"/>
      <c r="AA474" s="86"/>
      <c r="AB474" s="86"/>
      <c r="AC474" s="86"/>
      <c r="AD474" s="86"/>
      <c r="AE474" s="86"/>
      <c r="AF474" s="86"/>
      <c r="AG474" s="86"/>
      <c r="AH474" s="82"/>
    </row>
    <row r="475">
      <c r="A475" s="78"/>
      <c r="B475" s="79"/>
      <c r="C475" s="80"/>
      <c r="D475" s="80"/>
      <c r="E475" s="80"/>
      <c r="F475" s="80"/>
      <c r="G475" s="80"/>
      <c r="H475" s="80"/>
      <c r="I475" s="80"/>
      <c r="J475" s="80"/>
      <c r="K475" s="82"/>
      <c r="L475" s="80"/>
      <c r="M475" s="80"/>
      <c r="N475" s="80"/>
      <c r="O475" s="80"/>
      <c r="P475" s="80"/>
      <c r="Q475" s="83"/>
      <c r="R475" s="80"/>
      <c r="S475" s="80"/>
      <c r="T475" s="80"/>
      <c r="U475" s="80"/>
      <c r="V475" s="84"/>
      <c r="W475" s="80"/>
      <c r="X475" s="85"/>
      <c r="Y475" s="86"/>
      <c r="Z475" s="86"/>
      <c r="AA475" s="86"/>
      <c r="AB475" s="86"/>
      <c r="AC475" s="86"/>
      <c r="AD475" s="86"/>
      <c r="AE475" s="86"/>
      <c r="AF475" s="86"/>
      <c r="AG475" s="86"/>
      <c r="AH475" s="82"/>
    </row>
    <row r="476">
      <c r="A476" s="78"/>
      <c r="B476" s="79"/>
      <c r="C476" s="80"/>
      <c r="D476" s="80"/>
      <c r="E476" s="80"/>
      <c r="F476" s="80"/>
      <c r="G476" s="80"/>
      <c r="H476" s="80"/>
      <c r="I476" s="80"/>
      <c r="J476" s="80"/>
      <c r="K476" s="82"/>
      <c r="L476" s="80"/>
      <c r="M476" s="80"/>
      <c r="N476" s="80"/>
      <c r="O476" s="80"/>
      <c r="P476" s="80"/>
      <c r="Q476" s="83"/>
      <c r="R476" s="80"/>
      <c r="S476" s="80"/>
      <c r="T476" s="80"/>
      <c r="U476" s="80"/>
      <c r="V476" s="84"/>
      <c r="W476" s="80"/>
      <c r="X476" s="85"/>
      <c r="Y476" s="86"/>
      <c r="Z476" s="86"/>
      <c r="AA476" s="86"/>
      <c r="AB476" s="86"/>
      <c r="AC476" s="86"/>
      <c r="AD476" s="86"/>
      <c r="AE476" s="86"/>
      <c r="AF476" s="86"/>
      <c r="AG476" s="86"/>
      <c r="AH476" s="82"/>
    </row>
    <row r="477">
      <c r="A477" s="78"/>
      <c r="B477" s="79"/>
      <c r="C477" s="80"/>
      <c r="D477" s="80"/>
      <c r="E477" s="80"/>
      <c r="F477" s="80"/>
      <c r="G477" s="80"/>
      <c r="H477" s="80"/>
      <c r="I477" s="80"/>
      <c r="J477" s="80"/>
      <c r="K477" s="82"/>
      <c r="L477" s="80"/>
      <c r="M477" s="80"/>
      <c r="N477" s="80"/>
      <c r="O477" s="80"/>
      <c r="P477" s="80"/>
      <c r="Q477" s="83"/>
      <c r="R477" s="80"/>
      <c r="S477" s="80"/>
      <c r="T477" s="80"/>
      <c r="U477" s="80"/>
      <c r="V477" s="84"/>
      <c r="W477" s="80"/>
      <c r="X477" s="85"/>
      <c r="Y477" s="86"/>
      <c r="Z477" s="86"/>
      <c r="AA477" s="86"/>
      <c r="AB477" s="86"/>
      <c r="AC477" s="86"/>
      <c r="AD477" s="86"/>
      <c r="AE477" s="86"/>
      <c r="AF477" s="86"/>
      <c r="AG477" s="86"/>
      <c r="AH477" s="82"/>
    </row>
    <row r="478">
      <c r="A478" s="78"/>
      <c r="B478" s="79"/>
      <c r="C478" s="80"/>
      <c r="D478" s="80"/>
      <c r="E478" s="80"/>
      <c r="F478" s="80"/>
      <c r="G478" s="80"/>
      <c r="H478" s="80"/>
      <c r="I478" s="80"/>
      <c r="J478" s="80"/>
      <c r="K478" s="82"/>
      <c r="L478" s="80"/>
      <c r="M478" s="80"/>
      <c r="N478" s="80"/>
      <c r="O478" s="80"/>
      <c r="P478" s="80"/>
      <c r="Q478" s="83"/>
      <c r="R478" s="80"/>
      <c r="S478" s="80"/>
      <c r="T478" s="80"/>
      <c r="U478" s="80"/>
      <c r="V478" s="84"/>
      <c r="W478" s="80"/>
      <c r="X478" s="85"/>
      <c r="Y478" s="86"/>
      <c r="Z478" s="86"/>
      <c r="AA478" s="86"/>
      <c r="AB478" s="86"/>
      <c r="AC478" s="86"/>
      <c r="AD478" s="86"/>
      <c r="AE478" s="86"/>
      <c r="AF478" s="86"/>
      <c r="AG478" s="86"/>
      <c r="AH478" s="82"/>
    </row>
    <row r="479">
      <c r="A479" s="78"/>
      <c r="B479" s="79"/>
      <c r="C479" s="80"/>
      <c r="D479" s="80"/>
      <c r="E479" s="80"/>
      <c r="F479" s="80"/>
      <c r="G479" s="80"/>
      <c r="H479" s="80"/>
      <c r="I479" s="80"/>
      <c r="J479" s="80"/>
      <c r="K479" s="82"/>
      <c r="L479" s="80"/>
      <c r="M479" s="80"/>
      <c r="N479" s="80"/>
      <c r="O479" s="80"/>
      <c r="P479" s="80"/>
      <c r="Q479" s="83"/>
      <c r="R479" s="80"/>
      <c r="S479" s="80"/>
      <c r="T479" s="80"/>
      <c r="U479" s="80"/>
      <c r="V479" s="84"/>
      <c r="W479" s="80"/>
      <c r="X479" s="85"/>
      <c r="Y479" s="86"/>
      <c r="Z479" s="86"/>
      <c r="AA479" s="86"/>
      <c r="AB479" s="86"/>
      <c r="AC479" s="86"/>
      <c r="AD479" s="86"/>
      <c r="AE479" s="86"/>
      <c r="AF479" s="86"/>
      <c r="AG479" s="86"/>
      <c r="AH479" s="82"/>
    </row>
    <row r="480">
      <c r="A480" s="78"/>
      <c r="B480" s="79"/>
      <c r="C480" s="80"/>
      <c r="D480" s="80"/>
      <c r="E480" s="80"/>
      <c r="F480" s="80"/>
      <c r="G480" s="80"/>
      <c r="H480" s="80"/>
      <c r="I480" s="80"/>
      <c r="J480" s="80"/>
      <c r="K480" s="82"/>
      <c r="L480" s="80"/>
      <c r="M480" s="80"/>
      <c r="N480" s="80"/>
      <c r="O480" s="80"/>
      <c r="P480" s="80"/>
      <c r="Q480" s="83"/>
      <c r="R480" s="80"/>
      <c r="S480" s="80"/>
      <c r="T480" s="80"/>
      <c r="U480" s="80"/>
      <c r="V480" s="84"/>
      <c r="W480" s="80"/>
      <c r="X480" s="85"/>
      <c r="Y480" s="86"/>
      <c r="Z480" s="86"/>
      <c r="AA480" s="86"/>
      <c r="AB480" s="86"/>
      <c r="AC480" s="86"/>
      <c r="AD480" s="86"/>
      <c r="AE480" s="86"/>
      <c r="AF480" s="86"/>
      <c r="AG480" s="86"/>
      <c r="AH480" s="82"/>
    </row>
    <row r="481">
      <c r="A481" s="78"/>
      <c r="B481" s="79"/>
      <c r="C481" s="80"/>
      <c r="D481" s="80"/>
      <c r="E481" s="80"/>
      <c r="F481" s="80"/>
      <c r="G481" s="80"/>
      <c r="H481" s="80"/>
      <c r="I481" s="80"/>
      <c r="J481" s="80"/>
      <c r="K481" s="82"/>
      <c r="L481" s="80"/>
      <c r="M481" s="80"/>
      <c r="N481" s="80"/>
      <c r="O481" s="80"/>
      <c r="P481" s="80"/>
      <c r="Q481" s="83"/>
      <c r="R481" s="80"/>
      <c r="S481" s="80"/>
      <c r="T481" s="80"/>
      <c r="U481" s="80"/>
      <c r="V481" s="84"/>
      <c r="W481" s="80"/>
      <c r="X481" s="85"/>
      <c r="Y481" s="86"/>
      <c r="Z481" s="86"/>
      <c r="AA481" s="86"/>
      <c r="AB481" s="86"/>
      <c r="AC481" s="86"/>
      <c r="AD481" s="86"/>
      <c r="AE481" s="86"/>
      <c r="AF481" s="86"/>
      <c r="AG481" s="86"/>
      <c r="AH481" s="82"/>
    </row>
    <row r="482">
      <c r="A482" s="78"/>
      <c r="B482" s="79"/>
      <c r="C482" s="80"/>
      <c r="D482" s="80"/>
      <c r="E482" s="80"/>
      <c r="F482" s="80"/>
      <c r="G482" s="80"/>
      <c r="H482" s="80"/>
      <c r="I482" s="80"/>
      <c r="J482" s="80"/>
      <c r="K482" s="82"/>
      <c r="L482" s="80"/>
      <c r="M482" s="80"/>
      <c r="N482" s="80"/>
      <c r="O482" s="80"/>
      <c r="P482" s="80"/>
      <c r="Q482" s="83"/>
      <c r="R482" s="80"/>
      <c r="S482" s="80"/>
      <c r="T482" s="80"/>
      <c r="U482" s="80"/>
      <c r="V482" s="84"/>
      <c r="W482" s="80"/>
      <c r="X482" s="85"/>
      <c r="Y482" s="86"/>
      <c r="Z482" s="86"/>
      <c r="AA482" s="86"/>
      <c r="AB482" s="86"/>
      <c r="AC482" s="86"/>
      <c r="AD482" s="86"/>
      <c r="AE482" s="86"/>
      <c r="AF482" s="86"/>
      <c r="AG482" s="86"/>
      <c r="AH482" s="82"/>
    </row>
    <row r="483">
      <c r="A483" s="78"/>
      <c r="B483" s="79"/>
      <c r="C483" s="80"/>
      <c r="D483" s="80"/>
      <c r="E483" s="80"/>
      <c r="F483" s="80"/>
      <c r="G483" s="80"/>
      <c r="H483" s="80"/>
      <c r="I483" s="80"/>
      <c r="J483" s="80"/>
      <c r="K483" s="82"/>
      <c r="L483" s="80"/>
      <c r="M483" s="80"/>
      <c r="N483" s="80"/>
      <c r="O483" s="80"/>
      <c r="P483" s="80"/>
      <c r="Q483" s="83"/>
      <c r="R483" s="80"/>
      <c r="S483" s="80"/>
      <c r="T483" s="80"/>
      <c r="U483" s="80"/>
      <c r="V483" s="84"/>
      <c r="W483" s="80"/>
      <c r="X483" s="85"/>
      <c r="Y483" s="86"/>
      <c r="Z483" s="86"/>
      <c r="AA483" s="86"/>
      <c r="AB483" s="86"/>
      <c r="AC483" s="86"/>
      <c r="AD483" s="86"/>
      <c r="AE483" s="86"/>
      <c r="AF483" s="86"/>
      <c r="AG483" s="86"/>
      <c r="AH483" s="82"/>
    </row>
    <row r="484">
      <c r="A484" s="78"/>
      <c r="B484" s="79"/>
      <c r="C484" s="80"/>
      <c r="D484" s="80"/>
      <c r="E484" s="80"/>
      <c r="F484" s="80"/>
      <c r="G484" s="80"/>
      <c r="H484" s="80"/>
      <c r="I484" s="80"/>
      <c r="J484" s="80"/>
      <c r="K484" s="82"/>
      <c r="L484" s="80"/>
      <c r="M484" s="80"/>
      <c r="N484" s="80"/>
      <c r="O484" s="80"/>
      <c r="P484" s="80"/>
      <c r="Q484" s="83"/>
      <c r="R484" s="80"/>
      <c r="S484" s="80"/>
      <c r="T484" s="80"/>
      <c r="U484" s="80"/>
      <c r="V484" s="84"/>
      <c r="W484" s="80"/>
      <c r="X484" s="85"/>
      <c r="Y484" s="86"/>
      <c r="Z484" s="86"/>
      <c r="AA484" s="86"/>
      <c r="AB484" s="86"/>
      <c r="AC484" s="86"/>
      <c r="AD484" s="86"/>
      <c r="AE484" s="86"/>
      <c r="AF484" s="86"/>
      <c r="AG484" s="86"/>
      <c r="AH484" s="82"/>
    </row>
    <row r="485">
      <c r="A485" s="78"/>
      <c r="B485" s="79"/>
      <c r="C485" s="80"/>
      <c r="D485" s="80"/>
      <c r="E485" s="80"/>
      <c r="F485" s="80"/>
      <c r="G485" s="80"/>
      <c r="H485" s="80"/>
      <c r="I485" s="80"/>
      <c r="J485" s="80"/>
      <c r="K485" s="82"/>
      <c r="L485" s="80"/>
      <c r="M485" s="80"/>
      <c r="N485" s="80"/>
      <c r="O485" s="80"/>
      <c r="P485" s="80"/>
      <c r="Q485" s="83"/>
      <c r="R485" s="80"/>
      <c r="S485" s="80"/>
      <c r="T485" s="80"/>
      <c r="U485" s="80"/>
      <c r="V485" s="84"/>
      <c r="W485" s="80"/>
      <c r="X485" s="85"/>
      <c r="Y485" s="86"/>
      <c r="Z485" s="86"/>
      <c r="AA485" s="86"/>
      <c r="AB485" s="86"/>
      <c r="AC485" s="86"/>
      <c r="AD485" s="86"/>
      <c r="AE485" s="86"/>
      <c r="AF485" s="86"/>
      <c r="AG485" s="86"/>
      <c r="AH485" s="82"/>
    </row>
    <row r="486">
      <c r="A486" s="78"/>
      <c r="B486" s="79"/>
      <c r="C486" s="80"/>
      <c r="D486" s="80"/>
      <c r="E486" s="80"/>
      <c r="F486" s="80"/>
      <c r="G486" s="80"/>
      <c r="H486" s="80"/>
      <c r="I486" s="80"/>
      <c r="J486" s="80"/>
      <c r="K486" s="82"/>
      <c r="L486" s="80"/>
      <c r="M486" s="80"/>
      <c r="N486" s="80"/>
      <c r="O486" s="80"/>
      <c r="P486" s="80"/>
      <c r="Q486" s="83"/>
      <c r="R486" s="80"/>
      <c r="S486" s="80"/>
      <c r="T486" s="80"/>
      <c r="U486" s="80"/>
      <c r="V486" s="84"/>
      <c r="W486" s="80"/>
      <c r="X486" s="85"/>
      <c r="Y486" s="86"/>
      <c r="Z486" s="86"/>
      <c r="AA486" s="86"/>
      <c r="AB486" s="86"/>
      <c r="AC486" s="86"/>
      <c r="AD486" s="86"/>
      <c r="AE486" s="86"/>
      <c r="AF486" s="86"/>
      <c r="AG486" s="86"/>
      <c r="AH486" s="82"/>
    </row>
    <row r="487">
      <c r="A487" s="78"/>
      <c r="B487" s="79"/>
      <c r="C487" s="80"/>
      <c r="D487" s="80"/>
      <c r="E487" s="80"/>
      <c r="F487" s="80"/>
      <c r="G487" s="80"/>
      <c r="H487" s="80"/>
      <c r="I487" s="80"/>
      <c r="J487" s="80"/>
      <c r="K487" s="82"/>
      <c r="L487" s="80"/>
      <c r="M487" s="80"/>
      <c r="N487" s="80"/>
      <c r="O487" s="80"/>
      <c r="P487" s="80"/>
      <c r="Q487" s="83"/>
      <c r="R487" s="80"/>
      <c r="S487" s="80"/>
      <c r="T487" s="80"/>
      <c r="U487" s="80"/>
      <c r="V487" s="84"/>
      <c r="W487" s="80"/>
      <c r="X487" s="85"/>
      <c r="Y487" s="86"/>
      <c r="Z487" s="86"/>
      <c r="AA487" s="86"/>
      <c r="AB487" s="86"/>
      <c r="AC487" s="86"/>
      <c r="AD487" s="86"/>
      <c r="AE487" s="86"/>
      <c r="AF487" s="86"/>
      <c r="AG487" s="86"/>
      <c r="AH487" s="82"/>
    </row>
    <row r="488">
      <c r="A488" s="78"/>
      <c r="B488" s="79"/>
      <c r="C488" s="80"/>
      <c r="D488" s="80"/>
      <c r="E488" s="80"/>
      <c r="F488" s="80"/>
      <c r="G488" s="80"/>
      <c r="H488" s="80"/>
      <c r="I488" s="80"/>
      <c r="J488" s="80"/>
      <c r="K488" s="82"/>
      <c r="L488" s="80"/>
      <c r="M488" s="80"/>
      <c r="N488" s="80"/>
      <c r="O488" s="80"/>
      <c r="P488" s="80"/>
      <c r="Q488" s="83"/>
      <c r="R488" s="80"/>
      <c r="S488" s="80"/>
      <c r="T488" s="80"/>
      <c r="U488" s="80"/>
      <c r="V488" s="84"/>
      <c r="W488" s="80"/>
      <c r="X488" s="85"/>
      <c r="Y488" s="86"/>
      <c r="Z488" s="86"/>
      <c r="AA488" s="86"/>
      <c r="AB488" s="86"/>
      <c r="AC488" s="86"/>
      <c r="AD488" s="86"/>
      <c r="AE488" s="86"/>
      <c r="AF488" s="86"/>
      <c r="AG488" s="86"/>
      <c r="AH488" s="82"/>
    </row>
    <row r="489">
      <c r="A489" s="78"/>
      <c r="B489" s="79"/>
      <c r="C489" s="80"/>
      <c r="D489" s="80"/>
      <c r="E489" s="80"/>
      <c r="F489" s="80"/>
      <c r="G489" s="80"/>
      <c r="H489" s="80"/>
      <c r="I489" s="80"/>
      <c r="J489" s="80"/>
      <c r="K489" s="82"/>
      <c r="L489" s="80"/>
      <c r="M489" s="80"/>
      <c r="N489" s="80"/>
      <c r="O489" s="80"/>
      <c r="P489" s="80"/>
      <c r="Q489" s="83"/>
      <c r="R489" s="80"/>
      <c r="S489" s="80"/>
      <c r="T489" s="80"/>
      <c r="U489" s="80"/>
      <c r="V489" s="84"/>
      <c r="W489" s="80"/>
      <c r="X489" s="85"/>
      <c r="Y489" s="86"/>
      <c r="Z489" s="86"/>
      <c r="AA489" s="86"/>
      <c r="AB489" s="86"/>
      <c r="AC489" s="86"/>
      <c r="AD489" s="86"/>
      <c r="AE489" s="86"/>
      <c r="AF489" s="86"/>
      <c r="AG489" s="86"/>
      <c r="AH489" s="82"/>
    </row>
    <row r="490">
      <c r="A490" s="78"/>
      <c r="B490" s="79"/>
      <c r="C490" s="80"/>
      <c r="D490" s="80"/>
      <c r="E490" s="80"/>
      <c r="F490" s="80"/>
      <c r="G490" s="80"/>
      <c r="H490" s="80"/>
      <c r="I490" s="80"/>
      <c r="J490" s="80"/>
      <c r="K490" s="82"/>
      <c r="L490" s="80"/>
      <c r="M490" s="80"/>
      <c r="N490" s="80"/>
      <c r="O490" s="80"/>
      <c r="P490" s="80"/>
      <c r="Q490" s="83"/>
      <c r="R490" s="80"/>
      <c r="S490" s="80"/>
      <c r="T490" s="80"/>
      <c r="U490" s="80"/>
      <c r="V490" s="84"/>
      <c r="W490" s="80"/>
      <c r="X490" s="85"/>
      <c r="Y490" s="86"/>
      <c r="Z490" s="86"/>
      <c r="AA490" s="86"/>
      <c r="AB490" s="86"/>
      <c r="AC490" s="86"/>
      <c r="AD490" s="86"/>
      <c r="AE490" s="86"/>
      <c r="AF490" s="86"/>
      <c r="AG490" s="86"/>
      <c r="AH490" s="82"/>
    </row>
    <row r="491">
      <c r="A491" s="78"/>
      <c r="B491" s="79"/>
      <c r="C491" s="80"/>
      <c r="D491" s="80"/>
      <c r="E491" s="80"/>
      <c r="F491" s="80"/>
      <c r="G491" s="80"/>
      <c r="H491" s="80"/>
      <c r="I491" s="80"/>
      <c r="J491" s="80"/>
      <c r="K491" s="82"/>
      <c r="L491" s="80"/>
      <c r="M491" s="80"/>
      <c r="N491" s="80"/>
      <c r="O491" s="80"/>
      <c r="P491" s="80"/>
      <c r="Q491" s="83"/>
      <c r="R491" s="80"/>
      <c r="S491" s="80"/>
      <c r="T491" s="80"/>
      <c r="U491" s="80"/>
      <c r="V491" s="84"/>
      <c r="W491" s="80"/>
      <c r="X491" s="85"/>
      <c r="Y491" s="86"/>
      <c r="Z491" s="86"/>
      <c r="AA491" s="86"/>
      <c r="AB491" s="86"/>
      <c r="AC491" s="86"/>
      <c r="AD491" s="86"/>
      <c r="AE491" s="86"/>
      <c r="AF491" s="86"/>
      <c r="AG491" s="86"/>
      <c r="AH491" s="82"/>
    </row>
    <row r="492">
      <c r="A492" s="78"/>
      <c r="B492" s="79"/>
      <c r="C492" s="80"/>
      <c r="D492" s="80"/>
      <c r="E492" s="80"/>
      <c r="F492" s="80"/>
      <c r="G492" s="80"/>
      <c r="H492" s="80"/>
      <c r="I492" s="80"/>
      <c r="J492" s="80"/>
      <c r="K492" s="82"/>
      <c r="L492" s="80"/>
      <c r="M492" s="80"/>
      <c r="N492" s="80"/>
      <c r="O492" s="80"/>
      <c r="P492" s="80"/>
      <c r="Q492" s="83"/>
      <c r="R492" s="80"/>
      <c r="S492" s="80"/>
      <c r="T492" s="80"/>
      <c r="U492" s="80"/>
      <c r="V492" s="84"/>
      <c r="W492" s="80"/>
      <c r="X492" s="85"/>
      <c r="Y492" s="86"/>
      <c r="Z492" s="86"/>
      <c r="AA492" s="86"/>
      <c r="AB492" s="86"/>
      <c r="AC492" s="86"/>
      <c r="AD492" s="86"/>
      <c r="AE492" s="86"/>
      <c r="AF492" s="86"/>
      <c r="AG492" s="86"/>
      <c r="AH492" s="82"/>
    </row>
    <row r="493">
      <c r="A493" s="78"/>
      <c r="B493" s="79"/>
      <c r="C493" s="80"/>
      <c r="D493" s="80"/>
      <c r="E493" s="80"/>
      <c r="F493" s="80"/>
      <c r="G493" s="80"/>
      <c r="H493" s="80"/>
      <c r="I493" s="80"/>
      <c r="J493" s="80"/>
      <c r="K493" s="82"/>
      <c r="L493" s="80"/>
      <c r="M493" s="80"/>
      <c r="N493" s="80"/>
      <c r="O493" s="80"/>
      <c r="P493" s="80"/>
      <c r="Q493" s="83"/>
      <c r="R493" s="80"/>
      <c r="S493" s="80"/>
      <c r="T493" s="80"/>
      <c r="U493" s="80"/>
      <c r="V493" s="84"/>
      <c r="W493" s="80"/>
      <c r="X493" s="85"/>
      <c r="Y493" s="86"/>
      <c r="Z493" s="86"/>
      <c r="AA493" s="86"/>
      <c r="AB493" s="86"/>
      <c r="AC493" s="86"/>
      <c r="AD493" s="86"/>
      <c r="AE493" s="86"/>
      <c r="AF493" s="86"/>
      <c r="AG493" s="86"/>
      <c r="AH493" s="82"/>
    </row>
    <row r="494">
      <c r="A494" s="78"/>
      <c r="B494" s="79"/>
      <c r="C494" s="80"/>
      <c r="D494" s="80"/>
      <c r="E494" s="80"/>
      <c r="F494" s="80"/>
      <c r="G494" s="80"/>
      <c r="H494" s="80"/>
      <c r="I494" s="80"/>
      <c r="J494" s="80"/>
      <c r="K494" s="82"/>
      <c r="L494" s="80"/>
      <c r="M494" s="80"/>
      <c r="N494" s="80"/>
      <c r="O494" s="80"/>
      <c r="P494" s="80"/>
      <c r="Q494" s="83"/>
      <c r="R494" s="80"/>
      <c r="S494" s="80"/>
      <c r="T494" s="80"/>
      <c r="U494" s="80"/>
      <c r="V494" s="84"/>
      <c r="W494" s="80"/>
      <c r="X494" s="85"/>
      <c r="Y494" s="86"/>
      <c r="Z494" s="86"/>
      <c r="AA494" s="86"/>
      <c r="AB494" s="86"/>
      <c r="AC494" s="86"/>
      <c r="AD494" s="86"/>
      <c r="AE494" s="86"/>
      <c r="AF494" s="86"/>
      <c r="AG494" s="86"/>
      <c r="AH494" s="82"/>
    </row>
    <row r="495">
      <c r="A495" s="78"/>
      <c r="B495" s="79"/>
      <c r="C495" s="80"/>
      <c r="D495" s="80"/>
      <c r="E495" s="80"/>
      <c r="F495" s="80"/>
      <c r="G495" s="80"/>
      <c r="H495" s="80"/>
      <c r="I495" s="80"/>
      <c r="J495" s="80"/>
      <c r="K495" s="82"/>
      <c r="L495" s="80"/>
      <c r="M495" s="80"/>
      <c r="N495" s="80"/>
      <c r="O495" s="80"/>
      <c r="P495" s="80"/>
      <c r="Q495" s="83"/>
      <c r="R495" s="80"/>
      <c r="S495" s="80"/>
      <c r="T495" s="80"/>
      <c r="U495" s="80"/>
      <c r="V495" s="84"/>
      <c r="W495" s="80"/>
      <c r="X495" s="85"/>
      <c r="Y495" s="86"/>
      <c r="Z495" s="86"/>
      <c r="AA495" s="86"/>
      <c r="AB495" s="86"/>
      <c r="AC495" s="86"/>
      <c r="AD495" s="86"/>
      <c r="AE495" s="86"/>
      <c r="AF495" s="86"/>
      <c r="AG495" s="86"/>
      <c r="AH495" s="82"/>
    </row>
    <row r="496">
      <c r="A496" s="78"/>
      <c r="B496" s="79"/>
      <c r="C496" s="80"/>
      <c r="D496" s="80"/>
      <c r="E496" s="80"/>
      <c r="F496" s="80"/>
      <c r="G496" s="80"/>
      <c r="H496" s="80"/>
      <c r="I496" s="80"/>
      <c r="J496" s="80"/>
      <c r="K496" s="82"/>
      <c r="L496" s="80"/>
      <c r="M496" s="80"/>
      <c r="N496" s="80"/>
      <c r="O496" s="80"/>
      <c r="P496" s="80"/>
      <c r="Q496" s="83"/>
      <c r="R496" s="80"/>
      <c r="S496" s="80"/>
      <c r="T496" s="80"/>
      <c r="U496" s="80"/>
      <c r="V496" s="84"/>
      <c r="W496" s="80"/>
      <c r="X496" s="85"/>
      <c r="Y496" s="86"/>
      <c r="Z496" s="86"/>
      <c r="AA496" s="86"/>
      <c r="AB496" s="86"/>
      <c r="AC496" s="86"/>
      <c r="AD496" s="86"/>
      <c r="AE496" s="86"/>
      <c r="AF496" s="86"/>
      <c r="AG496" s="86"/>
      <c r="AH496" s="82"/>
    </row>
    <row r="497">
      <c r="A497" s="78"/>
      <c r="B497" s="79"/>
      <c r="C497" s="80"/>
      <c r="D497" s="80"/>
      <c r="E497" s="80"/>
      <c r="F497" s="80"/>
      <c r="G497" s="80"/>
      <c r="H497" s="80"/>
      <c r="I497" s="80"/>
      <c r="J497" s="80"/>
      <c r="K497" s="82"/>
      <c r="L497" s="80"/>
      <c r="M497" s="80"/>
      <c r="N497" s="80"/>
      <c r="O497" s="80"/>
      <c r="P497" s="80"/>
      <c r="Q497" s="83"/>
      <c r="R497" s="80"/>
      <c r="S497" s="80"/>
      <c r="T497" s="80"/>
      <c r="U497" s="80"/>
      <c r="V497" s="84"/>
      <c r="W497" s="80"/>
      <c r="X497" s="85"/>
      <c r="Y497" s="86"/>
      <c r="Z497" s="86"/>
      <c r="AA497" s="86"/>
      <c r="AB497" s="86"/>
      <c r="AC497" s="86"/>
      <c r="AD497" s="86"/>
      <c r="AE497" s="86"/>
      <c r="AF497" s="86"/>
      <c r="AG497" s="86"/>
      <c r="AH497" s="82"/>
    </row>
    <row r="498">
      <c r="A498" s="78"/>
      <c r="B498" s="79"/>
      <c r="C498" s="80"/>
      <c r="D498" s="80"/>
      <c r="E498" s="80"/>
      <c r="F498" s="80"/>
      <c r="G498" s="80"/>
      <c r="H498" s="80"/>
      <c r="I498" s="80"/>
      <c r="J498" s="80"/>
      <c r="K498" s="82"/>
      <c r="L498" s="80"/>
      <c r="M498" s="80"/>
      <c r="N498" s="80"/>
      <c r="O498" s="80"/>
      <c r="P498" s="80"/>
      <c r="Q498" s="83"/>
      <c r="R498" s="80"/>
      <c r="S498" s="80"/>
      <c r="T498" s="80"/>
      <c r="U498" s="80"/>
      <c r="V498" s="84"/>
      <c r="W498" s="80"/>
      <c r="X498" s="85"/>
      <c r="Y498" s="86"/>
      <c r="Z498" s="86"/>
      <c r="AA498" s="86"/>
      <c r="AB498" s="86"/>
      <c r="AC498" s="86"/>
      <c r="AD498" s="86"/>
      <c r="AE498" s="86"/>
      <c r="AF498" s="86"/>
      <c r="AG498" s="86"/>
      <c r="AH498" s="82"/>
    </row>
    <row r="499">
      <c r="A499" s="78"/>
      <c r="B499" s="79"/>
      <c r="C499" s="80"/>
      <c r="D499" s="80"/>
      <c r="E499" s="80"/>
      <c r="F499" s="80"/>
      <c r="G499" s="80"/>
      <c r="H499" s="80"/>
      <c r="I499" s="80"/>
      <c r="J499" s="80"/>
      <c r="K499" s="82"/>
      <c r="L499" s="80"/>
      <c r="M499" s="80"/>
      <c r="N499" s="80"/>
      <c r="O499" s="80"/>
      <c r="P499" s="80"/>
      <c r="Q499" s="83"/>
      <c r="R499" s="80"/>
      <c r="S499" s="80"/>
      <c r="T499" s="80"/>
      <c r="U499" s="80"/>
      <c r="V499" s="84"/>
      <c r="W499" s="80"/>
      <c r="X499" s="85"/>
      <c r="Y499" s="86"/>
      <c r="Z499" s="86"/>
      <c r="AA499" s="86"/>
      <c r="AB499" s="86"/>
      <c r="AC499" s="86"/>
      <c r="AD499" s="86"/>
      <c r="AE499" s="86"/>
      <c r="AF499" s="86"/>
      <c r="AG499" s="86"/>
      <c r="AH499" s="82"/>
    </row>
    <row r="500">
      <c r="A500" s="78"/>
      <c r="B500" s="79"/>
      <c r="C500" s="80"/>
      <c r="D500" s="80"/>
      <c r="E500" s="80"/>
      <c r="F500" s="80"/>
      <c r="G500" s="80"/>
      <c r="H500" s="80"/>
      <c r="I500" s="80"/>
      <c r="J500" s="80"/>
      <c r="K500" s="82"/>
      <c r="L500" s="80"/>
      <c r="M500" s="80"/>
      <c r="N500" s="80"/>
      <c r="O500" s="80"/>
      <c r="P500" s="80"/>
      <c r="Q500" s="83"/>
      <c r="R500" s="80"/>
      <c r="S500" s="80"/>
      <c r="T500" s="80"/>
      <c r="U500" s="80"/>
      <c r="V500" s="84"/>
      <c r="W500" s="80"/>
      <c r="X500" s="85"/>
      <c r="Y500" s="86"/>
      <c r="Z500" s="86"/>
      <c r="AA500" s="86"/>
      <c r="AB500" s="86"/>
      <c r="AC500" s="86"/>
      <c r="AD500" s="86"/>
      <c r="AE500" s="86"/>
      <c r="AF500" s="86"/>
      <c r="AG500" s="86"/>
      <c r="AH500" s="82"/>
    </row>
    <row r="501">
      <c r="A501" s="78"/>
      <c r="B501" s="79"/>
      <c r="C501" s="80"/>
      <c r="D501" s="80"/>
      <c r="E501" s="80"/>
      <c r="F501" s="80"/>
      <c r="G501" s="80"/>
      <c r="H501" s="80"/>
      <c r="I501" s="80"/>
      <c r="J501" s="80"/>
      <c r="K501" s="82"/>
      <c r="L501" s="80"/>
      <c r="M501" s="80"/>
      <c r="N501" s="80"/>
      <c r="O501" s="80"/>
      <c r="P501" s="80"/>
      <c r="Q501" s="83"/>
      <c r="R501" s="80"/>
      <c r="S501" s="80"/>
      <c r="T501" s="80"/>
      <c r="U501" s="80"/>
      <c r="V501" s="84"/>
      <c r="W501" s="80"/>
      <c r="X501" s="85"/>
      <c r="Y501" s="86"/>
      <c r="Z501" s="86"/>
      <c r="AA501" s="86"/>
      <c r="AB501" s="86"/>
      <c r="AC501" s="86"/>
      <c r="AD501" s="86"/>
      <c r="AE501" s="86"/>
      <c r="AF501" s="86"/>
      <c r="AG501" s="86"/>
      <c r="AH501" s="82"/>
    </row>
    <row r="502">
      <c r="A502" s="78"/>
      <c r="B502" s="79"/>
      <c r="C502" s="80"/>
      <c r="D502" s="80"/>
      <c r="E502" s="80"/>
      <c r="F502" s="80"/>
      <c r="G502" s="80"/>
      <c r="H502" s="80"/>
      <c r="I502" s="80"/>
      <c r="J502" s="80"/>
      <c r="K502" s="82"/>
      <c r="L502" s="80"/>
      <c r="M502" s="80"/>
      <c r="N502" s="80"/>
      <c r="O502" s="80"/>
      <c r="P502" s="80"/>
      <c r="Q502" s="83"/>
      <c r="R502" s="80"/>
      <c r="S502" s="80"/>
      <c r="T502" s="80"/>
      <c r="U502" s="80"/>
      <c r="V502" s="84"/>
      <c r="W502" s="80"/>
      <c r="X502" s="85"/>
      <c r="Y502" s="86"/>
      <c r="Z502" s="86"/>
      <c r="AA502" s="86"/>
      <c r="AB502" s="86"/>
      <c r="AC502" s="86"/>
      <c r="AD502" s="86"/>
      <c r="AE502" s="86"/>
      <c r="AF502" s="86"/>
      <c r="AG502" s="86"/>
      <c r="AH502" s="82"/>
    </row>
    <row r="503">
      <c r="A503" s="78"/>
      <c r="B503" s="79"/>
      <c r="C503" s="80"/>
      <c r="D503" s="80"/>
      <c r="E503" s="80"/>
      <c r="F503" s="80"/>
      <c r="G503" s="80"/>
      <c r="H503" s="80"/>
      <c r="I503" s="80"/>
      <c r="J503" s="80"/>
      <c r="K503" s="82"/>
      <c r="L503" s="80"/>
      <c r="M503" s="80"/>
      <c r="N503" s="80"/>
      <c r="O503" s="80"/>
      <c r="P503" s="80"/>
      <c r="Q503" s="83"/>
      <c r="R503" s="80"/>
      <c r="S503" s="80"/>
      <c r="T503" s="80"/>
      <c r="U503" s="80"/>
      <c r="V503" s="84"/>
      <c r="W503" s="80"/>
      <c r="X503" s="85"/>
      <c r="Y503" s="86"/>
      <c r="Z503" s="86"/>
      <c r="AA503" s="86"/>
      <c r="AB503" s="86"/>
      <c r="AC503" s="86"/>
      <c r="AD503" s="86"/>
      <c r="AE503" s="86"/>
      <c r="AF503" s="86"/>
      <c r="AG503" s="86"/>
      <c r="AH503" s="82"/>
    </row>
    <row r="504">
      <c r="A504" s="78"/>
      <c r="B504" s="79"/>
      <c r="C504" s="80"/>
      <c r="D504" s="80"/>
      <c r="E504" s="80"/>
      <c r="F504" s="80"/>
      <c r="G504" s="80"/>
      <c r="H504" s="80"/>
      <c r="I504" s="80"/>
      <c r="J504" s="80"/>
      <c r="K504" s="82"/>
      <c r="L504" s="80"/>
      <c r="M504" s="80"/>
      <c r="N504" s="80"/>
      <c r="O504" s="80"/>
      <c r="P504" s="80"/>
      <c r="Q504" s="83"/>
      <c r="R504" s="80"/>
      <c r="S504" s="80"/>
      <c r="T504" s="80"/>
      <c r="U504" s="80"/>
      <c r="V504" s="84"/>
      <c r="W504" s="80"/>
      <c r="X504" s="85"/>
      <c r="Y504" s="86"/>
      <c r="Z504" s="86"/>
      <c r="AA504" s="86"/>
      <c r="AB504" s="86"/>
      <c r="AC504" s="86"/>
      <c r="AD504" s="86"/>
      <c r="AE504" s="86"/>
      <c r="AF504" s="86"/>
      <c r="AG504" s="86"/>
      <c r="AH504" s="82"/>
    </row>
    <row r="505">
      <c r="A505" s="78"/>
      <c r="B505" s="79"/>
      <c r="C505" s="80"/>
      <c r="D505" s="80"/>
      <c r="E505" s="80"/>
      <c r="F505" s="80"/>
      <c r="G505" s="80"/>
      <c r="H505" s="80"/>
      <c r="I505" s="80"/>
      <c r="J505" s="80"/>
      <c r="K505" s="82"/>
      <c r="L505" s="80"/>
      <c r="M505" s="80"/>
      <c r="N505" s="80"/>
      <c r="O505" s="80"/>
      <c r="P505" s="80"/>
      <c r="Q505" s="83"/>
      <c r="R505" s="80"/>
      <c r="S505" s="80"/>
      <c r="T505" s="80"/>
      <c r="U505" s="80"/>
      <c r="V505" s="84"/>
      <c r="W505" s="80"/>
      <c r="X505" s="85"/>
      <c r="Y505" s="86"/>
      <c r="Z505" s="86"/>
      <c r="AA505" s="86"/>
      <c r="AB505" s="86"/>
      <c r="AC505" s="86"/>
      <c r="AD505" s="86"/>
      <c r="AE505" s="86"/>
      <c r="AF505" s="86"/>
      <c r="AG505" s="86"/>
      <c r="AH505" s="82"/>
    </row>
    <row r="506">
      <c r="A506" s="78"/>
      <c r="B506" s="79"/>
      <c r="C506" s="80"/>
      <c r="D506" s="80"/>
      <c r="E506" s="80"/>
      <c r="F506" s="80"/>
      <c r="G506" s="80"/>
      <c r="H506" s="80"/>
      <c r="I506" s="80"/>
      <c r="J506" s="80"/>
      <c r="K506" s="82"/>
      <c r="L506" s="80"/>
      <c r="M506" s="80"/>
      <c r="N506" s="80"/>
      <c r="O506" s="80"/>
      <c r="P506" s="80"/>
      <c r="Q506" s="83"/>
      <c r="R506" s="80"/>
      <c r="S506" s="80"/>
      <c r="T506" s="80"/>
      <c r="U506" s="80"/>
      <c r="V506" s="84"/>
      <c r="W506" s="80"/>
      <c r="X506" s="85"/>
      <c r="Y506" s="86"/>
      <c r="Z506" s="86"/>
      <c r="AA506" s="86"/>
      <c r="AB506" s="86"/>
      <c r="AC506" s="86"/>
      <c r="AD506" s="86"/>
      <c r="AE506" s="86"/>
      <c r="AF506" s="86"/>
      <c r="AG506" s="86"/>
      <c r="AH506" s="82"/>
    </row>
    <row r="507">
      <c r="A507" s="78"/>
      <c r="B507" s="79"/>
      <c r="C507" s="80"/>
      <c r="D507" s="80"/>
      <c r="E507" s="80"/>
      <c r="F507" s="80"/>
      <c r="G507" s="80"/>
      <c r="H507" s="80"/>
      <c r="I507" s="80"/>
      <c r="J507" s="80"/>
      <c r="K507" s="82"/>
      <c r="L507" s="80"/>
      <c r="M507" s="80"/>
      <c r="N507" s="80"/>
      <c r="O507" s="80"/>
      <c r="P507" s="80"/>
      <c r="Q507" s="83"/>
      <c r="R507" s="80"/>
      <c r="S507" s="80"/>
      <c r="T507" s="80"/>
      <c r="U507" s="80"/>
      <c r="V507" s="84"/>
      <c r="W507" s="80"/>
      <c r="X507" s="85"/>
      <c r="Y507" s="86"/>
      <c r="Z507" s="86"/>
      <c r="AA507" s="86"/>
      <c r="AB507" s="86"/>
      <c r="AC507" s="86"/>
      <c r="AD507" s="86"/>
      <c r="AE507" s="86"/>
      <c r="AF507" s="86"/>
      <c r="AG507" s="86"/>
      <c r="AH507" s="82"/>
    </row>
    <row r="508">
      <c r="A508" s="78"/>
      <c r="B508" s="79"/>
      <c r="C508" s="80"/>
      <c r="D508" s="80"/>
      <c r="E508" s="80"/>
      <c r="F508" s="80"/>
      <c r="G508" s="80"/>
      <c r="H508" s="80"/>
      <c r="I508" s="80"/>
      <c r="J508" s="80"/>
      <c r="K508" s="82"/>
      <c r="L508" s="80"/>
      <c r="M508" s="80"/>
      <c r="N508" s="80"/>
      <c r="O508" s="80"/>
      <c r="P508" s="80"/>
      <c r="Q508" s="83"/>
      <c r="R508" s="80"/>
      <c r="S508" s="80"/>
      <c r="T508" s="80"/>
      <c r="U508" s="80"/>
      <c r="V508" s="84"/>
      <c r="W508" s="80"/>
      <c r="X508" s="85"/>
      <c r="Y508" s="86"/>
      <c r="Z508" s="86"/>
      <c r="AA508" s="86"/>
      <c r="AB508" s="86"/>
      <c r="AC508" s="86"/>
      <c r="AD508" s="86"/>
      <c r="AE508" s="86"/>
      <c r="AF508" s="86"/>
      <c r="AG508" s="86"/>
      <c r="AH508" s="82"/>
    </row>
    <row r="509">
      <c r="A509" s="78"/>
      <c r="B509" s="79"/>
      <c r="C509" s="80"/>
      <c r="D509" s="80"/>
      <c r="E509" s="80"/>
      <c r="F509" s="80"/>
      <c r="G509" s="80"/>
      <c r="H509" s="80"/>
      <c r="I509" s="80"/>
      <c r="J509" s="80"/>
      <c r="K509" s="82"/>
      <c r="L509" s="80"/>
      <c r="M509" s="80"/>
      <c r="N509" s="80"/>
      <c r="O509" s="80"/>
      <c r="P509" s="80"/>
      <c r="Q509" s="83"/>
      <c r="R509" s="80"/>
      <c r="S509" s="80"/>
      <c r="T509" s="80"/>
      <c r="U509" s="80"/>
      <c r="V509" s="84"/>
      <c r="W509" s="80"/>
      <c r="X509" s="85"/>
      <c r="Y509" s="86"/>
      <c r="Z509" s="86"/>
      <c r="AA509" s="86"/>
      <c r="AB509" s="86"/>
      <c r="AC509" s="86"/>
      <c r="AD509" s="86"/>
      <c r="AE509" s="86"/>
      <c r="AF509" s="86"/>
      <c r="AG509" s="86"/>
      <c r="AH509" s="82"/>
    </row>
    <row r="510">
      <c r="A510" s="78"/>
      <c r="B510" s="79"/>
      <c r="C510" s="80"/>
      <c r="D510" s="80"/>
      <c r="E510" s="80"/>
      <c r="F510" s="80"/>
      <c r="G510" s="80"/>
      <c r="H510" s="80"/>
      <c r="I510" s="80"/>
      <c r="J510" s="80"/>
      <c r="K510" s="82"/>
      <c r="L510" s="80"/>
      <c r="M510" s="80"/>
      <c r="N510" s="80"/>
      <c r="O510" s="80"/>
      <c r="P510" s="80"/>
      <c r="Q510" s="83"/>
      <c r="R510" s="80"/>
      <c r="S510" s="80"/>
      <c r="T510" s="80"/>
      <c r="U510" s="80"/>
      <c r="V510" s="84"/>
      <c r="W510" s="80"/>
      <c r="X510" s="85"/>
      <c r="Y510" s="86"/>
      <c r="Z510" s="86"/>
      <c r="AA510" s="86"/>
      <c r="AB510" s="86"/>
      <c r="AC510" s="86"/>
      <c r="AD510" s="86"/>
      <c r="AE510" s="86"/>
      <c r="AF510" s="86"/>
      <c r="AG510" s="86"/>
      <c r="AH510" s="82"/>
    </row>
    <row r="511">
      <c r="A511" s="78"/>
      <c r="B511" s="79"/>
      <c r="C511" s="80"/>
      <c r="D511" s="80"/>
      <c r="E511" s="80"/>
      <c r="F511" s="80"/>
      <c r="G511" s="80"/>
      <c r="H511" s="80"/>
      <c r="I511" s="80"/>
      <c r="J511" s="80"/>
      <c r="K511" s="82"/>
      <c r="L511" s="80"/>
      <c r="M511" s="80"/>
      <c r="N511" s="80"/>
      <c r="O511" s="80"/>
      <c r="P511" s="80"/>
      <c r="Q511" s="83"/>
      <c r="R511" s="80"/>
      <c r="S511" s="80"/>
      <c r="T511" s="80"/>
      <c r="U511" s="80"/>
      <c r="V511" s="84"/>
      <c r="W511" s="80"/>
      <c r="X511" s="85"/>
      <c r="Y511" s="86"/>
      <c r="Z511" s="86"/>
      <c r="AA511" s="86"/>
      <c r="AB511" s="86"/>
      <c r="AC511" s="86"/>
      <c r="AD511" s="86"/>
      <c r="AE511" s="86"/>
      <c r="AF511" s="86"/>
      <c r="AG511" s="86"/>
      <c r="AH511" s="82"/>
    </row>
    <row r="512">
      <c r="A512" s="78"/>
      <c r="B512" s="79"/>
      <c r="C512" s="80"/>
      <c r="D512" s="80"/>
      <c r="E512" s="80"/>
      <c r="F512" s="80"/>
      <c r="G512" s="80"/>
      <c r="H512" s="80"/>
      <c r="I512" s="80"/>
      <c r="J512" s="80"/>
      <c r="K512" s="82"/>
      <c r="L512" s="80"/>
      <c r="M512" s="80"/>
      <c r="N512" s="80"/>
      <c r="O512" s="80"/>
      <c r="P512" s="80"/>
      <c r="Q512" s="83"/>
      <c r="R512" s="80"/>
      <c r="S512" s="80"/>
      <c r="T512" s="80"/>
      <c r="U512" s="80"/>
      <c r="V512" s="84"/>
      <c r="W512" s="80"/>
      <c r="X512" s="85"/>
      <c r="Y512" s="86"/>
      <c r="Z512" s="86"/>
      <c r="AA512" s="86"/>
      <c r="AB512" s="86"/>
      <c r="AC512" s="86"/>
      <c r="AD512" s="86"/>
      <c r="AE512" s="86"/>
      <c r="AF512" s="86"/>
      <c r="AG512" s="86"/>
      <c r="AH512" s="82"/>
    </row>
    <row r="513">
      <c r="A513" s="78"/>
      <c r="B513" s="79"/>
      <c r="C513" s="80"/>
      <c r="D513" s="80"/>
      <c r="E513" s="80"/>
      <c r="F513" s="80"/>
      <c r="G513" s="80"/>
      <c r="H513" s="80"/>
      <c r="I513" s="80"/>
      <c r="J513" s="80"/>
      <c r="K513" s="82"/>
      <c r="L513" s="80"/>
      <c r="M513" s="80"/>
      <c r="N513" s="80"/>
      <c r="O513" s="80"/>
      <c r="P513" s="80"/>
      <c r="Q513" s="83"/>
      <c r="R513" s="80"/>
      <c r="S513" s="80"/>
      <c r="T513" s="80"/>
      <c r="U513" s="80"/>
      <c r="V513" s="84"/>
      <c r="W513" s="80"/>
      <c r="X513" s="85"/>
      <c r="Y513" s="86"/>
      <c r="Z513" s="86"/>
      <c r="AA513" s="86"/>
      <c r="AB513" s="86"/>
      <c r="AC513" s="86"/>
      <c r="AD513" s="86"/>
      <c r="AE513" s="86"/>
      <c r="AF513" s="86"/>
      <c r="AG513" s="86"/>
      <c r="AH513" s="82"/>
    </row>
    <row r="514">
      <c r="A514" s="78"/>
      <c r="B514" s="79"/>
      <c r="C514" s="80"/>
      <c r="D514" s="80"/>
      <c r="E514" s="80"/>
      <c r="F514" s="80"/>
      <c r="G514" s="80"/>
      <c r="H514" s="80"/>
      <c r="I514" s="80"/>
      <c r="J514" s="80"/>
      <c r="K514" s="82"/>
      <c r="L514" s="80"/>
      <c r="M514" s="80"/>
      <c r="N514" s="80"/>
      <c r="O514" s="80"/>
      <c r="P514" s="80"/>
      <c r="Q514" s="83"/>
      <c r="R514" s="80"/>
      <c r="S514" s="80"/>
      <c r="T514" s="80"/>
      <c r="U514" s="80"/>
      <c r="V514" s="84"/>
      <c r="W514" s="80"/>
      <c r="X514" s="85"/>
      <c r="Y514" s="86"/>
      <c r="Z514" s="86"/>
      <c r="AA514" s="86"/>
      <c r="AB514" s="86"/>
      <c r="AC514" s="86"/>
      <c r="AD514" s="86"/>
      <c r="AE514" s="86"/>
      <c r="AF514" s="86"/>
      <c r="AG514" s="86"/>
      <c r="AH514" s="82"/>
    </row>
    <row r="515">
      <c r="A515" s="78"/>
      <c r="B515" s="79"/>
      <c r="C515" s="80"/>
      <c r="D515" s="80"/>
      <c r="E515" s="80"/>
      <c r="F515" s="80"/>
      <c r="G515" s="80"/>
      <c r="H515" s="80"/>
      <c r="I515" s="80"/>
      <c r="J515" s="80"/>
      <c r="K515" s="82"/>
      <c r="L515" s="80"/>
      <c r="M515" s="80"/>
      <c r="N515" s="80"/>
      <c r="O515" s="80"/>
      <c r="P515" s="80"/>
      <c r="Q515" s="83"/>
      <c r="R515" s="80"/>
      <c r="S515" s="80"/>
      <c r="T515" s="80"/>
      <c r="U515" s="80"/>
      <c r="V515" s="84"/>
      <c r="W515" s="80"/>
      <c r="X515" s="85"/>
      <c r="Y515" s="86"/>
      <c r="Z515" s="86"/>
      <c r="AA515" s="86"/>
      <c r="AB515" s="86"/>
      <c r="AC515" s="86"/>
      <c r="AD515" s="86"/>
      <c r="AE515" s="86"/>
      <c r="AF515" s="86"/>
      <c r="AG515" s="86"/>
      <c r="AH515" s="82"/>
    </row>
    <row r="516">
      <c r="A516" s="78"/>
      <c r="B516" s="79"/>
      <c r="C516" s="80"/>
      <c r="D516" s="80"/>
      <c r="E516" s="80"/>
      <c r="F516" s="80"/>
      <c r="G516" s="80"/>
      <c r="H516" s="80"/>
      <c r="I516" s="80"/>
      <c r="J516" s="80"/>
      <c r="K516" s="82"/>
      <c r="L516" s="80"/>
      <c r="M516" s="80"/>
      <c r="N516" s="80"/>
      <c r="O516" s="80"/>
      <c r="P516" s="80"/>
      <c r="Q516" s="83"/>
      <c r="R516" s="80"/>
      <c r="S516" s="80"/>
      <c r="T516" s="80"/>
      <c r="U516" s="80"/>
      <c r="V516" s="84"/>
      <c r="W516" s="80"/>
      <c r="X516" s="85"/>
      <c r="Y516" s="86"/>
      <c r="Z516" s="86"/>
      <c r="AA516" s="86"/>
      <c r="AB516" s="86"/>
      <c r="AC516" s="86"/>
      <c r="AD516" s="86"/>
      <c r="AE516" s="86"/>
      <c r="AF516" s="86"/>
      <c r="AG516" s="86"/>
      <c r="AH516" s="82"/>
    </row>
    <row r="517">
      <c r="A517" s="78"/>
      <c r="B517" s="79"/>
      <c r="C517" s="80"/>
      <c r="D517" s="80"/>
      <c r="E517" s="80"/>
      <c r="F517" s="80"/>
      <c r="G517" s="80"/>
      <c r="H517" s="80"/>
      <c r="I517" s="80"/>
      <c r="J517" s="80"/>
      <c r="K517" s="82"/>
      <c r="L517" s="80"/>
      <c r="M517" s="80"/>
      <c r="N517" s="80"/>
      <c r="O517" s="80"/>
      <c r="P517" s="80"/>
      <c r="Q517" s="83"/>
      <c r="R517" s="80"/>
      <c r="S517" s="80"/>
      <c r="T517" s="80"/>
      <c r="U517" s="80"/>
      <c r="V517" s="84"/>
      <c r="W517" s="80"/>
      <c r="X517" s="85"/>
      <c r="Y517" s="86"/>
      <c r="Z517" s="86"/>
      <c r="AA517" s="86"/>
      <c r="AB517" s="86"/>
      <c r="AC517" s="86"/>
      <c r="AD517" s="86"/>
      <c r="AE517" s="86"/>
      <c r="AF517" s="86"/>
      <c r="AG517" s="86"/>
      <c r="AH517" s="82"/>
    </row>
    <row r="518">
      <c r="A518" s="78"/>
      <c r="B518" s="79"/>
      <c r="C518" s="80"/>
      <c r="D518" s="80"/>
      <c r="E518" s="80"/>
      <c r="F518" s="80"/>
      <c r="G518" s="80"/>
      <c r="H518" s="80"/>
      <c r="I518" s="80"/>
      <c r="J518" s="80"/>
      <c r="K518" s="82"/>
      <c r="L518" s="80"/>
      <c r="M518" s="80"/>
      <c r="N518" s="80"/>
      <c r="O518" s="80"/>
      <c r="P518" s="80"/>
      <c r="Q518" s="83"/>
      <c r="R518" s="80"/>
      <c r="S518" s="80"/>
      <c r="T518" s="80"/>
      <c r="U518" s="80"/>
      <c r="V518" s="84"/>
      <c r="W518" s="80"/>
      <c r="X518" s="85"/>
      <c r="Y518" s="86"/>
      <c r="Z518" s="86"/>
      <c r="AA518" s="86"/>
      <c r="AB518" s="86"/>
      <c r="AC518" s="86"/>
      <c r="AD518" s="86"/>
      <c r="AE518" s="86"/>
      <c r="AF518" s="86"/>
      <c r="AG518" s="86"/>
      <c r="AH518" s="82"/>
    </row>
    <row r="519">
      <c r="A519" s="78"/>
      <c r="B519" s="79"/>
      <c r="C519" s="80"/>
      <c r="D519" s="80"/>
      <c r="E519" s="80"/>
      <c r="F519" s="80"/>
      <c r="G519" s="80"/>
      <c r="H519" s="80"/>
      <c r="I519" s="80"/>
      <c r="J519" s="80"/>
      <c r="K519" s="82"/>
      <c r="L519" s="80"/>
      <c r="M519" s="80"/>
      <c r="N519" s="80"/>
      <c r="O519" s="80"/>
      <c r="P519" s="80"/>
      <c r="Q519" s="83"/>
      <c r="R519" s="80"/>
      <c r="S519" s="80"/>
      <c r="T519" s="80"/>
      <c r="U519" s="80"/>
      <c r="V519" s="84"/>
      <c r="W519" s="80"/>
      <c r="X519" s="85"/>
      <c r="Y519" s="86"/>
      <c r="Z519" s="86"/>
      <c r="AA519" s="86"/>
      <c r="AB519" s="86"/>
      <c r="AC519" s="86"/>
      <c r="AD519" s="86"/>
      <c r="AE519" s="86"/>
      <c r="AF519" s="86"/>
      <c r="AG519" s="86"/>
      <c r="AH519" s="82"/>
    </row>
    <row r="520">
      <c r="A520" s="78"/>
      <c r="B520" s="79"/>
      <c r="C520" s="80"/>
      <c r="D520" s="80"/>
      <c r="E520" s="80"/>
      <c r="F520" s="80"/>
      <c r="G520" s="80"/>
      <c r="H520" s="80"/>
      <c r="I520" s="80"/>
      <c r="J520" s="80"/>
      <c r="K520" s="82"/>
      <c r="L520" s="80"/>
      <c r="M520" s="80"/>
      <c r="N520" s="80"/>
      <c r="O520" s="80"/>
      <c r="P520" s="80"/>
      <c r="Q520" s="83"/>
      <c r="R520" s="80"/>
      <c r="S520" s="80"/>
      <c r="T520" s="80"/>
      <c r="U520" s="80"/>
      <c r="V520" s="84"/>
      <c r="W520" s="80"/>
      <c r="X520" s="85"/>
      <c r="Y520" s="86"/>
      <c r="Z520" s="86"/>
      <c r="AA520" s="86"/>
      <c r="AB520" s="86"/>
      <c r="AC520" s="86"/>
      <c r="AD520" s="86"/>
      <c r="AE520" s="86"/>
      <c r="AF520" s="86"/>
      <c r="AG520" s="86"/>
      <c r="AH520" s="82"/>
    </row>
    <row r="521">
      <c r="A521" s="78"/>
      <c r="B521" s="79"/>
      <c r="C521" s="80"/>
      <c r="D521" s="80"/>
      <c r="E521" s="80"/>
      <c r="F521" s="80"/>
      <c r="G521" s="80"/>
      <c r="H521" s="80"/>
      <c r="I521" s="80"/>
      <c r="J521" s="80"/>
      <c r="K521" s="82"/>
      <c r="L521" s="80"/>
      <c r="M521" s="80"/>
      <c r="N521" s="80"/>
      <c r="O521" s="80"/>
      <c r="P521" s="80"/>
      <c r="Q521" s="83"/>
      <c r="R521" s="80"/>
      <c r="S521" s="80"/>
      <c r="T521" s="80"/>
      <c r="U521" s="80"/>
      <c r="V521" s="84"/>
      <c r="W521" s="80"/>
      <c r="X521" s="85"/>
      <c r="Y521" s="86"/>
      <c r="Z521" s="86"/>
      <c r="AA521" s="86"/>
      <c r="AB521" s="86"/>
      <c r="AC521" s="86"/>
      <c r="AD521" s="86"/>
      <c r="AE521" s="86"/>
      <c r="AF521" s="86"/>
      <c r="AG521" s="86"/>
      <c r="AH521" s="82"/>
    </row>
    <row r="522">
      <c r="A522" s="78"/>
      <c r="B522" s="79"/>
      <c r="C522" s="80"/>
      <c r="D522" s="80"/>
      <c r="E522" s="80"/>
      <c r="F522" s="80"/>
      <c r="G522" s="80"/>
      <c r="H522" s="80"/>
      <c r="I522" s="80"/>
      <c r="J522" s="80"/>
      <c r="K522" s="82"/>
      <c r="L522" s="80"/>
      <c r="M522" s="80"/>
      <c r="N522" s="80"/>
      <c r="O522" s="80"/>
      <c r="P522" s="80"/>
      <c r="Q522" s="83"/>
      <c r="R522" s="80"/>
      <c r="S522" s="80"/>
      <c r="T522" s="80"/>
      <c r="U522" s="80"/>
      <c r="V522" s="84"/>
      <c r="W522" s="80"/>
      <c r="X522" s="85"/>
      <c r="Y522" s="86"/>
      <c r="Z522" s="86"/>
      <c r="AA522" s="86"/>
      <c r="AB522" s="86"/>
      <c r="AC522" s="86"/>
      <c r="AD522" s="86"/>
      <c r="AE522" s="86"/>
      <c r="AF522" s="86"/>
      <c r="AG522" s="86"/>
      <c r="AH522" s="82"/>
    </row>
    <row r="523">
      <c r="A523" s="78"/>
      <c r="B523" s="79"/>
      <c r="C523" s="80"/>
      <c r="D523" s="80"/>
      <c r="E523" s="80"/>
      <c r="F523" s="80"/>
      <c r="G523" s="80"/>
      <c r="H523" s="80"/>
      <c r="I523" s="80"/>
      <c r="J523" s="80"/>
      <c r="K523" s="82"/>
      <c r="L523" s="80"/>
      <c r="M523" s="80"/>
      <c r="N523" s="80"/>
      <c r="O523" s="80"/>
      <c r="P523" s="80"/>
      <c r="Q523" s="83"/>
      <c r="R523" s="80"/>
      <c r="S523" s="80"/>
      <c r="T523" s="80"/>
      <c r="U523" s="80"/>
      <c r="V523" s="84"/>
      <c r="W523" s="80"/>
      <c r="X523" s="85"/>
      <c r="Y523" s="86"/>
      <c r="Z523" s="86"/>
      <c r="AA523" s="86"/>
      <c r="AB523" s="86"/>
      <c r="AC523" s="86"/>
      <c r="AD523" s="86"/>
      <c r="AE523" s="86"/>
      <c r="AF523" s="86"/>
      <c r="AG523" s="86"/>
      <c r="AH523" s="82"/>
    </row>
    <row r="524">
      <c r="A524" s="78"/>
      <c r="B524" s="79"/>
      <c r="C524" s="80"/>
      <c r="D524" s="80"/>
      <c r="E524" s="80"/>
      <c r="F524" s="80"/>
      <c r="G524" s="80"/>
      <c r="H524" s="80"/>
      <c r="I524" s="80"/>
      <c r="J524" s="80"/>
      <c r="K524" s="82"/>
      <c r="L524" s="80"/>
      <c r="M524" s="80"/>
      <c r="N524" s="80"/>
      <c r="O524" s="80"/>
      <c r="P524" s="80"/>
      <c r="Q524" s="83"/>
      <c r="R524" s="80"/>
      <c r="S524" s="80"/>
      <c r="T524" s="80"/>
      <c r="U524" s="80"/>
      <c r="V524" s="84"/>
      <c r="W524" s="80"/>
      <c r="X524" s="85"/>
      <c r="Y524" s="86"/>
      <c r="Z524" s="86"/>
      <c r="AA524" s="86"/>
      <c r="AB524" s="86"/>
      <c r="AC524" s="86"/>
      <c r="AD524" s="86"/>
      <c r="AE524" s="86"/>
      <c r="AF524" s="86"/>
      <c r="AG524" s="86"/>
      <c r="AH524" s="82"/>
    </row>
    <row r="525">
      <c r="A525" s="78"/>
      <c r="B525" s="79"/>
      <c r="C525" s="80"/>
      <c r="D525" s="80"/>
      <c r="E525" s="80"/>
      <c r="F525" s="80"/>
      <c r="G525" s="80"/>
      <c r="H525" s="80"/>
      <c r="I525" s="80"/>
      <c r="J525" s="80"/>
      <c r="K525" s="82"/>
      <c r="L525" s="80"/>
      <c r="M525" s="80"/>
      <c r="N525" s="80"/>
      <c r="O525" s="80"/>
      <c r="P525" s="80"/>
      <c r="Q525" s="83"/>
      <c r="R525" s="80"/>
      <c r="S525" s="80"/>
      <c r="T525" s="80"/>
      <c r="U525" s="80"/>
      <c r="V525" s="84"/>
      <c r="W525" s="80"/>
      <c r="X525" s="85"/>
      <c r="Y525" s="86"/>
      <c r="Z525" s="86"/>
      <c r="AA525" s="86"/>
      <c r="AB525" s="86"/>
      <c r="AC525" s="86"/>
      <c r="AD525" s="86"/>
      <c r="AE525" s="86"/>
      <c r="AF525" s="86"/>
      <c r="AG525" s="86"/>
      <c r="AH525" s="82"/>
    </row>
    <row r="526">
      <c r="A526" s="78"/>
      <c r="B526" s="79"/>
      <c r="C526" s="80"/>
      <c r="D526" s="80"/>
      <c r="E526" s="80"/>
      <c r="F526" s="80"/>
      <c r="G526" s="80"/>
      <c r="H526" s="80"/>
      <c r="I526" s="80"/>
      <c r="J526" s="80"/>
      <c r="K526" s="82"/>
      <c r="L526" s="80"/>
      <c r="M526" s="80"/>
      <c r="N526" s="80"/>
      <c r="O526" s="80"/>
      <c r="P526" s="80"/>
      <c r="Q526" s="83"/>
      <c r="R526" s="80"/>
      <c r="S526" s="80"/>
      <c r="T526" s="80"/>
      <c r="U526" s="80"/>
      <c r="V526" s="84"/>
      <c r="W526" s="80"/>
      <c r="X526" s="85"/>
      <c r="Y526" s="86"/>
      <c r="Z526" s="86"/>
      <c r="AA526" s="86"/>
      <c r="AB526" s="86"/>
      <c r="AC526" s="86"/>
      <c r="AD526" s="86"/>
      <c r="AE526" s="86"/>
      <c r="AF526" s="86"/>
      <c r="AG526" s="86"/>
      <c r="AH526" s="82"/>
    </row>
    <row r="527">
      <c r="A527" s="78"/>
      <c r="B527" s="79"/>
      <c r="C527" s="80"/>
      <c r="D527" s="80"/>
      <c r="E527" s="80"/>
      <c r="F527" s="80"/>
      <c r="G527" s="80"/>
      <c r="H527" s="80"/>
      <c r="I527" s="80"/>
      <c r="J527" s="80"/>
      <c r="K527" s="82"/>
      <c r="L527" s="80"/>
      <c r="M527" s="80"/>
      <c r="N527" s="80"/>
      <c r="O527" s="80"/>
      <c r="P527" s="80"/>
      <c r="Q527" s="83"/>
      <c r="R527" s="80"/>
      <c r="S527" s="80"/>
      <c r="T527" s="80"/>
      <c r="U527" s="80"/>
      <c r="V527" s="84"/>
      <c r="W527" s="80"/>
      <c r="X527" s="85"/>
      <c r="Y527" s="86"/>
      <c r="Z527" s="86"/>
      <c r="AA527" s="86"/>
      <c r="AB527" s="86"/>
      <c r="AC527" s="86"/>
      <c r="AD527" s="86"/>
      <c r="AE527" s="86"/>
      <c r="AF527" s="86"/>
      <c r="AG527" s="86"/>
      <c r="AH527" s="82"/>
    </row>
    <row r="528">
      <c r="A528" s="78"/>
      <c r="B528" s="79"/>
      <c r="C528" s="80"/>
      <c r="D528" s="80"/>
      <c r="E528" s="80"/>
      <c r="F528" s="80"/>
      <c r="G528" s="80"/>
      <c r="H528" s="80"/>
      <c r="I528" s="80"/>
      <c r="J528" s="80"/>
      <c r="K528" s="82"/>
      <c r="L528" s="80"/>
      <c r="M528" s="80"/>
      <c r="N528" s="80"/>
      <c r="O528" s="80"/>
      <c r="P528" s="80"/>
      <c r="Q528" s="83"/>
      <c r="R528" s="80"/>
      <c r="S528" s="80"/>
      <c r="T528" s="80"/>
      <c r="U528" s="80"/>
      <c r="V528" s="84"/>
      <c r="W528" s="80"/>
      <c r="X528" s="85"/>
      <c r="Y528" s="86"/>
      <c r="Z528" s="86"/>
      <c r="AA528" s="86"/>
      <c r="AB528" s="86"/>
      <c r="AC528" s="86"/>
      <c r="AD528" s="86"/>
      <c r="AE528" s="86"/>
      <c r="AF528" s="86"/>
      <c r="AG528" s="86"/>
      <c r="AH528" s="82"/>
    </row>
    <row r="529">
      <c r="A529" s="78"/>
      <c r="B529" s="79"/>
      <c r="C529" s="80"/>
      <c r="D529" s="80"/>
      <c r="E529" s="80"/>
      <c r="F529" s="80"/>
      <c r="G529" s="80"/>
      <c r="H529" s="80"/>
      <c r="I529" s="80"/>
      <c r="J529" s="80"/>
      <c r="K529" s="82"/>
      <c r="L529" s="80"/>
      <c r="M529" s="80"/>
      <c r="N529" s="80"/>
      <c r="O529" s="80"/>
      <c r="P529" s="80"/>
      <c r="Q529" s="83"/>
      <c r="R529" s="80"/>
      <c r="S529" s="80"/>
      <c r="T529" s="80"/>
      <c r="U529" s="80"/>
      <c r="V529" s="84"/>
      <c r="W529" s="80"/>
      <c r="X529" s="85"/>
      <c r="Y529" s="86"/>
      <c r="Z529" s="86"/>
      <c r="AA529" s="86"/>
      <c r="AB529" s="86"/>
      <c r="AC529" s="86"/>
      <c r="AD529" s="86"/>
      <c r="AE529" s="86"/>
      <c r="AF529" s="86"/>
      <c r="AG529" s="86"/>
      <c r="AH529" s="82"/>
    </row>
    <row r="530">
      <c r="A530" s="78"/>
      <c r="B530" s="79"/>
      <c r="C530" s="80"/>
      <c r="D530" s="80"/>
      <c r="E530" s="80"/>
      <c r="F530" s="80"/>
      <c r="G530" s="80"/>
      <c r="H530" s="80"/>
      <c r="I530" s="80"/>
      <c r="J530" s="80"/>
      <c r="K530" s="82"/>
      <c r="L530" s="80"/>
      <c r="M530" s="80"/>
      <c r="N530" s="80"/>
      <c r="O530" s="80"/>
      <c r="P530" s="80"/>
      <c r="Q530" s="83"/>
      <c r="R530" s="80"/>
      <c r="S530" s="80"/>
      <c r="T530" s="80"/>
      <c r="U530" s="80"/>
      <c r="V530" s="84"/>
      <c r="W530" s="80"/>
      <c r="X530" s="85"/>
      <c r="Y530" s="86"/>
      <c r="Z530" s="86"/>
      <c r="AA530" s="86"/>
      <c r="AB530" s="86"/>
      <c r="AC530" s="86"/>
      <c r="AD530" s="86"/>
      <c r="AE530" s="86"/>
      <c r="AF530" s="86"/>
      <c r="AG530" s="86"/>
      <c r="AH530" s="82"/>
    </row>
    <row r="531">
      <c r="A531" s="78"/>
      <c r="B531" s="79"/>
      <c r="C531" s="80"/>
      <c r="D531" s="80"/>
      <c r="E531" s="80"/>
      <c r="F531" s="80"/>
      <c r="G531" s="80"/>
      <c r="H531" s="80"/>
      <c r="I531" s="80"/>
      <c r="J531" s="80"/>
      <c r="K531" s="82"/>
      <c r="L531" s="80"/>
      <c r="M531" s="80"/>
      <c r="N531" s="80"/>
      <c r="O531" s="80"/>
      <c r="P531" s="80"/>
      <c r="Q531" s="83"/>
      <c r="R531" s="80"/>
      <c r="S531" s="80"/>
      <c r="T531" s="80"/>
      <c r="U531" s="80"/>
      <c r="V531" s="84"/>
      <c r="W531" s="80"/>
      <c r="X531" s="85"/>
      <c r="Y531" s="86"/>
      <c r="Z531" s="86"/>
      <c r="AA531" s="86"/>
      <c r="AB531" s="86"/>
      <c r="AC531" s="86"/>
      <c r="AD531" s="86"/>
      <c r="AE531" s="86"/>
      <c r="AF531" s="86"/>
      <c r="AG531" s="86"/>
      <c r="AH531" s="82"/>
    </row>
    <row r="532">
      <c r="A532" s="78"/>
      <c r="B532" s="79"/>
      <c r="C532" s="80"/>
      <c r="D532" s="80"/>
      <c r="E532" s="80"/>
      <c r="F532" s="80"/>
      <c r="G532" s="80"/>
      <c r="H532" s="80"/>
      <c r="I532" s="80"/>
      <c r="J532" s="80"/>
      <c r="K532" s="82"/>
      <c r="L532" s="80"/>
      <c r="M532" s="80"/>
      <c r="N532" s="80"/>
      <c r="O532" s="80"/>
      <c r="P532" s="80"/>
      <c r="Q532" s="83"/>
      <c r="R532" s="80"/>
      <c r="S532" s="80"/>
      <c r="T532" s="80"/>
      <c r="U532" s="80"/>
      <c r="V532" s="84"/>
      <c r="W532" s="80"/>
      <c r="X532" s="85"/>
      <c r="Y532" s="86"/>
      <c r="Z532" s="86"/>
      <c r="AA532" s="86"/>
      <c r="AB532" s="86"/>
      <c r="AC532" s="86"/>
      <c r="AD532" s="86"/>
      <c r="AE532" s="86"/>
      <c r="AF532" s="86"/>
      <c r="AG532" s="86"/>
      <c r="AH532" s="82"/>
    </row>
    <row r="533">
      <c r="A533" s="78"/>
      <c r="B533" s="79"/>
      <c r="C533" s="80"/>
      <c r="D533" s="80"/>
      <c r="E533" s="80"/>
      <c r="F533" s="80"/>
      <c r="G533" s="80"/>
      <c r="H533" s="80"/>
      <c r="I533" s="80"/>
      <c r="J533" s="80"/>
      <c r="K533" s="82"/>
      <c r="L533" s="80"/>
      <c r="M533" s="80"/>
      <c r="N533" s="80"/>
      <c r="O533" s="80"/>
      <c r="P533" s="80"/>
      <c r="Q533" s="83"/>
      <c r="R533" s="80"/>
      <c r="S533" s="80"/>
      <c r="T533" s="80"/>
      <c r="U533" s="80"/>
      <c r="V533" s="84"/>
      <c r="W533" s="80"/>
      <c r="X533" s="85"/>
      <c r="Y533" s="86"/>
      <c r="Z533" s="86"/>
      <c r="AA533" s="86"/>
      <c r="AB533" s="86"/>
      <c r="AC533" s="86"/>
      <c r="AD533" s="86"/>
      <c r="AE533" s="86"/>
      <c r="AF533" s="86"/>
      <c r="AG533" s="86"/>
      <c r="AH533" s="82"/>
    </row>
    <row r="534">
      <c r="A534" s="78"/>
      <c r="B534" s="79"/>
      <c r="C534" s="80"/>
      <c r="D534" s="80"/>
      <c r="E534" s="80"/>
      <c r="F534" s="80"/>
      <c r="G534" s="80"/>
      <c r="H534" s="80"/>
      <c r="I534" s="80"/>
      <c r="J534" s="80"/>
      <c r="K534" s="82"/>
      <c r="L534" s="80"/>
      <c r="M534" s="80"/>
      <c r="N534" s="80"/>
      <c r="O534" s="80"/>
      <c r="P534" s="80"/>
      <c r="Q534" s="83"/>
      <c r="R534" s="80"/>
      <c r="S534" s="80"/>
      <c r="T534" s="80"/>
      <c r="U534" s="80"/>
      <c r="V534" s="84"/>
      <c r="W534" s="80"/>
      <c r="X534" s="85"/>
      <c r="Y534" s="86"/>
      <c r="Z534" s="86"/>
      <c r="AA534" s="86"/>
      <c r="AB534" s="86"/>
      <c r="AC534" s="86"/>
      <c r="AD534" s="86"/>
      <c r="AE534" s="86"/>
      <c r="AF534" s="86"/>
      <c r="AG534" s="86"/>
      <c r="AH534" s="82"/>
    </row>
    <row r="535">
      <c r="A535" s="78"/>
      <c r="B535" s="79"/>
      <c r="C535" s="80"/>
      <c r="D535" s="80"/>
      <c r="E535" s="80"/>
      <c r="F535" s="80"/>
      <c r="G535" s="80"/>
      <c r="H535" s="80"/>
      <c r="I535" s="80"/>
      <c r="J535" s="80"/>
      <c r="K535" s="82"/>
      <c r="L535" s="80"/>
      <c r="M535" s="80"/>
      <c r="N535" s="80"/>
      <c r="O535" s="80"/>
      <c r="P535" s="80"/>
      <c r="Q535" s="83"/>
      <c r="R535" s="80"/>
      <c r="S535" s="80"/>
      <c r="T535" s="80"/>
      <c r="U535" s="80"/>
      <c r="V535" s="84"/>
      <c r="W535" s="80"/>
      <c r="X535" s="85"/>
      <c r="Y535" s="86"/>
      <c r="Z535" s="86"/>
      <c r="AA535" s="86"/>
      <c r="AB535" s="86"/>
      <c r="AC535" s="86"/>
      <c r="AD535" s="86"/>
      <c r="AE535" s="86"/>
      <c r="AF535" s="86"/>
      <c r="AG535" s="86"/>
      <c r="AH535" s="82"/>
    </row>
    <row r="536">
      <c r="A536" s="78"/>
      <c r="B536" s="79"/>
      <c r="C536" s="80"/>
      <c r="D536" s="80"/>
      <c r="E536" s="80"/>
      <c r="F536" s="80"/>
      <c r="G536" s="80"/>
      <c r="H536" s="80"/>
      <c r="I536" s="80"/>
      <c r="J536" s="80"/>
      <c r="K536" s="82"/>
      <c r="L536" s="80"/>
      <c r="M536" s="80"/>
      <c r="N536" s="80"/>
      <c r="O536" s="80"/>
      <c r="P536" s="80"/>
      <c r="Q536" s="83"/>
      <c r="R536" s="80"/>
      <c r="S536" s="80"/>
      <c r="T536" s="80"/>
      <c r="U536" s="80"/>
      <c r="V536" s="84"/>
      <c r="W536" s="80"/>
      <c r="X536" s="85"/>
      <c r="Y536" s="86"/>
      <c r="Z536" s="86"/>
      <c r="AA536" s="86"/>
      <c r="AB536" s="86"/>
      <c r="AC536" s="86"/>
      <c r="AD536" s="86"/>
      <c r="AE536" s="86"/>
      <c r="AF536" s="86"/>
      <c r="AG536" s="86"/>
      <c r="AH536" s="82"/>
    </row>
    <row r="537">
      <c r="A537" s="78"/>
      <c r="B537" s="79"/>
      <c r="C537" s="80"/>
      <c r="D537" s="80"/>
      <c r="E537" s="80"/>
      <c r="F537" s="80"/>
      <c r="G537" s="80"/>
      <c r="H537" s="80"/>
      <c r="I537" s="80"/>
      <c r="J537" s="80"/>
      <c r="K537" s="82"/>
      <c r="L537" s="80"/>
      <c r="M537" s="80"/>
      <c r="N537" s="80"/>
      <c r="O537" s="80"/>
      <c r="P537" s="80"/>
      <c r="Q537" s="83"/>
      <c r="R537" s="80"/>
      <c r="S537" s="80"/>
      <c r="T537" s="80"/>
      <c r="U537" s="80"/>
      <c r="V537" s="84"/>
      <c r="W537" s="80"/>
      <c r="X537" s="85"/>
      <c r="Y537" s="86"/>
      <c r="Z537" s="86"/>
      <c r="AA537" s="86"/>
      <c r="AB537" s="86"/>
      <c r="AC537" s="86"/>
      <c r="AD537" s="86"/>
      <c r="AE537" s="86"/>
      <c r="AF537" s="86"/>
      <c r="AG537" s="86"/>
      <c r="AH537" s="82"/>
    </row>
    <row r="538">
      <c r="A538" s="78"/>
      <c r="B538" s="79"/>
      <c r="C538" s="80"/>
      <c r="D538" s="80"/>
      <c r="E538" s="80"/>
      <c r="F538" s="80"/>
      <c r="G538" s="80"/>
      <c r="H538" s="80"/>
      <c r="I538" s="80"/>
      <c r="J538" s="80"/>
      <c r="K538" s="82"/>
      <c r="L538" s="80"/>
      <c r="M538" s="80"/>
      <c r="N538" s="80"/>
      <c r="O538" s="80"/>
      <c r="P538" s="80"/>
      <c r="Q538" s="83"/>
      <c r="R538" s="80"/>
      <c r="S538" s="80"/>
      <c r="T538" s="80"/>
      <c r="U538" s="80"/>
      <c r="V538" s="84"/>
      <c r="W538" s="80"/>
      <c r="X538" s="85"/>
      <c r="Y538" s="86"/>
      <c r="Z538" s="86"/>
      <c r="AA538" s="86"/>
      <c r="AB538" s="86"/>
      <c r="AC538" s="86"/>
      <c r="AD538" s="86"/>
      <c r="AE538" s="86"/>
      <c r="AF538" s="86"/>
      <c r="AG538" s="86"/>
      <c r="AH538" s="82"/>
    </row>
    <row r="539">
      <c r="A539" s="78"/>
      <c r="B539" s="79"/>
      <c r="C539" s="80"/>
      <c r="D539" s="80"/>
      <c r="E539" s="80"/>
      <c r="F539" s="80"/>
      <c r="G539" s="80"/>
      <c r="H539" s="80"/>
      <c r="I539" s="80"/>
      <c r="J539" s="80"/>
      <c r="K539" s="82"/>
      <c r="L539" s="80"/>
      <c r="M539" s="80"/>
      <c r="N539" s="80"/>
      <c r="O539" s="80"/>
      <c r="P539" s="80"/>
      <c r="Q539" s="83"/>
      <c r="R539" s="80"/>
      <c r="S539" s="80"/>
      <c r="T539" s="80"/>
      <c r="U539" s="80"/>
      <c r="V539" s="84"/>
      <c r="W539" s="80"/>
      <c r="X539" s="85"/>
      <c r="Y539" s="86"/>
      <c r="Z539" s="86"/>
      <c r="AA539" s="86"/>
      <c r="AB539" s="86"/>
      <c r="AC539" s="86"/>
      <c r="AD539" s="86"/>
      <c r="AE539" s="86"/>
      <c r="AF539" s="86"/>
      <c r="AG539" s="86"/>
      <c r="AH539" s="82"/>
    </row>
    <row r="540">
      <c r="A540" s="78"/>
      <c r="B540" s="79"/>
      <c r="C540" s="80"/>
      <c r="D540" s="80"/>
      <c r="E540" s="80"/>
      <c r="F540" s="80"/>
      <c r="G540" s="80"/>
      <c r="H540" s="80"/>
      <c r="I540" s="80"/>
      <c r="J540" s="80"/>
      <c r="K540" s="82"/>
      <c r="L540" s="80"/>
      <c r="M540" s="80"/>
      <c r="N540" s="80"/>
      <c r="O540" s="80"/>
      <c r="P540" s="80"/>
      <c r="Q540" s="83"/>
      <c r="R540" s="80"/>
      <c r="S540" s="80"/>
      <c r="T540" s="80"/>
      <c r="U540" s="80"/>
      <c r="V540" s="84"/>
      <c r="W540" s="80"/>
      <c r="X540" s="85"/>
      <c r="Y540" s="86"/>
      <c r="Z540" s="86"/>
      <c r="AA540" s="86"/>
      <c r="AB540" s="86"/>
      <c r="AC540" s="86"/>
      <c r="AD540" s="86"/>
      <c r="AE540" s="86"/>
      <c r="AF540" s="86"/>
      <c r="AG540" s="86"/>
      <c r="AH540" s="82"/>
    </row>
    <row r="541">
      <c r="A541" s="78"/>
      <c r="B541" s="79"/>
      <c r="C541" s="80"/>
      <c r="D541" s="80"/>
      <c r="E541" s="80"/>
      <c r="F541" s="80"/>
      <c r="G541" s="80"/>
      <c r="H541" s="80"/>
      <c r="I541" s="80"/>
      <c r="J541" s="80"/>
      <c r="K541" s="82"/>
      <c r="L541" s="80"/>
      <c r="M541" s="80"/>
      <c r="N541" s="80"/>
      <c r="O541" s="80"/>
      <c r="P541" s="80"/>
      <c r="Q541" s="83"/>
      <c r="R541" s="80"/>
      <c r="S541" s="80"/>
      <c r="T541" s="80"/>
      <c r="U541" s="80"/>
      <c r="V541" s="84"/>
      <c r="W541" s="80"/>
      <c r="X541" s="85"/>
      <c r="Y541" s="86"/>
      <c r="Z541" s="86"/>
      <c r="AA541" s="86"/>
      <c r="AB541" s="86"/>
      <c r="AC541" s="86"/>
      <c r="AD541" s="86"/>
      <c r="AE541" s="86"/>
      <c r="AF541" s="86"/>
      <c r="AG541" s="86"/>
      <c r="AH541" s="82"/>
    </row>
    <row r="542">
      <c r="A542" s="78"/>
      <c r="B542" s="79"/>
      <c r="C542" s="80"/>
      <c r="D542" s="80"/>
      <c r="E542" s="80"/>
      <c r="F542" s="80"/>
      <c r="G542" s="80"/>
      <c r="H542" s="80"/>
      <c r="I542" s="80"/>
      <c r="J542" s="80"/>
      <c r="K542" s="82"/>
      <c r="L542" s="80"/>
      <c r="M542" s="80"/>
      <c r="N542" s="80"/>
      <c r="O542" s="80"/>
      <c r="P542" s="80"/>
      <c r="Q542" s="83"/>
      <c r="R542" s="80"/>
      <c r="S542" s="80"/>
      <c r="T542" s="80"/>
      <c r="U542" s="80"/>
      <c r="V542" s="84"/>
      <c r="W542" s="80"/>
      <c r="X542" s="85"/>
      <c r="Y542" s="86"/>
      <c r="Z542" s="86"/>
      <c r="AA542" s="86"/>
      <c r="AB542" s="86"/>
      <c r="AC542" s="86"/>
      <c r="AD542" s="86"/>
      <c r="AE542" s="86"/>
      <c r="AF542" s="86"/>
      <c r="AG542" s="86"/>
      <c r="AH542" s="82"/>
    </row>
    <row r="543">
      <c r="A543" s="78"/>
      <c r="B543" s="79"/>
      <c r="C543" s="80"/>
      <c r="D543" s="80"/>
      <c r="E543" s="80"/>
      <c r="F543" s="80"/>
      <c r="G543" s="80"/>
      <c r="H543" s="80"/>
      <c r="I543" s="80"/>
      <c r="J543" s="80"/>
      <c r="K543" s="82"/>
      <c r="L543" s="80"/>
      <c r="M543" s="80"/>
      <c r="N543" s="80"/>
      <c r="O543" s="80"/>
      <c r="P543" s="80"/>
      <c r="Q543" s="83"/>
      <c r="R543" s="80"/>
      <c r="S543" s="80"/>
      <c r="T543" s="80"/>
      <c r="U543" s="80"/>
      <c r="V543" s="84"/>
      <c r="W543" s="80"/>
      <c r="X543" s="85"/>
      <c r="Y543" s="86"/>
      <c r="Z543" s="86"/>
      <c r="AA543" s="86"/>
      <c r="AB543" s="86"/>
      <c r="AC543" s="86"/>
      <c r="AD543" s="86"/>
      <c r="AE543" s="86"/>
      <c r="AF543" s="86"/>
      <c r="AG543" s="86"/>
      <c r="AH543" s="82"/>
    </row>
    <row r="544">
      <c r="A544" s="78"/>
      <c r="B544" s="79"/>
      <c r="C544" s="80"/>
      <c r="D544" s="80"/>
      <c r="E544" s="80"/>
      <c r="F544" s="80"/>
      <c r="G544" s="80"/>
      <c r="H544" s="80"/>
      <c r="I544" s="80"/>
      <c r="J544" s="80"/>
      <c r="K544" s="82"/>
      <c r="L544" s="80"/>
      <c r="M544" s="80"/>
      <c r="N544" s="80"/>
      <c r="O544" s="80"/>
      <c r="P544" s="80"/>
      <c r="Q544" s="83"/>
      <c r="R544" s="80"/>
      <c r="S544" s="80"/>
      <c r="T544" s="80"/>
      <c r="U544" s="80"/>
      <c r="V544" s="84"/>
      <c r="W544" s="80"/>
      <c r="X544" s="85"/>
      <c r="Y544" s="86"/>
      <c r="Z544" s="86"/>
      <c r="AA544" s="86"/>
      <c r="AB544" s="86"/>
      <c r="AC544" s="86"/>
      <c r="AD544" s="86"/>
      <c r="AE544" s="86"/>
      <c r="AF544" s="86"/>
      <c r="AG544" s="86"/>
      <c r="AH544" s="82"/>
    </row>
    <row r="545">
      <c r="A545" s="78"/>
      <c r="B545" s="79"/>
      <c r="C545" s="80"/>
      <c r="D545" s="80"/>
      <c r="E545" s="80"/>
      <c r="F545" s="80"/>
      <c r="G545" s="80"/>
      <c r="H545" s="80"/>
      <c r="I545" s="80"/>
      <c r="J545" s="80"/>
      <c r="K545" s="82"/>
      <c r="L545" s="80"/>
      <c r="M545" s="80"/>
      <c r="N545" s="80"/>
      <c r="O545" s="80"/>
      <c r="P545" s="80"/>
      <c r="Q545" s="83"/>
      <c r="R545" s="80"/>
      <c r="S545" s="80"/>
      <c r="T545" s="80"/>
      <c r="U545" s="80"/>
      <c r="V545" s="84"/>
      <c r="W545" s="80"/>
      <c r="X545" s="85"/>
      <c r="Y545" s="86"/>
      <c r="Z545" s="86"/>
      <c r="AA545" s="86"/>
      <c r="AB545" s="86"/>
      <c r="AC545" s="86"/>
      <c r="AD545" s="86"/>
      <c r="AE545" s="86"/>
      <c r="AF545" s="86"/>
      <c r="AG545" s="86"/>
      <c r="AH545" s="82"/>
    </row>
    <row r="546">
      <c r="A546" s="78"/>
      <c r="B546" s="79"/>
      <c r="C546" s="80"/>
      <c r="D546" s="80"/>
      <c r="E546" s="80"/>
      <c r="F546" s="80"/>
      <c r="G546" s="80"/>
      <c r="H546" s="80"/>
      <c r="I546" s="80"/>
      <c r="J546" s="80"/>
      <c r="K546" s="82"/>
      <c r="L546" s="80"/>
      <c r="M546" s="80"/>
      <c r="N546" s="80"/>
      <c r="O546" s="80"/>
      <c r="P546" s="80"/>
      <c r="Q546" s="83"/>
      <c r="R546" s="80"/>
      <c r="S546" s="80"/>
      <c r="T546" s="80"/>
      <c r="U546" s="80"/>
      <c r="V546" s="84"/>
      <c r="W546" s="80"/>
      <c r="X546" s="85"/>
      <c r="Y546" s="86"/>
      <c r="Z546" s="86"/>
      <c r="AA546" s="86"/>
      <c r="AB546" s="86"/>
      <c r="AC546" s="86"/>
      <c r="AD546" s="86"/>
      <c r="AE546" s="86"/>
      <c r="AF546" s="86"/>
      <c r="AG546" s="86"/>
      <c r="AH546" s="82"/>
    </row>
    <row r="547">
      <c r="A547" s="78"/>
      <c r="B547" s="79"/>
      <c r="C547" s="80"/>
      <c r="D547" s="80"/>
      <c r="E547" s="80"/>
      <c r="F547" s="80"/>
      <c r="G547" s="80"/>
      <c r="H547" s="80"/>
      <c r="I547" s="80"/>
      <c r="J547" s="80"/>
      <c r="K547" s="82"/>
      <c r="L547" s="80"/>
      <c r="M547" s="80"/>
      <c r="N547" s="80"/>
      <c r="O547" s="80"/>
      <c r="P547" s="80"/>
      <c r="Q547" s="83"/>
      <c r="R547" s="80"/>
      <c r="S547" s="80"/>
      <c r="T547" s="80"/>
      <c r="U547" s="80"/>
      <c r="V547" s="84"/>
      <c r="W547" s="80"/>
      <c r="X547" s="85"/>
      <c r="Y547" s="86"/>
      <c r="Z547" s="86"/>
      <c r="AA547" s="86"/>
      <c r="AB547" s="86"/>
      <c r="AC547" s="86"/>
      <c r="AD547" s="86"/>
      <c r="AE547" s="86"/>
      <c r="AF547" s="86"/>
      <c r="AG547" s="86"/>
      <c r="AH547" s="82"/>
    </row>
    <row r="548">
      <c r="A548" s="78"/>
      <c r="B548" s="79"/>
      <c r="C548" s="80"/>
      <c r="D548" s="80"/>
      <c r="E548" s="80"/>
      <c r="F548" s="80"/>
      <c r="G548" s="80"/>
      <c r="H548" s="80"/>
      <c r="I548" s="80"/>
      <c r="J548" s="80"/>
      <c r="K548" s="82"/>
      <c r="L548" s="80"/>
      <c r="M548" s="80"/>
      <c r="N548" s="80"/>
      <c r="O548" s="80"/>
      <c r="P548" s="80"/>
      <c r="Q548" s="83"/>
      <c r="R548" s="80"/>
      <c r="S548" s="80"/>
      <c r="T548" s="80"/>
      <c r="U548" s="80"/>
      <c r="V548" s="84"/>
      <c r="W548" s="80"/>
      <c r="X548" s="85"/>
      <c r="Y548" s="86"/>
      <c r="Z548" s="86"/>
      <c r="AA548" s="86"/>
      <c r="AB548" s="86"/>
      <c r="AC548" s="86"/>
      <c r="AD548" s="86"/>
      <c r="AE548" s="86"/>
      <c r="AF548" s="86"/>
      <c r="AG548" s="86"/>
      <c r="AH548" s="82"/>
    </row>
    <row r="549">
      <c r="A549" s="78"/>
      <c r="B549" s="79"/>
      <c r="C549" s="80"/>
      <c r="D549" s="80"/>
      <c r="E549" s="80"/>
      <c r="F549" s="80"/>
      <c r="G549" s="80"/>
      <c r="H549" s="80"/>
      <c r="I549" s="80"/>
      <c r="J549" s="80"/>
      <c r="K549" s="82"/>
      <c r="L549" s="80"/>
      <c r="M549" s="80"/>
      <c r="N549" s="80"/>
      <c r="O549" s="80"/>
      <c r="P549" s="80"/>
      <c r="Q549" s="83"/>
      <c r="R549" s="80"/>
      <c r="S549" s="80"/>
      <c r="T549" s="80"/>
      <c r="U549" s="80"/>
      <c r="V549" s="84"/>
      <c r="W549" s="80"/>
      <c r="X549" s="85"/>
      <c r="Y549" s="86"/>
      <c r="Z549" s="86"/>
      <c r="AA549" s="86"/>
      <c r="AB549" s="86"/>
      <c r="AC549" s="86"/>
      <c r="AD549" s="86"/>
      <c r="AE549" s="86"/>
      <c r="AF549" s="86"/>
      <c r="AG549" s="86"/>
      <c r="AH549" s="82"/>
    </row>
    <row r="550">
      <c r="A550" s="78"/>
      <c r="B550" s="79"/>
      <c r="C550" s="80"/>
      <c r="D550" s="80"/>
      <c r="E550" s="80"/>
      <c r="F550" s="80"/>
      <c r="G550" s="80"/>
      <c r="H550" s="80"/>
      <c r="I550" s="80"/>
      <c r="J550" s="80"/>
      <c r="K550" s="82"/>
      <c r="L550" s="80"/>
      <c r="M550" s="80"/>
      <c r="N550" s="80"/>
      <c r="O550" s="80"/>
      <c r="P550" s="80"/>
      <c r="Q550" s="83"/>
      <c r="R550" s="80"/>
      <c r="S550" s="80"/>
      <c r="T550" s="80"/>
      <c r="U550" s="80"/>
      <c r="V550" s="84"/>
      <c r="W550" s="80"/>
      <c r="X550" s="85"/>
      <c r="Y550" s="86"/>
      <c r="Z550" s="86"/>
      <c r="AA550" s="86"/>
      <c r="AB550" s="86"/>
      <c r="AC550" s="86"/>
      <c r="AD550" s="86"/>
      <c r="AE550" s="86"/>
      <c r="AF550" s="86"/>
      <c r="AG550" s="86"/>
      <c r="AH550" s="82"/>
    </row>
    <row r="551">
      <c r="A551" s="78"/>
      <c r="B551" s="79"/>
      <c r="C551" s="80"/>
      <c r="D551" s="80"/>
      <c r="E551" s="80"/>
      <c r="F551" s="80"/>
      <c r="G551" s="80"/>
      <c r="H551" s="80"/>
      <c r="I551" s="80"/>
      <c r="J551" s="80"/>
      <c r="K551" s="82"/>
      <c r="L551" s="80"/>
      <c r="M551" s="80"/>
      <c r="N551" s="80"/>
      <c r="O551" s="80"/>
      <c r="P551" s="80"/>
      <c r="Q551" s="83"/>
      <c r="R551" s="80"/>
      <c r="S551" s="80"/>
      <c r="T551" s="80"/>
      <c r="U551" s="80"/>
      <c r="V551" s="84"/>
      <c r="W551" s="80"/>
      <c r="X551" s="85"/>
      <c r="Y551" s="86"/>
      <c r="Z551" s="86"/>
      <c r="AA551" s="86"/>
      <c r="AB551" s="86"/>
      <c r="AC551" s="86"/>
      <c r="AD551" s="86"/>
      <c r="AE551" s="86"/>
      <c r="AF551" s="86"/>
      <c r="AG551" s="86"/>
      <c r="AH551" s="82"/>
    </row>
    <row r="552">
      <c r="A552" s="78"/>
      <c r="B552" s="79"/>
      <c r="C552" s="80"/>
      <c r="D552" s="80"/>
      <c r="E552" s="80"/>
      <c r="F552" s="80"/>
      <c r="G552" s="80"/>
      <c r="H552" s="80"/>
      <c r="I552" s="80"/>
      <c r="J552" s="80"/>
      <c r="K552" s="82"/>
      <c r="L552" s="80"/>
      <c r="M552" s="80"/>
      <c r="N552" s="80"/>
      <c r="O552" s="80"/>
      <c r="P552" s="80"/>
      <c r="Q552" s="83"/>
      <c r="R552" s="80"/>
      <c r="S552" s="80"/>
      <c r="T552" s="80"/>
      <c r="U552" s="80"/>
      <c r="V552" s="84"/>
      <c r="W552" s="80"/>
      <c r="X552" s="85"/>
      <c r="Y552" s="86"/>
      <c r="Z552" s="86"/>
      <c r="AA552" s="86"/>
      <c r="AB552" s="86"/>
      <c r="AC552" s="86"/>
      <c r="AD552" s="86"/>
      <c r="AE552" s="86"/>
      <c r="AF552" s="86"/>
      <c r="AG552" s="86"/>
      <c r="AH552" s="82"/>
    </row>
    <row r="553">
      <c r="A553" s="78"/>
      <c r="B553" s="79"/>
      <c r="C553" s="80"/>
      <c r="D553" s="80"/>
      <c r="E553" s="80"/>
      <c r="F553" s="80"/>
      <c r="G553" s="80"/>
      <c r="H553" s="80"/>
      <c r="I553" s="80"/>
      <c r="J553" s="80"/>
      <c r="K553" s="82"/>
      <c r="L553" s="80"/>
      <c r="M553" s="80"/>
      <c r="N553" s="80"/>
      <c r="O553" s="80"/>
      <c r="P553" s="80"/>
      <c r="Q553" s="83"/>
      <c r="R553" s="80"/>
      <c r="S553" s="80"/>
      <c r="T553" s="80"/>
      <c r="U553" s="80"/>
      <c r="V553" s="84"/>
      <c r="W553" s="80"/>
      <c r="X553" s="85"/>
      <c r="Y553" s="86"/>
      <c r="Z553" s="86"/>
      <c r="AA553" s="86"/>
      <c r="AB553" s="86"/>
      <c r="AC553" s="86"/>
      <c r="AD553" s="86"/>
      <c r="AE553" s="86"/>
      <c r="AF553" s="86"/>
      <c r="AG553" s="86"/>
      <c r="AH553" s="82"/>
    </row>
    <row r="554">
      <c r="A554" s="78"/>
      <c r="B554" s="79"/>
      <c r="C554" s="80"/>
      <c r="D554" s="80"/>
      <c r="E554" s="80"/>
      <c r="F554" s="80"/>
      <c r="G554" s="80"/>
      <c r="H554" s="80"/>
      <c r="I554" s="80"/>
      <c r="J554" s="80"/>
      <c r="K554" s="82"/>
      <c r="L554" s="80"/>
      <c r="M554" s="80"/>
      <c r="N554" s="80"/>
      <c r="O554" s="80"/>
      <c r="P554" s="80"/>
      <c r="Q554" s="83"/>
      <c r="R554" s="80"/>
      <c r="S554" s="80"/>
      <c r="T554" s="80"/>
      <c r="U554" s="80"/>
      <c r="V554" s="84"/>
      <c r="W554" s="80"/>
      <c r="X554" s="85"/>
      <c r="Y554" s="86"/>
      <c r="Z554" s="86"/>
      <c r="AA554" s="86"/>
      <c r="AB554" s="86"/>
      <c r="AC554" s="86"/>
      <c r="AD554" s="86"/>
      <c r="AE554" s="86"/>
      <c r="AF554" s="86"/>
      <c r="AG554" s="86"/>
      <c r="AH554" s="82"/>
    </row>
    <row r="555">
      <c r="A555" s="78"/>
      <c r="B555" s="79"/>
      <c r="C555" s="80"/>
      <c r="D555" s="80"/>
      <c r="E555" s="80"/>
      <c r="F555" s="80"/>
      <c r="G555" s="80"/>
      <c r="H555" s="80"/>
      <c r="I555" s="80"/>
      <c r="J555" s="80"/>
      <c r="K555" s="82"/>
      <c r="L555" s="80"/>
      <c r="M555" s="80"/>
      <c r="N555" s="80"/>
      <c r="O555" s="80"/>
      <c r="P555" s="80"/>
      <c r="Q555" s="83"/>
      <c r="R555" s="80"/>
      <c r="S555" s="80"/>
      <c r="T555" s="80"/>
      <c r="U555" s="80"/>
      <c r="V555" s="84"/>
      <c r="W555" s="80"/>
      <c r="X555" s="85"/>
      <c r="Y555" s="86"/>
      <c r="Z555" s="86"/>
      <c r="AA555" s="86"/>
      <c r="AB555" s="86"/>
      <c r="AC555" s="86"/>
      <c r="AD555" s="86"/>
      <c r="AE555" s="86"/>
      <c r="AF555" s="86"/>
      <c r="AG555" s="86"/>
      <c r="AH555" s="82"/>
    </row>
    <row r="556">
      <c r="A556" s="78"/>
      <c r="B556" s="79"/>
      <c r="C556" s="80"/>
      <c r="D556" s="80"/>
      <c r="E556" s="80"/>
      <c r="F556" s="80"/>
      <c r="G556" s="80"/>
      <c r="H556" s="80"/>
      <c r="I556" s="80"/>
      <c r="J556" s="80"/>
      <c r="K556" s="82"/>
      <c r="L556" s="80"/>
      <c r="M556" s="80"/>
      <c r="N556" s="80"/>
      <c r="O556" s="80"/>
      <c r="P556" s="80"/>
      <c r="Q556" s="83"/>
      <c r="R556" s="80"/>
      <c r="S556" s="80"/>
      <c r="T556" s="80"/>
      <c r="U556" s="80"/>
      <c r="V556" s="84"/>
      <c r="W556" s="80"/>
      <c r="X556" s="85"/>
      <c r="Y556" s="86"/>
      <c r="Z556" s="86"/>
      <c r="AA556" s="86"/>
      <c r="AB556" s="86"/>
      <c r="AC556" s="86"/>
      <c r="AD556" s="86"/>
      <c r="AE556" s="86"/>
      <c r="AF556" s="86"/>
      <c r="AG556" s="86"/>
      <c r="AH556" s="82"/>
    </row>
    <row r="557">
      <c r="A557" s="78"/>
      <c r="B557" s="79"/>
      <c r="C557" s="80"/>
      <c r="D557" s="80"/>
      <c r="E557" s="80"/>
      <c r="F557" s="80"/>
      <c r="G557" s="80"/>
      <c r="H557" s="80"/>
      <c r="I557" s="80"/>
      <c r="J557" s="80"/>
      <c r="K557" s="82"/>
      <c r="L557" s="80"/>
      <c r="M557" s="80"/>
      <c r="N557" s="80"/>
      <c r="O557" s="80"/>
      <c r="P557" s="80"/>
      <c r="Q557" s="83"/>
      <c r="R557" s="80"/>
      <c r="S557" s="80"/>
      <c r="T557" s="80"/>
      <c r="U557" s="80"/>
      <c r="V557" s="84"/>
      <c r="W557" s="80"/>
      <c r="X557" s="85"/>
      <c r="Y557" s="86"/>
      <c r="Z557" s="86"/>
      <c r="AA557" s="86"/>
      <c r="AB557" s="86"/>
      <c r="AC557" s="86"/>
      <c r="AD557" s="86"/>
      <c r="AE557" s="86"/>
      <c r="AF557" s="86"/>
      <c r="AG557" s="86"/>
      <c r="AH557" s="82"/>
    </row>
    <row r="558">
      <c r="A558" s="78"/>
      <c r="B558" s="79"/>
      <c r="C558" s="80"/>
      <c r="D558" s="80"/>
      <c r="E558" s="80"/>
      <c r="F558" s="80"/>
      <c r="G558" s="80"/>
      <c r="H558" s="80"/>
      <c r="I558" s="80"/>
      <c r="J558" s="80"/>
      <c r="K558" s="82"/>
      <c r="L558" s="80"/>
      <c r="M558" s="80"/>
      <c r="N558" s="80"/>
      <c r="O558" s="80"/>
      <c r="P558" s="80"/>
      <c r="Q558" s="83"/>
      <c r="R558" s="80"/>
      <c r="S558" s="80"/>
      <c r="T558" s="80"/>
      <c r="U558" s="80"/>
      <c r="V558" s="84"/>
      <c r="W558" s="80"/>
      <c r="X558" s="85"/>
      <c r="Y558" s="86"/>
      <c r="Z558" s="86"/>
      <c r="AA558" s="86"/>
      <c r="AB558" s="86"/>
      <c r="AC558" s="86"/>
      <c r="AD558" s="86"/>
      <c r="AE558" s="86"/>
      <c r="AF558" s="86"/>
      <c r="AG558" s="86"/>
      <c r="AH558" s="82"/>
    </row>
    <row r="559">
      <c r="A559" s="78"/>
      <c r="B559" s="79"/>
      <c r="C559" s="80"/>
      <c r="D559" s="80"/>
      <c r="E559" s="80"/>
      <c r="F559" s="80"/>
      <c r="G559" s="80"/>
      <c r="H559" s="80"/>
      <c r="I559" s="80"/>
      <c r="J559" s="80"/>
      <c r="K559" s="82"/>
      <c r="L559" s="80"/>
      <c r="M559" s="80"/>
      <c r="N559" s="80"/>
      <c r="O559" s="80"/>
      <c r="P559" s="80"/>
      <c r="Q559" s="83"/>
      <c r="R559" s="80"/>
      <c r="S559" s="80"/>
      <c r="T559" s="80"/>
      <c r="U559" s="80"/>
      <c r="V559" s="84"/>
      <c r="W559" s="80"/>
      <c r="X559" s="85"/>
      <c r="Y559" s="86"/>
      <c r="Z559" s="86"/>
      <c r="AA559" s="86"/>
      <c r="AB559" s="86"/>
      <c r="AC559" s="86"/>
      <c r="AD559" s="86"/>
      <c r="AE559" s="86"/>
      <c r="AF559" s="86"/>
      <c r="AG559" s="86"/>
      <c r="AH559" s="82"/>
    </row>
    <row r="560">
      <c r="A560" s="78"/>
      <c r="B560" s="79"/>
      <c r="C560" s="80"/>
      <c r="D560" s="80"/>
      <c r="E560" s="80"/>
      <c r="F560" s="80"/>
      <c r="G560" s="80"/>
      <c r="H560" s="80"/>
      <c r="I560" s="80"/>
      <c r="J560" s="80"/>
      <c r="K560" s="82"/>
      <c r="L560" s="80"/>
      <c r="M560" s="80"/>
      <c r="N560" s="80"/>
      <c r="O560" s="80"/>
      <c r="P560" s="80"/>
      <c r="Q560" s="83"/>
      <c r="R560" s="80"/>
      <c r="S560" s="80"/>
      <c r="T560" s="80"/>
      <c r="U560" s="80"/>
      <c r="V560" s="84"/>
      <c r="W560" s="80"/>
      <c r="X560" s="85"/>
      <c r="Y560" s="86"/>
      <c r="Z560" s="86"/>
      <c r="AA560" s="86"/>
      <c r="AB560" s="86"/>
      <c r="AC560" s="86"/>
      <c r="AD560" s="86"/>
      <c r="AE560" s="86"/>
      <c r="AF560" s="86"/>
      <c r="AG560" s="86"/>
      <c r="AH560" s="82"/>
    </row>
    <row r="561">
      <c r="A561" s="78"/>
      <c r="B561" s="79"/>
      <c r="C561" s="80"/>
      <c r="D561" s="80"/>
      <c r="E561" s="80"/>
      <c r="F561" s="80"/>
      <c r="G561" s="80"/>
      <c r="H561" s="80"/>
      <c r="I561" s="80"/>
      <c r="J561" s="80"/>
      <c r="K561" s="82"/>
      <c r="L561" s="80"/>
      <c r="M561" s="80"/>
      <c r="N561" s="80"/>
      <c r="O561" s="80"/>
      <c r="P561" s="80"/>
      <c r="Q561" s="83"/>
      <c r="R561" s="80"/>
      <c r="S561" s="80"/>
      <c r="T561" s="80"/>
      <c r="U561" s="80"/>
      <c r="V561" s="84"/>
      <c r="W561" s="80"/>
      <c r="X561" s="85"/>
      <c r="Y561" s="86"/>
      <c r="Z561" s="86"/>
      <c r="AA561" s="86"/>
      <c r="AB561" s="86"/>
      <c r="AC561" s="86"/>
      <c r="AD561" s="86"/>
      <c r="AE561" s="86"/>
      <c r="AF561" s="86"/>
      <c r="AG561" s="86"/>
      <c r="AH561" s="82"/>
    </row>
    <row r="562">
      <c r="A562" s="78"/>
      <c r="B562" s="79"/>
      <c r="C562" s="80"/>
      <c r="D562" s="80"/>
      <c r="E562" s="80"/>
      <c r="F562" s="80"/>
      <c r="G562" s="80"/>
      <c r="H562" s="80"/>
      <c r="I562" s="80"/>
      <c r="J562" s="80"/>
      <c r="K562" s="82"/>
      <c r="L562" s="80"/>
      <c r="M562" s="80"/>
      <c r="N562" s="80"/>
      <c r="O562" s="80"/>
      <c r="P562" s="80"/>
      <c r="Q562" s="83"/>
      <c r="R562" s="80"/>
      <c r="S562" s="80"/>
      <c r="T562" s="80"/>
      <c r="U562" s="80"/>
      <c r="V562" s="84"/>
      <c r="W562" s="80"/>
      <c r="X562" s="85"/>
      <c r="Y562" s="86"/>
      <c r="Z562" s="86"/>
      <c r="AA562" s="86"/>
      <c r="AB562" s="86"/>
      <c r="AC562" s="86"/>
      <c r="AD562" s="86"/>
      <c r="AE562" s="86"/>
      <c r="AF562" s="86"/>
      <c r="AG562" s="86"/>
      <c r="AH562" s="82"/>
    </row>
    <row r="563">
      <c r="A563" s="78"/>
      <c r="B563" s="79"/>
      <c r="C563" s="80"/>
      <c r="D563" s="80"/>
      <c r="E563" s="80"/>
      <c r="F563" s="80"/>
      <c r="G563" s="80"/>
      <c r="H563" s="80"/>
      <c r="I563" s="80"/>
      <c r="J563" s="80"/>
      <c r="K563" s="82"/>
      <c r="L563" s="80"/>
      <c r="M563" s="80"/>
      <c r="N563" s="80"/>
      <c r="O563" s="80"/>
      <c r="P563" s="80"/>
      <c r="Q563" s="83"/>
      <c r="R563" s="80"/>
      <c r="S563" s="80"/>
      <c r="T563" s="80"/>
      <c r="U563" s="80"/>
      <c r="V563" s="84"/>
      <c r="W563" s="80"/>
      <c r="X563" s="85"/>
      <c r="Y563" s="86"/>
      <c r="Z563" s="86"/>
      <c r="AA563" s="86"/>
      <c r="AB563" s="86"/>
      <c r="AC563" s="86"/>
      <c r="AD563" s="86"/>
      <c r="AE563" s="86"/>
      <c r="AF563" s="86"/>
      <c r="AG563" s="86"/>
      <c r="AH563" s="82"/>
    </row>
    <row r="564">
      <c r="A564" s="78"/>
      <c r="B564" s="79"/>
      <c r="C564" s="80"/>
      <c r="D564" s="80"/>
      <c r="E564" s="80"/>
      <c r="F564" s="80"/>
      <c r="G564" s="80"/>
      <c r="H564" s="80"/>
      <c r="I564" s="80"/>
      <c r="J564" s="80"/>
      <c r="K564" s="82"/>
      <c r="L564" s="80"/>
      <c r="M564" s="80"/>
      <c r="N564" s="80"/>
      <c r="O564" s="80"/>
      <c r="P564" s="80"/>
      <c r="Q564" s="83"/>
      <c r="R564" s="80"/>
      <c r="S564" s="80"/>
      <c r="T564" s="80"/>
      <c r="U564" s="80"/>
      <c r="V564" s="84"/>
      <c r="W564" s="80"/>
      <c r="X564" s="85"/>
      <c r="Y564" s="86"/>
      <c r="Z564" s="86"/>
      <c r="AA564" s="86"/>
      <c r="AB564" s="86"/>
      <c r="AC564" s="86"/>
      <c r="AD564" s="86"/>
      <c r="AE564" s="86"/>
      <c r="AF564" s="86"/>
      <c r="AG564" s="86"/>
      <c r="AH564" s="82"/>
    </row>
    <row r="565">
      <c r="A565" s="78"/>
      <c r="B565" s="79"/>
      <c r="C565" s="80"/>
      <c r="D565" s="80"/>
      <c r="E565" s="80"/>
      <c r="F565" s="80"/>
      <c r="G565" s="80"/>
      <c r="H565" s="80"/>
      <c r="I565" s="80"/>
      <c r="J565" s="80"/>
      <c r="K565" s="82"/>
      <c r="L565" s="80"/>
      <c r="M565" s="80"/>
      <c r="N565" s="80"/>
      <c r="O565" s="80"/>
      <c r="P565" s="80"/>
      <c r="Q565" s="83"/>
      <c r="R565" s="80"/>
      <c r="S565" s="80"/>
      <c r="T565" s="80"/>
      <c r="U565" s="80"/>
      <c r="V565" s="84"/>
      <c r="W565" s="80"/>
      <c r="X565" s="85"/>
      <c r="Y565" s="86"/>
      <c r="Z565" s="86"/>
      <c r="AA565" s="86"/>
      <c r="AB565" s="86"/>
      <c r="AC565" s="86"/>
      <c r="AD565" s="86"/>
      <c r="AE565" s="86"/>
      <c r="AF565" s="86"/>
      <c r="AG565" s="86"/>
      <c r="AH565" s="82"/>
    </row>
    <row r="566">
      <c r="A566" s="78"/>
      <c r="B566" s="79"/>
      <c r="C566" s="80"/>
      <c r="D566" s="80"/>
      <c r="E566" s="80"/>
      <c r="F566" s="80"/>
      <c r="G566" s="80"/>
      <c r="H566" s="80"/>
      <c r="I566" s="80"/>
      <c r="J566" s="80"/>
      <c r="K566" s="82"/>
      <c r="L566" s="80"/>
      <c r="M566" s="80"/>
      <c r="N566" s="80"/>
      <c r="O566" s="80"/>
      <c r="P566" s="80"/>
      <c r="Q566" s="83"/>
      <c r="R566" s="80"/>
      <c r="S566" s="80"/>
      <c r="T566" s="80"/>
      <c r="U566" s="80"/>
      <c r="V566" s="84"/>
      <c r="W566" s="80"/>
      <c r="X566" s="85"/>
      <c r="Y566" s="86"/>
      <c r="Z566" s="86"/>
      <c r="AA566" s="86"/>
      <c r="AB566" s="86"/>
      <c r="AC566" s="86"/>
      <c r="AD566" s="86"/>
      <c r="AE566" s="86"/>
      <c r="AF566" s="86"/>
      <c r="AG566" s="86"/>
      <c r="AH566" s="82"/>
    </row>
    <row r="567">
      <c r="A567" s="78"/>
      <c r="B567" s="79"/>
      <c r="C567" s="80"/>
      <c r="D567" s="80"/>
      <c r="E567" s="80"/>
      <c r="F567" s="80"/>
      <c r="G567" s="80"/>
      <c r="H567" s="80"/>
      <c r="I567" s="80"/>
      <c r="J567" s="80"/>
      <c r="K567" s="82"/>
      <c r="L567" s="80"/>
      <c r="M567" s="80"/>
      <c r="N567" s="80"/>
      <c r="O567" s="80"/>
      <c r="P567" s="80"/>
      <c r="Q567" s="83"/>
      <c r="R567" s="80"/>
      <c r="S567" s="80"/>
      <c r="T567" s="80"/>
      <c r="U567" s="80"/>
      <c r="V567" s="84"/>
      <c r="W567" s="80"/>
      <c r="X567" s="85"/>
      <c r="Y567" s="86"/>
      <c r="Z567" s="86"/>
      <c r="AA567" s="86"/>
      <c r="AB567" s="86"/>
      <c r="AC567" s="86"/>
      <c r="AD567" s="86"/>
      <c r="AE567" s="86"/>
      <c r="AF567" s="86"/>
      <c r="AG567" s="86"/>
      <c r="AH567" s="82"/>
    </row>
    <row r="568">
      <c r="A568" s="78"/>
      <c r="B568" s="79"/>
      <c r="C568" s="80"/>
      <c r="D568" s="80"/>
      <c r="E568" s="80"/>
      <c r="F568" s="80"/>
      <c r="G568" s="80"/>
      <c r="H568" s="80"/>
      <c r="I568" s="80"/>
      <c r="J568" s="80"/>
      <c r="K568" s="82"/>
      <c r="L568" s="80"/>
      <c r="M568" s="80"/>
      <c r="N568" s="80"/>
      <c r="O568" s="80"/>
      <c r="P568" s="80"/>
      <c r="Q568" s="83"/>
      <c r="R568" s="80"/>
      <c r="S568" s="80"/>
      <c r="T568" s="80"/>
      <c r="U568" s="80"/>
      <c r="V568" s="84"/>
      <c r="W568" s="80"/>
      <c r="X568" s="85"/>
      <c r="Y568" s="86"/>
      <c r="Z568" s="86"/>
      <c r="AA568" s="86"/>
      <c r="AB568" s="86"/>
      <c r="AC568" s="86"/>
      <c r="AD568" s="86"/>
      <c r="AE568" s="86"/>
      <c r="AF568" s="86"/>
      <c r="AG568" s="86"/>
      <c r="AH568" s="82"/>
    </row>
    <row r="569">
      <c r="A569" s="78"/>
      <c r="B569" s="79"/>
      <c r="C569" s="80"/>
      <c r="D569" s="80"/>
      <c r="E569" s="80"/>
      <c r="F569" s="80"/>
      <c r="G569" s="80"/>
      <c r="H569" s="80"/>
      <c r="I569" s="80"/>
      <c r="J569" s="80"/>
      <c r="K569" s="82"/>
      <c r="L569" s="80"/>
      <c r="M569" s="80"/>
      <c r="N569" s="80"/>
      <c r="O569" s="80"/>
      <c r="P569" s="80"/>
      <c r="Q569" s="83"/>
      <c r="R569" s="80"/>
      <c r="S569" s="80"/>
      <c r="T569" s="80"/>
      <c r="U569" s="80"/>
      <c r="V569" s="84"/>
      <c r="W569" s="80"/>
      <c r="X569" s="85"/>
      <c r="Y569" s="86"/>
      <c r="Z569" s="86"/>
      <c r="AA569" s="86"/>
      <c r="AB569" s="86"/>
      <c r="AC569" s="86"/>
      <c r="AD569" s="86"/>
      <c r="AE569" s="86"/>
      <c r="AF569" s="86"/>
      <c r="AG569" s="86"/>
      <c r="AH569" s="82"/>
    </row>
    <row r="570">
      <c r="A570" s="78"/>
      <c r="B570" s="79"/>
      <c r="C570" s="80"/>
      <c r="D570" s="80"/>
      <c r="E570" s="80"/>
      <c r="F570" s="80"/>
      <c r="G570" s="80"/>
      <c r="H570" s="80"/>
      <c r="I570" s="80"/>
      <c r="J570" s="80"/>
      <c r="K570" s="82"/>
      <c r="L570" s="80"/>
      <c r="M570" s="80"/>
      <c r="N570" s="80"/>
      <c r="O570" s="80"/>
      <c r="P570" s="80"/>
      <c r="Q570" s="83"/>
      <c r="R570" s="80"/>
      <c r="S570" s="80"/>
      <c r="T570" s="80"/>
      <c r="U570" s="80"/>
      <c r="V570" s="84"/>
      <c r="W570" s="80"/>
      <c r="X570" s="85"/>
      <c r="Y570" s="86"/>
      <c r="Z570" s="86"/>
      <c r="AA570" s="86"/>
      <c r="AB570" s="86"/>
      <c r="AC570" s="86"/>
      <c r="AD570" s="86"/>
      <c r="AE570" s="86"/>
      <c r="AF570" s="86"/>
      <c r="AG570" s="86"/>
      <c r="AH570" s="82"/>
    </row>
    <row r="571">
      <c r="A571" s="78"/>
      <c r="B571" s="79"/>
      <c r="C571" s="80"/>
      <c r="D571" s="80"/>
      <c r="E571" s="80"/>
      <c r="F571" s="80"/>
      <c r="G571" s="80"/>
      <c r="H571" s="80"/>
      <c r="I571" s="80"/>
      <c r="J571" s="80"/>
      <c r="K571" s="82"/>
      <c r="L571" s="80"/>
      <c r="M571" s="80"/>
      <c r="N571" s="80"/>
      <c r="O571" s="80"/>
      <c r="P571" s="80"/>
      <c r="Q571" s="83"/>
      <c r="R571" s="80"/>
      <c r="S571" s="80"/>
      <c r="T571" s="80"/>
      <c r="U571" s="80"/>
      <c r="V571" s="84"/>
      <c r="W571" s="80"/>
      <c r="X571" s="85"/>
      <c r="Y571" s="86"/>
      <c r="Z571" s="86"/>
      <c r="AA571" s="86"/>
      <c r="AB571" s="86"/>
      <c r="AC571" s="86"/>
      <c r="AD571" s="86"/>
      <c r="AE571" s="86"/>
      <c r="AF571" s="86"/>
      <c r="AG571" s="86"/>
      <c r="AH571" s="82"/>
    </row>
    <row r="572">
      <c r="A572" s="78"/>
      <c r="B572" s="79"/>
      <c r="C572" s="80"/>
      <c r="D572" s="80"/>
      <c r="E572" s="80"/>
      <c r="F572" s="80"/>
      <c r="G572" s="80"/>
      <c r="H572" s="80"/>
      <c r="I572" s="80"/>
      <c r="J572" s="80"/>
      <c r="K572" s="82"/>
      <c r="L572" s="80"/>
      <c r="M572" s="80"/>
      <c r="N572" s="80"/>
      <c r="O572" s="80"/>
      <c r="P572" s="80"/>
      <c r="Q572" s="83"/>
      <c r="R572" s="80"/>
      <c r="S572" s="80"/>
      <c r="T572" s="80"/>
      <c r="U572" s="80"/>
      <c r="V572" s="84"/>
      <c r="W572" s="80"/>
      <c r="X572" s="85"/>
      <c r="Y572" s="86"/>
      <c r="Z572" s="86"/>
      <c r="AA572" s="86"/>
      <c r="AB572" s="86"/>
      <c r="AC572" s="86"/>
      <c r="AD572" s="86"/>
      <c r="AE572" s="86"/>
      <c r="AF572" s="86"/>
      <c r="AG572" s="86"/>
      <c r="AH572" s="82"/>
    </row>
    <row r="573">
      <c r="A573" s="78"/>
      <c r="B573" s="79"/>
      <c r="C573" s="80"/>
      <c r="D573" s="80"/>
      <c r="E573" s="80"/>
      <c r="F573" s="80"/>
      <c r="G573" s="80"/>
      <c r="H573" s="80"/>
      <c r="I573" s="80"/>
      <c r="J573" s="80"/>
      <c r="K573" s="82"/>
      <c r="L573" s="80"/>
      <c r="M573" s="80"/>
      <c r="N573" s="80"/>
      <c r="O573" s="80"/>
      <c r="P573" s="80"/>
      <c r="Q573" s="83"/>
      <c r="R573" s="80"/>
      <c r="S573" s="80"/>
      <c r="T573" s="80"/>
      <c r="U573" s="80"/>
      <c r="V573" s="84"/>
      <c r="W573" s="80"/>
      <c r="X573" s="85"/>
      <c r="Y573" s="86"/>
      <c r="Z573" s="86"/>
      <c r="AA573" s="86"/>
      <c r="AB573" s="86"/>
      <c r="AC573" s="86"/>
      <c r="AD573" s="86"/>
      <c r="AE573" s="86"/>
      <c r="AF573" s="86"/>
      <c r="AG573" s="86"/>
      <c r="AH573" s="82"/>
    </row>
    <row r="574">
      <c r="A574" s="78"/>
      <c r="B574" s="79"/>
      <c r="C574" s="80"/>
      <c r="D574" s="80"/>
      <c r="E574" s="80"/>
      <c r="F574" s="80"/>
      <c r="G574" s="80"/>
      <c r="H574" s="80"/>
      <c r="I574" s="80"/>
      <c r="J574" s="80"/>
      <c r="K574" s="82"/>
      <c r="L574" s="80"/>
      <c r="M574" s="80"/>
      <c r="N574" s="80"/>
      <c r="O574" s="80"/>
      <c r="P574" s="80"/>
      <c r="Q574" s="83"/>
      <c r="R574" s="80"/>
      <c r="S574" s="80"/>
      <c r="T574" s="80"/>
      <c r="U574" s="80"/>
      <c r="V574" s="84"/>
      <c r="W574" s="80"/>
      <c r="X574" s="85"/>
      <c r="Y574" s="86"/>
      <c r="Z574" s="86"/>
      <c r="AA574" s="86"/>
      <c r="AB574" s="86"/>
      <c r="AC574" s="86"/>
      <c r="AD574" s="86"/>
      <c r="AE574" s="86"/>
      <c r="AF574" s="86"/>
      <c r="AG574" s="86"/>
      <c r="AH574" s="82"/>
    </row>
    <row r="575">
      <c r="A575" s="78"/>
      <c r="B575" s="79"/>
      <c r="C575" s="80"/>
      <c r="D575" s="80"/>
      <c r="E575" s="80"/>
      <c r="F575" s="80"/>
      <c r="G575" s="80"/>
      <c r="H575" s="80"/>
      <c r="I575" s="80"/>
      <c r="J575" s="80"/>
      <c r="K575" s="82"/>
      <c r="L575" s="80"/>
      <c r="M575" s="80"/>
      <c r="N575" s="80"/>
      <c r="O575" s="80"/>
      <c r="P575" s="80"/>
      <c r="Q575" s="83"/>
      <c r="R575" s="80"/>
      <c r="S575" s="80"/>
      <c r="T575" s="80"/>
      <c r="U575" s="80"/>
      <c r="V575" s="84"/>
      <c r="W575" s="80"/>
      <c r="X575" s="85"/>
      <c r="Y575" s="86"/>
      <c r="Z575" s="86"/>
      <c r="AA575" s="86"/>
      <c r="AB575" s="86"/>
      <c r="AC575" s="86"/>
      <c r="AD575" s="86"/>
      <c r="AE575" s="86"/>
      <c r="AF575" s="86"/>
      <c r="AG575" s="86"/>
      <c r="AH575" s="82"/>
    </row>
    <row r="576">
      <c r="A576" s="78"/>
      <c r="B576" s="79"/>
      <c r="C576" s="80"/>
      <c r="D576" s="80"/>
      <c r="E576" s="80"/>
      <c r="F576" s="80"/>
      <c r="G576" s="80"/>
      <c r="H576" s="80"/>
      <c r="I576" s="80"/>
      <c r="J576" s="80"/>
      <c r="K576" s="82"/>
      <c r="L576" s="80"/>
      <c r="M576" s="80"/>
      <c r="N576" s="80"/>
      <c r="O576" s="80"/>
      <c r="P576" s="80"/>
      <c r="Q576" s="83"/>
      <c r="R576" s="80"/>
      <c r="S576" s="80"/>
      <c r="T576" s="80"/>
      <c r="U576" s="80"/>
      <c r="V576" s="84"/>
      <c r="W576" s="80"/>
      <c r="X576" s="85"/>
      <c r="Y576" s="86"/>
      <c r="Z576" s="86"/>
      <c r="AA576" s="86"/>
      <c r="AB576" s="86"/>
      <c r="AC576" s="86"/>
      <c r="AD576" s="86"/>
      <c r="AE576" s="86"/>
      <c r="AF576" s="86"/>
      <c r="AG576" s="86"/>
      <c r="AH576" s="82"/>
    </row>
    <row r="577">
      <c r="A577" s="78"/>
      <c r="B577" s="79"/>
      <c r="C577" s="80"/>
      <c r="D577" s="80"/>
      <c r="E577" s="80"/>
      <c r="F577" s="80"/>
      <c r="G577" s="80"/>
      <c r="H577" s="80"/>
      <c r="I577" s="80"/>
      <c r="J577" s="80"/>
      <c r="K577" s="82"/>
      <c r="L577" s="80"/>
      <c r="M577" s="80"/>
      <c r="N577" s="80"/>
      <c r="O577" s="80"/>
      <c r="P577" s="80"/>
      <c r="Q577" s="83"/>
      <c r="R577" s="80"/>
      <c r="S577" s="80"/>
      <c r="T577" s="80"/>
      <c r="U577" s="80"/>
      <c r="V577" s="84"/>
      <c r="W577" s="80"/>
      <c r="X577" s="85"/>
      <c r="Y577" s="86"/>
      <c r="Z577" s="86"/>
      <c r="AA577" s="86"/>
      <c r="AB577" s="86"/>
      <c r="AC577" s="86"/>
      <c r="AD577" s="86"/>
      <c r="AE577" s="86"/>
      <c r="AF577" s="86"/>
      <c r="AG577" s="86"/>
      <c r="AH577" s="82"/>
    </row>
    <row r="578">
      <c r="A578" s="78"/>
      <c r="B578" s="79"/>
      <c r="C578" s="80"/>
      <c r="D578" s="80"/>
      <c r="E578" s="80"/>
      <c r="F578" s="80"/>
      <c r="G578" s="80"/>
      <c r="H578" s="80"/>
      <c r="I578" s="80"/>
      <c r="J578" s="80"/>
      <c r="K578" s="82"/>
      <c r="L578" s="80"/>
      <c r="M578" s="80"/>
      <c r="N578" s="80"/>
      <c r="O578" s="80"/>
      <c r="P578" s="80"/>
      <c r="Q578" s="83"/>
      <c r="R578" s="80"/>
      <c r="S578" s="80"/>
      <c r="T578" s="80"/>
      <c r="U578" s="80"/>
      <c r="V578" s="84"/>
      <c r="W578" s="80"/>
      <c r="X578" s="85"/>
      <c r="Y578" s="86"/>
      <c r="Z578" s="86"/>
      <c r="AA578" s="86"/>
      <c r="AB578" s="86"/>
      <c r="AC578" s="86"/>
      <c r="AD578" s="86"/>
      <c r="AE578" s="86"/>
      <c r="AF578" s="86"/>
      <c r="AG578" s="86"/>
      <c r="AH578" s="82"/>
    </row>
    <row r="579">
      <c r="A579" s="78"/>
      <c r="B579" s="79"/>
      <c r="C579" s="80"/>
      <c r="D579" s="80"/>
      <c r="E579" s="80"/>
      <c r="F579" s="80"/>
      <c r="G579" s="80"/>
      <c r="H579" s="80"/>
      <c r="I579" s="80"/>
      <c r="J579" s="80"/>
      <c r="K579" s="82"/>
      <c r="L579" s="80"/>
      <c r="M579" s="80"/>
      <c r="N579" s="80"/>
      <c r="O579" s="80"/>
      <c r="P579" s="80"/>
      <c r="Q579" s="83"/>
      <c r="R579" s="80"/>
      <c r="S579" s="80"/>
      <c r="T579" s="80"/>
      <c r="U579" s="80"/>
      <c r="V579" s="84"/>
      <c r="W579" s="80"/>
      <c r="X579" s="85"/>
      <c r="Y579" s="86"/>
      <c r="Z579" s="86"/>
      <c r="AA579" s="86"/>
      <c r="AB579" s="86"/>
      <c r="AC579" s="86"/>
      <c r="AD579" s="86"/>
      <c r="AE579" s="86"/>
      <c r="AF579" s="86"/>
      <c r="AG579" s="86"/>
      <c r="AH579" s="82"/>
    </row>
    <row r="580">
      <c r="A580" s="78"/>
      <c r="B580" s="79"/>
      <c r="C580" s="80"/>
      <c r="D580" s="80"/>
      <c r="E580" s="80"/>
      <c r="F580" s="80"/>
      <c r="G580" s="80"/>
      <c r="H580" s="80"/>
      <c r="I580" s="80"/>
      <c r="J580" s="80"/>
      <c r="K580" s="82"/>
      <c r="L580" s="80"/>
      <c r="M580" s="80"/>
      <c r="N580" s="80"/>
      <c r="O580" s="80"/>
      <c r="P580" s="80"/>
      <c r="Q580" s="83"/>
      <c r="R580" s="80"/>
      <c r="S580" s="80"/>
      <c r="T580" s="80"/>
      <c r="U580" s="80"/>
      <c r="V580" s="84"/>
      <c r="W580" s="80"/>
      <c r="X580" s="85"/>
      <c r="Y580" s="86"/>
      <c r="Z580" s="86"/>
      <c r="AA580" s="86"/>
      <c r="AB580" s="86"/>
      <c r="AC580" s="86"/>
      <c r="AD580" s="86"/>
      <c r="AE580" s="86"/>
      <c r="AF580" s="86"/>
      <c r="AG580" s="86"/>
      <c r="AH580" s="82"/>
    </row>
    <row r="581">
      <c r="A581" s="78"/>
      <c r="B581" s="79"/>
      <c r="C581" s="80"/>
      <c r="D581" s="80"/>
      <c r="E581" s="80"/>
      <c r="F581" s="80"/>
      <c r="G581" s="80"/>
      <c r="H581" s="80"/>
      <c r="I581" s="80"/>
      <c r="J581" s="80"/>
      <c r="K581" s="82"/>
      <c r="L581" s="80"/>
      <c r="M581" s="80"/>
      <c r="N581" s="80"/>
      <c r="O581" s="80"/>
      <c r="P581" s="80"/>
      <c r="Q581" s="83"/>
      <c r="R581" s="80"/>
      <c r="S581" s="80"/>
      <c r="T581" s="80"/>
      <c r="U581" s="80"/>
      <c r="V581" s="84"/>
      <c r="W581" s="80"/>
      <c r="X581" s="85"/>
      <c r="Y581" s="86"/>
      <c r="Z581" s="86"/>
      <c r="AA581" s="86"/>
      <c r="AB581" s="86"/>
      <c r="AC581" s="86"/>
      <c r="AD581" s="86"/>
      <c r="AE581" s="86"/>
      <c r="AF581" s="86"/>
      <c r="AG581" s="86"/>
      <c r="AH581" s="82"/>
    </row>
    <row r="582">
      <c r="A582" s="78"/>
      <c r="B582" s="79"/>
      <c r="C582" s="80"/>
      <c r="D582" s="80"/>
      <c r="E582" s="80"/>
      <c r="F582" s="80"/>
      <c r="G582" s="80"/>
      <c r="H582" s="80"/>
      <c r="I582" s="80"/>
      <c r="J582" s="80"/>
      <c r="K582" s="82"/>
      <c r="L582" s="80"/>
      <c r="M582" s="80"/>
      <c r="N582" s="80"/>
      <c r="O582" s="80"/>
      <c r="P582" s="80"/>
      <c r="Q582" s="83"/>
      <c r="R582" s="80"/>
      <c r="S582" s="80"/>
      <c r="T582" s="80"/>
      <c r="U582" s="80"/>
      <c r="V582" s="84"/>
      <c r="W582" s="80"/>
      <c r="X582" s="85"/>
      <c r="Y582" s="86"/>
      <c r="Z582" s="86"/>
      <c r="AA582" s="86"/>
      <c r="AB582" s="86"/>
      <c r="AC582" s="86"/>
      <c r="AD582" s="86"/>
      <c r="AE582" s="86"/>
      <c r="AF582" s="86"/>
      <c r="AG582" s="86"/>
      <c r="AH582" s="82"/>
    </row>
    <row r="583">
      <c r="A583" s="78"/>
      <c r="B583" s="79"/>
      <c r="C583" s="80"/>
      <c r="D583" s="80"/>
      <c r="E583" s="80"/>
      <c r="F583" s="80"/>
      <c r="G583" s="80"/>
      <c r="H583" s="80"/>
      <c r="I583" s="80"/>
      <c r="J583" s="80"/>
      <c r="K583" s="82"/>
      <c r="L583" s="80"/>
      <c r="M583" s="80"/>
      <c r="N583" s="80"/>
      <c r="O583" s="80"/>
      <c r="P583" s="80"/>
      <c r="Q583" s="83"/>
      <c r="R583" s="80"/>
      <c r="S583" s="80"/>
      <c r="T583" s="80"/>
      <c r="U583" s="80"/>
      <c r="V583" s="84"/>
      <c r="W583" s="80"/>
      <c r="X583" s="85"/>
      <c r="Y583" s="86"/>
      <c r="Z583" s="86"/>
      <c r="AA583" s="86"/>
      <c r="AB583" s="86"/>
      <c r="AC583" s="86"/>
      <c r="AD583" s="86"/>
      <c r="AE583" s="86"/>
      <c r="AF583" s="86"/>
      <c r="AG583" s="86"/>
      <c r="AH583" s="82"/>
    </row>
    <row r="584">
      <c r="A584" s="78"/>
      <c r="B584" s="79"/>
      <c r="C584" s="80"/>
      <c r="D584" s="80"/>
      <c r="E584" s="80"/>
      <c r="F584" s="80"/>
      <c r="G584" s="80"/>
      <c r="H584" s="80"/>
      <c r="I584" s="80"/>
      <c r="J584" s="80"/>
      <c r="K584" s="82"/>
      <c r="L584" s="80"/>
      <c r="M584" s="80"/>
      <c r="N584" s="80"/>
      <c r="O584" s="80"/>
      <c r="P584" s="80"/>
      <c r="Q584" s="83"/>
      <c r="R584" s="80"/>
      <c r="S584" s="80"/>
      <c r="T584" s="80"/>
      <c r="U584" s="80"/>
      <c r="V584" s="84"/>
      <c r="W584" s="80"/>
      <c r="X584" s="85"/>
      <c r="Y584" s="86"/>
      <c r="Z584" s="86"/>
      <c r="AA584" s="86"/>
      <c r="AB584" s="86"/>
      <c r="AC584" s="86"/>
      <c r="AD584" s="86"/>
      <c r="AE584" s="86"/>
      <c r="AF584" s="86"/>
      <c r="AG584" s="86"/>
      <c r="AH584" s="82"/>
    </row>
    <row r="585">
      <c r="A585" s="78"/>
      <c r="B585" s="79"/>
      <c r="C585" s="80"/>
      <c r="D585" s="80"/>
      <c r="E585" s="80"/>
      <c r="F585" s="80"/>
      <c r="G585" s="80"/>
      <c r="H585" s="80"/>
      <c r="I585" s="80"/>
      <c r="J585" s="80"/>
      <c r="K585" s="82"/>
      <c r="L585" s="80"/>
      <c r="M585" s="80"/>
      <c r="N585" s="80"/>
      <c r="O585" s="80"/>
      <c r="P585" s="80"/>
      <c r="Q585" s="83"/>
      <c r="R585" s="80"/>
      <c r="S585" s="80"/>
      <c r="T585" s="80"/>
      <c r="U585" s="80"/>
      <c r="V585" s="84"/>
      <c r="W585" s="80"/>
      <c r="X585" s="85"/>
      <c r="Y585" s="86"/>
      <c r="Z585" s="86"/>
      <c r="AA585" s="86"/>
      <c r="AB585" s="86"/>
      <c r="AC585" s="86"/>
      <c r="AD585" s="86"/>
      <c r="AE585" s="86"/>
      <c r="AF585" s="86"/>
      <c r="AG585" s="86"/>
      <c r="AH585" s="82"/>
    </row>
    <row r="586">
      <c r="A586" s="78"/>
      <c r="B586" s="79"/>
      <c r="C586" s="80"/>
      <c r="D586" s="80"/>
      <c r="E586" s="80"/>
      <c r="F586" s="80"/>
      <c r="G586" s="80"/>
      <c r="H586" s="80"/>
      <c r="I586" s="80"/>
      <c r="J586" s="80"/>
      <c r="K586" s="82"/>
      <c r="L586" s="80"/>
      <c r="M586" s="80"/>
      <c r="N586" s="80"/>
      <c r="O586" s="80"/>
      <c r="P586" s="80"/>
      <c r="Q586" s="83"/>
      <c r="R586" s="80"/>
      <c r="S586" s="80"/>
      <c r="T586" s="80"/>
      <c r="U586" s="80"/>
      <c r="V586" s="84"/>
      <c r="W586" s="80"/>
      <c r="X586" s="85"/>
      <c r="Y586" s="86"/>
      <c r="Z586" s="86"/>
      <c r="AA586" s="86"/>
      <c r="AB586" s="86"/>
      <c r="AC586" s="86"/>
      <c r="AD586" s="86"/>
      <c r="AE586" s="86"/>
      <c r="AF586" s="86"/>
      <c r="AG586" s="86"/>
      <c r="AH586" s="82"/>
    </row>
    <row r="587">
      <c r="A587" s="78"/>
      <c r="B587" s="79"/>
      <c r="C587" s="80"/>
      <c r="D587" s="80"/>
      <c r="E587" s="80"/>
      <c r="F587" s="80"/>
      <c r="G587" s="80"/>
      <c r="H587" s="80"/>
      <c r="I587" s="80"/>
      <c r="J587" s="80"/>
      <c r="K587" s="82"/>
      <c r="L587" s="80"/>
      <c r="M587" s="80"/>
      <c r="N587" s="80"/>
      <c r="O587" s="80"/>
      <c r="P587" s="80"/>
      <c r="Q587" s="83"/>
      <c r="R587" s="80"/>
      <c r="S587" s="80"/>
      <c r="T587" s="80"/>
      <c r="U587" s="80"/>
      <c r="V587" s="84"/>
      <c r="W587" s="80"/>
      <c r="X587" s="85"/>
      <c r="Y587" s="86"/>
      <c r="Z587" s="86"/>
      <c r="AA587" s="86"/>
      <c r="AB587" s="86"/>
      <c r="AC587" s="86"/>
      <c r="AD587" s="86"/>
      <c r="AE587" s="86"/>
      <c r="AF587" s="86"/>
      <c r="AG587" s="86"/>
      <c r="AH587" s="82"/>
    </row>
    <row r="588">
      <c r="A588" s="78"/>
      <c r="B588" s="79"/>
      <c r="C588" s="80"/>
      <c r="D588" s="80"/>
      <c r="E588" s="80"/>
      <c r="F588" s="80"/>
      <c r="G588" s="80"/>
      <c r="H588" s="80"/>
      <c r="I588" s="80"/>
      <c r="J588" s="80"/>
      <c r="K588" s="82"/>
      <c r="L588" s="80"/>
      <c r="M588" s="80"/>
      <c r="N588" s="80"/>
      <c r="O588" s="80"/>
      <c r="P588" s="80"/>
      <c r="Q588" s="83"/>
      <c r="R588" s="80"/>
      <c r="S588" s="80"/>
      <c r="T588" s="80"/>
      <c r="U588" s="80"/>
      <c r="V588" s="84"/>
      <c r="W588" s="80"/>
      <c r="X588" s="85"/>
      <c r="Y588" s="86"/>
      <c r="Z588" s="86"/>
      <c r="AA588" s="86"/>
      <c r="AB588" s="86"/>
      <c r="AC588" s="86"/>
      <c r="AD588" s="86"/>
      <c r="AE588" s="86"/>
      <c r="AF588" s="86"/>
      <c r="AG588" s="86"/>
      <c r="AH588" s="82"/>
    </row>
    <row r="589">
      <c r="A589" s="78"/>
      <c r="B589" s="79"/>
      <c r="C589" s="80"/>
      <c r="D589" s="80"/>
      <c r="E589" s="80"/>
      <c r="F589" s="80"/>
      <c r="G589" s="80"/>
      <c r="H589" s="80"/>
      <c r="I589" s="80"/>
      <c r="J589" s="80"/>
      <c r="K589" s="82"/>
      <c r="L589" s="80"/>
      <c r="M589" s="80"/>
      <c r="N589" s="80"/>
      <c r="O589" s="80"/>
      <c r="P589" s="80"/>
      <c r="Q589" s="83"/>
      <c r="R589" s="80"/>
      <c r="S589" s="80"/>
      <c r="T589" s="80"/>
      <c r="U589" s="80"/>
      <c r="V589" s="84"/>
      <c r="W589" s="80"/>
      <c r="X589" s="85"/>
      <c r="Y589" s="86"/>
      <c r="Z589" s="86"/>
      <c r="AA589" s="86"/>
      <c r="AB589" s="86"/>
      <c r="AC589" s="86"/>
      <c r="AD589" s="86"/>
      <c r="AE589" s="86"/>
      <c r="AF589" s="86"/>
      <c r="AG589" s="86"/>
      <c r="AH589" s="82"/>
    </row>
    <row r="590">
      <c r="A590" s="78"/>
      <c r="B590" s="79"/>
      <c r="C590" s="80"/>
      <c r="D590" s="80"/>
      <c r="E590" s="80"/>
      <c r="F590" s="80"/>
      <c r="G590" s="80"/>
      <c r="H590" s="80"/>
      <c r="I590" s="80"/>
      <c r="J590" s="80"/>
      <c r="K590" s="82"/>
      <c r="L590" s="80"/>
      <c r="M590" s="80"/>
      <c r="N590" s="80"/>
      <c r="O590" s="80"/>
      <c r="P590" s="80"/>
      <c r="Q590" s="83"/>
      <c r="R590" s="80"/>
      <c r="S590" s="80"/>
      <c r="T590" s="80"/>
      <c r="U590" s="80"/>
      <c r="V590" s="84"/>
      <c r="W590" s="80"/>
      <c r="X590" s="85"/>
      <c r="Y590" s="86"/>
      <c r="Z590" s="86"/>
      <c r="AA590" s="86"/>
      <c r="AB590" s="86"/>
      <c r="AC590" s="86"/>
      <c r="AD590" s="86"/>
      <c r="AE590" s="86"/>
      <c r="AF590" s="86"/>
      <c r="AG590" s="86"/>
      <c r="AH590" s="82"/>
    </row>
    <row r="591">
      <c r="A591" s="78"/>
      <c r="B591" s="79"/>
      <c r="C591" s="80"/>
      <c r="D591" s="80"/>
      <c r="E591" s="80"/>
      <c r="F591" s="80"/>
      <c r="G591" s="80"/>
      <c r="H591" s="80"/>
      <c r="I591" s="80"/>
      <c r="J591" s="80"/>
      <c r="K591" s="82"/>
      <c r="L591" s="80"/>
      <c r="M591" s="80"/>
      <c r="N591" s="80"/>
      <c r="O591" s="80"/>
      <c r="P591" s="80"/>
      <c r="Q591" s="83"/>
      <c r="R591" s="80"/>
      <c r="S591" s="80"/>
      <c r="T591" s="80"/>
      <c r="U591" s="80"/>
      <c r="V591" s="84"/>
      <c r="W591" s="80"/>
      <c r="X591" s="85"/>
      <c r="Y591" s="86"/>
      <c r="Z591" s="86"/>
      <c r="AA591" s="86"/>
      <c r="AB591" s="86"/>
      <c r="AC591" s="86"/>
      <c r="AD591" s="86"/>
      <c r="AE591" s="86"/>
      <c r="AF591" s="86"/>
      <c r="AG591" s="86"/>
      <c r="AH591" s="82"/>
    </row>
    <row r="592">
      <c r="A592" s="78"/>
      <c r="B592" s="79"/>
      <c r="C592" s="80"/>
      <c r="D592" s="80"/>
      <c r="E592" s="80"/>
      <c r="F592" s="80"/>
      <c r="G592" s="80"/>
      <c r="H592" s="80"/>
      <c r="I592" s="80"/>
      <c r="J592" s="80"/>
      <c r="K592" s="82"/>
      <c r="L592" s="80"/>
      <c r="M592" s="80"/>
      <c r="N592" s="80"/>
      <c r="O592" s="80"/>
      <c r="P592" s="80"/>
      <c r="Q592" s="83"/>
      <c r="R592" s="80"/>
      <c r="S592" s="80"/>
      <c r="T592" s="80"/>
      <c r="U592" s="80"/>
      <c r="V592" s="84"/>
      <c r="W592" s="80"/>
      <c r="X592" s="85"/>
      <c r="Y592" s="86"/>
      <c r="Z592" s="86"/>
      <c r="AA592" s="86"/>
      <c r="AB592" s="86"/>
      <c r="AC592" s="86"/>
      <c r="AD592" s="86"/>
      <c r="AE592" s="86"/>
      <c r="AF592" s="86"/>
      <c r="AG592" s="86"/>
      <c r="AH592" s="82"/>
    </row>
    <row r="593">
      <c r="A593" s="78"/>
      <c r="B593" s="79"/>
      <c r="C593" s="80"/>
      <c r="D593" s="80"/>
      <c r="E593" s="80"/>
      <c r="F593" s="80"/>
      <c r="G593" s="80"/>
      <c r="H593" s="80"/>
      <c r="I593" s="80"/>
      <c r="J593" s="80"/>
      <c r="K593" s="82"/>
      <c r="L593" s="80"/>
      <c r="M593" s="80"/>
      <c r="N593" s="80"/>
      <c r="O593" s="80"/>
      <c r="P593" s="80"/>
      <c r="Q593" s="83"/>
      <c r="R593" s="80"/>
      <c r="S593" s="80"/>
      <c r="T593" s="80"/>
      <c r="U593" s="80"/>
      <c r="V593" s="84"/>
      <c r="W593" s="80"/>
      <c r="X593" s="85"/>
      <c r="Y593" s="86"/>
      <c r="Z593" s="86"/>
      <c r="AA593" s="86"/>
      <c r="AB593" s="86"/>
      <c r="AC593" s="86"/>
      <c r="AD593" s="86"/>
      <c r="AE593" s="86"/>
      <c r="AF593" s="86"/>
      <c r="AG593" s="86"/>
      <c r="AH593" s="82"/>
    </row>
    <row r="594">
      <c r="A594" s="78"/>
      <c r="B594" s="79"/>
      <c r="C594" s="80"/>
      <c r="D594" s="80"/>
      <c r="E594" s="80"/>
      <c r="F594" s="80"/>
      <c r="G594" s="80"/>
      <c r="H594" s="80"/>
      <c r="I594" s="80"/>
      <c r="J594" s="80"/>
      <c r="K594" s="82"/>
      <c r="L594" s="80"/>
      <c r="M594" s="80"/>
      <c r="N594" s="80"/>
      <c r="O594" s="80"/>
      <c r="P594" s="80"/>
      <c r="Q594" s="83"/>
      <c r="R594" s="80"/>
      <c r="S594" s="80"/>
      <c r="T594" s="80"/>
      <c r="U594" s="80"/>
      <c r="V594" s="84"/>
      <c r="W594" s="80"/>
      <c r="X594" s="85"/>
      <c r="Y594" s="86"/>
      <c r="Z594" s="86"/>
      <c r="AA594" s="86"/>
      <c r="AB594" s="86"/>
      <c r="AC594" s="86"/>
      <c r="AD594" s="86"/>
      <c r="AE594" s="86"/>
      <c r="AF594" s="86"/>
      <c r="AG594" s="86"/>
      <c r="AH594" s="82"/>
    </row>
    <row r="595">
      <c r="A595" s="78"/>
      <c r="B595" s="79"/>
      <c r="C595" s="80"/>
      <c r="D595" s="80"/>
      <c r="E595" s="80"/>
      <c r="F595" s="80"/>
      <c r="G595" s="80"/>
      <c r="H595" s="80"/>
      <c r="I595" s="80"/>
      <c r="J595" s="80"/>
      <c r="K595" s="82"/>
      <c r="L595" s="80"/>
      <c r="M595" s="80"/>
      <c r="N595" s="80"/>
      <c r="O595" s="80"/>
      <c r="P595" s="80"/>
      <c r="Q595" s="83"/>
      <c r="R595" s="80"/>
      <c r="S595" s="80"/>
      <c r="T595" s="80"/>
      <c r="U595" s="80"/>
      <c r="V595" s="84"/>
      <c r="W595" s="80"/>
      <c r="X595" s="85"/>
      <c r="Y595" s="86"/>
      <c r="Z595" s="86"/>
      <c r="AA595" s="86"/>
      <c r="AB595" s="86"/>
      <c r="AC595" s="86"/>
      <c r="AD595" s="86"/>
      <c r="AE595" s="86"/>
      <c r="AF595" s="86"/>
      <c r="AG595" s="86"/>
      <c r="AH595" s="82"/>
    </row>
    <row r="596">
      <c r="A596" s="78"/>
      <c r="B596" s="79"/>
      <c r="C596" s="80"/>
      <c r="D596" s="80"/>
      <c r="E596" s="80"/>
      <c r="F596" s="80"/>
      <c r="G596" s="80"/>
      <c r="H596" s="80"/>
      <c r="I596" s="80"/>
      <c r="J596" s="80"/>
      <c r="K596" s="82"/>
      <c r="L596" s="80"/>
      <c r="M596" s="80"/>
      <c r="N596" s="80"/>
      <c r="O596" s="80"/>
      <c r="P596" s="80"/>
      <c r="Q596" s="83"/>
      <c r="R596" s="80"/>
      <c r="S596" s="80"/>
      <c r="T596" s="80"/>
      <c r="U596" s="80"/>
      <c r="V596" s="84"/>
      <c r="W596" s="80"/>
      <c r="X596" s="85"/>
      <c r="Y596" s="86"/>
      <c r="Z596" s="86"/>
      <c r="AA596" s="86"/>
      <c r="AB596" s="86"/>
      <c r="AC596" s="86"/>
      <c r="AD596" s="86"/>
      <c r="AE596" s="86"/>
      <c r="AF596" s="86"/>
      <c r="AG596" s="86"/>
      <c r="AH596" s="82"/>
    </row>
    <row r="597">
      <c r="A597" s="78"/>
      <c r="B597" s="79"/>
      <c r="C597" s="80"/>
      <c r="D597" s="80"/>
      <c r="E597" s="80"/>
      <c r="F597" s="80"/>
      <c r="G597" s="80"/>
      <c r="H597" s="80"/>
      <c r="I597" s="80"/>
      <c r="J597" s="80"/>
      <c r="K597" s="82"/>
      <c r="L597" s="80"/>
      <c r="M597" s="80"/>
      <c r="N597" s="80"/>
      <c r="O597" s="80"/>
      <c r="P597" s="80"/>
      <c r="Q597" s="83"/>
      <c r="R597" s="80"/>
      <c r="S597" s="80"/>
      <c r="T597" s="80"/>
      <c r="U597" s="80"/>
      <c r="V597" s="84"/>
      <c r="W597" s="80"/>
      <c r="X597" s="85"/>
      <c r="Y597" s="86"/>
      <c r="Z597" s="86"/>
      <c r="AA597" s="86"/>
      <c r="AB597" s="86"/>
      <c r="AC597" s="86"/>
      <c r="AD597" s="86"/>
      <c r="AE597" s="86"/>
      <c r="AF597" s="86"/>
      <c r="AG597" s="86"/>
      <c r="AH597" s="82"/>
    </row>
    <row r="598">
      <c r="A598" s="78"/>
      <c r="B598" s="79"/>
      <c r="C598" s="80"/>
      <c r="D598" s="80"/>
      <c r="E598" s="80"/>
      <c r="F598" s="80"/>
      <c r="G598" s="80"/>
      <c r="H598" s="80"/>
      <c r="I598" s="80"/>
      <c r="J598" s="80"/>
      <c r="K598" s="82"/>
      <c r="L598" s="80"/>
      <c r="M598" s="80"/>
      <c r="N598" s="80"/>
      <c r="O598" s="80"/>
      <c r="P598" s="80"/>
      <c r="Q598" s="83"/>
      <c r="R598" s="80"/>
      <c r="S598" s="80"/>
      <c r="T598" s="80"/>
      <c r="U598" s="80"/>
      <c r="V598" s="84"/>
      <c r="W598" s="80"/>
      <c r="X598" s="85"/>
      <c r="Y598" s="86"/>
      <c r="Z598" s="86"/>
      <c r="AA598" s="86"/>
      <c r="AB598" s="86"/>
      <c r="AC598" s="86"/>
      <c r="AD598" s="86"/>
      <c r="AE598" s="86"/>
      <c r="AF598" s="86"/>
      <c r="AG598" s="86"/>
      <c r="AH598" s="82"/>
    </row>
    <row r="599">
      <c r="A599" s="78"/>
      <c r="B599" s="79"/>
      <c r="C599" s="80"/>
      <c r="D599" s="80"/>
      <c r="E599" s="80"/>
      <c r="F599" s="80"/>
      <c r="G599" s="80"/>
      <c r="H599" s="80"/>
      <c r="I599" s="80"/>
      <c r="J599" s="80"/>
      <c r="K599" s="82"/>
      <c r="L599" s="80"/>
      <c r="M599" s="80"/>
      <c r="N599" s="80"/>
      <c r="O599" s="80"/>
      <c r="P599" s="80"/>
      <c r="Q599" s="83"/>
      <c r="R599" s="80"/>
      <c r="S599" s="80"/>
      <c r="T599" s="80"/>
      <c r="U599" s="80"/>
      <c r="V599" s="84"/>
      <c r="W599" s="80"/>
      <c r="X599" s="85"/>
      <c r="Y599" s="86"/>
      <c r="Z599" s="86"/>
      <c r="AA599" s="86"/>
      <c r="AB599" s="86"/>
      <c r="AC599" s="86"/>
      <c r="AD599" s="86"/>
      <c r="AE599" s="86"/>
      <c r="AF599" s="86"/>
      <c r="AG599" s="86"/>
      <c r="AH599" s="82"/>
    </row>
    <row r="600">
      <c r="A600" s="78"/>
      <c r="B600" s="79"/>
      <c r="C600" s="80"/>
      <c r="D600" s="80"/>
      <c r="E600" s="80"/>
      <c r="F600" s="80"/>
      <c r="G600" s="80"/>
      <c r="H600" s="80"/>
      <c r="I600" s="80"/>
      <c r="J600" s="80"/>
      <c r="K600" s="82"/>
      <c r="L600" s="80"/>
      <c r="M600" s="80"/>
      <c r="N600" s="80"/>
      <c r="O600" s="80"/>
      <c r="P600" s="80"/>
      <c r="Q600" s="83"/>
      <c r="R600" s="80"/>
      <c r="S600" s="80"/>
      <c r="T600" s="80"/>
      <c r="U600" s="80"/>
      <c r="V600" s="84"/>
      <c r="W600" s="80"/>
      <c r="X600" s="85"/>
      <c r="Y600" s="86"/>
      <c r="Z600" s="86"/>
      <c r="AA600" s="86"/>
      <c r="AB600" s="86"/>
      <c r="AC600" s="86"/>
      <c r="AD600" s="86"/>
      <c r="AE600" s="86"/>
      <c r="AF600" s="86"/>
      <c r="AG600" s="86"/>
      <c r="AH600" s="82"/>
    </row>
    <row r="601">
      <c r="A601" s="78"/>
      <c r="B601" s="79"/>
      <c r="C601" s="80"/>
      <c r="D601" s="80"/>
      <c r="E601" s="80"/>
      <c r="F601" s="80"/>
      <c r="G601" s="80"/>
      <c r="H601" s="80"/>
      <c r="I601" s="80"/>
      <c r="J601" s="80"/>
      <c r="K601" s="82"/>
      <c r="L601" s="80"/>
      <c r="M601" s="80"/>
      <c r="N601" s="80"/>
      <c r="O601" s="80"/>
      <c r="P601" s="80"/>
      <c r="Q601" s="83"/>
      <c r="R601" s="80"/>
      <c r="S601" s="80"/>
      <c r="T601" s="80"/>
      <c r="U601" s="80"/>
      <c r="V601" s="84"/>
      <c r="W601" s="80"/>
      <c r="X601" s="85"/>
      <c r="Y601" s="86"/>
      <c r="Z601" s="86"/>
      <c r="AA601" s="86"/>
      <c r="AB601" s="86"/>
      <c r="AC601" s="86"/>
      <c r="AD601" s="86"/>
      <c r="AE601" s="86"/>
      <c r="AF601" s="86"/>
      <c r="AG601" s="86"/>
      <c r="AH601" s="82"/>
    </row>
    <row r="602">
      <c r="A602" s="78"/>
      <c r="B602" s="79"/>
      <c r="C602" s="80"/>
      <c r="D602" s="80"/>
      <c r="E602" s="80"/>
      <c r="F602" s="80"/>
      <c r="G602" s="80"/>
      <c r="H602" s="80"/>
      <c r="I602" s="80"/>
      <c r="J602" s="80"/>
      <c r="K602" s="82"/>
      <c r="L602" s="80"/>
      <c r="M602" s="80"/>
      <c r="N602" s="80"/>
      <c r="O602" s="80"/>
      <c r="P602" s="80"/>
      <c r="Q602" s="83"/>
      <c r="R602" s="80"/>
      <c r="S602" s="80"/>
      <c r="T602" s="80"/>
      <c r="U602" s="80"/>
      <c r="V602" s="84"/>
      <c r="W602" s="80"/>
      <c r="X602" s="85"/>
      <c r="Y602" s="86"/>
      <c r="Z602" s="86"/>
      <c r="AA602" s="86"/>
      <c r="AB602" s="86"/>
      <c r="AC602" s="86"/>
      <c r="AD602" s="86"/>
      <c r="AE602" s="86"/>
      <c r="AF602" s="86"/>
      <c r="AG602" s="86"/>
      <c r="AH602" s="82"/>
    </row>
    <row r="603">
      <c r="A603" s="78"/>
      <c r="B603" s="79"/>
      <c r="C603" s="80"/>
      <c r="D603" s="80"/>
      <c r="E603" s="80"/>
      <c r="F603" s="80"/>
      <c r="G603" s="80"/>
      <c r="H603" s="80"/>
      <c r="I603" s="80"/>
      <c r="J603" s="80"/>
      <c r="K603" s="82"/>
      <c r="L603" s="80"/>
      <c r="M603" s="80"/>
      <c r="N603" s="80"/>
      <c r="O603" s="80"/>
      <c r="P603" s="80"/>
      <c r="Q603" s="83"/>
      <c r="R603" s="80"/>
      <c r="S603" s="80"/>
      <c r="T603" s="80"/>
      <c r="U603" s="80"/>
      <c r="V603" s="84"/>
      <c r="W603" s="80"/>
      <c r="X603" s="85"/>
      <c r="Y603" s="86"/>
      <c r="Z603" s="86"/>
      <c r="AA603" s="86"/>
      <c r="AB603" s="86"/>
      <c r="AC603" s="86"/>
      <c r="AD603" s="86"/>
      <c r="AE603" s="86"/>
      <c r="AF603" s="86"/>
      <c r="AG603" s="86"/>
      <c r="AH603" s="82"/>
    </row>
    <row r="604">
      <c r="A604" s="78"/>
      <c r="B604" s="79"/>
      <c r="C604" s="80"/>
      <c r="D604" s="80"/>
      <c r="E604" s="80"/>
      <c r="F604" s="80"/>
      <c r="G604" s="80"/>
      <c r="H604" s="80"/>
      <c r="I604" s="80"/>
      <c r="J604" s="80"/>
      <c r="K604" s="82"/>
      <c r="L604" s="80"/>
      <c r="M604" s="80"/>
      <c r="N604" s="80"/>
      <c r="O604" s="80"/>
      <c r="P604" s="80"/>
      <c r="Q604" s="83"/>
      <c r="R604" s="80"/>
      <c r="S604" s="80"/>
      <c r="T604" s="80"/>
      <c r="U604" s="80"/>
      <c r="V604" s="84"/>
      <c r="W604" s="80"/>
      <c r="X604" s="85"/>
      <c r="Y604" s="86"/>
      <c r="Z604" s="86"/>
      <c r="AA604" s="86"/>
      <c r="AB604" s="86"/>
      <c r="AC604" s="86"/>
      <c r="AD604" s="86"/>
      <c r="AE604" s="86"/>
      <c r="AF604" s="86"/>
      <c r="AG604" s="86"/>
      <c r="AH604" s="82"/>
    </row>
    <row r="605">
      <c r="A605" s="78"/>
      <c r="B605" s="79"/>
      <c r="C605" s="80"/>
      <c r="D605" s="80"/>
      <c r="E605" s="80"/>
      <c r="F605" s="80"/>
      <c r="G605" s="80"/>
      <c r="H605" s="80"/>
      <c r="I605" s="80"/>
      <c r="J605" s="80"/>
      <c r="K605" s="82"/>
      <c r="L605" s="80"/>
      <c r="M605" s="80"/>
      <c r="N605" s="80"/>
      <c r="O605" s="80"/>
      <c r="P605" s="80"/>
      <c r="Q605" s="83"/>
      <c r="R605" s="80"/>
      <c r="S605" s="80"/>
      <c r="T605" s="80"/>
      <c r="U605" s="80"/>
      <c r="V605" s="84"/>
      <c r="W605" s="80"/>
      <c r="X605" s="85"/>
      <c r="Y605" s="86"/>
      <c r="Z605" s="86"/>
      <c r="AA605" s="86"/>
      <c r="AB605" s="86"/>
      <c r="AC605" s="86"/>
      <c r="AD605" s="86"/>
      <c r="AE605" s="86"/>
      <c r="AF605" s="86"/>
      <c r="AG605" s="86"/>
      <c r="AH605" s="82"/>
    </row>
    <row r="606">
      <c r="A606" s="78"/>
      <c r="B606" s="79"/>
      <c r="C606" s="80"/>
      <c r="D606" s="80"/>
      <c r="E606" s="80"/>
      <c r="F606" s="80"/>
      <c r="G606" s="80"/>
      <c r="H606" s="80"/>
      <c r="I606" s="80"/>
      <c r="J606" s="80"/>
      <c r="K606" s="82"/>
      <c r="L606" s="80"/>
      <c r="M606" s="80"/>
      <c r="N606" s="80"/>
      <c r="O606" s="80"/>
      <c r="P606" s="80"/>
      <c r="Q606" s="83"/>
      <c r="R606" s="80"/>
      <c r="S606" s="80"/>
      <c r="T606" s="80"/>
      <c r="U606" s="80"/>
      <c r="V606" s="84"/>
      <c r="W606" s="80"/>
      <c r="X606" s="85"/>
      <c r="Y606" s="86"/>
      <c r="Z606" s="86"/>
      <c r="AA606" s="86"/>
      <c r="AB606" s="86"/>
      <c r="AC606" s="86"/>
      <c r="AD606" s="86"/>
      <c r="AE606" s="86"/>
      <c r="AF606" s="86"/>
      <c r="AG606" s="86"/>
      <c r="AH606" s="82"/>
    </row>
    <row r="607">
      <c r="A607" s="78"/>
      <c r="B607" s="79"/>
      <c r="C607" s="80"/>
      <c r="D607" s="80"/>
      <c r="E607" s="80"/>
      <c r="F607" s="80"/>
      <c r="G607" s="80"/>
      <c r="H607" s="80"/>
      <c r="I607" s="80"/>
      <c r="J607" s="80"/>
      <c r="K607" s="82"/>
      <c r="L607" s="80"/>
      <c r="M607" s="80"/>
      <c r="N607" s="80"/>
      <c r="O607" s="80"/>
      <c r="P607" s="80"/>
      <c r="Q607" s="83"/>
      <c r="R607" s="80"/>
      <c r="S607" s="80"/>
      <c r="T607" s="80"/>
      <c r="U607" s="80"/>
      <c r="V607" s="84"/>
      <c r="W607" s="80"/>
      <c r="X607" s="85"/>
      <c r="Y607" s="86"/>
      <c r="Z607" s="86"/>
      <c r="AA607" s="86"/>
      <c r="AB607" s="86"/>
      <c r="AC607" s="86"/>
      <c r="AD607" s="86"/>
      <c r="AE607" s="86"/>
      <c r="AF607" s="86"/>
      <c r="AG607" s="86"/>
      <c r="AH607" s="82"/>
    </row>
    <row r="608">
      <c r="A608" s="78"/>
      <c r="B608" s="79"/>
      <c r="C608" s="80"/>
      <c r="D608" s="80"/>
      <c r="E608" s="80"/>
      <c r="F608" s="80"/>
      <c r="G608" s="80"/>
      <c r="H608" s="80"/>
      <c r="I608" s="80"/>
      <c r="J608" s="80"/>
      <c r="K608" s="82"/>
      <c r="L608" s="80"/>
      <c r="M608" s="80"/>
      <c r="N608" s="80"/>
      <c r="O608" s="80"/>
      <c r="P608" s="80"/>
      <c r="Q608" s="83"/>
      <c r="R608" s="80"/>
      <c r="S608" s="80"/>
      <c r="T608" s="80"/>
      <c r="U608" s="80"/>
      <c r="V608" s="84"/>
      <c r="W608" s="80"/>
      <c r="X608" s="85"/>
      <c r="Y608" s="86"/>
      <c r="Z608" s="86"/>
      <c r="AA608" s="86"/>
      <c r="AB608" s="86"/>
      <c r="AC608" s="86"/>
      <c r="AD608" s="86"/>
      <c r="AE608" s="86"/>
      <c r="AF608" s="86"/>
      <c r="AG608" s="86"/>
      <c r="AH608" s="82"/>
    </row>
    <row r="609">
      <c r="A609" s="78"/>
      <c r="B609" s="79"/>
      <c r="C609" s="80"/>
      <c r="D609" s="80"/>
      <c r="E609" s="80"/>
      <c r="F609" s="80"/>
      <c r="G609" s="80"/>
      <c r="H609" s="80"/>
      <c r="I609" s="80"/>
      <c r="J609" s="80"/>
      <c r="K609" s="82"/>
      <c r="L609" s="80"/>
      <c r="M609" s="80"/>
      <c r="N609" s="80"/>
      <c r="O609" s="80"/>
      <c r="P609" s="80"/>
      <c r="Q609" s="83"/>
      <c r="R609" s="80"/>
      <c r="S609" s="80"/>
      <c r="T609" s="80"/>
      <c r="U609" s="80"/>
      <c r="V609" s="84"/>
      <c r="W609" s="80"/>
      <c r="X609" s="85"/>
      <c r="Y609" s="86"/>
      <c r="Z609" s="86"/>
      <c r="AA609" s="86"/>
      <c r="AB609" s="86"/>
      <c r="AC609" s="86"/>
      <c r="AD609" s="86"/>
      <c r="AE609" s="86"/>
      <c r="AF609" s="86"/>
      <c r="AG609" s="86"/>
      <c r="AH609" s="82"/>
    </row>
    <row r="610">
      <c r="A610" s="78"/>
      <c r="B610" s="79"/>
      <c r="C610" s="80"/>
      <c r="D610" s="80"/>
      <c r="E610" s="80"/>
      <c r="F610" s="80"/>
      <c r="G610" s="80"/>
      <c r="H610" s="80"/>
      <c r="I610" s="80"/>
      <c r="J610" s="80"/>
      <c r="K610" s="82"/>
      <c r="L610" s="80"/>
      <c r="M610" s="80"/>
      <c r="N610" s="80"/>
      <c r="O610" s="80"/>
      <c r="P610" s="80"/>
      <c r="Q610" s="83"/>
      <c r="R610" s="80"/>
      <c r="S610" s="80"/>
      <c r="T610" s="80"/>
      <c r="U610" s="80"/>
      <c r="V610" s="84"/>
      <c r="W610" s="80"/>
      <c r="X610" s="85"/>
      <c r="Y610" s="86"/>
      <c r="Z610" s="86"/>
      <c r="AA610" s="86"/>
      <c r="AB610" s="86"/>
      <c r="AC610" s="86"/>
      <c r="AD610" s="86"/>
      <c r="AE610" s="86"/>
      <c r="AF610" s="86"/>
      <c r="AG610" s="86"/>
      <c r="AH610" s="82"/>
    </row>
    <row r="611">
      <c r="A611" s="78"/>
      <c r="B611" s="79"/>
      <c r="C611" s="80"/>
      <c r="D611" s="80"/>
      <c r="E611" s="80"/>
      <c r="F611" s="80"/>
      <c r="G611" s="80"/>
      <c r="H611" s="80"/>
      <c r="I611" s="80"/>
      <c r="J611" s="80"/>
      <c r="K611" s="82"/>
      <c r="L611" s="80"/>
      <c r="M611" s="80"/>
      <c r="N611" s="80"/>
      <c r="O611" s="80"/>
      <c r="P611" s="80"/>
      <c r="Q611" s="83"/>
      <c r="R611" s="80"/>
      <c r="S611" s="80"/>
      <c r="T611" s="80"/>
      <c r="U611" s="80"/>
      <c r="V611" s="84"/>
      <c r="W611" s="80"/>
      <c r="X611" s="85"/>
      <c r="Y611" s="86"/>
      <c r="Z611" s="86"/>
      <c r="AA611" s="86"/>
      <c r="AB611" s="86"/>
      <c r="AC611" s="86"/>
      <c r="AD611" s="86"/>
      <c r="AE611" s="86"/>
      <c r="AF611" s="86"/>
      <c r="AG611" s="86"/>
      <c r="AH611" s="82"/>
    </row>
    <row r="612">
      <c r="A612" s="78"/>
      <c r="B612" s="79"/>
      <c r="C612" s="80"/>
      <c r="D612" s="80"/>
      <c r="E612" s="80"/>
      <c r="F612" s="80"/>
      <c r="G612" s="80"/>
      <c r="H612" s="80"/>
      <c r="I612" s="80"/>
      <c r="J612" s="80"/>
      <c r="K612" s="82"/>
      <c r="L612" s="80"/>
      <c r="M612" s="80"/>
      <c r="N612" s="80"/>
      <c r="O612" s="80"/>
      <c r="P612" s="80"/>
      <c r="Q612" s="83"/>
      <c r="R612" s="80"/>
      <c r="S612" s="80"/>
      <c r="T612" s="80"/>
      <c r="U612" s="80"/>
      <c r="V612" s="84"/>
      <c r="W612" s="80"/>
      <c r="X612" s="85"/>
      <c r="Y612" s="86"/>
      <c r="Z612" s="86"/>
      <c r="AA612" s="86"/>
      <c r="AB612" s="86"/>
      <c r="AC612" s="86"/>
      <c r="AD612" s="86"/>
      <c r="AE612" s="86"/>
      <c r="AF612" s="86"/>
      <c r="AG612" s="86"/>
      <c r="AH612" s="82"/>
    </row>
    <row r="613">
      <c r="A613" s="78"/>
      <c r="B613" s="79"/>
      <c r="C613" s="80"/>
      <c r="D613" s="80"/>
      <c r="E613" s="80"/>
      <c r="F613" s="80"/>
      <c r="G613" s="80"/>
      <c r="H613" s="80"/>
      <c r="I613" s="80"/>
      <c r="J613" s="80"/>
      <c r="K613" s="82"/>
      <c r="L613" s="80"/>
      <c r="M613" s="80"/>
      <c r="N613" s="80"/>
      <c r="O613" s="80"/>
      <c r="P613" s="80"/>
      <c r="Q613" s="83"/>
      <c r="R613" s="80"/>
      <c r="S613" s="80"/>
      <c r="T613" s="80"/>
      <c r="U613" s="80"/>
      <c r="V613" s="84"/>
      <c r="W613" s="80"/>
      <c r="X613" s="85"/>
      <c r="Y613" s="86"/>
      <c r="Z613" s="86"/>
      <c r="AA613" s="86"/>
      <c r="AB613" s="86"/>
      <c r="AC613" s="86"/>
      <c r="AD613" s="86"/>
      <c r="AE613" s="86"/>
      <c r="AF613" s="86"/>
      <c r="AG613" s="86"/>
      <c r="AH613" s="82"/>
    </row>
    <row r="614">
      <c r="A614" s="78"/>
      <c r="B614" s="79"/>
      <c r="C614" s="80"/>
      <c r="D614" s="80"/>
      <c r="E614" s="80"/>
      <c r="F614" s="80"/>
      <c r="G614" s="80"/>
      <c r="H614" s="80"/>
      <c r="I614" s="80"/>
      <c r="J614" s="80"/>
      <c r="K614" s="82"/>
      <c r="L614" s="80"/>
      <c r="M614" s="80"/>
      <c r="N614" s="80"/>
      <c r="O614" s="80"/>
      <c r="P614" s="80"/>
      <c r="Q614" s="83"/>
      <c r="R614" s="80"/>
      <c r="S614" s="80"/>
      <c r="T614" s="80"/>
      <c r="U614" s="80"/>
      <c r="V614" s="84"/>
      <c r="W614" s="80"/>
      <c r="X614" s="85"/>
      <c r="Y614" s="86"/>
      <c r="Z614" s="86"/>
      <c r="AA614" s="86"/>
      <c r="AB614" s="86"/>
      <c r="AC614" s="86"/>
      <c r="AD614" s="86"/>
      <c r="AE614" s="86"/>
      <c r="AF614" s="86"/>
      <c r="AG614" s="86"/>
      <c r="AH614" s="82"/>
    </row>
    <row r="615">
      <c r="A615" s="78"/>
      <c r="B615" s="79"/>
      <c r="C615" s="80"/>
      <c r="D615" s="80"/>
      <c r="E615" s="80"/>
      <c r="F615" s="80"/>
      <c r="G615" s="80"/>
      <c r="H615" s="80"/>
      <c r="I615" s="80"/>
      <c r="J615" s="80"/>
      <c r="K615" s="82"/>
      <c r="L615" s="80"/>
      <c r="M615" s="80"/>
      <c r="N615" s="80"/>
      <c r="O615" s="80"/>
      <c r="P615" s="80"/>
      <c r="Q615" s="83"/>
      <c r="R615" s="80"/>
      <c r="S615" s="80"/>
      <c r="T615" s="80"/>
      <c r="U615" s="80"/>
      <c r="V615" s="84"/>
      <c r="W615" s="80"/>
      <c r="X615" s="85"/>
      <c r="Y615" s="86"/>
      <c r="Z615" s="86"/>
      <c r="AA615" s="86"/>
      <c r="AB615" s="86"/>
      <c r="AC615" s="86"/>
      <c r="AD615" s="86"/>
      <c r="AE615" s="86"/>
      <c r="AF615" s="86"/>
      <c r="AG615" s="86"/>
      <c r="AH615" s="82"/>
    </row>
    <row r="616">
      <c r="A616" s="78"/>
      <c r="B616" s="79"/>
      <c r="C616" s="80"/>
      <c r="D616" s="80"/>
      <c r="E616" s="80"/>
      <c r="F616" s="80"/>
      <c r="G616" s="80"/>
      <c r="H616" s="80"/>
      <c r="I616" s="80"/>
      <c r="J616" s="80"/>
      <c r="K616" s="82"/>
      <c r="L616" s="80"/>
      <c r="M616" s="80"/>
      <c r="N616" s="80"/>
      <c r="O616" s="80"/>
      <c r="P616" s="80"/>
      <c r="Q616" s="83"/>
      <c r="R616" s="80"/>
      <c r="S616" s="80"/>
      <c r="T616" s="80"/>
      <c r="U616" s="80"/>
      <c r="V616" s="84"/>
      <c r="W616" s="80"/>
      <c r="X616" s="85"/>
      <c r="Y616" s="86"/>
      <c r="Z616" s="86"/>
      <c r="AA616" s="86"/>
      <c r="AB616" s="86"/>
      <c r="AC616" s="86"/>
      <c r="AD616" s="86"/>
      <c r="AE616" s="86"/>
      <c r="AF616" s="86"/>
      <c r="AG616" s="86"/>
      <c r="AH616" s="82"/>
    </row>
    <row r="617">
      <c r="A617" s="78"/>
      <c r="B617" s="79"/>
      <c r="C617" s="80"/>
      <c r="D617" s="80"/>
      <c r="E617" s="80"/>
      <c r="F617" s="80"/>
      <c r="G617" s="80"/>
      <c r="H617" s="80"/>
      <c r="I617" s="80"/>
      <c r="J617" s="80"/>
      <c r="K617" s="82"/>
      <c r="L617" s="80"/>
      <c r="M617" s="80"/>
      <c r="N617" s="80"/>
      <c r="O617" s="80"/>
      <c r="P617" s="80"/>
      <c r="Q617" s="83"/>
      <c r="R617" s="80"/>
      <c r="S617" s="80"/>
      <c r="T617" s="80"/>
      <c r="U617" s="80"/>
      <c r="V617" s="84"/>
      <c r="W617" s="80"/>
      <c r="X617" s="85"/>
      <c r="Y617" s="86"/>
      <c r="Z617" s="86"/>
      <c r="AA617" s="86"/>
      <c r="AB617" s="86"/>
      <c r="AC617" s="86"/>
      <c r="AD617" s="86"/>
      <c r="AE617" s="86"/>
      <c r="AF617" s="86"/>
      <c r="AG617" s="86"/>
      <c r="AH617" s="82"/>
    </row>
    <row r="618">
      <c r="A618" s="78"/>
      <c r="B618" s="79"/>
      <c r="C618" s="80"/>
      <c r="D618" s="80"/>
      <c r="E618" s="80"/>
      <c r="F618" s="80"/>
      <c r="G618" s="80"/>
      <c r="H618" s="80"/>
      <c r="I618" s="80"/>
      <c r="J618" s="80"/>
      <c r="K618" s="82"/>
      <c r="L618" s="80"/>
      <c r="M618" s="80"/>
      <c r="N618" s="80"/>
      <c r="O618" s="80"/>
      <c r="P618" s="80"/>
      <c r="Q618" s="83"/>
      <c r="R618" s="80"/>
      <c r="S618" s="80"/>
      <c r="T618" s="80"/>
      <c r="U618" s="80"/>
      <c r="V618" s="84"/>
      <c r="W618" s="80"/>
      <c r="X618" s="85"/>
      <c r="Y618" s="86"/>
      <c r="Z618" s="86"/>
      <c r="AA618" s="86"/>
      <c r="AB618" s="86"/>
      <c r="AC618" s="86"/>
      <c r="AD618" s="86"/>
      <c r="AE618" s="86"/>
      <c r="AF618" s="86"/>
      <c r="AG618" s="86"/>
      <c r="AH618" s="82"/>
    </row>
    <row r="619">
      <c r="A619" s="78"/>
      <c r="B619" s="79"/>
      <c r="C619" s="80"/>
      <c r="D619" s="80"/>
      <c r="E619" s="80"/>
      <c r="F619" s="80"/>
      <c r="G619" s="80"/>
      <c r="H619" s="80"/>
      <c r="I619" s="80"/>
      <c r="J619" s="80"/>
      <c r="K619" s="82"/>
      <c r="L619" s="80"/>
      <c r="M619" s="80"/>
      <c r="N619" s="80"/>
      <c r="O619" s="80"/>
      <c r="P619" s="80"/>
      <c r="Q619" s="83"/>
      <c r="R619" s="80"/>
      <c r="S619" s="80"/>
      <c r="T619" s="80"/>
      <c r="U619" s="80"/>
      <c r="V619" s="84"/>
      <c r="W619" s="80"/>
      <c r="X619" s="85"/>
      <c r="Y619" s="86"/>
      <c r="Z619" s="86"/>
      <c r="AA619" s="86"/>
      <c r="AB619" s="86"/>
      <c r="AC619" s="86"/>
      <c r="AD619" s="86"/>
      <c r="AE619" s="86"/>
      <c r="AF619" s="86"/>
      <c r="AG619" s="86"/>
      <c r="AH619" s="82"/>
    </row>
    <row r="620">
      <c r="A620" s="78"/>
      <c r="B620" s="79"/>
      <c r="C620" s="80"/>
      <c r="D620" s="80"/>
      <c r="E620" s="80"/>
      <c r="F620" s="80"/>
      <c r="G620" s="80"/>
      <c r="H620" s="80"/>
      <c r="I620" s="80"/>
      <c r="J620" s="80"/>
      <c r="K620" s="82"/>
      <c r="L620" s="80"/>
      <c r="M620" s="80"/>
      <c r="N620" s="80"/>
      <c r="O620" s="80"/>
      <c r="P620" s="80"/>
      <c r="Q620" s="83"/>
      <c r="R620" s="80"/>
      <c r="S620" s="80"/>
      <c r="T620" s="80"/>
      <c r="U620" s="80"/>
      <c r="V620" s="84"/>
      <c r="W620" s="80"/>
      <c r="X620" s="85"/>
      <c r="Y620" s="86"/>
      <c r="Z620" s="86"/>
      <c r="AA620" s="86"/>
      <c r="AB620" s="86"/>
      <c r="AC620" s="86"/>
      <c r="AD620" s="86"/>
      <c r="AE620" s="86"/>
      <c r="AF620" s="86"/>
      <c r="AG620" s="86"/>
      <c r="AH620" s="82"/>
    </row>
    <row r="621">
      <c r="A621" s="78"/>
      <c r="B621" s="79"/>
      <c r="C621" s="80"/>
      <c r="D621" s="80"/>
      <c r="E621" s="80"/>
      <c r="F621" s="80"/>
      <c r="G621" s="80"/>
      <c r="H621" s="80"/>
      <c r="I621" s="80"/>
      <c r="J621" s="80"/>
      <c r="K621" s="82"/>
      <c r="L621" s="80"/>
      <c r="M621" s="80"/>
      <c r="N621" s="80"/>
      <c r="O621" s="80"/>
      <c r="P621" s="80"/>
      <c r="Q621" s="83"/>
      <c r="R621" s="80"/>
      <c r="S621" s="80"/>
      <c r="T621" s="80"/>
      <c r="U621" s="80"/>
      <c r="V621" s="84"/>
      <c r="W621" s="80"/>
      <c r="X621" s="85"/>
      <c r="Y621" s="86"/>
      <c r="Z621" s="86"/>
      <c r="AA621" s="86"/>
      <c r="AB621" s="86"/>
      <c r="AC621" s="86"/>
      <c r="AD621" s="86"/>
      <c r="AE621" s="86"/>
      <c r="AF621" s="86"/>
      <c r="AG621" s="86"/>
      <c r="AH621" s="82"/>
    </row>
    <row r="622">
      <c r="A622" s="78"/>
      <c r="B622" s="79"/>
      <c r="C622" s="80"/>
      <c r="D622" s="80"/>
      <c r="E622" s="80"/>
      <c r="F622" s="80"/>
      <c r="G622" s="80"/>
      <c r="H622" s="80"/>
      <c r="I622" s="80"/>
      <c r="J622" s="80"/>
      <c r="K622" s="82"/>
      <c r="L622" s="80"/>
      <c r="M622" s="80"/>
      <c r="N622" s="80"/>
      <c r="O622" s="80"/>
      <c r="P622" s="80"/>
      <c r="Q622" s="83"/>
      <c r="R622" s="80"/>
      <c r="S622" s="80"/>
      <c r="T622" s="80"/>
      <c r="U622" s="80"/>
      <c r="V622" s="84"/>
      <c r="W622" s="80"/>
      <c r="X622" s="85"/>
      <c r="Y622" s="86"/>
      <c r="Z622" s="86"/>
      <c r="AA622" s="86"/>
      <c r="AB622" s="86"/>
      <c r="AC622" s="86"/>
      <c r="AD622" s="86"/>
      <c r="AE622" s="86"/>
      <c r="AF622" s="86"/>
      <c r="AG622" s="86"/>
      <c r="AH622" s="82"/>
    </row>
    <row r="623">
      <c r="A623" s="78"/>
      <c r="B623" s="79"/>
      <c r="C623" s="80"/>
      <c r="D623" s="80"/>
      <c r="E623" s="80"/>
      <c r="F623" s="80"/>
      <c r="G623" s="80"/>
      <c r="H623" s="80"/>
      <c r="I623" s="80"/>
      <c r="J623" s="80"/>
      <c r="K623" s="82"/>
      <c r="L623" s="80"/>
      <c r="M623" s="80"/>
      <c r="N623" s="80"/>
      <c r="O623" s="80"/>
      <c r="P623" s="80"/>
      <c r="Q623" s="83"/>
      <c r="R623" s="80"/>
      <c r="S623" s="80"/>
      <c r="T623" s="80"/>
      <c r="U623" s="80"/>
      <c r="V623" s="84"/>
      <c r="W623" s="80"/>
      <c r="X623" s="85"/>
      <c r="Y623" s="86"/>
      <c r="Z623" s="86"/>
      <c r="AA623" s="86"/>
      <c r="AB623" s="86"/>
      <c r="AC623" s="86"/>
      <c r="AD623" s="86"/>
      <c r="AE623" s="86"/>
      <c r="AF623" s="86"/>
      <c r="AG623" s="86"/>
      <c r="AH623" s="82"/>
    </row>
    <row r="624">
      <c r="A624" s="78"/>
      <c r="B624" s="79"/>
      <c r="C624" s="80"/>
      <c r="D624" s="80"/>
      <c r="E624" s="80"/>
      <c r="F624" s="80"/>
      <c r="G624" s="80"/>
      <c r="H624" s="80"/>
      <c r="I624" s="80"/>
      <c r="J624" s="80"/>
      <c r="K624" s="82"/>
      <c r="L624" s="80"/>
      <c r="M624" s="80"/>
      <c r="N624" s="80"/>
      <c r="O624" s="80"/>
      <c r="P624" s="80"/>
      <c r="Q624" s="83"/>
      <c r="R624" s="80"/>
      <c r="S624" s="80"/>
      <c r="T624" s="80"/>
      <c r="U624" s="80"/>
      <c r="V624" s="84"/>
      <c r="W624" s="80"/>
      <c r="X624" s="85"/>
      <c r="Y624" s="86"/>
      <c r="Z624" s="86"/>
      <c r="AA624" s="86"/>
      <c r="AB624" s="86"/>
      <c r="AC624" s="86"/>
      <c r="AD624" s="86"/>
      <c r="AE624" s="86"/>
      <c r="AF624" s="86"/>
      <c r="AG624" s="86"/>
      <c r="AH624" s="82"/>
    </row>
    <row r="625">
      <c r="A625" s="78"/>
      <c r="B625" s="79"/>
      <c r="C625" s="80"/>
      <c r="D625" s="80"/>
      <c r="E625" s="80"/>
      <c r="F625" s="80"/>
      <c r="G625" s="80"/>
      <c r="H625" s="80"/>
      <c r="I625" s="80"/>
      <c r="J625" s="80"/>
      <c r="K625" s="82"/>
      <c r="L625" s="80"/>
      <c r="M625" s="80"/>
      <c r="N625" s="80"/>
      <c r="O625" s="80"/>
      <c r="P625" s="80"/>
      <c r="Q625" s="83"/>
      <c r="R625" s="80"/>
      <c r="S625" s="80"/>
      <c r="T625" s="80"/>
      <c r="U625" s="80"/>
      <c r="V625" s="84"/>
      <c r="W625" s="80"/>
      <c r="X625" s="85"/>
      <c r="Y625" s="86"/>
      <c r="Z625" s="86"/>
      <c r="AA625" s="86"/>
      <c r="AB625" s="86"/>
      <c r="AC625" s="86"/>
      <c r="AD625" s="86"/>
      <c r="AE625" s="86"/>
      <c r="AF625" s="86"/>
      <c r="AG625" s="86"/>
      <c r="AH625" s="82"/>
    </row>
    <row r="626">
      <c r="A626" s="78"/>
      <c r="B626" s="79"/>
      <c r="C626" s="80"/>
      <c r="D626" s="80"/>
      <c r="E626" s="80"/>
      <c r="F626" s="80"/>
      <c r="G626" s="80"/>
      <c r="H626" s="80"/>
      <c r="I626" s="80"/>
      <c r="J626" s="80"/>
      <c r="K626" s="82"/>
      <c r="L626" s="80"/>
      <c r="M626" s="80"/>
      <c r="N626" s="80"/>
      <c r="O626" s="80"/>
      <c r="P626" s="80"/>
      <c r="Q626" s="83"/>
      <c r="R626" s="80"/>
      <c r="S626" s="80"/>
      <c r="T626" s="80"/>
      <c r="U626" s="80"/>
      <c r="V626" s="84"/>
      <c r="W626" s="80"/>
      <c r="X626" s="85"/>
      <c r="Y626" s="86"/>
      <c r="Z626" s="86"/>
      <c r="AA626" s="86"/>
      <c r="AB626" s="86"/>
      <c r="AC626" s="86"/>
      <c r="AD626" s="86"/>
      <c r="AE626" s="86"/>
      <c r="AF626" s="86"/>
      <c r="AG626" s="86"/>
      <c r="AH626" s="82"/>
    </row>
    <row r="627">
      <c r="A627" s="78"/>
      <c r="B627" s="79"/>
      <c r="C627" s="80"/>
      <c r="D627" s="80"/>
      <c r="E627" s="80"/>
      <c r="F627" s="80"/>
      <c r="G627" s="80"/>
      <c r="H627" s="80"/>
      <c r="I627" s="80"/>
      <c r="J627" s="80"/>
      <c r="K627" s="82"/>
      <c r="L627" s="80"/>
      <c r="M627" s="80"/>
      <c r="N627" s="80"/>
      <c r="O627" s="80"/>
      <c r="P627" s="80"/>
      <c r="Q627" s="83"/>
      <c r="R627" s="80"/>
      <c r="S627" s="80"/>
      <c r="T627" s="80"/>
      <c r="U627" s="80"/>
      <c r="V627" s="84"/>
      <c r="W627" s="80"/>
      <c r="X627" s="85"/>
      <c r="Y627" s="86"/>
      <c r="Z627" s="86"/>
      <c r="AA627" s="86"/>
      <c r="AB627" s="86"/>
      <c r="AC627" s="86"/>
      <c r="AD627" s="86"/>
      <c r="AE627" s="86"/>
      <c r="AF627" s="86"/>
      <c r="AG627" s="86"/>
      <c r="AH627" s="82"/>
    </row>
    <row r="628">
      <c r="A628" s="78"/>
      <c r="B628" s="79"/>
      <c r="C628" s="80"/>
      <c r="D628" s="80"/>
      <c r="E628" s="80"/>
      <c r="F628" s="80"/>
      <c r="G628" s="80"/>
      <c r="H628" s="80"/>
      <c r="I628" s="80"/>
      <c r="J628" s="80"/>
      <c r="K628" s="82"/>
      <c r="L628" s="80"/>
      <c r="M628" s="80"/>
      <c r="N628" s="80"/>
      <c r="O628" s="80"/>
      <c r="P628" s="80"/>
      <c r="Q628" s="83"/>
      <c r="R628" s="80"/>
      <c r="S628" s="80"/>
      <c r="T628" s="80"/>
      <c r="U628" s="80"/>
      <c r="V628" s="84"/>
      <c r="W628" s="80"/>
      <c r="X628" s="85"/>
      <c r="Y628" s="86"/>
      <c r="Z628" s="86"/>
      <c r="AA628" s="86"/>
      <c r="AB628" s="86"/>
      <c r="AC628" s="86"/>
      <c r="AD628" s="86"/>
      <c r="AE628" s="86"/>
      <c r="AF628" s="86"/>
      <c r="AG628" s="86"/>
      <c r="AH628" s="82"/>
    </row>
    <row r="629">
      <c r="A629" s="78"/>
      <c r="B629" s="79"/>
      <c r="C629" s="80"/>
      <c r="D629" s="80"/>
      <c r="E629" s="80"/>
      <c r="F629" s="80"/>
      <c r="G629" s="80"/>
      <c r="H629" s="80"/>
      <c r="I629" s="80"/>
      <c r="J629" s="80"/>
      <c r="K629" s="82"/>
      <c r="L629" s="80"/>
      <c r="M629" s="80"/>
      <c r="N629" s="80"/>
      <c r="O629" s="80"/>
      <c r="P629" s="80"/>
      <c r="Q629" s="83"/>
      <c r="R629" s="80"/>
      <c r="S629" s="80"/>
      <c r="T629" s="80"/>
      <c r="U629" s="80"/>
      <c r="V629" s="84"/>
      <c r="W629" s="80"/>
      <c r="X629" s="85"/>
      <c r="Y629" s="86"/>
      <c r="Z629" s="86"/>
      <c r="AA629" s="86"/>
      <c r="AB629" s="86"/>
      <c r="AC629" s="86"/>
      <c r="AD629" s="86"/>
      <c r="AE629" s="86"/>
      <c r="AF629" s="86"/>
      <c r="AG629" s="86"/>
      <c r="AH629" s="82"/>
    </row>
    <row r="630">
      <c r="A630" s="78"/>
      <c r="B630" s="79"/>
      <c r="C630" s="80"/>
      <c r="D630" s="80"/>
      <c r="E630" s="80"/>
      <c r="F630" s="80"/>
      <c r="G630" s="80"/>
      <c r="H630" s="80"/>
      <c r="I630" s="80"/>
      <c r="J630" s="80"/>
      <c r="K630" s="82"/>
      <c r="L630" s="80"/>
      <c r="M630" s="80"/>
      <c r="N630" s="80"/>
      <c r="O630" s="80"/>
      <c r="P630" s="80"/>
      <c r="Q630" s="83"/>
      <c r="R630" s="80"/>
      <c r="S630" s="80"/>
      <c r="T630" s="80"/>
      <c r="U630" s="80"/>
      <c r="V630" s="84"/>
      <c r="W630" s="80"/>
      <c r="X630" s="85"/>
      <c r="Y630" s="86"/>
      <c r="Z630" s="86"/>
      <c r="AA630" s="86"/>
      <c r="AB630" s="86"/>
      <c r="AC630" s="86"/>
      <c r="AD630" s="86"/>
      <c r="AE630" s="86"/>
      <c r="AF630" s="86"/>
      <c r="AG630" s="86"/>
      <c r="AH630" s="82"/>
    </row>
    <row r="631">
      <c r="A631" s="78"/>
      <c r="B631" s="79"/>
      <c r="C631" s="80"/>
      <c r="D631" s="80"/>
      <c r="E631" s="80"/>
      <c r="F631" s="80"/>
      <c r="G631" s="80"/>
      <c r="H631" s="80"/>
      <c r="I631" s="80"/>
      <c r="J631" s="80"/>
      <c r="K631" s="82"/>
      <c r="L631" s="80"/>
      <c r="M631" s="80"/>
      <c r="N631" s="80"/>
      <c r="O631" s="80"/>
      <c r="P631" s="80"/>
      <c r="Q631" s="83"/>
      <c r="R631" s="80"/>
      <c r="S631" s="80"/>
      <c r="T631" s="80"/>
      <c r="U631" s="80"/>
      <c r="V631" s="84"/>
      <c r="W631" s="80"/>
      <c r="X631" s="85"/>
      <c r="Y631" s="86"/>
      <c r="Z631" s="86"/>
      <c r="AA631" s="86"/>
      <c r="AB631" s="86"/>
      <c r="AC631" s="86"/>
      <c r="AD631" s="86"/>
      <c r="AE631" s="86"/>
      <c r="AF631" s="86"/>
      <c r="AG631" s="86"/>
      <c r="AH631" s="82"/>
    </row>
    <row r="632">
      <c r="A632" s="78"/>
      <c r="B632" s="79"/>
      <c r="C632" s="80"/>
      <c r="D632" s="80"/>
      <c r="E632" s="80"/>
      <c r="F632" s="80"/>
      <c r="G632" s="80"/>
      <c r="H632" s="80"/>
      <c r="I632" s="80"/>
      <c r="J632" s="80"/>
      <c r="K632" s="82"/>
      <c r="L632" s="80"/>
      <c r="M632" s="80"/>
      <c r="N632" s="80"/>
      <c r="O632" s="80"/>
      <c r="P632" s="80"/>
      <c r="Q632" s="83"/>
      <c r="R632" s="80"/>
      <c r="S632" s="80"/>
      <c r="T632" s="80"/>
      <c r="U632" s="80"/>
      <c r="V632" s="84"/>
      <c r="W632" s="80"/>
      <c r="X632" s="85"/>
      <c r="Y632" s="86"/>
      <c r="Z632" s="86"/>
      <c r="AA632" s="86"/>
      <c r="AB632" s="86"/>
      <c r="AC632" s="86"/>
      <c r="AD632" s="86"/>
      <c r="AE632" s="86"/>
      <c r="AF632" s="86"/>
      <c r="AG632" s="86"/>
      <c r="AH632" s="82"/>
    </row>
    <row r="633">
      <c r="A633" s="78"/>
      <c r="B633" s="79"/>
      <c r="C633" s="80"/>
      <c r="D633" s="80"/>
      <c r="E633" s="80"/>
      <c r="F633" s="80"/>
      <c r="G633" s="80"/>
      <c r="H633" s="80"/>
      <c r="I633" s="80"/>
      <c r="J633" s="80"/>
      <c r="K633" s="82"/>
      <c r="L633" s="80"/>
      <c r="M633" s="80"/>
      <c r="N633" s="80"/>
      <c r="O633" s="80"/>
      <c r="P633" s="80"/>
      <c r="Q633" s="83"/>
      <c r="R633" s="80"/>
      <c r="S633" s="80"/>
      <c r="T633" s="80"/>
      <c r="U633" s="80"/>
      <c r="V633" s="84"/>
      <c r="W633" s="80"/>
      <c r="X633" s="85"/>
      <c r="Y633" s="86"/>
      <c r="Z633" s="86"/>
      <c r="AA633" s="86"/>
      <c r="AB633" s="86"/>
      <c r="AC633" s="86"/>
      <c r="AD633" s="86"/>
      <c r="AE633" s="86"/>
      <c r="AF633" s="86"/>
      <c r="AG633" s="86"/>
      <c r="AH633" s="82"/>
    </row>
    <row r="634">
      <c r="A634" s="78"/>
      <c r="B634" s="79"/>
      <c r="C634" s="80"/>
      <c r="D634" s="80"/>
      <c r="E634" s="80"/>
      <c r="F634" s="80"/>
      <c r="G634" s="80"/>
      <c r="H634" s="80"/>
      <c r="I634" s="80"/>
      <c r="J634" s="80"/>
      <c r="K634" s="82"/>
      <c r="L634" s="80"/>
      <c r="M634" s="80"/>
      <c r="N634" s="80"/>
      <c r="O634" s="80"/>
      <c r="P634" s="80"/>
      <c r="Q634" s="83"/>
      <c r="R634" s="80"/>
      <c r="S634" s="80"/>
      <c r="T634" s="80"/>
      <c r="U634" s="80"/>
      <c r="V634" s="84"/>
      <c r="W634" s="80"/>
      <c r="X634" s="85"/>
      <c r="Y634" s="86"/>
      <c r="Z634" s="86"/>
      <c r="AA634" s="86"/>
      <c r="AB634" s="86"/>
      <c r="AC634" s="86"/>
      <c r="AD634" s="86"/>
      <c r="AE634" s="86"/>
      <c r="AF634" s="86"/>
      <c r="AG634" s="86"/>
      <c r="AH634" s="82"/>
    </row>
    <row r="635">
      <c r="A635" s="78"/>
      <c r="B635" s="79"/>
      <c r="C635" s="80"/>
      <c r="D635" s="80"/>
      <c r="E635" s="80"/>
      <c r="F635" s="80"/>
      <c r="G635" s="80"/>
      <c r="H635" s="80"/>
      <c r="I635" s="80"/>
      <c r="J635" s="80"/>
      <c r="K635" s="82"/>
      <c r="L635" s="80"/>
      <c r="M635" s="80"/>
      <c r="N635" s="80"/>
      <c r="O635" s="80"/>
      <c r="P635" s="80"/>
      <c r="Q635" s="83"/>
      <c r="R635" s="80"/>
      <c r="S635" s="80"/>
      <c r="T635" s="80"/>
      <c r="U635" s="80"/>
      <c r="V635" s="84"/>
      <c r="W635" s="80"/>
      <c r="X635" s="85"/>
      <c r="Y635" s="86"/>
      <c r="Z635" s="86"/>
      <c r="AA635" s="86"/>
      <c r="AB635" s="86"/>
      <c r="AC635" s="86"/>
      <c r="AD635" s="86"/>
      <c r="AE635" s="86"/>
      <c r="AF635" s="86"/>
      <c r="AG635" s="86"/>
      <c r="AH635" s="82"/>
    </row>
    <row r="636">
      <c r="A636" s="78"/>
      <c r="B636" s="79"/>
      <c r="C636" s="80"/>
      <c r="D636" s="80"/>
      <c r="E636" s="80"/>
      <c r="F636" s="80"/>
      <c r="G636" s="80"/>
      <c r="H636" s="80"/>
      <c r="I636" s="80"/>
      <c r="J636" s="80"/>
      <c r="K636" s="82"/>
      <c r="L636" s="80"/>
      <c r="M636" s="80"/>
      <c r="N636" s="80"/>
      <c r="O636" s="80"/>
      <c r="P636" s="80"/>
      <c r="Q636" s="83"/>
      <c r="R636" s="80"/>
      <c r="S636" s="80"/>
      <c r="T636" s="80"/>
      <c r="U636" s="80"/>
      <c r="V636" s="84"/>
      <c r="W636" s="80"/>
      <c r="X636" s="85"/>
      <c r="Y636" s="86"/>
      <c r="Z636" s="86"/>
      <c r="AA636" s="86"/>
      <c r="AB636" s="86"/>
      <c r="AC636" s="86"/>
      <c r="AD636" s="86"/>
      <c r="AE636" s="86"/>
      <c r="AF636" s="86"/>
      <c r="AG636" s="86"/>
      <c r="AH636" s="82"/>
    </row>
    <row r="637">
      <c r="A637" s="78"/>
      <c r="B637" s="79"/>
      <c r="C637" s="80"/>
      <c r="D637" s="80"/>
      <c r="E637" s="80"/>
      <c r="F637" s="80"/>
      <c r="G637" s="80"/>
      <c r="H637" s="80"/>
      <c r="I637" s="80"/>
      <c r="J637" s="80"/>
      <c r="K637" s="82"/>
      <c r="L637" s="80"/>
      <c r="M637" s="80"/>
      <c r="N637" s="80"/>
      <c r="O637" s="80"/>
      <c r="P637" s="80"/>
      <c r="Q637" s="83"/>
      <c r="R637" s="80"/>
      <c r="S637" s="80"/>
      <c r="T637" s="80"/>
      <c r="U637" s="80"/>
      <c r="V637" s="84"/>
      <c r="W637" s="80"/>
      <c r="X637" s="85"/>
      <c r="Y637" s="86"/>
      <c r="Z637" s="86"/>
      <c r="AA637" s="86"/>
      <c r="AB637" s="86"/>
      <c r="AC637" s="86"/>
      <c r="AD637" s="86"/>
      <c r="AE637" s="86"/>
      <c r="AF637" s="86"/>
      <c r="AG637" s="86"/>
      <c r="AH637" s="82"/>
    </row>
    <row r="638">
      <c r="A638" s="78"/>
      <c r="B638" s="79"/>
      <c r="C638" s="80"/>
      <c r="D638" s="80"/>
      <c r="E638" s="80"/>
      <c r="F638" s="80"/>
      <c r="G638" s="80"/>
      <c r="H638" s="80"/>
      <c r="I638" s="80"/>
      <c r="J638" s="80"/>
      <c r="K638" s="82"/>
      <c r="L638" s="80"/>
      <c r="M638" s="80"/>
      <c r="N638" s="80"/>
      <c r="O638" s="80"/>
      <c r="P638" s="80"/>
      <c r="Q638" s="83"/>
      <c r="R638" s="80"/>
      <c r="S638" s="80"/>
      <c r="T638" s="80"/>
      <c r="U638" s="80"/>
      <c r="V638" s="84"/>
      <c r="W638" s="80"/>
      <c r="X638" s="85"/>
      <c r="Y638" s="86"/>
      <c r="Z638" s="86"/>
      <c r="AA638" s="86"/>
      <c r="AB638" s="86"/>
      <c r="AC638" s="86"/>
      <c r="AD638" s="86"/>
      <c r="AE638" s="86"/>
      <c r="AF638" s="86"/>
      <c r="AG638" s="86"/>
      <c r="AH638" s="82"/>
    </row>
    <row r="639">
      <c r="A639" s="78"/>
      <c r="B639" s="79"/>
      <c r="C639" s="80"/>
      <c r="D639" s="80"/>
      <c r="E639" s="80"/>
      <c r="F639" s="80"/>
      <c r="G639" s="80"/>
      <c r="H639" s="80"/>
      <c r="I639" s="80"/>
      <c r="J639" s="80"/>
      <c r="K639" s="82"/>
      <c r="L639" s="80"/>
      <c r="M639" s="80"/>
      <c r="N639" s="80"/>
      <c r="O639" s="80"/>
      <c r="P639" s="80"/>
      <c r="Q639" s="83"/>
      <c r="R639" s="80"/>
      <c r="S639" s="80"/>
      <c r="T639" s="80"/>
      <c r="U639" s="80"/>
      <c r="V639" s="84"/>
      <c r="W639" s="80"/>
      <c r="X639" s="85"/>
      <c r="Y639" s="86"/>
      <c r="Z639" s="86"/>
      <c r="AA639" s="86"/>
      <c r="AB639" s="86"/>
      <c r="AC639" s="86"/>
      <c r="AD639" s="86"/>
      <c r="AE639" s="86"/>
      <c r="AF639" s="86"/>
      <c r="AG639" s="86"/>
      <c r="AH639" s="82"/>
    </row>
    <row r="640">
      <c r="A640" s="78"/>
      <c r="B640" s="79"/>
      <c r="C640" s="80"/>
      <c r="D640" s="80"/>
      <c r="E640" s="80"/>
      <c r="F640" s="80"/>
      <c r="G640" s="80"/>
      <c r="H640" s="80"/>
      <c r="I640" s="80"/>
      <c r="J640" s="80"/>
      <c r="K640" s="82"/>
      <c r="L640" s="80"/>
      <c r="M640" s="80"/>
      <c r="N640" s="80"/>
      <c r="O640" s="80"/>
      <c r="P640" s="80"/>
      <c r="Q640" s="83"/>
      <c r="R640" s="80"/>
      <c r="S640" s="80"/>
      <c r="T640" s="80"/>
      <c r="U640" s="80"/>
      <c r="V640" s="84"/>
      <c r="W640" s="80"/>
      <c r="X640" s="85"/>
      <c r="Y640" s="86"/>
      <c r="Z640" s="86"/>
      <c r="AA640" s="86"/>
      <c r="AB640" s="86"/>
      <c r="AC640" s="86"/>
      <c r="AD640" s="86"/>
      <c r="AE640" s="86"/>
      <c r="AF640" s="86"/>
      <c r="AG640" s="86"/>
      <c r="AH640" s="82"/>
    </row>
    <row r="641">
      <c r="A641" s="78"/>
      <c r="B641" s="79"/>
      <c r="C641" s="80"/>
      <c r="D641" s="80"/>
      <c r="E641" s="80"/>
      <c r="F641" s="80"/>
      <c r="G641" s="80"/>
      <c r="H641" s="80"/>
      <c r="I641" s="80"/>
      <c r="J641" s="80"/>
      <c r="K641" s="82"/>
      <c r="L641" s="80"/>
      <c r="M641" s="80"/>
      <c r="N641" s="80"/>
      <c r="O641" s="80"/>
      <c r="P641" s="80"/>
      <c r="Q641" s="83"/>
      <c r="R641" s="80"/>
      <c r="S641" s="80"/>
      <c r="T641" s="80"/>
      <c r="U641" s="80"/>
      <c r="V641" s="84"/>
      <c r="W641" s="80"/>
      <c r="X641" s="85"/>
      <c r="Y641" s="86"/>
      <c r="Z641" s="86"/>
      <c r="AA641" s="86"/>
      <c r="AB641" s="86"/>
      <c r="AC641" s="86"/>
      <c r="AD641" s="86"/>
      <c r="AE641" s="86"/>
      <c r="AF641" s="86"/>
      <c r="AG641" s="86"/>
      <c r="AH641" s="82"/>
    </row>
    <row r="642">
      <c r="A642" s="78"/>
      <c r="B642" s="79"/>
      <c r="C642" s="80"/>
      <c r="D642" s="80"/>
      <c r="E642" s="80"/>
      <c r="F642" s="80"/>
      <c r="G642" s="80"/>
      <c r="H642" s="80"/>
      <c r="I642" s="80"/>
      <c r="J642" s="80"/>
      <c r="K642" s="82"/>
      <c r="L642" s="80"/>
      <c r="M642" s="80"/>
      <c r="N642" s="80"/>
      <c r="O642" s="80"/>
      <c r="P642" s="80"/>
      <c r="Q642" s="83"/>
      <c r="R642" s="80"/>
      <c r="S642" s="80"/>
      <c r="T642" s="80"/>
      <c r="U642" s="80"/>
      <c r="V642" s="84"/>
      <c r="W642" s="80"/>
      <c r="X642" s="85"/>
      <c r="Y642" s="86"/>
      <c r="Z642" s="86"/>
      <c r="AA642" s="86"/>
      <c r="AB642" s="86"/>
      <c r="AC642" s="86"/>
      <c r="AD642" s="86"/>
      <c r="AE642" s="86"/>
      <c r="AF642" s="86"/>
      <c r="AG642" s="86"/>
      <c r="AH642" s="82"/>
    </row>
    <row r="643">
      <c r="A643" s="78"/>
      <c r="B643" s="79"/>
      <c r="C643" s="80"/>
      <c r="D643" s="80"/>
      <c r="E643" s="80"/>
      <c r="F643" s="80"/>
      <c r="G643" s="80"/>
      <c r="H643" s="80"/>
      <c r="I643" s="80"/>
      <c r="J643" s="80"/>
      <c r="K643" s="82"/>
      <c r="L643" s="80"/>
      <c r="M643" s="80"/>
      <c r="N643" s="80"/>
      <c r="O643" s="80"/>
      <c r="P643" s="80"/>
      <c r="Q643" s="83"/>
      <c r="R643" s="80"/>
      <c r="S643" s="80"/>
      <c r="T643" s="80"/>
      <c r="U643" s="80"/>
      <c r="V643" s="84"/>
      <c r="W643" s="80"/>
      <c r="X643" s="85"/>
      <c r="Y643" s="86"/>
      <c r="Z643" s="86"/>
      <c r="AA643" s="86"/>
      <c r="AB643" s="86"/>
      <c r="AC643" s="86"/>
      <c r="AD643" s="86"/>
      <c r="AE643" s="86"/>
      <c r="AF643" s="86"/>
      <c r="AG643" s="86"/>
      <c r="AH643" s="82"/>
    </row>
    <row r="644">
      <c r="A644" s="78"/>
      <c r="B644" s="79"/>
      <c r="C644" s="80"/>
      <c r="D644" s="80"/>
      <c r="E644" s="80"/>
      <c r="F644" s="80"/>
      <c r="G644" s="80"/>
      <c r="H644" s="80"/>
      <c r="I644" s="80"/>
      <c r="J644" s="80"/>
      <c r="K644" s="82"/>
      <c r="L644" s="80"/>
      <c r="M644" s="80"/>
      <c r="N644" s="80"/>
      <c r="O644" s="80"/>
      <c r="P644" s="80"/>
      <c r="Q644" s="83"/>
      <c r="R644" s="80"/>
      <c r="S644" s="80"/>
      <c r="T644" s="80"/>
      <c r="U644" s="80"/>
      <c r="V644" s="84"/>
      <c r="W644" s="80"/>
      <c r="X644" s="85"/>
      <c r="Y644" s="86"/>
      <c r="Z644" s="86"/>
      <c r="AA644" s="86"/>
      <c r="AB644" s="86"/>
      <c r="AC644" s="86"/>
      <c r="AD644" s="86"/>
      <c r="AE644" s="86"/>
      <c r="AF644" s="86"/>
      <c r="AG644" s="86"/>
      <c r="AH644" s="82"/>
    </row>
    <row r="645">
      <c r="A645" s="78"/>
      <c r="B645" s="79"/>
      <c r="C645" s="80"/>
      <c r="D645" s="80"/>
      <c r="E645" s="80"/>
      <c r="F645" s="80"/>
      <c r="G645" s="80"/>
      <c r="H645" s="80"/>
      <c r="I645" s="80"/>
      <c r="J645" s="80"/>
      <c r="K645" s="82"/>
      <c r="L645" s="80"/>
      <c r="M645" s="80"/>
      <c r="N645" s="80"/>
      <c r="O645" s="80"/>
      <c r="P645" s="80"/>
      <c r="Q645" s="83"/>
      <c r="R645" s="80"/>
      <c r="S645" s="80"/>
      <c r="T645" s="80"/>
      <c r="U645" s="80"/>
      <c r="V645" s="84"/>
      <c r="W645" s="80"/>
      <c r="X645" s="85"/>
      <c r="Y645" s="86"/>
      <c r="Z645" s="86"/>
      <c r="AA645" s="86"/>
      <c r="AB645" s="86"/>
      <c r="AC645" s="86"/>
      <c r="AD645" s="86"/>
      <c r="AE645" s="86"/>
      <c r="AF645" s="86"/>
      <c r="AG645" s="86"/>
      <c r="AH645" s="82"/>
    </row>
    <row r="646">
      <c r="A646" s="78"/>
      <c r="B646" s="79"/>
      <c r="C646" s="80"/>
      <c r="D646" s="80"/>
      <c r="E646" s="80"/>
      <c r="F646" s="80"/>
      <c r="G646" s="80"/>
      <c r="H646" s="80"/>
      <c r="I646" s="80"/>
      <c r="J646" s="80"/>
      <c r="K646" s="82"/>
      <c r="L646" s="80"/>
      <c r="M646" s="80"/>
      <c r="N646" s="80"/>
      <c r="O646" s="80"/>
      <c r="P646" s="80"/>
      <c r="Q646" s="83"/>
      <c r="R646" s="80"/>
      <c r="S646" s="80"/>
      <c r="T646" s="80"/>
      <c r="U646" s="80"/>
      <c r="V646" s="84"/>
      <c r="W646" s="80"/>
      <c r="X646" s="85"/>
      <c r="Y646" s="86"/>
      <c r="Z646" s="86"/>
      <c r="AA646" s="86"/>
      <c r="AB646" s="86"/>
      <c r="AC646" s="86"/>
      <c r="AD646" s="86"/>
      <c r="AE646" s="86"/>
      <c r="AF646" s="86"/>
      <c r="AG646" s="86"/>
      <c r="AH646" s="82"/>
    </row>
    <row r="647">
      <c r="A647" s="78"/>
      <c r="B647" s="79"/>
      <c r="C647" s="80"/>
      <c r="D647" s="80"/>
      <c r="E647" s="80"/>
      <c r="F647" s="80"/>
      <c r="G647" s="80"/>
      <c r="H647" s="80"/>
      <c r="I647" s="80"/>
      <c r="J647" s="80"/>
      <c r="K647" s="82"/>
      <c r="L647" s="80"/>
      <c r="M647" s="80"/>
      <c r="N647" s="80"/>
      <c r="O647" s="80"/>
      <c r="P647" s="80"/>
      <c r="Q647" s="83"/>
      <c r="R647" s="80"/>
      <c r="S647" s="80"/>
      <c r="T647" s="80"/>
      <c r="U647" s="80"/>
      <c r="V647" s="84"/>
      <c r="W647" s="80"/>
      <c r="X647" s="85"/>
      <c r="Y647" s="86"/>
      <c r="Z647" s="86"/>
      <c r="AA647" s="86"/>
      <c r="AB647" s="86"/>
      <c r="AC647" s="86"/>
      <c r="AD647" s="86"/>
      <c r="AE647" s="86"/>
      <c r="AF647" s="86"/>
      <c r="AG647" s="86"/>
      <c r="AH647" s="82"/>
    </row>
    <row r="648">
      <c r="A648" s="78"/>
      <c r="B648" s="79"/>
      <c r="C648" s="80"/>
      <c r="D648" s="80"/>
      <c r="E648" s="80"/>
      <c r="F648" s="80"/>
      <c r="G648" s="80"/>
      <c r="H648" s="80"/>
      <c r="I648" s="80"/>
      <c r="J648" s="80"/>
      <c r="K648" s="82"/>
      <c r="L648" s="80"/>
      <c r="M648" s="80"/>
      <c r="N648" s="80"/>
      <c r="O648" s="80"/>
      <c r="P648" s="80"/>
      <c r="Q648" s="83"/>
      <c r="R648" s="80"/>
      <c r="S648" s="80"/>
      <c r="T648" s="80"/>
      <c r="U648" s="80"/>
      <c r="V648" s="84"/>
      <c r="W648" s="80"/>
      <c r="X648" s="85"/>
      <c r="Y648" s="86"/>
      <c r="Z648" s="86"/>
      <c r="AA648" s="86"/>
      <c r="AB648" s="86"/>
      <c r="AC648" s="86"/>
      <c r="AD648" s="86"/>
      <c r="AE648" s="86"/>
      <c r="AF648" s="86"/>
      <c r="AG648" s="86"/>
      <c r="AH648" s="82"/>
    </row>
    <row r="649">
      <c r="A649" s="78"/>
      <c r="B649" s="79"/>
      <c r="C649" s="80"/>
      <c r="D649" s="80"/>
      <c r="E649" s="80"/>
      <c r="F649" s="80"/>
      <c r="G649" s="80"/>
      <c r="H649" s="80"/>
      <c r="I649" s="80"/>
      <c r="J649" s="80"/>
      <c r="K649" s="82"/>
      <c r="L649" s="80"/>
      <c r="M649" s="80"/>
      <c r="N649" s="80"/>
      <c r="O649" s="80"/>
      <c r="P649" s="80"/>
      <c r="Q649" s="83"/>
      <c r="R649" s="80"/>
      <c r="S649" s="80"/>
      <c r="T649" s="80"/>
      <c r="U649" s="80"/>
      <c r="V649" s="84"/>
      <c r="W649" s="80"/>
      <c r="X649" s="85"/>
      <c r="Y649" s="86"/>
      <c r="Z649" s="86"/>
      <c r="AA649" s="86"/>
      <c r="AB649" s="86"/>
      <c r="AC649" s="86"/>
      <c r="AD649" s="86"/>
      <c r="AE649" s="86"/>
      <c r="AF649" s="86"/>
      <c r="AG649" s="86"/>
      <c r="AH649" s="82"/>
    </row>
    <row r="650">
      <c r="A650" s="78"/>
      <c r="B650" s="79"/>
      <c r="C650" s="80"/>
      <c r="D650" s="80"/>
      <c r="E650" s="80"/>
      <c r="F650" s="80"/>
      <c r="G650" s="80"/>
      <c r="H650" s="80"/>
      <c r="I650" s="80"/>
      <c r="J650" s="80"/>
      <c r="K650" s="82"/>
      <c r="L650" s="80"/>
      <c r="M650" s="80"/>
      <c r="N650" s="80"/>
      <c r="O650" s="80"/>
      <c r="P650" s="80"/>
      <c r="Q650" s="83"/>
      <c r="R650" s="80"/>
      <c r="S650" s="80"/>
      <c r="T650" s="80"/>
      <c r="U650" s="80"/>
      <c r="V650" s="84"/>
      <c r="W650" s="80"/>
      <c r="X650" s="85"/>
      <c r="Y650" s="86"/>
      <c r="Z650" s="86"/>
      <c r="AA650" s="86"/>
      <c r="AB650" s="86"/>
      <c r="AC650" s="86"/>
      <c r="AD650" s="86"/>
      <c r="AE650" s="86"/>
      <c r="AF650" s="86"/>
      <c r="AG650" s="86"/>
      <c r="AH650" s="82"/>
    </row>
    <row r="651">
      <c r="A651" s="78"/>
      <c r="B651" s="79"/>
      <c r="C651" s="80"/>
      <c r="D651" s="80"/>
      <c r="E651" s="80"/>
      <c r="F651" s="80"/>
      <c r="G651" s="80"/>
      <c r="H651" s="80"/>
      <c r="I651" s="80"/>
      <c r="J651" s="80"/>
      <c r="K651" s="82"/>
      <c r="L651" s="80"/>
      <c r="M651" s="80"/>
      <c r="N651" s="80"/>
      <c r="O651" s="80"/>
      <c r="P651" s="80"/>
      <c r="Q651" s="83"/>
      <c r="R651" s="80"/>
      <c r="S651" s="80"/>
      <c r="T651" s="80"/>
      <c r="U651" s="80"/>
      <c r="V651" s="84"/>
      <c r="W651" s="80"/>
      <c r="X651" s="85"/>
      <c r="Y651" s="86"/>
      <c r="Z651" s="86"/>
      <c r="AA651" s="86"/>
      <c r="AB651" s="86"/>
      <c r="AC651" s="86"/>
      <c r="AD651" s="86"/>
      <c r="AE651" s="86"/>
      <c r="AF651" s="86"/>
      <c r="AG651" s="86"/>
      <c r="AH651" s="82"/>
    </row>
    <row r="652">
      <c r="A652" s="78"/>
      <c r="B652" s="79"/>
      <c r="C652" s="80"/>
      <c r="D652" s="80"/>
      <c r="E652" s="80"/>
      <c r="F652" s="80"/>
      <c r="G652" s="80"/>
      <c r="H652" s="80"/>
      <c r="I652" s="80"/>
      <c r="J652" s="80"/>
      <c r="K652" s="82"/>
      <c r="L652" s="80"/>
      <c r="M652" s="80"/>
      <c r="N652" s="80"/>
      <c r="O652" s="80"/>
      <c r="P652" s="80"/>
      <c r="Q652" s="83"/>
      <c r="R652" s="80"/>
      <c r="S652" s="80"/>
      <c r="T652" s="80"/>
      <c r="U652" s="80"/>
      <c r="V652" s="84"/>
      <c r="W652" s="80"/>
      <c r="X652" s="85"/>
      <c r="Y652" s="86"/>
      <c r="Z652" s="86"/>
      <c r="AA652" s="86"/>
      <c r="AB652" s="86"/>
      <c r="AC652" s="86"/>
      <c r="AD652" s="86"/>
      <c r="AE652" s="86"/>
      <c r="AF652" s="86"/>
      <c r="AG652" s="86"/>
      <c r="AH652" s="82"/>
    </row>
    <row r="653">
      <c r="A653" s="78"/>
      <c r="B653" s="79"/>
      <c r="C653" s="80"/>
      <c r="D653" s="80"/>
      <c r="E653" s="80"/>
      <c r="F653" s="80"/>
      <c r="G653" s="80"/>
      <c r="H653" s="80"/>
      <c r="I653" s="80"/>
      <c r="J653" s="80"/>
      <c r="K653" s="82"/>
      <c r="L653" s="80"/>
      <c r="M653" s="80"/>
      <c r="N653" s="80"/>
      <c r="O653" s="80"/>
      <c r="P653" s="80"/>
      <c r="Q653" s="83"/>
      <c r="R653" s="80"/>
      <c r="S653" s="80"/>
      <c r="T653" s="80"/>
      <c r="U653" s="80"/>
      <c r="V653" s="84"/>
      <c r="W653" s="80"/>
      <c r="X653" s="85"/>
      <c r="Y653" s="86"/>
      <c r="Z653" s="86"/>
      <c r="AA653" s="86"/>
      <c r="AB653" s="86"/>
      <c r="AC653" s="86"/>
      <c r="AD653" s="86"/>
      <c r="AE653" s="86"/>
      <c r="AF653" s="86"/>
      <c r="AG653" s="86"/>
      <c r="AH653" s="82"/>
    </row>
    <row r="654">
      <c r="A654" s="78"/>
      <c r="B654" s="79"/>
      <c r="C654" s="80"/>
      <c r="D654" s="80"/>
      <c r="E654" s="80"/>
      <c r="F654" s="80"/>
      <c r="G654" s="80"/>
      <c r="H654" s="80"/>
      <c r="I654" s="80"/>
      <c r="J654" s="80"/>
      <c r="K654" s="82"/>
      <c r="L654" s="80"/>
      <c r="M654" s="80"/>
      <c r="N654" s="80"/>
      <c r="O654" s="80"/>
      <c r="P654" s="80"/>
      <c r="Q654" s="83"/>
      <c r="R654" s="80"/>
      <c r="S654" s="80"/>
      <c r="T654" s="80"/>
      <c r="U654" s="80"/>
      <c r="V654" s="84"/>
      <c r="W654" s="80"/>
      <c r="X654" s="85"/>
      <c r="Y654" s="86"/>
      <c r="Z654" s="86"/>
      <c r="AA654" s="86"/>
      <c r="AB654" s="86"/>
      <c r="AC654" s="86"/>
      <c r="AD654" s="86"/>
      <c r="AE654" s="86"/>
      <c r="AF654" s="86"/>
      <c r="AG654" s="86"/>
      <c r="AH654" s="82"/>
    </row>
    <row r="655">
      <c r="A655" s="78"/>
      <c r="B655" s="79"/>
      <c r="C655" s="80"/>
      <c r="D655" s="80"/>
      <c r="E655" s="80"/>
      <c r="F655" s="80"/>
      <c r="G655" s="80"/>
      <c r="H655" s="80"/>
      <c r="I655" s="80"/>
      <c r="J655" s="80"/>
      <c r="K655" s="82"/>
      <c r="L655" s="80"/>
      <c r="M655" s="80"/>
      <c r="N655" s="80"/>
      <c r="O655" s="80"/>
      <c r="P655" s="80"/>
      <c r="Q655" s="83"/>
      <c r="R655" s="80"/>
      <c r="S655" s="80"/>
      <c r="T655" s="80"/>
      <c r="U655" s="80"/>
      <c r="V655" s="84"/>
      <c r="W655" s="80"/>
      <c r="X655" s="85"/>
      <c r="Y655" s="86"/>
      <c r="Z655" s="86"/>
      <c r="AA655" s="86"/>
      <c r="AB655" s="86"/>
      <c r="AC655" s="86"/>
      <c r="AD655" s="86"/>
      <c r="AE655" s="86"/>
      <c r="AF655" s="86"/>
      <c r="AG655" s="86"/>
      <c r="AH655" s="82"/>
    </row>
    <row r="656">
      <c r="A656" s="78"/>
      <c r="B656" s="79"/>
      <c r="C656" s="80"/>
      <c r="D656" s="80"/>
      <c r="E656" s="80"/>
      <c r="F656" s="80"/>
      <c r="G656" s="80"/>
      <c r="H656" s="80"/>
      <c r="I656" s="80"/>
      <c r="J656" s="80"/>
      <c r="K656" s="82"/>
      <c r="L656" s="80"/>
      <c r="M656" s="80"/>
      <c r="N656" s="80"/>
      <c r="O656" s="80"/>
      <c r="P656" s="80"/>
      <c r="Q656" s="83"/>
      <c r="R656" s="80"/>
      <c r="S656" s="80"/>
      <c r="T656" s="80"/>
      <c r="U656" s="80"/>
      <c r="V656" s="84"/>
      <c r="W656" s="80"/>
      <c r="X656" s="85"/>
      <c r="Y656" s="86"/>
      <c r="Z656" s="86"/>
      <c r="AA656" s="86"/>
      <c r="AB656" s="86"/>
      <c r="AC656" s="86"/>
      <c r="AD656" s="86"/>
      <c r="AE656" s="86"/>
      <c r="AF656" s="86"/>
      <c r="AG656" s="86"/>
      <c r="AH656" s="82"/>
    </row>
    <row r="657">
      <c r="A657" s="78"/>
      <c r="B657" s="79"/>
      <c r="C657" s="80"/>
      <c r="D657" s="80"/>
      <c r="E657" s="80"/>
      <c r="F657" s="80"/>
      <c r="G657" s="80"/>
      <c r="H657" s="80"/>
      <c r="I657" s="80"/>
      <c r="J657" s="80"/>
      <c r="K657" s="82"/>
      <c r="L657" s="80"/>
      <c r="M657" s="80"/>
      <c r="N657" s="80"/>
      <c r="O657" s="80"/>
      <c r="P657" s="80"/>
      <c r="Q657" s="83"/>
      <c r="R657" s="80"/>
      <c r="S657" s="80"/>
      <c r="T657" s="80"/>
      <c r="U657" s="80"/>
      <c r="V657" s="84"/>
      <c r="W657" s="80"/>
      <c r="X657" s="85"/>
      <c r="Y657" s="86"/>
      <c r="Z657" s="86"/>
      <c r="AA657" s="86"/>
      <c r="AB657" s="86"/>
      <c r="AC657" s="86"/>
      <c r="AD657" s="86"/>
      <c r="AE657" s="86"/>
      <c r="AF657" s="86"/>
      <c r="AG657" s="86"/>
      <c r="AH657" s="82"/>
    </row>
    <row r="658">
      <c r="A658" s="78"/>
      <c r="B658" s="79"/>
      <c r="C658" s="80"/>
      <c r="D658" s="80"/>
      <c r="E658" s="80"/>
      <c r="F658" s="80"/>
      <c r="G658" s="80"/>
      <c r="H658" s="80"/>
      <c r="I658" s="80"/>
      <c r="J658" s="80"/>
      <c r="K658" s="82"/>
      <c r="L658" s="80"/>
      <c r="M658" s="80"/>
      <c r="N658" s="80"/>
      <c r="O658" s="80"/>
      <c r="P658" s="80"/>
      <c r="Q658" s="83"/>
      <c r="R658" s="80"/>
      <c r="S658" s="80"/>
      <c r="T658" s="80"/>
      <c r="U658" s="80"/>
      <c r="V658" s="84"/>
      <c r="W658" s="80"/>
      <c r="X658" s="85"/>
      <c r="Y658" s="86"/>
      <c r="Z658" s="86"/>
      <c r="AA658" s="86"/>
      <c r="AB658" s="86"/>
      <c r="AC658" s="86"/>
      <c r="AD658" s="86"/>
      <c r="AE658" s="86"/>
      <c r="AF658" s="86"/>
      <c r="AG658" s="86"/>
      <c r="AH658" s="82"/>
    </row>
    <row r="659">
      <c r="A659" s="78"/>
      <c r="B659" s="79"/>
      <c r="C659" s="80"/>
      <c r="D659" s="80"/>
      <c r="E659" s="80"/>
      <c r="F659" s="80"/>
      <c r="G659" s="80"/>
      <c r="H659" s="80"/>
      <c r="I659" s="80"/>
      <c r="J659" s="80"/>
      <c r="K659" s="82"/>
      <c r="L659" s="80"/>
      <c r="M659" s="80"/>
      <c r="N659" s="80"/>
      <c r="O659" s="80"/>
      <c r="P659" s="80"/>
      <c r="Q659" s="83"/>
      <c r="R659" s="80"/>
      <c r="S659" s="80"/>
      <c r="T659" s="80"/>
      <c r="U659" s="80"/>
      <c r="V659" s="84"/>
      <c r="W659" s="80"/>
      <c r="X659" s="85"/>
      <c r="Y659" s="86"/>
      <c r="Z659" s="86"/>
      <c r="AA659" s="86"/>
      <c r="AB659" s="86"/>
      <c r="AC659" s="86"/>
      <c r="AD659" s="86"/>
      <c r="AE659" s="86"/>
      <c r="AF659" s="86"/>
      <c r="AG659" s="86"/>
      <c r="AH659" s="82"/>
    </row>
    <row r="660">
      <c r="A660" s="78"/>
      <c r="B660" s="79"/>
      <c r="C660" s="80"/>
      <c r="D660" s="80"/>
      <c r="E660" s="80"/>
      <c r="F660" s="80"/>
      <c r="G660" s="80"/>
      <c r="H660" s="80"/>
      <c r="I660" s="80"/>
      <c r="J660" s="80"/>
      <c r="K660" s="82"/>
      <c r="L660" s="80"/>
      <c r="M660" s="80"/>
      <c r="N660" s="80"/>
      <c r="O660" s="80"/>
      <c r="P660" s="80"/>
      <c r="Q660" s="83"/>
      <c r="R660" s="80"/>
      <c r="S660" s="80"/>
      <c r="T660" s="80"/>
      <c r="U660" s="80"/>
      <c r="V660" s="84"/>
      <c r="W660" s="80"/>
      <c r="X660" s="85"/>
      <c r="Y660" s="86"/>
      <c r="Z660" s="86"/>
      <c r="AA660" s="86"/>
      <c r="AB660" s="86"/>
      <c r="AC660" s="86"/>
      <c r="AD660" s="86"/>
      <c r="AE660" s="86"/>
      <c r="AF660" s="86"/>
      <c r="AG660" s="86"/>
      <c r="AH660" s="82"/>
    </row>
    <row r="661">
      <c r="A661" s="78"/>
      <c r="B661" s="79"/>
      <c r="C661" s="80"/>
      <c r="D661" s="80"/>
      <c r="E661" s="80"/>
      <c r="F661" s="80"/>
      <c r="G661" s="80"/>
      <c r="H661" s="80"/>
      <c r="I661" s="80"/>
      <c r="J661" s="80"/>
      <c r="K661" s="82"/>
      <c r="L661" s="80"/>
      <c r="M661" s="80"/>
      <c r="N661" s="80"/>
      <c r="O661" s="80"/>
      <c r="P661" s="80"/>
      <c r="Q661" s="83"/>
      <c r="R661" s="80"/>
      <c r="S661" s="80"/>
      <c r="T661" s="80"/>
      <c r="U661" s="80"/>
      <c r="V661" s="84"/>
      <c r="W661" s="80"/>
      <c r="X661" s="85"/>
      <c r="Y661" s="86"/>
      <c r="Z661" s="86"/>
      <c r="AA661" s="86"/>
      <c r="AB661" s="86"/>
      <c r="AC661" s="86"/>
      <c r="AD661" s="86"/>
      <c r="AE661" s="86"/>
      <c r="AF661" s="86"/>
      <c r="AG661" s="86"/>
      <c r="AH661" s="82"/>
    </row>
    <row r="662">
      <c r="A662" s="78"/>
      <c r="B662" s="79"/>
      <c r="C662" s="80"/>
      <c r="D662" s="80"/>
      <c r="E662" s="80"/>
      <c r="F662" s="80"/>
      <c r="G662" s="80"/>
      <c r="H662" s="80"/>
      <c r="I662" s="80"/>
      <c r="J662" s="80"/>
      <c r="K662" s="82"/>
      <c r="L662" s="80"/>
      <c r="M662" s="80"/>
      <c r="N662" s="80"/>
      <c r="O662" s="80"/>
      <c r="P662" s="80"/>
      <c r="Q662" s="83"/>
      <c r="R662" s="80"/>
      <c r="S662" s="80"/>
      <c r="T662" s="80"/>
      <c r="U662" s="80"/>
      <c r="V662" s="84"/>
      <c r="W662" s="80"/>
      <c r="X662" s="85"/>
      <c r="Y662" s="86"/>
      <c r="Z662" s="86"/>
      <c r="AA662" s="86"/>
      <c r="AB662" s="86"/>
      <c r="AC662" s="86"/>
      <c r="AD662" s="86"/>
      <c r="AE662" s="86"/>
      <c r="AF662" s="86"/>
      <c r="AG662" s="86"/>
      <c r="AH662" s="82"/>
    </row>
    <row r="663">
      <c r="A663" s="78"/>
      <c r="B663" s="79"/>
      <c r="C663" s="80"/>
      <c r="D663" s="80"/>
      <c r="E663" s="80"/>
      <c r="F663" s="80"/>
      <c r="G663" s="80"/>
      <c r="H663" s="80"/>
      <c r="I663" s="80"/>
      <c r="J663" s="80"/>
      <c r="K663" s="82"/>
      <c r="L663" s="80"/>
      <c r="M663" s="80"/>
      <c r="N663" s="80"/>
      <c r="O663" s="80"/>
      <c r="P663" s="80"/>
      <c r="Q663" s="83"/>
      <c r="R663" s="80"/>
      <c r="S663" s="80"/>
      <c r="T663" s="80"/>
      <c r="U663" s="80"/>
      <c r="V663" s="84"/>
      <c r="W663" s="80"/>
      <c r="X663" s="85"/>
      <c r="Y663" s="86"/>
      <c r="Z663" s="86"/>
      <c r="AA663" s="86"/>
      <c r="AB663" s="86"/>
      <c r="AC663" s="86"/>
      <c r="AD663" s="86"/>
      <c r="AE663" s="86"/>
      <c r="AF663" s="86"/>
      <c r="AG663" s="86"/>
      <c r="AH663" s="82"/>
    </row>
    <row r="664">
      <c r="A664" s="78"/>
      <c r="B664" s="79"/>
      <c r="C664" s="80"/>
      <c r="D664" s="80"/>
      <c r="E664" s="80"/>
      <c r="F664" s="80"/>
      <c r="G664" s="80"/>
      <c r="H664" s="80"/>
      <c r="I664" s="80"/>
      <c r="J664" s="80"/>
      <c r="K664" s="82"/>
      <c r="L664" s="80"/>
      <c r="M664" s="80"/>
      <c r="N664" s="80"/>
      <c r="O664" s="80"/>
      <c r="P664" s="80"/>
      <c r="Q664" s="83"/>
      <c r="R664" s="80"/>
      <c r="S664" s="80"/>
      <c r="T664" s="80"/>
      <c r="U664" s="80"/>
      <c r="V664" s="84"/>
      <c r="W664" s="80"/>
      <c r="X664" s="85"/>
      <c r="Y664" s="86"/>
      <c r="Z664" s="86"/>
      <c r="AA664" s="86"/>
      <c r="AB664" s="86"/>
      <c r="AC664" s="86"/>
      <c r="AD664" s="86"/>
      <c r="AE664" s="86"/>
      <c r="AF664" s="86"/>
      <c r="AG664" s="86"/>
      <c r="AH664" s="82"/>
    </row>
    <row r="665">
      <c r="A665" s="78"/>
      <c r="B665" s="79"/>
      <c r="C665" s="80"/>
      <c r="D665" s="80"/>
      <c r="E665" s="80"/>
      <c r="F665" s="80"/>
      <c r="G665" s="80"/>
      <c r="H665" s="80"/>
      <c r="I665" s="80"/>
      <c r="J665" s="80"/>
      <c r="K665" s="82"/>
      <c r="L665" s="80"/>
      <c r="M665" s="80"/>
      <c r="N665" s="80"/>
      <c r="O665" s="80"/>
      <c r="P665" s="80"/>
      <c r="Q665" s="83"/>
      <c r="R665" s="80"/>
      <c r="S665" s="80"/>
      <c r="T665" s="80"/>
      <c r="U665" s="80"/>
      <c r="V665" s="84"/>
      <c r="W665" s="80"/>
      <c r="X665" s="85"/>
      <c r="Y665" s="86"/>
      <c r="Z665" s="86"/>
      <c r="AA665" s="86"/>
      <c r="AB665" s="86"/>
      <c r="AC665" s="86"/>
      <c r="AD665" s="86"/>
      <c r="AE665" s="86"/>
      <c r="AF665" s="86"/>
      <c r="AG665" s="86"/>
      <c r="AH665" s="82"/>
    </row>
    <row r="666">
      <c r="A666" s="78"/>
      <c r="B666" s="79"/>
      <c r="C666" s="80"/>
      <c r="D666" s="80"/>
      <c r="E666" s="80"/>
      <c r="F666" s="80"/>
      <c r="G666" s="80"/>
      <c r="H666" s="80"/>
      <c r="I666" s="80"/>
      <c r="J666" s="80"/>
      <c r="K666" s="82"/>
      <c r="L666" s="80"/>
      <c r="M666" s="80"/>
      <c r="N666" s="80"/>
      <c r="O666" s="80"/>
      <c r="P666" s="80"/>
      <c r="Q666" s="83"/>
      <c r="R666" s="80"/>
      <c r="S666" s="80"/>
      <c r="T666" s="80"/>
      <c r="U666" s="80"/>
      <c r="V666" s="84"/>
      <c r="W666" s="80"/>
      <c r="X666" s="85"/>
      <c r="Y666" s="86"/>
      <c r="Z666" s="86"/>
      <c r="AA666" s="86"/>
      <c r="AB666" s="86"/>
      <c r="AC666" s="86"/>
      <c r="AD666" s="86"/>
      <c r="AE666" s="86"/>
      <c r="AF666" s="86"/>
      <c r="AG666" s="86"/>
      <c r="AH666" s="82"/>
    </row>
    <row r="667">
      <c r="A667" s="78"/>
      <c r="B667" s="79"/>
      <c r="C667" s="80"/>
      <c r="D667" s="80"/>
      <c r="E667" s="80"/>
      <c r="F667" s="80"/>
      <c r="G667" s="80"/>
      <c r="H667" s="80"/>
      <c r="I667" s="80"/>
      <c r="J667" s="80"/>
      <c r="K667" s="82"/>
      <c r="L667" s="80"/>
      <c r="M667" s="80"/>
      <c r="N667" s="80"/>
      <c r="O667" s="80"/>
      <c r="P667" s="80"/>
      <c r="Q667" s="83"/>
      <c r="R667" s="80"/>
      <c r="S667" s="80"/>
      <c r="T667" s="80"/>
      <c r="U667" s="80"/>
      <c r="V667" s="84"/>
      <c r="W667" s="80"/>
      <c r="X667" s="85"/>
      <c r="Y667" s="86"/>
      <c r="Z667" s="86"/>
      <c r="AA667" s="86"/>
      <c r="AB667" s="86"/>
      <c r="AC667" s="86"/>
      <c r="AD667" s="86"/>
      <c r="AE667" s="86"/>
      <c r="AF667" s="86"/>
      <c r="AG667" s="86"/>
      <c r="AH667" s="82"/>
    </row>
    <row r="668">
      <c r="A668" s="78"/>
      <c r="B668" s="79"/>
      <c r="C668" s="80"/>
      <c r="D668" s="80"/>
      <c r="E668" s="80"/>
      <c r="F668" s="80"/>
      <c r="G668" s="80"/>
      <c r="H668" s="80"/>
      <c r="I668" s="80"/>
      <c r="J668" s="80"/>
      <c r="K668" s="82"/>
      <c r="L668" s="80"/>
      <c r="M668" s="80"/>
      <c r="N668" s="80"/>
      <c r="O668" s="80"/>
      <c r="P668" s="80"/>
      <c r="Q668" s="83"/>
      <c r="R668" s="80"/>
      <c r="S668" s="80"/>
      <c r="T668" s="80"/>
      <c r="U668" s="80"/>
      <c r="V668" s="84"/>
      <c r="W668" s="80"/>
      <c r="X668" s="85"/>
      <c r="Y668" s="86"/>
      <c r="Z668" s="86"/>
      <c r="AA668" s="86"/>
      <c r="AB668" s="86"/>
      <c r="AC668" s="86"/>
      <c r="AD668" s="86"/>
      <c r="AE668" s="86"/>
      <c r="AF668" s="86"/>
      <c r="AG668" s="86"/>
      <c r="AH668" s="82"/>
    </row>
    <row r="669">
      <c r="A669" s="78"/>
      <c r="B669" s="79"/>
      <c r="C669" s="80"/>
      <c r="D669" s="80"/>
      <c r="E669" s="80"/>
      <c r="F669" s="80"/>
      <c r="G669" s="80"/>
      <c r="H669" s="80"/>
      <c r="I669" s="80"/>
      <c r="J669" s="80"/>
      <c r="K669" s="82"/>
      <c r="L669" s="80"/>
      <c r="M669" s="80"/>
      <c r="N669" s="80"/>
      <c r="O669" s="80"/>
      <c r="P669" s="80"/>
      <c r="Q669" s="83"/>
      <c r="R669" s="80"/>
      <c r="S669" s="80"/>
      <c r="T669" s="80"/>
      <c r="U669" s="80"/>
      <c r="V669" s="84"/>
      <c r="W669" s="80"/>
      <c r="X669" s="85"/>
      <c r="Y669" s="86"/>
      <c r="Z669" s="86"/>
      <c r="AA669" s="86"/>
      <c r="AB669" s="86"/>
      <c r="AC669" s="86"/>
      <c r="AD669" s="86"/>
      <c r="AE669" s="86"/>
      <c r="AF669" s="86"/>
      <c r="AG669" s="86"/>
      <c r="AH669" s="82"/>
    </row>
    <row r="670">
      <c r="A670" s="78"/>
      <c r="B670" s="79"/>
      <c r="C670" s="80"/>
      <c r="D670" s="80"/>
      <c r="E670" s="80"/>
      <c r="F670" s="80"/>
      <c r="G670" s="80"/>
      <c r="H670" s="80"/>
      <c r="I670" s="80"/>
      <c r="J670" s="80"/>
      <c r="K670" s="82"/>
      <c r="L670" s="80"/>
      <c r="M670" s="80"/>
      <c r="N670" s="80"/>
      <c r="O670" s="80"/>
      <c r="P670" s="80"/>
      <c r="Q670" s="83"/>
      <c r="R670" s="80"/>
      <c r="S670" s="80"/>
      <c r="T670" s="80"/>
      <c r="U670" s="80"/>
      <c r="V670" s="84"/>
      <c r="W670" s="80"/>
      <c r="X670" s="85"/>
      <c r="Y670" s="86"/>
      <c r="Z670" s="86"/>
      <c r="AA670" s="86"/>
      <c r="AB670" s="86"/>
      <c r="AC670" s="86"/>
      <c r="AD670" s="86"/>
      <c r="AE670" s="86"/>
      <c r="AF670" s="86"/>
      <c r="AG670" s="86"/>
      <c r="AH670" s="82"/>
    </row>
    <row r="671">
      <c r="A671" s="78"/>
      <c r="B671" s="79"/>
      <c r="C671" s="80"/>
      <c r="D671" s="80"/>
      <c r="E671" s="80"/>
      <c r="F671" s="80"/>
      <c r="G671" s="80"/>
      <c r="H671" s="80"/>
      <c r="I671" s="80"/>
      <c r="J671" s="80"/>
      <c r="K671" s="82"/>
      <c r="L671" s="80"/>
      <c r="M671" s="80"/>
      <c r="N671" s="80"/>
      <c r="O671" s="80"/>
      <c r="P671" s="80"/>
      <c r="Q671" s="83"/>
      <c r="R671" s="80"/>
      <c r="S671" s="80"/>
      <c r="T671" s="80"/>
      <c r="U671" s="80"/>
      <c r="V671" s="84"/>
      <c r="W671" s="80"/>
      <c r="X671" s="85"/>
      <c r="Y671" s="86"/>
      <c r="Z671" s="86"/>
      <c r="AA671" s="86"/>
      <c r="AB671" s="86"/>
      <c r="AC671" s="86"/>
      <c r="AD671" s="86"/>
      <c r="AE671" s="86"/>
      <c r="AF671" s="86"/>
      <c r="AG671" s="86"/>
      <c r="AH671" s="82"/>
    </row>
    <row r="672">
      <c r="A672" s="78"/>
      <c r="B672" s="79"/>
      <c r="C672" s="80"/>
      <c r="D672" s="80"/>
      <c r="E672" s="80"/>
      <c r="F672" s="80"/>
      <c r="G672" s="80"/>
      <c r="H672" s="80"/>
      <c r="I672" s="80"/>
      <c r="J672" s="80"/>
      <c r="K672" s="82"/>
      <c r="L672" s="80"/>
      <c r="M672" s="80"/>
      <c r="N672" s="80"/>
      <c r="O672" s="80"/>
      <c r="P672" s="80"/>
      <c r="Q672" s="83"/>
      <c r="R672" s="80"/>
      <c r="S672" s="80"/>
      <c r="T672" s="80"/>
      <c r="U672" s="80"/>
      <c r="V672" s="84"/>
      <c r="W672" s="80"/>
      <c r="X672" s="85"/>
      <c r="Y672" s="86"/>
      <c r="Z672" s="86"/>
      <c r="AA672" s="86"/>
      <c r="AB672" s="86"/>
      <c r="AC672" s="86"/>
      <c r="AD672" s="86"/>
      <c r="AE672" s="86"/>
      <c r="AF672" s="86"/>
      <c r="AG672" s="86"/>
      <c r="AH672" s="82"/>
    </row>
    <row r="673">
      <c r="A673" s="78"/>
      <c r="B673" s="79"/>
      <c r="C673" s="80"/>
      <c r="D673" s="80"/>
      <c r="E673" s="80"/>
      <c r="F673" s="80"/>
      <c r="G673" s="80"/>
      <c r="H673" s="80"/>
      <c r="I673" s="80"/>
      <c r="J673" s="80"/>
      <c r="K673" s="82"/>
      <c r="L673" s="80"/>
      <c r="M673" s="80"/>
      <c r="N673" s="80"/>
      <c r="O673" s="80"/>
      <c r="P673" s="80"/>
      <c r="Q673" s="83"/>
      <c r="R673" s="80"/>
      <c r="S673" s="80"/>
      <c r="T673" s="80"/>
      <c r="U673" s="80"/>
      <c r="V673" s="84"/>
      <c r="W673" s="80"/>
      <c r="X673" s="85"/>
      <c r="Y673" s="86"/>
      <c r="Z673" s="86"/>
      <c r="AA673" s="86"/>
      <c r="AB673" s="86"/>
      <c r="AC673" s="86"/>
      <c r="AD673" s="86"/>
      <c r="AE673" s="86"/>
      <c r="AF673" s="86"/>
      <c r="AG673" s="86"/>
      <c r="AH673" s="82"/>
    </row>
    <row r="674">
      <c r="A674" s="78"/>
      <c r="B674" s="79"/>
      <c r="C674" s="80"/>
      <c r="D674" s="80"/>
      <c r="E674" s="80"/>
      <c r="F674" s="80"/>
      <c r="G674" s="80"/>
      <c r="H674" s="80"/>
      <c r="I674" s="80"/>
      <c r="J674" s="80"/>
      <c r="K674" s="82"/>
      <c r="L674" s="80"/>
      <c r="M674" s="80"/>
      <c r="N674" s="80"/>
      <c r="O674" s="80"/>
      <c r="P674" s="80"/>
      <c r="Q674" s="83"/>
      <c r="R674" s="80"/>
      <c r="S674" s="80"/>
      <c r="T674" s="80"/>
      <c r="U674" s="80"/>
      <c r="V674" s="84"/>
      <c r="W674" s="80"/>
      <c r="X674" s="85"/>
      <c r="Y674" s="86"/>
      <c r="Z674" s="86"/>
      <c r="AA674" s="86"/>
      <c r="AB674" s="86"/>
      <c r="AC674" s="86"/>
      <c r="AD674" s="86"/>
      <c r="AE674" s="86"/>
      <c r="AF674" s="86"/>
      <c r="AG674" s="86"/>
      <c r="AH674" s="82"/>
    </row>
    <row r="675">
      <c r="A675" s="78"/>
      <c r="B675" s="79"/>
      <c r="C675" s="80"/>
      <c r="D675" s="80"/>
      <c r="E675" s="80"/>
      <c r="F675" s="80"/>
      <c r="G675" s="80"/>
      <c r="H675" s="80"/>
      <c r="I675" s="80"/>
      <c r="J675" s="80"/>
      <c r="K675" s="82"/>
      <c r="L675" s="80"/>
      <c r="M675" s="80"/>
      <c r="N675" s="80"/>
      <c r="O675" s="80"/>
      <c r="P675" s="80"/>
      <c r="Q675" s="83"/>
      <c r="R675" s="80"/>
      <c r="S675" s="80"/>
      <c r="T675" s="80"/>
      <c r="U675" s="80"/>
      <c r="V675" s="84"/>
      <c r="W675" s="80"/>
      <c r="X675" s="85"/>
      <c r="Y675" s="86"/>
      <c r="Z675" s="86"/>
      <c r="AA675" s="86"/>
      <c r="AB675" s="86"/>
      <c r="AC675" s="86"/>
      <c r="AD675" s="86"/>
      <c r="AE675" s="86"/>
      <c r="AF675" s="86"/>
      <c r="AG675" s="86"/>
      <c r="AH675" s="82"/>
    </row>
    <row r="676">
      <c r="A676" s="78"/>
      <c r="B676" s="79"/>
      <c r="C676" s="80"/>
      <c r="D676" s="80"/>
      <c r="E676" s="80"/>
      <c r="F676" s="80"/>
      <c r="G676" s="80"/>
      <c r="H676" s="80"/>
      <c r="I676" s="80"/>
      <c r="J676" s="80"/>
      <c r="K676" s="82"/>
      <c r="L676" s="80"/>
      <c r="M676" s="80"/>
      <c r="N676" s="80"/>
      <c r="O676" s="80"/>
      <c r="P676" s="80"/>
      <c r="Q676" s="83"/>
      <c r="R676" s="80"/>
      <c r="S676" s="80"/>
      <c r="T676" s="80"/>
      <c r="U676" s="80"/>
      <c r="V676" s="84"/>
      <c r="W676" s="80"/>
      <c r="X676" s="85"/>
      <c r="Y676" s="86"/>
      <c r="Z676" s="86"/>
      <c r="AA676" s="86"/>
      <c r="AB676" s="86"/>
      <c r="AC676" s="86"/>
      <c r="AD676" s="86"/>
      <c r="AE676" s="86"/>
      <c r="AF676" s="86"/>
      <c r="AG676" s="86"/>
      <c r="AH676" s="82"/>
    </row>
    <row r="677">
      <c r="A677" s="78"/>
      <c r="B677" s="79"/>
      <c r="C677" s="80"/>
      <c r="D677" s="80"/>
      <c r="E677" s="80"/>
      <c r="F677" s="80"/>
      <c r="G677" s="80"/>
      <c r="H677" s="80"/>
      <c r="I677" s="80"/>
      <c r="J677" s="80"/>
      <c r="K677" s="82"/>
      <c r="L677" s="80"/>
      <c r="M677" s="80"/>
      <c r="N677" s="80"/>
      <c r="O677" s="80"/>
      <c r="P677" s="80"/>
      <c r="Q677" s="83"/>
      <c r="R677" s="80"/>
      <c r="S677" s="80"/>
      <c r="T677" s="80"/>
      <c r="U677" s="80"/>
      <c r="V677" s="84"/>
      <c r="W677" s="80"/>
      <c r="X677" s="85"/>
      <c r="Y677" s="86"/>
      <c r="Z677" s="86"/>
      <c r="AA677" s="86"/>
      <c r="AB677" s="86"/>
      <c r="AC677" s="86"/>
      <c r="AD677" s="86"/>
      <c r="AE677" s="86"/>
      <c r="AF677" s="86"/>
      <c r="AG677" s="86"/>
      <c r="AH677" s="82"/>
    </row>
    <row r="678">
      <c r="A678" s="78"/>
      <c r="B678" s="79"/>
      <c r="C678" s="80"/>
      <c r="D678" s="80"/>
      <c r="E678" s="80"/>
      <c r="F678" s="80"/>
      <c r="G678" s="80"/>
      <c r="H678" s="80"/>
      <c r="I678" s="80"/>
      <c r="J678" s="80"/>
      <c r="K678" s="82"/>
      <c r="L678" s="80"/>
      <c r="M678" s="80"/>
      <c r="N678" s="80"/>
      <c r="O678" s="80"/>
      <c r="P678" s="80"/>
      <c r="Q678" s="83"/>
      <c r="R678" s="80"/>
      <c r="S678" s="80"/>
      <c r="T678" s="80"/>
      <c r="U678" s="80"/>
      <c r="V678" s="84"/>
      <c r="W678" s="80"/>
      <c r="X678" s="85"/>
      <c r="Y678" s="86"/>
      <c r="Z678" s="86"/>
      <c r="AA678" s="86"/>
      <c r="AB678" s="86"/>
      <c r="AC678" s="86"/>
      <c r="AD678" s="86"/>
      <c r="AE678" s="86"/>
      <c r="AF678" s="86"/>
      <c r="AG678" s="86"/>
      <c r="AH678" s="82"/>
    </row>
    <row r="679">
      <c r="A679" s="78"/>
      <c r="B679" s="79"/>
      <c r="C679" s="80"/>
      <c r="D679" s="80"/>
      <c r="E679" s="80"/>
      <c r="F679" s="80"/>
      <c r="G679" s="80"/>
      <c r="H679" s="80"/>
      <c r="I679" s="80"/>
      <c r="J679" s="80"/>
      <c r="K679" s="82"/>
      <c r="L679" s="80"/>
      <c r="M679" s="80"/>
      <c r="N679" s="80"/>
      <c r="O679" s="80"/>
      <c r="P679" s="80"/>
      <c r="Q679" s="83"/>
      <c r="R679" s="80"/>
      <c r="S679" s="80"/>
      <c r="T679" s="80"/>
      <c r="U679" s="80"/>
      <c r="V679" s="84"/>
      <c r="W679" s="80"/>
      <c r="X679" s="85"/>
      <c r="Y679" s="86"/>
      <c r="Z679" s="86"/>
      <c r="AA679" s="86"/>
      <c r="AB679" s="86"/>
      <c r="AC679" s="86"/>
      <c r="AD679" s="86"/>
      <c r="AE679" s="86"/>
      <c r="AF679" s="86"/>
      <c r="AG679" s="86"/>
      <c r="AH679" s="82"/>
    </row>
    <row r="680">
      <c r="A680" s="78"/>
      <c r="B680" s="79"/>
      <c r="C680" s="80"/>
      <c r="D680" s="80"/>
      <c r="E680" s="80"/>
      <c r="F680" s="80"/>
      <c r="G680" s="80"/>
      <c r="H680" s="80"/>
      <c r="I680" s="80"/>
      <c r="J680" s="80"/>
      <c r="K680" s="82"/>
      <c r="L680" s="80"/>
      <c r="M680" s="80"/>
      <c r="N680" s="80"/>
      <c r="O680" s="80"/>
      <c r="P680" s="80"/>
      <c r="Q680" s="83"/>
      <c r="R680" s="80"/>
      <c r="S680" s="80"/>
      <c r="T680" s="80"/>
      <c r="U680" s="80"/>
      <c r="V680" s="84"/>
      <c r="W680" s="80"/>
      <c r="X680" s="85"/>
      <c r="Y680" s="86"/>
      <c r="Z680" s="86"/>
      <c r="AA680" s="86"/>
      <c r="AB680" s="86"/>
      <c r="AC680" s="86"/>
      <c r="AD680" s="86"/>
      <c r="AE680" s="86"/>
      <c r="AF680" s="86"/>
      <c r="AG680" s="86"/>
      <c r="AH680" s="82"/>
    </row>
    <row r="681">
      <c r="A681" s="78"/>
      <c r="B681" s="79"/>
      <c r="C681" s="80"/>
      <c r="D681" s="80"/>
      <c r="E681" s="80"/>
      <c r="F681" s="80"/>
      <c r="G681" s="80"/>
      <c r="H681" s="80"/>
      <c r="I681" s="80"/>
      <c r="J681" s="80"/>
      <c r="K681" s="82"/>
      <c r="L681" s="80"/>
      <c r="M681" s="80"/>
      <c r="N681" s="80"/>
      <c r="O681" s="80"/>
      <c r="P681" s="80"/>
      <c r="Q681" s="83"/>
      <c r="R681" s="80"/>
      <c r="S681" s="80"/>
      <c r="T681" s="80"/>
      <c r="U681" s="80"/>
      <c r="V681" s="84"/>
      <c r="W681" s="80"/>
      <c r="X681" s="85"/>
      <c r="Y681" s="86"/>
      <c r="Z681" s="86"/>
      <c r="AA681" s="86"/>
      <c r="AB681" s="86"/>
      <c r="AC681" s="86"/>
      <c r="AD681" s="86"/>
      <c r="AE681" s="86"/>
      <c r="AF681" s="86"/>
      <c r="AG681" s="86"/>
      <c r="AH681" s="82"/>
    </row>
    <row r="682">
      <c r="A682" s="78"/>
      <c r="B682" s="79"/>
      <c r="C682" s="80"/>
      <c r="D682" s="80"/>
      <c r="E682" s="80"/>
      <c r="F682" s="80"/>
      <c r="G682" s="80"/>
      <c r="H682" s="80"/>
      <c r="I682" s="80"/>
      <c r="J682" s="80"/>
      <c r="K682" s="82"/>
      <c r="L682" s="80"/>
      <c r="M682" s="80"/>
      <c r="N682" s="80"/>
      <c r="O682" s="80"/>
      <c r="P682" s="80"/>
      <c r="Q682" s="83"/>
      <c r="R682" s="80"/>
      <c r="S682" s="80"/>
      <c r="T682" s="80"/>
      <c r="U682" s="80"/>
      <c r="V682" s="84"/>
      <c r="W682" s="80"/>
      <c r="X682" s="85"/>
      <c r="Y682" s="86"/>
      <c r="Z682" s="86"/>
      <c r="AA682" s="86"/>
      <c r="AB682" s="86"/>
      <c r="AC682" s="86"/>
      <c r="AD682" s="86"/>
      <c r="AE682" s="86"/>
      <c r="AF682" s="86"/>
      <c r="AG682" s="86"/>
      <c r="AH682" s="82"/>
    </row>
    <row r="683">
      <c r="A683" s="78"/>
      <c r="B683" s="79"/>
      <c r="C683" s="80"/>
      <c r="D683" s="80"/>
      <c r="E683" s="80"/>
      <c r="F683" s="80"/>
      <c r="G683" s="80"/>
      <c r="H683" s="80"/>
      <c r="I683" s="80"/>
      <c r="J683" s="80"/>
      <c r="K683" s="82"/>
      <c r="L683" s="80"/>
      <c r="M683" s="80"/>
      <c r="N683" s="80"/>
      <c r="O683" s="80"/>
      <c r="P683" s="80"/>
      <c r="Q683" s="83"/>
      <c r="R683" s="80"/>
      <c r="S683" s="80"/>
      <c r="T683" s="80"/>
      <c r="U683" s="80"/>
      <c r="V683" s="84"/>
      <c r="W683" s="80"/>
      <c r="X683" s="85"/>
      <c r="Y683" s="86"/>
      <c r="Z683" s="86"/>
      <c r="AA683" s="86"/>
      <c r="AB683" s="86"/>
      <c r="AC683" s="86"/>
      <c r="AD683" s="86"/>
      <c r="AE683" s="86"/>
      <c r="AF683" s="86"/>
      <c r="AG683" s="86"/>
      <c r="AH683" s="82"/>
    </row>
    <row r="684">
      <c r="A684" s="78"/>
      <c r="B684" s="79"/>
      <c r="C684" s="80"/>
      <c r="D684" s="80"/>
      <c r="E684" s="80"/>
      <c r="F684" s="80"/>
      <c r="G684" s="80"/>
      <c r="H684" s="80"/>
      <c r="I684" s="80"/>
      <c r="J684" s="80"/>
      <c r="K684" s="82"/>
      <c r="L684" s="80"/>
      <c r="M684" s="80"/>
      <c r="N684" s="80"/>
      <c r="O684" s="80"/>
      <c r="P684" s="80"/>
      <c r="Q684" s="83"/>
      <c r="R684" s="80"/>
      <c r="S684" s="80"/>
      <c r="T684" s="80"/>
      <c r="U684" s="80"/>
      <c r="V684" s="84"/>
      <c r="W684" s="80"/>
      <c r="X684" s="85"/>
      <c r="Y684" s="86"/>
      <c r="Z684" s="86"/>
      <c r="AA684" s="86"/>
      <c r="AB684" s="86"/>
      <c r="AC684" s="86"/>
      <c r="AD684" s="86"/>
      <c r="AE684" s="86"/>
      <c r="AF684" s="86"/>
      <c r="AG684" s="86"/>
      <c r="AH684" s="82"/>
    </row>
    <row r="685">
      <c r="A685" s="78"/>
      <c r="B685" s="79"/>
      <c r="C685" s="80"/>
      <c r="D685" s="80"/>
      <c r="E685" s="80"/>
      <c r="F685" s="80"/>
      <c r="G685" s="80"/>
      <c r="H685" s="80"/>
      <c r="I685" s="80"/>
      <c r="J685" s="80"/>
      <c r="K685" s="82"/>
      <c r="L685" s="80"/>
      <c r="M685" s="80"/>
      <c r="N685" s="80"/>
      <c r="O685" s="80"/>
      <c r="P685" s="80"/>
      <c r="Q685" s="83"/>
      <c r="R685" s="80"/>
      <c r="S685" s="80"/>
      <c r="T685" s="80"/>
      <c r="U685" s="80"/>
      <c r="V685" s="84"/>
      <c r="W685" s="80"/>
      <c r="X685" s="85"/>
      <c r="Y685" s="86"/>
      <c r="Z685" s="86"/>
      <c r="AA685" s="86"/>
      <c r="AB685" s="86"/>
      <c r="AC685" s="86"/>
      <c r="AD685" s="86"/>
      <c r="AE685" s="86"/>
      <c r="AF685" s="86"/>
      <c r="AG685" s="86"/>
      <c r="AH685" s="82"/>
    </row>
    <row r="686">
      <c r="A686" s="78"/>
      <c r="B686" s="79"/>
      <c r="C686" s="80"/>
      <c r="D686" s="80"/>
      <c r="E686" s="80"/>
      <c r="F686" s="80"/>
      <c r="G686" s="80"/>
      <c r="H686" s="80"/>
      <c r="I686" s="80"/>
      <c r="J686" s="80"/>
      <c r="K686" s="82"/>
      <c r="L686" s="80"/>
      <c r="M686" s="80"/>
      <c r="N686" s="80"/>
      <c r="O686" s="80"/>
      <c r="P686" s="80"/>
      <c r="Q686" s="83"/>
      <c r="R686" s="80"/>
      <c r="S686" s="80"/>
      <c r="T686" s="80"/>
      <c r="U686" s="80"/>
      <c r="V686" s="84"/>
      <c r="W686" s="80"/>
      <c r="X686" s="85"/>
      <c r="Y686" s="86"/>
      <c r="Z686" s="86"/>
      <c r="AA686" s="86"/>
      <c r="AB686" s="86"/>
      <c r="AC686" s="86"/>
      <c r="AD686" s="86"/>
      <c r="AE686" s="86"/>
      <c r="AF686" s="86"/>
      <c r="AG686" s="86"/>
      <c r="AH686" s="82"/>
    </row>
    <row r="687">
      <c r="A687" s="78"/>
      <c r="B687" s="79"/>
      <c r="C687" s="80"/>
      <c r="D687" s="80"/>
      <c r="E687" s="80"/>
      <c r="F687" s="80"/>
      <c r="G687" s="80"/>
      <c r="H687" s="80"/>
      <c r="I687" s="80"/>
      <c r="J687" s="80"/>
      <c r="K687" s="82"/>
      <c r="L687" s="80"/>
      <c r="M687" s="80"/>
      <c r="N687" s="80"/>
      <c r="O687" s="80"/>
      <c r="P687" s="80"/>
      <c r="Q687" s="83"/>
      <c r="R687" s="80"/>
      <c r="S687" s="80"/>
      <c r="T687" s="80"/>
      <c r="U687" s="80"/>
      <c r="V687" s="84"/>
      <c r="W687" s="80"/>
      <c r="X687" s="85"/>
      <c r="Y687" s="86"/>
      <c r="Z687" s="86"/>
      <c r="AA687" s="86"/>
      <c r="AB687" s="86"/>
      <c r="AC687" s="86"/>
      <c r="AD687" s="86"/>
      <c r="AE687" s="86"/>
      <c r="AF687" s="86"/>
      <c r="AG687" s="86"/>
      <c r="AH687" s="82"/>
    </row>
    <row r="688">
      <c r="A688" s="78"/>
      <c r="B688" s="79"/>
      <c r="C688" s="80"/>
      <c r="D688" s="80"/>
      <c r="E688" s="80"/>
      <c r="F688" s="80"/>
      <c r="G688" s="80"/>
      <c r="H688" s="80"/>
      <c r="I688" s="80"/>
      <c r="J688" s="80"/>
      <c r="K688" s="82"/>
      <c r="L688" s="80"/>
      <c r="M688" s="80"/>
      <c r="N688" s="80"/>
      <c r="O688" s="80"/>
      <c r="P688" s="80"/>
      <c r="Q688" s="83"/>
      <c r="R688" s="80"/>
      <c r="S688" s="80"/>
      <c r="T688" s="80"/>
      <c r="U688" s="80"/>
      <c r="V688" s="84"/>
      <c r="W688" s="80"/>
      <c r="X688" s="85"/>
      <c r="Y688" s="86"/>
      <c r="Z688" s="86"/>
      <c r="AA688" s="86"/>
      <c r="AB688" s="86"/>
      <c r="AC688" s="86"/>
      <c r="AD688" s="86"/>
      <c r="AE688" s="86"/>
      <c r="AF688" s="86"/>
      <c r="AG688" s="86"/>
      <c r="AH688" s="82"/>
    </row>
    <row r="689">
      <c r="A689" s="78"/>
      <c r="B689" s="79"/>
      <c r="C689" s="80"/>
      <c r="D689" s="80"/>
      <c r="E689" s="80"/>
      <c r="F689" s="80"/>
      <c r="G689" s="80"/>
      <c r="H689" s="80"/>
      <c r="I689" s="80"/>
      <c r="J689" s="80"/>
      <c r="K689" s="82"/>
      <c r="L689" s="80"/>
      <c r="M689" s="80"/>
      <c r="N689" s="80"/>
      <c r="O689" s="80"/>
      <c r="P689" s="80"/>
      <c r="Q689" s="83"/>
      <c r="R689" s="80"/>
      <c r="S689" s="80"/>
      <c r="T689" s="80"/>
      <c r="U689" s="80"/>
      <c r="V689" s="84"/>
      <c r="W689" s="80"/>
      <c r="X689" s="85"/>
      <c r="Y689" s="86"/>
      <c r="Z689" s="86"/>
      <c r="AA689" s="86"/>
      <c r="AB689" s="86"/>
      <c r="AC689" s="86"/>
      <c r="AD689" s="86"/>
      <c r="AE689" s="86"/>
      <c r="AF689" s="86"/>
      <c r="AG689" s="86"/>
      <c r="AH689" s="82"/>
    </row>
    <row r="690">
      <c r="A690" s="78"/>
      <c r="B690" s="79"/>
      <c r="C690" s="80"/>
      <c r="D690" s="80"/>
      <c r="E690" s="80"/>
      <c r="F690" s="80"/>
      <c r="G690" s="80"/>
      <c r="H690" s="80"/>
      <c r="I690" s="80"/>
      <c r="J690" s="80"/>
      <c r="K690" s="82"/>
      <c r="L690" s="80"/>
      <c r="M690" s="80"/>
      <c r="N690" s="80"/>
      <c r="O690" s="80"/>
      <c r="P690" s="80"/>
      <c r="Q690" s="83"/>
      <c r="R690" s="80"/>
      <c r="S690" s="80"/>
      <c r="T690" s="80"/>
      <c r="U690" s="80"/>
      <c r="V690" s="84"/>
      <c r="W690" s="80"/>
      <c r="X690" s="85"/>
      <c r="Y690" s="86"/>
      <c r="Z690" s="86"/>
      <c r="AA690" s="86"/>
      <c r="AB690" s="86"/>
      <c r="AC690" s="86"/>
      <c r="AD690" s="86"/>
      <c r="AE690" s="86"/>
      <c r="AF690" s="86"/>
      <c r="AG690" s="86"/>
      <c r="AH690" s="82"/>
    </row>
    <row r="691">
      <c r="A691" s="78"/>
      <c r="B691" s="79"/>
      <c r="C691" s="80"/>
      <c r="D691" s="80"/>
      <c r="E691" s="80"/>
      <c r="F691" s="80"/>
      <c r="G691" s="80"/>
      <c r="H691" s="80"/>
      <c r="I691" s="80"/>
      <c r="J691" s="80"/>
      <c r="K691" s="82"/>
      <c r="L691" s="80"/>
      <c r="M691" s="80"/>
      <c r="N691" s="80"/>
      <c r="O691" s="80"/>
      <c r="P691" s="80"/>
      <c r="Q691" s="83"/>
      <c r="R691" s="80"/>
      <c r="S691" s="80"/>
      <c r="T691" s="80"/>
      <c r="U691" s="80"/>
      <c r="V691" s="84"/>
      <c r="W691" s="80"/>
      <c r="X691" s="85"/>
      <c r="Y691" s="86"/>
      <c r="Z691" s="86"/>
      <c r="AA691" s="86"/>
      <c r="AB691" s="86"/>
      <c r="AC691" s="86"/>
      <c r="AD691" s="86"/>
      <c r="AE691" s="86"/>
      <c r="AF691" s="86"/>
      <c r="AG691" s="86"/>
      <c r="AH691" s="82"/>
    </row>
    <row r="692">
      <c r="A692" s="78"/>
      <c r="B692" s="79"/>
      <c r="C692" s="80"/>
      <c r="D692" s="80"/>
      <c r="E692" s="80"/>
      <c r="F692" s="80"/>
      <c r="G692" s="80"/>
      <c r="H692" s="80"/>
      <c r="I692" s="80"/>
      <c r="J692" s="80"/>
      <c r="K692" s="82"/>
      <c r="L692" s="80"/>
      <c r="M692" s="80"/>
      <c r="N692" s="80"/>
      <c r="O692" s="80"/>
      <c r="P692" s="80"/>
      <c r="Q692" s="83"/>
      <c r="R692" s="80"/>
      <c r="S692" s="80"/>
      <c r="T692" s="80"/>
      <c r="U692" s="80"/>
      <c r="V692" s="84"/>
      <c r="W692" s="80"/>
      <c r="X692" s="85"/>
      <c r="Y692" s="86"/>
      <c r="Z692" s="86"/>
      <c r="AA692" s="86"/>
      <c r="AB692" s="86"/>
      <c r="AC692" s="86"/>
      <c r="AD692" s="86"/>
      <c r="AE692" s="86"/>
      <c r="AF692" s="86"/>
      <c r="AG692" s="86"/>
      <c r="AH692" s="82"/>
    </row>
    <row r="693">
      <c r="A693" s="78"/>
      <c r="B693" s="79"/>
      <c r="C693" s="80"/>
      <c r="D693" s="80"/>
      <c r="E693" s="80"/>
      <c r="F693" s="80"/>
      <c r="G693" s="80"/>
      <c r="H693" s="80"/>
      <c r="I693" s="80"/>
      <c r="J693" s="80"/>
      <c r="K693" s="82"/>
      <c r="L693" s="80"/>
      <c r="M693" s="80"/>
      <c r="N693" s="80"/>
      <c r="O693" s="80"/>
      <c r="P693" s="80"/>
      <c r="Q693" s="83"/>
      <c r="R693" s="80"/>
      <c r="S693" s="80"/>
      <c r="T693" s="80"/>
      <c r="U693" s="80"/>
      <c r="V693" s="84"/>
      <c r="W693" s="80"/>
      <c r="X693" s="85"/>
      <c r="Y693" s="86"/>
      <c r="Z693" s="86"/>
      <c r="AA693" s="86"/>
      <c r="AB693" s="86"/>
      <c r="AC693" s="86"/>
      <c r="AD693" s="86"/>
      <c r="AE693" s="86"/>
      <c r="AF693" s="86"/>
      <c r="AG693" s="86"/>
      <c r="AH693" s="82"/>
    </row>
    <row r="694">
      <c r="A694" s="78"/>
      <c r="B694" s="79"/>
      <c r="C694" s="80"/>
      <c r="D694" s="80"/>
      <c r="E694" s="80"/>
      <c r="F694" s="80"/>
      <c r="G694" s="80"/>
      <c r="H694" s="80"/>
      <c r="I694" s="80"/>
      <c r="J694" s="80"/>
      <c r="K694" s="82"/>
      <c r="L694" s="80"/>
      <c r="M694" s="80"/>
      <c r="N694" s="80"/>
      <c r="O694" s="80"/>
      <c r="P694" s="80"/>
      <c r="Q694" s="83"/>
      <c r="R694" s="80"/>
      <c r="S694" s="80"/>
      <c r="T694" s="80"/>
      <c r="U694" s="80"/>
      <c r="V694" s="84"/>
      <c r="W694" s="80"/>
      <c r="X694" s="85"/>
      <c r="Y694" s="86"/>
      <c r="Z694" s="86"/>
      <c r="AA694" s="86"/>
      <c r="AB694" s="86"/>
      <c r="AC694" s="86"/>
      <c r="AD694" s="86"/>
      <c r="AE694" s="86"/>
      <c r="AF694" s="86"/>
      <c r="AG694" s="86"/>
      <c r="AH694" s="82"/>
    </row>
    <row r="695">
      <c r="A695" s="78"/>
      <c r="B695" s="79"/>
      <c r="C695" s="80"/>
      <c r="D695" s="80"/>
      <c r="E695" s="80"/>
      <c r="F695" s="80"/>
      <c r="G695" s="80"/>
      <c r="H695" s="80"/>
      <c r="I695" s="80"/>
      <c r="J695" s="80"/>
      <c r="K695" s="82"/>
      <c r="L695" s="80"/>
      <c r="M695" s="80"/>
      <c r="N695" s="80"/>
      <c r="O695" s="80"/>
      <c r="P695" s="80"/>
      <c r="Q695" s="83"/>
      <c r="R695" s="80"/>
      <c r="S695" s="80"/>
      <c r="T695" s="80"/>
      <c r="U695" s="80"/>
      <c r="V695" s="84"/>
      <c r="W695" s="80"/>
      <c r="X695" s="85"/>
      <c r="Y695" s="86"/>
      <c r="Z695" s="86"/>
      <c r="AA695" s="86"/>
      <c r="AB695" s="86"/>
      <c r="AC695" s="86"/>
      <c r="AD695" s="86"/>
      <c r="AE695" s="86"/>
      <c r="AF695" s="86"/>
      <c r="AG695" s="86"/>
      <c r="AH695" s="82"/>
    </row>
    <row r="696">
      <c r="A696" s="78"/>
      <c r="B696" s="79"/>
      <c r="C696" s="80"/>
      <c r="D696" s="80"/>
      <c r="E696" s="80"/>
      <c r="F696" s="80"/>
      <c r="G696" s="80"/>
      <c r="H696" s="80"/>
      <c r="I696" s="80"/>
      <c r="J696" s="80"/>
      <c r="K696" s="82"/>
      <c r="L696" s="80"/>
      <c r="M696" s="80"/>
      <c r="N696" s="80"/>
      <c r="O696" s="80"/>
      <c r="P696" s="80"/>
      <c r="Q696" s="83"/>
      <c r="R696" s="80"/>
      <c r="S696" s="80"/>
      <c r="T696" s="80"/>
      <c r="U696" s="80"/>
      <c r="V696" s="84"/>
      <c r="W696" s="80"/>
      <c r="X696" s="85"/>
      <c r="Y696" s="86"/>
      <c r="Z696" s="86"/>
      <c r="AA696" s="86"/>
      <c r="AB696" s="86"/>
      <c r="AC696" s="86"/>
      <c r="AD696" s="86"/>
      <c r="AE696" s="86"/>
      <c r="AF696" s="86"/>
      <c r="AG696" s="86"/>
      <c r="AH696" s="82"/>
    </row>
    <row r="697">
      <c r="A697" s="78"/>
      <c r="B697" s="79"/>
      <c r="C697" s="80"/>
      <c r="D697" s="80"/>
      <c r="E697" s="80"/>
      <c r="F697" s="80"/>
      <c r="G697" s="80"/>
      <c r="H697" s="80"/>
      <c r="I697" s="80"/>
      <c r="J697" s="80"/>
      <c r="K697" s="82"/>
      <c r="L697" s="80"/>
      <c r="M697" s="80"/>
      <c r="N697" s="80"/>
      <c r="O697" s="80"/>
      <c r="P697" s="80"/>
      <c r="Q697" s="83"/>
      <c r="R697" s="80"/>
      <c r="S697" s="80"/>
      <c r="T697" s="80"/>
      <c r="U697" s="80"/>
      <c r="V697" s="84"/>
      <c r="W697" s="80"/>
      <c r="X697" s="85"/>
      <c r="Y697" s="86"/>
      <c r="Z697" s="86"/>
      <c r="AA697" s="86"/>
      <c r="AB697" s="86"/>
      <c r="AC697" s="86"/>
      <c r="AD697" s="86"/>
      <c r="AE697" s="86"/>
      <c r="AF697" s="86"/>
      <c r="AG697" s="86"/>
      <c r="AH697" s="82"/>
    </row>
    <row r="698">
      <c r="A698" s="78"/>
      <c r="B698" s="79"/>
      <c r="C698" s="80"/>
      <c r="D698" s="80"/>
      <c r="E698" s="80"/>
      <c r="F698" s="80"/>
      <c r="G698" s="80"/>
      <c r="H698" s="80"/>
      <c r="I698" s="80"/>
      <c r="J698" s="80"/>
      <c r="K698" s="82"/>
      <c r="L698" s="80"/>
      <c r="M698" s="80"/>
      <c r="N698" s="80"/>
      <c r="O698" s="80"/>
      <c r="P698" s="80"/>
      <c r="Q698" s="83"/>
      <c r="R698" s="80"/>
      <c r="S698" s="80"/>
      <c r="T698" s="80"/>
      <c r="U698" s="80"/>
      <c r="V698" s="84"/>
      <c r="W698" s="80"/>
      <c r="X698" s="85"/>
      <c r="Y698" s="86"/>
      <c r="Z698" s="86"/>
      <c r="AA698" s="86"/>
      <c r="AB698" s="86"/>
      <c r="AC698" s="86"/>
      <c r="AD698" s="86"/>
      <c r="AE698" s="86"/>
      <c r="AF698" s="86"/>
      <c r="AG698" s="86"/>
      <c r="AH698" s="82"/>
    </row>
    <row r="699">
      <c r="A699" s="78"/>
      <c r="B699" s="79"/>
      <c r="C699" s="80"/>
      <c r="D699" s="80"/>
      <c r="E699" s="80"/>
      <c r="F699" s="80"/>
      <c r="G699" s="80"/>
      <c r="H699" s="80"/>
      <c r="I699" s="80"/>
      <c r="J699" s="80"/>
      <c r="K699" s="82"/>
      <c r="L699" s="80"/>
      <c r="M699" s="80"/>
      <c r="N699" s="80"/>
      <c r="O699" s="80"/>
      <c r="P699" s="80"/>
      <c r="Q699" s="83"/>
      <c r="R699" s="80"/>
      <c r="S699" s="80"/>
      <c r="T699" s="80"/>
      <c r="U699" s="80"/>
      <c r="V699" s="84"/>
      <c r="W699" s="80"/>
      <c r="X699" s="85"/>
      <c r="Y699" s="86"/>
      <c r="Z699" s="86"/>
      <c r="AA699" s="86"/>
      <c r="AB699" s="86"/>
      <c r="AC699" s="86"/>
      <c r="AD699" s="86"/>
      <c r="AE699" s="86"/>
      <c r="AF699" s="86"/>
      <c r="AG699" s="86"/>
      <c r="AH699" s="82"/>
    </row>
    <row r="700">
      <c r="A700" s="78"/>
      <c r="B700" s="79"/>
      <c r="C700" s="80"/>
      <c r="D700" s="80"/>
      <c r="E700" s="80"/>
      <c r="F700" s="80"/>
      <c r="G700" s="80"/>
      <c r="H700" s="80"/>
      <c r="I700" s="80"/>
      <c r="J700" s="80"/>
      <c r="K700" s="82"/>
      <c r="L700" s="80"/>
      <c r="M700" s="80"/>
      <c r="N700" s="80"/>
      <c r="O700" s="80"/>
      <c r="P700" s="80"/>
      <c r="Q700" s="83"/>
      <c r="R700" s="80"/>
      <c r="S700" s="80"/>
      <c r="T700" s="80"/>
      <c r="U700" s="80"/>
      <c r="V700" s="84"/>
      <c r="W700" s="80"/>
      <c r="X700" s="85"/>
      <c r="Y700" s="86"/>
      <c r="Z700" s="86"/>
      <c r="AA700" s="86"/>
      <c r="AB700" s="86"/>
      <c r="AC700" s="86"/>
      <c r="AD700" s="86"/>
      <c r="AE700" s="86"/>
      <c r="AF700" s="86"/>
      <c r="AG700" s="86"/>
      <c r="AH700" s="82"/>
    </row>
    <row r="701">
      <c r="A701" s="78"/>
      <c r="B701" s="79"/>
      <c r="C701" s="80"/>
      <c r="D701" s="80"/>
      <c r="E701" s="80"/>
      <c r="F701" s="80"/>
      <c r="G701" s="80"/>
      <c r="H701" s="80"/>
      <c r="I701" s="80"/>
      <c r="J701" s="80"/>
      <c r="K701" s="82"/>
      <c r="L701" s="80"/>
      <c r="M701" s="80"/>
      <c r="N701" s="80"/>
      <c r="O701" s="80"/>
      <c r="P701" s="80"/>
      <c r="Q701" s="83"/>
      <c r="R701" s="80"/>
      <c r="S701" s="80"/>
      <c r="T701" s="80"/>
      <c r="U701" s="80"/>
      <c r="V701" s="84"/>
      <c r="W701" s="80"/>
      <c r="X701" s="85"/>
      <c r="Y701" s="86"/>
      <c r="Z701" s="86"/>
      <c r="AA701" s="86"/>
      <c r="AB701" s="86"/>
      <c r="AC701" s="86"/>
      <c r="AD701" s="86"/>
      <c r="AE701" s="86"/>
      <c r="AF701" s="86"/>
      <c r="AG701" s="86"/>
      <c r="AH701" s="82"/>
    </row>
    <row r="702">
      <c r="A702" s="78"/>
      <c r="B702" s="79"/>
      <c r="C702" s="80"/>
      <c r="D702" s="80"/>
      <c r="E702" s="80"/>
      <c r="F702" s="80"/>
      <c r="G702" s="80"/>
      <c r="H702" s="80"/>
      <c r="I702" s="80"/>
      <c r="J702" s="80"/>
      <c r="K702" s="82"/>
      <c r="L702" s="80"/>
      <c r="M702" s="80"/>
      <c r="N702" s="80"/>
      <c r="O702" s="80"/>
      <c r="P702" s="80"/>
      <c r="Q702" s="83"/>
      <c r="R702" s="80"/>
      <c r="S702" s="80"/>
      <c r="T702" s="80"/>
      <c r="U702" s="80"/>
      <c r="V702" s="84"/>
      <c r="W702" s="80"/>
      <c r="X702" s="85"/>
      <c r="Y702" s="86"/>
      <c r="Z702" s="86"/>
      <c r="AA702" s="86"/>
      <c r="AB702" s="86"/>
      <c r="AC702" s="86"/>
      <c r="AD702" s="86"/>
      <c r="AE702" s="86"/>
      <c r="AF702" s="86"/>
      <c r="AG702" s="86"/>
      <c r="AH702" s="82"/>
    </row>
    <row r="703">
      <c r="A703" s="78"/>
      <c r="B703" s="79"/>
      <c r="C703" s="80"/>
      <c r="D703" s="80"/>
      <c r="E703" s="80"/>
      <c r="F703" s="80"/>
      <c r="G703" s="80"/>
      <c r="H703" s="80"/>
      <c r="I703" s="80"/>
      <c r="J703" s="80"/>
      <c r="K703" s="82"/>
      <c r="L703" s="80"/>
      <c r="M703" s="80"/>
      <c r="N703" s="80"/>
      <c r="O703" s="80"/>
      <c r="P703" s="80"/>
      <c r="Q703" s="83"/>
      <c r="R703" s="80"/>
      <c r="S703" s="80"/>
      <c r="T703" s="80"/>
      <c r="U703" s="80"/>
      <c r="V703" s="84"/>
      <c r="W703" s="80"/>
      <c r="X703" s="85"/>
      <c r="Y703" s="86"/>
      <c r="Z703" s="86"/>
      <c r="AA703" s="86"/>
      <c r="AB703" s="86"/>
      <c r="AC703" s="86"/>
      <c r="AD703" s="86"/>
      <c r="AE703" s="86"/>
      <c r="AF703" s="86"/>
      <c r="AG703" s="86"/>
      <c r="AH703" s="82"/>
    </row>
    <row r="704">
      <c r="A704" s="78"/>
      <c r="B704" s="79"/>
      <c r="C704" s="80"/>
      <c r="D704" s="80"/>
      <c r="E704" s="80"/>
      <c r="F704" s="80"/>
      <c r="G704" s="80"/>
      <c r="H704" s="80"/>
      <c r="I704" s="80"/>
      <c r="J704" s="80"/>
      <c r="K704" s="82"/>
      <c r="L704" s="80"/>
      <c r="M704" s="80"/>
      <c r="N704" s="80"/>
      <c r="O704" s="80"/>
      <c r="P704" s="80"/>
      <c r="Q704" s="83"/>
      <c r="R704" s="80"/>
      <c r="S704" s="80"/>
      <c r="T704" s="80"/>
      <c r="U704" s="80"/>
      <c r="V704" s="84"/>
      <c r="W704" s="80"/>
      <c r="X704" s="85"/>
      <c r="Y704" s="86"/>
      <c r="Z704" s="86"/>
      <c r="AA704" s="86"/>
      <c r="AB704" s="86"/>
      <c r="AC704" s="86"/>
      <c r="AD704" s="86"/>
      <c r="AE704" s="86"/>
      <c r="AF704" s="86"/>
      <c r="AG704" s="86"/>
      <c r="AH704" s="82"/>
    </row>
    <row r="705">
      <c r="A705" s="78"/>
      <c r="B705" s="79"/>
      <c r="C705" s="80"/>
      <c r="D705" s="80"/>
      <c r="E705" s="80"/>
      <c r="F705" s="80"/>
      <c r="G705" s="80"/>
      <c r="H705" s="80"/>
      <c r="I705" s="80"/>
      <c r="J705" s="80"/>
      <c r="K705" s="82"/>
      <c r="L705" s="80"/>
      <c r="M705" s="80"/>
      <c r="N705" s="80"/>
      <c r="O705" s="80"/>
      <c r="P705" s="80"/>
      <c r="Q705" s="83"/>
      <c r="R705" s="80"/>
      <c r="S705" s="80"/>
      <c r="T705" s="80"/>
      <c r="U705" s="80"/>
      <c r="V705" s="84"/>
      <c r="W705" s="80"/>
      <c r="X705" s="85"/>
      <c r="Y705" s="86"/>
      <c r="Z705" s="86"/>
      <c r="AA705" s="86"/>
      <c r="AB705" s="86"/>
      <c r="AC705" s="86"/>
      <c r="AD705" s="86"/>
      <c r="AE705" s="86"/>
      <c r="AF705" s="86"/>
      <c r="AG705" s="86"/>
      <c r="AH705" s="82"/>
    </row>
    <row r="706">
      <c r="A706" s="78"/>
      <c r="B706" s="79"/>
      <c r="C706" s="80"/>
      <c r="D706" s="80"/>
      <c r="E706" s="80"/>
      <c r="F706" s="80"/>
      <c r="G706" s="80"/>
      <c r="H706" s="80"/>
      <c r="I706" s="80"/>
      <c r="J706" s="80"/>
      <c r="K706" s="82"/>
      <c r="L706" s="80"/>
      <c r="M706" s="80"/>
      <c r="N706" s="80"/>
      <c r="O706" s="80"/>
      <c r="P706" s="80"/>
      <c r="Q706" s="83"/>
      <c r="R706" s="80"/>
      <c r="S706" s="80"/>
      <c r="T706" s="80"/>
      <c r="U706" s="80"/>
      <c r="V706" s="84"/>
      <c r="W706" s="80"/>
      <c r="X706" s="85"/>
      <c r="Y706" s="86"/>
      <c r="Z706" s="86"/>
      <c r="AA706" s="86"/>
      <c r="AB706" s="86"/>
      <c r="AC706" s="86"/>
      <c r="AD706" s="86"/>
      <c r="AE706" s="86"/>
      <c r="AF706" s="86"/>
      <c r="AG706" s="86"/>
      <c r="AH706" s="82"/>
    </row>
    <row r="707">
      <c r="A707" s="78"/>
      <c r="B707" s="79"/>
      <c r="C707" s="80"/>
      <c r="D707" s="80"/>
      <c r="E707" s="80"/>
      <c r="F707" s="80"/>
      <c r="G707" s="80"/>
      <c r="H707" s="80"/>
      <c r="I707" s="80"/>
      <c r="J707" s="80"/>
      <c r="K707" s="82"/>
      <c r="L707" s="80"/>
      <c r="M707" s="80"/>
      <c r="N707" s="80"/>
      <c r="O707" s="80"/>
      <c r="P707" s="80"/>
      <c r="Q707" s="83"/>
      <c r="R707" s="80"/>
      <c r="S707" s="80"/>
      <c r="T707" s="80"/>
      <c r="U707" s="80"/>
      <c r="V707" s="84"/>
      <c r="W707" s="80"/>
      <c r="X707" s="85"/>
      <c r="Y707" s="86"/>
      <c r="Z707" s="86"/>
      <c r="AA707" s="86"/>
      <c r="AB707" s="86"/>
      <c r="AC707" s="86"/>
      <c r="AD707" s="86"/>
      <c r="AE707" s="86"/>
      <c r="AF707" s="86"/>
      <c r="AG707" s="86"/>
      <c r="AH707" s="82"/>
    </row>
    <row r="708">
      <c r="A708" s="78"/>
      <c r="B708" s="79"/>
      <c r="C708" s="80"/>
      <c r="D708" s="80"/>
      <c r="E708" s="80"/>
      <c r="F708" s="80"/>
      <c r="G708" s="80"/>
      <c r="H708" s="80"/>
      <c r="I708" s="80"/>
      <c r="J708" s="80"/>
      <c r="K708" s="82"/>
      <c r="L708" s="80"/>
      <c r="M708" s="80"/>
      <c r="N708" s="80"/>
      <c r="O708" s="80"/>
      <c r="P708" s="80"/>
      <c r="Q708" s="83"/>
      <c r="R708" s="80"/>
      <c r="S708" s="80"/>
      <c r="T708" s="80"/>
      <c r="U708" s="80"/>
      <c r="V708" s="84"/>
      <c r="W708" s="80"/>
      <c r="X708" s="85"/>
      <c r="Y708" s="86"/>
      <c r="Z708" s="86"/>
      <c r="AA708" s="86"/>
      <c r="AB708" s="86"/>
      <c r="AC708" s="86"/>
      <c r="AD708" s="86"/>
      <c r="AE708" s="86"/>
      <c r="AF708" s="86"/>
      <c r="AG708" s="86"/>
      <c r="AH708" s="82"/>
    </row>
    <row r="709">
      <c r="A709" s="78"/>
      <c r="B709" s="79"/>
      <c r="C709" s="80"/>
      <c r="D709" s="80"/>
      <c r="E709" s="80"/>
      <c r="F709" s="80"/>
      <c r="G709" s="80"/>
      <c r="H709" s="80"/>
      <c r="I709" s="80"/>
      <c r="J709" s="80"/>
      <c r="K709" s="82"/>
      <c r="L709" s="80"/>
      <c r="M709" s="80"/>
      <c r="N709" s="80"/>
      <c r="O709" s="80"/>
      <c r="P709" s="80"/>
      <c r="Q709" s="83"/>
      <c r="R709" s="80"/>
      <c r="S709" s="80"/>
      <c r="T709" s="80"/>
      <c r="U709" s="80"/>
      <c r="V709" s="84"/>
      <c r="W709" s="80"/>
      <c r="X709" s="85"/>
      <c r="Y709" s="86"/>
      <c r="Z709" s="86"/>
      <c r="AA709" s="86"/>
      <c r="AB709" s="86"/>
      <c r="AC709" s="86"/>
      <c r="AD709" s="86"/>
      <c r="AE709" s="86"/>
      <c r="AF709" s="86"/>
      <c r="AG709" s="86"/>
      <c r="AH709" s="82"/>
    </row>
    <row r="710">
      <c r="A710" s="78"/>
      <c r="B710" s="79"/>
      <c r="C710" s="80"/>
      <c r="D710" s="80"/>
      <c r="E710" s="80"/>
      <c r="F710" s="80"/>
      <c r="G710" s="80"/>
      <c r="H710" s="80"/>
      <c r="I710" s="80"/>
      <c r="J710" s="80"/>
      <c r="K710" s="82"/>
      <c r="L710" s="80"/>
      <c r="M710" s="80"/>
      <c r="N710" s="80"/>
      <c r="O710" s="80"/>
      <c r="P710" s="80"/>
      <c r="Q710" s="83"/>
      <c r="R710" s="80"/>
      <c r="S710" s="80"/>
      <c r="T710" s="80"/>
      <c r="U710" s="80"/>
      <c r="V710" s="84"/>
      <c r="W710" s="80"/>
      <c r="X710" s="85"/>
      <c r="Y710" s="86"/>
      <c r="Z710" s="86"/>
      <c r="AA710" s="86"/>
      <c r="AB710" s="86"/>
      <c r="AC710" s="86"/>
      <c r="AD710" s="86"/>
      <c r="AE710" s="86"/>
      <c r="AF710" s="86"/>
      <c r="AG710" s="86"/>
      <c r="AH710" s="82"/>
    </row>
    <row r="711">
      <c r="A711" s="78"/>
      <c r="B711" s="79"/>
      <c r="C711" s="80"/>
      <c r="D711" s="80"/>
      <c r="E711" s="80"/>
      <c r="F711" s="80"/>
      <c r="G711" s="80"/>
      <c r="H711" s="80"/>
      <c r="I711" s="80"/>
      <c r="J711" s="80"/>
      <c r="K711" s="82"/>
      <c r="L711" s="80"/>
      <c r="M711" s="80"/>
      <c r="N711" s="80"/>
      <c r="O711" s="80"/>
      <c r="P711" s="80"/>
      <c r="Q711" s="83"/>
      <c r="R711" s="80"/>
      <c r="S711" s="80"/>
      <c r="T711" s="80"/>
      <c r="U711" s="80"/>
      <c r="V711" s="84"/>
      <c r="W711" s="80"/>
      <c r="X711" s="85"/>
      <c r="Y711" s="86"/>
      <c r="Z711" s="86"/>
      <c r="AA711" s="86"/>
      <c r="AB711" s="86"/>
      <c r="AC711" s="86"/>
      <c r="AD711" s="86"/>
      <c r="AE711" s="86"/>
      <c r="AF711" s="86"/>
      <c r="AG711" s="86"/>
      <c r="AH711" s="82"/>
    </row>
    <row r="712">
      <c r="A712" s="78"/>
      <c r="B712" s="79"/>
      <c r="C712" s="80"/>
      <c r="D712" s="80"/>
      <c r="E712" s="80"/>
      <c r="F712" s="80"/>
      <c r="G712" s="80"/>
      <c r="H712" s="80"/>
      <c r="I712" s="80"/>
      <c r="J712" s="80"/>
      <c r="K712" s="82"/>
      <c r="L712" s="80"/>
      <c r="M712" s="80"/>
      <c r="N712" s="80"/>
      <c r="O712" s="80"/>
      <c r="P712" s="80"/>
      <c r="Q712" s="83"/>
      <c r="R712" s="80"/>
      <c r="S712" s="80"/>
      <c r="T712" s="80"/>
      <c r="U712" s="80"/>
      <c r="V712" s="84"/>
      <c r="W712" s="80"/>
      <c r="X712" s="85"/>
      <c r="Y712" s="86"/>
      <c r="Z712" s="86"/>
      <c r="AA712" s="86"/>
      <c r="AB712" s="86"/>
      <c r="AC712" s="86"/>
      <c r="AD712" s="86"/>
      <c r="AE712" s="86"/>
      <c r="AF712" s="86"/>
      <c r="AG712" s="86"/>
      <c r="AH712" s="82"/>
    </row>
    <row r="713">
      <c r="A713" s="78"/>
      <c r="B713" s="79"/>
      <c r="C713" s="80"/>
      <c r="D713" s="80"/>
      <c r="E713" s="80"/>
      <c r="F713" s="80"/>
      <c r="G713" s="80"/>
      <c r="H713" s="80"/>
      <c r="I713" s="80"/>
      <c r="J713" s="80"/>
      <c r="K713" s="82"/>
      <c r="L713" s="80"/>
      <c r="M713" s="80"/>
      <c r="N713" s="80"/>
      <c r="O713" s="80"/>
      <c r="P713" s="80"/>
      <c r="Q713" s="83"/>
      <c r="R713" s="80"/>
      <c r="S713" s="80"/>
      <c r="T713" s="80"/>
      <c r="U713" s="80"/>
      <c r="V713" s="84"/>
      <c r="W713" s="80"/>
      <c r="X713" s="85"/>
      <c r="Y713" s="86"/>
      <c r="Z713" s="86"/>
      <c r="AA713" s="86"/>
      <c r="AB713" s="86"/>
      <c r="AC713" s="86"/>
      <c r="AD713" s="86"/>
      <c r="AE713" s="86"/>
      <c r="AF713" s="86"/>
      <c r="AG713" s="86"/>
      <c r="AH713" s="82"/>
    </row>
    <row r="714">
      <c r="A714" s="78"/>
      <c r="B714" s="79"/>
      <c r="C714" s="80"/>
      <c r="D714" s="80"/>
      <c r="E714" s="80"/>
      <c r="F714" s="80"/>
      <c r="G714" s="80"/>
      <c r="H714" s="80"/>
      <c r="I714" s="80"/>
      <c r="J714" s="80"/>
      <c r="K714" s="82"/>
      <c r="L714" s="80"/>
      <c r="M714" s="80"/>
      <c r="N714" s="80"/>
      <c r="O714" s="80"/>
      <c r="P714" s="80"/>
      <c r="Q714" s="83"/>
      <c r="R714" s="80"/>
      <c r="S714" s="80"/>
      <c r="T714" s="80"/>
      <c r="U714" s="80"/>
      <c r="V714" s="84"/>
      <c r="W714" s="80"/>
      <c r="X714" s="85"/>
      <c r="Y714" s="86"/>
      <c r="Z714" s="86"/>
      <c r="AA714" s="86"/>
      <c r="AB714" s="86"/>
      <c r="AC714" s="86"/>
      <c r="AD714" s="86"/>
      <c r="AE714" s="86"/>
      <c r="AF714" s="86"/>
      <c r="AG714" s="86"/>
      <c r="AH714" s="82"/>
    </row>
    <row r="715">
      <c r="A715" s="78"/>
      <c r="B715" s="79"/>
      <c r="C715" s="80"/>
      <c r="D715" s="80"/>
      <c r="E715" s="80"/>
      <c r="F715" s="80"/>
      <c r="G715" s="80"/>
      <c r="H715" s="80"/>
      <c r="I715" s="80"/>
      <c r="J715" s="80"/>
      <c r="K715" s="82"/>
      <c r="L715" s="80"/>
      <c r="M715" s="80"/>
      <c r="N715" s="80"/>
      <c r="O715" s="80"/>
      <c r="P715" s="80"/>
      <c r="Q715" s="83"/>
      <c r="R715" s="80"/>
      <c r="S715" s="80"/>
      <c r="T715" s="80"/>
      <c r="U715" s="80"/>
      <c r="V715" s="84"/>
      <c r="W715" s="80"/>
      <c r="X715" s="85"/>
      <c r="Y715" s="86"/>
      <c r="Z715" s="86"/>
      <c r="AA715" s="86"/>
      <c r="AB715" s="86"/>
      <c r="AC715" s="86"/>
      <c r="AD715" s="86"/>
      <c r="AE715" s="86"/>
      <c r="AF715" s="86"/>
      <c r="AG715" s="86"/>
      <c r="AH715" s="82"/>
    </row>
    <row r="716">
      <c r="A716" s="78"/>
      <c r="B716" s="79"/>
      <c r="C716" s="80"/>
      <c r="D716" s="80"/>
      <c r="E716" s="80"/>
      <c r="F716" s="80"/>
      <c r="G716" s="80"/>
      <c r="H716" s="80"/>
      <c r="I716" s="80"/>
      <c r="J716" s="80"/>
      <c r="K716" s="82"/>
      <c r="L716" s="80"/>
      <c r="M716" s="80"/>
      <c r="N716" s="80"/>
      <c r="O716" s="80"/>
      <c r="P716" s="80"/>
      <c r="Q716" s="83"/>
      <c r="R716" s="80"/>
      <c r="S716" s="80"/>
      <c r="T716" s="80"/>
      <c r="U716" s="80"/>
      <c r="V716" s="84"/>
      <c r="W716" s="80"/>
      <c r="X716" s="85"/>
      <c r="Y716" s="86"/>
      <c r="Z716" s="86"/>
      <c r="AA716" s="86"/>
      <c r="AB716" s="86"/>
      <c r="AC716" s="86"/>
      <c r="AD716" s="86"/>
      <c r="AE716" s="86"/>
      <c r="AF716" s="86"/>
      <c r="AG716" s="86"/>
      <c r="AH716" s="82"/>
    </row>
    <row r="717">
      <c r="A717" s="78"/>
      <c r="B717" s="79"/>
      <c r="C717" s="80"/>
      <c r="D717" s="80"/>
      <c r="E717" s="80"/>
      <c r="F717" s="80"/>
      <c r="G717" s="80"/>
      <c r="H717" s="80"/>
      <c r="I717" s="80"/>
      <c r="J717" s="80"/>
      <c r="K717" s="82"/>
      <c r="L717" s="80"/>
      <c r="M717" s="80"/>
      <c r="N717" s="80"/>
      <c r="O717" s="80"/>
      <c r="P717" s="80"/>
      <c r="Q717" s="83"/>
      <c r="R717" s="80"/>
      <c r="S717" s="80"/>
      <c r="T717" s="80"/>
      <c r="U717" s="80"/>
      <c r="V717" s="84"/>
      <c r="W717" s="80"/>
      <c r="X717" s="85"/>
      <c r="Y717" s="86"/>
      <c r="Z717" s="86"/>
      <c r="AA717" s="86"/>
      <c r="AB717" s="86"/>
      <c r="AC717" s="86"/>
      <c r="AD717" s="86"/>
      <c r="AE717" s="86"/>
      <c r="AF717" s="86"/>
      <c r="AG717" s="86"/>
      <c r="AH717" s="82"/>
    </row>
    <row r="718">
      <c r="A718" s="78"/>
      <c r="B718" s="79"/>
      <c r="C718" s="80"/>
      <c r="D718" s="80"/>
      <c r="E718" s="80"/>
      <c r="F718" s="80"/>
      <c r="G718" s="80"/>
      <c r="H718" s="80"/>
      <c r="I718" s="80"/>
      <c r="J718" s="80"/>
      <c r="K718" s="82"/>
      <c r="L718" s="80"/>
      <c r="M718" s="80"/>
      <c r="N718" s="80"/>
      <c r="O718" s="80"/>
      <c r="P718" s="80"/>
      <c r="Q718" s="83"/>
      <c r="R718" s="80"/>
      <c r="S718" s="80"/>
      <c r="T718" s="80"/>
      <c r="U718" s="80"/>
      <c r="V718" s="84"/>
      <c r="W718" s="80"/>
      <c r="X718" s="85"/>
      <c r="Y718" s="86"/>
      <c r="Z718" s="86"/>
      <c r="AA718" s="86"/>
      <c r="AB718" s="86"/>
      <c r="AC718" s="86"/>
      <c r="AD718" s="86"/>
      <c r="AE718" s="86"/>
      <c r="AF718" s="86"/>
      <c r="AG718" s="86"/>
      <c r="AH718" s="82"/>
    </row>
    <row r="719">
      <c r="A719" s="78"/>
      <c r="B719" s="79"/>
      <c r="C719" s="80"/>
      <c r="D719" s="80"/>
      <c r="E719" s="80"/>
      <c r="F719" s="80"/>
      <c r="G719" s="80"/>
      <c r="H719" s="80"/>
      <c r="I719" s="80"/>
      <c r="J719" s="80"/>
      <c r="K719" s="82"/>
      <c r="L719" s="80"/>
      <c r="M719" s="80"/>
      <c r="N719" s="80"/>
      <c r="O719" s="80"/>
      <c r="P719" s="80"/>
      <c r="Q719" s="83"/>
      <c r="R719" s="80"/>
      <c r="S719" s="80"/>
      <c r="T719" s="80"/>
      <c r="U719" s="80"/>
      <c r="V719" s="84"/>
      <c r="W719" s="80"/>
      <c r="X719" s="85"/>
      <c r="Y719" s="86"/>
      <c r="Z719" s="86"/>
      <c r="AA719" s="86"/>
      <c r="AB719" s="86"/>
      <c r="AC719" s="86"/>
      <c r="AD719" s="86"/>
      <c r="AE719" s="86"/>
      <c r="AF719" s="86"/>
      <c r="AG719" s="86"/>
      <c r="AH719" s="82"/>
    </row>
    <row r="720">
      <c r="A720" s="78"/>
      <c r="B720" s="79"/>
      <c r="C720" s="80"/>
      <c r="D720" s="80"/>
      <c r="E720" s="80"/>
      <c r="F720" s="80"/>
      <c r="G720" s="80"/>
      <c r="H720" s="80"/>
      <c r="I720" s="80"/>
      <c r="J720" s="80"/>
      <c r="K720" s="82"/>
      <c r="L720" s="80"/>
      <c r="M720" s="80"/>
      <c r="N720" s="80"/>
      <c r="O720" s="80"/>
      <c r="P720" s="80"/>
      <c r="Q720" s="83"/>
      <c r="R720" s="80"/>
      <c r="S720" s="80"/>
      <c r="T720" s="80"/>
      <c r="U720" s="80"/>
      <c r="V720" s="84"/>
      <c r="W720" s="80"/>
      <c r="X720" s="85"/>
      <c r="Y720" s="86"/>
      <c r="Z720" s="86"/>
      <c r="AA720" s="86"/>
      <c r="AB720" s="86"/>
      <c r="AC720" s="86"/>
      <c r="AD720" s="86"/>
      <c r="AE720" s="86"/>
      <c r="AF720" s="86"/>
      <c r="AG720" s="86"/>
      <c r="AH720" s="82"/>
    </row>
    <row r="721">
      <c r="A721" s="78"/>
      <c r="B721" s="79"/>
      <c r="C721" s="80"/>
      <c r="D721" s="80"/>
      <c r="E721" s="80"/>
      <c r="F721" s="80"/>
      <c r="G721" s="80"/>
      <c r="H721" s="80"/>
      <c r="I721" s="80"/>
      <c r="J721" s="80"/>
      <c r="K721" s="82"/>
      <c r="L721" s="80"/>
      <c r="M721" s="80"/>
      <c r="N721" s="80"/>
      <c r="O721" s="80"/>
      <c r="P721" s="80"/>
      <c r="Q721" s="83"/>
      <c r="R721" s="80"/>
      <c r="S721" s="80"/>
      <c r="T721" s="80"/>
      <c r="U721" s="80"/>
      <c r="V721" s="84"/>
      <c r="W721" s="80"/>
      <c r="X721" s="85"/>
      <c r="Y721" s="86"/>
      <c r="Z721" s="86"/>
      <c r="AA721" s="86"/>
      <c r="AB721" s="86"/>
      <c r="AC721" s="86"/>
      <c r="AD721" s="86"/>
      <c r="AE721" s="86"/>
      <c r="AF721" s="86"/>
      <c r="AG721" s="86"/>
      <c r="AH721" s="82"/>
    </row>
    <row r="722">
      <c r="A722" s="78"/>
      <c r="B722" s="79"/>
      <c r="C722" s="80"/>
      <c r="D722" s="80"/>
      <c r="E722" s="80"/>
      <c r="F722" s="80"/>
      <c r="G722" s="80"/>
      <c r="H722" s="80"/>
      <c r="I722" s="80"/>
      <c r="J722" s="80"/>
      <c r="K722" s="82"/>
      <c r="L722" s="80"/>
      <c r="M722" s="80"/>
      <c r="N722" s="80"/>
      <c r="O722" s="80"/>
      <c r="P722" s="80"/>
      <c r="Q722" s="83"/>
      <c r="R722" s="80"/>
      <c r="S722" s="80"/>
      <c r="T722" s="80"/>
      <c r="U722" s="80"/>
      <c r="V722" s="84"/>
      <c r="W722" s="80"/>
      <c r="X722" s="85"/>
      <c r="Y722" s="86"/>
      <c r="Z722" s="86"/>
      <c r="AA722" s="86"/>
      <c r="AB722" s="86"/>
      <c r="AC722" s="86"/>
      <c r="AD722" s="86"/>
      <c r="AE722" s="86"/>
      <c r="AF722" s="86"/>
      <c r="AG722" s="86"/>
      <c r="AH722" s="82"/>
    </row>
    <row r="723">
      <c r="A723" s="78"/>
      <c r="B723" s="79"/>
      <c r="C723" s="80"/>
      <c r="D723" s="80"/>
      <c r="E723" s="80"/>
      <c r="F723" s="80"/>
      <c r="G723" s="80"/>
      <c r="H723" s="80"/>
      <c r="I723" s="80"/>
      <c r="J723" s="80"/>
      <c r="K723" s="82"/>
      <c r="L723" s="80"/>
      <c r="M723" s="80"/>
      <c r="N723" s="80"/>
      <c r="O723" s="80"/>
      <c r="P723" s="80"/>
      <c r="Q723" s="83"/>
      <c r="R723" s="80"/>
      <c r="S723" s="80"/>
      <c r="T723" s="80"/>
      <c r="U723" s="80"/>
      <c r="V723" s="84"/>
      <c r="W723" s="80"/>
      <c r="X723" s="85"/>
      <c r="Y723" s="86"/>
      <c r="Z723" s="86"/>
      <c r="AA723" s="86"/>
      <c r="AB723" s="86"/>
      <c r="AC723" s="86"/>
      <c r="AD723" s="86"/>
      <c r="AE723" s="86"/>
      <c r="AF723" s="86"/>
      <c r="AG723" s="86"/>
      <c r="AH723" s="82"/>
    </row>
    <row r="724">
      <c r="A724" s="78"/>
      <c r="B724" s="79"/>
      <c r="C724" s="80"/>
      <c r="D724" s="80"/>
      <c r="E724" s="80"/>
      <c r="F724" s="80"/>
      <c r="G724" s="80"/>
      <c r="H724" s="80"/>
      <c r="I724" s="80"/>
      <c r="J724" s="80"/>
      <c r="K724" s="82"/>
      <c r="L724" s="80"/>
      <c r="M724" s="80"/>
      <c r="N724" s="80"/>
      <c r="O724" s="80"/>
      <c r="P724" s="80"/>
      <c r="Q724" s="83"/>
      <c r="R724" s="80"/>
      <c r="S724" s="80"/>
      <c r="T724" s="80"/>
      <c r="U724" s="80"/>
      <c r="V724" s="84"/>
      <c r="W724" s="80"/>
      <c r="X724" s="85"/>
      <c r="Y724" s="86"/>
      <c r="Z724" s="86"/>
      <c r="AA724" s="86"/>
      <c r="AB724" s="86"/>
      <c r="AC724" s="86"/>
      <c r="AD724" s="86"/>
      <c r="AE724" s="86"/>
      <c r="AF724" s="86"/>
      <c r="AG724" s="86"/>
      <c r="AH724" s="82"/>
    </row>
    <row r="725">
      <c r="A725" s="78"/>
      <c r="B725" s="79"/>
      <c r="C725" s="80"/>
      <c r="D725" s="80"/>
      <c r="E725" s="80"/>
      <c r="F725" s="80"/>
      <c r="G725" s="80"/>
      <c r="H725" s="80"/>
      <c r="I725" s="80"/>
      <c r="J725" s="80"/>
      <c r="K725" s="82"/>
      <c r="L725" s="80"/>
      <c r="M725" s="80"/>
      <c r="N725" s="80"/>
      <c r="O725" s="80"/>
      <c r="P725" s="80"/>
      <c r="Q725" s="83"/>
      <c r="R725" s="80"/>
      <c r="S725" s="80"/>
      <c r="T725" s="80"/>
      <c r="U725" s="80"/>
      <c r="V725" s="84"/>
      <c r="W725" s="80"/>
      <c r="X725" s="85"/>
      <c r="Y725" s="86"/>
      <c r="Z725" s="86"/>
      <c r="AA725" s="86"/>
      <c r="AB725" s="86"/>
      <c r="AC725" s="86"/>
      <c r="AD725" s="86"/>
      <c r="AE725" s="86"/>
      <c r="AF725" s="86"/>
      <c r="AG725" s="86"/>
      <c r="AH725" s="82"/>
    </row>
    <row r="726">
      <c r="A726" s="78"/>
      <c r="B726" s="79"/>
      <c r="C726" s="80"/>
      <c r="D726" s="80"/>
      <c r="E726" s="80"/>
      <c r="F726" s="80"/>
      <c r="G726" s="80"/>
      <c r="H726" s="80"/>
      <c r="I726" s="80"/>
      <c r="J726" s="80"/>
      <c r="K726" s="82"/>
      <c r="L726" s="80"/>
      <c r="M726" s="80"/>
      <c r="N726" s="80"/>
      <c r="O726" s="80"/>
      <c r="P726" s="80"/>
      <c r="Q726" s="83"/>
      <c r="R726" s="80"/>
      <c r="S726" s="80"/>
      <c r="T726" s="80"/>
      <c r="U726" s="80"/>
      <c r="V726" s="84"/>
      <c r="W726" s="80"/>
      <c r="X726" s="85"/>
      <c r="Y726" s="86"/>
      <c r="Z726" s="86"/>
      <c r="AA726" s="86"/>
      <c r="AB726" s="86"/>
      <c r="AC726" s="86"/>
      <c r="AD726" s="86"/>
      <c r="AE726" s="86"/>
      <c r="AF726" s="86"/>
      <c r="AG726" s="86"/>
      <c r="AH726" s="82"/>
    </row>
    <row r="727">
      <c r="A727" s="78"/>
      <c r="B727" s="79"/>
      <c r="C727" s="80"/>
      <c r="D727" s="80"/>
      <c r="E727" s="80"/>
      <c r="F727" s="80"/>
      <c r="G727" s="80"/>
      <c r="H727" s="80"/>
      <c r="I727" s="80"/>
      <c r="J727" s="80"/>
      <c r="K727" s="82"/>
      <c r="L727" s="80"/>
      <c r="M727" s="80"/>
      <c r="N727" s="80"/>
      <c r="O727" s="80"/>
      <c r="P727" s="80"/>
      <c r="Q727" s="83"/>
      <c r="R727" s="80"/>
      <c r="S727" s="80"/>
      <c r="T727" s="80"/>
      <c r="U727" s="80"/>
      <c r="V727" s="84"/>
      <c r="W727" s="80"/>
      <c r="X727" s="85"/>
      <c r="Y727" s="86"/>
      <c r="Z727" s="86"/>
      <c r="AA727" s="86"/>
      <c r="AB727" s="86"/>
      <c r="AC727" s="86"/>
      <c r="AD727" s="86"/>
      <c r="AE727" s="86"/>
      <c r="AF727" s="86"/>
      <c r="AG727" s="86"/>
      <c r="AH727" s="82"/>
    </row>
    <row r="728">
      <c r="A728" s="78"/>
      <c r="B728" s="79"/>
      <c r="C728" s="80"/>
      <c r="D728" s="80"/>
      <c r="E728" s="80"/>
      <c r="F728" s="80"/>
      <c r="G728" s="80"/>
      <c r="H728" s="80"/>
      <c r="I728" s="80"/>
      <c r="J728" s="80"/>
      <c r="K728" s="82"/>
      <c r="L728" s="80"/>
      <c r="M728" s="80"/>
      <c r="N728" s="80"/>
      <c r="O728" s="80"/>
      <c r="P728" s="80"/>
      <c r="Q728" s="83"/>
      <c r="R728" s="80"/>
      <c r="S728" s="80"/>
      <c r="T728" s="80"/>
      <c r="U728" s="80"/>
      <c r="V728" s="84"/>
      <c r="W728" s="80"/>
      <c r="X728" s="85"/>
      <c r="Y728" s="86"/>
      <c r="Z728" s="86"/>
      <c r="AA728" s="86"/>
      <c r="AB728" s="86"/>
      <c r="AC728" s="86"/>
      <c r="AD728" s="86"/>
      <c r="AE728" s="86"/>
      <c r="AF728" s="86"/>
      <c r="AG728" s="86"/>
      <c r="AH728" s="82"/>
    </row>
    <row r="729">
      <c r="A729" s="78"/>
      <c r="B729" s="79"/>
      <c r="C729" s="80"/>
      <c r="D729" s="80"/>
      <c r="E729" s="80"/>
      <c r="F729" s="80"/>
      <c r="G729" s="80"/>
      <c r="H729" s="80"/>
      <c r="I729" s="80"/>
      <c r="J729" s="80"/>
      <c r="K729" s="82"/>
      <c r="L729" s="80"/>
      <c r="M729" s="80"/>
      <c r="N729" s="80"/>
      <c r="O729" s="80"/>
      <c r="P729" s="80"/>
      <c r="Q729" s="83"/>
      <c r="R729" s="80"/>
      <c r="S729" s="80"/>
      <c r="T729" s="80"/>
      <c r="U729" s="80"/>
      <c r="V729" s="84"/>
      <c r="W729" s="80"/>
      <c r="X729" s="85"/>
      <c r="Y729" s="86"/>
      <c r="Z729" s="86"/>
      <c r="AA729" s="86"/>
      <c r="AB729" s="86"/>
      <c r="AC729" s="86"/>
      <c r="AD729" s="86"/>
      <c r="AE729" s="86"/>
      <c r="AF729" s="86"/>
      <c r="AG729" s="86"/>
      <c r="AH729" s="82"/>
    </row>
    <row r="730">
      <c r="A730" s="78"/>
      <c r="B730" s="79"/>
      <c r="C730" s="80"/>
      <c r="D730" s="80"/>
      <c r="E730" s="80"/>
      <c r="F730" s="80"/>
      <c r="G730" s="80"/>
      <c r="H730" s="80"/>
      <c r="I730" s="80"/>
      <c r="J730" s="80"/>
      <c r="K730" s="82"/>
      <c r="L730" s="80"/>
      <c r="M730" s="80"/>
      <c r="N730" s="80"/>
      <c r="O730" s="80"/>
      <c r="P730" s="80"/>
      <c r="Q730" s="83"/>
      <c r="R730" s="80"/>
      <c r="S730" s="80"/>
      <c r="T730" s="80"/>
      <c r="U730" s="80"/>
      <c r="V730" s="84"/>
      <c r="W730" s="80"/>
      <c r="X730" s="85"/>
      <c r="Y730" s="86"/>
      <c r="Z730" s="86"/>
      <c r="AA730" s="86"/>
      <c r="AB730" s="86"/>
      <c r="AC730" s="86"/>
      <c r="AD730" s="86"/>
      <c r="AE730" s="86"/>
      <c r="AF730" s="86"/>
      <c r="AG730" s="86"/>
      <c r="AH730" s="82"/>
    </row>
    <row r="731">
      <c r="A731" s="78"/>
      <c r="B731" s="79"/>
      <c r="C731" s="80"/>
      <c r="D731" s="80"/>
      <c r="E731" s="80"/>
      <c r="F731" s="80"/>
      <c r="G731" s="80"/>
      <c r="H731" s="80"/>
      <c r="I731" s="80"/>
      <c r="J731" s="80"/>
      <c r="K731" s="82"/>
      <c r="L731" s="80"/>
      <c r="M731" s="80"/>
      <c r="N731" s="80"/>
      <c r="O731" s="80"/>
      <c r="P731" s="80"/>
      <c r="Q731" s="83"/>
      <c r="R731" s="80"/>
      <c r="S731" s="80"/>
      <c r="T731" s="80"/>
      <c r="U731" s="80"/>
      <c r="V731" s="84"/>
      <c r="W731" s="80"/>
      <c r="X731" s="85"/>
      <c r="Y731" s="86"/>
      <c r="Z731" s="86"/>
      <c r="AA731" s="86"/>
      <c r="AB731" s="86"/>
      <c r="AC731" s="86"/>
      <c r="AD731" s="86"/>
      <c r="AE731" s="86"/>
      <c r="AF731" s="86"/>
      <c r="AG731" s="86"/>
      <c r="AH731" s="82"/>
    </row>
    <row r="732">
      <c r="A732" s="78"/>
      <c r="B732" s="79"/>
      <c r="C732" s="80"/>
      <c r="D732" s="80"/>
      <c r="E732" s="80"/>
      <c r="F732" s="80"/>
      <c r="G732" s="80"/>
      <c r="H732" s="80"/>
      <c r="I732" s="80"/>
      <c r="J732" s="80"/>
      <c r="K732" s="82"/>
      <c r="L732" s="80"/>
      <c r="M732" s="80"/>
      <c r="N732" s="80"/>
      <c r="O732" s="80"/>
      <c r="P732" s="80"/>
      <c r="Q732" s="83"/>
      <c r="R732" s="80"/>
      <c r="S732" s="80"/>
      <c r="T732" s="80"/>
      <c r="U732" s="80"/>
      <c r="V732" s="84"/>
      <c r="W732" s="80"/>
      <c r="X732" s="85"/>
      <c r="Y732" s="86"/>
      <c r="Z732" s="86"/>
      <c r="AA732" s="86"/>
      <c r="AB732" s="86"/>
      <c r="AC732" s="86"/>
      <c r="AD732" s="86"/>
      <c r="AE732" s="86"/>
      <c r="AF732" s="86"/>
      <c r="AG732" s="86"/>
      <c r="AH732" s="82"/>
    </row>
    <row r="733">
      <c r="A733" s="78"/>
      <c r="B733" s="79"/>
      <c r="C733" s="80"/>
      <c r="D733" s="80"/>
      <c r="E733" s="80"/>
      <c r="F733" s="80"/>
      <c r="G733" s="80"/>
      <c r="H733" s="80"/>
      <c r="I733" s="80"/>
      <c r="J733" s="80"/>
      <c r="K733" s="82"/>
      <c r="L733" s="80"/>
      <c r="M733" s="80"/>
      <c r="N733" s="80"/>
      <c r="O733" s="80"/>
      <c r="P733" s="80"/>
      <c r="Q733" s="83"/>
      <c r="R733" s="80"/>
      <c r="S733" s="80"/>
      <c r="T733" s="80"/>
      <c r="U733" s="80"/>
      <c r="V733" s="84"/>
      <c r="W733" s="80"/>
      <c r="X733" s="85"/>
      <c r="Y733" s="86"/>
      <c r="Z733" s="86"/>
      <c r="AA733" s="86"/>
      <c r="AB733" s="86"/>
      <c r="AC733" s="86"/>
      <c r="AD733" s="86"/>
      <c r="AE733" s="86"/>
      <c r="AF733" s="86"/>
      <c r="AG733" s="86"/>
      <c r="AH733" s="82"/>
    </row>
    <row r="734">
      <c r="A734" s="78"/>
      <c r="B734" s="79"/>
      <c r="C734" s="80"/>
      <c r="D734" s="80"/>
      <c r="E734" s="80"/>
      <c r="F734" s="80"/>
      <c r="G734" s="80"/>
      <c r="H734" s="80"/>
      <c r="I734" s="80"/>
      <c r="J734" s="80"/>
      <c r="K734" s="82"/>
      <c r="L734" s="80"/>
      <c r="M734" s="80"/>
      <c r="N734" s="80"/>
      <c r="O734" s="80"/>
      <c r="P734" s="80"/>
      <c r="Q734" s="83"/>
      <c r="R734" s="80"/>
      <c r="S734" s="80"/>
      <c r="T734" s="80"/>
      <c r="U734" s="80"/>
      <c r="V734" s="84"/>
      <c r="W734" s="80"/>
      <c r="X734" s="85"/>
      <c r="Y734" s="86"/>
      <c r="Z734" s="86"/>
      <c r="AA734" s="86"/>
      <c r="AB734" s="86"/>
      <c r="AC734" s="86"/>
      <c r="AD734" s="86"/>
      <c r="AE734" s="86"/>
      <c r="AF734" s="86"/>
      <c r="AG734" s="86"/>
      <c r="AH734" s="82"/>
    </row>
    <row r="735">
      <c r="A735" s="78"/>
      <c r="B735" s="79"/>
      <c r="C735" s="80"/>
      <c r="D735" s="80"/>
      <c r="E735" s="80"/>
      <c r="F735" s="80"/>
      <c r="G735" s="80"/>
      <c r="H735" s="80"/>
      <c r="I735" s="80"/>
      <c r="J735" s="80"/>
      <c r="K735" s="82"/>
      <c r="L735" s="80"/>
      <c r="M735" s="80"/>
      <c r="N735" s="80"/>
      <c r="O735" s="80"/>
      <c r="P735" s="80"/>
      <c r="Q735" s="83"/>
      <c r="R735" s="80"/>
      <c r="S735" s="80"/>
      <c r="T735" s="80"/>
      <c r="U735" s="80"/>
      <c r="V735" s="84"/>
      <c r="W735" s="80"/>
      <c r="X735" s="85"/>
      <c r="Y735" s="86"/>
      <c r="Z735" s="86"/>
      <c r="AA735" s="86"/>
      <c r="AB735" s="86"/>
      <c r="AC735" s="86"/>
      <c r="AD735" s="86"/>
      <c r="AE735" s="86"/>
      <c r="AF735" s="86"/>
      <c r="AG735" s="86"/>
      <c r="AH735" s="82"/>
    </row>
    <row r="736">
      <c r="A736" s="78"/>
      <c r="B736" s="79"/>
      <c r="C736" s="80"/>
      <c r="D736" s="80"/>
      <c r="E736" s="80"/>
      <c r="F736" s="80"/>
      <c r="G736" s="80"/>
      <c r="H736" s="80"/>
      <c r="I736" s="80"/>
      <c r="J736" s="80"/>
      <c r="K736" s="82"/>
      <c r="L736" s="80"/>
      <c r="M736" s="80"/>
      <c r="N736" s="80"/>
      <c r="O736" s="80"/>
      <c r="P736" s="80"/>
      <c r="Q736" s="83"/>
      <c r="R736" s="80"/>
      <c r="S736" s="80"/>
      <c r="T736" s="80"/>
      <c r="U736" s="80"/>
      <c r="V736" s="84"/>
      <c r="W736" s="80"/>
      <c r="X736" s="85"/>
      <c r="Y736" s="86"/>
      <c r="Z736" s="86"/>
      <c r="AA736" s="86"/>
      <c r="AB736" s="86"/>
      <c r="AC736" s="86"/>
      <c r="AD736" s="86"/>
      <c r="AE736" s="86"/>
      <c r="AF736" s="86"/>
      <c r="AG736" s="86"/>
      <c r="AH736" s="82"/>
    </row>
    <row r="737">
      <c r="A737" s="78"/>
      <c r="B737" s="79"/>
      <c r="C737" s="80"/>
      <c r="D737" s="80"/>
      <c r="E737" s="80"/>
      <c r="F737" s="80"/>
      <c r="G737" s="80"/>
      <c r="H737" s="80"/>
      <c r="I737" s="80"/>
      <c r="J737" s="80"/>
      <c r="K737" s="82"/>
      <c r="L737" s="80"/>
      <c r="M737" s="80"/>
      <c r="N737" s="80"/>
      <c r="O737" s="80"/>
      <c r="P737" s="80"/>
      <c r="Q737" s="83"/>
      <c r="R737" s="80"/>
      <c r="S737" s="80"/>
      <c r="T737" s="80"/>
      <c r="U737" s="80"/>
      <c r="V737" s="84"/>
      <c r="W737" s="80"/>
      <c r="X737" s="85"/>
      <c r="Y737" s="86"/>
      <c r="Z737" s="86"/>
      <c r="AA737" s="86"/>
      <c r="AB737" s="86"/>
      <c r="AC737" s="86"/>
      <c r="AD737" s="86"/>
      <c r="AE737" s="86"/>
      <c r="AF737" s="86"/>
      <c r="AG737" s="86"/>
      <c r="AH737" s="82"/>
    </row>
    <row r="738">
      <c r="A738" s="78"/>
      <c r="B738" s="79"/>
      <c r="C738" s="80"/>
      <c r="D738" s="80"/>
      <c r="E738" s="80"/>
      <c r="F738" s="80"/>
      <c r="G738" s="80"/>
      <c r="H738" s="80"/>
      <c r="I738" s="80"/>
      <c r="J738" s="80"/>
      <c r="K738" s="82"/>
      <c r="L738" s="80"/>
      <c r="M738" s="80"/>
      <c r="N738" s="80"/>
      <c r="O738" s="80"/>
      <c r="P738" s="80"/>
      <c r="Q738" s="83"/>
      <c r="R738" s="80"/>
      <c r="S738" s="80"/>
      <c r="T738" s="80"/>
      <c r="U738" s="80"/>
      <c r="V738" s="84"/>
      <c r="W738" s="80"/>
      <c r="X738" s="85"/>
      <c r="Y738" s="86"/>
      <c r="Z738" s="86"/>
      <c r="AA738" s="86"/>
      <c r="AB738" s="86"/>
      <c r="AC738" s="86"/>
      <c r="AD738" s="86"/>
      <c r="AE738" s="86"/>
      <c r="AF738" s="86"/>
      <c r="AG738" s="86"/>
      <c r="AH738" s="82"/>
    </row>
    <row r="739">
      <c r="A739" s="78"/>
      <c r="B739" s="79"/>
      <c r="C739" s="80"/>
      <c r="D739" s="80"/>
      <c r="E739" s="80"/>
      <c r="F739" s="80"/>
      <c r="G739" s="80"/>
      <c r="H739" s="80"/>
      <c r="I739" s="80"/>
      <c r="J739" s="80"/>
      <c r="K739" s="82"/>
      <c r="L739" s="80"/>
      <c r="M739" s="80"/>
      <c r="N739" s="80"/>
      <c r="O739" s="80"/>
      <c r="P739" s="80"/>
      <c r="Q739" s="83"/>
      <c r="R739" s="80"/>
      <c r="S739" s="80"/>
      <c r="T739" s="80"/>
      <c r="U739" s="80"/>
      <c r="V739" s="84"/>
      <c r="W739" s="80"/>
      <c r="X739" s="85"/>
      <c r="Y739" s="86"/>
      <c r="Z739" s="86"/>
      <c r="AA739" s="86"/>
      <c r="AB739" s="86"/>
      <c r="AC739" s="86"/>
      <c r="AD739" s="86"/>
      <c r="AE739" s="86"/>
      <c r="AF739" s="86"/>
      <c r="AG739" s="86"/>
      <c r="AH739" s="82"/>
    </row>
    <row r="740">
      <c r="A740" s="78"/>
      <c r="B740" s="79"/>
      <c r="C740" s="80"/>
      <c r="D740" s="80"/>
      <c r="E740" s="80"/>
      <c r="F740" s="80"/>
      <c r="G740" s="80"/>
      <c r="H740" s="80"/>
      <c r="I740" s="80"/>
      <c r="J740" s="80"/>
      <c r="K740" s="82"/>
      <c r="L740" s="80"/>
      <c r="M740" s="80"/>
      <c r="N740" s="80"/>
      <c r="O740" s="80"/>
      <c r="P740" s="80"/>
      <c r="Q740" s="83"/>
      <c r="R740" s="80"/>
      <c r="S740" s="80"/>
      <c r="T740" s="80"/>
      <c r="U740" s="80"/>
      <c r="V740" s="84"/>
      <c r="W740" s="80"/>
      <c r="X740" s="85"/>
      <c r="Y740" s="86"/>
      <c r="Z740" s="86"/>
      <c r="AA740" s="86"/>
      <c r="AB740" s="86"/>
      <c r="AC740" s="86"/>
      <c r="AD740" s="86"/>
      <c r="AE740" s="86"/>
      <c r="AF740" s="86"/>
      <c r="AG740" s="86"/>
      <c r="AH740" s="82"/>
    </row>
    <row r="741">
      <c r="A741" s="78"/>
      <c r="B741" s="79"/>
      <c r="C741" s="80"/>
      <c r="D741" s="80"/>
      <c r="E741" s="80"/>
      <c r="F741" s="80"/>
      <c r="G741" s="80"/>
      <c r="H741" s="80"/>
      <c r="I741" s="80"/>
      <c r="J741" s="80"/>
      <c r="K741" s="82"/>
      <c r="L741" s="80"/>
      <c r="M741" s="80"/>
      <c r="N741" s="80"/>
      <c r="O741" s="80"/>
      <c r="P741" s="80"/>
      <c r="Q741" s="83"/>
      <c r="R741" s="80"/>
      <c r="S741" s="80"/>
      <c r="T741" s="80"/>
      <c r="U741" s="80"/>
      <c r="V741" s="84"/>
      <c r="W741" s="80"/>
      <c r="X741" s="85"/>
      <c r="Y741" s="86"/>
      <c r="Z741" s="86"/>
      <c r="AA741" s="86"/>
      <c r="AB741" s="86"/>
      <c r="AC741" s="86"/>
      <c r="AD741" s="86"/>
      <c r="AE741" s="86"/>
      <c r="AF741" s="86"/>
      <c r="AG741" s="86"/>
      <c r="AH741" s="82"/>
    </row>
    <row r="742">
      <c r="A742" s="78"/>
      <c r="B742" s="79"/>
      <c r="C742" s="80"/>
      <c r="D742" s="80"/>
      <c r="E742" s="80"/>
      <c r="F742" s="80"/>
      <c r="G742" s="80"/>
      <c r="H742" s="80"/>
      <c r="I742" s="80"/>
      <c r="J742" s="80"/>
      <c r="K742" s="82"/>
      <c r="L742" s="80"/>
      <c r="M742" s="80"/>
      <c r="N742" s="80"/>
      <c r="O742" s="80"/>
      <c r="P742" s="80"/>
      <c r="Q742" s="83"/>
      <c r="R742" s="80"/>
      <c r="S742" s="80"/>
      <c r="T742" s="80"/>
      <c r="U742" s="80"/>
      <c r="V742" s="84"/>
      <c r="W742" s="80"/>
      <c r="X742" s="85"/>
      <c r="Y742" s="86"/>
      <c r="Z742" s="86"/>
      <c r="AA742" s="86"/>
      <c r="AB742" s="86"/>
      <c r="AC742" s="86"/>
      <c r="AD742" s="86"/>
      <c r="AE742" s="86"/>
      <c r="AF742" s="86"/>
      <c r="AG742" s="86"/>
      <c r="AH742" s="82"/>
    </row>
    <row r="743">
      <c r="A743" s="78"/>
      <c r="B743" s="79"/>
      <c r="C743" s="80"/>
      <c r="D743" s="80"/>
      <c r="E743" s="80"/>
      <c r="F743" s="80"/>
      <c r="G743" s="80"/>
      <c r="H743" s="80"/>
      <c r="I743" s="80"/>
      <c r="J743" s="80"/>
      <c r="K743" s="82"/>
      <c r="L743" s="80"/>
      <c r="M743" s="80"/>
      <c r="N743" s="80"/>
      <c r="O743" s="80"/>
      <c r="P743" s="80"/>
      <c r="Q743" s="83"/>
      <c r="R743" s="80"/>
      <c r="S743" s="80"/>
      <c r="T743" s="80"/>
      <c r="U743" s="80"/>
      <c r="V743" s="84"/>
      <c r="W743" s="80"/>
      <c r="X743" s="85"/>
      <c r="Y743" s="86"/>
      <c r="Z743" s="86"/>
      <c r="AA743" s="86"/>
      <c r="AB743" s="86"/>
      <c r="AC743" s="86"/>
      <c r="AD743" s="86"/>
      <c r="AE743" s="86"/>
      <c r="AF743" s="86"/>
      <c r="AG743" s="86"/>
      <c r="AH743" s="82"/>
    </row>
    <row r="744">
      <c r="A744" s="78"/>
      <c r="B744" s="79"/>
      <c r="C744" s="80"/>
      <c r="D744" s="80"/>
      <c r="E744" s="80"/>
      <c r="F744" s="80"/>
      <c r="G744" s="80"/>
      <c r="H744" s="80"/>
      <c r="I744" s="80"/>
      <c r="J744" s="80"/>
      <c r="K744" s="82"/>
      <c r="L744" s="80"/>
      <c r="M744" s="80"/>
      <c r="N744" s="80"/>
      <c r="O744" s="80"/>
      <c r="P744" s="80"/>
      <c r="Q744" s="83"/>
      <c r="R744" s="80"/>
      <c r="S744" s="80"/>
      <c r="T744" s="80"/>
      <c r="U744" s="80"/>
      <c r="V744" s="84"/>
      <c r="W744" s="80"/>
      <c r="X744" s="85"/>
      <c r="Y744" s="86"/>
      <c r="Z744" s="86"/>
      <c r="AA744" s="86"/>
      <c r="AB744" s="86"/>
      <c r="AC744" s="86"/>
      <c r="AD744" s="86"/>
      <c r="AE744" s="86"/>
      <c r="AF744" s="86"/>
      <c r="AG744" s="86"/>
      <c r="AH744" s="82"/>
    </row>
    <row r="745">
      <c r="A745" s="78"/>
      <c r="B745" s="79"/>
      <c r="C745" s="80"/>
      <c r="D745" s="80"/>
      <c r="E745" s="80"/>
      <c r="F745" s="80"/>
      <c r="G745" s="80"/>
      <c r="H745" s="80"/>
      <c r="I745" s="80"/>
      <c r="J745" s="80"/>
      <c r="K745" s="82"/>
      <c r="L745" s="80"/>
      <c r="M745" s="80"/>
      <c r="N745" s="80"/>
      <c r="O745" s="80"/>
      <c r="P745" s="80"/>
      <c r="Q745" s="83"/>
      <c r="R745" s="80"/>
      <c r="S745" s="80"/>
      <c r="T745" s="80"/>
      <c r="U745" s="80"/>
      <c r="V745" s="84"/>
      <c r="W745" s="80"/>
      <c r="X745" s="85"/>
      <c r="Y745" s="86"/>
      <c r="Z745" s="86"/>
      <c r="AA745" s="86"/>
      <c r="AB745" s="86"/>
      <c r="AC745" s="86"/>
      <c r="AD745" s="86"/>
      <c r="AE745" s="86"/>
      <c r="AF745" s="86"/>
      <c r="AG745" s="86"/>
      <c r="AH745" s="82"/>
    </row>
    <row r="746">
      <c r="A746" s="78"/>
      <c r="B746" s="79"/>
      <c r="C746" s="80"/>
      <c r="D746" s="80"/>
      <c r="E746" s="80"/>
      <c r="F746" s="80"/>
      <c r="G746" s="80"/>
      <c r="H746" s="80"/>
      <c r="I746" s="80"/>
      <c r="J746" s="80"/>
      <c r="K746" s="82"/>
      <c r="L746" s="80"/>
      <c r="M746" s="80"/>
      <c r="N746" s="80"/>
      <c r="O746" s="80"/>
      <c r="P746" s="80"/>
      <c r="Q746" s="83"/>
      <c r="R746" s="80"/>
      <c r="S746" s="80"/>
      <c r="T746" s="80"/>
      <c r="U746" s="80"/>
      <c r="V746" s="84"/>
      <c r="W746" s="80"/>
      <c r="X746" s="85"/>
      <c r="Y746" s="86"/>
      <c r="Z746" s="86"/>
      <c r="AA746" s="86"/>
      <c r="AB746" s="86"/>
      <c r="AC746" s="86"/>
      <c r="AD746" s="86"/>
      <c r="AE746" s="86"/>
      <c r="AF746" s="86"/>
      <c r="AG746" s="86"/>
      <c r="AH746" s="82"/>
    </row>
    <row r="747">
      <c r="A747" s="78"/>
      <c r="B747" s="79"/>
      <c r="C747" s="80"/>
      <c r="D747" s="80"/>
      <c r="E747" s="80"/>
      <c r="F747" s="80"/>
      <c r="G747" s="80"/>
      <c r="H747" s="80"/>
      <c r="I747" s="80"/>
      <c r="J747" s="80"/>
      <c r="K747" s="82"/>
      <c r="L747" s="80"/>
      <c r="M747" s="80"/>
      <c r="N747" s="80"/>
      <c r="O747" s="80"/>
      <c r="P747" s="80"/>
      <c r="Q747" s="83"/>
      <c r="R747" s="80"/>
      <c r="S747" s="80"/>
      <c r="T747" s="80"/>
      <c r="U747" s="80"/>
      <c r="V747" s="84"/>
      <c r="W747" s="80"/>
      <c r="X747" s="85"/>
      <c r="Y747" s="86"/>
      <c r="Z747" s="86"/>
      <c r="AA747" s="86"/>
      <c r="AB747" s="86"/>
      <c r="AC747" s="86"/>
      <c r="AD747" s="86"/>
      <c r="AE747" s="86"/>
      <c r="AF747" s="86"/>
      <c r="AG747" s="86"/>
      <c r="AH747" s="82"/>
    </row>
    <row r="748">
      <c r="A748" s="78"/>
      <c r="B748" s="79"/>
      <c r="C748" s="80"/>
      <c r="D748" s="80"/>
      <c r="E748" s="80"/>
      <c r="F748" s="80"/>
      <c r="G748" s="80"/>
      <c r="H748" s="80"/>
      <c r="I748" s="80"/>
      <c r="J748" s="80"/>
      <c r="K748" s="82"/>
      <c r="L748" s="80"/>
      <c r="M748" s="80"/>
      <c r="N748" s="80"/>
      <c r="O748" s="80"/>
      <c r="P748" s="80"/>
      <c r="Q748" s="83"/>
      <c r="R748" s="80"/>
      <c r="S748" s="80"/>
      <c r="T748" s="80"/>
      <c r="U748" s="80"/>
      <c r="V748" s="84"/>
      <c r="W748" s="80"/>
      <c r="X748" s="85"/>
      <c r="Y748" s="86"/>
      <c r="Z748" s="86"/>
      <c r="AA748" s="86"/>
      <c r="AB748" s="86"/>
      <c r="AC748" s="86"/>
      <c r="AD748" s="86"/>
      <c r="AE748" s="86"/>
      <c r="AF748" s="86"/>
      <c r="AG748" s="86"/>
      <c r="AH748" s="82"/>
    </row>
    <row r="749">
      <c r="A749" s="78"/>
      <c r="B749" s="79"/>
      <c r="C749" s="80"/>
      <c r="D749" s="80"/>
      <c r="E749" s="80"/>
      <c r="F749" s="80"/>
      <c r="G749" s="80"/>
      <c r="H749" s="80"/>
      <c r="I749" s="80"/>
      <c r="J749" s="80"/>
      <c r="K749" s="82"/>
      <c r="L749" s="80"/>
      <c r="M749" s="80"/>
      <c r="N749" s="80"/>
      <c r="O749" s="80"/>
      <c r="P749" s="80"/>
      <c r="Q749" s="83"/>
      <c r="R749" s="80"/>
      <c r="S749" s="80"/>
      <c r="T749" s="80"/>
      <c r="U749" s="80"/>
      <c r="V749" s="84"/>
      <c r="W749" s="80"/>
      <c r="X749" s="85"/>
      <c r="Y749" s="86"/>
      <c r="Z749" s="86"/>
      <c r="AA749" s="86"/>
      <c r="AB749" s="86"/>
      <c r="AC749" s="86"/>
      <c r="AD749" s="86"/>
      <c r="AE749" s="86"/>
      <c r="AF749" s="86"/>
      <c r="AG749" s="86"/>
      <c r="AH749" s="82"/>
    </row>
    <row r="750">
      <c r="A750" s="78"/>
      <c r="B750" s="79"/>
      <c r="C750" s="80"/>
      <c r="D750" s="80"/>
      <c r="E750" s="80"/>
      <c r="F750" s="80"/>
      <c r="G750" s="80"/>
      <c r="H750" s="80"/>
      <c r="I750" s="80"/>
      <c r="J750" s="80"/>
      <c r="K750" s="82"/>
      <c r="L750" s="80"/>
      <c r="M750" s="80"/>
      <c r="N750" s="80"/>
      <c r="O750" s="80"/>
      <c r="P750" s="80"/>
      <c r="Q750" s="83"/>
      <c r="R750" s="80"/>
      <c r="S750" s="80"/>
      <c r="T750" s="80"/>
      <c r="U750" s="80"/>
      <c r="V750" s="84"/>
      <c r="W750" s="80"/>
      <c r="X750" s="85"/>
      <c r="Y750" s="86"/>
      <c r="Z750" s="86"/>
      <c r="AA750" s="86"/>
      <c r="AB750" s="86"/>
      <c r="AC750" s="86"/>
      <c r="AD750" s="86"/>
      <c r="AE750" s="86"/>
      <c r="AF750" s="86"/>
      <c r="AG750" s="86"/>
      <c r="AH750" s="82"/>
    </row>
    <row r="751">
      <c r="A751" s="78"/>
      <c r="B751" s="79"/>
      <c r="C751" s="80"/>
      <c r="D751" s="80"/>
      <c r="E751" s="80"/>
      <c r="F751" s="80"/>
      <c r="G751" s="80"/>
      <c r="H751" s="80"/>
      <c r="I751" s="80"/>
      <c r="J751" s="80"/>
      <c r="K751" s="82"/>
      <c r="L751" s="80"/>
      <c r="M751" s="80"/>
      <c r="N751" s="80"/>
      <c r="O751" s="80"/>
      <c r="P751" s="80"/>
      <c r="Q751" s="83"/>
      <c r="R751" s="80"/>
      <c r="S751" s="80"/>
      <c r="T751" s="80"/>
      <c r="U751" s="80"/>
      <c r="V751" s="84"/>
      <c r="W751" s="80"/>
      <c r="X751" s="85"/>
      <c r="Y751" s="86"/>
      <c r="Z751" s="86"/>
      <c r="AA751" s="86"/>
      <c r="AB751" s="86"/>
      <c r="AC751" s="86"/>
      <c r="AD751" s="86"/>
      <c r="AE751" s="86"/>
      <c r="AF751" s="86"/>
      <c r="AG751" s="86"/>
      <c r="AH751" s="82"/>
    </row>
    <row r="752">
      <c r="A752" s="78"/>
      <c r="B752" s="79"/>
      <c r="C752" s="80"/>
      <c r="D752" s="80"/>
      <c r="E752" s="80"/>
      <c r="F752" s="80"/>
      <c r="G752" s="80"/>
      <c r="H752" s="80"/>
      <c r="I752" s="80"/>
      <c r="J752" s="80"/>
      <c r="K752" s="82"/>
      <c r="L752" s="80"/>
      <c r="M752" s="80"/>
      <c r="N752" s="80"/>
      <c r="O752" s="80"/>
      <c r="P752" s="80"/>
      <c r="Q752" s="83"/>
      <c r="R752" s="80"/>
      <c r="S752" s="80"/>
      <c r="T752" s="80"/>
      <c r="U752" s="80"/>
      <c r="V752" s="84"/>
      <c r="W752" s="80"/>
      <c r="X752" s="85"/>
      <c r="Y752" s="86"/>
      <c r="Z752" s="86"/>
      <c r="AA752" s="86"/>
      <c r="AB752" s="86"/>
      <c r="AC752" s="86"/>
      <c r="AD752" s="86"/>
      <c r="AE752" s="86"/>
      <c r="AF752" s="86"/>
      <c r="AG752" s="86"/>
      <c r="AH752" s="82"/>
    </row>
    <row r="753">
      <c r="A753" s="78"/>
      <c r="B753" s="79"/>
      <c r="C753" s="80"/>
      <c r="D753" s="80"/>
      <c r="E753" s="80"/>
      <c r="F753" s="80"/>
      <c r="G753" s="80"/>
      <c r="H753" s="80"/>
      <c r="I753" s="80"/>
      <c r="J753" s="80"/>
      <c r="K753" s="82"/>
      <c r="L753" s="80"/>
      <c r="M753" s="80"/>
      <c r="N753" s="80"/>
      <c r="O753" s="80"/>
      <c r="P753" s="80"/>
      <c r="Q753" s="83"/>
      <c r="R753" s="80"/>
      <c r="S753" s="80"/>
      <c r="T753" s="80"/>
      <c r="U753" s="80"/>
      <c r="V753" s="84"/>
      <c r="W753" s="80"/>
      <c r="X753" s="85"/>
      <c r="Y753" s="86"/>
      <c r="Z753" s="86"/>
      <c r="AA753" s="86"/>
      <c r="AB753" s="86"/>
      <c r="AC753" s="86"/>
      <c r="AD753" s="86"/>
      <c r="AE753" s="86"/>
      <c r="AF753" s="86"/>
      <c r="AG753" s="86"/>
      <c r="AH753" s="82"/>
    </row>
    <row r="754">
      <c r="A754" s="78"/>
      <c r="B754" s="79"/>
      <c r="C754" s="80"/>
      <c r="D754" s="80"/>
      <c r="E754" s="80"/>
      <c r="F754" s="80"/>
      <c r="G754" s="80"/>
      <c r="H754" s="80"/>
      <c r="I754" s="80"/>
      <c r="J754" s="80"/>
      <c r="K754" s="82"/>
      <c r="L754" s="80"/>
      <c r="M754" s="80"/>
      <c r="N754" s="80"/>
      <c r="O754" s="80"/>
      <c r="P754" s="80"/>
      <c r="Q754" s="83"/>
      <c r="R754" s="80"/>
      <c r="S754" s="80"/>
      <c r="T754" s="80"/>
      <c r="U754" s="80"/>
      <c r="V754" s="84"/>
      <c r="W754" s="80"/>
      <c r="X754" s="85"/>
      <c r="Y754" s="86"/>
      <c r="Z754" s="86"/>
      <c r="AA754" s="86"/>
      <c r="AB754" s="86"/>
      <c r="AC754" s="86"/>
      <c r="AD754" s="86"/>
      <c r="AE754" s="86"/>
      <c r="AF754" s="86"/>
      <c r="AG754" s="86"/>
      <c r="AH754" s="82"/>
    </row>
    <row r="755">
      <c r="A755" s="78"/>
      <c r="B755" s="79"/>
      <c r="C755" s="80"/>
      <c r="D755" s="80"/>
      <c r="E755" s="80"/>
      <c r="F755" s="80"/>
      <c r="G755" s="80"/>
      <c r="H755" s="80"/>
      <c r="I755" s="80"/>
      <c r="J755" s="80"/>
      <c r="K755" s="82"/>
      <c r="L755" s="80"/>
      <c r="M755" s="80"/>
      <c r="N755" s="80"/>
      <c r="O755" s="80"/>
      <c r="P755" s="80"/>
      <c r="Q755" s="83"/>
      <c r="R755" s="80"/>
      <c r="S755" s="80"/>
      <c r="T755" s="80"/>
      <c r="U755" s="80"/>
      <c r="V755" s="84"/>
      <c r="W755" s="80"/>
      <c r="X755" s="85"/>
      <c r="Y755" s="86"/>
      <c r="Z755" s="86"/>
      <c r="AA755" s="86"/>
      <c r="AB755" s="86"/>
      <c r="AC755" s="86"/>
      <c r="AD755" s="86"/>
      <c r="AE755" s="86"/>
      <c r="AF755" s="86"/>
      <c r="AG755" s="86"/>
      <c r="AH755" s="82"/>
    </row>
    <row r="756">
      <c r="A756" s="78"/>
      <c r="B756" s="79"/>
      <c r="C756" s="80"/>
      <c r="D756" s="80"/>
      <c r="E756" s="80"/>
      <c r="F756" s="80"/>
      <c r="G756" s="80"/>
      <c r="H756" s="80"/>
      <c r="I756" s="80"/>
      <c r="J756" s="80"/>
      <c r="K756" s="82"/>
      <c r="L756" s="80"/>
      <c r="M756" s="80"/>
      <c r="N756" s="80"/>
      <c r="O756" s="80"/>
      <c r="P756" s="80"/>
      <c r="Q756" s="83"/>
      <c r="R756" s="80"/>
      <c r="S756" s="80"/>
      <c r="T756" s="80"/>
      <c r="U756" s="80"/>
      <c r="V756" s="84"/>
      <c r="W756" s="80"/>
      <c r="X756" s="85"/>
      <c r="Y756" s="86"/>
      <c r="Z756" s="86"/>
      <c r="AA756" s="86"/>
      <c r="AB756" s="86"/>
      <c r="AC756" s="86"/>
      <c r="AD756" s="86"/>
      <c r="AE756" s="86"/>
      <c r="AF756" s="86"/>
      <c r="AG756" s="86"/>
      <c r="AH756" s="82"/>
    </row>
    <row r="757">
      <c r="A757" s="78"/>
      <c r="B757" s="79"/>
      <c r="C757" s="80"/>
      <c r="D757" s="80"/>
      <c r="E757" s="80"/>
      <c r="F757" s="80"/>
      <c r="G757" s="80"/>
      <c r="H757" s="80"/>
      <c r="I757" s="80"/>
      <c r="J757" s="80"/>
      <c r="K757" s="82"/>
      <c r="L757" s="80"/>
      <c r="M757" s="80"/>
      <c r="N757" s="80"/>
      <c r="O757" s="80"/>
      <c r="P757" s="80"/>
      <c r="Q757" s="83"/>
      <c r="R757" s="80"/>
      <c r="S757" s="80"/>
      <c r="T757" s="80"/>
      <c r="U757" s="80"/>
      <c r="V757" s="84"/>
      <c r="W757" s="80"/>
      <c r="X757" s="85"/>
      <c r="Y757" s="86"/>
      <c r="Z757" s="86"/>
      <c r="AA757" s="86"/>
      <c r="AB757" s="86"/>
      <c r="AC757" s="86"/>
      <c r="AD757" s="86"/>
      <c r="AE757" s="86"/>
      <c r="AF757" s="86"/>
      <c r="AG757" s="86"/>
      <c r="AH757" s="82"/>
    </row>
    <row r="758">
      <c r="A758" s="78"/>
      <c r="B758" s="79"/>
      <c r="C758" s="80"/>
      <c r="D758" s="80"/>
      <c r="E758" s="80"/>
      <c r="F758" s="80"/>
      <c r="G758" s="80"/>
      <c r="H758" s="80"/>
      <c r="I758" s="80"/>
      <c r="J758" s="80"/>
      <c r="K758" s="82"/>
      <c r="L758" s="80"/>
      <c r="M758" s="80"/>
      <c r="N758" s="80"/>
      <c r="O758" s="80"/>
      <c r="P758" s="80"/>
      <c r="Q758" s="83"/>
      <c r="R758" s="80"/>
      <c r="S758" s="80"/>
      <c r="T758" s="80"/>
      <c r="U758" s="80"/>
      <c r="V758" s="84"/>
      <c r="W758" s="80"/>
      <c r="X758" s="85"/>
      <c r="Y758" s="86"/>
      <c r="Z758" s="86"/>
      <c r="AA758" s="86"/>
      <c r="AB758" s="86"/>
      <c r="AC758" s="86"/>
      <c r="AD758" s="86"/>
      <c r="AE758" s="86"/>
      <c r="AF758" s="86"/>
      <c r="AG758" s="86"/>
      <c r="AH758" s="82"/>
    </row>
    <row r="759">
      <c r="A759" s="78"/>
      <c r="B759" s="79"/>
      <c r="C759" s="80"/>
      <c r="D759" s="80"/>
      <c r="E759" s="80"/>
      <c r="F759" s="80"/>
      <c r="G759" s="80"/>
      <c r="H759" s="80"/>
      <c r="I759" s="80"/>
      <c r="J759" s="80"/>
      <c r="K759" s="82"/>
      <c r="L759" s="80"/>
      <c r="M759" s="80"/>
      <c r="N759" s="80"/>
      <c r="O759" s="80"/>
      <c r="P759" s="80"/>
      <c r="Q759" s="83"/>
      <c r="R759" s="80"/>
      <c r="S759" s="80"/>
      <c r="T759" s="80"/>
      <c r="U759" s="80"/>
      <c r="V759" s="84"/>
      <c r="W759" s="80"/>
      <c r="X759" s="85"/>
      <c r="Y759" s="86"/>
      <c r="Z759" s="86"/>
      <c r="AA759" s="86"/>
      <c r="AB759" s="86"/>
      <c r="AC759" s="86"/>
      <c r="AD759" s="86"/>
      <c r="AE759" s="86"/>
      <c r="AF759" s="86"/>
      <c r="AG759" s="86"/>
      <c r="AH759" s="82"/>
    </row>
    <row r="760">
      <c r="A760" s="78"/>
      <c r="B760" s="79"/>
      <c r="C760" s="80"/>
      <c r="D760" s="80"/>
      <c r="E760" s="80"/>
      <c r="F760" s="80"/>
      <c r="G760" s="80"/>
      <c r="H760" s="80"/>
      <c r="I760" s="80"/>
      <c r="J760" s="80"/>
      <c r="K760" s="82"/>
      <c r="L760" s="80"/>
      <c r="M760" s="80"/>
      <c r="N760" s="80"/>
      <c r="O760" s="80"/>
      <c r="P760" s="80"/>
      <c r="Q760" s="83"/>
      <c r="R760" s="80"/>
      <c r="S760" s="80"/>
      <c r="T760" s="80"/>
      <c r="U760" s="80"/>
      <c r="V760" s="84"/>
      <c r="W760" s="80"/>
      <c r="X760" s="85"/>
      <c r="Y760" s="86"/>
      <c r="Z760" s="86"/>
      <c r="AA760" s="86"/>
      <c r="AB760" s="86"/>
      <c r="AC760" s="86"/>
      <c r="AD760" s="86"/>
      <c r="AE760" s="86"/>
      <c r="AF760" s="86"/>
      <c r="AG760" s="86"/>
      <c r="AH760" s="82"/>
    </row>
    <row r="761">
      <c r="A761" s="78"/>
      <c r="B761" s="79"/>
      <c r="C761" s="80"/>
      <c r="D761" s="80"/>
      <c r="E761" s="80"/>
      <c r="F761" s="80"/>
      <c r="G761" s="80"/>
      <c r="H761" s="80"/>
      <c r="I761" s="80"/>
      <c r="J761" s="80"/>
      <c r="K761" s="82"/>
      <c r="L761" s="80"/>
      <c r="M761" s="80"/>
      <c r="N761" s="80"/>
      <c r="O761" s="80"/>
      <c r="P761" s="80"/>
      <c r="Q761" s="83"/>
      <c r="R761" s="80"/>
      <c r="S761" s="80"/>
      <c r="T761" s="80"/>
      <c r="U761" s="80"/>
      <c r="V761" s="84"/>
      <c r="W761" s="80"/>
      <c r="X761" s="85"/>
      <c r="Y761" s="86"/>
      <c r="Z761" s="86"/>
      <c r="AA761" s="86"/>
      <c r="AB761" s="86"/>
      <c r="AC761" s="86"/>
      <c r="AD761" s="86"/>
      <c r="AE761" s="86"/>
      <c r="AF761" s="86"/>
      <c r="AG761" s="86"/>
      <c r="AH761" s="82"/>
    </row>
    <row r="762">
      <c r="A762" s="78"/>
      <c r="B762" s="79"/>
      <c r="C762" s="80"/>
      <c r="D762" s="80"/>
      <c r="E762" s="80"/>
      <c r="F762" s="80"/>
      <c r="G762" s="80"/>
      <c r="H762" s="80"/>
      <c r="I762" s="80"/>
      <c r="J762" s="80"/>
      <c r="K762" s="82"/>
      <c r="L762" s="80"/>
      <c r="M762" s="80"/>
      <c r="N762" s="80"/>
      <c r="O762" s="80"/>
      <c r="P762" s="80"/>
      <c r="Q762" s="83"/>
      <c r="R762" s="80"/>
      <c r="S762" s="80"/>
      <c r="T762" s="80"/>
      <c r="U762" s="80"/>
      <c r="V762" s="84"/>
      <c r="W762" s="80"/>
      <c r="X762" s="85"/>
      <c r="Y762" s="86"/>
      <c r="Z762" s="86"/>
      <c r="AA762" s="86"/>
      <c r="AB762" s="86"/>
      <c r="AC762" s="86"/>
      <c r="AD762" s="86"/>
      <c r="AE762" s="86"/>
      <c r="AF762" s="86"/>
      <c r="AG762" s="86"/>
      <c r="AH762" s="82"/>
    </row>
    <row r="763">
      <c r="A763" s="78"/>
      <c r="B763" s="79"/>
      <c r="C763" s="80"/>
      <c r="D763" s="80"/>
      <c r="E763" s="80"/>
      <c r="F763" s="80"/>
      <c r="G763" s="80"/>
      <c r="H763" s="80"/>
      <c r="I763" s="80"/>
      <c r="J763" s="80"/>
      <c r="K763" s="82"/>
      <c r="L763" s="80"/>
      <c r="M763" s="80"/>
      <c r="N763" s="80"/>
      <c r="O763" s="80"/>
      <c r="P763" s="80"/>
      <c r="Q763" s="83"/>
      <c r="R763" s="80"/>
      <c r="S763" s="80"/>
      <c r="T763" s="80"/>
      <c r="U763" s="80"/>
      <c r="V763" s="84"/>
      <c r="W763" s="80"/>
      <c r="X763" s="85"/>
      <c r="Y763" s="86"/>
      <c r="Z763" s="86"/>
      <c r="AA763" s="86"/>
      <c r="AB763" s="86"/>
      <c r="AC763" s="86"/>
      <c r="AD763" s="86"/>
      <c r="AE763" s="86"/>
      <c r="AF763" s="86"/>
      <c r="AG763" s="86"/>
      <c r="AH763" s="82"/>
    </row>
    <row r="764">
      <c r="A764" s="78"/>
      <c r="B764" s="79"/>
      <c r="C764" s="80"/>
      <c r="D764" s="80"/>
      <c r="E764" s="80"/>
      <c r="F764" s="80"/>
      <c r="G764" s="80"/>
      <c r="H764" s="80"/>
      <c r="I764" s="80"/>
      <c r="J764" s="80"/>
      <c r="K764" s="82"/>
      <c r="L764" s="80"/>
      <c r="M764" s="80"/>
      <c r="N764" s="80"/>
      <c r="O764" s="80"/>
      <c r="P764" s="80"/>
      <c r="Q764" s="83"/>
      <c r="R764" s="80"/>
      <c r="S764" s="80"/>
      <c r="T764" s="80"/>
      <c r="U764" s="80"/>
      <c r="V764" s="84"/>
      <c r="W764" s="80"/>
      <c r="X764" s="85"/>
      <c r="Y764" s="86"/>
      <c r="Z764" s="86"/>
      <c r="AA764" s="86"/>
      <c r="AB764" s="86"/>
      <c r="AC764" s="86"/>
      <c r="AD764" s="86"/>
      <c r="AE764" s="86"/>
      <c r="AF764" s="86"/>
      <c r="AG764" s="86"/>
      <c r="AH764" s="82"/>
    </row>
    <row r="765">
      <c r="A765" s="78"/>
      <c r="B765" s="79"/>
      <c r="C765" s="80"/>
      <c r="D765" s="80"/>
      <c r="E765" s="80"/>
      <c r="F765" s="80"/>
      <c r="G765" s="80"/>
      <c r="H765" s="80"/>
      <c r="I765" s="80"/>
      <c r="J765" s="80"/>
      <c r="K765" s="82"/>
      <c r="L765" s="80"/>
      <c r="M765" s="80"/>
      <c r="N765" s="80"/>
      <c r="O765" s="80"/>
      <c r="P765" s="80"/>
      <c r="Q765" s="83"/>
      <c r="R765" s="80"/>
      <c r="S765" s="80"/>
      <c r="T765" s="80"/>
      <c r="U765" s="80"/>
      <c r="V765" s="84"/>
      <c r="W765" s="80"/>
      <c r="X765" s="85"/>
      <c r="Y765" s="86"/>
      <c r="Z765" s="86"/>
      <c r="AA765" s="86"/>
      <c r="AB765" s="86"/>
      <c r="AC765" s="86"/>
      <c r="AD765" s="86"/>
      <c r="AE765" s="86"/>
      <c r="AF765" s="86"/>
      <c r="AG765" s="86"/>
      <c r="AH765" s="82"/>
    </row>
    <row r="766">
      <c r="A766" s="78"/>
      <c r="B766" s="79"/>
      <c r="C766" s="80"/>
      <c r="D766" s="80"/>
      <c r="E766" s="80"/>
      <c r="F766" s="80"/>
      <c r="G766" s="80"/>
      <c r="H766" s="80"/>
      <c r="I766" s="80"/>
      <c r="J766" s="80"/>
      <c r="K766" s="82"/>
      <c r="L766" s="80"/>
      <c r="M766" s="80"/>
      <c r="N766" s="80"/>
      <c r="O766" s="80"/>
      <c r="P766" s="80"/>
      <c r="Q766" s="83"/>
      <c r="R766" s="80"/>
      <c r="S766" s="80"/>
      <c r="T766" s="80"/>
      <c r="U766" s="80"/>
      <c r="V766" s="84"/>
      <c r="W766" s="80"/>
      <c r="X766" s="85"/>
      <c r="Y766" s="86"/>
      <c r="Z766" s="86"/>
      <c r="AA766" s="86"/>
      <c r="AB766" s="86"/>
      <c r="AC766" s="86"/>
      <c r="AD766" s="86"/>
      <c r="AE766" s="86"/>
      <c r="AF766" s="86"/>
      <c r="AG766" s="86"/>
      <c r="AH766" s="82"/>
    </row>
    <row r="767">
      <c r="A767" s="78"/>
      <c r="B767" s="79"/>
      <c r="C767" s="80"/>
      <c r="D767" s="80"/>
      <c r="E767" s="80"/>
      <c r="F767" s="80"/>
      <c r="G767" s="80"/>
      <c r="H767" s="80"/>
      <c r="I767" s="80"/>
      <c r="J767" s="80"/>
      <c r="K767" s="82"/>
      <c r="L767" s="80"/>
      <c r="M767" s="80"/>
      <c r="N767" s="80"/>
      <c r="O767" s="80"/>
      <c r="P767" s="80"/>
      <c r="Q767" s="83"/>
      <c r="R767" s="80"/>
      <c r="S767" s="80"/>
      <c r="T767" s="80"/>
      <c r="U767" s="80"/>
      <c r="V767" s="84"/>
      <c r="W767" s="80"/>
      <c r="X767" s="85"/>
      <c r="Y767" s="86"/>
      <c r="Z767" s="86"/>
      <c r="AA767" s="86"/>
      <c r="AB767" s="86"/>
      <c r="AC767" s="86"/>
      <c r="AD767" s="86"/>
      <c r="AE767" s="86"/>
      <c r="AF767" s="86"/>
      <c r="AG767" s="86"/>
      <c r="AH767" s="82"/>
    </row>
    <row r="768">
      <c r="A768" s="78"/>
      <c r="B768" s="79"/>
      <c r="C768" s="80"/>
      <c r="D768" s="80"/>
      <c r="E768" s="80"/>
      <c r="F768" s="80"/>
      <c r="G768" s="80"/>
      <c r="H768" s="80"/>
      <c r="I768" s="80"/>
      <c r="J768" s="80"/>
      <c r="K768" s="82"/>
      <c r="L768" s="80"/>
      <c r="M768" s="80"/>
      <c r="N768" s="80"/>
      <c r="O768" s="80"/>
      <c r="P768" s="80"/>
      <c r="Q768" s="83"/>
      <c r="R768" s="80"/>
      <c r="S768" s="80"/>
      <c r="T768" s="80"/>
      <c r="U768" s="80"/>
      <c r="V768" s="84"/>
      <c r="W768" s="80"/>
      <c r="X768" s="85"/>
      <c r="Y768" s="86"/>
      <c r="Z768" s="86"/>
      <c r="AA768" s="86"/>
      <c r="AB768" s="86"/>
      <c r="AC768" s="86"/>
      <c r="AD768" s="86"/>
      <c r="AE768" s="86"/>
      <c r="AF768" s="86"/>
      <c r="AG768" s="86"/>
      <c r="AH768" s="82"/>
    </row>
    <row r="769">
      <c r="A769" s="78"/>
      <c r="B769" s="79"/>
      <c r="C769" s="80"/>
      <c r="D769" s="80"/>
      <c r="E769" s="80"/>
      <c r="F769" s="80"/>
      <c r="G769" s="80"/>
      <c r="H769" s="80"/>
      <c r="I769" s="80"/>
      <c r="J769" s="80"/>
      <c r="K769" s="82"/>
      <c r="L769" s="80"/>
      <c r="M769" s="80"/>
      <c r="N769" s="80"/>
      <c r="O769" s="80"/>
      <c r="P769" s="80"/>
      <c r="Q769" s="83"/>
      <c r="R769" s="80"/>
      <c r="S769" s="80"/>
      <c r="T769" s="80"/>
      <c r="U769" s="80"/>
      <c r="V769" s="84"/>
      <c r="W769" s="80"/>
      <c r="X769" s="85"/>
      <c r="Y769" s="86"/>
      <c r="Z769" s="86"/>
      <c r="AA769" s="86"/>
      <c r="AB769" s="86"/>
      <c r="AC769" s="86"/>
      <c r="AD769" s="86"/>
      <c r="AE769" s="86"/>
      <c r="AF769" s="86"/>
      <c r="AG769" s="86"/>
      <c r="AH769" s="82"/>
    </row>
    <row r="770">
      <c r="A770" s="78"/>
      <c r="B770" s="79"/>
      <c r="C770" s="80"/>
      <c r="D770" s="80"/>
      <c r="E770" s="80"/>
      <c r="F770" s="80"/>
      <c r="G770" s="80"/>
      <c r="H770" s="80"/>
      <c r="I770" s="80"/>
      <c r="J770" s="80"/>
      <c r="K770" s="82"/>
      <c r="L770" s="80"/>
      <c r="M770" s="80"/>
      <c r="N770" s="80"/>
      <c r="O770" s="80"/>
      <c r="P770" s="80"/>
      <c r="Q770" s="83"/>
      <c r="R770" s="80"/>
      <c r="S770" s="80"/>
      <c r="T770" s="80"/>
      <c r="U770" s="80"/>
      <c r="V770" s="84"/>
      <c r="W770" s="80"/>
      <c r="X770" s="85"/>
      <c r="Y770" s="86"/>
      <c r="Z770" s="86"/>
      <c r="AA770" s="86"/>
      <c r="AB770" s="86"/>
      <c r="AC770" s="86"/>
      <c r="AD770" s="86"/>
      <c r="AE770" s="86"/>
      <c r="AF770" s="86"/>
      <c r="AG770" s="86"/>
      <c r="AH770" s="82"/>
    </row>
    <row r="771">
      <c r="A771" s="78"/>
      <c r="B771" s="79"/>
      <c r="C771" s="80"/>
      <c r="D771" s="80"/>
      <c r="E771" s="80"/>
      <c r="F771" s="80"/>
      <c r="G771" s="80"/>
      <c r="H771" s="80"/>
      <c r="I771" s="80"/>
      <c r="J771" s="80"/>
      <c r="K771" s="82"/>
      <c r="L771" s="80"/>
      <c r="M771" s="80"/>
      <c r="N771" s="80"/>
      <c r="O771" s="80"/>
      <c r="P771" s="80"/>
      <c r="Q771" s="83"/>
      <c r="R771" s="80"/>
      <c r="S771" s="80"/>
      <c r="T771" s="80"/>
      <c r="U771" s="80"/>
      <c r="V771" s="84"/>
      <c r="W771" s="80"/>
      <c r="X771" s="85"/>
      <c r="Y771" s="86"/>
      <c r="Z771" s="86"/>
      <c r="AA771" s="86"/>
      <c r="AB771" s="86"/>
      <c r="AC771" s="86"/>
      <c r="AD771" s="86"/>
      <c r="AE771" s="86"/>
      <c r="AF771" s="86"/>
      <c r="AG771" s="86"/>
      <c r="AH771" s="82"/>
    </row>
    <row r="772">
      <c r="A772" s="78"/>
      <c r="B772" s="79"/>
      <c r="C772" s="80"/>
      <c r="D772" s="80"/>
      <c r="E772" s="80"/>
      <c r="F772" s="80"/>
      <c r="G772" s="80"/>
      <c r="H772" s="80"/>
      <c r="I772" s="80"/>
      <c r="J772" s="80"/>
      <c r="K772" s="82"/>
      <c r="L772" s="80"/>
      <c r="M772" s="80"/>
      <c r="N772" s="80"/>
      <c r="O772" s="80"/>
      <c r="P772" s="80"/>
      <c r="Q772" s="83"/>
      <c r="R772" s="80"/>
      <c r="S772" s="80"/>
      <c r="T772" s="80"/>
      <c r="U772" s="80"/>
      <c r="V772" s="84"/>
      <c r="W772" s="80"/>
      <c r="X772" s="85"/>
      <c r="Y772" s="86"/>
      <c r="Z772" s="86"/>
      <c r="AA772" s="86"/>
      <c r="AB772" s="86"/>
      <c r="AC772" s="86"/>
      <c r="AD772" s="86"/>
      <c r="AE772" s="86"/>
      <c r="AF772" s="86"/>
      <c r="AG772" s="86"/>
      <c r="AH772" s="82"/>
    </row>
    <row r="773">
      <c r="A773" s="78"/>
      <c r="B773" s="79"/>
      <c r="C773" s="80"/>
      <c r="D773" s="80"/>
      <c r="E773" s="80"/>
      <c r="F773" s="80"/>
      <c r="G773" s="80"/>
      <c r="H773" s="80"/>
      <c r="I773" s="80"/>
      <c r="J773" s="80"/>
      <c r="K773" s="82"/>
      <c r="L773" s="80"/>
      <c r="M773" s="80"/>
      <c r="N773" s="80"/>
      <c r="O773" s="80"/>
      <c r="P773" s="80"/>
      <c r="Q773" s="83"/>
      <c r="R773" s="80"/>
      <c r="S773" s="80"/>
      <c r="T773" s="80"/>
      <c r="U773" s="80"/>
      <c r="V773" s="84"/>
      <c r="W773" s="80"/>
      <c r="X773" s="85"/>
      <c r="Y773" s="86"/>
      <c r="Z773" s="86"/>
      <c r="AA773" s="86"/>
      <c r="AB773" s="86"/>
      <c r="AC773" s="86"/>
      <c r="AD773" s="86"/>
      <c r="AE773" s="86"/>
      <c r="AF773" s="86"/>
      <c r="AG773" s="86"/>
      <c r="AH773" s="82"/>
    </row>
    <row r="774">
      <c r="A774" s="78"/>
      <c r="B774" s="79"/>
      <c r="C774" s="80"/>
      <c r="D774" s="80"/>
      <c r="E774" s="80"/>
      <c r="F774" s="80"/>
      <c r="G774" s="80"/>
      <c r="H774" s="80"/>
      <c r="I774" s="80"/>
      <c r="J774" s="80"/>
      <c r="K774" s="82"/>
      <c r="L774" s="80"/>
      <c r="M774" s="80"/>
      <c r="N774" s="80"/>
      <c r="O774" s="80"/>
      <c r="P774" s="80"/>
      <c r="Q774" s="83"/>
      <c r="R774" s="80"/>
      <c r="S774" s="80"/>
      <c r="T774" s="80"/>
      <c r="U774" s="80"/>
      <c r="V774" s="84"/>
      <c r="W774" s="80"/>
      <c r="X774" s="85"/>
      <c r="Y774" s="86"/>
      <c r="Z774" s="86"/>
      <c r="AA774" s="86"/>
      <c r="AB774" s="86"/>
      <c r="AC774" s="86"/>
      <c r="AD774" s="86"/>
      <c r="AE774" s="86"/>
      <c r="AF774" s="86"/>
      <c r="AG774" s="86"/>
      <c r="AH774" s="82"/>
    </row>
    <row r="775">
      <c r="A775" s="78"/>
      <c r="B775" s="79"/>
      <c r="C775" s="80"/>
      <c r="D775" s="80"/>
      <c r="E775" s="80"/>
      <c r="F775" s="80"/>
      <c r="G775" s="80"/>
      <c r="H775" s="80"/>
      <c r="I775" s="80"/>
      <c r="J775" s="80"/>
      <c r="K775" s="82"/>
      <c r="L775" s="80"/>
      <c r="M775" s="80"/>
      <c r="N775" s="80"/>
      <c r="O775" s="80"/>
      <c r="P775" s="80"/>
      <c r="Q775" s="83"/>
      <c r="R775" s="80"/>
      <c r="S775" s="80"/>
      <c r="T775" s="80"/>
      <c r="U775" s="80"/>
      <c r="V775" s="84"/>
      <c r="W775" s="80"/>
      <c r="X775" s="85"/>
      <c r="Y775" s="86"/>
      <c r="Z775" s="86"/>
      <c r="AA775" s="86"/>
      <c r="AB775" s="86"/>
      <c r="AC775" s="86"/>
      <c r="AD775" s="86"/>
      <c r="AE775" s="86"/>
      <c r="AF775" s="86"/>
      <c r="AG775" s="86"/>
      <c r="AH775" s="82"/>
    </row>
    <row r="776">
      <c r="A776" s="78"/>
      <c r="B776" s="79"/>
      <c r="C776" s="80"/>
      <c r="D776" s="80"/>
      <c r="E776" s="80"/>
      <c r="F776" s="80"/>
      <c r="G776" s="80"/>
      <c r="H776" s="80"/>
      <c r="I776" s="80"/>
      <c r="J776" s="80"/>
      <c r="K776" s="82"/>
      <c r="L776" s="80"/>
      <c r="M776" s="80"/>
      <c r="N776" s="80"/>
      <c r="O776" s="80"/>
      <c r="P776" s="80"/>
      <c r="Q776" s="83"/>
      <c r="R776" s="80"/>
      <c r="S776" s="80"/>
      <c r="T776" s="80"/>
      <c r="U776" s="80"/>
      <c r="V776" s="84"/>
      <c r="W776" s="80"/>
      <c r="X776" s="85"/>
      <c r="Y776" s="86"/>
      <c r="Z776" s="86"/>
      <c r="AA776" s="86"/>
      <c r="AB776" s="86"/>
      <c r="AC776" s="86"/>
      <c r="AD776" s="86"/>
      <c r="AE776" s="86"/>
      <c r="AF776" s="86"/>
      <c r="AG776" s="86"/>
      <c r="AH776" s="82"/>
    </row>
    <row r="777">
      <c r="A777" s="78"/>
      <c r="B777" s="79"/>
      <c r="C777" s="80"/>
      <c r="D777" s="80"/>
      <c r="E777" s="80"/>
      <c r="F777" s="80"/>
      <c r="G777" s="80"/>
      <c r="H777" s="80"/>
      <c r="I777" s="80"/>
      <c r="J777" s="80"/>
      <c r="K777" s="82"/>
      <c r="L777" s="80"/>
      <c r="M777" s="80"/>
      <c r="N777" s="80"/>
      <c r="O777" s="80"/>
      <c r="P777" s="80"/>
      <c r="Q777" s="83"/>
      <c r="R777" s="80"/>
      <c r="S777" s="80"/>
      <c r="T777" s="80"/>
      <c r="U777" s="80"/>
      <c r="V777" s="84"/>
      <c r="W777" s="80"/>
      <c r="X777" s="85"/>
      <c r="Y777" s="86"/>
      <c r="Z777" s="86"/>
      <c r="AA777" s="86"/>
      <c r="AB777" s="86"/>
      <c r="AC777" s="86"/>
      <c r="AD777" s="86"/>
      <c r="AE777" s="86"/>
      <c r="AF777" s="86"/>
      <c r="AG777" s="86"/>
      <c r="AH777" s="82"/>
    </row>
    <row r="778">
      <c r="A778" s="78"/>
      <c r="B778" s="79"/>
      <c r="C778" s="80"/>
      <c r="D778" s="80"/>
      <c r="E778" s="80"/>
      <c r="F778" s="80"/>
      <c r="G778" s="80"/>
      <c r="H778" s="80"/>
      <c r="I778" s="80"/>
      <c r="J778" s="80"/>
      <c r="K778" s="82"/>
      <c r="L778" s="80"/>
      <c r="M778" s="80"/>
      <c r="N778" s="80"/>
      <c r="O778" s="80"/>
      <c r="P778" s="80"/>
      <c r="Q778" s="83"/>
      <c r="R778" s="80"/>
      <c r="S778" s="80"/>
      <c r="T778" s="80"/>
      <c r="U778" s="80"/>
      <c r="V778" s="84"/>
      <c r="W778" s="80"/>
      <c r="X778" s="85"/>
      <c r="Y778" s="86"/>
      <c r="Z778" s="86"/>
      <c r="AA778" s="86"/>
      <c r="AB778" s="86"/>
      <c r="AC778" s="86"/>
      <c r="AD778" s="86"/>
      <c r="AE778" s="86"/>
      <c r="AF778" s="86"/>
      <c r="AG778" s="86"/>
      <c r="AH778" s="82"/>
    </row>
    <row r="779">
      <c r="A779" s="78"/>
      <c r="B779" s="79"/>
      <c r="C779" s="80"/>
      <c r="D779" s="80"/>
      <c r="E779" s="80"/>
      <c r="F779" s="80"/>
      <c r="G779" s="80"/>
      <c r="H779" s="80"/>
      <c r="I779" s="80"/>
      <c r="J779" s="80"/>
      <c r="K779" s="82"/>
      <c r="L779" s="80"/>
      <c r="M779" s="80"/>
      <c r="N779" s="80"/>
      <c r="O779" s="80"/>
      <c r="P779" s="80"/>
      <c r="Q779" s="83"/>
      <c r="R779" s="80"/>
      <c r="S779" s="80"/>
      <c r="T779" s="80"/>
      <c r="U779" s="80"/>
      <c r="V779" s="84"/>
      <c r="W779" s="80"/>
      <c r="X779" s="85"/>
      <c r="Y779" s="86"/>
      <c r="Z779" s="86"/>
      <c r="AA779" s="86"/>
      <c r="AB779" s="86"/>
      <c r="AC779" s="86"/>
      <c r="AD779" s="86"/>
      <c r="AE779" s="86"/>
      <c r="AF779" s="86"/>
      <c r="AG779" s="86"/>
      <c r="AH779" s="82"/>
    </row>
    <row r="780">
      <c r="A780" s="78"/>
      <c r="B780" s="79"/>
      <c r="C780" s="80"/>
      <c r="D780" s="80"/>
      <c r="E780" s="80"/>
      <c r="F780" s="80"/>
      <c r="G780" s="80"/>
      <c r="H780" s="80"/>
      <c r="I780" s="80"/>
      <c r="J780" s="80"/>
      <c r="K780" s="82"/>
      <c r="L780" s="80"/>
      <c r="M780" s="80"/>
      <c r="N780" s="80"/>
      <c r="O780" s="80"/>
      <c r="P780" s="80"/>
      <c r="Q780" s="83"/>
      <c r="R780" s="80"/>
      <c r="S780" s="80"/>
      <c r="T780" s="80"/>
      <c r="U780" s="80"/>
      <c r="V780" s="84"/>
      <c r="W780" s="80"/>
      <c r="X780" s="85"/>
      <c r="Y780" s="86"/>
      <c r="Z780" s="86"/>
      <c r="AA780" s="86"/>
      <c r="AB780" s="86"/>
      <c r="AC780" s="86"/>
      <c r="AD780" s="86"/>
      <c r="AE780" s="86"/>
      <c r="AF780" s="86"/>
      <c r="AG780" s="86"/>
      <c r="AH780" s="82"/>
    </row>
    <row r="781">
      <c r="A781" s="78"/>
      <c r="B781" s="79"/>
      <c r="C781" s="80"/>
      <c r="D781" s="80"/>
      <c r="E781" s="80"/>
      <c r="F781" s="80"/>
      <c r="G781" s="80"/>
      <c r="H781" s="80"/>
      <c r="I781" s="80"/>
      <c r="J781" s="80"/>
      <c r="K781" s="82"/>
      <c r="L781" s="80"/>
      <c r="M781" s="80"/>
      <c r="N781" s="80"/>
      <c r="O781" s="80"/>
      <c r="P781" s="80"/>
      <c r="Q781" s="83"/>
      <c r="R781" s="80"/>
      <c r="S781" s="80"/>
      <c r="T781" s="80"/>
      <c r="U781" s="80"/>
      <c r="V781" s="84"/>
      <c r="W781" s="80"/>
      <c r="X781" s="85"/>
      <c r="Y781" s="86"/>
      <c r="Z781" s="86"/>
      <c r="AA781" s="86"/>
      <c r="AB781" s="86"/>
      <c r="AC781" s="86"/>
      <c r="AD781" s="86"/>
      <c r="AE781" s="86"/>
      <c r="AF781" s="86"/>
      <c r="AG781" s="86"/>
      <c r="AH781" s="82"/>
    </row>
    <row r="782">
      <c r="A782" s="78"/>
      <c r="B782" s="79"/>
      <c r="C782" s="80"/>
      <c r="D782" s="80"/>
      <c r="E782" s="80"/>
      <c r="F782" s="80"/>
      <c r="G782" s="80"/>
      <c r="H782" s="80"/>
      <c r="I782" s="80"/>
      <c r="J782" s="80"/>
      <c r="K782" s="82"/>
      <c r="L782" s="80"/>
      <c r="M782" s="80"/>
      <c r="N782" s="80"/>
      <c r="O782" s="80"/>
      <c r="P782" s="80"/>
      <c r="Q782" s="83"/>
      <c r="R782" s="80"/>
      <c r="S782" s="80"/>
      <c r="T782" s="80"/>
      <c r="U782" s="80"/>
      <c r="V782" s="84"/>
      <c r="W782" s="80"/>
      <c r="X782" s="85"/>
      <c r="Y782" s="86"/>
      <c r="Z782" s="86"/>
      <c r="AA782" s="86"/>
      <c r="AB782" s="86"/>
      <c r="AC782" s="86"/>
      <c r="AD782" s="86"/>
      <c r="AE782" s="86"/>
      <c r="AF782" s="86"/>
      <c r="AG782" s="86"/>
      <c r="AH782" s="82"/>
    </row>
    <row r="783">
      <c r="A783" s="78"/>
      <c r="B783" s="79"/>
      <c r="C783" s="80"/>
      <c r="D783" s="80"/>
      <c r="E783" s="80"/>
      <c r="F783" s="80"/>
      <c r="G783" s="80"/>
      <c r="H783" s="80"/>
      <c r="I783" s="80"/>
      <c r="J783" s="80"/>
      <c r="K783" s="82"/>
      <c r="L783" s="80"/>
      <c r="M783" s="80"/>
      <c r="N783" s="80"/>
      <c r="O783" s="80"/>
      <c r="P783" s="80"/>
      <c r="Q783" s="83"/>
      <c r="R783" s="80"/>
      <c r="S783" s="80"/>
      <c r="T783" s="80"/>
      <c r="U783" s="80"/>
      <c r="V783" s="84"/>
      <c r="W783" s="80"/>
      <c r="X783" s="85"/>
      <c r="Y783" s="86"/>
      <c r="Z783" s="86"/>
      <c r="AA783" s="86"/>
      <c r="AB783" s="86"/>
      <c r="AC783" s="86"/>
      <c r="AD783" s="86"/>
      <c r="AE783" s="86"/>
      <c r="AF783" s="86"/>
      <c r="AG783" s="86"/>
      <c r="AH783" s="82"/>
    </row>
    <row r="784">
      <c r="A784" s="78"/>
      <c r="B784" s="79"/>
      <c r="C784" s="80"/>
      <c r="D784" s="80"/>
      <c r="E784" s="80"/>
      <c r="F784" s="80"/>
      <c r="G784" s="80"/>
      <c r="H784" s="80"/>
      <c r="I784" s="80"/>
      <c r="J784" s="80"/>
      <c r="K784" s="82"/>
      <c r="L784" s="80"/>
      <c r="M784" s="80"/>
      <c r="N784" s="80"/>
      <c r="O784" s="80"/>
      <c r="P784" s="80"/>
      <c r="Q784" s="83"/>
      <c r="R784" s="80"/>
      <c r="S784" s="80"/>
      <c r="T784" s="80"/>
      <c r="U784" s="80"/>
      <c r="V784" s="84"/>
      <c r="W784" s="80"/>
      <c r="X784" s="85"/>
      <c r="Y784" s="86"/>
      <c r="Z784" s="86"/>
      <c r="AA784" s="86"/>
      <c r="AB784" s="86"/>
      <c r="AC784" s="86"/>
      <c r="AD784" s="86"/>
      <c r="AE784" s="86"/>
      <c r="AF784" s="86"/>
      <c r="AG784" s="86"/>
      <c r="AH784" s="82"/>
    </row>
    <row r="785">
      <c r="A785" s="78"/>
      <c r="B785" s="79"/>
      <c r="C785" s="80"/>
      <c r="D785" s="80"/>
      <c r="E785" s="80"/>
      <c r="F785" s="80"/>
      <c r="G785" s="80"/>
      <c r="H785" s="80"/>
      <c r="I785" s="80"/>
      <c r="J785" s="80"/>
      <c r="K785" s="82"/>
      <c r="L785" s="80"/>
      <c r="M785" s="80"/>
      <c r="N785" s="80"/>
      <c r="O785" s="80"/>
      <c r="P785" s="80"/>
      <c r="Q785" s="83"/>
      <c r="R785" s="80"/>
      <c r="S785" s="80"/>
      <c r="T785" s="80"/>
      <c r="U785" s="80"/>
      <c r="V785" s="84"/>
      <c r="W785" s="80"/>
      <c r="X785" s="85"/>
      <c r="Y785" s="86"/>
      <c r="Z785" s="86"/>
      <c r="AA785" s="86"/>
      <c r="AB785" s="86"/>
      <c r="AC785" s="86"/>
      <c r="AD785" s="86"/>
      <c r="AE785" s="86"/>
      <c r="AF785" s="86"/>
      <c r="AG785" s="86"/>
      <c r="AH785" s="82"/>
    </row>
    <row r="786">
      <c r="A786" s="78"/>
      <c r="B786" s="79"/>
      <c r="C786" s="80"/>
      <c r="D786" s="80"/>
      <c r="E786" s="80"/>
      <c r="F786" s="80"/>
      <c r="G786" s="80"/>
      <c r="H786" s="80"/>
      <c r="I786" s="80"/>
      <c r="J786" s="80"/>
      <c r="K786" s="82"/>
      <c r="L786" s="80"/>
      <c r="M786" s="80"/>
      <c r="N786" s="80"/>
      <c r="O786" s="80"/>
      <c r="P786" s="80"/>
      <c r="Q786" s="83"/>
      <c r="R786" s="80"/>
      <c r="S786" s="80"/>
      <c r="T786" s="80"/>
      <c r="U786" s="80"/>
      <c r="V786" s="84"/>
      <c r="W786" s="80"/>
      <c r="X786" s="85"/>
      <c r="Y786" s="86"/>
      <c r="Z786" s="86"/>
      <c r="AA786" s="86"/>
      <c r="AB786" s="86"/>
      <c r="AC786" s="86"/>
      <c r="AD786" s="86"/>
      <c r="AE786" s="86"/>
      <c r="AF786" s="86"/>
      <c r="AG786" s="86"/>
      <c r="AH786" s="82"/>
    </row>
    <row r="787">
      <c r="A787" s="78"/>
      <c r="B787" s="79"/>
      <c r="C787" s="80"/>
      <c r="D787" s="80"/>
      <c r="E787" s="80"/>
      <c r="F787" s="80"/>
      <c r="G787" s="80"/>
      <c r="H787" s="80"/>
      <c r="I787" s="80"/>
      <c r="J787" s="80"/>
      <c r="K787" s="82"/>
      <c r="L787" s="80"/>
      <c r="M787" s="80"/>
      <c r="N787" s="80"/>
      <c r="O787" s="80"/>
      <c r="P787" s="80"/>
      <c r="Q787" s="83"/>
      <c r="R787" s="80"/>
      <c r="S787" s="80"/>
      <c r="T787" s="80"/>
      <c r="U787" s="80"/>
      <c r="V787" s="84"/>
      <c r="W787" s="80"/>
      <c r="X787" s="85"/>
      <c r="Y787" s="86"/>
      <c r="Z787" s="86"/>
      <c r="AA787" s="86"/>
      <c r="AB787" s="86"/>
      <c r="AC787" s="86"/>
      <c r="AD787" s="86"/>
      <c r="AE787" s="86"/>
      <c r="AF787" s="86"/>
      <c r="AG787" s="86"/>
      <c r="AH787" s="82"/>
    </row>
    <row r="788">
      <c r="A788" s="78"/>
      <c r="B788" s="79"/>
      <c r="C788" s="80"/>
      <c r="D788" s="80"/>
      <c r="E788" s="80"/>
      <c r="F788" s="80"/>
      <c r="G788" s="80"/>
      <c r="H788" s="80"/>
      <c r="I788" s="80"/>
      <c r="J788" s="80"/>
      <c r="K788" s="82"/>
      <c r="L788" s="80"/>
      <c r="M788" s="80"/>
      <c r="N788" s="80"/>
      <c r="O788" s="80"/>
      <c r="P788" s="80"/>
      <c r="Q788" s="83"/>
      <c r="R788" s="80"/>
      <c r="S788" s="80"/>
      <c r="T788" s="80"/>
      <c r="U788" s="80"/>
      <c r="V788" s="84"/>
      <c r="W788" s="80"/>
      <c r="X788" s="85"/>
      <c r="Y788" s="86"/>
      <c r="Z788" s="86"/>
      <c r="AA788" s="86"/>
      <c r="AB788" s="86"/>
      <c r="AC788" s="86"/>
      <c r="AD788" s="86"/>
      <c r="AE788" s="86"/>
      <c r="AF788" s="86"/>
      <c r="AG788" s="86"/>
      <c r="AH788" s="82"/>
    </row>
    <row r="789">
      <c r="A789" s="78"/>
      <c r="B789" s="79"/>
      <c r="C789" s="80"/>
      <c r="D789" s="80"/>
      <c r="E789" s="80"/>
      <c r="F789" s="80"/>
      <c r="G789" s="80"/>
      <c r="H789" s="80"/>
      <c r="I789" s="80"/>
      <c r="J789" s="80"/>
      <c r="K789" s="82"/>
      <c r="L789" s="80"/>
      <c r="M789" s="80"/>
      <c r="N789" s="80"/>
      <c r="O789" s="80"/>
      <c r="P789" s="80"/>
      <c r="Q789" s="83"/>
      <c r="R789" s="80"/>
      <c r="S789" s="80"/>
      <c r="T789" s="80"/>
      <c r="U789" s="80"/>
      <c r="V789" s="84"/>
      <c r="W789" s="80"/>
      <c r="X789" s="85"/>
      <c r="Y789" s="86"/>
      <c r="Z789" s="86"/>
      <c r="AA789" s="86"/>
      <c r="AB789" s="86"/>
      <c r="AC789" s="86"/>
      <c r="AD789" s="86"/>
      <c r="AE789" s="86"/>
      <c r="AF789" s="86"/>
      <c r="AG789" s="86"/>
      <c r="AH789" s="82"/>
    </row>
    <row r="790">
      <c r="A790" s="78"/>
      <c r="B790" s="79"/>
      <c r="C790" s="80"/>
      <c r="D790" s="80"/>
      <c r="E790" s="80"/>
      <c r="F790" s="80"/>
      <c r="G790" s="80"/>
      <c r="H790" s="80"/>
      <c r="I790" s="80"/>
      <c r="J790" s="80"/>
      <c r="K790" s="82"/>
      <c r="L790" s="80"/>
      <c r="M790" s="80"/>
      <c r="N790" s="80"/>
      <c r="O790" s="80"/>
      <c r="P790" s="80"/>
      <c r="Q790" s="83"/>
      <c r="R790" s="80"/>
      <c r="S790" s="80"/>
      <c r="T790" s="80"/>
      <c r="U790" s="80"/>
      <c r="V790" s="84"/>
      <c r="W790" s="80"/>
      <c r="X790" s="85"/>
      <c r="Y790" s="86"/>
      <c r="Z790" s="86"/>
      <c r="AA790" s="86"/>
      <c r="AB790" s="86"/>
      <c r="AC790" s="86"/>
      <c r="AD790" s="86"/>
      <c r="AE790" s="86"/>
      <c r="AF790" s="86"/>
      <c r="AG790" s="86"/>
      <c r="AH790" s="82"/>
    </row>
    <row r="791">
      <c r="A791" s="78"/>
      <c r="B791" s="79"/>
      <c r="C791" s="80"/>
      <c r="D791" s="80"/>
      <c r="E791" s="80"/>
      <c r="F791" s="80"/>
      <c r="G791" s="80"/>
      <c r="H791" s="80"/>
      <c r="I791" s="80"/>
      <c r="J791" s="80"/>
      <c r="K791" s="82"/>
      <c r="L791" s="80"/>
      <c r="M791" s="80"/>
      <c r="N791" s="80"/>
      <c r="O791" s="80"/>
      <c r="P791" s="80"/>
      <c r="Q791" s="83"/>
      <c r="R791" s="80"/>
      <c r="S791" s="80"/>
      <c r="T791" s="80"/>
      <c r="U791" s="80"/>
      <c r="V791" s="84"/>
      <c r="W791" s="80"/>
      <c r="X791" s="85"/>
      <c r="Y791" s="86"/>
      <c r="Z791" s="86"/>
      <c r="AA791" s="86"/>
      <c r="AB791" s="86"/>
      <c r="AC791" s="86"/>
      <c r="AD791" s="86"/>
      <c r="AE791" s="86"/>
      <c r="AF791" s="86"/>
      <c r="AG791" s="86"/>
      <c r="AH791" s="82"/>
    </row>
    <row r="792">
      <c r="A792" s="78"/>
      <c r="B792" s="79"/>
      <c r="C792" s="80"/>
      <c r="D792" s="80"/>
      <c r="E792" s="80"/>
      <c r="F792" s="80"/>
      <c r="G792" s="80"/>
      <c r="H792" s="80"/>
      <c r="I792" s="80"/>
      <c r="J792" s="80"/>
      <c r="K792" s="82"/>
      <c r="L792" s="80"/>
      <c r="M792" s="80"/>
      <c r="N792" s="80"/>
      <c r="O792" s="80"/>
      <c r="P792" s="80"/>
      <c r="Q792" s="83"/>
      <c r="R792" s="80"/>
      <c r="S792" s="80"/>
      <c r="T792" s="80"/>
      <c r="U792" s="80"/>
      <c r="V792" s="84"/>
      <c r="W792" s="80"/>
      <c r="X792" s="85"/>
      <c r="Y792" s="86"/>
      <c r="Z792" s="86"/>
      <c r="AA792" s="86"/>
      <c r="AB792" s="86"/>
      <c r="AC792" s="86"/>
      <c r="AD792" s="86"/>
      <c r="AE792" s="86"/>
      <c r="AF792" s="86"/>
      <c r="AG792" s="86"/>
      <c r="AH792" s="82"/>
    </row>
    <row r="793">
      <c r="A793" s="78"/>
      <c r="B793" s="79"/>
      <c r="C793" s="80"/>
      <c r="D793" s="80"/>
      <c r="E793" s="80"/>
      <c r="F793" s="80"/>
      <c r="G793" s="80"/>
      <c r="H793" s="80"/>
      <c r="I793" s="80"/>
      <c r="J793" s="80"/>
      <c r="K793" s="82"/>
      <c r="L793" s="80"/>
      <c r="M793" s="80"/>
      <c r="N793" s="80"/>
      <c r="O793" s="80"/>
      <c r="P793" s="80"/>
      <c r="Q793" s="83"/>
      <c r="R793" s="80"/>
      <c r="S793" s="80"/>
      <c r="T793" s="80"/>
      <c r="U793" s="80"/>
      <c r="V793" s="84"/>
      <c r="W793" s="80"/>
      <c r="X793" s="85"/>
      <c r="Y793" s="86"/>
      <c r="Z793" s="86"/>
      <c r="AA793" s="86"/>
      <c r="AB793" s="86"/>
      <c r="AC793" s="86"/>
      <c r="AD793" s="86"/>
      <c r="AE793" s="86"/>
      <c r="AF793" s="86"/>
      <c r="AG793" s="86"/>
      <c r="AH793" s="82"/>
    </row>
    <row r="794">
      <c r="A794" s="78"/>
      <c r="B794" s="79"/>
      <c r="C794" s="80"/>
      <c r="D794" s="80"/>
      <c r="E794" s="80"/>
      <c r="F794" s="80"/>
      <c r="G794" s="80"/>
      <c r="H794" s="80"/>
      <c r="I794" s="80"/>
      <c r="J794" s="80"/>
      <c r="K794" s="82"/>
      <c r="L794" s="80"/>
      <c r="M794" s="80"/>
      <c r="N794" s="80"/>
      <c r="O794" s="80"/>
      <c r="P794" s="80"/>
      <c r="Q794" s="83"/>
      <c r="R794" s="80"/>
      <c r="S794" s="80"/>
      <c r="T794" s="80"/>
      <c r="U794" s="80"/>
      <c r="V794" s="84"/>
      <c r="W794" s="80"/>
      <c r="X794" s="85"/>
      <c r="Y794" s="86"/>
      <c r="Z794" s="86"/>
      <c r="AA794" s="86"/>
      <c r="AB794" s="86"/>
      <c r="AC794" s="86"/>
      <c r="AD794" s="86"/>
      <c r="AE794" s="86"/>
      <c r="AF794" s="86"/>
      <c r="AG794" s="86"/>
      <c r="AH794" s="82"/>
    </row>
    <row r="795">
      <c r="A795" s="78"/>
      <c r="B795" s="79"/>
      <c r="C795" s="80"/>
      <c r="D795" s="80"/>
      <c r="E795" s="80"/>
      <c r="F795" s="80"/>
      <c r="G795" s="80"/>
      <c r="H795" s="80"/>
      <c r="I795" s="80"/>
      <c r="J795" s="80"/>
      <c r="K795" s="82"/>
      <c r="L795" s="80"/>
      <c r="M795" s="80"/>
      <c r="N795" s="80"/>
      <c r="O795" s="80"/>
      <c r="P795" s="80"/>
      <c r="Q795" s="83"/>
      <c r="R795" s="80"/>
      <c r="S795" s="80"/>
      <c r="T795" s="80"/>
      <c r="U795" s="80"/>
      <c r="V795" s="84"/>
      <c r="W795" s="80"/>
      <c r="X795" s="85"/>
      <c r="Y795" s="86"/>
      <c r="Z795" s="86"/>
      <c r="AA795" s="86"/>
      <c r="AB795" s="86"/>
      <c r="AC795" s="86"/>
      <c r="AD795" s="86"/>
      <c r="AE795" s="86"/>
      <c r="AF795" s="86"/>
      <c r="AG795" s="86"/>
      <c r="AH795" s="82"/>
    </row>
    <row r="796">
      <c r="A796" s="78"/>
      <c r="B796" s="79"/>
      <c r="C796" s="80"/>
      <c r="D796" s="80"/>
      <c r="E796" s="80"/>
      <c r="F796" s="80"/>
      <c r="G796" s="80"/>
      <c r="H796" s="80"/>
      <c r="I796" s="80"/>
      <c r="J796" s="80"/>
      <c r="K796" s="82"/>
      <c r="L796" s="80"/>
      <c r="M796" s="80"/>
      <c r="N796" s="80"/>
      <c r="O796" s="80"/>
      <c r="P796" s="80"/>
      <c r="Q796" s="83"/>
      <c r="R796" s="80"/>
      <c r="S796" s="80"/>
      <c r="T796" s="80"/>
      <c r="U796" s="80"/>
      <c r="V796" s="84"/>
      <c r="W796" s="80"/>
      <c r="X796" s="85"/>
      <c r="Y796" s="86"/>
      <c r="Z796" s="86"/>
      <c r="AA796" s="86"/>
      <c r="AB796" s="86"/>
      <c r="AC796" s="86"/>
      <c r="AD796" s="86"/>
      <c r="AE796" s="86"/>
      <c r="AF796" s="86"/>
      <c r="AG796" s="86"/>
      <c r="AH796" s="82"/>
    </row>
    <row r="797">
      <c r="A797" s="78"/>
      <c r="B797" s="79"/>
      <c r="C797" s="80"/>
      <c r="D797" s="80"/>
      <c r="E797" s="80"/>
      <c r="F797" s="80"/>
      <c r="G797" s="80"/>
      <c r="H797" s="80"/>
      <c r="I797" s="80"/>
      <c r="J797" s="80"/>
      <c r="K797" s="82"/>
      <c r="L797" s="80"/>
      <c r="M797" s="80"/>
      <c r="N797" s="80"/>
      <c r="O797" s="80"/>
      <c r="P797" s="80"/>
      <c r="Q797" s="83"/>
      <c r="R797" s="80"/>
      <c r="S797" s="80"/>
      <c r="T797" s="80"/>
      <c r="U797" s="80"/>
      <c r="V797" s="84"/>
      <c r="W797" s="80"/>
      <c r="X797" s="85"/>
      <c r="Y797" s="86"/>
      <c r="Z797" s="86"/>
      <c r="AA797" s="86"/>
      <c r="AB797" s="86"/>
      <c r="AC797" s="86"/>
      <c r="AD797" s="86"/>
      <c r="AE797" s="86"/>
      <c r="AF797" s="86"/>
      <c r="AG797" s="86"/>
      <c r="AH797" s="82"/>
    </row>
    <row r="798">
      <c r="A798" s="78"/>
      <c r="B798" s="79"/>
      <c r="C798" s="80"/>
      <c r="D798" s="80"/>
      <c r="E798" s="80"/>
      <c r="F798" s="80"/>
      <c r="G798" s="80"/>
      <c r="H798" s="80"/>
      <c r="I798" s="80"/>
      <c r="J798" s="80"/>
      <c r="K798" s="82"/>
      <c r="L798" s="80"/>
      <c r="M798" s="80"/>
      <c r="N798" s="80"/>
      <c r="O798" s="80"/>
      <c r="P798" s="80"/>
      <c r="Q798" s="83"/>
      <c r="R798" s="80"/>
      <c r="S798" s="80"/>
      <c r="T798" s="80"/>
      <c r="U798" s="80"/>
      <c r="V798" s="84"/>
      <c r="W798" s="80"/>
      <c r="X798" s="85"/>
      <c r="Y798" s="86"/>
      <c r="Z798" s="86"/>
      <c r="AA798" s="86"/>
      <c r="AB798" s="86"/>
      <c r="AC798" s="86"/>
      <c r="AD798" s="86"/>
      <c r="AE798" s="86"/>
      <c r="AF798" s="86"/>
      <c r="AG798" s="86"/>
      <c r="AH798" s="82"/>
    </row>
    <row r="799">
      <c r="A799" s="78"/>
      <c r="B799" s="79"/>
      <c r="C799" s="80"/>
      <c r="D799" s="80"/>
      <c r="E799" s="80"/>
      <c r="F799" s="80"/>
      <c r="G799" s="80"/>
      <c r="H799" s="80"/>
      <c r="I799" s="80"/>
      <c r="J799" s="80"/>
      <c r="K799" s="82"/>
      <c r="L799" s="80"/>
      <c r="M799" s="80"/>
      <c r="N799" s="80"/>
      <c r="O799" s="80"/>
      <c r="P799" s="80"/>
      <c r="Q799" s="83"/>
      <c r="R799" s="80"/>
      <c r="S799" s="80"/>
      <c r="T799" s="80"/>
      <c r="U799" s="80"/>
      <c r="V799" s="84"/>
      <c r="W799" s="80"/>
      <c r="X799" s="85"/>
      <c r="Y799" s="86"/>
      <c r="Z799" s="86"/>
      <c r="AA799" s="86"/>
      <c r="AB799" s="86"/>
      <c r="AC799" s="86"/>
      <c r="AD799" s="86"/>
      <c r="AE799" s="86"/>
      <c r="AF799" s="86"/>
      <c r="AG799" s="86"/>
      <c r="AH799" s="82"/>
    </row>
    <row r="800">
      <c r="A800" s="78"/>
      <c r="B800" s="79"/>
      <c r="C800" s="80"/>
      <c r="D800" s="80"/>
      <c r="E800" s="80"/>
      <c r="F800" s="80"/>
      <c r="G800" s="80"/>
      <c r="H800" s="80"/>
      <c r="I800" s="80"/>
      <c r="J800" s="80"/>
      <c r="K800" s="82"/>
      <c r="L800" s="80"/>
      <c r="M800" s="80"/>
      <c r="N800" s="80"/>
      <c r="O800" s="80"/>
      <c r="P800" s="80"/>
      <c r="Q800" s="83"/>
      <c r="R800" s="80"/>
      <c r="S800" s="80"/>
      <c r="T800" s="80"/>
      <c r="U800" s="80"/>
      <c r="V800" s="84"/>
      <c r="W800" s="80"/>
      <c r="X800" s="85"/>
      <c r="Y800" s="86"/>
      <c r="Z800" s="86"/>
      <c r="AA800" s="86"/>
      <c r="AB800" s="86"/>
      <c r="AC800" s="86"/>
      <c r="AD800" s="86"/>
      <c r="AE800" s="86"/>
      <c r="AF800" s="86"/>
      <c r="AG800" s="86"/>
      <c r="AH800" s="82"/>
    </row>
    <row r="801">
      <c r="A801" s="78"/>
      <c r="B801" s="79"/>
      <c r="C801" s="80"/>
      <c r="D801" s="80"/>
      <c r="E801" s="80"/>
      <c r="F801" s="80"/>
      <c r="G801" s="80"/>
      <c r="H801" s="80"/>
      <c r="I801" s="80"/>
      <c r="J801" s="80"/>
      <c r="K801" s="82"/>
      <c r="L801" s="80"/>
      <c r="M801" s="80"/>
      <c r="N801" s="80"/>
      <c r="O801" s="80"/>
      <c r="P801" s="80"/>
      <c r="Q801" s="83"/>
      <c r="R801" s="80"/>
      <c r="S801" s="80"/>
      <c r="T801" s="80"/>
      <c r="U801" s="80"/>
      <c r="V801" s="84"/>
      <c r="W801" s="80"/>
      <c r="X801" s="85"/>
      <c r="Y801" s="86"/>
      <c r="Z801" s="86"/>
      <c r="AA801" s="86"/>
      <c r="AB801" s="86"/>
      <c r="AC801" s="86"/>
      <c r="AD801" s="86"/>
      <c r="AE801" s="86"/>
      <c r="AF801" s="86"/>
      <c r="AG801" s="86"/>
      <c r="AH801" s="82"/>
    </row>
    <row r="802">
      <c r="A802" s="78"/>
      <c r="B802" s="79"/>
      <c r="C802" s="80"/>
      <c r="D802" s="80"/>
      <c r="E802" s="80"/>
      <c r="F802" s="80"/>
      <c r="G802" s="80"/>
      <c r="H802" s="80"/>
      <c r="I802" s="80"/>
      <c r="J802" s="80"/>
      <c r="K802" s="82"/>
      <c r="L802" s="80"/>
      <c r="M802" s="80"/>
      <c r="N802" s="80"/>
      <c r="O802" s="80"/>
      <c r="P802" s="80"/>
      <c r="Q802" s="83"/>
      <c r="R802" s="80"/>
      <c r="S802" s="80"/>
      <c r="T802" s="80"/>
      <c r="U802" s="80"/>
      <c r="V802" s="84"/>
      <c r="W802" s="80"/>
      <c r="X802" s="85"/>
      <c r="Y802" s="86"/>
      <c r="Z802" s="86"/>
      <c r="AA802" s="86"/>
      <c r="AB802" s="86"/>
      <c r="AC802" s="86"/>
      <c r="AD802" s="86"/>
      <c r="AE802" s="86"/>
      <c r="AF802" s="86"/>
      <c r="AG802" s="86"/>
      <c r="AH802" s="82"/>
    </row>
    <row r="803">
      <c r="A803" s="78"/>
      <c r="B803" s="79"/>
      <c r="C803" s="80"/>
      <c r="D803" s="80"/>
      <c r="E803" s="80"/>
      <c r="F803" s="80"/>
      <c r="G803" s="80"/>
      <c r="H803" s="80"/>
      <c r="I803" s="80"/>
      <c r="J803" s="80"/>
      <c r="K803" s="82"/>
      <c r="L803" s="80"/>
      <c r="M803" s="80"/>
      <c r="N803" s="80"/>
      <c r="O803" s="80"/>
      <c r="P803" s="80"/>
      <c r="Q803" s="83"/>
      <c r="R803" s="80"/>
      <c r="S803" s="80"/>
      <c r="T803" s="80"/>
      <c r="U803" s="80"/>
      <c r="V803" s="84"/>
      <c r="W803" s="80"/>
      <c r="X803" s="85"/>
      <c r="Y803" s="86"/>
      <c r="Z803" s="86"/>
      <c r="AA803" s="86"/>
      <c r="AB803" s="86"/>
      <c r="AC803" s="86"/>
      <c r="AD803" s="86"/>
      <c r="AE803" s="86"/>
      <c r="AF803" s="86"/>
      <c r="AG803" s="86"/>
      <c r="AH803" s="82"/>
    </row>
    <row r="804">
      <c r="A804" s="78"/>
      <c r="B804" s="79"/>
      <c r="C804" s="80"/>
      <c r="D804" s="80"/>
      <c r="E804" s="80"/>
      <c r="F804" s="80"/>
      <c r="G804" s="80"/>
      <c r="H804" s="80"/>
      <c r="I804" s="80"/>
      <c r="J804" s="80"/>
      <c r="K804" s="82"/>
      <c r="L804" s="80"/>
      <c r="M804" s="80"/>
      <c r="N804" s="80"/>
      <c r="O804" s="80"/>
      <c r="P804" s="80"/>
      <c r="Q804" s="83"/>
      <c r="R804" s="80"/>
      <c r="S804" s="80"/>
      <c r="T804" s="80"/>
      <c r="U804" s="80"/>
      <c r="V804" s="84"/>
      <c r="W804" s="80"/>
      <c r="X804" s="85"/>
      <c r="Y804" s="86"/>
      <c r="Z804" s="86"/>
      <c r="AA804" s="86"/>
      <c r="AB804" s="86"/>
      <c r="AC804" s="86"/>
      <c r="AD804" s="86"/>
      <c r="AE804" s="86"/>
      <c r="AF804" s="86"/>
      <c r="AG804" s="86"/>
      <c r="AH804" s="82"/>
    </row>
    <row r="805">
      <c r="A805" s="78"/>
      <c r="B805" s="79"/>
      <c r="C805" s="80"/>
      <c r="D805" s="80"/>
      <c r="E805" s="80"/>
      <c r="F805" s="80"/>
      <c r="G805" s="80"/>
      <c r="H805" s="80"/>
      <c r="I805" s="80"/>
      <c r="J805" s="80"/>
      <c r="K805" s="82"/>
      <c r="L805" s="80"/>
      <c r="M805" s="80"/>
      <c r="N805" s="80"/>
      <c r="O805" s="80"/>
      <c r="P805" s="80"/>
      <c r="Q805" s="83"/>
      <c r="R805" s="80"/>
      <c r="S805" s="80"/>
      <c r="T805" s="80"/>
      <c r="U805" s="80"/>
      <c r="V805" s="84"/>
      <c r="W805" s="80"/>
      <c r="X805" s="85"/>
      <c r="Y805" s="86"/>
      <c r="Z805" s="86"/>
      <c r="AA805" s="86"/>
      <c r="AB805" s="86"/>
      <c r="AC805" s="86"/>
      <c r="AD805" s="86"/>
      <c r="AE805" s="86"/>
      <c r="AF805" s="86"/>
      <c r="AG805" s="86"/>
      <c r="AH805" s="82"/>
    </row>
    <row r="806">
      <c r="A806" s="78"/>
      <c r="B806" s="79"/>
      <c r="C806" s="80"/>
      <c r="D806" s="80"/>
      <c r="E806" s="80"/>
      <c r="F806" s="80"/>
      <c r="G806" s="80"/>
      <c r="H806" s="80"/>
      <c r="I806" s="80"/>
      <c r="J806" s="80"/>
      <c r="K806" s="82"/>
      <c r="L806" s="80"/>
      <c r="M806" s="80"/>
      <c r="N806" s="80"/>
      <c r="O806" s="80"/>
      <c r="P806" s="80"/>
      <c r="Q806" s="83"/>
      <c r="R806" s="80"/>
      <c r="S806" s="80"/>
      <c r="T806" s="80"/>
      <c r="U806" s="80"/>
      <c r="V806" s="84"/>
      <c r="W806" s="80"/>
      <c r="X806" s="85"/>
      <c r="Y806" s="86"/>
      <c r="Z806" s="86"/>
      <c r="AA806" s="86"/>
      <c r="AB806" s="86"/>
      <c r="AC806" s="86"/>
      <c r="AD806" s="86"/>
      <c r="AE806" s="86"/>
      <c r="AF806" s="86"/>
      <c r="AG806" s="86"/>
      <c r="AH806" s="82"/>
    </row>
    <row r="807">
      <c r="A807" s="78"/>
      <c r="B807" s="79"/>
      <c r="C807" s="80"/>
      <c r="D807" s="80"/>
      <c r="E807" s="80"/>
      <c r="F807" s="80"/>
      <c r="G807" s="80"/>
      <c r="H807" s="80"/>
      <c r="I807" s="80"/>
      <c r="J807" s="80"/>
      <c r="K807" s="82"/>
      <c r="L807" s="80"/>
      <c r="M807" s="80"/>
      <c r="N807" s="80"/>
      <c r="O807" s="80"/>
      <c r="P807" s="80"/>
      <c r="Q807" s="83"/>
      <c r="R807" s="80"/>
      <c r="S807" s="80"/>
      <c r="T807" s="80"/>
      <c r="U807" s="80"/>
      <c r="V807" s="84"/>
      <c r="W807" s="80"/>
      <c r="X807" s="85"/>
      <c r="Y807" s="86"/>
      <c r="Z807" s="86"/>
      <c r="AA807" s="86"/>
      <c r="AB807" s="86"/>
      <c r="AC807" s="86"/>
      <c r="AD807" s="86"/>
      <c r="AE807" s="86"/>
      <c r="AF807" s="86"/>
      <c r="AG807" s="86"/>
      <c r="AH807" s="82"/>
    </row>
    <row r="808">
      <c r="A808" s="78"/>
      <c r="B808" s="79"/>
      <c r="C808" s="80"/>
      <c r="D808" s="80"/>
      <c r="E808" s="80"/>
      <c r="F808" s="80"/>
      <c r="G808" s="80"/>
      <c r="H808" s="80"/>
      <c r="I808" s="80"/>
      <c r="J808" s="80"/>
      <c r="K808" s="82"/>
      <c r="L808" s="80"/>
      <c r="M808" s="80"/>
      <c r="N808" s="80"/>
      <c r="O808" s="80"/>
      <c r="P808" s="80"/>
      <c r="Q808" s="83"/>
      <c r="R808" s="80"/>
      <c r="S808" s="80"/>
      <c r="T808" s="80"/>
      <c r="U808" s="80"/>
      <c r="V808" s="84"/>
      <c r="W808" s="80"/>
      <c r="X808" s="85"/>
      <c r="Y808" s="86"/>
      <c r="Z808" s="86"/>
      <c r="AA808" s="86"/>
      <c r="AB808" s="86"/>
      <c r="AC808" s="86"/>
      <c r="AD808" s="86"/>
      <c r="AE808" s="86"/>
      <c r="AF808" s="86"/>
      <c r="AG808" s="86"/>
      <c r="AH808" s="82"/>
    </row>
    <row r="809">
      <c r="A809" s="78"/>
      <c r="B809" s="79"/>
      <c r="C809" s="80"/>
      <c r="D809" s="80"/>
      <c r="E809" s="80"/>
      <c r="F809" s="80"/>
      <c r="G809" s="80"/>
      <c r="H809" s="80"/>
      <c r="I809" s="80"/>
      <c r="J809" s="80"/>
      <c r="K809" s="82"/>
      <c r="L809" s="80"/>
      <c r="M809" s="80"/>
      <c r="N809" s="80"/>
      <c r="O809" s="80"/>
      <c r="P809" s="80"/>
      <c r="Q809" s="83"/>
      <c r="R809" s="80"/>
      <c r="S809" s="80"/>
      <c r="T809" s="80"/>
      <c r="U809" s="80"/>
      <c r="V809" s="84"/>
      <c r="W809" s="80"/>
      <c r="X809" s="85"/>
      <c r="Y809" s="86"/>
      <c r="Z809" s="86"/>
      <c r="AA809" s="86"/>
      <c r="AB809" s="86"/>
      <c r="AC809" s="86"/>
      <c r="AD809" s="86"/>
      <c r="AE809" s="86"/>
      <c r="AF809" s="86"/>
      <c r="AG809" s="86"/>
      <c r="AH809" s="82"/>
    </row>
    <row r="810">
      <c r="A810" s="78"/>
      <c r="B810" s="79"/>
      <c r="C810" s="80"/>
      <c r="D810" s="80"/>
      <c r="E810" s="80"/>
      <c r="F810" s="80"/>
      <c r="G810" s="80"/>
      <c r="H810" s="80"/>
      <c r="I810" s="80"/>
      <c r="J810" s="80"/>
      <c r="K810" s="82"/>
      <c r="L810" s="80"/>
      <c r="M810" s="80"/>
      <c r="N810" s="80"/>
      <c r="O810" s="80"/>
      <c r="P810" s="80"/>
      <c r="Q810" s="83"/>
      <c r="R810" s="80"/>
      <c r="S810" s="80"/>
      <c r="T810" s="80"/>
      <c r="U810" s="80"/>
      <c r="V810" s="84"/>
      <c r="W810" s="80"/>
      <c r="X810" s="85"/>
      <c r="Y810" s="86"/>
      <c r="Z810" s="86"/>
      <c r="AA810" s="86"/>
      <c r="AB810" s="86"/>
      <c r="AC810" s="86"/>
      <c r="AD810" s="86"/>
      <c r="AE810" s="86"/>
      <c r="AF810" s="86"/>
      <c r="AG810" s="86"/>
      <c r="AH810" s="82"/>
    </row>
    <row r="811">
      <c r="A811" s="78"/>
      <c r="B811" s="79"/>
      <c r="C811" s="80"/>
      <c r="D811" s="80"/>
      <c r="E811" s="80"/>
      <c r="F811" s="80"/>
      <c r="G811" s="80"/>
      <c r="H811" s="80"/>
      <c r="I811" s="80"/>
      <c r="J811" s="80"/>
      <c r="K811" s="82"/>
      <c r="L811" s="80"/>
      <c r="M811" s="80"/>
      <c r="N811" s="80"/>
      <c r="O811" s="80"/>
      <c r="P811" s="80"/>
      <c r="Q811" s="83"/>
      <c r="R811" s="80"/>
      <c r="S811" s="80"/>
      <c r="T811" s="80"/>
      <c r="U811" s="80"/>
      <c r="V811" s="84"/>
      <c r="W811" s="80"/>
      <c r="X811" s="85"/>
      <c r="Y811" s="86"/>
      <c r="Z811" s="86"/>
      <c r="AA811" s="86"/>
      <c r="AB811" s="86"/>
      <c r="AC811" s="86"/>
      <c r="AD811" s="86"/>
      <c r="AE811" s="86"/>
      <c r="AF811" s="86"/>
      <c r="AG811" s="86"/>
      <c r="AH811" s="82"/>
    </row>
    <row r="812">
      <c r="A812" s="78"/>
      <c r="B812" s="79"/>
      <c r="C812" s="80"/>
      <c r="D812" s="80"/>
      <c r="E812" s="80"/>
      <c r="F812" s="80"/>
      <c r="G812" s="80"/>
      <c r="H812" s="80"/>
      <c r="I812" s="80"/>
      <c r="J812" s="80"/>
      <c r="K812" s="82"/>
      <c r="L812" s="80"/>
      <c r="M812" s="80"/>
      <c r="N812" s="80"/>
      <c r="O812" s="80"/>
      <c r="P812" s="80"/>
      <c r="Q812" s="83"/>
      <c r="R812" s="80"/>
      <c r="S812" s="80"/>
      <c r="T812" s="80"/>
      <c r="U812" s="80"/>
      <c r="V812" s="84"/>
      <c r="W812" s="80"/>
      <c r="X812" s="85"/>
      <c r="Y812" s="86"/>
      <c r="Z812" s="86"/>
      <c r="AA812" s="86"/>
      <c r="AB812" s="86"/>
      <c r="AC812" s="86"/>
      <c r="AD812" s="86"/>
      <c r="AE812" s="86"/>
      <c r="AF812" s="86"/>
      <c r="AG812" s="86"/>
      <c r="AH812" s="82"/>
    </row>
    <row r="813">
      <c r="A813" s="78"/>
      <c r="B813" s="79"/>
      <c r="C813" s="80"/>
      <c r="D813" s="80"/>
      <c r="E813" s="80"/>
      <c r="F813" s="80"/>
      <c r="G813" s="80"/>
      <c r="H813" s="80"/>
      <c r="I813" s="80"/>
      <c r="J813" s="80"/>
      <c r="K813" s="82"/>
      <c r="L813" s="80"/>
      <c r="M813" s="80"/>
      <c r="N813" s="80"/>
      <c r="O813" s="80"/>
      <c r="P813" s="80"/>
      <c r="Q813" s="83"/>
      <c r="R813" s="80"/>
      <c r="S813" s="80"/>
      <c r="T813" s="80"/>
      <c r="U813" s="80"/>
      <c r="V813" s="84"/>
      <c r="W813" s="80"/>
      <c r="X813" s="85"/>
      <c r="Y813" s="86"/>
      <c r="Z813" s="86"/>
      <c r="AA813" s="86"/>
      <c r="AB813" s="86"/>
      <c r="AC813" s="86"/>
      <c r="AD813" s="86"/>
      <c r="AE813" s="86"/>
      <c r="AF813" s="86"/>
      <c r="AG813" s="86"/>
      <c r="AH813" s="82"/>
    </row>
    <row r="814">
      <c r="A814" s="78"/>
      <c r="B814" s="79"/>
      <c r="C814" s="80"/>
      <c r="D814" s="80"/>
      <c r="E814" s="80"/>
      <c r="F814" s="80"/>
      <c r="G814" s="80"/>
      <c r="H814" s="80"/>
      <c r="I814" s="80"/>
      <c r="J814" s="80"/>
      <c r="K814" s="82"/>
      <c r="L814" s="80"/>
      <c r="M814" s="80"/>
      <c r="N814" s="80"/>
      <c r="O814" s="80"/>
      <c r="P814" s="80"/>
      <c r="Q814" s="83"/>
      <c r="R814" s="80"/>
      <c r="S814" s="80"/>
      <c r="T814" s="80"/>
      <c r="U814" s="80"/>
      <c r="V814" s="84"/>
      <c r="W814" s="80"/>
      <c r="X814" s="85"/>
      <c r="Y814" s="86"/>
      <c r="Z814" s="86"/>
      <c r="AA814" s="86"/>
      <c r="AB814" s="86"/>
      <c r="AC814" s="86"/>
      <c r="AD814" s="86"/>
      <c r="AE814" s="86"/>
      <c r="AF814" s="86"/>
      <c r="AG814" s="86"/>
      <c r="AH814" s="82"/>
    </row>
    <row r="815">
      <c r="A815" s="78"/>
      <c r="B815" s="79"/>
      <c r="C815" s="80"/>
      <c r="D815" s="80"/>
      <c r="E815" s="80"/>
      <c r="F815" s="80"/>
      <c r="G815" s="80"/>
      <c r="H815" s="80"/>
      <c r="I815" s="80"/>
      <c r="J815" s="80"/>
      <c r="K815" s="82"/>
      <c r="L815" s="80"/>
      <c r="M815" s="80"/>
      <c r="N815" s="80"/>
      <c r="O815" s="80"/>
      <c r="P815" s="80"/>
      <c r="Q815" s="83"/>
      <c r="R815" s="80"/>
      <c r="S815" s="80"/>
      <c r="T815" s="80"/>
      <c r="U815" s="80"/>
      <c r="V815" s="84"/>
      <c r="W815" s="80"/>
      <c r="X815" s="85"/>
      <c r="Y815" s="86"/>
      <c r="Z815" s="86"/>
      <c r="AA815" s="86"/>
      <c r="AB815" s="86"/>
      <c r="AC815" s="86"/>
      <c r="AD815" s="86"/>
      <c r="AE815" s="86"/>
      <c r="AF815" s="86"/>
      <c r="AG815" s="86"/>
      <c r="AH815" s="82"/>
    </row>
    <row r="816">
      <c r="A816" s="78"/>
      <c r="B816" s="79"/>
      <c r="C816" s="80"/>
      <c r="D816" s="80"/>
      <c r="E816" s="80"/>
      <c r="F816" s="80"/>
      <c r="G816" s="80"/>
      <c r="H816" s="80"/>
      <c r="I816" s="80"/>
      <c r="J816" s="80"/>
      <c r="K816" s="82"/>
      <c r="L816" s="80"/>
      <c r="M816" s="80"/>
      <c r="N816" s="80"/>
      <c r="O816" s="80"/>
      <c r="P816" s="80"/>
      <c r="Q816" s="83"/>
      <c r="R816" s="80"/>
      <c r="S816" s="80"/>
      <c r="T816" s="80"/>
      <c r="U816" s="80"/>
      <c r="V816" s="84"/>
      <c r="W816" s="80"/>
      <c r="X816" s="85"/>
      <c r="Y816" s="86"/>
      <c r="Z816" s="86"/>
      <c r="AA816" s="86"/>
      <c r="AB816" s="86"/>
      <c r="AC816" s="86"/>
      <c r="AD816" s="86"/>
      <c r="AE816" s="86"/>
      <c r="AF816" s="86"/>
      <c r="AG816" s="86"/>
      <c r="AH816" s="82"/>
    </row>
    <row r="817">
      <c r="A817" s="78"/>
      <c r="B817" s="79"/>
      <c r="C817" s="80"/>
      <c r="D817" s="80"/>
      <c r="E817" s="80"/>
      <c r="F817" s="80"/>
      <c r="G817" s="80"/>
      <c r="H817" s="80"/>
      <c r="I817" s="80"/>
      <c r="J817" s="80"/>
      <c r="K817" s="82"/>
      <c r="L817" s="80"/>
      <c r="M817" s="80"/>
      <c r="N817" s="80"/>
      <c r="O817" s="80"/>
      <c r="P817" s="80"/>
      <c r="Q817" s="83"/>
      <c r="R817" s="80"/>
      <c r="S817" s="80"/>
      <c r="T817" s="80"/>
      <c r="U817" s="80"/>
      <c r="V817" s="84"/>
      <c r="W817" s="80"/>
      <c r="X817" s="85"/>
      <c r="Y817" s="86"/>
      <c r="Z817" s="86"/>
      <c r="AA817" s="86"/>
      <c r="AB817" s="86"/>
      <c r="AC817" s="86"/>
      <c r="AD817" s="86"/>
      <c r="AE817" s="86"/>
      <c r="AF817" s="86"/>
      <c r="AG817" s="86"/>
      <c r="AH817" s="82"/>
    </row>
    <row r="818">
      <c r="A818" s="78"/>
      <c r="B818" s="79"/>
      <c r="C818" s="80"/>
      <c r="D818" s="80"/>
      <c r="E818" s="80"/>
      <c r="F818" s="80"/>
      <c r="G818" s="80"/>
      <c r="H818" s="80"/>
      <c r="I818" s="80"/>
      <c r="J818" s="80"/>
      <c r="K818" s="82"/>
      <c r="L818" s="80"/>
      <c r="M818" s="80"/>
      <c r="N818" s="80"/>
      <c r="O818" s="80"/>
      <c r="P818" s="80"/>
      <c r="Q818" s="83"/>
      <c r="R818" s="80"/>
      <c r="S818" s="80"/>
      <c r="T818" s="80"/>
      <c r="U818" s="80"/>
      <c r="V818" s="84"/>
      <c r="W818" s="80"/>
      <c r="X818" s="85"/>
      <c r="Y818" s="86"/>
      <c r="Z818" s="86"/>
      <c r="AA818" s="86"/>
      <c r="AB818" s="86"/>
      <c r="AC818" s="86"/>
      <c r="AD818" s="86"/>
      <c r="AE818" s="86"/>
      <c r="AF818" s="86"/>
      <c r="AG818" s="86"/>
      <c r="AH818" s="82"/>
    </row>
    <row r="819">
      <c r="A819" s="78"/>
      <c r="B819" s="79"/>
      <c r="C819" s="80"/>
      <c r="D819" s="80"/>
      <c r="E819" s="80"/>
      <c r="F819" s="80"/>
      <c r="G819" s="80"/>
      <c r="H819" s="80"/>
      <c r="I819" s="80"/>
      <c r="J819" s="80"/>
      <c r="K819" s="82"/>
      <c r="L819" s="80"/>
      <c r="M819" s="80"/>
      <c r="N819" s="80"/>
      <c r="O819" s="80"/>
      <c r="P819" s="80"/>
      <c r="Q819" s="83"/>
      <c r="R819" s="80"/>
      <c r="S819" s="80"/>
      <c r="T819" s="80"/>
      <c r="U819" s="80"/>
      <c r="V819" s="84"/>
      <c r="W819" s="80"/>
      <c r="X819" s="85"/>
      <c r="Y819" s="86"/>
      <c r="Z819" s="86"/>
      <c r="AA819" s="86"/>
      <c r="AB819" s="86"/>
      <c r="AC819" s="86"/>
      <c r="AD819" s="86"/>
      <c r="AE819" s="86"/>
      <c r="AF819" s="86"/>
      <c r="AG819" s="86"/>
      <c r="AH819" s="82"/>
    </row>
    <row r="820">
      <c r="A820" s="78"/>
      <c r="B820" s="79"/>
      <c r="C820" s="80"/>
      <c r="D820" s="80"/>
      <c r="E820" s="80"/>
      <c r="F820" s="80"/>
      <c r="G820" s="80"/>
      <c r="H820" s="80"/>
      <c r="I820" s="80"/>
      <c r="J820" s="80"/>
      <c r="K820" s="82"/>
      <c r="L820" s="80"/>
      <c r="M820" s="80"/>
      <c r="N820" s="80"/>
      <c r="O820" s="80"/>
      <c r="P820" s="80"/>
      <c r="Q820" s="83"/>
      <c r="R820" s="80"/>
      <c r="S820" s="80"/>
      <c r="T820" s="80"/>
      <c r="U820" s="80"/>
      <c r="V820" s="84"/>
      <c r="W820" s="80"/>
      <c r="X820" s="85"/>
      <c r="Y820" s="86"/>
      <c r="Z820" s="86"/>
      <c r="AA820" s="86"/>
      <c r="AB820" s="86"/>
      <c r="AC820" s="86"/>
      <c r="AD820" s="86"/>
      <c r="AE820" s="86"/>
      <c r="AF820" s="86"/>
      <c r="AG820" s="86"/>
      <c r="AH820" s="82"/>
    </row>
    <row r="821">
      <c r="A821" s="78"/>
      <c r="B821" s="79"/>
      <c r="C821" s="80"/>
      <c r="D821" s="80"/>
      <c r="E821" s="80"/>
      <c r="F821" s="80"/>
      <c r="G821" s="80"/>
      <c r="H821" s="80"/>
      <c r="I821" s="80"/>
      <c r="J821" s="80"/>
      <c r="K821" s="82"/>
      <c r="L821" s="80"/>
      <c r="M821" s="80"/>
      <c r="N821" s="80"/>
      <c r="O821" s="80"/>
      <c r="P821" s="80"/>
      <c r="Q821" s="83"/>
      <c r="R821" s="80"/>
      <c r="S821" s="80"/>
      <c r="T821" s="80"/>
      <c r="U821" s="80"/>
      <c r="V821" s="84"/>
      <c r="W821" s="80"/>
      <c r="X821" s="85"/>
      <c r="Y821" s="86"/>
      <c r="Z821" s="86"/>
      <c r="AA821" s="86"/>
      <c r="AB821" s="86"/>
      <c r="AC821" s="86"/>
      <c r="AD821" s="86"/>
      <c r="AE821" s="86"/>
      <c r="AF821" s="86"/>
      <c r="AG821" s="86"/>
      <c r="AH821" s="82"/>
    </row>
    <row r="822">
      <c r="A822" s="78"/>
      <c r="B822" s="79"/>
      <c r="C822" s="80"/>
      <c r="D822" s="80"/>
      <c r="E822" s="80"/>
      <c r="F822" s="80"/>
      <c r="G822" s="80"/>
      <c r="H822" s="80"/>
      <c r="I822" s="80"/>
      <c r="J822" s="80"/>
      <c r="K822" s="82"/>
      <c r="L822" s="80"/>
      <c r="M822" s="80"/>
      <c r="N822" s="80"/>
      <c r="O822" s="80"/>
      <c r="P822" s="80"/>
      <c r="Q822" s="83"/>
      <c r="R822" s="80"/>
      <c r="S822" s="80"/>
      <c r="T822" s="80"/>
      <c r="U822" s="80"/>
      <c r="V822" s="84"/>
      <c r="W822" s="80"/>
      <c r="X822" s="85"/>
      <c r="Y822" s="86"/>
      <c r="Z822" s="86"/>
      <c r="AA822" s="86"/>
      <c r="AB822" s="86"/>
      <c r="AC822" s="86"/>
      <c r="AD822" s="86"/>
      <c r="AE822" s="86"/>
      <c r="AF822" s="86"/>
      <c r="AG822" s="86"/>
      <c r="AH822" s="82"/>
    </row>
    <row r="823">
      <c r="A823" s="78"/>
      <c r="B823" s="79"/>
      <c r="C823" s="80"/>
      <c r="D823" s="80"/>
      <c r="E823" s="80"/>
      <c r="F823" s="80"/>
      <c r="G823" s="80"/>
      <c r="H823" s="80"/>
      <c r="I823" s="80"/>
      <c r="J823" s="80"/>
      <c r="K823" s="82"/>
      <c r="L823" s="80"/>
      <c r="M823" s="80"/>
      <c r="N823" s="80"/>
      <c r="O823" s="80"/>
      <c r="P823" s="80"/>
      <c r="Q823" s="83"/>
      <c r="R823" s="80"/>
      <c r="S823" s="80"/>
      <c r="T823" s="80"/>
      <c r="U823" s="80"/>
      <c r="V823" s="84"/>
      <c r="W823" s="80"/>
      <c r="X823" s="85"/>
      <c r="Y823" s="86"/>
      <c r="Z823" s="86"/>
      <c r="AA823" s="86"/>
      <c r="AB823" s="86"/>
      <c r="AC823" s="86"/>
      <c r="AD823" s="86"/>
      <c r="AE823" s="86"/>
      <c r="AF823" s="86"/>
      <c r="AG823" s="86"/>
      <c r="AH823" s="82"/>
    </row>
    <row r="824">
      <c r="A824" s="78"/>
      <c r="B824" s="79"/>
      <c r="C824" s="80"/>
      <c r="D824" s="80"/>
      <c r="E824" s="80"/>
      <c r="F824" s="80"/>
      <c r="G824" s="80"/>
      <c r="H824" s="80"/>
      <c r="I824" s="80"/>
      <c r="J824" s="80"/>
      <c r="K824" s="82"/>
      <c r="L824" s="80"/>
      <c r="M824" s="80"/>
      <c r="N824" s="80"/>
      <c r="O824" s="80"/>
      <c r="P824" s="80"/>
      <c r="Q824" s="83"/>
      <c r="R824" s="80"/>
      <c r="S824" s="80"/>
      <c r="T824" s="80"/>
      <c r="U824" s="80"/>
      <c r="V824" s="84"/>
      <c r="W824" s="80"/>
      <c r="X824" s="85"/>
      <c r="Y824" s="86"/>
      <c r="Z824" s="86"/>
      <c r="AA824" s="86"/>
      <c r="AB824" s="86"/>
      <c r="AC824" s="86"/>
      <c r="AD824" s="86"/>
      <c r="AE824" s="86"/>
      <c r="AF824" s="86"/>
      <c r="AG824" s="86"/>
      <c r="AH824" s="82"/>
    </row>
    <row r="825">
      <c r="A825" s="78"/>
      <c r="B825" s="79"/>
      <c r="C825" s="80"/>
      <c r="D825" s="80"/>
      <c r="E825" s="80"/>
      <c r="F825" s="80"/>
      <c r="G825" s="80"/>
      <c r="H825" s="80"/>
      <c r="I825" s="80"/>
      <c r="J825" s="80"/>
      <c r="K825" s="82"/>
      <c r="L825" s="80"/>
      <c r="M825" s="80"/>
      <c r="N825" s="80"/>
      <c r="O825" s="80"/>
      <c r="P825" s="80"/>
      <c r="Q825" s="83"/>
      <c r="R825" s="80"/>
      <c r="S825" s="80"/>
      <c r="T825" s="80"/>
      <c r="U825" s="80"/>
      <c r="V825" s="84"/>
      <c r="W825" s="80"/>
      <c r="X825" s="85"/>
      <c r="Y825" s="86"/>
      <c r="Z825" s="86"/>
      <c r="AA825" s="86"/>
      <c r="AB825" s="86"/>
      <c r="AC825" s="86"/>
      <c r="AD825" s="86"/>
      <c r="AE825" s="86"/>
      <c r="AF825" s="86"/>
      <c r="AG825" s="86"/>
      <c r="AH825" s="82"/>
    </row>
    <row r="826">
      <c r="A826" s="78"/>
      <c r="B826" s="79"/>
      <c r="C826" s="80"/>
      <c r="D826" s="80"/>
      <c r="E826" s="80"/>
      <c r="F826" s="80"/>
      <c r="G826" s="80"/>
      <c r="H826" s="80"/>
      <c r="I826" s="80"/>
      <c r="J826" s="80"/>
      <c r="K826" s="82"/>
      <c r="L826" s="80"/>
      <c r="M826" s="80"/>
      <c r="N826" s="80"/>
      <c r="O826" s="80"/>
      <c r="P826" s="80"/>
      <c r="Q826" s="83"/>
      <c r="R826" s="80"/>
      <c r="S826" s="80"/>
      <c r="T826" s="80"/>
      <c r="U826" s="80"/>
      <c r="V826" s="84"/>
      <c r="W826" s="80"/>
      <c r="X826" s="85"/>
      <c r="Y826" s="86"/>
      <c r="Z826" s="86"/>
      <c r="AA826" s="86"/>
      <c r="AB826" s="86"/>
      <c r="AC826" s="86"/>
      <c r="AD826" s="86"/>
      <c r="AE826" s="86"/>
      <c r="AF826" s="86"/>
      <c r="AG826" s="86"/>
      <c r="AH826" s="82"/>
    </row>
    <row r="827">
      <c r="A827" s="78"/>
      <c r="B827" s="79"/>
      <c r="C827" s="80"/>
      <c r="D827" s="80"/>
      <c r="E827" s="80"/>
      <c r="F827" s="80"/>
      <c r="G827" s="80"/>
      <c r="H827" s="80"/>
      <c r="I827" s="80"/>
      <c r="J827" s="80"/>
      <c r="K827" s="82"/>
      <c r="L827" s="80"/>
      <c r="M827" s="80"/>
      <c r="N827" s="80"/>
      <c r="O827" s="80"/>
      <c r="P827" s="80"/>
      <c r="Q827" s="83"/>
      <c r="R827" s="80"/>
      <c r="S827" s="80"/>
      <c r="T827" s="80"/>
      <c r="U827" s="80"/>
      <c r="V827" s="84"/>
      <c r="W827" s="80"/>
      <c r="X827" s="85"/>
      <c r="Y827" s="86"/>
      <c r="Z827" s="86"/>
      <c r="AA827" s="86"/>
      <c r="AB827" s="86"/>
      <c r="AC827" s="86"/>
      <c r="AD827" s="86"/>
      <c r="AE827" s="86"/>
      <c r="AF827" s="86"/>
      <c r="AG827" s="86"/>
      <c r="AH827" s="82"/>
    </row>
    <row r="828">
      <c r="A828" s="78"/>
      <c r="B828" s="79"/>
      <c r="C828" s="80"/>
      <c r="D828" s="80"/>
      <c r="E828" s="80"/>
      <c r="F828" s="80"/>
      <c r="G828" s="80"/>
      <c r="H828" s="80"/>
      <c r="I828" s="80"/>
      <c r="J828" s="80"/>
      <c r="K828" s="82"/>
      <c r="L828" s="80"/>
      <c r="M828" s="80"/>
      <c r="N828" s="80"/>
      <c r="O828" s="80"/>
      <c r="P828" s="80"/>
      <c r="Q828" s="83"/>
      <c r="R828" s="80"/>
      <c r="S828" s="80"/>
      <c r="T828" s="80"/>
      <c r="U828" s="80"/>
      <c r="V828" s="84"/>
      <c r="W828" s="80"/>
      <c r="X828" s="85"/>
      <c r="Y828" s="86"/>
      <c r="Z828" s="86"/>
      <c r="AA828" s="86"/>
      <c r="AB828" s="86"/>
      <c r="AC828" s="86"/>
      <c r="AD828" s="86"/>
      <c r="AE828" s="86"/>
      <c r="AF828" s="86"/>
      <c r="AG828" s="86"/>
      <c r="AH828" s="82"/>
    </row>
    <row r="829">
      <c r="A829" s="78"/>
      <c r="B829" s="79"/>
      <c r="C829" s="80"/>
      <c r="D829" s="80"/>
      <c r="E829" s="80"/>
      <c r="F829" s="80"/>
      <c r="G829" s="80"/>
      <c r="H829" s="80"/>
      <c r="I829" s="80"/>
      <c r="J829" s="80"/>
      <c r="K829" s="82"/>
      <c r="L829" s="80"/>
      <c r="M829" s="80"/>
      <c r="N829" s="80"/>
      <c r="O829" s="80"/>
      <c r="P829" s="80"/>
      <c r="Q829" s="83"/>
      <c r="R829" s="80"/>
      <c r="S829" s="80"/>
      <c r="T829" s="80"/>
      <c r="U829" s="80"/>
      <c r="V829" s="84"/>
      <c r="W829" s="80"/>
      <c r="X829" s="85"/>
      <c r="Y829" s="86"/>
      <c r="Z829" s="86"/>
      <c r="AA829" s="86"/>
      <c r="AB829" s="86"/>
      <c r="AC829" s="86"/>
      <c r="AD829" s="86"/>
      <c r="AE829" s="86"/>
      <c r="AF829" s="86"/>
      <c r="AG829" s="86"/>
      <c r="AH829" s="82"/>
    </row>
    <row r="830">
      <c r="A830" s="78"/>
      <c r="B830" s="79"/>
      <c r="C830" s="80"/>
      <c r="D830" s="80"/>
      <c r="E830" s="80"/>
      <c r="F830" s="80"/>
      <c r="G830" s="80"/>
      <c r="H830" s="80"/>
      <c r="I830" s="80"/>
      <c r="J830" s="80"/>
      <c r="K830" s="82"/>
      <c r="L830" s="80"/>
      <c r="M830" s="80"/>
      <c r="N830" s="80"/>
      <c r="O830" s="80"/>
      <c r="P830" s="80"/>
      <c r="Q830" s="83"/>
      <c r="R830" s="80"/>
      <c r="S830" s="80"/>
      <c r="T830" s="80"/>
      <c r="U830" s="80"/>
      <c r="V830" s="84"/>
      <c r="W830" s="80"/>
      <c r="X830" s="85"/>
      <c r="Y830" s="86"/>
      <c r="Z830" s="86"/>
      <c r="AA830" s="86"/>
      <c r="AB830" s="86"/>
      <c r="AC830" s="86"/>
      <c r="AD830" s="86"/>
      <c r="AE830" s="86"/>
      <c r="AF830" s="86"/>
      <c r="AG830" s="86"/>
      <c r="AH830" s="82"/>
    </row>
    <row r="831">
      <c r="A831" s="78"/>
      <c r="B831" s="79"/>
      <c r="C831" s="80"/>
      <c r="D831" s="80"/>
      <c r="E831" s="80"/>
      <c r="F831" s="80"/>
      <c r="G831" s="80"/>
      <c r="H831" s="80"/>
      <c r="I831" s="80"/>
      <c r="J831" s="80"/>
      <c r="K831" s="82"/>
      <c r="L831" s="80"/>
      <c r="M831" s="80"/>
      <c r="N831" s="80"/>
      <c r="O831" s="80"/>
      <c r="P831" s="80"/>
      <c r="Q831" s="83"/>
      <c r="R831" s="80"/>
      <c r="S831" s="80"/>
      <c r="T831" s="80"/>
      <c r="U831" s="80"/>
      <c r="V831" s="84"/>
      <c r="W831" s="80"/>
      <c r="X831" s="85"/>
      <c r="Y831" s="86"/>
      <c r="Z831" s="86"/>
      <c r="AA831" s="86"/>
      <c r="AB831" s="86"/>
      <c r="AC831" s="86"/>
      <c r="AD831" s="86"/>
      <c r="AE831" s="86"/>
      <c r="AF831" s="86"/>
      <c r="AG831" s="86"/>
      <c r="AH831" s="82"/>
    </row>
    <row r="832">
      <c r="A832" s="78"/>
      <c r="B832" s="79"/>
      <c r="C832" s="80"/>
      <c r="D832" s="80"/>
      <c r="E832" s="80"/>
      <c r="F832" s="80"/>
      <c r="G832" s="80"/>
      <c r="H832" s="80"/>
      <c r="I832" s="80"/>
      <c r="J832" s="80"/>
      <c r="K832" s="82"/>
      <c r="L832" s="80"/>
      <c r="M832" s="80"/>
      <c r="N832" s="80"/>
      <c r="O832" s="80"/>
      <c r="P832" s="80"/>
      <c r="Q832" s="83"/>
      <c r="R832" s="80"/>
      <c r="S832" s="80"/>
      <c r="T832" s="80"/>
      <c r="U832" s="80"/>
      <c r="V832" s="84"/>
      <c r="W832" s="80"/>
      <c r="X832" s="85"/>
      <c r="Y832" s="86"/>
      <c r="Z832" s="86"/>
      <c r="AA832" s="86"/>
      <c r="AB832" s="86"/>
      <c r="AC832" s="86"/>
      <c r="AD832" s="86"/>
      <c r="AE832" s="86"/>
      <c r="AF832" s="86"/>
      <c r="AG832" s="86"/>
      <c r="AH832" s="82"/>
    </row>
    <row r="833">
      <c r="A833" s="78"/>
      <c r="B833" s="79"/>
      <c r="C833" s="80"/>
      <c r="D833" s="80"/>
      <c r="E833" s="80"/>
      <c r="F833" s="80"/>
      <c r="G833" s="80"/>
      <c r="H833" s="80"/>
      <c r="I833" s="80"/>
      <c r="J833" s="80"/>
      <c r="K833" s="82"/>
      <c r="L833" s="80"/>
      <c r="M833" s="80"/>
      <c r="N833" s="80"/>
      <c r="O833" s="80"/>
      <c r="P833" s="80"/>
      <c r="Q833" s="83"/>
      <c r="R833" s="80"/>
      <c r="S833" s="80"/>
      <c r="T833" s="80"/>
      <c r="U833" s="80"/>
      <c r="V833" s="84"/>
      <c r="W833" s="80"/>
      <c r="X833" s="85"/>
      <c r="Y833" s="86"/>
      <c r="Z833" s="86"/>
      <c r="AA833" s="86"/>
      <c r="AB833" s="86"/>
      <c r="AC833" s="86"/>
      <c r="AD833" s="86"/>
      <c r="AE833" s="86"/>
      <c r="AF833" s="86"/>
      <c r="AG833" s="86"/>
      <c r="AH833" s="82"/>
    </row>
    <row r="834">
      <c r="A834" s="78"/>
      <c r="B834" s="79"/>
      <c r="C834" s="80"/>
      <c r="D834" s="80"/>
      <c r="E834" s="80"/>
      <c r="F834" s="80"/>
      <c r="G834" s="80"/>
      <c r="H834" s="80"/>
      <c r="I834" s="80"/>
      <c r="J834" s="80"/>
      <c r="K834" s="82"/>
      <c r="L834" s="80"/>
      <c r="M834" s="80"/>
      <c r="N834" s="80"/>
      <c r="O834" s="80"/>
      <c r="P834" s="80"/>
      <c r="Q834" s="83"/>
      <c r="R834" s="80"/>
      <c r="S834" s="80"/>
      <c r="T834" s="80"/>
      <c r="U834" s="80"/>
      <c r="V834" s="84"/>
      <c r="W834" s="80"/>
      <c r="X834" s="85"/>
      <c r="Y834" s="86"/>
      <c r="Z834" s="86"/>
      <c r="AA834" s="86"/>
      <c r="AB834" s="86"/>
      <c r="AC834" s="86"/>
      <c r="AD834" s="86"/>
      <c r="AE834" s="86"/>
      <c r="AF834" s="86"/>
      <c r="AG834" s="86"/>
      <c r="AH834" s="82"/>
    </row>
    <row r="835">
      <c r="A835" s="78"/>
      <c r="B835" s="79"/>
      <c r="C835" s="80"/>
      <c r="D835" s="80"/>
      <c r="E835" s="80"/>
      <c r="F835" s="80"/>
      <c r="G835" s="80"/>
      <c r="H835" s="80"/>
      <c r="I835" s="80"/>
      <c r="J835" s="80"/>
      <c r="K835" s="82"/>
      <c r="L835" s="80"/>
      <c r="M835" s="80"/>
      <c r="N835" s="80"/>
      <c r="O835" s="80"/>
      <c r="P835" s="80"/>
      <c r="Q835" s="83"/>
      <c r="R835" s="80"/>
      <c r="S835" s="80"/>
      <c r="T835" s="80"/>
      <c r="U835" s="80"/>
      <c r="V835" s="84"/>
      <c r="W835" s="80"/>
      <c r="X835" s="85"/>
      <c r="Y835" s="86"/>
      <c r="Z835" s="86"/>
      <c r="AA835" s="86"/>
      <c r="AB835" s="86"/>
      <c r="AC835" s="86"/>
      <c r="AD835" s="86"/>
      <c r="AE835" s="86"/>
      <c r="AF835" s="86"/>
      <c r="AG835" s="86"/>
      <c r="AH835" s="82"/>
    </row>
    <row r="836">
      <c r="A836" s="78"/>
      <c r="B836" s="79"/>
      <c r="C836" s="80"/>
      <c r="D836" s="80"/>
      <c r="E836" s="80"/>
      <c r="F836" s="80"/>
      <c r="G836" s="80"/>
      <c r="H836" s="80"/>
      <c r="I836" s="80"/>
      <c r="J836" s="80"/>
      <c r="K836" s="82"/>
      <c r="L836" s="80"/>
      <c r="M836" s="80"/>
      <c r="N836" s="80"/>
      <c r="O836" s="80"/>
      <c r="P836" s="80"/>
      <c r="Q836" s="83"/>
      <c r="R836" s="80"/>
      <c r="S836" s="80"/>
      <c r="T836" s="80"/>
      <c r="U836" s="80"/>
      <c r="V836" s="84"/>
      <c r="W836" s="80"/>
      <c r="X836" s="85"/>
      <c r="Y836" s="86"/>
      <c r="Z836" s="86"/>
      <c r="AA836" s="86"/>
      <c r="AB836" s="86"/>
      <c r="AC836" s="86"/>
      <c r="AD836" s="86"/>
      <c r="AE836" s="86"/>
      <c r="AF836" s="86"/>
      <c r="AG836" s="86"/>
      <c r="AH836" s="82"/>
    </row>
    <row r="837">
      <c r="A837" s="78"/>
      <c r="B837" s="79"/>
      <c r="C837" s="80"/>
      <c r="D837" s="80"/>
      <c r="E837" s="80"/>
      <c r="F837" s="80"/>
      <c r="G837" s="80"/>
      <c r="H837" s="80"/>
      <c r="I837" s="80"/>
      <c r="J837" s="80"/>
      <c r="K837" s="82"/>
      <c r="L837" s="80"/>
      <c r="M837" s="80"/>
      <c r="N837" s="80"/>
      <c r="O837" s="80"/>
      <c r="P837" s="80"/>
      <c r="Q837" s="83"/>
      <c r="R837" s="80"/>
      <c r="S837" s="80"/>
      <c r="T837" s="80"/>
      <c r="U837" s="80"/>
      <c r="V837" s="84"/>
      <c r="W837" s="80"/>
      <c r="X837" s="85"/>
      <c r="Y837" s="86"/>
      <c r="Z837" s="86"/>
      <c r="AA837" s="86"/>
      <c r="AB837" s="86"/>
      <c r="AC837" s="86"/>
      <c r="AD837" s="86"/>
      <c r="AE837" s="86"/>
      <c r="AF837" s="86"/>
      <c r="AG837" s="86"/>
      <c r="AH837" s="82"/>
    </row>
    <row r="838">
      <c r="A838" s="78"/>
      <c r="B838" s="79"/>
      <c r="C838" s="80"/>
      <c r="D838" s="80"/>
      <c r="E838" s="80"/>
      <c r="F838" s="80"/>
      <c r="G838" s="80"/>
      <c r="H838" s="80"/>
      <c r="I838" s="80"/>
      <c r="J838" s="80"/>
      <c r="K838" s="82"/>
      <c r="L838" s="80"/>
      <c r="M838" s="80"/>
      <c r="N838" s="80"/>
      <c r="O838" s="80"/>
      <c r="P838" s="80"/>
      <c r="Q838" s="83"/>
      <c r="R838" s="80"/>
      <c r="S838" s="80"/>
      <c r="T838" s="80"/>
      <c r="U838" s="80"/>
      <c r="V838" s="84"/>
      <c r="W838" s="80"/>
      <c r="X838" s="85"/>
      <c r="Y838" s="86"/>
      <c r="Z838" s="86"/>
      <c r="AA838" s="86"/>
      <c r="AB838" s="86"/>
      <c r="AC838" s="86"/>
      <c r="AD838" s="86"/>
      <c r="AE838" s="86"/>
      <c r="AF838" s="86"/>
      <c r="AG838" s="86"/>
      <c r="AH838" s="82"/>
    </row>
    <row r="839">
      <c r="A839" s="78"/>
      <c r="B839" s="79"/>
      <c r="C839" s="80"/>
      <c r="D839" s="80"/>
      <c r="E839" s="80"/>
      <c r="F839" s="80"/>
      <c r="G839" s="80"/>
      <c r="H839" s="80"/>
      <c r="I839" s="80"/>
      <c r="J839" s="80"/>
      <c r="K839" s="82"/>
      <c r="L839" s="80"/>
      <c r="M839" s="80"/>
      <c r="N839" s="80"/>
      <c r="O839" s="80"/>
      <c r="P839" s="80"/>
      <c r="Q839" s="83"/>
      <c r="R839" s="80"/>
      <c r="S839" s="80"/>
      <c r="T839" s="80"/>
      <c r="U839" s="80"/>
      <c r="V839" s="84"/>
      <c r="W839" s="80"/>
      <c r="X839" s="85"/>
      <c r="Y839" s="86"/>
      <c r="Z839" s="86"/>
      <c r="AA839" s="86"/>
      <c r="AB839" s="86"/>
      <c r="AC839" s="86"/>
      <c r="AD839" s="86"/>
      <c r="AE839" s="86"/>
      <c r="AF839" s="86"/>
      <c r="AG839" s="86"/>
      <c r="AH839" s="82"/>
    </row>
    <row r="840">
      <c r="A840" s="78"/>
      <c r="B840" s="79"/>
      <c r="C840" s="80"/>
      <c r="D840" s="80"/>
      <c r="E840" s="80"/>
      <c r="F840" s="80"/>
      <c r="G840" s="80"/>
      <c r="H840" s="80"/>
      <c r="I840" s="80"/>
      <c r="J840" s="80"/>
      <c r="K840" s="82"/>
      <c r="L840" s="80"/>
      <c r="M840" s="80"/>
      <c r="N840" s="80"/>
      <c r="O840" s="80"/>
      <c r="P840" s="80"/>
      <c r="Q840" s="83"/>
      <c r="R840" s="80"/>
      <c r="S840" s="80"/>
      <c r="T840" s="80"/>
      <c r="U840" s="80"/>
      <c r="V840" s="84"/>
      <c r="W840" s="80"/>
      <c r="X840" s="85"/>
      <c r="Y840" s="86"/>
      <c r="Z840" s="86"/>
      <c r="AA840" s="86"/>
      <c r="AB840" s="86"/>
      <c r="AC840" s="86"/>
      <c r="AD840" s="86"/>
      <c r="AE840" s="86"/>
      <c r="AF840" s="86"/>
      <c r="AG840" s="86"/>
      <c r="AH840" s="82"/>
    </row>
    <row r="841">
      <c r="A841" s="78"/>
      <c r="B841" s="79"/>
      <c r="C841" s="80"/>
      <c r="D841" s="80"/>
      <c r="E841" s="80"/>
      <c r="F841" s="80"/>
      <c r="G841" s="80"/>
      <c r="H841" s="80"/>
      <c r="I841" s="80"/>
      <c r="J841" s="80"/>
      <c r="K841" s="82"/>
      <c r="L841" s="80"/>
      <c r="M841" s="80"/>
      <c r="N841" s="80"/>
      <c r="O841" s="80"/>
      <c r="P841" s="80"/>
      <c r="Q841" s="83"/>
      <c r="R841" s="80"/>
      <c r="S841" s="80"/>
      <c r="T841" s="80"/>
      <c r="U841" s="80"/>
      <c r="V841" s="84"/>
      <c r="W841" s="80"/>
      <c r="X841" s="85"/>
      <c r="Y841" s="86"/>
      <c r="Z841" s="86"/>
      <c r="AA841" s="86"/>
      <c r="AB841" s="86"/>
      <c r="AC841" s="86"/>
      <c r="AD841" s="86"/>
      <c r="AE841" s="86"/>
      <c r="AF841" s="86"/>
      <c r="AG841" s="86"/>
      <c r="AH841" s="82"/>
    </row>
    <row r="842">
      <c r="A842" s="78"/>
      <c r="B842" s="79"/>
      <c r="C842" s="80"/>
      <c r="D842" s="80"/>
      <c r="E842" s="80"/>
      <c r="F842" s="80"/>
      <c r="G842" s="80"/>
      <c r="H842" s="80"/>
      <c r="I842" s="80"/>
      <c r="J842" s="80"/>
      <c r="K842" s="82"/>
      <c r="L842" s="80"/>
      <c r="M842" s="80"/>
      <c r="N842" s="80"/>
      <c r="O842" s="80"/>
      <c r="P842" s="80"/>
      <c r="Q842" s="83"/>
      <c r="R842" s="80"/>
      <c r="S842" s="80"/>
      <c r="T842" s="80"/>
      <c r="U842" s="80"/>
      <c r="V842" s="84"/>
      <c r="W842" s="80"/>
      <c r="X842" s="85"/>
      <c r="Y842" s="86"/>
      <c r="Z842" s="86"/>
      <c r="AA842" s="86"/>
      <c r="AB842" s="86"/>
      <c r="AC842" s="86"/>
      <c r="AD842" s="86"/>
      <c r="AE842" s="86"/>
      <c r="AF842" s="86"/>
      <c r="AG842" s="86"/>
      <c r="AH842" s="82"/>
    </row>
    <row r="843">
      <c r="A843" s="78"/>
      <c r="B843" s="79"/>
      <c r="C843" s="80"/>
      <c r="D843" s="80"/>
      <c r="E843" s="80"/>
      <c r="F843" s="80"/>
      <c r="G843" s="80"/>
      <c r="H843" s="80"/>
      <c r="I843" s="80"/>
      <c r="J843" s="80"/>
      <c r="K843" s="82"/>
      <c r="L843" s="80"/>
      <c r="M843" s="80"/>
      <c r="N843" s="80"/>
      <c r="O843" s="80"/>
      <c r="P843" s="80"/>
      <c r="Q843" s="83"/>
      <c r="R843" s="80"/>
      <c r="S843" s="80"/>
      <c r="T843" s="80"/>
      <c r="U843" s="80"/>
      <c r="V843" s="84"/>
      <c r="W843" s="80"/>
      <c r="X843" s="85"/>
      <c r="Y843" s="86"/>
      <c r="Z843" s="86"/>
      <c r="AA843" s="86"/>
      <c r="AB843" s="86"/>
      <c r="AC843" s="86"/>
      <c r="AD843" s="86"/>
      <c r="AE843" s="86"/>
      <c r="AF843" s="86"/>
      <c r="AG843" s="86"/>
      <c r="AH843" s="82"/>
    </row>
    <row r="844">
      <c r="A844" s="78"/>
      <c r="B844" s="79"/>
      <c r="C844" s="80"/>
      <c r="D844" s="80"/>
      <c r="E844" s="80"/>
      <c r="F844" s="80"/>
      <c r="G844" s="80"/>
      <c r="H844" s="80"/>
      <c r="I844" s="80"/>
      <c r="J844" s="80"/>
      <c r="K844" s="82"/>
      <c r="L844" s="80"/>
      <c r="M844" s="80"/>
      <c r="N844" s="80"/>
      <c r="O844" s="80"/>
      <c r="P844" s="80"/>
      <c r="Q844" s="83"/>
      <c r="R844" s="80"/>
      <c r="S844" s="80"/>
      <c r="T844" s="80"/>
      <c r="U844" s="80"/>
      <c r="V844" s="84"/>
      <c r="W844" s="80"/>
      <c r="X844" s="85"/>
      <c r="Y844" s="86"/>
      <c r="Z844" s="86"/>
      <c r="AA844" s="86"/>
      <c r="AB844" s="86"/>
      <c r="AC844" s="86"/>
      <c r="AD844" s="86"/>
      <c r="AE844" s="86"/>
      <c r="AF844" s="86"/>
      <c r="AG844" s="86"/>
      <c r="AH844" s="82"/>
    </row>
    <row r="845">
      <c r="A845" s="78"/>
      <c r="B845" s="79"/>
      <c r="C845" s="80"/>
      <c r="D845" s="80"/>
      <c r="E845" s="80"/>
      <c r="F845" s="80"/>
      <c r="G845" s="80"/>
      <c r="H845" s="80"/>
      <c r="I845" s="80"/>
      <c r="J845" s="80"/>
      <c r="K845" s="82"/>
      <c r="L845" s="80"/>
      <c r="M845" s="80"/>
      <c r="N845" s="80"/>
      <c r="O845" s="80"/>
      <c r="P845" s="80"/>
      <c r="Q845" s="83"/>
      <c r="R845" s="80"/>
      <c r="S845" s="80"/>
      <c r="T845" s="80"/>
      <c r="U845" s="80"/>
      <c r="V845" s="84"/>
      <c r="W845" s="80"/>
      <c r="X845" s="85"/>
      <c r="Y845" s="86"/>
      <c r="Z845" s="86"/>
      <c r="AA845" s="86"/>
      <c r="AB845" s="86"/>
      <c r="AC845" s="86"/>
      <c r="AD845" s="86"/>
      <c r="AE845" s="86"/>
      <c r="AF845" s="86"/>
      <c r="AG845" s="86"/>
      <c r="AH845" s="82"/>
    </row>
    <row r="846">
      <c r="A846" s="78"/>
      <c r="B846" s="79"/>
      <c r="C846" s="80"/>
      <c r="D846" s="80"/>
      <c r="E846" s="80"/>
      <c r="F846" s="80"/>
      <c r="G846" s="80"/>
      <c r="H846" s="80"/>
      <c r="I846" s="80"/>
      <c r="J846" s="80"/>
      <c r="K846" s="82"/>
      <c r="L846" s="80"/>
      <c r="M846" s="80"/>
      <c r="N846" s="80"/>
      <c r="O846" s="80"/>
      <c r="P846" s="80"/>
      <c r="Q846" s="83"/>
      <c r="R846" s="80"/>
      <c r="S846" s="80"/>
      <c r="T846" s="80"/>
      <c r="U846" s="80"/>
      <c r="V846" s="84"/>
      <c r="W846" s="80"/>
      <c r="X846" s="85"/>
      <c r="Y846" s="86"/>
      <c r="Z846" s="86"/>
      <c r="AA846" s="86"/>
      <c r="AB846" s="86"/>
      <c r="AC846" s="86"/>
      <c r="AD846" s="86"/>
      <c r="AE846" s="86"/>
      <c r="AF846" s="86"/>
      <c r="AG846" s="86"/>
      <c r="AH846" s="82"/>
    </row>
    <row r="847">
      <c r="A847" s="78"/>
      <c r="B847" s="79"/>
      <c r="C847" s="80"/>
      <c r="D847" s="80"/>
      <c r="E847" s="80"/>
      <c r="F847" s="80"/>
      <c r="G847" s="80"/>
      <c r="H847" s="80"/>
      <c r="I847" s="80"/>
      <c r="J847" s="80"/>
      <c r="K847" s="82"/>
      <c r="L847" s="80"/>
      <c r="M847" s="80"/>
      <c r="N847" s="80"/>
      <c r="O847" s="80"/>
      <c r="P847" s="80"/>
      <c r="Q847" s="83"/>
      <c r="R847" s="80"/>
      <c r="S847" s="80"/>
      <c r="T847" s="80"/>
      <c r="U847" s="80"/>
      <c r="V847" s="84"/>
      <c r="W847" s="80"/>
      <c r="X847" s="85"/>
      <c r="Y847" s="86"/>
      <c r="Z847" s="86"/>
      <c r="AA847" s="86"/>
      <c r="AB847" s="86"/>
      <c r="AC847" s="86"/>
      <c r="AD847" s="86"/>
      <c r="AE847" s="86"/>
      <c r="AF847" s="86"/>
      <c r="AG847" s="86"/>
      <c r="AH847" s="82"/>
    </row>
    <row r="848">
      <c r="A848" s="78"/>
      <c r="B848" s="79"/>
      <c r="C848" s="80"/>
      <c r="D848" s="80"/>
      <c r="E848" s="80"/>
      <c r="F848" s="80"/>
      <c r="G848" s="80"/>
      <c r="H848" s="80"/>
      <c r="I848" s="80"/>
      <c r="J848" s="80"/>
      <c r="K848" s="82"/>
      <c r="L848" s="80"/>
      <c r="M848" s="80"/>
      <c r="N848" s="80"/>
      <c r="O848" s="80"/>
      <c r="P848" s="80"/>
      <c r="Q848" s="83"/>
      <c r="R848" s="80"/>
      <c r="S848" s="80"/>
      <c r="T848" s="80"/>
      <c r="U848" s="80"/>
      <c r="V848" s="84"/>
      <c r="W848" s="80"/>
      <c r="X848" s="85"/>
      <c r="Y848" s="86"/>
      <c r="Z848" s="86"/>
      <c r="AA848" s="86"/>
      <c r="AB848" s="86"/>
      <c r="AC848" s="86"/>
      <c r="AD848" s="86"/>
      <c r="AE848" s="86"/>
      <c r="AF848" s="86"/>
      <c r="AG848" s="86"/>
      <c r="AH848" s="82"/>
    </row>
    <row r="849">
      <c r="A849" s="78"/>
      <c r="B849" s="79"/>
      <c r="C849" s="80"/>
      <c r="D849" s="80"/>
      <c r="E849" s="80"/>
      <c r="F849" s="80"/>
      <c r="G849" s="80"/>
      <c r="H849" s="80"/>
      <c r="I849" s="80"/>
      <c r="J849" s="80"/>
      <c r="K849" s="82"/>
      <c r="L849" s="80"/>
      <c r="M849" s="80"/>
      <c r="N849" s="80"/>
      <c r="O849" s="80"/>
      <c r="P849" s="80"/>
      <c r="Q849" s="83"/>
      <c r="R849" s="80"/>
      <c r="S849" s="80"/>
      <c r="T849" s="80"/>
      <c r="U849" s="80"/>
      <c r="V849" s="84"/>
      <c r="W849" s="80"/>
      <c r="X849" s="85"/>
      <c r="Y849" s="86"/>
      <c r="Z849" s="86"/>
      <c r="AA849" s="86"/>
      <c r="AB849" s="86"/>
      <c r="AC849" s="86"/>
      <c r="AD849" s="86"/>
      <c r="AE849" s="86"/>
      <c r="AF849" s="86"/>
      <c r="AG849" s="86"/>
      <c r="AH849" s="82"/>
    </row>
    <row r="850">
      <c r="A850" s="78"/>
      <c r="B850" s="79"/>
      <c r="C850" s="80"/>
      <c r="D850" s="80"/>
      <c r="E850" s="80"/>
      <c r="F850" s="80"/>
      <c r="G850" s="80"/>
      <c r="H850" s="80"/>
      <c r="I850" s="80"/>
      <c r="J850" s="80"/>
      <c r="K850" s="82"/>
      <c r="L850" s="80"/>
      <c r="M850" s="80"/>
      <c r="N850" s="80"/>
      <c r="O850" s="80"/>
      <c r="P850" s="80"/>
      <c r="Q850" s="83"/>
      <c r="R850" s="80"/>
      <c r="S850" s="80"/>
      <c r="T850" s="80"/>
      <c r="U850" s="80"/>
      <c r="V850" s="84"/>
      <c r="W850" s="80"/>
      <c r="X850" s="85"/>
      <c r="Y850" s="86"/>
      <c r="Z850" s="86"/>
      <c r="AA850" s="86"/>
      <c r="AB850" s="86"/>
      <c r="AC850" s="86"/>
      <c r="AD850" s="86"/>
      <c r="AE850" s="86"/>
      <c r="AF850" s="86"/>
      <c r="AG850" s="86"/>
      <c r="AH850" s="82"/>
    </row>
    <row r="851">
      <c r="A851" s="78"/>
      <c r="B851" s="79"/>
      <c r="C851" s="80"/>
      <c r="D851" s="80"/>
      <c r="E851" s="80"/>
      <c r="F851" s="80"/>
      <c r="G851" s="80"/>
      <c r="H851" s="80"/>
      <c r="I851" s="80"/>
      <c r="J851" s="80"/>
      <c r="K851" s="82"/>
      <c r="L851" s="80"/>
      <c r="M851" s="80"/>
      <c r="N851" s="80"/>
      <c r="O851" s="80"/>
      <c r="P851" s="80"/>
      <c r="Q851" s="83"/>
      <c r="R851" s="80"/>
      <c r="S851" s="80"/>
      <c r="T851" s="80"/>
      <c r="U851" s="80"/>
      <c r="V851" s="84"/>
      <c r="W851" s="80"/>
      <c r="X851" s="85"/>
      <c r="Y851" s="86"/>
      <c r="Z851" s="86"/>
      <c r="AA851" s="86"/>
      <c r="AB851" s="86"/>
      <c r="AC851" s="86"/>
      <c r="AD851" s="86"/>
      <c r="AE851" s="86"/>
      <c r="AF851" s="86"/>
      <c r="AG851" s="86"/>
      <c r="AH851" s="82"/>
    </row>
    <row r="852">
      <c r="A852" s="78"/>
      <c r="B852" s="79"/>
      <c r="C852" s="80"/>
      <c r="D852" s="80"/>
      <c r="E852" s="80"/>
      <c r="F852" s="80"/>
      <c r="G852" s="80"/>
      <c r="H852" s="80"/>
      <c r="I852" s="80"/>
      <c r="J852" s="80"/>
      <c r="K852" s="82"/>
      <c r="L852" s="80"/>
      <c r="M852" s="80"/>
      <c r="N852" s="80"/>
      <c r="O852" s="80"/>
      <c r="P852" s="80"/>
      <c r="Q852" s="83"/>
      <c r="R852" s="80"/>
      <c r="S852" s="80"/>
      <c r="T852" s="80"/>
      <c r="U852" s="80"/>
      <c r="V852" s="84"/>
      <c r="W852" s="80"/>
      <c r="X852" s="85"/>
      <c r="Y852" s="86"/>
      <c r="Z852" s="86"/>
      <c r="AA852" s="86"/>
      <c r="AB852" s="86"/>
      <c r="AC852" s="86"/>
      <c r="AD852" s="86"/>
      <c r="AE852" s="86"/>
      <c r="AF852" s="86"/>
      <c r="AG852" s="86"/>
      <c r="AH852" s="82"/>
    </row>
    <row r="853">
      <c r="A853" s="78"/>
      <c r="B853" s="79"/>
      <c r="C853" s="80"/>
      <c r="D853" s="80"/>
      <c r="E853" s="80"/>
      <c r="F853" s="80"/>
      <c r="G853" s="80"/>
      <c r="H853" s="80"/>
      <c r="I853" s="80"/>
      <c r="J853" s="80"/>
      <c r="K853" s="82"/>
      <c r="L853" s="80"/>
      <c r="M853" s="80"/>
      <c r="N853" s="80"/>
      <c r="O853" s="80"/>
      <c r="P853" s="80"/>
      <c r="Q853" s="83"/>
      <c r="R853" s="80"/>
      <c r="S853" s="80"/>
      <c r="T853" s="80"/>
      <c r="U853" s="80"/>
      <c r="V853" s="84"/>
      <c r="W853" s="80"/>
      <c r="X853" s="85"/>
      <c r="Y853" s="86"/>
      <c r="Z853" s="86"/>
      <c r="AA853" s="86"/>
      <c r="AB853" s="86"/>
      <c r="AC853" s="86"/>
      <c r="AD853" s="86"/>
      <c r="AE853" s="86"/>
      <c r="AF853" s="86"/>
      <c r="AG853" s="86"/>
      <c r="AH853" s="82"/>
    </row>
    <row r="854">
      <c r="A854" s="78"/>
      <c r="B854" s="79"/>
      <c r="C854" s="80"/>
      <c r="D854" s="80"/>
      <c r="E854" s="80"/>
      <c r="F854" s="80"/>
      <c r="G854" s="80"/>
      <c r="H854" s="80"/>
      <c r="I854" s="80"/>
      <c r="J854" s="80"/>
      <c r="K854" s="82"/>
      <c r="L854" s="80"/>
      <c r="M854" s="80"/>
      <c r="N854" s="80"/>
      <c r="O854" s="80"/>
      <c r="P854" s="80"/>
      <c r="Q854" s="83"/>
      <c r="R854" s="80"/>
      <c r="S854" s="80"/>
      <c r="T854" s="80"/>
      <c r="U854" s="80"/>
      <c r="V854" s="84"/>
      <c r="W854" s="80"/>
      <c r="X854" s="85"/>
      <c r="Y854" s="86"/>
      <c r="Z854" s="86"/>
      <c r="AA854" s="86"/>
      <c r="AB854" s="86"/>
      <c r="AC854" s="86"/>
      <c r="AD854" s="86"/>
      <c r="AE854" s="86"/>
      <c r="AF854" s="86"/>
      <c r="AG854" s="86"/>
      <c r="AH854" s="82"/>
    </row>
    <row r="855">
      <c r="A855" s="78"/>
      <c r="B855" s="79"/>
      <c r="C855" s="80"/>
      <c r="D855" s="80"/>
      <c r="E855" s="80"/>
      <c r="F855" s="80"/>
      <c r="G855" s="80"/>
      <c r="H855" s="80"/>
      <c r="I855" s="80"/>
      <c r="J855" s="80"/>
      <c r="K855" s="82"/>
      <c r="L855" s="80"/>
      <c r="M855" s="80"/>
      <c r="N855" s="80"/>
      <c r="O855" s="80"/>
      <c r="P855" s="80"/>
      <c r="Q855" s="83"/>
      <c r="R855" s="80"/>
      <c r="S855" s="80"/>
      <c r="T855" s="80"/>
      <c r="U855" s="80"/>
      <c r="V855" s="84"/>
      <c r="W855" s="80"/>
      <c r="X855" s="85"/>
      <c r="Y855" s="86"/>
      <c r="Z855" s="86"/>
      <c r="AA855" s="86"/>
      <c r="AB855" s="86"/>
      <c r="AC855" s="86"/>
      <c r="AD855" s="86"/>
      <c r="AE855" s="86"/>
      <c r="AF855" s="86"/>
      <c r="AG855" s="86"/>
      <c r="AH855" s="82"/>
    </row>
    <row r="856">
      <c r="A856" s="78"/>
      <c r="B856" s="79"/>
      <c r="C856" s="80"/>
      <c r="D856" s="80"/>
      <c r="E856" s="80"/>
      <c r="F856" s="80"/>
      <c r="G856" s="80"/>
      <c r="H856" s="80"/>
      <c r="I856" s="80"/>
      <c r="J856" s="80"/>
      <c r="K856" s="82"/>
      <c r="L856" s="80"/>
      <c r="M856" s="80"/>
      <c r="N856" s="80"/>
      <c r="O856" s="80"/>
      <c r="P856" s="80"/>
      <c r="Q856" s="83"/>
      <c r="R856" s="80"/>
      <c r="S856" s="80"/>
      <c r="T856" s="80"/>
      <c r="U856" s="80"/>
      <c r="V856" s="84"/>
      <c r="W856" s="80"/>
      <c r="X856" s="85"/>
      <c r="Y856" s="86"/>
      <c r="Z856" s="86"/>
      <c r="AA856" s="86"/>
      <c r="AB856" s="86"/>
      <c r="AC856" s="86"/>
      <c r="AD856" s="86"/>
      <c r="AE856" s="86"/>
      <c r="AF856" s="86"/>
      <c r="AG856" s="86"/>
      <c r="AH856" s="82"/>
    </row>
    <row r="857">
      <c r="A857" s="78"/>
      <c r="B857" s="79"/>
      <c r="C857" s="80"/>
      <c r="D857" s="80"/>
      <c r="E857" s="80"/>
      <c r="F857" s="80"/>
      <c r="G857" s="80"/>
      <c r="H857" s="80"/>
      <c r="I857" s="80"/>
      <c r="J857" s="80"/>
      <c r="K857" s="82"/>
      <c r="L857" s="80"/>
      <c r="M857" s="80"/>
      <c r="N857" s="80"/>
      <c r="O857" s="80"/>
      <c r="P857" s="80"/>
      <c r="Q857" s="83"/>
      <c r="R857" s="80"/>
      <c r="S857" s="80"/>
      <c r="T857" s="80"/>
      <c r="U857" s="80"/>
      <c r="V857" s="84"/>
      <c r="W857" s="80"/>
      <c r="X857" s="85"/>
      <c r="Y857" s="86"/>
      <c r="Z857" s="86"/>
      <c r="AA857" s="86"/>
      <c r="AB857" s="86"/>
      <c r="AC857" s="86"/>
      <c r="AD857" s="86"/>
      <c r="AE857" s="86"/>
      <c r="AF857" s="86"/>
      <c r="AG857" s="86"/>
      <c r="AH857" s="82"/>
    </row>
    <row r="858">
      <c r="A858" s="78"/>
      <c r="B858" s="79"/>
      <c r="C858" s="80"/>
      <c r="D858" s="80"/>
      <c r="E858" s="80"/>
      <c r="F858" s="80"/>
      <c r="G858" s="80"/>
      <c r="H858" s="80"/>
      <c r="I858" s="80"/>
      <c r="J858" s="80"/>
      <c r="K858" s="82"/>
      <c r="L858" s="80"/>
      <c r="M858" s="80"/>
      <c r="N858" s="80"/>
      <c r="O858" s="80"/>
      <c r="P858" s="80"/>
      <c r="Q858" s="83"/>
      <c r="R858" s="80"/>
      <c r="S858" s="80"/>
      <c r="T858" s="80"/>
      <c r="U858" s="80"/>
      <c r="V858" s="84"/>
      <c r="W858" s="80"/>
      <c r="X858" s="85"/>
      <c r="Y858" s="86"/>
      <c r="Z858" s="86"/>
      <c r="AA858" s="86"/>
      <c r="AB858" s="86"/>
      <c r="AC858" s="86"/>
      <c r="AD858" s="86"/>
      <c r="AE858" s="86"/>
      <c r="AF858" s="86"/>
      <c r="AG858" s="86"/>
      <c r="AH858" s="82"/>
    </row>
    <row r="859">
      <c r="A859" s="78"/>
      <c r="B859" s="79"/>
      <c r="C859" s="80"/>
      <c r="D859" s="80"/>
      <c r="E859" s="80"/>
      <c r="F859" s="80"/>
      <c r="G859" s="80"/>
      <c r="H859" s="80"/>
      <c r="I859" s="80"/>
      <c r="J859" s="80"/>
      <c r="K859" s="82"/>
      <c r="L859" s="80"/>
      <c r="M859" s="80"/>
      <c r="N859" s="80"/>
      <c r="O859" s="80"/>
      <c r="P859" s="80"/>
      <c r="Q859" s="83"/>
      <c r="R859" s="80"/>
      <c r="S859" s="80"/>
      <c r="T859" s="80"/>
      <c r="U859" s="80"/>
      <c r="V859" s="84"/>
      <c r="W859" s="80"/>
      <c r="X859" s="85"/>
      <c r="Y859" s="86"/>
      <c r="Z859" s="86"/>
      <c r="AA859" s="86"/>
      <c r="AB859" s="86"/>
      <c r="AC859" s="86"/>
      <c r="AD859" s="86"/>
      <c r="AE859" s="86"/>
      <c r="AF859" s="86"/>
      <c r="AG859" s="86"/>
      <c r="AH859" s="82"/>
    </row>
    <row r="860">
      <c r="A860" s="78"/>
      <c r="B860" s="79"/>
      <c r="C860" s="80"/>
      <c r="D860" s="80"/>
      <c r="E860" s="80"/>
      <c r="F860" s="80"/>
      <c r="G860" s="80"/>
      <c r="H860" s="80"/>
      <c r="I860" s="80"/>
      <c r="J860" s="80"/>
      <c r="K860" s="82"/>
      <c r="L860" s="80"/>
      <c r="M860" s="80"/>
      <c r="N860" s="80"/>
      <c r="O860" s="80"/>
      <c r="P860" s="80"/>
      <c r="Q860" s="83"/>
      <c r="R860" s="80"/>
      <c r="S860" s="80"/>
      <c r="T860" s="80"/>
      <c r="U860" s="80"/>
      <c r="V860" s="84"/>
      <c r="W860" s="80"/>
      <c r="X860" s="85"/>
      <c r="Y860" s="86"/>
      <c r="Z860" s="86"/>
      <c r="AA860" s="86"/>
      <c r="AB860" s="86"/>
      <c r="AC860" s="86"/>
      <c r="AD860" s="86"/>
      <c r="AE860" s="86"/>
      <c r="AF860" s="86"/>
      <c r="AG860" s="86"/>
      <c r="AH860" s="82"/>
    </row>
    <row r="861">
      <c r="A861" s="78"/>
      <c r="B861" s="79"/>
      <c r="C861" s="80"/>
      <c r="D861" s="80"/>
      <c r="E861" s="80"/>
      <c r="F861" s="80"/>
      <c r="G861" s="80"/>
      <c r="H861" s="80"/>
      <c r="I861" s="80"/>
      <c r="J861" s="80"/>
      <c r="K861" s="82"/>
      <c r="L861" s="80"/>
      <c r="M861" s="80"/>
      <c r="N861" s="80"/>
      <c r="O861" s="80"/>
      <c r="P861" s="80"/>
      <c r="Q861" s="83"/>
      <c r="R861" s="80"/>
      <c r="S861" s="80"/>
      <c r="T861" s="80"/>
      <c r="U861" s="80"/>
      <c r="V861" s="84"/>
      <c r="W861" s="80"/>
      <c r="X861" s="85"/>
      <c r="Y861" s="86"/>
      <c r="Z861" s="86"/>
      <c r="AA861" s="86"/>
      <c r="AB861" s="86"/>
      <c r="AC861" s="86"/>
      <c r="AD861" s="86"/>
      <c r="AE861" s="86"/>
      <c r="AF861" s="86"/>
      <c r="AG861" s="86"/>
      <c r="AH861" s="82"/>
    </row>
    <row r="862">
      <c r="A862" s="78"/>
      <c r="B862" s="79"/>
      <c r="C862" s="80"/>
      <c r="D862" s="80"/>
      <c r="E862" s="80"/>
      <c r="F862" s="80"/>
      <c r="G862" s="80"/>
      <c r="H862" s="80"/>
      <c r="I862" s="80"/>
      <c r="J862" s="80"/>
      <c r="K862" s="82"/>
      <c r="L862" s="80"/>
      <c r="M862" s="80"/>
      <c r="N862" s="80"/>
      <c r="O862" s="80"/>
      <c r="P862" s="80"/>
      <c r="Q862" s="83"/>
      <c r="R862" s="80"/>
      <c r="S862" s="80"/>
      <c r="T862" s="80"/>
      <c r="U862" s="80"/>
      <c r="V862" s="84"/>
      <c r="W862" s="80"/>
      <c r="X862" s="85"/>
      <c r="Y862" s="86"/>
      <c r="Z862" s="86"/>
      <c r="AA862" s="86"/>
      <c r="AB862" s="86"/>
      <c r="AC862" s="86"/>
      <c r="AD862" s="86"/>
      <c r="AE862" s="86"/>
      <c r="AF862" s="86"/>
      <c r="AG862" s="86"/>
      <c r="AH862" s="82"/>
    </row>
    <row r="863">
      <c r="A863" s="78"/>
      <c r="B863" s="79"/>
      <c r="C863" s="80"/>
      <c r="D863" s="80"/>
      <c r="E863" s="80"/>
      <c r="F863" s="80"/>
      <c r="G863" s="80"/>
      <c r="H863" s="80"/>
      <c r="I863" s="80"/>
      <c r="J863" s="80"/>
      <c r="K863" s="82"/>
      <c r="L863" s="80"/>
      <c r="M863" s="80"/>
      <c r="N863" s="80"/>
      <c r="O863" s="80"/>
      <c r="P863" s="80"/>
      <c r="Q863" s="83"/>
      <c r="R863" s="80"/>
      <c r="S863" s="80"/>
      <c r="T863" s="80"/>
      <c r="U863" s="80"/>
      <c r="V863" s="84"/>
      <c r="W863" s="80"/>
      <c r="X863" s="85"/>
      <c r="Y863" s="86"/>
      <c r="Z863" s="86"/>
      <c r="AA863" s="86"/>
      <c r="AB863" s="86"/>
      <c r="AC863" s="86"/>
      <c r="AD863" s="86"/>
      <c r="AE863" s="86"/>
      <c r="AF863" s="86"/>
      <c r="AG863" s="86"/>
      <c r="AH863" s="82"/>
    </row>
    <row r="864">
      <c r="A864" s="78"/>
      <c r="B864" s="79"/>
      <c r="C864" s="80"/>
      <c r="D864" s="80"/>
      <c r="E864" s="80"/>
      <c r="F864" s="80"/>
      <c r="G864" s="80"/>
      <c r="H864" s="80"/>
      <c r="I864" s="80"/>
      <c r="J864" s="80"/>
      <c r="K864" s="82"/>
      <c r="L864" s="80"/>
      <c r="M864" s="80"/>
      <c r="N864" s="80"/>
      <c r="O864" s="80"/>
      <c r="P864" s="80"/>
      <c r="Q864" s="83"/>
      <c r="R864" s="80"/>
      <c r="S864" s="80"/>
      <c r="T864" s="80"/>
      <c r="U864" s="80"/>
      <c r="V864" s="84"/>
      <c r="W864" s="80"/>
      <c r="X864" s="85"/>
      <c r="Y864" s="86"/>
      <c r="Z864" s="86"/>
      <c r="AA864" s="86"/>
      <c r="AB864" s="86"/>
      <c r="AC864" s="86"/>
      <c r="AD864" s="86"/>
      <c r="AE864" s="86"/>
      <c r="AF864" s="86"/>
      <c r="AG864" s="86"/>
      <c r="AH864" s="82"/>
    </row>
    <row r="865">
      <c r="A865" s="78"/>
      <c r="B865" s="79"/>
      <c r="C865" s="80"/>
      <c r="D865" s="80"/>
      <c r="E865" s="80"/>
      <c r="F865" s="80"/>
      <c r="G865" s="80"/>
      <c r="H865" s="80"/>
      <c r="I865" s="80"/>
      <c r="J865" s="80"/>
      <c r="K865" s="82"/>
      <c r="L865" s="80"/>
      <c r="M865" s="80"/>
      <c r="N865" s="80"/>
      <c r="O865" s="80"/>
      <c r="P865" s="80"/>
      <c r="Q865" s="83"/>
      <c r="R865" s="80"/>
      <c r="S865" s="80"/>
      <c r="T865" s="80"/>
      <c r="U865" s="80"/>
      <c r="V865" s="84"/>
      <c r="W865" s="80"/>
      <c r="X865" s="85"/>
      <c r="Y865" s="86"/>
      <c r="Z865" s="86"/>
      <c r="AA865" s="86"/>
      <c r="AB865" s="86"/>
      <c r="AC865" s="86"/>
      <c r="AD865" s="86"/>
      <c r="AE865" s="86"/>
      <c r="AF865" s="86"/>
      <c r="AG865" s="86"/>
      <c r="AH865" s="82"/>
    </row>
    <row r="866">
      <c r="A866" s="78"/>
      <c r="B866" s="79"/>
      <c r="C866" s="80"/>
      <c r="D866" s="80"/>
      <c r="E866" s="80"/>
      <c r="F866" s="80"/>
      <c r="G866" s="80"/>
      <c r="H866" s="80"/>
      <c r="I866" s="80"/>
      <c r="J866" s="80"/>
      <c r="K866" s="82"/>
      <c r="L866" s="80"/>
      <c r="M866" s="80"/>
      <c r="N866" s="80"/>
      <c r="O866" s="80"/>
      <c r="P866" s="80"/>
      <c r="Q866" s="83"/>
      <c r="R866" s="80"/>
      <c r="S866" s="80"/>
      <c r="T866" s="80"/>
      <c r="U866" s="80"/>
      <c r="V866" s="84"/>
      <c r="W866" s="80"/>
      <c r="X866" s="85"/>
      <c r="Y866" s="86"/>
      <c r="Z866" s="86"/>
      <c r="AA866" s="86"/>
      <c r="AB866" s="86"/>
      <c r="AC866" s="86"/>
      <c r="AD866" s="86"/>
      <c r="AE866" s="86"/>
      <c r="AF866" s="86"/>
      <c r="AG866" s="86"/>
      <c r="AH866" s="82"/>
    </row>
    <row r="867">
      <c r="A867" s="78"/>
      <c r="B867" s="79"/>
      <c r="C867" s="80"/>
      <c r="D867" s="80"/>
      <c r="E867" s="80"/>
      <c r="F867" s="80"/>
      <c r="G867" s="80"/>
      <c r="H867" s="80"/>
      <c r="I867" s="80"/>
      <c r="J867" s="80"/>
      <c r="K867" s="82"/>
      <c r="L867" s="80"/>
      <c r="M867" s="80"/>
      <c r="N867" s="80"/>
      <c r="O867" s="80"/>
      <c r="P867" s="80"/>
      <c r="Q867" s="83"/>
      <c r="R867" s="80"/>
      <c r="S867" s="80"/>
      <c r="T867" s="80"/>
      <c r="U867" s="80"/>
      <c r="V867" s="84"/>
      <c r="W867" s="80"/>
      <c r="X867" s="85"/>
      <c r="Y867" s="86"/>
      <c r="Z867" s="86"/>
      <c r="AA867" s="86"/>
      <c r="AB867" s="86"/>
      <c r="AC867" s="86"/>
      <c r="AD867" s="86"/>
      <c r="AE867" s="86"/>
      <c r="AF867" s="86"/>
      <c r="AG867" s="86"/>
      <c r="AH867" s="82"/>
    </row>
    <row r="868">
      <c r="A868" s="78"/>
      <c r="B868" s="79"/>
      <c r="C868" s="80"/>
      <c r="D868" s="80"/>
      <c r="E868" s="80"/>
      <c r="F868" s="80"/>
      <c r="G868" s="80"/>
      <c r="H868" s="80"/>
      <c r="I868" s="80"/>
      <c r="J868" s="80"/>
      <c r="K868" s="82"/>
      <c r="L868" s="80"/>
      <c r="M868" s="80"/>
      <c r="N868" s="80"/>
      <c r="O868" s="80"/>
      <c r="P868" s="80"/>
      <c r="Q868" s="83"/>
      <c r="R868" s="80"/>
      <c r="S868" s="80"/>
      <c r="T868" s="80"/>
      <c r="U868" s="80"/>
      <c r="V868" s="84"/>
      <c r="W868" s="80"/>
      <c r="X868" s="85"/>
      <c r="Y868" s="86"/>
      <c r="Z868" s="86"/>
      <c r="AA868" s="86"/>
      <c r="AB868" s="86"/>
      <c r="AC868" s="86"/>
      <c r="AD868" s="86"/>
      <c r="AE868" s="86"/>
      <c r="AF868" s="86"/>
      <c r="AG868" s="86"/>
      <c r="AH868" s="82"/>
    </row>
    <row r="869">
      <c r="A869" s="78"/>
      <c r="B869" s="79"/>
      <c r="C869" s="80"/>
      <c r="D869" s="80"/>
      <c r="E869" s="80"/>
      <c r="F869" s="80"/>
      <c r="G869" s="80"/>
      <c r="H869" s="80"/>
      <c r="I869" s="80"/>
      <c r="J869" s="80"/>
      <c r="K869" s="82"/>
      <c r="L869" s="80"/>
      <c r="M869" s="80"/>
      <c r="N869" s="80"/>
      <c r="O869" s="80"/>
      <c r="P869" s="80"/>
      <c r="Q869" s="83"/>
      <c r="R869" s="80"/>
      <c r="S869" s="80"/>
      <c r="T869" s="80"/>
      <c r="U869" s="80"/>
      <c r="V869" s="84"/>
      <c r="W869" s="80"/>
      <c r="X869" s="85"/>
      <c r="Y869" s="86"/>
      <c r="Z869" s="86"/>
      <c r="AA869" s="86"/>
      <c r="AB869" s="86"/>
      <c r="AC869" s="86"/>
      <c r="AD869" s="86"/>
      <c r="AE869" s="86"/>
      <c r="AF869" s="86"/>
      <c r="AG869" s="86"/>
      <c r="AH869" s="82"/>
    </row>
    <row r="870">
      <c r="A870" s="78"/>
      <c r="B870" s="79"/>
      <c r="C870" s="80"/>
      <c r="D870" s="80"/>
      <c r="E870" s="80"/>
      <c r="F870" s="80"/>
      <c r="G870" s="80"/>
      <c r="H870" s="80"/>
      <c r="I870" s="80"/>
      <c r="J870" s="80"/>
      <c r="K870" s="82"/>
      <c r="L870" s="80"/>
      <c r="M870" s="80"/>
      <c r="N870" s="80"/>
      <c r="O870" s="80"/>
      <c r="P870" s="80"/>
      <c r="Q870" s="83"/>
      <c r="R870" s="80"/>
      <c r="S870" s="80"/>
      <c r="T870" s="80"/>
      <c r="U870" s="80"/>
      <c r="V870" s="84"/>
      <c r="W870" s="80"/>
      <c r="X870" s="85"/>
      <c r="Y870" s="86"/>
      <c r="Z870" s="86"/>
      <c r="AA870" s="86"/>
      <c r="AB870" s="86"/>
      <c r="AC870" s="86"/>
      <c r="AD870" s="86"/>
      <c r="AE870" s="86"/>
      <c r="AF870" s="86"/>
      <c r="AG870" s="86"/>
      <c r="AH870" s="82"/>
    </row>
    <row r="871">
      <c r="A871" s="78"/>
      <c r="B871" s="79"/>
      <c r="C871" s="80"/>
      <c r="D871" s="80"/>
      <c r="E871" s="80"/>
      <c r="F871" s="80"/>
      <c r="G871" s="80"/>
      <c r="H871" s="80"/>
      <c r="I871" s="80"/>
      <c r="J871" s="80"/>
      <c r="K871" s="82"/>
      <c r="L871" s="80"/>
      <c r="M871" s="80"/>
      <c r="N871" s="80"/>
      <c r="O871" s="80"/>
      <c r="P871" s="80"/>
      <c r="Q871" s="83"/>
      <c r="R871" s="80"/>
      <c r="S871" s="80"/>
      <c r="T871" s="80"/>
      <c r="U871" s="80"/>
      <c r="V871" s="84"/>
      <c r="W871" s="80"/>
      <c r="X871" s="85"/>
      <c r="Y871" s="86"/>
      <c r="Z871" s="86"/>
      <c r="AA871" s="86"/>
      <c r="AB871" s="86"/>
      <c r="AC871" s="86"/>
      <c r="AD871" s="86"/>
      <c r="AE871" s="86"/>
      <c r="AF871" s="86"/>
      <c r="AG871" s="86"/>
      <c r="AH871" s="82"/>
    </row>
    <row r="872">
      <c r="A872" s="78"/>
      <c r="B872" s="79"/>
      <c r="C872" s="80"/>
      <c r="D872" s="80"/>
      <c r="E872" s="80"/>
      <c r="F872" s="80"/>
      <c r="G872" s="80"/>
      <c r="H872" s="80"/>
      <c r="I872" s="80"/>
      <c r="J872" s="80"/>
      <c r="K872" s="82"/>
      <c r="L872" s="80"/>
      <c r="M872" s="80"/>
      <c r="N872" s="80"/>
      <c r="O872" s="80"/>
      <c r="P872" s="80"/>
      <c r="Q872" s="83"/>
      <c r="R872" s="80"/>
      <c r="S872" s="80"/>
      <c r="T872" s="80"/>
      <c r="U872" s="80"/>
      <c r="V872" s="84"/>
      <c r="W872" s="80"/>
      <c r="X872" s="85"/>
      <c r="Y872" s="86"/>
      <c r="Z872" s="86"/>
      <c r="AA872" s="86"/>
      <c r="AB872" s="86"/>
      <c r="AC872" s="86"/>
      <c r="AD872" s="86"/>
      <c r="AE872" s="86"/>
      <c r="AF872" s="86"/>
      <c r="AG872" s="86"/>
      <c r="AH872" s="82"/>
    </row>
    <row r="873">
      <c r="A873" s="78"/>
      <c r="B873" s="79"/>
      <c r="C873" s="80"/>
      <c r="D873" s="80"/>
      <c r="E873" s="80"/>
      <c r="F873" s="80"/>
      <c r="G873" s="80"/>
      <c r="H873" s="80"/>
      <c r="I873" s="80"/>
      <c r="J873" s="80"/>
      <c r="K873" s="82"/>
      <c r="L873" s="80"/>
      <c r="M873" s="80"/>
      <c r="N873" s="80"/>
      <c r="O873" s="80"/>
      <c r="P873" s="80"/>
      <c r="Q873" s="83"/>
      <c r="R873" s="80"/>
      <c r="S873" s="80"/>
      <c r="T873" s="80"/>
      <c r="U873" s="80"/>
      <c r="V873" s="84"/>
      <c r="W873" s="80"/>
      <c r="X873" s="85"/>
      <c r="Y873" s="86"/>
      <c r="Z873" s="86"/>
      <c r="AA873" s="86"/>
      <c r="AB873" s="86"/>
      <c r="AC873" s="86"/>
      <c r="AD873" s="86"/>
      <c r="AE873" s="86"/>
      <c r="AF873" s="86"/>
      <c r="AG873" s="86"/>
      <c r="AH873" s="82"/>
    </row>
    <row r="874">
      <c r="A874" s="78"/>
      <c r="B874" s="79"/>
      <c r="C874" s="80"/>
      <c r="D874" s="80"/>
      <c r="E874" s="80"/>
      <c r="F874" s="80"/>
      <c r="G874" s="80"/>
      <c r="H874" s="80"/>
      <c r="I874" s="80"/>
      <c r="J874" s="80"/>
      <c r="K874" s="82"/>
      <c r="L874" s="80"/>
      <c r="M874" s="80"/>
      <c r="N874" s="80"/>
      <c r="O874" s="80"/>
      <c r="P874" s="80"/>
      <c r="Q874" s="83"/>
      <c r="R874" s="80"/>
      <c r="S874" s="80"/>
      <c r="T874" s="80"/>
      <c r="U874" s="80"/>
      <c r="V874" s="84"/>
      <c r="W874" s="80"/>
      <c r="X874" s="85"/>
      <c r="Y874" s="86"/>
      <c r="Z874" s="86"/>
      <c r="AA874" s="86"/>
      <c r="AB874" s="86"/>
      <c r="AC874" s="86"/>
      <c r="AD874" s="86"/>
      <c r="AE874" s="86"/>
      <c r="AF874" s="86"/>
      <c r="AG874" s="86"/>
      <c r="AH874" s="82"/>
    </row>
    <row r="875">
      <c r="A875" s="78"/>
      <c r="B875" s="79"/>
      <c r="C875" s="80"/>
      <c r="D875" s="80"/>
      <c r="E875" s="80"/>
      <c r="F875" s="80"/>
      <c r="G875" s="80"/>
      <c r="H875" s="80"/>
      <c r="I875" s="80"/>
      <c r="J875" s="80"/>
      <c r="K875" s="82"/>
      <c r="L875" s="80"/>
      <c r="M875" s="80"/>
      <c r="N875" s="80"/>
      <c r="O875" s="80"/>
      <c r="P875" s="80"/>
      <c r="Q875" s="83"/>
      <c r="R875" s="80"/>
      <c r="S875" s="80"/>
      <c r="T875" s="80"/>
      <c r="U875" s="80"/>
      <c r="V875" s="84"/>
      <c r="W875" s="80"/>
      <c r="X875" s="85"/>
      <c r="Y875" s="86"/>
      <c r="Z875" s="86"/>
      <c r="AA875" s="86"/>
      <c r="AB875" s="86"/>
      <c r="AC875" s="86"/>
      <c r="AD875" s="86"/>
      <c r="AE875" s="86"/>
      <c r="AF875" s="86"/>
      <c r="AG875" s="86"/>
      <c r="AH875" s="82"/>
    </row>
    <row r="876">
      <c r="A876" s="78"/>
      <c r="B876" s="79"/>
      <c r="C876" s="80"/>
      <c r="D876" s="80"/>
      <c r="E876" s="80"/>
      <c r="F876" s="80"/>
      <c r="G876" s="80"/>
      <c r="H876" s="80"/>
      <c r="I876" s="80"/>
      <c r="J876" s="80"/>
      <c r="K876" s="82"/>
      <c r="L876" s="80"/>
      <c r="M876" s="80"/>
      <c r="N876" s="80"/>
      <c r="O876" s="80"/>
      <c r="P876" s="80"/>
      <c r="Q876" s="83"/>
      <c r="R876" s="80"/>
      <c r="S876" s="80"/>
      <c r="T876" s="80"/>
      <c r="U876" s="80"/>
      <c r="V876" s="84"/>
      <c r="W876" s="80"/>
      <c r="X876" s="85"/>
      <c r="Y876" s="86"/>
      <c r="Z876" s="86"/>
      <c r="AA876" s="86"/>
      <c r="AB876" s="86"/>
      <c r="AC876" s="86"/>
      <c r="AD876" s="86"/>
      <c r="AE876" s="86"/>
      <c r="AF876" s="86"/>
      <c r="AG876" s="86"/>
      <c r="AH876" s="82"/>
    </row>
    <row r="877">
      <c r="A877" s="78"/>
      <c r="B877" s="79"/>
      <c r="C877" s="80"/>
      <c r="D877" s="80"/>
      <c r="E877" s="80"/>
      <c r="F877" s="80"/>
      <c r="G877" s="80"/>
      <c r="H877" s="80"/>
      <c r="I877" s="80"/>
      <c r="J877" s="80"/>
      <c r="K877" s="82"/>
      <c r="L877" s="80"/>
      <c r="M877" s="80"/>
      <c r="N877" s="80"/>
      <c r="O877" s="80"/>
      <c r="P877" s="80"/>
      <c r="Q877" s="83"/>
      <c r="R877" s="80"/>
      <c r="S877" s="80"/>
      <c r="T877" s="80"/>
      <c r="U877" s="80"/>
      <c r="V877" s="84"/>
      <c r="W877" s="80"/>
      <c r="X877" s="85"/>
      <c r="Y877" s="86"/>
      <c r="Z877" s="86"/>
      <c r="AA877" s="86"/>
      <c r="AB877" s="86"/>
      <c r="AC877" s="86"/>
      <c r="AD877" s="86"/>
      <c r="AE877" s="86"/>
      <c r="AF877" s="86"/>
      <c r="AG877" s="86"/>
      <c r="AH877" s="82"/>
    </row>
    <row r="878">
      <c r="A878" s="78"/>
      <c r="B878" s="79"/>
      <c r="C878" s="80"/>
      <c r="D878" s="80"/>
      <c r="E878" s="80"/>
      <c r="F878" s="80"/>
      <c r="G878" s="80"/>
      <c r="H878" s="80"/>
      <c r="I878" s="80"/>
      <c r="J878" s="80"/>
      <c r="K878" s="82"/>
      <c r="L878" s="80"/>
      <c r="M878" s="80"/>
      <c r="N878" s="80"/>
      <c r="O878" s="80"/>
      <c r="P878" s="80"/>
      <c r="Q878" s="83"/>
      <c r="R878" s="80"/>
      <c r="S878" s="80"/>
      <c r="T878" s="80"/>
      <c r="U878" s="80"/>
      <c r="V878" s="84"/>
      <c r="W878" s="80"/>
      <c r="X878" s="85"/>
      <c r="Y878" s="86"/>
      <c r="Z878" s="86"/>
      <c r="AA878" s="86"/>
      <c r="AB878" s="86"/>
      <c r="AC878" s="86"/>
      <c r="AD878" s="86"/>
      <c r="AE878" s="86"/>
      <c r="AF878" s="86"/>
      <c r="AG878" s="86"/>
      <c r="AH878" s="82"/>
    </row>
    <row r="879">
      <c r="A879" s="78"/>
      <c r="B879" s="79"/>
      <c r="C879" s="80"/>
      <c r="D879" s="80"/>
      <c r="E879" s="80"/>
      <c r="F879" s="80"/>
      <c r="G879" s="80"/>
      <c r="H879" s="80"/>
      <c r="I879" s="80"/>
      <c r="J879" s="80"/>
      <c r="K879" s="82"/>
      <c r="L879" s="80"/>
      <c r="M879" s="80"/>
      <c r="N879" s="80"/>
      <c r="O879" s="80"/>
      <c r="P879" s="80"/>
      <c r="Q879" s="83"/>
      <c r="R879" s="80"/>
      <c r="S879" s="80"/>
      <c r="T879" s="80"/>
      <c r="U879" s="80"/>
      <c r="V879" s="84"/>
      <c r="W879" s="80"/>
      <c r="X879" s="85"/>
      <c r="Y879" s="86"/>
      <c r="Z879" s="86"/>
      <c r="AA879" s="86"/>
      <c r="AB879" s="86"/>
      <c r="AC879" s="86"/>
      <c r="AD879" s="86"/>
      <c r="AE879" s="86"/>
      <c r="AF879" s="86"/>
      <c r="AG879" s="86"/>
      <c r="AH879" s="82"/>
    </row>
    <row r="880">
      <c r="A880" s="78"/>
      <c r="B880" s="79"/>
      <c r="C880" s="80"/>
      <c r="D880" s="80"/>
      <c r="E880" s="80"/>
      <c r="F880" s="80"/>
      <c r="G880" s="80"/>
      <c r="H880" s="80"/>
      <c r="I880" s="80"/>
      <c r="J880" s="80"/>
      <c r="K880" s="82"/>
      <c r="L880" s="80"/>
      <c r="M880" s="80"/>
      <c r="N880" s="80"/>
      <c r="O880" s="80"/>
      <c r="P880" s="80"/>
      <c r="Q880" s="83"/>
      <c r="R880" s="80"/>
      <c r="S880" s="80"/>
      <c r="T880" s="80"/>
      <c r="U880" s="80"/>
      <c r="V880" s="84"/>
      <c r="W880" s="80"/>
      <c r="X880" s="85"/>
      <c r="Y880" s="86"/>
      <c r="Z880" s="86"/>
      <c r="AA880" s="86"/>
      <c r="AB880" s="86"/>
      <c r="AC880" s="86"/>
      <c r="AD880" s="86"/>
      <c r="AE880" s="86"/>
      <c r="AF880" s="86"/>
      <c r="AG880" s="86"/>
      <c r="AH880" s="82"/>
    </row>
    <row r="881">
      <c r="A881" s="78"/>
      <c r="B881" s="79"/>
      <c r="C881" s="80"/>
      <c r="D881" s="80"/>
      <c r="E881" s="80"/>
      <c r="F881" s="80"/>
      <c r="G881" s="80"/>
      <c r="H881" s="80"/>
      <c r="I881" s="80"/>
      <c r="J881" s="80"/>
      <c r="K881" s="82"/>
      <c r="L881" s="80"/>
      <c r="M881" s="80"/>
      <c r="N881" s="80"/>
      <c r="O881" s="80"/>
      <c r="P881" s="80"/>
      <c r="Q881" s="83"/>
      <c r="R881" s="80"/>
      <c r="S881" s="80"/>
      <c r="T881" s="80"/>
      <c r="U881" s="80"/>
      <c r="V881" s="84"/>
      <c r="W881" s="80"/>
      <c r="X881" s="85"/>
      <c r="Y881" s="86"/>
      <c r="Z881" s="86"/>
      <c r="AA881" s="86"/>
      <c r="AB881" s="86"/>
      <c r="AC881" s="86"/>
      <c r="AD881" s="86"/>
      <c r="AE881" s="86"/>
      <c r="AF881" s="86"/>
      <c r="AG881" s="86"/>
      <c r="AH881" s="82"/>
    </row>
    <row r="882">
      <c r="A882" s="78"/>
      <c r="B882" s="79"/>
      <c r="C882" s="80"/>
      <c r="D882" s="80"/>
      <c r="E882" s="80"/>
      <c r="F882" s="80"/>
      <c r="G882" s="80"/>
      <c r="H882" s="80"/>
      <c r="I882" s="80"/>
      <c r="J882" s="80"/>
      <c r="K882" s="82"/>
      <c r="L882" s="80"/>
      <c r="M882" s="80"/>
      <c r="N882" s="80"/>
      <c r="O882" s="80"/>
      <c r="P882" s="80"/>
      <c r="Q882" s="83"/>
      <c r="R882" s="80"/>
      <c r="S882" s="80"/>
      <c r="T882" s="80"/>
      <c r="U882" s="80"/>
      <c r="V882" s="84"/>
      <c r="W882" s="80"/>
      <c r="X882" s="85"/>
      <c r="Y882" s="86"/>
      <c r="Z882" s="86"/>
      <c r="AA882" s="86"/>
      <c r="AB882" s="86"/>
      <c r="AC882" s="86"/>
      <c r="AD882" s="86"/>
      <c r="AE882" s="86"/>
      <c r="AF882" s="86"/>
      <c r="AG882" s="86"/>
      <c r="AH882" s="82"/>
    </row>
    <row r="883">
      <c r="A883" s="78"/>
      <c r="B883" s="79"/>
      <c r="C883" s="80"/>
      <c r="D883" s="80"/>
      <c r="E883" s="80"/>
      <c r="F883" s="80"/>
      <c r="G883" s="80"/>
      <c r="H883" s="80"/>
      <c r="I883" s="80"/>
      <c r="J883" s="80"/>
      <c r="K883" s="82"/>
      <c r="L883" s="80"/>
      <c r="M883" s="80"/>
      <c r="N883" s="80"/>
      <c r="O883" s="80"/>
      <c r="P883" s="80"/>
      <c r="Q883" s="83"/>
      <c r="R883" s="80"/>
      <c r="S883" s="80"/>
      <c r="T883" s="80"/>
      <c r="U883" s="80"/>
      <c r="V883" s="84"/>
      <c r="W883" s="80"/>
      <c r="X883" s="85"/>
      <c r="Y883" s="86"/>
      <c r="Z883" s="86"/>
      <c r="AA883" s="86"/>
      <c r="AB883" s="86"/>
      <c r="AC883" s="86"/>
      <c r="AD883" s="86"/>
      <c r="AE883" s="86"/>
      <c r="AF883" s="86"/>
      <c r="AG883" s="86"/>
      <c r="AH883" s="82"/>
    </row>
    <row r="884">
      <c r="A884" s="78"/>
      <c r="B884" s="79"/>
      <c r="C884" s="80"/>
      <c r="D884" s="80"/>
      <c r="E884" s="80"/>
      <c r="F884" s="80"/>
      <c r="G884" s="80"/>
      <c r="H884" s="80"/>
      <c r="I884" s="80"/>
      <c r="J884" s="80"/>
      <c r="K884" s="82"/>
      <c r="L884" s="80"/>
      <c r="M884" s="80"/>
      <c r="N884" s="80"/>
      <c r="O884" s="80"/>
      <c r="P884" s="80"/>
      <c r="Q884" s="83"/>
      <c r="R884" s="80"/>
      <c r="S884" s="80"/>
      <c r="T884" s="80"/>
      <c r="U884" s="80"/>
      <c r="V884" s="84"/>
      <c r="W884" s="80"/>
      <c r="X884" s="85"/>
      <c r="Y884" s="86"/>
      <c r="Z884" s="86"/>
      <c r="AA884" s="86"/>
      <c r="AB884" s="86"/>
      <c r="AC884" s="86"/>
      <c r="AD884" s="86"/>
      <c r="AE884" s="86"/>
      <c r="AF884" s="86"/>
      <c r="AG884" s="86"/>
      <c r="AH884" s="82"/>
    </row>
    <row r="885">
      <c r="A885" s="78"/>
      <c r="B885" s="79"/>
      <c r="C885" s="80"/>
      <c r="D885" s="80"/>
      <c r="E885" s="80"/>
      <c r="F885" s="80"/>
      <c r="G885" s="80"/>
      <c r="H885" s="80"/>
      <c r="I885" s="80"/>
      <c r="J885" s="80"/>
      <c r="K885" s="82"/>
      <c r="L885" s="80"/>
      <c r="M885" s="80"/>
      <c r="N885" s="80"/>
      <c r="O885" s="80"/>
      <c r="P885" s="80"/>
      <c r="Q885" s="83"/>
      <c r="R885" s="80"/>
      <c r="S885" s="80"/>
      <c r="T885" s="80"/>
      <c r="U885" s="80"/>
      <c r="V885" s="84"/>
      <c r="W885" s="80"/>
      <c r="X885" s="85"/>
      <c r="Y885" s="86"/>
      <c r="Z885" s="86"/>
      <c r="AA885" s="86"/>
      <c r="AB885" s="86"/>
      <c r="AC885" s="86"/>
      <c r="AD885" s="86"/>
      <c r="AE885" s="86"/>
      <c r="AF885" s="86"/>
      <c r="AG885" s="86"/>
      <c r="AH885" s="82"/>
    </row>
    <row r="886">
      <c r="A886" s="78"/>
      <c r="B886" s="79"/>
      <c r="C886" s="80"/>
      <c r="D886" s="80"/>
      <c r="E886" s="80"/>
      <c r="F886" s="80"/>
      <c r="G886" s="80"/>
      <c r="H886" s="80"/>
      <c r="I886" s="80"/>
      <c r="J886" s="80"/>
      <c r="K886" s="82"/>
      <c r="L886" s="80"/>
      <c r="M886" s="80"/>
      <c r="N886" s="80"/>
      <c r="O886" s="80"/>
      <c r="P886" s="80"/>
      <c r="Q886" s="83"/>
      <c r="R886" s="80"/>
      <c r="S886" s="80"/>
      <c r="T886" s="80"/>
      <c r="U886" s="80"/>
      <c r="V886" s="84"/>
      <c r="W886" s="80"/>
      <c r="X886" s="85"/>
      <c r="Y886" s="86"/>
      <c r="Z886" s="86"/>
      <c r="AA886" s="86"/>
      <c r="AB886" s="86"/>
      <c r="AC886" s="86"/>
      <c r="AD886" s="86"/>
      <c r="AE886" s="86"/>
      <c r="AF886" s="86"/>
      <c r="AG886" s="86"/>
      <c r="AH886" s="82"/>
    </row>
    <row r="887">
      <c r="A887" s="78"/>
      <c r="B887" s="79"/>
      <c r="C887" s="80"/>
      <c r="D887" s="80"/>
      <c r="E887" s="80"/>
      <c r="F887" s="80"/>
      <c r="G887" s="80"/>
      <c r="H887" s="80"/>
      <c r="I887" s="80"/>
      <c r="J887" s="80"/>
      <c r="K887" s="82"/>
      <c r="L887" s="80"/>
      <c r="M887" s="80"/>
      <c r="N887" s="80"/>
      <c r="O887" s="80"/>
      <c r="P887" s="80"/>
      <c r="Q887" s="83"/>
      <c r="R887" s="80"/>
      <c r="S887" s="80"/>
      <c r="T887" s="80"/>
      <c r="U887" s="80"/>
      <c r="V887" s="84"/>
      <c r="W887" s="80"/>
      <c r="X887" s="85"/>
      <c r="Y887" s="86"/>
      <c r="Z887" s="86"/>
      <c r="AA887" s="86"/>
      <c r="AB887" s="86"/>
      <c r="AC887" s="86"/>
      <c r="AD887" s="86"/>
      <c r="AE887" s="86"/>
      <c r="AF887" s="86"/>
      <c r="AG887" s="86"/>
      <c r="AH887" s="82"/>
    </row>
    <row r="888">
      <c r="A888" s="78"/>
      <c r="B888" s="79"/>
      <c r="C888" s="80"/>
      <c r="D888" s="80"/>
      <c r="E888" s="80"/>
      <c r="F888" s="80"/>
      <c r="G888" s="80"/>
      <c r="H888" s="80"/>
      <c r="I888" s="80"/>
      <c r="J888" s="80"/>
      <c r="K888" s="82"/>
      <c r="L888" s="80"/>
      <c r="M888" s="80"/>
      <c r="N888" s="80"/>
      <c r="O888" s="80"/>
      <c r="P888" s="80"/>
      <c r="Q888" s="83"/>
      <c r="R888" s="80"/>
      <c r="S888" s="80"/>
      <c r="T888" s="80"/>
      <c r="U888" s="80"/>
      <c r="V888" s="84"/>
      <c r="W888" s="80"/>
      <c r="X888" s="85"/>
      <c r="Y888" s="86"/>
      <c r="Z888" s="86"/>
      <c r="AA888" s="86"/>
      <c r="AB888" s="86"/>
      <c r="AC888" s="86"/>
      <c r="AD888" s="86"/>
      <c r="AE888" s="86"/>
      <c r="AF888" s="86"/>
      <c r="AG888" s="86"/>
      <c r="AH888" s="82"/>
    </row>
    <row r="889">
      <c r="A889" s="78"/>
      <c r="B889" s="79"/>
      <c r="C889" s="80"/>
      <c r="D889" s="80"/>
      <c r="E889" s="80"/>
      <c r="F889" s="80"/>
      <c r="G889" s="80"/>
      <c r="H889" s="80"/>
      <c r="I889" s="80"/>
      <c r="J889" s="80"/>
      <c r="K889" s="82"/>
      <c r="L889" s="80"/>
      <c r="M889" s="80"/>
      <c r="N889" s="80"/>
      <c r="O889" s="80"/>
      <c r="P889" s="80"/>
      <c r="Q889" s="83"/>
      <c r="R889" s="80"/>
      <c r="S889" s="80"/>
      <c r="T889" s="80"/>
      <c r="U889" s="80"/>
      <c r="V889" s="84"/>
      <c r="W889" s="80"/>
      <c r="X889" s="85"/>
      <c r="Y889" s="86"/>
      <c r="Z889" s="86"/>
      <c r="AA889" s="86"/>
      <c r="AB889" s="86"/>
      <c r="AC889" s="86"/>
      <c r="AD889" s="86"/>
      <c r="AE889" s="86"/>
      <c r="AF889" s="86"/>
      <c r="AG889" s="86"/>
      <c r="AH889" s="82"/>
    </row>
    <row r="890">
      <c r="A890" s="78"/>
      <c r="B890" s="79"/>
      <c r="C890" s="80"/>
      <c r="D890" s="80"/>
      <c r="E890" s="80"/>
      <c r="F890" s="80"/>
      <c r="G890" s="80"/>
      <c r="H890" s="80"/>
      <c r="I890" s="80"/>
      <c r="J890" s="80"/>
      <c r="K890" s="82"/>
      <c r="L890" s="80"/>
      <c r="M890" s="80"/>
      <c r="N890" s="80"/>
      <c r="O890" s="80"/>
      <c r="P890" s="80"/>
      <c r="Q890" s="83"/>
      <c r="R890" s="80"/>
      <c r="S890" s="80"/>
      <c r="T890" s="80"/>
      <c r="U890" s="80"/>
      <c r="V890" s="84"/>
      <c r="W890" s="80"/>
      <c r="X890" s="85"/>
      <c r="Y890" s="86"/>
      <c r="Z890" s="86"/>
      <c r="AA890" s="86"/>
      <c r="AB890" s="86"/>
      <c r="AC890" s="86"/>
      <c r="AD890" s="86"/>
      <c r="AE890" s="86"/>
      <c r="AF890" s="86"/>
      <c r="AG890" s="86"/>
      <c r="AH890" s="82"/>
    </row>
    <row r="891">
      <c r="A891" s="78"/>
      <c r="B891" s="79"/>
      <c r="C891" s="80"/>
      <c r="D891" s="80"/>
      <c r="E891" s="80"/>
      <c r="F891" s="80"/>
      <c r="G891" s="80"/>
      <c r="H891" s="80"/>
      <c r="I891" s="80"/>
      <c r="J891" s="80"/>
      <c r="K891" s="82"/>
      <c r="L891" s="80"/>
      <c r="M891" s="80"/>
      <c r="N891" s="80"/>
      <c r="O891" s="80"/>
      <c r="P891" s="80"/>
      <c r="Q891" s="83"/>
      <c r="R891" s="80"/>
      <c r="S891" s="80"/>
      <c r="T891" s="80"/>
      <c r="U891" s="80"/>
      <c r="V891" s="84"/>
      <c r="W891" s="80"/>
      <c r="X891" s="85"/>
      <c r="Y891" s="86"/>
      <c r="Z891" s="86"/>
      <c r="AA891" s="86"/>
      <c r="AB891" s="86"/>
      <c r="AC891" s="86"/>
      <c r="AD891" s="86"/>
      <c r="AE891" s="86"/>
      <c r="AF891" s="86"/>
      <c r="AG891" s="86"/>
      <c r="AH891" s="82"/>
    </row>
    <row r="892">
      <c r="A892" s="78"/>
      <c r="B892" s="79"/>
      <c r="C892" s="80"/>
      <c r="D892" s="80"/>
      <c r="E892" s="80"/>
      <c r="F892" s="80"/>
      <c r="G892" s="80"/>
      <c r="H892" s="80"/>
      <c r="I892" s="80"/>
      <c r="J892" s="80"/>
      <c r="K892" s="82"/>
      <c r="L892" s="80"/>
      <c r="M892" s="80"/>
      <c r="N892" s="80"/>
      <c r="O892" s="80"/>
      <c r="P892" s="80"/>
      <c r="Q892" s="83"/>
      <c r="R892" s="80"/>
      <c r="S892" s="80"/>
      <c r="T892" s="80"/>
      <c r="U892" s="80"/>
      <c r="V892" s="84"/>
      <c r="W892" s="80"/>
      <c r="X892" s="85"/>
      <c r="Y892" s="86"/>
      <c r="Z892" s="86"/>
      <c r="AA892" s="86"/>
      <c r="AB892" s="86"/>
      <c r="AC892" s="86"/>
      <c r="AD892" s="86"/>
      <c r="AE892" s="86"/>
      <c r="AF892" s="86"/>
      <c r="AG892" s="86"/>
      <c r="AH892" s="82"/>
    </row>
    <row r="893">
      <c r="A893" s="78"/>
      <c r="B893" s="79"/>
      <c r="C893" s="80"/>
      <c r="D893" s="80"/>
      <c r="E893" s="80"/>
      <c r="F893" s="80"/>
      <c r="G893" s="80"/>
      <c r="H893" s="80"/>
      <c r="I893" s="80"/>
      <c r="J893" s="80"/>
      <c r="K893" s="82"/>
      <c r="L893" s="80"/>
      <c r="M893" s="80"/>
      <c r="N893" s="80"/>
      <c r="O893" s="80"/>
      <c r="P893" s="80"/>
      <c r="Q893" s="83"/>
      <c r="R893" s="80"/>
      <c r="S893" s="80"/>
      <c r="T893" s="80"/>
      <c r="U893" s="80"/>
      <c r="V893" s="84"/>
      <c r="W893" s="80"/>
      <c r="X893" s="85"/>
      <c r="Y893" s="86"/>
      <c r="Z893" s="86"/>
      <c r="AA893" s="86"/>
      <c r="AB893" s="86"/>
      <c r="AC893" s="86"/>
      <c r="AD893" s="86"/>
      <c r="AE893" s="86"/>
      <c r="AF893" s="86"/>
      <c r="AG893" s="86"/>
      <c r="AH893" s="82"/>
    </row>
    <row r="894">
      <c r="A894" s="78"/>
      <c r="B894" s="79"/>
      <c r="C894" s="80"/>
      <c r="D894" s="80"/>
      <c r="E894" s="80"/>
      <c r="F894" s="80"/>
      <c r="G894" s="80"/>
      <c r="H894" s="80"/>
      <c r="I894" s="80"/>
      <c r="J894" s="80"/>
      <c r="K894" s="82"/>
      <c r="L894" s="80"/>
      <c r="M894" s="80"/>
      <c r="N894" s="80"/>
      <c r="O894" s="80"/>
      <c r="P894" s="80"/>
      <c r="Q894" s="83"/>
      <c r="R894" s="80"/>
      <c r="S894" s="80"/>
      <c r="T894" s="80"/>
      <c r="U894" s="80"/>
      <c r="V894" s="84"/>
      <c r="W894" s="80"/>
      <c r="X894" s="85"/>
      <c r="Y894" s="86"/>
      <c r="Z894" s="86"/>
      <c r="AA894" s="86"/>
      <c r="AB894" s="86"/>
      <c r="AC894" s="86"/>
      <c r="AD894" s="86"/>
      <c r="AE894" s="86"/>
      <c r="AF894" s="86"/>
      <c r="AG894" s="86"/>
      <c r="AH894" s="82"/>
    </row>
    <row r="895">
      <c r="A895" s="78"/>
      <c r="B895" s="79"/>
      <c r="C895" s="80"/>
      <c r="D895" s="80"/>
      <c r="E895" s="80"/>
      <c r="F895" s="80"/>
      <c r="G895" s="80"/>
      <c r="H895" s="80"/>
      <c r="I895" s="80"/>
      <c r="J895" s="80"/>
      <c r="K895" s="82"/>
      <c r="L895" s="80"/>
      <c r="M895" s="80"/>
      <c r="N895" s="80"/>
      <c r="O895" s="80"/>
      <c r="P895" s="80"/>
      <c r="Q895" s="83"/>
      <c r="R895" s="80"/>
      <c r="S895" s="80"/>
      <c r="T895" s="80"/>
      <c r="U895" s="80"/>
      <c r="V895" s="84"/>
      <c r="W895" s="80"/>
      <c r="X895" s="85"/>
      <c r="Y895" s="86"/>
      <c r="Z895" s="86"/>
      <c r="AA895" s="86"/>
      <c r="AB895" s="86"/>
      <c r="AC895" s="86"/>
      <c r="AD895" s="86"/>
      <c r="AE895" s="86"/>
      <c r="AF895" s="86"/>
      <c r="AG895" s="86"/>
      <c r="AH895" s="82"/>
    </row>
    <row r="896">
      <c r="A896" s="78"/>
      <c r="B896" s="79"/>
      <c r="C896" s="80"/>
      <c r="D896" s="80"/>
      <c r="E896" s="80"/>
      <c r="F896" s="80"/>
      <c r="G896" s="80"/>
      <c r="H896" s="80"/>
      <c r="I896" s="80"/>
      <c r="J896" s="80"/>
      <c r="K896" s="82"/>
      <c r="L896" s="80"/>
      <c r="M896" s="80"/>
      <c r="N896" s="80"/>
      <c r="O896" s="80"/>
      <c r="P896" s="80"/>
      <c r="Q896" s="83"/>
      <c r="R896" s="80"/>
      <c r="S896" s="80"/>
      <c r="T896" s="80"/>
      <c r="U896" s="80"/>
      <c r="V896" s="84"/>
      <c r="W896" s="80"/>
      <c r="X896" s="85"/>
      <c r="Y896" s="86"/>
      <c r="Z896" s="86"/>
      <c r="AA896" s="86"/>
      <c r="AB896" s="86"/>
      <c r="AC896" s="86"/>
      <c r="AD896" s="86"/>
      <c r="AE896" s="86"/>
      <c r="AF896" s="86"/>
      <c r="AG896" s="86"/>
      <c r="AH896" s="82"/>
    </row>
    <row r="897">
      <c r="A897" s="78"/>
      <c r="B897" s="79"/>
      <c r="C897" s="80"/>
      <c r="D897" s="80"/>
      <c r="E897" s="80"/>
      <c r="F897" s="80"/>
      <c r="G897" s="80"/>
      <c r="H897" s="80"/>
      <c r="I897" s="80"/>
      <c r="J897" s="80"/>
      <c r="K897" s="82"/>
      <c r="L897" s="80"/>
      <c r="M897" s="80"/>
      <c r="N897" s="80"/>
      <c r="O897" s="80"/>
      <c r="P897" s="80"/>
      <c r="Q897" s="83"/>
      <c r="R897" s="80"/>
      <c r="S897" s="80"/>
      <c r="T897" s="80"/>
      <c r="U897" s="80"/>
      <c r="V897" s="84"/>
      <c r="W897" s="80"/>
      <c r="X897" s="85"/>
      <c r="Y897" s="86"/>
      <c r="Z897" s="86"/>
      <c r="AA897" s="86"/>
      <c r="AB897" s="86"/>
      <c r="AC897" s="86"/>
      <c r="AD897" s="86"/>
      <c r="AE897" s="86"/>
      <c r="AF897" s="86"/>
      <c r="AG897" s="86"/>
      <c r="AH897" s="82"/>
    </row>
    <row r="898">
      <c r="A898" s="78"/>
      <c r="B898" s="79"/>
      <c r="C898" s="80"/>
      <c r="D898" s="80"/>
      <c r="E898" s="80"/>
      <c r="F898" s="80"/>
      <c r="G898" s="80"/>
      <c r="H898" s="80"/>
      <c r="I898" s="80"/>
      <c r="J898" s="80"/>
      <c r="K898" s="82"/>
      <c r="L898" s="80"/>
      <c r="M898" s="80"/>
      <c r="N898" s="80"/>
      <c r="O898" s="80"/>
      <c r="P898" s="80"/>
      <c r="Q898" s="83"/>
      <c r="R898" s="80"/>
      <c r="S898" s="80"/>
      <c r="T898" s="80"/>
      <c r="U898" s="80"/>
      <c r="V898" s="84"/>
      <c r="W898" s="80"/>
      <c r="X898" s="85"/>
      <c r="Y898" s="86"/>
      <c r="Z898" s="86"/>
      <c r="AA898" s="86"/>
      <c r="AB898" s="86"/>
      <c r="AC898" s="86"/>
      <c r="AD898" s="86"/>
      <c r="AE898" s="86"/>
      <c r="AF898" s="86"/>
      <c r="AG898" s="86"/>
      <c r="AH898" s="82"/>
    </row>
    <row r="899">
      <c r="A899" s="78"/>
      <c r="B899" s="79"/>
      <c r="C899" s="80"/>
      <c r="D899" s="80"/>
      <c r="E899" s="80"/>
      <c r="F899" s="80"/>
      <c r="G899" s="80"/>
      <c r="H899" s="80"/>
      <c r="I899" s="80"/>
      <c r="J899" s="80"/>
      <c r="K899" s="82"/>
      <c r="L899" s="80"/>
      <c r="M899" s="80"/>
      <c r="N899" s="80"/>
      <c r="O899" s="80"/>
      <c r="P899" s="80"/>
      <c r="Q899" s="83"/>
      <c r="R899" s="80"/>
      <c r="S899" s="80"/>
      <c r="T899" s="80"/>
      <c r="U899" s="80"/>
      <c r="V899" s="84"/>
      <c r="W899" s="80"/>
      <c r="X899" s="85"/>
      <c r="Y899" s="86"/>
      <c r="Z899" s="86"/>
      <c r="AA899" s="86"/>
      <c r="AB899" s="86"/>
      <c r="AC899" s="86"/>
      <c r="AD899" s="86"/>
      <c r="AE899" s="86"/>
      <c r="AF899" s="86"/>
      <c r="AG899" s="86"/>
      <c r="AH899" s="82"/>
    </row>
    <row r="900">
      <c r="A900" s="78"/>
      <c r="B900" s="79"/>
      <c r="C900" s="80"/>
      <c r="D900" s="80"/>
      <c r="E900" s="80"/>
      <c r="F900" s="80"/>
      <c r="G900" s="80"/>
      <c r="H900" s="80"/>
      <c r="I900" s="80"/>
      <c r="J900" s="80"/>
      <c r="K900" s="82"/>
      <c r="L900" s="80"/>
      <c r="M900" s="80"/>
      <c r="N900" s="80"/>
      <c r="O900" s="80"/>
      <c r="P900" s="80"/>
      <c r="Q900" s="83"/>
      <c r="R900" s="80"/>
      <c r="S900" s="80"/>
      <c r="T900" s="80"/>
      <c r="U900" s="80"/>
      <c r="V900" s="84"/>
      <c r="W900" s="80"/>
      <c r="X900" s="85"/>
      <c r="Y900" s="86"/>
      <c r="Z900" s="86"/>
      <c r="AA900" s="86"/>
      <c r="AB900" s="86"/>
      <c r="AC900" s="86"/>
      <c r="AD900" s="86"/>
      <c r="AE900" s="86"/>
      <c r="AF900" s="86"/>
      <c r="AG900" s="86"/>
      <c r="AH900" s="82"/>
    </row>
    <row r="901">
      <c r="A901" s="78"/>
      <c r="B901" s="79"/>
      <c r="C901" s="80"/>
      <c r="D901" s="80"/>
      <c r="E901" s="80"/>
      <c r="F901" s="80"/>
      <c r="G901" s="80"/>
      <c r="H901" s="80"/>
      <c r="I901" s="80"/>
      <c r="J901" s="80"/>
      <c r="K901" s="82"/>
      <c r="L901" s="80"/>
      <c r="M901" s="80"/>
      <c r="N901" s="80"/>
      <c r="O901" s="80"/>
      <c r="P901" s="80"/>
      <c r="Q901" s="83"/>
      <c r="R901" s="80"/>
      <c r="S901" s="80"/>
      <c r="T901" s="80"/>
      <c r="U901" s="80"/>
      <c r="V901" s="84"/>
      <c r="W901" s="80"/>
      <c r="X901" s="85"/>
      <c r="Y901" s="86"/>
      <c r="Z901" s="86"/>
      <c r="AA901" s="86"/>
      <c r="AB901" s="86"/>
      <c r="AC901" s="86"/>
      <c r="AD901" s="86"/>
      <c r="AE901" s="86"/>
      <c r="AF901" s="86"/>
      <c r="AG901" s="86"/>
      <c r="AH901" s="82"/>
    </row>
    <row r="902">
      <c r="A902" s="78"/>
      <c r="B902" s="79"/>
      <c r="C902" s="80"/>
      <c r="D902" s="80"/>
      <c r="E902" s="80"/>
      <c r="F902" s="80"/>
      <c r="G902" s="80"/>
      <c r="H902" s="80"/>
      <c r="I902" s="80"/>
      <c r="J902" s="80"/>
      <c r="K902" s="82"/>
      <c r="L902" s="80"/>
      <c r="M902" s="80"/>
      <c r="N902" s="80"/>
      <c r="O902" s="80"/>
      <c r="P902" s="80"/>
      <c r="Q902" s="83"/>
      <c r="R902" s="80"/>
      <c r="S902" s="80"/>
      <c r="T902" s="80"/>
      <c r="U902" s="80"/>
      <c r="V902" s="84"/>
      <c r="W902" s="80"/>
      <c r="X902" s="85"/>
      <c r="Y902" s="86"/>
      <c r="Z902" s="86"/>
      <c r="AA902" s="86"/>
      <c r="AB902" s="86"/>
      <c r="AC902" s="86"/>
      <c r="AD902" s="86"/>
      <c r="AE902" s="86"/>
      <c r="AF902" s="86"/>
      <c r="AG902" s="86"/>
      <c r="AH902" s="82"/>
    </row>
    <row r="903">
      <c r="A903" s="78"/>
      <c r="B903" s="79"/>
      <c r="C903" s="80"/>
      <c r="D903" s="80"/>
      <c r="E903" s="80"/>
      <c r="F903" s="80"/>
      <c r="G903" s="80"/>
      <c r="H903" s="80"/>
      <c r="I903" s="80"/>
      <c r="J903" s="80"/>
      <c r="K903" s="82"/>
      <c r="L903" s="80"/>
      <c r="M903" s="80"/>
      <c r="N903" s="80"/>
      <c r="O903" s="80"/>
      <c r="P903" s="80"/>
      <c r="Q903" s="83"/>
      <c r="R903" s="80"/>
      <c r="S903" s="80"/>
      <c r="T903" s="80"/>
      <c r="U903" s="80"/>
      <c r="V903" s="84"/>
      <c r="W903" s="80"/>
      <c r="X903" s="85"/>
      <c r="Y903" s="86"/>
      <c r="Z903" s="86"/>
      <c r="AA903" s="86"/>
      <c r="AB903" s="86"/>
      <c r="AC903" s="86"/>
      <c r="AD903" s="86"/>
      <c r="AE903" s="86"/>
      <c r="AF903" s="86"/>
      <c r="AG903" s="86"/>
      <c r="AH903" s="82"/>
    </row>
    <row r="904">
      <c r="A904" s="78"/>
      <c r="B904" s="79"/>
      <c r="C904" s="80"/>
      <c r="D904" s="80"/>
      <c r="E904" s="80"/>
      <c r="F904" s="80"/>
      <c r="G904" s="80"/>
      <c r="H904" s="80"/>
      <c r="I904" s="80"/>
      <c r="J904" s="80"/>
      <c r="K904" s="82"/>
      <c r="L904" s="80"/>
      <c r="M904" s="80"/>
      <c r="N904" s="80"/>
      <c r="O904" s="80"/>
      <c r="P904" s="80"/>
      <c r="Q904" s="83"/>
      <c r="R904" s="80"/>
      <c r="S904" s="80"/>
      <c r="T904" s="80"/>
      <c r="U904" s="80"/>
      <c r="V904" s="84"/>
      <c r="W904" s="80"/>
      <c r="X904" s="85"/>
      <c r="Y904" s="86"/>
      <c r="Z904" s="86"/>
      <c r="AA904" s="86"/>
      <c r="AB904" s="86"/>
      <c r="AC904" s="86"/>
      <c r="AD904" s="86"/>
      <c r="AE904" s="86"/>
      <c r="AF904" s="86"/>
      <c r="AG904" s="86"/>
      <c r="AH904" s="82"/>
    </row>
    <row r="905">
      <c r="A905" s="78"/>
      <c r="B905" s="79"/>
      <c r="C905" s="80"/>
      <c r="D905" s="80"/>
      <c r="E905" s="80"/>
      <c r="F905" s="80"/>
      <c r="G905" s="80"/>
      <c r="H905" s="80"/>
      <c r="I905" s="80"/>
      <c r="J905" s="80"/>
      <c r="K905" s="82"/>
      <c r="L905" s="80"/>
      <c r="M905" s="80"/>
      <c r="N905" s="80"/>
      <c r="O905" s="80"/>
      <c r="P905" s="80"/>
      <c r="Q905" s="83"/>
      <c r="R905" s="80"/>
      <c r="S905" s="80"/>
      <c r="T905" s="80"/>
      <c r="U905" s="80"/>
      <c r="V905" s="84"/>
      <c r="W905" s="80"/>
      <c r="X905" s="85"/>
      <c r="Y905" s="86"/>
      <c r="Z905" s="86"/>
      <c r="AA905" s="86"/>
      <c r="AB905" s="86"/>
      <c r="AC905" s="86"/>
      <c r="AD905" s="86"/>
      <c r="AE905" s="86"/>
      <c r="AF905" s="86"/>
      <c r="AG905" s="86"/>
      <c r="AH905" s="82"/>
    </row>
    <row r="906">
      <c r="A906" s="78"/>
      <c r="B906" s="79"/>
      <c r="C906" s="80"/>
      <c r="D906" s="80"/>
      <c r="E906" s="80"/>
      <c r="F906" s="80"/>
      <c r="G906" s="80"/>
      <c r="H906" s="80"/>
      <c r="I906" s="80"/>
      <c r="J906" s="80"/>
      <c r="K906" s="82"/>
      <c r="L906" s="80"/>
      <c r="M906" s="80"/>
      <c r="N906" s="80"/>
      <c r="O906" s="80"/>
      <c r="P906" s="80"/>
      <c r="Q906" s="83"/>
      <c r="R906" s="80"/>
      <c r="S906" s="80"/>
      <c r="T906" s="80"/>
      <c r="U906" s="80"/>
      <c r="V906" s="84"/>
      <c r="W906" s="80"/>
      <c r="X906" s="85"/>
      <c r="Y906" s="86"/>
      <c r="Z906" s="86"/>
      <c r="AA906" s="86"/>
      <c r="AB906" s="86"/>
      <c r="AC906" s="86"/>
      <c r="AD906" s="86"/>
      <c r="AE906" s="86"/>
      <c r="AF906" s="86"/>
      <c r="AG906" s="86"/>
      <c r="AH906" s="82"/>
    </row>
    <row r="907">
      <c r="A907" s="78"/>
      <c r="B907" s="79"/>
      <c r="C907" s="80"/>
      <c r="D907" s="80"/>
      <c r="E907" s="80"/>
      <c r="F907" s="80"/>
      <c r="G907" s="80"/>
      <c r="H907" s="80"/>
      <c r="I907" s="80"/>
      <c r="J907" s="80"/>
      <c r="K907" s="82"/>
      <c r="L907" s="80"/>
      <c r="M907" s="80"/>
      <c r="N907" s="80"/>
      <c r="O907" s="80"/>
      <c r="P907" s="80"/>
      <c r="Q907" s="83"/>
      <c r="R907" s="80"/>
      <c r="S907" s="80"/>
      <c r="T907" s="80"/>
      <c r="U907" s="80"/>
      <c r="V907" s="84"/>
      <c r="W907" s="80"/>
      <c r="X907" s="85"/>
      <c r="Y907" s="86"/>
      <c r="Z907" s="86"/>
      <c r="AA907" s="86"/>
      <c r="AB907" s="86"/>
      <c r="AC907" s="86"/>
      <c r="AD907" s="86"/>
      <c r="AE907" s="86"/>
      <c r="AF907" s="86"/>
      <c r="AG907" s="86"/>
      <c r="AH907" s="82"/>
    </row>
    <row r="908">
      <c r="A908" s="78"/>
      <c r="B908" s="79"/>
      <c r="C908" s="80"/>
      <c r="D908" s="80"/>
      <c r="E908" s="80"/>
      <c r="F908" s="80"/>
      <c r="G908" s="80"/>
      <c r="H908" s="80"/>
      <c r="I908" s="80"/>
      <c r="J908" s="80"/>
      <c r="K908" s="82"/>
      <c r="L908" s="80"/>
      <c r="M908" s="80"/>
      <c r="N908" s="80"/>
      <c r="O908" s="80"/>
      <c r="P908" s="80"/>
      <c r="Q908" s="83"/>
      <c r="R908" s="80"/>
      <c r="S908" s="80"/>
      <c r="T908" s="80"/>
      <c r="U908" s="80"/>
      <c r="V908" s="84"/>
      <c r="W908" s="80"/>
      <c r="X908" s="85"/>
      <c r="Y908" s="86"/>
      <c r="Z908" s="86"/>
      <c r="AA908" s="86"/>
      <c r="AB908" s="86"/>
      <c r="AC908" s="86"/>
      <c r="AD908" s="86"/>
      <c r="AE908" s="86"/>
      <c r="AF908" s="86"/>
      <c r="AG908" s="86"/>
      <c r="AH908" s="82"/>
    </row>
    <row r="909">
      <c r="A909" s="78"/>
      <c r="B909" s="79"/>
      <c r="C909" s="80"/>
      <c r="D909" s="80"/>
      <c r="E909" s="80"/>
      <c r="F909" s="80"/>
      <c r="G909" s="80"/>
      <c r="H909" s="80"/>
      <c r="I909" s="80"/>
      <c r="J909" s="80"/>
      <c r="K909" s="82"/>
      <c r="L909" s="80"/>
      <c r="M909" s="80"/>
      <c r="N909" s="80"/>
      <c r="O909" s="80"/>
      <c r="P909" s="80"/>
      <c r="Q909" s="83"/>
      <c r="R909" s="80"/>
      <c r="S909" s="80"/>
      <c r="T909" s="80"/>
      <c r="U909" s="80"/>
      <c r="V909" s="84"/>
      <c r="W909" s="80"/>
      <c r="X909" s="85"/>
      <c r="Y909" s="86"/>
      <c r="Z909" s="86"/>
      <c r="AA909" s="86"/>
      <c r="AB909" s="86"/>
      <c r="AC909" s="86"/>
      <c r="AD909" s="86"/>
      <c r="AE909" s="86"/>
      <c r="AF909" s="86"/>
      <c r="AG909" s="86"/>
      <c r="AH909" s="82"/>
    </row>
    <row r="910">
      <c r="A910" s="78"/>
      <c r="B910" s="79"/>
      <c r="C910" s="80"/>
      <c r="D910" s="80"/>
      <c r="E910" s="80"/>
      <c r="F910" s="80"/>
      <c r="G910" s="80"/>
      <c r="H910" s="80"/>
      <c r="I910" s="80"/>
      <c r="J910" s="80"/>
      <c r="K910" s="82"/>
      <c r="L910" s="80"/>
      <c r="M910" s="80"/>
      <c r="N910" s="80"/>
      <c r="O910" s="80"/>
      <c r="P910" s="80"/>
      <c r="Q910" s="83"/>
      <c r="R910" s="80"/>
      <c r="S910" s="80"/>
      <c r="T910" s="80"/>
      <c r="U910" s="80"/>
      <c r="V910" s="84"/>
      <c r="W910" s="80"/>
      <c r="X910" s="85"/>
      <c r="Y910" s="86"/>
      <c r="Z910" s="86"/>
      <c r="AA910" s="86"/>
      <c r="AB910" s="86"/>
      <c r="AC910" s="86"/>
      <c r="AD910" s="86"/>
      <c r="AE910" s="86"/>
      <c r="AF910" s="86"/>
      <c r="AG910" s="86"/>
      <c r="AH910" s="82"/>
    </row>
    <row r="911">
      <c r="A911" s="78"/>
      <c r="B911" s="79"/>
      <c r="C911" s="80"/>
      <c r="D911" s="80"/>
      <c r="E911" s="80"/>
      <c r="F911" s="80"/>
      <c r="G911" s="80"/>
      <c r="H911" s="80"/>
      <c r="I911" s="80"/>
      <c r="J911" s="80"/>
      <c r="K911" s="82"/>
      <c r="L911" s="80"/>
      <c r="M911" s="80"/>
      <c r="N911" s="80"/>
      <c r="O911" s="80"/>
      <c r="P911" s="80"/>
      <c r="Q911" s="83"/>
      <c r="R911" s="80"/>
      <c r="S911" s="80"/>
      <c r="T911" s="80"/>
      <c r="U911" s="80"/>
      <c r="V911" s="84"/>
      <c r="W911" s="80"/>
      <c r="X911" s="85"/>
      <c r="Y911" s="86"/>
      <c r="Z911" s="86"/>
      <c r="AA911" s="86"/>
      <c r="AB911" s="86"/>
      <c r="AC911" s="86"/>
      <c r="AD911" s="86"/>
      <c r="AE911" s="86"/>
      <c r="AF911" s="86"/>
      <c r="AG911" s="86"/>
      <c r="AH911" s="82"/>
    </row>
    <row r="912">
      <c r="A912" s="78"/>
      <c r="B912" s="79"/>
      <c r="C912" s="80"/>
      <c r="D912" s="80"/>
      <c r="E912" s="80"/>
      <c r="F912" s="80"/>
      <c r="G912" s="80"/>
      <c r="H912" s="80"/>
      <c r="I912" s="80"/>
      <c r="J912" s="80"/>
      <c r="K912" s="82"/>
      <c r="L912" s="80"/>
      <c r="M912" s="80"/>
      <c r="N912" s="80"/>
      <c r="O912" s="80"/>
      <c r="P912" s="80"/>
      <c r="Q912" s="83"/>
      <c r="R912" s="80"/>
      <c r="S912" s="80"/>
      <c r="T912" s="80"/>
      <c r="U912" s="80"/>
      <c r="V912" s="84"/>
      <c r="W912" s="80"/>
      <c r="X912" s="85"/>
      <c r="Y912" s="86"/>
      <c r="Z912" s="86"/>
      <c r="AA912" s="86"/>
      <c r="AB912" s="86"/>
      <c r="AC912" s="86"/>
      <c r="AD912" s="86"/>
      <c r="AE912" s="86"/>
      <c r="AF912" s="86"/>
      <c r="AG912" s="86"/>
      <c r="AH912" s="82"/>
    </row>
    <row r="913">
      <c r="A913" s="78"/>
      <c r="B913" s="79"/>
      <c r="C913" s="80"/>
      <c r="D913" s="80"/>
      <c r="E913" s="80"/>
      <c r="F913" s="80"/>
      <c r="G913" s="80"/>
      <c r="H913" s="80"/>
      <c r="I913" s="80"/>
      <c r="J913" s="80"/>
      <c r="K913" s="82"/>
      <c r="L913" s="80"/>
      <c r="M913" s="80"/>
      <c r="N913" s="80"/>
      <c r="O913" s="80"/>
      <c r="P913" s="80"/>
      <c r="Q913" s="83"/>
      <c r="R913" s="80"/>
      <c r="S913" s="80"/>
      <c r="T913" s="80"/>
      <c r="U913" s="80"/>
      <c r="V913" s="84"/>
      <c r="W913" s="80"/>
      <c r="X913" s="85"/>
      <c r="Y913" s="86"/>
      <c r="Z913" s="86"/>
      <c r="AA913" s="86"/>
      <c r="AB913" s="86"/>
      <c r="AC913" s="86"/>
      <c r="AD913" s="86"/>
      <c r="AE913" s="86"/>
      <c r="AF913" s="86"/>
      <c r="AG913" s="86"/>
      <c r="AH913" s="82"/>
    </row>
    <row r="914">
      <c r="A914" s="78"/>
      <c r="B914" s="79"/>
      <c r="C914" s="80"/>
      <c r="D914" s="80"/>
      <c r="E914" s="80"/>
      <c r="F914" s="80"/>
      <c r="G914" s="80"/>
      <c r="H914" s="80"/>
      <c r="I914" s="80"/>
      <c r="J914" s="80"/>
      <c r="K914" s="82"/>
      <c r="L914" s="80"/>
      <c r="M914" s="80"/>
      <c r="N914" s="80"/>
      <c r="O914" s="80"/>
      <c r="P914" s="80"/>
      <c r="Q914" s="83"/>
      <c r="R914" s="80"/>
      <c r="S914" s="80"/>
      <c r="T914" s="80"/>
      <c r="U914" s="80"/>
      <c r="V914" s="84"/>
      <c r="W914" s="80"/>
      <c r="X914" s="85"/>
      <c r="Y914" s="86"/>
      <c r="Z914" s="86"/>
      <c r="AA914" s="86"/>
      <c r="AB914" s="86"/>
      <c r="AC914" s="86"/>
      <c r="AD914" s="86"/>
      <c r="AE914" s="86"/>
      <c r="AF914" s="86"/>
      <c r="AG914" s="86"/>
      <c r="AH914" s="82"/>
    </row>
    <row r="915">
      <c r="A915" s="78"/>
      <c r="B915" s="79"/>
      <c r="C915" s="80"/>
      <c r="D915" s="80"/>
      <c r="E915" s="80"/>
      <c r="F915" s="80"/>
      <c r="G915" s="80"/>
      <c r="H915" s="80"/>
      <c r="I915" s="80"/>
      <c r="J915" s="80"/>
      <c r="K915" s="82"/>
      <c r="L915" s="80"/>
      <c r="M915" s="80"/>
      <c r="N915" s="80"/>
      <c r="O915" s="80"/>
      <c r="P915" s="80"/>
      <c r="Q915" s="83"/>
      <c r="R915" s="80"/>
      <c r="S915" s="80"/>
      <c r="T915" s="80"/>
      <c r="U915" s="80"/>
      <c r="V915" s="84"/>
      <c r="W915" s="80"/>
      <c r="X915" s="85"/>
      <c r="Y915" s="86"/>
      <c r="Z915" s="86"/>
      <c r="AA915" s="86"/>
      <c r="AB915" s="86"/>
      <c r="AC915" s="86"/>
      <c r="AD915" s="86"/>
      <c r="AE915" s="86"/>
      <c r="AF915" s="86"/>
      <c r="AG915" s="86"/>
      <c r="AH915" s="82"/>
    </row>
    <row r="916">
      <c r="A916" s="78"/>
      <c r="B916" s="79"/>
      <c r="C916" s="80"/>
      <c r="D916" s="80"/>
      <c r="E916" s="80"/>
      <c r="F916" s="80"/>
      <c r="G916" s="80"/>
      <c r="H916" s="80"/>
      <c r="I916" s="80"/>
      <c r="J916" s="80"/>
      <c r="K916" s="82"/>
      <c r="L916" s="80"/>
      <c r="M916" s="80"/>
      <c r="N916" s="80"/>
      <c r="O916" s="80"/>
      <c r="P916" s="80"/>
      <c r="Q916" s="83"/>
      <c r="R916" s="80"/>
      <c r="S916" s="80"/>
      <c r="T916" s="80"/>
      <c r="U916" s="80"/>
      <c r="V916" s="84"/>
      <c r="W916" s="80"/>
      <c r="X916" s="85"/>
      <c r="Y916" s="86"/>
      <c r="Z916" s="86"/>
      <c r="AA916" s="86"/>
      <c r="AB916" s="86"/>
      <c r="AC916" s="86"/>
      <c r="AD916" s="86"/>
      <c r="AE916" s="86"/>
      <c r="AF916" s="86"/>
      <c r="AG916" s="86"/>
      <c r="AH916" s="82"/>
    </row>
    <row r="917">
      <c r="A917" s="78"/>
      <c r="B917" s="79"/>
      <c r="C917" s="80"/>
      <c r="D917" s="80"/>
      <c r="E917" s="80"/>
      <c r="F917" s="80"/>
      <c r="G917" s="80"/>
      <c r="H917" s="80"/>
      <c r="I917" s="80"/>
      <c r="J917" s="80"/>
      <c r="K917" s="82"/>
      <c r="L917" s="80"/>
      <c r="M917" s="80"/>
      <c r="N917" s="80"/>
      <c r="O917" s="80"/>
      <c r="P917" s="80"/>
      <c r="Q917" s="83"/>
      <c r="R917" s="80"/>
      <c r="S917" s="80"/>
      <c r="T917" s="80"/>
      <c r="U917" s="80"/>
      <c r="V917" s="84"/>
      <c r="W917" s="80"/>
      <c r="X917" s="85"/>
      <c r="Y917" s="86"/>
      <c r="Z917" s="86"/>
      <c r="AA917" s="86"/>
      <c r="AB917" s="86"/>
      <c r="AC917" s="86"/>
      <c r="AD917" s="86"/>
      <c r="AE917" s="86"/>
      <c r="AF917" s="86"/>
      <c r="AG917" s="86"/>
      <c r="AH917" s="82"/>
    </row>
    <row r="918">
      <c r="A918" s="78"/>
      <c r="B918" s="79"/>
      <c r="C918" s="80"/>
      <c r="D918" s="80"/>
      <c r="E918" s="80"/>
      <c r="F918" s="80"/>
      <c r="G918" s="80"/>
      <c r="H918" s="80"/>
      <c r="I918" s="80"/>
      <c r="J918" s="80"/>
      <c r="K918" s="82"/>
      <c r="L918" s="80"/>
      <c r="M918" s="80"/>
      <c r="N918" s="80"/>
      <c r="O918" s="80"/>
      <c r="P918" s="80"/>
      <c r="Q918" s="83"/>
      <c r="R918" s="80"/>
      <c r="S918" s="80"/>
      <c r="T918" s="80"/>
      <c r="U918" s="80"/>
      <c r="V918" s="84"/>
      <c r="W918" s="80"/>
      <c r="X918" s="85"/>
      <c r="Y918" s="86"/>
      <c r="Z918" s="86"/>
      <c r="AA918" s="86"/>
      <c r="AB918" s="86"/>
      <c r="AC918" s="86"/>
      <c r="AD918" s="86"/>
      <c r="AE918" s="86"/>
      <c r="AF918" s="86"/>
      <c r="AG918" s="86"/>
      <c r="AH918" s="82"/>
    </row>
    <row r="919">
      <c r="A919" s="78"/>
      <c r="B919" s="79"/>
      <c r="C919" s="80"/>
      <c r="D919" s="80"/>
      <c r="E919" s="80"/>
      <c r="F919" s="80"/>
      <c r="G919" s="80"/>
      <c r="H919" s="80"/>
      <c r="I919" s="80"/>
      <c r="J919" s="80"/>
      <c r="K919" s="82"/>
      <c r="L919" s="80"/>
      <c r="M919" s="80"/>
      <c r="N919" s="80"/>
      <c r="O919" s="80"/>
      <c r="P919" s="80"/>
      <c r="Q919" s="83"/>
      <c r="R919" s="80"/>
      <c r="S919" s="80"/>
      <c r="T919" s="80"/>
      <c r="U919" s="80"/>
      <c r="V919" s="84"/>
      <c r="W919" s="80"/>
      <c r="X919" s="85"/>
      <c r="Y919" s="86"/>
      <c r="Z919" s="86"/>
      <c r="AA919" s="86"/>
      <c r="AB919" s="86"/>
      <c r="AC919" s="86"/>
      <c r="AD919" s="86"/>
      <c r="AE919" s="86"/>
      <c r="AF919" s="86"/>
      <c r="AG919" s="86"/>
      <c r="AH919" s="82"/>
    </row>
    <row r="920">
      <c r="A920" s="78"/>
      <c r="B920" s="79"/>
      <c r="C920" s="80"/>
      <c r="D920" s="80"/>
      <c r="E920" s="80"/>
      <c r="F920" s="80"/>
      <c r="G920" s="80"/>
      <c r="H920" s="80"/>
      <c r="I920" s="80"/>
      <c r="J920" s="80"/>
      <c r="K920" s="82"/>
      <c r="L920" s="80"/>
      <c r="M920" s="80"/>
      <c r="N920" s="80"/>
      <c r="O920" s="80"/>
      <c r="P920" s="80"/>
      <c r="Q920" s="83"/>
      <c r="R920" s="80"/>
      <c r="S920" s="80"/>
      <c r="T920" s="80"/>
      <c r="U920" s="80"/>
      <c r="V920" s="84"/>
      <c r="W920" s="80"/>
      <c r="X920" s="85"/>
      <c r="Y920" s="86"/>
      <c r="Z920" s="86"/>
      <c r="AA920" s="86"/>
      <c r="AB920" s="86"/>
      <c r="AC920" s="86"/>
      <c r="AD920" s="86"/>
      <c r="AE920" s="86"/>
      <c r="AF920" s="86"/>
      <c r="AG920" s="86"/>
      <c r="AH920" s="82"/>
    </row>
    <row r="921">
      <c r="A921" s="78"/>
      <c r="B921" s="79"/>
      <c r="C921" s="80"/>
      <c r="D921" s="80"/>
      <c r="E921" s="80"/>
      <c r="F921" s="80"/>
      <c r="G921" s="80"/>
      <c r="H921" s="80"/>
      <c r="I921" s="80"/>
      <c r="J921" s="80"/>
      <c r="K921" s="82"/>
      <c r="L921" s="80"/>
      <c r="M921" s="80"/>
      <c r="N921" s="80"/>
      <c r="O921" s="80"/>
      <c r="P921" s="80"/>
      <c r="Q921" s="83"/>
      <c r="R921" s="80"/>
      <c r="S921" s="80"/>
      <c r="T921" s="80"/>
      <c r="U921" s="80"/>
      <c r="V921" s="84"/>
      <c r="W921" s="80"/>
      <c r="X921" s="85"/>
      <c r="Y921" s="86"/>
      <c r="Z921" s="86"/>
      <c r="AA921" s="86"/>
      <c r="AB921" s="86"/>
      <c r="AC921" s="86"/>
      <c r="AD921" s="86"/>
      <c r="AE921" s="86"/>
      <c r="AF921" s="86"/>
      <c r="AG921" s="86"/>
      <c r="AH921" s="82"/>
    </row>
    <row r="922">
      <c r="A922" s="78"/>
      <c r="B922" s="79"/>
      <c r="C922" s="80"/>
      <c r="D922" s="80"/>
      <c r="E922" s="80"/>
      <c r="F922" s="80"/>
      <c r="G922" s="80"/>
      <c r="H922" s="80"/>
      <c r="I922" s="80"/>
      <c r="J922" s="80"/>
      <c r="K922" s="82"/>
      <c r="L922" s="80"/>
      <c r="M922" s="80"/>
      <c r="N922" s="80"/>
      <c r="O922" s="80"/>
      <c r="P922" s="80"/>
      <c r="Q922" s="83"/>
      <c r="R922" s="80"/>
      <c r="S922" s="80"/>
      <c r="T922" s="80"/>
      <c r="U922" s="80"/>
      <c r="V922" s="84"/>
      <c r="W922" s="80"/>
      <c r="X922" s="85"/>
      <c r="Y922" s="86"/>
      <c r="Z922" s="86"/>
      <c r="AA922" s="86"/>
      <c r="AB922" s="86"/>
      <c r="AC922" s="86"/>
      <c r="AD922" s="86"/>
      <c r="AE922" s="86"/>
      <c r="AF922" s="86"/>
      <c r="AG922" s="86"/>
      <c r="AH922" s="82"/>
    </row>
    <row r="923">
      <c r="A923" s="78"/>
      <c r="B923" s="79"/>
      <c r="C923" s="80"/>
      <c r="D923" s="80"/>
      <c r="E923" s="80"/>
      <c r="F923" s="80"/>
      <c r="G923" s="80"/>
      <c r="H923" s="80"/>
      <c r="I923" s="80"/>
      <c r="J923" s="80"/>
      <c r="K923" s="82"/>
      <c r="L923" s="80"/>
      <c r="M923" s="80"/>
      <c r="N923" s="80"/>
      <c r="O923" s="80"/>
      <c r="P923" s="80"/>
      <c r="Q923" s="83"/>
      <c r="R923" s="80"/>
      <c r="S923" s="80"/>
      <c r="T923" s="80"/>
      <c r="U923" s="80"/>
      <c r="V923" s="84"/>
      <c r="W923" s="80"/>
      <c r="X923" s="85"/>
      <c r="Y923" s="86"/>
      <c r="Z923" s="86"/>
      <c r="AA923" s="86"/>
      <c r="AB923" s="86"/>
      <c r="AC923" s="86"/>
      <c r="AD923" s="86"/>
      <c r="AE923" s="86"/>
      <c r="AF923" s="86"/>
      <c r="AG923" s="86"/>
      <c r="AH923" s="82"/>
    </row>
    <row r="924">
      <c r="A924" s="78"/>
      <c r="B924" s="79"/>
      <c r="C924" s="80"/>
      <c r="D924" s="80"/>
      <c r="E924" s="80"/>
      <c r="F924" s="80"/>
      <c r="G924" s="80"/>
      <c r="H924" s="80"/>
      <c r="I924" s="80"/>
      <c r="J924" s="80"/>
      <c r="K924" s="82"/>
      <c r="L924" s="80"/>
      <c r="M924" s="80"/>
      <c r="N924" s="80"/>
      <c r="O924" s="80"/>
      <c r="P924" s="80"/>
      <c r="Q924" s="83"/>
      <c r="R924" s="80"/>
      <c r="S924" s="80"/>
      <c r="T924" s="80"/>
      <c r="U924" s="80"/>
      <c r="V924" s="84"/>
      <c r="W924" s="80"/>
      <c r="X924" s="85"/>
      <c r="Y924" s="86"/>
      <c r="Z924" s="86"/>
      <c r="AA924" s="86"/>
      <c r="AB924" s="86"/>
      <c r="AC924" s="86"/>
      <c r="AD924" s="86"/>
      <c r="AE924" s="86"/>
      <c r="AF924" s="86"/>
      <c r="AG924" s="86"/>
      <c r="AH924" s="82"/>
    </row>
    <row r="925">
      <c r="A925" s="78"/>
      <c r="B925" s="79"/>
      <c r="C925" s="80"/>
      <c r="D925" s="80"/>
      <c r="E925" s="80"/>
      <c r="F925" s="80"/>
      <c r="G925" s="80"/>
      <c r="H925" s="80"/>
      <c r="I925" s="80"/>
      <c r="J925" s="80"/>
      <c r="K925" s="82"/>
      <c r="L925" s="80"/>
      <c r="M925" s="80"/>
      <c r="N925" s="80"/>
      <c r="O925" s="80"/>
      <c r="P925" s="80"/>
      <c r="Q925" s="83"/>
      <c r="R925" s="80"/>
      <c r="S925" s="80"/>
      <c r="T925" s="80"/>
      <c r="U925" s="80"/>
      <c r="V925" s="84"/>
      <c r="W925" s="80"/>
      <c r="X925" s="85"/>
      <c r="Y925" s="86"/>
      <c r="Z925" s="86"/>
      <c r="AA925" s="86"/>
      <c r="AB925" s="86"/>
      <c r="AC925" s="86"/>
      <c r="AD925" s="86"/>
      <c r="AE925" s="86"/>
      <c r="AF925" s="86"/>
      <c r="AG925" s="86"/>
      <c r="AH925" s="82"/>
    </row>
    <row r="926">
      <c r="A926" s="78"/>
      <c r="B926" s="79"/>
      <c r="C926" s="80"/>
      <c r="D926" s="80"/>
      <c r="E926" s="80"/>
      <c r="F926" s="80"/>
      <c r="G926" s="80"/>
      <c r="H926" s="80"/>
      <c r="I926" s="80"/>
      <c r="J926" s="80"/>
      <c r="K926" s="82"/>
      <c r="L926" s="80"/>
      <c r="M926" s="80"/>
      <c r="N926" s="80"/>
      <c r="O926" s="80"/>
      <c r="P926" s="80"/>
      <c r="Q926" s="83"/>
      <c r="R926" s="80"/>
      <c r="S926" s="80"/>
      <c r="T926" s="80"/>
      <c r="U926" s="80"/>
      <c r="V926" s="84"/>
      <c r="W926" s="80"/>
      <c r="X926" s="85"/>
      <c r="Y926" s="86"/>
      <c r="Z926" s="86"/>
      <c r="AA926" s="86"/>
      <c r="AB926" s="86"/>
      <c r="AC926" s="86"/>
      <c r="AD926" s="86"/>
      <c r="AE926" s="86"/>
      <c r="AF926" s="86"/>
      <c r="AG926" s="86"/>
      <c r="AH926" s="82"/>
    </row>
    <row r="927">
      <c r="A927" s="78"/>
      <c r="B927" s="79"/>
      <c r="C927" s="80"/>
      <c r="D927" s="80"/>
      <c r="E927" s="80"/>
      <c r="F927" s="80"/>
      <c r="G927" s="80"/>
      <c r="H927" s="80"/>
      <c r="I927" s="80"/>
      <c r="J927" s="80"/>
      <c r="K927" s="82"/>
      <c r="L927" s="80"/>
      <c r="M927" s="80"/>
      <c r="N927" s="80"/>
      <c r="O927" s="80"/>
      <c r="P927" s="80"/>
      <c r="Q927" s="83"/>
      <c r="R927" s="80"/>
      <c r="S927" s="80"/>
      <c r="T927" s="80"/>
      <c r="U927" s="80"/>
      <c r="V927" s="84"/>
      <c r="W927" s="80"/>
      <c r="X927" s="85"/>
      <c r="Y927" s="86"/>
      <c r="Z927" s="86"/>
      <c r="AA927" s="86"/>
      <c r="AB927" s="86"/>
      <c r="AC927" s="86"/>
      <c r="AD927" s="86"/>
      <c r="AE927" s="86"/>
      <c r="AF927" s="86"/>
      <c r="AG927" s="86"/>
      <c r="AH927" s="82"/>
    </row>
    <row r="928">
      <c r="A928" s="78"/>
      <c r="B928" s="79"/>
      <c r="C928" s="80"/>
      <c r="D928" s="80"/>
      <c r="E928" s="80"/>
      <c r="F928" s="80"/>
      <c r="G928" s="80"/>
      <c r="H928" s="80"/>
      <c r="I928" s="80"/>
      <c r="J928" s="80"/>
      <c r="K928" s="82"/>
      <c r="L928" s="80"/>
      <c r="M928" s="80"/>
      <c r="N928" s="80"/>
      <c r="O928" s="80"/>
      <c r="P928" s="80"/>
      <c r="Q928" s="83"/>
      <c r="R928" s="80"/>
      <c r="S928" s="80"/>
      <c r="T928" s="80"/>
      <c r="U928" s="80"/>
      <c r="V928" s="84"/>
      <c r="W928" s="80"/>
      <c r="X928" s="85"/>
      <c r="Y928" s="86"/>
      <c r="Z928" s="86"/>
      <c r="AA928" s="86"/>
      <c r="AB928" s="86"/>
      <c r="AC928" s="86"/>
      <c r="AD928" s="86"/>
      <c r="AE928" s="86"/>
      <c r="AF928" s="86"/>
      <c r="AG928" s="86"/>
      <c r="AH928" s="82"/>
    </row>
    <row r="929">
      <c r="A929" s="78"/>
      <c r="B929" s="79"/>
      <c r="C929" s="80"/>
      <c r="D929" s="80"/>
      <c r="E929" s="80"/>
      <c r="F929" s="80"/>
      <c r="G929" s="80"/>
      <c r="H929" s="80"/>
      <c r="I929" s="80"/>
      <c r="J929" s="80"/>
      <c r="K929" s="82"/>
      <c r="L929" s="80"/>
      <c r="M929" s="80"/>
      <c r="N929" s="80"/>
      <c r="O929" s="80"/>
      <c r="P929" s="80"/>
      <c r="Q929" s="83"/>
      <c r="R929" s="80"/>
      <c r="S929" s="80"/>
      <c r="T929" s="80"/>
      <c r="U929" s="80"/>
      <c r="V929" s="84"/>
      <c r="W929" s="80"/>
      <c r="X929" s="85"/>
      <c r="Y929" s="86"/>
      <c r="Z929" s="86"/>
      <c r="AA929" s="86"/>
      <c r="AB929" s="86"/>
      <c r="AC929" s="86"/>
      <c r="AD929" s="86"/>
      <c r="AE929" s="86"/>
      <c r="AF929" s="86"/>
      <c r="AG929" s="86"/>
      <c r="AH929" s="82"/>
    </row>
    <row r="930">
      <c r="A930" s="78"/>
      <c r="B930" s="79"/>
      <c r="C930" s="80"/>
      <c r="D930" s="80"/>
      <c r="E930" s="80"/>
      <c r="F930" s="80"/>
      <c r="G930" s="80"/>
      <c r="H930" s="80"/>
      <c r="I930" s="80"/>
      <c r="J930" s="80"/>
      <c r="K930" s="82"/>
      <c r="L930" s="80"/>
      <c r="M930" s="80"/>
      <c r="N930" s="80"/>
      <c r="O930" s="80"/>
      <c r="P930" s="80"/>
      <c r="Q930" s="83"/>
      <c r="R930" s="80"/>
      <c r="S930" s="80"/>
      <c r="T930" s="80"/>
      <c r="U930" s="80"/>
      <c r="V930" s="84"/>
      <c r="W930" s="80"/>
      <c r="X930" s="85"/>
      <c r="Y930" s="86"/>
      <c r="Z930" s="86"/>
      <c r="AA930" s="86"/>
      <c r="AB930" s="86"/>
      <c r="AC930" s="86"/>
      <c r="AD930" s="86"/>
      <c r="AE930" s="86"/>
      <c r="AF930" s="86"/>
      <c r="AG930" s="86"/>
      <c r="AH930" s="82"/>
    </row>
    <row r="931">
      <c r="A931" s="78"/>
      <c r="B931" s="79"/>
      <c r="C931" s="80"/>
      <c r="D931" s="80"/>
      <c r="E931" s="80"/>
      <c r="F931" s="80"/>
      <c r="G931" s="80"/>
      <c r="H931" s="80"/>
      <c r="I931" s="80"/>
      <c r="J931" s="80"/>
      <c r="K931" s="82"/>
      <c r="L931" s="80"/>
      <c r="M931" s="80"/>
      <c r="N931" s="80"/>
      <c r="O931" s="80"/>
      <c r="P931" s="80"/>
      <c r="Q931" s="83"/>
      <c r="R931" s="80"/>
      <c r="S931" s="80"/>
      <c r="T931" s="80"/>
      <c r="U931" s="80"/>
      <c r="V931" s="84"/>
      <c r="W931" s="80"/>
      <c r="X931" s="85"/>
      <c r="Y931" s="86"/>
      <c r="Z931" s="86"/>
      <c r="AA931" s="86"/>
      <c r="AB931" s="86"/>
      <c r="AC931" s="86"/>
      <c r="AD931" s="86"/>
      <c r="AE931" s="86"/>
      <c r="AF931" s="86"/>
      <c r="AG931" s="86"/>
      <c r="AH931" s="82"/>
    </row>
    <row r="932">
      <c r="A932" s="78"/>
      <c r="B932" s="79"/>
      <c r="C932" s="80"/>
      <c r="D932" s="80"/>
      <c r="E932" s="80"/>
      <c r="F932" s="80"/>
      <c r="G932" s="80"/>
      <c r="H932" s="80"/>
      <c r="I932" s="80"/>
      <c r="J932" s="80"/>
      <c r="K932" s="82"/>
      <c r="L932" s="80"/>
      <c r="M932" s="80"/>
      <c r="N932" s="80"/>
      <c r="O932" s="80"/>
      <c r="P932" s="80"/>
      <c r="Q932" s="83"/>
      <c r="R932" s="80"/>
      <c r="S932" s="80"/>
      <c r="T932" s="80"/>
      <c r="U932" s="80"/>
      <c r="V932" s="84"/>
      <c r="W932" s="80"/>
      <c r="X932" s="85"/>
      <c r="Y932" s="86"/>
      <c r="Z932" s="86"/>
      <c r="AA932" s="86"/>
      <c r="AB932" s="86"/>
      <c r="AC932" s="86"/>
      <c r="AD932" s="86"/>
      <c r="AE932" s="86"/>
      <c r="AF932" s="86"/>
      <c r="AG932" s="86"/>
      <c r="AH932" s="82"/>
    </row>
    <row r="933">
      <c r="A933" s="78"/>
      <c r="B933" s="79"/>
      <c r="C933" s="80"/>
      <c r="D933" s="80"/>
      <c r="E933" s="80"/>
      <c r="F933" s="80"/>
      <c r="G933" s="80"/>
      <c r="H933" s="80"/>
      <c r="I933" s="80"/>
      <c r="J933" s="80"/>
      <c r="K933" s="82"/>
      <c r="L933" s="80"/>
      <c r="M933" s="80"/>
      <c r="N933" s="80"/>
      <c r="O933" s="80"/>
      <c r="P933" s="80"/>
      <c r="Q933" s="83"/>
      <c r="R933" s="80"/>
      <c r="S933" s="80"/>
      <c r="T933" s="80"/>
      <c r="U933" s="80"/>
      <c r="V933" s="84"/>
      <c r="W933" s="80"/>
      <c r="X933" s="85"/>
      <c r="Y933" s="86"/>
      <c r="Z933" s="86"/>
      <c r="AA933" s="86"/>
      <c r="AB933" s="86"/>
      <c r="AC933" s="86"/>
      <c r="AD933" s="86"/>
      <c r="AE933" s="86"/>
      <c r="AF933" s="86"/>
      <c r="AG933" s="86"/>
      <c r="AH933" s="82"/>
    </row>
    <row r="934">
      <c r="A934" s="78"/>
      <c r="B934" s="79"/>
      <c r="C934" s="80"/>
      <c r="D934" s="80"/>
      <c r="E934" s="80"/>
      <c r="F934" s="80"/>
      <c r="G934" s="80"/>
      <c r="H934" s="80"/>
      <c r="I934" s="80"/>
      <c r="J934" s="80"/>
      <c r="K934" s="82"/>
      <c r="L934" s="80"/>
      <c r="M934" s="80"/>
      <c r="N934" s="80"/>
      <c r="O934" s="80"/>
      <c r="P934" s="80"/>
      <c r="Q934" s="83"/>
      <c r="R934" s="80"/>
      <c r="S934" s="80"/>
      <c r="T934" s="80"/>
      <c r="U934" s="80"/>
      <c r="V934" s="84"/>
      <c r="W934" s="80"/>
      <c r="X934" s="85"/>
      <c r="Y934" s="86"/>
      <c r="Z934" s="86"/>
      <c r="AA934" s="86"/>
      <c r="AB934" s="86"/>
      <c r="AC934" s="86"/>
      <c r="AD934" s="86"/>
      <c r="AE934" s="86"/>
      <c r="AF934" s="86"/>
      <c r="AG934" s="86"/>
      <c r="AH934" s="82"/>
    </row>
    <row r="935">
      <c r="A935" s="78"/>
      <c r="B935" s="79"/>
      <c r="C935" s="80"/>
      <c r="D935" s="80"/>
      <c r="E935" s="80"/>
      <c r="F935" s="80"/>
      <c r="G935" s="80"/>
      <c r="H935" s="80"/>
      <c r="I935" s="80"/>
      <c r="J935" s="80"/>
      <c r="K935" s="82"/>
      <c r="L935" s="80"/>
      <c r="M935" s="80"/>
      <c r="N935" s="80"/>
      <c r="O935" s="80"/>
      <c r="P935" s="80"/>
      <c r="Q935" s="83"/>
      <c r="R935" s="80"/>
      <c r="S935" s="80"/>
      <c r="T935" s="80"/>
      <c r="U935" s="80"/>
      <c r="V935" s="84"/>
      <c r="W935" s="80"/>
      <c r="X935" s="85"/>
      <c r="Y935" s="86"/>
      <c r="Z935" s="86"/>
      <c r="AA935" s="86"/>
      <c r="AB935" s="86"/>
      <c r="AC935" s="86"/>
      <c r="AD935" s="86"/>
      <c r="AE935" s="86"/>
      <c r="AF935" s="86"/>
      <c r="AG935" s="86"/>
      <c r="AH935" s="82"/>
    </row>
    <row r="936">
      <c r="A936" s="78"/>
      <c r="B936" s="79"/>
      <c r="C936" s="80"/>
      <c r="D936" s="80"/>
      <c r="E936" s="80"/>
      <c r="F936" s="80"/>
      <c r="G936" s="80"/>
      <c r="H936" s="80"/>
      <c r="I936" s="80"/>
      <c r="J936" s="80"/>
      <c r="K936" s="82"/>
      <c r="L936" s="80"/>
      <c r="M936" s="80"/>
      <c r="N936" s="80"/>
      <c r="O936" s="80"/>
      <c r="P936" s="80"/>
      <c r="Q936" s="83"/>
      <c r="R936" s="80"/>
      <c r="S936" s="80"/>
      <c r="T936" s="80"/>
      <c r="U936" s="80"/>
      <c r="V936" s="84"/>
      <c r="W936" s="80"/>
      <c r="X936" s="85"/>
      <c r="Y936" s="86"/>
      <c r="Z936" s="86"/>
      <c r="AA936" s="86"/>
      <c r="AB936" s="86"/>
      <c r="AC936" s="86"/>
      <c r="AD936" s="86"/>
      <c r="AE936" s="86"/>
      <c r="AF936" s="86"/>
      <c r="AG936" s="86"/>
      <c r="AH936" s="82"/>
    </row>
    <row r="937">
      <c r="A937" s="78"/>
      <c r="B937" s="79"/>
      <c r="C937" s="80"/>
      <c r="D937" s="80"/>
      <c r="E937" s="80"/>
      <c r="F937" s="80"/>
      <c r="G937" s="80"/>
      <c r="H937" s="80"/>
      <c r="I937" s="80"/>
      <c r="J937" s="80"/>
      <c r="K937" s="82"/>
      <c r="L937" s="80"/>
      <c r="M937" s="80"/>
      <c r="N937" s="80"/>
      <c r="O937" s="80"/>
      <c r="P937" s="80"/>
      <c r="Q937" s="83"/>
      <c r="R937" s="80"/>
      <c r="S937" s="80"/>
      <c r="T937" s="80"/>
      <c r="U937" s="80"/>
      <c r="V937" s="84"/>
      <c r="W937" s="80"/>
      <c r="X937" s="85"/>
      <c r="Y937" s="86"/>
      <c r="Z937" s="86"/>
      <c r="AA937" s="86"/>
      <c r="AB937" s="86"/>
      <c r="AC937" s="86"/>
      <c r="AD937" s="86"/>
      <c r="AE937" s="86"/>
      <c r="AF937" s="86"/>
      <c r="AG937" s="86"/>
      <c r="AH937" s="82"/>
    </row>
    <row r="938">
      <c r="A938" s="78"/>
      <c r="B938" s="79"/>
      <c r="C938" s="80"/>
      <c r="D938" s="80"/>
      <c r="E938" s="80"/>
      <c r="F938" s="80"/>
      <c r="G938" s="80"/>
      <c r="H938" s="80"/>
      <c r="I938" s="80"/>
      <c r="J938" s="80"/>
      <c r="K938" s="82"/>
      <c r="L938" s="80"/>
      <c r="M938" s="80"/>
      <c r="N938" s="80"/>
      <c r="O938" s="80"/>
      <c r="P938" s="80"/>
      <c r="Q938" s="83"/>
      <c r="R938" s="80"/>
      <c r="S938" s="80"/>
      <c r="T938" s="80"/>
      <c r="U938" s="80"/>
      <c r="V938" s="84"/>
      <c r="W938" s="80"/>
      <c r="X938" s="85"/>
      <c r="Y938" s="86"/>
      <c r="Z938" s="86"/>
      <c r="AA938" s="86"/>
      <c r="AB938" s="86"/>
      <c r="AC938" s="86"/>
      <c r="AD938" s="86"/>
      <c r="AE938" s="86"/>
      <c r="AF938" s="86"/>
      <c r="AG938" s="86"/>
      <c r="AH938" s="82"/>
    </row>
    <row r="939">
      <c r="A939" s="78"/>
      <c r="B939" s="79"/>
      <c r="C939" s="80"/>
      <c r="D939" s="80"/>
      <c r="E939" s="80"/>
      <c r="F939" s="80"/>
      <c r="G939" s="80"/>
      <c r="H939" s="80"/>
      <c r="I939" s="80"/>
      <c r="J939" s="80"/>
      <c r="K939" s="82"/>
      <c r="L939" s="80"/>
      <c r="M939" s="80"/>
      <c r="N939" s="80"/>
      <c r="O939" s="80"/>
      <c r="P939" s="80"/>
      <c r="Q939" s="83"/>
      <c r="R939" s="80"/>
      <c r="S939" s="80"/>
      <c r="T939" s="80"/>
      <c r="U939" s="80"/>
      <c r="V939" s="84"/>
      <c r="W939" s="80"/>
      <c r="X939" s="85"/>
      <c r="Y939" s="86"/>
      <c r="Z939" s="86"/>
      <c r="AA939" s="86"/>
      <c r="AB939" s="86"/>
      <c r="AC939" s="86"/>
      <c r="AD939" s="86"/>
      <c r="AE939" s="86"/>
      <c r="AF939" s="86"/>
      <c r="AG939" s="86"/>
      <c r="AH939" s="82"/>
    </row>
    <row r="940">
      <c r="A940" s="78"/>
      <c r="B940" s="79"/>
      <c r="C940" s="80"/>
      <c r="D940" s="80"/>
      <c r="E940" s="80"/>
      <c r="F940" s="80"/>
      <c r="G940" s="80"/>
      <c r="H940" s="80"/>
      <c r="I940" s="80"/>
      <c r="J940" s="80"/>
      <c r="K940" s="82"/>
      <c r="L940" s="80"/>
      <c r="M940" s="80"/>
      <c r="N940" s="80"/>
      <c r="O940" s="80"/>
      <c r="P940" s="80"/>
      <c r="Q940" s="83"/>
      <c r="R940" s="80"/>
      <c r="S940" s="80"/>
      <c r="T940" s="80"/>
      <c r="U940" s="80"/>
      <c r="V940" s="84"/>
      <c r="W940" s="80"/>
      <c r="X940" s="85"/>
      <c r="Y940" s="86"/>
      <c r="Z940" s="86"/>
      <c r="AA940" s="86"/>
      <c r="AB940" s="86"/>
      <c r="AC940" s="86"/>
      <c r="AD940" s="86"/>
      <c r="AE940" s="86"/>
      <c r="AF940" s="86"/>
      <c r="AG940" s="86"/>
      <c r="AH940" s="82"/>
    </row>
    <row r="941">
      <c r="A941" s="78"/>
      <c r="B941" s="79"/>
      <c r="C941" s="80"/>
      <c r="D941" s="80"/>
      <c r="E941" s="80"/>
      <c r="F941" s="80"/>
      <c r="G941" s="80"/>
      <c r="H941" s="80"/>
      <c r="I941" s="80"/>
      <c r="J941" s="80"/>
      <c r="K941" s="82"/>
      <c r="L941" s="80"/>
      <c r="M941" s="80"/>
      <c r="N941" s="80"/>
      <c r="O941" s="80"/>
      <c r="P941" s="80"/>
      <c r="Q941" s="83"/>
      <c r="R941" s="80"/>
      <c r="S941" s="80"/>
      <c r="T941" s="80"/>
      <c r="U941" s="80"/>
      <c r="V941" s="84"/>
      <c r="W941" s="80"/>
      <c r="X941" s="85"/>
      <c r="Y941" s="86"/>
      <c r="Z941" s="86"/>
      <c r="AA941" s="86"/>
      <c r="AB941" s="86"/>
      <c r="AC941" s="86"/>
      <c r="AD941" s="86"/>
      <c r="AE941" s="86"/>
      <c r="AF941" s="86"/>
      <c r="AG941" s="86"/>
      <c r="AH941" s="82"/>
    </row>
    <row r="942">
      <c r="A942" s="78"/>
      <c r="B942" s="79"/>
      <c r="C942" s="80"/>
      <c r="D942" s="80"/>
      <c r="E942" s="80"/>
      <c r="F942" s="80"/>
      <c r="G942" s="80"/>
      <c r="H942" s="80"/>
      <c r="I942" s="80"/>
      <c r="J942" s="80"/>
      <c r="K942" s="82"/>
      <c r="L942" s="80"/>
      <c r="M942" s="80"/>
      <c r="N942" s="80"/>
      <c r="O942" s="80"/>
      <c r="P942" s="80"/>
      <c r="Q942" s="83"/>
      <c r="R942" s="80"/>
      <c r="S942" s="80"/>
      <c r="T942" s="80"/>
      <c r="U942" s="80"/>
      <c r="V942" s="84"/>
      <c r="W942" s="80"/>
      <c r="X942" s="85"/>
      <c r="Y942" s="86"/>
      <c r="Z942" s="86"/>
      <c r="AA942" s="86"/>
      <c r="AB942" s="86"/>
      <c r="AC942" s="86"/>
      <c r="AD942" s="86"/>
      <c r="AE942" s="86"/>
      <c r="AF942" s="86"/>
      <c r="AG942" s="86"/>
      <c r="AH942" s="82"/>
    </row>
    <row r="943">
      <c r="A943" s="78"/>
      <c r="B943" s="79"/>
      <c r="C943" s="80"/>
      <c r="D943" s="80"/>
      <c r="E943" s="80"/>
      <c r="F943" s="80"/>
      <c r="G943" s="80"/>
      <c r="H943" s="80"/>
      <c r="I943" s="80"/>
      <c r="J943" s="80"/>
      <c r="K943" s="82"/>
      <c r="L943" s="80"/>
      <c r="M943" s="80"/>
      <c r="N943" s="80"/>
      <c r="O943" s="80"/>
      <c r="P943" s="80"/>
      <c r="Q943" s="83"/>
      <c r="R943" s="80"/>
      <c r="S943" s="80"/>
      <c r="T943" s="80"/>
      <c r="U943" s="80"/>
      <c r="V943" s="84"/>
      <c r="W943" s="80"/>
      <c r="X943" s="85"/>
      <c r="Y943" s="86"/>
      <c r="Z943" s="86"/>
      <c r="AA943" s="86"/>
      <c r="AB943" s="86"/>
      <c r="AC943" s="86"/>
      <c r="AD943" s="86"/>
      <c r="AE943" s="86"/>
      <c r="AF943" s="86"/>
      <c r="AG943" s="86"/>
      <c r="AH943" s="82"/>
    </row>
    <row r="944">
      <c r="A944" s="78"/>
      <c r="B944" s="79"/>
      <c r="C944" s="80"/>
      <c r="D944" s="80"/>
      <c r="E944" s="80"/>
      <c r="F944" s="80"/>
      <c r="G944" s="80"/>
      <c r="H944" s="80"/>
      <c r="I944" s="80"/>
      <c r="J944" s="80"/>
      <c r="K944" s="82"/>
      <c r="L944" s="80"/>
      <c r="M944" s="80"/>
      <c r="N944" s="80"/>
      <c r="O944" s="80"/>
      <c r="P944" s="80"/>
      <c r="Q944" s="83"/>
      <c r="R944" s="80"/>
      <c r="S944" s="80"/>
      <c r="T944" s="80"/>
      <c r="U944" s="80"/>
      <c r="V944" s="84"/>
      <c r="W944" s="80"/>
      <c r="X944" s="85"/>
      <c r="Y944" s="86"/>
      <c r="Z944" s="86"/>
      <c r="AA944" s="86"/>
      <c r="AB944" s="86"/>
      <c r="AC944" s="86"/>
      <c r="AD944" s="86"/>
      <c r="AE944" s="86"/>
      <c r="AF944" s="86"/>
      <c r="AG944" s="86"/>
      <c r="AH944" s="82"/>
    </row>
    <row r="945">
      <c r="A945" s="78"/>
      <c r="B945" s="79"/>
      <c r="C945" s="80"/>
      <c r="D945" s="80"/>
      <c r="E945" s="80"/>
      <c r="F945" s="80"/>
      <c r="G945" s="80"/>
      <c r="H945" s="80"/>
      <c r="I945" s="80"/>
      <c r="J945" s="80"/>
      <c r="K945" s="82"/>
      <c r="L945" s="80"/>
      <c r="M945" s="80"/>
      <c r="N945" s="80"/>
      <c r="O945" s="80"/>
      <c r="P945" s="80"/>
      <c r="Q945" s="83"/>
      <c r="R945" s="80"/>
      <c r="S945" s="80"/>
      <c r="T945" s="80"/>
      <c r="U945" s="80"/>
      <c r="V945" s="84"/>
      <c r="W945" s="80"/>
      <c r="X945" s="85"/>
      <c r="Y945" s="86"/>
      <c r="Z945" s="86"/>
      <c r="AA945" s="86"/>
      <c r="AB945" s="86"/>
      <c r="AC945" s="86"/>
      <c r="AD945" s="86"/>
      <c r="AE945" s="86"/>
      <c r="AF945" s="86"/>
      <c r="AG945" s="86"/>
      <c r="AH945" s="82"/>
    </row>
    <row r="946">
      <c r="A946" s="78"/>
      <c r="B946" s="79"/>
      <c r="C946" s="80"/>
      <c r="D946" s="80"/>
      <c r="E946" s="80"/>
      <c r="F946" s="80"/>
      <c r="G946" s="80"/>
      <c r="H946" s="80"/>
      <c r="I946" s="80"/>
      <c r="J946" s="80"/>
      <c r="K946" s="82"/>
      <c r="L946" s="80"/>
      <c r="M946" s="80"/>
      <c r="N946" s="80"/>
      <c r="O946" s="80"/>
      <c r="P946" s="80"/>
      <c r="Q946" s="83"/>
      <c r="R946" s="80"/>
      <c r="S946" s="80"/>
      <c r="T946" s="80"/>
      <c r="U946" s="80"/>
      <c r="V946" s="84"/>
      <c r="W946" s="80"/>
      <c r="X946" s="85"/>
      <c r="Y946" s="86"/>
      <c r="Z946" s="86"/>
      <c r="AA946" s="86"/>
      <c r="AB946" s="86"/>
      <c r="AC946" s="86"/>
      <c r="AD946" s="86"/>
      <c r="AE946" s="86"/>
      <c r="AF946" s="86"/>
      <c r="AG946" s="86"/>
      <c r="AH946" s="82"/>
    </row>
    <row r="947">
      <c r="A947" s="78"/>
      <c r="B947" s="79"/>
      <c r="C947" s="80"/>
      <c r="D947" s="80"/>
      <c r="E947" s="80"/>
      <c r="F947" s="80"/>
      <c r="G947" s="80"/>
      <c r="H947" s="80"/>
      <c r="I947" s="80"/>
      <c r="J947" s="80"/>
      <c r="K947" s="82"/>
      <c r="L947" s="80"/>
      <c r="M947" s="80"/>
      <c r="N947" s="80"/>
      <c r="O947" s="80"/>
      <c r="P947" s="80"/>
      <c r="Q947" s="83"/>
      <c r="R947" s="80"/>
      <c r="S947" s="80"/>
      <c r="T947" s="80"/>
      <c r="U947" s="80"/>
      <c r="V947" s="84"/>
      <c r="W947" s="80"/>
      <c r="X947" s="85"/>
      <c r="Y947" s="86"/>
      <c r="Z947" s="86"/>
      <c r="AA947" s="86"/>
      <c r="AB947" s="86"/>
      <c r="AC947" s="86"/>
      <c r="AD947" s="86"/>
      <c r="AE947" s="86"/>
      <c r="AF947" s="86"/>
      <c r="AG947" s="86"/>
      <c r="AH947" s="82"/>
    </row>
    <row r="948">
      <c r="A948" s="78"/>
      <c r="B948" s="79"/>
      <c r="C948" s="80"/>
      <c r="D948" s="80"/>
      <c r="E948" s="80"/>
      <c r="F948" s="80"/>
      <c r="G948" s="80"/>
      <c r="H948" s="80"/>
      <c r="I948" s="80"/>
      <c r="J948" s="80"/>
      <c r="K948" s="82"/>
      <c r="L948" s="80"/>
      <c r="M948" s="80"/>
      <c r="N948" s="80"/>
      <c r="O948" s="80"/>
      <c r="P948" s="80"/>
      <c r="Q948" s="83"/>
      <c r="R948" s="80"/>
      <c r="S948" s="80"/>
      <c r="T948" s="80"/>
      <c r="U948" s="80"/>
      <c r="V948" s="84"/>
      <c r="W948" s="80"/>
      <c r="X948" s="85"/>
      <c r="Y948" s="86"/>
      <c r="Z948" s="86"/>
      <c r="AA948" s="86"/>
      <c r="AB948" s="86"/>
      <c r="AC948" s="86"/>
      <c r="AD948" s="86"/>
      <c r="AE948" s="86"/>
      <c r="AF948" s="86"/>
      <c r="AG948" s="86"/>
      <c r="AH948" s="82"/>
    </row>
    <row r="949">
      <c r="A949" s="78"/>
      <c r="B949" s="79"/>
      <c r="C949" s="80"/>
      <c r="D949" s="80"/>
      <c r="E949" s="80"/>
      <c r="F949" s="80"/>
      <c r="G949" s="80"/>
      <c r="H949" s="80"/>
      <c r="I949" s="80"/>
      <c r="J949" s="80"/>
      <c r="K949" s="82"/>
      <c r="L949" s="80"/>
      <c r="M949" s="80"/>
      <c r="N949" s="80"/>
      <c r="O949" s="80"/>
      <c r="P949" s="80"/>
      <c r="Q949" s="83"/>
      <c r="R949" s="80"/>
      <c r="S949" s="80"/>
      <c r="T949" s="80"/>
      <c r="U949" s="80"/>
      <c r="V949" s="84"/>
      <c r="W949" s="80"/>
      <c r="X949" s="85"/>
      <c r="Y949" s="86"/>
      <c r="Z949" s="86"/>
      <c r="AA949" s="86"/>
      <c r="AB949" s="86"/>
      <c r="AC949" s="86"/>
      <c r="AD949" s="86"/>
      <c r="AE949" s="86"/>
      <c r="AF949" s="86"/>
      <c r="AG949" s="86"/>
      <c r="AH949" s="82"/>
    </row>
    <row r="950">
      <c r="A950" s="78"/>
      <c r="B950" s="79"/>
      <c r="C950" s="80"/>
      <c r="D950" s="80"/>
      <c r="E950" s="80"/>
      <c r="F950" s="80"/>
      <c r="G950" s="80"/>
      <c r="H950" s="80"/>
      <c r="I950" s="80"/>
      <c r="J950" s="80"/>
      <c r="K950" s="82"/>
      <c r="L950" s="80"/>
      <c r="M950" s="80"/>
      <c r="N950" s="80"/>
      <c r="O950" s="80"/>
      <c r="P950" s="80"/>
      <c r="Q950" s="83"/>
      <c r="R950" s="80"/>
      <c r="S950" s="80"/>
      <c r="T950" s="80"/>
      <c r="U950" s="80"/>
      <c r="V950" s="84"/>
      <c r="W950" s="80"/>
      <c r="X950" s="85"/>
      <c r="Y950" s="86"/>
      <c r="Z950" s="86"/>
      <c r="AA950" s="86"/>
      <c r="AB950" s="86"/>
      <c r="AC950" s="86"/>
      <c r="AD950" s="86"/>
      <c r="AE950" s="86"/>
      <c r="AF950" s="86"/>
      <c r="AG950" s="86"/>
      <c r="AH950" s="82"/>
    </row>
    <row r="951">
      <c r="A951" s="78"/>
      <c r="B951" s="79"/>
      <c r="C951" s="80"/>
      <c r="D951" s="80"/>
      <c r="E951" s="80"/>
      <c r="F951" s="80"/>
      <c r="G951" s="80"/>
      <c r="H951" s="80"/>
      <c r="I951" s="80"/>
      <c r="J951" s="80"/>
      <c r="K951" s="82"/>
      <c r="L951" s="80"/>
      <c r="M951" s="80"/>
      <c r="N951" s="80"/>
      <c r="O951" s="80"/>
      <c r="P951" s="80"/>
      <c r="Q951" s="83"/>
      <c r="R951" s="80"/>
      <c r="S951" s="80"/>
      <c r="T951" s="80"/>
      <c r="U951" s="80"/>
      <c r="V951" s="84"/>
      <c r="W951" s="80"/>
      <c r="X951" s="85"/>
      <c r="Y951" s="86"/>
      <c r="Z951" s="86"/>
      <c r="AA951" s="86"/>
      <c r="AB951" s="86"/>
      <c r="AC951" s="86"/>
      <c r="AD951" s="86"/>
      <c r="AE951" s="86"/>
      <c r="AF951" s="86"/>
      <c r="AG951" s="86"/>
      <c r="AH951" s="82"/>
    </row>
    <row r="952">
      <c r="A952" s="78"/>
      <c r="B952" s="79"/>
      <c r="C952" s="80"/>
      <c r="D952" s="80"/>
      <c r="E952" s="80"/>
      <c r="F952" s="80"/>
      <c r="G952" s="80"/>
      <c r="H952" s="80"/>
      <c r="I952" s="80"/>
      <c r="J952" s="80"/>
      <c r="K952" s="82"/>
      <c r="L952" s="80"/>
      <c r="M952" s="80"/>
      <c r="N952" s="80"/>
      <c r="O952" s="80"/>
      <c r="P952" s="80"/>
      <c r="Q952" s="83"/>
      <c r="R952" s="80"/>
      <c r="S952" s="80"/>
      <c r="T952" s="80"/>
      <c r="U952" s="80"/>
      <c r="V952" s="84"/>
      <c r="W952" s="80"/>
      <c r="X952" s="85"/>
      <c r="Y952" s="86"/>
      <c r="Z952" s="86"/>
      <c r="AA952" s="86"/>
      <c r="AB952" s="86"/>
      <c r="AC952" s="86"/>
      <c r="AD952" s="86"/>
      <c r="AE952" s="86"/>
      <c r="AF952" s="86"/>
      <c r="AG952" s="86"/>
      <c r="AH952" s="82"/>
    </row>
    <row r="953">
      <c r="A953" s="78"/>
      <c r="B953" s="79"/>
      <c r="C953" s="80"/>
      <c r="D953" s="80"/>
      <c r="E953" s="80"/>
      <c r="F953" s="80"/>
      <c r="G953" s="80"/>
      <c r="H953" s="80"/>
      <c r="I953" s="80"/>
      <c r="J953" s="80"/>
      <c r="K953" s="82"/>
      <c r="L953" s="80"/>
      <c r="M953" s="80"/>
      <c r="N953" s="80"/>
      <c r="O953" s="80"/>
      <c r="P953" s="80"/>
      <c r="Q953" s="83"/>
      <c r="R953" s="80"/>
      <c r="S953" s="80"/>
      <c r="T953" s="80"/>
      <c r="U953" s="80"/>
      <c r="V953" s="84"/>
      <c r="W953" s="80"/>
      <c r="X953" s="85"/>
      <c r="Y953" s="86"/>
      <c r="Z953" s="86"/>
      <c r="AA953" s="86"/>
      <c r="AB953" s="86"/>
      <c r="AC953" s="86"/>
      <c r="AD953" s="86"/>
      <c r="AE953" s="86"/>
      <c r="AF953" s="86"/>
      <c r="AG953" s="86"/>
      <c r="AH953" s="82"/>
    </row>
    <row r="954">
      <c r="A954" s="78"/>
      <c r="B954" s="79"/>
      <c r="C954" s="80"/>
      <c r="D954" s="80"/>
      <c r="E954" s="80"/>
      <c r="F954" s="80"/>
      <c r="G954" s="80"/>
      <c r="H954" s="80"/>
      <c r="I954" s="80"/>
      <c r="J954" s="80"/>
      <c r="K954" s="82"/>
      <c r="L954" s="80"/>
      <c r="M954" s="80"/>
      <c r="N954" s="80"/>
      <c r="O954" s="80"/>
      <c r="P954" s="80"/>
      <c r="Q954" s="83"/>
      <c r="R954" s="80"/>
      <c r="S954" s="80"/>
      <c r="T954" s="80"/>
      <c r="U954" s="80"/>
      <c r="V954" s="84"/>
      <c r="W954" s="80"/>
      <c r="X954" s="85"/>
      <c r="Y954" s="86"/>
      <c r="Z954" s="86"/>
      <c r="AA954" s="86"/>
      <c r="AB954" s="86"/>
      <c r="AC954" s="86"/>
      <c r="AD954" s="86"/>
      <c r="AE954" s="86"/>
      <c r="AF954" s="86"/>
      <c r="AG954" s="86"/>
      <c r="AH954" s="82"/>
    </row>
    <row r="955">
      <c r="A955" s="78"/>
      <c r="B955" s="79"/>
      <c r="C955" s="80"/>
      <c r="D955" s="80"/>
      <c r="E955" s="80"/>
      <c r="F955" s="80"/>
      <c r="G955" s="80"/>
      <c r="H955" s="80"/>
      <c r="I955" s="80"/>
      <c r="J955" s="80"/>
      <c r="K955" s="82"/>
      <c r="L955" s="80"/>
      <c r="M955" s="80"/>
      <c r="N955" s="80"/>
      <c r="O955" s="80"/>
      <c r="P955" s="80"/>
      <c r="Q955" s="83"/>
      <c r="R955" s="80"/>
      <c r="S955" s="80"/>
      <c r="T955" s="80"/>
      <c r="U955" s="80"/>
      <c r="V955" s="84"/>
      <c r="W955" s="80"/>
      <c r="X955" s="85"/>
      <c r="Y955" s="86"/>
      <c r="Z955" s="86"/>
      <c r="AA955" s="86"/>
      <c r="AB955" s="86"/>
      <c r="AC955" s="86"/>
      <c r="AD955" s="86"/>
      <c r="AE955" s="86"/>
      <c r="AF955" s="86"/>
      <c r="AG955" s="86"/>
      <c r="AH955" s="82"/>
    </row>
    <row r="956">
      <c r="A956" s="78"/>
      <c r="B956" s="79"/>
      <c r="C956" s="80"/>
      <c r="D956" s="80"/>
      <c r="E956" s="80"/>
      <c r="F956" s="80"/>
      <c r="G956" s="80"/>
      <c r="H956" s="80"/>
      <c r="I956" s="80"/>
      <c r="J956" s="80"/>
      <c r="K956" s="82"/>
      <c r="L956" s="80"/>
      <c r="M956" s="80"/>
      <c r="N956" s="80"/>
      <c r="O956" s="80"/>
      <c r="P956" s="80"/>
      <c r="Q956" s="83"/>
      <c r="R956" s="80"/>
      <c r="S956" s="80"/>
      <c r="T956" s="80"/>
      <c r="U956" s="80"/>
      <c r="V956" s="84"/>
      <c r="W956" s="80"/>
      <c r="X956" s="85"/>
      <c r="Y956" s="86"/>
      <c r="Z956" s="86"/>
      <c r="AA956" s="86"/>
      <c r="AB956" s="86"/>
      <c r="AC956" s="86"/>
      <c r="AD956" s="86"/>
      <c r="AE956" s="86"/>
      <c r="AF956" s="86"/>
      <c r="AG956" s="86"/>
      <c r="AH956" s="82"/>
    </row>
    <row r="957">
      <c r="A957" s="78"/>
      <c r="B957" s="79"/>
      <c r="C957" s="80"/>
      <c r="D957" s="80"/>
      <c r="E957" s="80"/>
      <c r="F957" s="80"/>
      <c r="G957" s="80"/>
      <c r="H957" s="80"/>
      <c r="I957" s="80"/>
      <c r="J957" s="80"/>
      <c r="K957" s="82"/>
      <c r="L957" s="80"/>
      <c r="M957" s="80"/>
      <c r="N957" s="80"/>
      <c r="O957" s="80"/>
      <c r="P957" s="80"/>
      <c r="Q957" s="83"/>
      <c r="R957" s="80"/>
      <c r="S957" s="80"/>
      <c r="T957" s="80"/>
      <c r="U957" s="80"/>
      <c r="V957" s="84"/>
      <c r="W957" s="80"/>
      <c r="X957" s="85"/>
      <c r="Y957" s="86"/>
      <c r="Z957" s="86"/>
      <c r="AA957" s="86"/>
      <c r="AB957" s="86"/>
      <c r="AC957" s="86"/>
      <c r="AD957" s="86"/>
      <c r="AE957" s="86"/>
      <c r="AF957" s="86"/>
      <c r="AG957" s="86"/>
      <c r="AH957" s="82"/>
    </row>
    <row r="958">
      <c r="A958" s="78"/>
      <c r="B958" s="79"/>
      <c r="C958" s="80"/>
      <c r="D958" s="80"/>
      <c r="E958" s="80"/>
      <c r="F958" s="80"/>
      <c r="G958" s="80"/>
      <c r="H958" s="80"/>
      <c r="I958" s="80"/>
      <c r="J958" s="80"/>
      <c r="K958" s="82"/>
      <c r="L958" s="80"/>
      <c r="M958" s="80"/>
      <c r="N958" s="80"/>
      <c r="O958" s="80"/>
      <c r="P958" s="80"/>
      <c r="Q958" s="83"/>
      <c r="R958" s="80"/>
      <c r="S958" s="80"/>
      <c r="T958" s="80"/>
      <c r="U958" s="80"/>
      <c r="V958" s="84"/>
      <c r="W958" s="80"/>
      <c r="X958" s="85"/>
      <c r="Y958" s="86"/>
      <c r="Z958" s="86"/>
      <c r="AA958" s="86"/>
      <c r="AB958" s="86"/>
      <c r="AC958" s="86"/>
      <c r="AD958" s="86"/>
      <c r="AE958" s="86"/>
      <c r="AF958" s="86"/>
      <c r="AG958" s="86"/>
      <c r="AH958" s="82"/>
    </row>
    <row r="959">
      <c r="A959" s="78"/>
      <c r="B959" s="79"/>
      <c r="C959" s="80"/>
      <c r="D959" s="80"/>
      <c r="E959" s="80"/>
      <c r="F959" s="80"/>
      <c r="G959" s="80"/>
      <c r="H959" s="80"/>
      <c r="I959" s="80"/>
      <c r="J959" s="80"/>
      <c r="K959" s="82"/>
      <c r="L959" s="80"/>
      <c r="M959" s="80"/>
      <c r="N959" s="80"/>
      <c r="O959" s="80"/>
      <c r="P959" s="80"/>
      <c r="Q959" s="83"/>
      <c r="R959" s="80"/>
      <c r="S959" s="80"/>
      <c r="T959" s="80"/>
      <c r="U959" s="80"/>
      <c r="V959" s="84"/>
      <c r="W959" s="80"/>
      <c r="X959" s="85"/>
      <c r="Y959" s="86"/>
      <c r="Z959" s="86"/>
      <c r="AA959" s="86"/>
      <c r="AB959" s="86"/>
      <c r="AC959" s="86"/>
      <c r="AD959" s="86"/>
      <c r="AE959" s="86"/>
      <c r="AF959" s="86"/>
      <c r="AG959" s="86"/>
      <c r="AH959" s="82"/>
    </row>
    <row r="960">
      <c r="A960" s="78"/>
      <c r="B960" s="79"/>
      <c r="C960" s="80"/>
      <c r="D960" s="80"/>
      <c r="E960" s="80"/>
      <c r="F960" s="80"/>
      <c r="G960" s="80"/>
      <c r="H960" s="80"/>
      <c r="I960" s="80"/>
      <c r="J960" s="80"/>
      <c r="K960" s="82"/>
      <c r="L960" s="80"/>
      <c r="M960" s="80"/>
      <c r="N960" s="80"/>
      <c r="O960" s="80"/>
      <c r="P960" s="80"/>
      <c r="Q960" s="83"/>
      <c r="R960" s="80"/>
      <c r="S960" s="80"/>
      <c r="T960" s="80"/>
      <c r="U960" s="80"/>
      <c r="V960" s="84"/>
      <c r="W960" s="80"/>
      <c r="X960" s="85"/>
      <c r="Y960" s="86"/>
      <c r="Z960" s="86"/>
      <c r="AA960" s="86"/>
      <c r="AB960" s="86"/>
      <c r="AC960" s="86"/>
      <c r="AD960" s="86"/>
      <c r="AE960" s="86"/>
      <c r="AF960" s="86"/>
      <c r="AG960" s="86"/>
      <c r="AH960" s="82"/>
    </row>
    <row r="961">
      <c r="A961" s="78"/>
      <c r="B961" s="79"/>
      <c r="C961" s="80"/>
      <c r="D961" s="80"/>
      <c r="E961" s="80"/>
      <c r="F961" s="80"/>
      <c r="G961" s="80"/>
      <c r="H961" s="80"/>
      <c r="I961" s="80"/>
      <c r="J961" s="80"/>
      <c r="K961" s="82"/>
      <c r="L961" s="80"/>
      <c r="M961" s="80"/>
      <c r="N961" s="80"/>
      <c r="O961" s="80"/>
      <c r="P961" s="80"/>
      <c r="Q961" s="83"/>
      <c r="R961" s="80"/>
      <c r="S961" s="80"/>
      <c r="T961" s="80"/>
      <c r="U961" s="80"/>
      <c r="V961" s="84"/>
      <c r="W961" s="80"/>
      <c r="X961" s="85"/>
      <c r="Y961" s="86"/>
      <c r="Z961" s="86"/>
      <c r="AA961" s="86"/>
      <c r="AB961" s="86"/>
      <c r="AC961" s="86"/>
      <c r="AD961" s="86"/>
      <c r="AE961" s="86"/>
      <c r="AF961" s="86"/>
      <c r="AG961" s="86"/>
      <c r="AH961" s="82"/>
    </row>
    <row r="962">
      <c r="A962" s="78"/>
      <c r="B962" s="79"/>
      <c r="C962" s="80"/>
      <c r="D962" s="80"/>
      <c r="E962" s="80"/>
      <c r="F962" s="80"/>
      <c r="G962" s="80"/>
      <c r="H962" s="80"/>
      <c r="I962" s="80"/>
      <c r="J962" s="80"/>
      <c r="K962" s="82"/>
      <c r="L962" s="80"/>
      <c r="M962" s="80"/>
      <c r="N962" s="80"/>
      <c r="O962" s="80"/>
      <c r="P962" s="80"/>
      <c r="Q962" s="83"/>
      <c r="R962" s="80"/>
      <c r="S962" s="80"/>
      <c r="T962" s="80"/>
      <c r="U962" s="80"/>
      <c r="V962" s="84"/>
      <c r="W962" s="80"/>
      <c r="X962" s="85"/>
      <c r="Y962" s="86"/>
      <c r="Z962" s="86"/>
      <c r="AA962" s="86"/>
      <c r="AB962" s="86"/>
      <c r="AC962" s="86"/>
      <c r="AD962" s="86"/>
      <c r="AE962" s="86"/>
      <c r="AF962" s="86"/>
      <c r="AG962" s="86"/>
      <c r="AH962" s="82"/>
    </row>
    <row r="963">
      <c r="A963" s="78"/>
      <c r="B963" s="79"/>
      <c r="C963" s="80"/>
      <c r="D963" s="80"/>
      <c r="E963" s="80"/>
      <c r="F963" s="80"/>
      <c r="G963" s="80"/>
      <c r="H963" s="80"/>
      <c r="I963" s="80"/>
      <c r="J963" s="80"/>
      <c r="K963" s="82"/>
      <c r="L963" s="80"/>
      <c r="M963" s="80"/>
      <c r="N963" s="80"/>
      <c r="O963" s="80"/>
      <c r="P963" s="80"/>
      <c r="Q963" s="83"/>
      <c r="R963" s="80"/>
      <c r="S963" s="80"/>
      <c r="T963" s="80"/>
      <c r="U963" s="80"/>
      <c r="V963" s="84"/>
      <c r="W963" s="80"/>
      <c r="X963" s="85"/>
      <c r="Y963" s="86"/>
      <c r="Z963" s="86"/>
      <c r="AA963" s="86"/>
      <c r="AB963" s="86"/>
      <c r="AC963" s="86"/>
      <c r="AD963" s="86"/>
      <c r="AE963" s="86"/>
      <c r="AF963" s="86"/>
      <c r="AG963" s="86"/>
      <c r="AH963" s="82"/>
    </row>
    <row r="964">
      <c r="A964" s="78"/>
      <c r="B964" s="79"/>
      <c r="C964" s="80"/>
      <c r="D964" s="80"/>
      <c r="E964" s="80"/>
      <c r="F964" s="80"/>
      <c r="G964" s="80"/>
      <c r="H964" s="80"/>
      <c r="I964" s="80"/>
      <c r="J964" s="80"/>
      <c r="K964" s="82"/>
      <c r="L964" s="80"/>
      <c r="M964" s="80"/>
      <c r="N964" s="80"/>
      <c r="O964" s="80"/>
      <c r="P964" s="80"/>
      <c r="Q964" s="83"/>
      <c r="R964" s="80"/>
      <c r="S964" s="80"/>
      <c r="T964" s="80"/>
      <c r="U964" s="80"/>
      <c r="V964" s="84"/>
      <c r="W964" s="80"/>
      <c r="X964" s="85"/>
      <c r="Y964" s="86"/>
      <c r="Z964" s="86"/>
      <c r="AA964" s="86"/>
      <c r="AB964" s="86"/>
      <c r="AC964" s="86"/>
      <c r="AD964" s="86"/>
      <c r="AE964" s="86"/>
      <c r="AF964" s="86"/>
      <c r="AG964" s="86"/>
      <c r="AH964" s="82"/>
    </row>
    <row r="965">
      <c r="A965" s="78"/>
      <c r="B965" s="79"/>
      <c r="C965" s="80"/>
      <c r="D965" s="80"/>
      <c r="E965" s="80"/>
      <c r="F965" s="80"/>
      <c r="G965" s="80"/>
      <c r="H965" s="80"/>
      <c r="I965" s="80"/>
      <c r="J965" s="80"/>
      <c r="K965" s="82"/>
      <c r="L965" s="80"/>
      <c r="M965" s="80"/>
      <c r="N965" s="80"/>
      <c r="O965" s="80"/>
      <c r="P965" s="80"/>
      <c r="Q965" s="83"/>
      <c r="R965" s="80"/>
      <c r="S965" s="80"/>
      <c r="T965" s="80"/>
      <c r="U965" s="80"/>
      <c r="V965" s="84"/>
      <c r="W965" s="80"/>
      <c r="X965" s="85"/>
      <c r="Y965" s="86"/>
      <c r="Z965" s="86"/>
      <c r="AA965" s="86"/>
      <c r="AB965" s="86"/>
      <c r="AC965" s="86"/>
      <c r="AD965" s="86"/>
      <c r="AE965" s="86"/>
      <c r="AF965" s="86"/>
      <c r="AG965" s="86"/>
      <c r="AH965" s="82"/>
    </row>
    <row r="966">
      <c r="A966" s="78"/>
      <c r="B966" s="79"/>
      <c r="C966" s="80"/>
      <c r="D966" s="80"/>
      <c r="E966" s="80"/>
      <c r="F966" s="80"/>
      <c r="G966" s="80"/>
      <c r="H966" s="80"/>
      <c r="I966" s="80"/>
      <c r="J966" s="80"/>
      <c r="K966" s="82"/>
      <c r="L966" s="80"/>
      <c r="M966" s="80"/>
      <c r="N966" s="80"/>
      <c r="O966" s="80"/>
      <c r="P966" s="80"/>
      <c r="Q966" s="83"/>
      <c r="R966" s="80"/>
      <c r="S966" s="80"/>
      <c r="T966" s="80"/>
      <c r="U966" s="80"/>
      <c r="V966" s="84"/>
      <c r="W966" s="80"/>
      <c r="X966" s="85"/>
      <c r="Y966" s="86"/>
      <c r="Z966" s="86"/>
      <c r="AA966" s="86"/>
      <c r="AB966" s="86"/>
      <c r="AC966" s="86"/>
      <c r="AD966" s="86"/>
      <c r="AE966" s="86"/>
      <c r="AF966" s="86"/>
      <c r="AG966" s="86"/>
      <c r="AH966" s="82"/>
    </row>
    <row r="967">
      <c r="A967" s="78"/>
      <c r="B967" s="79"/>
      <c r="C967" s="80"/>
      <c r="D967" s="80"/>
      <c r="E967" s="80"/>
      <c r="F967" s="80"/>
      <c r="G967" s="80"/>
      <c r="H967" s="80"/>
      <c r="I967" s="80"/>
      <c r="J967" s="80"/>
      <c r="K967" s="82"/>
      <c r="L967" s="80"/>
      <c r="M967" s="80"/>
      <c r="N967" s="80"/>
      <c r="O967" s="80"/>
      <c r="P967" s="80"/>
      <c r="Q967" s="83"/>
      <c r="R967" s="80"/>
      <c r="S967" s="80"/>
      <c r="T967" s="80"/>
      <c r="U967" s="80"/>
      <c r="V967" s="84"/>
      <c r="W967" s="80"/>
      <c r="X967" s="85"/>
      <c r="Y967" s="86"/>
      <c r="Z967" s="86"/>
      <c r="AA967" s="86"/>
      <c r="AB967" s="86"/>
      <c r="AC967" s="86"/>
      <c r="AD967" s="86"/>
      <c r="AE967" s="86"/>
      <c r="AF967" s="86"/>
      <c r="AG967" s="86"/>
      <c r="AH967" s="82"/>
    </row>
    <row r="968">
      <c r="A968" s="78"/>
      <c r="B968" s="79"/>
      <c r="C968" s="80"/>
      <c r="D968" s="80"/>
      <c r="E968" s="80"/>
      <c r="F968" s="80"/>
      <c r="G968" s="80"/>
      <c r="H968" s="80"/>
      <c r="I968" s="80"/>
      <c r="J968" s="80"/>
      <c r="K968" s="82"/>
      <c r="L968" s="80"/>
      <c r="M968" s="80"/>
      <c r="N968" s="80"/>
      <c r="O968" s="80"/>
      <c r="P968" s="80"/>
      <c r="Q968" s="83"/>
      <c r="R968" s="80"/>
      <c r="S968" s="80"/>
      <c r="T968" s="80"/>
      <c r="U968" s="80"/>
      <c r="V968" s="84"/>
      <c r="W968" s="80"/>
      <c r="X968" s="85"/>
      <c r="Y968" s="86"/>
      <c r="Z968" s="86"/>
      <c r="AA968" s="86"/>
      <c r="AB968" s="86"/>
      <c r="AC968" s="86"/>
      <c r="AD968" s="86"/>
      <c r="AE968" s="86"/>
      <c r="AF968" s="86"/>
      <c r="AG968" s="86"/>
      <c r="AH968" s="82"/>
    </row>
    <row r="969">
      <c r="A969" s="78"/>
      <c r="B969" s="79"/>
      <c r="C969" s="80"/>
      <c r="D969" s="80"/>
      <c r="E969" s="80"/>
      <c r="F969" s="80"/>
      <c r="G969" s="80"/>
      <c r="H969" s="80"/>
      <c r="I969" s="80"/>
      <c r="J969" s="80"/>
      <c r="K969" s="82"/>
      <c r="L969" s="80"/>
      <c r="M969" s="80"/>
      <c r="N969" s="80"/>
      <c r="O969" s="80"/>
      <c r="P969" s="80"/>
      <c r="Q969" s="83"/>
      <c r="R969" s="80"/>
      <c r="S969" s="80"/>
      <c r="T969" s="80"/>
      <c r="U969" s="80"/>
      <c r="V969" s="84"/>
      <c r="W969" s="80"/>
      <c r="X969" s="85"/>
      <c r="Y969" s="86"/>
      <c r="Z969" s="86"/>
      <c r="AA969" s="86"/>
      <c r="AB969" s="86"/>
      <c r="AC969" s="86"/>
      <c r="AD969" s="86"/>
      <c r="AE969" s="86"/>
      <c r="AF969" s="86"/>
      <c r="AG969" s="86"/>
      <c r="AH969" s="82"/>
    </row>
    <row r="970">
      <c r="A970" s="78"/>
      <c r="B970" s="79"/>
      <c r="C970" s="80"/>
      <c r="D970" s="80"/>
      <c r="E970" s="80"/>
      <c r="F970" s="80"/>
      <c r="G970" s="80"/>
      <c r="H970" s="80"/>
      <c r="I970" s="80"/>
      <c r="J970" s="80"/>
      <c r="K970" s="82"/>
      <c r="L970" s="80"/>
      <c r="M970" s="80"/>
      <c r="N970" s="80"/>
      <c r="O970" s="80"/>
      <c r="P970" s="80"/>
      <c r="Q970" s="83"/>
      <c r="R970" s="80"/>
      <c r="S970" s="80"/>
      <c r="T970" s="80"/>
      <c r="U970" s="80"/>
      <c r="V970" s="84"/>
      <c r="W970" s="80"/>
      <c r="X970" s="85"/>
      <c r="Y970" s="86"/>
      <c r="Z970" s="86"/>
      <c r="AA970" s="86"/>
      <c r="AB970" s="86"/>
      <c r="AC970" s="86"/>
      <c r="AD970" s="86"/>
      <c r="AE970" s="86"/>
      <c r="AF970" s="86"/>
      <c r="AG970" s="86"/>
      <c r="AH970" s="82"/>
    </row>
    <row r="971">
      <c r="A971" s="78"/>
      <c r="B971" s="79"/>
      <c r="C971" s="80"/>
      <c r="D971" s="80"/>
      <c r="E971" s="80"/>
      <c r="F971" s="80"/>
      <c r="G971" s="80"/>
      <c r="H971" s="80"/>
      <c r="I971" s="80"/>
      <c r="J971" s="80"/>
      <c r="K971" s="82"/>
      <c r="L971" s="80"/>
      <c r="M971" s="80"/>
      <c r="N971" s="80"/>
      <c r="O971" s="80"/>
      <c r="P971" s="80"/>
      <c r="Q971" s="83"/>
      <c r="R971" s="80"/>
      <c r="S971" s="80"/>
      <c r="T971" s="80"/>
      <c r="U971" s="80"/>
      <c r="V971" s="84"/>
      <c r="W971" s="80"/>
      <c r="X971" s="85"/>
      <c r="Y971" s="86"/>
      <c r="Z971" s="86"/>
      <c r="AA971" s="86"/>
      <c r="AB971" s="86"/>
      <c r="AC971" s="86"/>
      <c r="AD971" s="86"/>
      <c r="AE971" s="86"/>
      <c r="AF971" s="86"/>
      <c r="AG971" s="86"/>
      <c r="AH971" s="82"/>
    </row>
    <row r="972">
      <c r="A972" s="78"/>
      <c r="B972" s="79"/>
      <c r="C972" s="80"/>
      <c r="D972" s="80"/>
      <c r="E972" s="80"/>
      <c r="F972" s="80"/>
      <c r="G972" s="80"/>
      <c r="H972" s="80"/>
      <c r="I972" s="80"/>
      <c r="J972" s="80"/>
      <c r="K972" s="82"/>
      <c r="L972" s="80"/>
      <c r="M972" s="80"/>
      <c r="N972" s="80"/>
      <c r="O972" s="80"/>
      <c r="P972" s="80"/>
      <c r="Q972" s="83"/>
      <c r="R972" s="80"/>
      <c r="S972" s="80"/>
      <c r="T972" s="80"/>
      <c r="U972" s="80"/>
      <c r="V972" s="84"/>
      <c r="W972" s="80"/>
      <c r="X972" s="85"/>
      <c r="Y972" s="86"/>
      <c r="Z972" s="86"/>
      <c r="AA972" s="86"/>
      <c r="AB972" s="86"/>
      <c r="AC972" s="86"/>
      <c r="AD972" s="86"/>
      <c r="AE972" s="86"/>
      <c r="AF972" s="86"/>
      <c r="AG972" s="86"/>
      <c r="AH972" s="82"/>
    </row>
    <row r="973">
      <c r="A973" s="78"/>
      <c r="B973" s="79"/>
      <c r="C973" s="80"/>
      <c r="D973" s="80"/>
      <c r="E973" s="80"/>
      <c r="F973" s="80"/>
      <c r="G973" s="80"/>
      <c r="H973" s="80"/>
      <c r="I973" s="80"/>
      <c r="J973" s="80"/>
      <c r="K973" s="82"/>
      <c r="L973" s="80"/>
      <c r="M973" s="80"/>
      <c r="N973" s="80"/>
      <c r="O973" s="80"/>
      <c r="P973" s="80"/>
      <c r="Q973" s="83"/>
      <c r="R973" s="80"/>
      <c r="S973" s="80"/>
      <c r="T973" s="80"/>
      <c r="U973" s="80"/>
      <c r="V973" s="84"/>
      <c r="W973" s="80"/>
      <c r="X973" s="85"/>
      <c r="Y973" s="86"/>
      <c r="Z973" s="86"/>
      <c r="AA973" s="86"/>
      <c r="AB973" s="86"/>
      <c r="AC973" s="86"/>
      <c r="AD973" s="86"/>
      <c r="AE973" s="86"/>
      <c r="AF973" s="86"/>
      <c r="AG973" s="86"/>
      <c r="AH973" s="82"/>
    </row>
    <row r="974">
      <c r="A974" s="78"/>
      <c r="B974" s="79"/>
      <c r="C974" s="80"/>
      <c r="D974" s="80"/>
      <c r="E974" s="80"/>
      <c r="F974" s="80"/>
      <c r="G974" s="80"/>
      <c r="H974" s="80"/>
      <c r="I974" s="80"/>
      <c r="J974" s="80"/>
      <c r="K974" s="82"/>
      <c r="L974" s="80"/>
      <c r="M974" s="80"/>
      <c r="N974" s="80"/>
      <c r="O974" s="80"/>
      <c r="P974" s="80"/>
      <c r="Q974" s="83"/>
      <c r="R974" s="80"/>
      <c r="S974" s="80"/>
      <c r="T974" s="80"/>
      <c r="U974" s="80"/>
      <c r="V974" s="84"/>
      <c r="W974" s="80"/>
      <c r="X974" s="85"/>
      <c r="Y974" s="86"/>
      <c r="Z974" s="86"/>
      <c r="AA974" s="86"/>
      <c r="AB974" s="86"/>
      <c r="AC974" s="86"/>
      <c r="AD974" s="86"/>
      <c r="AE974" s="86"/>
      <c r="AF974" s="86"/>
      <c r="AG974" s="86"/>
      <c r="AH974" s="82"/>
    </row>
    <row r="975">
      <c r="A975" s="78"/>
      <c r="B975" s="79"/>
      <c r="C975" s="80"/>
      <c r="D975" s="80"/>
      <c r="E975" s="80"/>
      <c r="F975" s="80"/>
      <c r="G975" s="80"/>
      <c r="H975" s="80"/>
      <c r="I975" s="80"/>
      <c r="J975" s="80"/>
      <c r="K975" s="82"/>
      <c r="L975" s="80"/>
      <c r="M975" s="80"/>
      <c r="N975" s="80"/>
      <c r="O975" s="80"/>
      <c r="P975" s="80"/>
      <c r="Q975" s="83"/>
      <c r="R975" s="80"/>
      <c r="S975" s="80"/>
      <c r="T975" s="80"/>
      <c r="U975" s="80"/>
      <c r="V975" s="84"/>
      <c r="W975" s="80"/>
      <c r="X975" s="85"/>
      <c r="Y975" s="86"/>
      <c r="Z975" s="86"/>
      <c r="AA975" s="86"/>
      <c r="AB975" s="86"/>
      <c r="AC975" s="86"/>
      <c r="AD975" s="86"/>
      <c r="AE975" s="86"/>
      <c r="AF975" s="86"/>
      <c r="AG975" s="86"/>
      <c r="AH975" s="82"/>
    </row>
    <row r="976">
      <c r="A976" s="78"/>
      <c r="B976" s="79"/>
      <c r="C976" s="80"/>
      <c r="D976" s="80"/>
      <c r="E976" s="80"/>
      <c r="F976" s="80"/>
      <c r="G976" s="80"/>
      <c r="H976" s="80"/>
      <c r="I976" s="80"/>
      <c r="J976" s="80"/>
      <c r="K976" s="82"/>
      <c r="L976" s="80"/>
      <c r="M976" s="80"/>
      <c r="N976" s="80"/>
      <c r="O976" s="80"/>
      <c r="P976" s="80"/>
      <c r="Q976" s="83"/>
      <c r="R976" s="80"/>
      <c r="S976" s="80"/>
      <c r="T976" s="80"/>
      <c r="U976" s="80"/>
      <c r="V976" s="84"/>
      <c r="W976" s="80"/>
      <c r="X976" s="85"/>
      <c r="Y976" s="86"/>
      <c r="Z976" s="86"/>
      <c r="AA976" s="86"/>
      <c r="AB976" s="86"/>
      <c r="AC976" s="86"/>
      <c r="AD976" s="86"/>
      <c r="AE976" s="86"/>
      <c r="AF976" s="86"/>
      <c r="AG976" s="86"/>
      <c r="AH976" s="82"/>
    </row>
    <row r="977">
      <c r="A977" s="78"/>
      <c r="B977" s="79"/>
      <c r="C977" s="80"/>
      <c r="D977" s="80"/>
      <c r="E977" s="80"/>
      <c r="F977" s="80"/>
      <c r="G977" s="80"/>
      <c r="H977" s="80"/>
      <c r="I977" s="80"/>
      <c r="J977" s="80"/>
      <c r="K977" s="82"/>
      <c r="L977" s="80"/>
      <c r="M977" s="80"/>
      <c r="N977" s="80"/>
      <c r="O977" s="80"/>
      <c r="P977" s="80"/>
      <c r="Q977" s="83"/>
      <c r="R977" s="80"/>
      <c r="S977" s="80"/>
      <c r="T977" s="80"/>
      <c r="U977" s="80"/>
      <c r="V977" s="84"/>
      <c r="W977" s="80"/>
      <c r="X977" s="85"/>
      <c r="Y977" s="86"/>
      <c r="Z977" s="86"/>
      <c r="AA977" s="86"/>
      <c r="AB977" s="86"/>
      <c r="AC977" s="86"/>
      <c r="AD977" s="86"/>
      <c r="AE977" s="86"/>
      <c r="AF977" s="86"/>
      <c r="AG977" s="86"/>
      <c r="AH977" s="82"/>
    </row>
    <row r="978">
      <c r="A978" s="78"/>
      <c r="B978" s="79"/>
      <c r="C978" s="80"/>
      <c r="D978" s="80"/>
      <c r="E978" s="80"/>
      <c r="F978" s="80"/>
      <c r="G978" s="80"/>
      <c r="H978" s="80"/>
      <c r="I978" s="80"/>
      <c r="J978" s="80"/>
      <c r="K978" s="82"/>
      <c r="L978" s="80"/>
      <c r="M978" s="80"/>
      <c r="N978" s="80"/>
      <c r="O978" s="80"/>
      <c r="P978" s="80"/>
      <c r="Q978" s="83"/>
      <c r="R978" s="80"/>
      <c r="S978" s="80"/>
      <c r="T978" s="80"/>
      <c r="U978" s="80"/>
      <c r="V978" s="84"/>
      <c r="W978" s="80"/>
      <c r="X978" s="85"/>
      <c r="Y978" s="86"/>
      <c r="Z978" s="86"/>
      <c r="AA978" s="86"/>
      <c r="AB978" s="86"/>
      <c r="AC978" s="86"/>
      <c r="AD978" s="86"/>
      <c r="AE978" s="86"/>
      <c r="AF978" s="86"/>
      <c r="AG978" s="86"/>
      <c r="AH978" s="82"/>
    </row>
    <row r="979">
      <c r="A979" s="78"/>
      <c r="B979" s="79"/>
      <c r="C979" s="80"/>
      <c r="D979" s="80"/>
      <c r="E979" s="80"/>
      <c r="F979" s="80"/>
      <c r="G979" s="80"/>
      <c r="H979" s="80"/>
      <c r="I979" s="80"/>
      <c r="J979" s="80"/>
      <c r="K979" s="82"/>
      <c r="L979" s="80"/>
      <c r="M979" s="80"/>
      <c r="N979" s="80"/>
      <c r="O979" s="80"/>
      <c r="P979" s="80"/>
      <c r="Q979" s="83"/>
      <c r="R979" s="80"/>
      <c r="S979" s="80"/>
      <c r="T979" s="80"/>
      <c r="U979" s="80"/>
      <c r="V979" s="84"/>
      <c r="W979" s="80"/>
      <c r="X979" s="85"/>
      <c r="Y979" s="86"/>
      <c r="Z979" s="86"/>
      <c r="AA979" s="86"/>
      <c r="AB979" s="86"/>
      <c r="AC979" s="86"/>
      <c r="AD979" s="86"/>
      <c r="AE979" s="86"/>
      <c r="AF979" s="86"/>
      <c r="AG979" s="86"/>
      <c r="AH979" s="82"/>
    </row>
    <row r="980">
      <c r="A980" s="78"/>
      <c r="B980" s="79"/>
      <c r="C980" s="80"/>
      <c r="D980" s="80"/>
      <c r="E980" s="80"/>
      <c r="F980" s="80"/>
      <c r="G980" s="80"/>
      <c r="H980" s="80"/>
      <c r="I980" s="80"/>
      <c r="J980" s="80"/>
      <c r="K980" s="82"/>
      <c r="L980" s="80"/>
      <c r="M980" s="80"/>
      <c r="N980" s="80"/>
      <c r="O980" s="80"/>
      <c r="P980" s="80"/>
      <c r="Q980" s="83"/>
      <c r="R980" s="80"/>
      <c r="S980" s="80"/>
      <c r="T980" s="80"/>
      <c r="U980" s="80"/>
      <c r="V980" s="84"/>
      <c r="W980" s="80"/>
      <c r="X980" s="85"/>
      <c r="Y980" s="86"/>
      <c r="Z980" s="86"/>
      <c r="AA980" s="86"/>
      <c r="AB980" s="86"/>
      <c r="AC980" s="86"/>
      <c r="AD980" s="86"/>
      <c r="AE980" s="86"/>
      <c r="AF980" s="86"/>
      <c r="AG980" s="86"/>
      <c r="AH980" s="82"/>
    </row>
    <row r="981">
      <c r="A981" s="78"/>
      <c r="B981" s="79"/>
      <c r="C981" s="80"/>
      <c r="D981" s="80"/>
      <c r="E981" s="80"/>
      <c r="F981" s="80"/>
      <c r="G981" s="80"/>
      <c r="H981" s="80"/>
      <c r="I981" s="80"/>
      <c r="J981" s="80"/>
      <c r="K981" s="82"/>
      <c r="L981" s="80"/>
      <c r="M981" s="80"/>
      <c r="N981" s="80"/>
      <c r="O981" s="80"/>
      <c r="P981" s="80"/>
      <c r="Q981" s="83"/>
      <c r="R981" s="80"/>
      <c r="S981" s="80"/>
      <c r="T981" s="80"/>
      <c r="U981" s="80"/>
      <c r="V981" s="84"/>
      <c r="W981" s="80"/>
      <c r="X981" s="85"/>
      <c r="Y981" s="86"/>
      <c r="Z981" s="86"/>
      <c r="AA981" s="86"/>
      <c r="AB981" s="86"/>
      <c r="AC981" s="86"/>
      <c r="AD981" s="86"/>
      <c r="AE981" s="86"/>
      <c r="AF981" s="86"/>
      <c r="AG981" s="86"/>
      <c r="AH981" s="82"/>
    </row>
    <row r="982">
      <c r="A982" s="78"/>
      <c r="B982" s="79"/>
      <c r="C982" s="80"/>
      <c r="D982" s="80"/>
      <c r="E982" s="80"/>
      <c r="F982" s="80"/>
      <c r="G982" s="80"/>
      <c r="H982" s="80"/>
      <c r="I982" s="80"/>
      <c r="J982" s="80"/>
      <c r="K982" s="82"/>
      <c r="L982" s="80"/>
      <c r="M982" s="80"/>
      <c r="N982" s="80"/>
      <c r="O982" s="80"/>
      <c r="P982" s="80"/>
      <c r="Q982" s="83"/>
      <c r="R982" s="80"/>
      <c r="S982" s="80"/>
      <c r="T982" s="80"/>
      <c r="U982" s="80"/>
      <c r="V982" s="84"/>
      <c r="W982" s="80"/>
      <c r="X982" s="85"/>
      <c r="Y982" s="86"/>
      <c r="Z982" s="86"/>
      <c r="AA982" s="86"/>
      <c r="AB982" s="86"/>
      <c r="AC982" s="86"/>
      <c r="AD982" s="86"/>
      <c r="AE982" s="86"/>
      <c r="AF982" s="86"/>
      <c r="AG982" s="86"/>
      <c r="AH982" s="82"/>
    </row>
    <row r="983">
      <c r="A983" s="78"/>
      <c r="B983" s="79"/>
      <c r="C983" s="80"/>
      <c r="D983" s="80"/>
      <c r="E983" s="80"/>
      <c r="F983" s="80"/>
      <c r="G983" s="80"/>
      <c r="H983" s="80"/>
      <c r="I983" s="80"/>
      <c r="J983" s="80"/>
      <c r="K983" s="82"/>
      <c r="L983" s="80"/>
      <c r="M983" s="80"/>
      <c r="N983" s="80"/>
      <c r="O983" s="80"/>
      <c r="P983" s="80"/>
      <c r="Q983" s="83"/>
      <c r="R983" s="80"/>
      <c r="S983" s="80"/>
      <c r="T983" s="80"/>
      <c r="U983" s="80"/>
      <c r="V983" s="84"/>
      <c r="W983" s="80"/>
      <c r="X983" s="85"/>
      <c r="Y983" s="86"/>
      <c r="Z983" s="86"/>
      <c r="AA983" s="86"/>
      <c r="AB983" s="86"/>
      <c r="AC983" s="86"/>
      <c r="AD983" s="86"/>
      <c r="AE983" s="86"/>
      <c r="AF983" s="86"/>
      <c r="AG983" s="86"/>
      <c r="AH983" s="82"/>
    </row>
    <row r="984">
      <c r="A984" s="78"/>
      <c r="B984" s="79"/>
      <c r="C984" s="80"/>
      <c r="D984" s="80"/>
      <c r="E984" s="80"/>
      <c r="F984" s="80"/>
      <c r="G984" s="80"/>
      <c r="H984" s="80"/>
      <c r="I984" s="80"/>
      <c r="J984" s="80"/>
      <c r="K984" s="82"/>
      <c r="L984" s="80"/>
      <c r="M984" s="80"/>
      <c r="N984" s="80"/>
      <c r="O984" s="80"/>
      <c r="P984" s="80"/>
      <c r="Q984" s="83"/>
      <c r="R984" s="80"/>
      <c r="S984" s="80"/>
      <c r="T984" s="80"/>
      <c r="U984" s="80"/>
      <c r="V984" s="84"/>
      <c r="W984" s="80"/>
      <c r="X984" s="85"/>
      <c r="Y984" s="86"/>
      <c r="Z984" s="86"/>
      <c r="AA984" s="86"/>
      <c r="AB984" s="86"/>
      <c r="AC984" s="86"/>
      <c r="AD984" s="86"/>
      <c r="AE984" s="86"/>
      <c r="AF984" s="86"/>
      <c r="AG984" s="86"/>
      <c r="AH984" s="82"/>
    </row>
    <row r="985">
      <c r="A985" s="78"/>
      <c r="B985" s="79"/>
      <c r="C985" s="80"/>
      <c r="D985" s="80"/>
      <c r="E985" s="80"/>
      <c r="F985" s="80"/>
      <c r="G985" s="80"/>
      <c r="H985" s="80"/>
      <c r="I985" s="80"/>
      <c r="J985" s="80"/>
      <c r="K985" s="82"/>
      <c r="L985" s="80"/>
      <c r="M985" s="80"/>
      <c r="N985" s="80"/>
      <c r="O985" s="80"/>
      <c r="P985" s="80"/>
      <c r="Q985" s="83"/>
      <c r="R985" s="80"/>
      <c r="S985" s="80"/>
      <c r="T985" s="80"/>
      <c r="U985" s="80"/>
      <c r="V985" s="84"/>
      <c r="W985" s="80"/>
      <c r="X985" s="85"/>
      <c r="Y985" s="86"/>
      <c r="Z985" s="86"/>
      <c r="AA985" s="86"/>
      <c r="AB985" s="86"/>
      <c r="AC985" s="86"/>
      <c r="AD985" s="86"/>
      <c r="AE985" s="86"/>
      <c r="AF985" s="86"/>
      <c r="AG985" s="86"/>
      <c r="AH985" s="82"/>
    </row>
    <row r="986">
      <c r="A986" s="78"/>
      <c r="B986" s="79"/>
      <c r="C986" s="80"/>
      <c r="D986" s="80"/>
      <c r="E986" s="80"/>
      <c r="F986" s="80"/>
      <c r="G986" s="80"/>
      <c r="H986" s="80"/>
      <c r="I986" s="80"/>
      <c r="J986" s="80"/>
      <c r="K986" s="82"/>
      <c r="L986" s="80"/>
      <c r="M986" s="80"/>
      <c r="N986" s="80"/>
      <c r="O986" s="80"/>
      <c r="P986" s="80"/>
      <c r="Q986" s="83"/>
      <c r="R986" s="80"/>
      <c r="S986" s="80"/>
      <c r="T986" s="80"/>
      <c r="U986" s="80"/>
      <c r="V986" s="84"/>
      <c r="W986" s="80"/>
      <c r="X986" s="85"/>
      <c r="Y986" s="86"/>
      <c r="Z986" s="86"/>
      <c r="AA986" s="86"/>
      <c r="AB986" s="86"/>
      <c r="AC986" s="86"/>
      <c r="AD986" s="86"/>
      <c r="AE986" s="86"/>
      <c r="AF986" s="86"/>
      <c r="AG986" s="86"/>
      <c r="AH986" s="82"/>
    </row>
    <row r="987">
      <c r="A987" s="78"/>
      <c r="B987" s="79"/>
      <c r="C987" s="80"/>
      <c r="D987" s="80"/>
      <c r="E987" s="80"/>
      <c r="F987" s="80"/>
      <c r="G987" s="80"/>
      <c r="H987" s="80"/>
      <c r="I987" s="80"/>
      <c r="J987" s="80"/>
      <c r="K987" s="82"/>
      <c r="L987" s="80"/>
      <c r="M987" s="80"/>
      <c r="N987" s="80"/>
      <c r="O987" s="80"/>
      <c r="P987" s="80"/>
      <c r="Q987" s="83"/>
      <c r="R987" s="80"/>
      <c r="S987" s="80"/>
      <c r="T987" s="80"/>
      <c r="U987" s="80"/>
      <c r="V987" s="84"/>
      <c r="W987" s="80"/>
      <c r="X987" s="85"/>
      <c r="Y987" s="86"/>
      <c r="Z987" s="86"/>
      <c r="AA987" s="86"/>
      <c r="AB987" s="86"/>
      <c r="AC987" s="86"/>
      <c r="AD987" s="86"/>
      <c r="AE987" s="86"/>
      <c r="AF987" s="86"/>
      <c r="AG987" s="86"/>
      <c r="AH987" s="82"/>
    </row>
    <row r="988">
      <c r="A988" s="78"/>
      <c r="B988" s="79"/>
      <c r="C988" s="80"/>
      <c r="D988" s="80"/>
      <c r="E988" s="80"/>
      <c r="F988" s="80"/>
      <c r="G988" s="80"/>
      <c r="H988" s="80"/>
      <c r="I988" s="80"/>
      <c r="J988" s="80"/>
      <c r="K988" s="82"/>
      <c r="L988" s="80"/>
      <c r="M988" s="80"/>
      <c r="N988" s="80"/>
      <c r="O988" s="80"/>
      <c r="P988" s="80"/>
      <c r="Q988" s="83"/>
      <c r="R988" s="80"/>
      <c r="S988" s="80"/>
      <c r="T988" s="80"/>
      <c r="U988" s="80"/>
      <c r="V988" s="84"/>
      <c r="W988" s="80"/>
      <c r="X988" s="85"/>
      <c r="Y988" s="86"/>
      <c r="Z988" s="86"/>
      <c r="AA988" s="86"/>
      <c r="AB988" s="86"/>
      <c r="AC988" s="86"/>
      <c r="AD988" s="86"/>
      <c r="AE988" s="86"/>
      <c r="AF988" s="86"/>
      <c r="AG988" s="86"/>
      <c r="AH988" s="82"/>
    </row>
    <row r="989">
      <c r="A989" s="78"/>
      <c r="B989" s="79"/>
      <c r="C989" s="80"/>
      <c r="D989" s="80"/>
      <c r="E989" s="80"/>
      <c r="F989" s="80"/>
      <c r="G989" s="80"/>
      <c r="H989" s="80"/>
      <c r="I989" s="80"/>
      <c r="J989" s="80"/>
      <c r="K989" s="82"/>
      <c r="L989" s="80"/>
      <c r="M989" s="80"/>
      <c r="N989" s="80"/>
      <c r="O989" s="80"/>
      <c r="P989" s="80"/>
      <c r="Q989" s="83"/>
      <c r="R989" s="80"/>
      <c r="S989" s="80"/>
      <c r="T989" s="80"/>
      <c r="U989" s="80"/>
      <c r="V989" s="84"/>
      <c r="W989" s="80"/>
      <c r="X989" s="85"/>
      <c r="Y989" s="86"/>
      <c r="Z989" s="86"/>
      <c r="AA989" s="86"/>
      <c r="AB989" s="86"/>
      <c r="AC989" s="86"/>
      <c r="AD989" s="86"/>
      <c r="AE989" s="86"/>
      <c r="AF989" s="86"/>
      <c r="AG989" s="86"/>
      <c r="AH989" s="82"/>
    </row>
    <row r="990">
      <c r="A990" s="78"/>
      <c r="B990" s="79"/>
      <c r="C990" s="80"/>
      <c r="D990" s="80"/>
      <c r="E990" s="80"/>
      <c r="F990" s="80"/>
      <c r="G990" s="80"/>
      <c r="H990" s="80"/>
      <c r="I990" s="80"/>
      <c r="J990" s="80"/>
      <c r="K990" s="82"/>
      <c r="L990" s="80"/>
      <c r="M990" s="80"/>
      <c r="N990" s="80"/>
      <c r="O990" s="80"/>
      <c r="P990" s="80"/>
      <c r="Q990" s="83"/>
      <c r="R990" s="80"/>
      <c r="S990" s="80"/>
      <c r="T990" s="80"/>
      <c r="U990" s="80"/>
      <c r="V990" s="84"/>
      <c r="W990" s="80"/>
      <c r="X990" s="85"/>
      <c r="Y990" s="86"/>
      <c r="Z990" s="86"/>
      <c r="AA990" s="86"/>
      <c r="AB990" s="86"/>
      <c r="AC990" s="86"/>
      <c r="AD990" s="86"/>
      <c r="AE990" s="86"/>
      <c r="AF990" s="86"/>
      <c r="AG990" s="86"/>
      <c r="AH990" s="82"/>
    </row>
    <row r="991">
      <c r="A991" s="78"/>
      <c r="B991" s="79"/>
      <c r="C991" s="80"/>
      <c r="D991" s="80"/>
      <c r="E991" s="80"/>
      <c r="F991" s="80"/>
      <c r="G991" s="80"/>
      <c r="H991" s="80"/>
      <c r="I991" s="80"/>
      <c r="J991" s="80"/>
      <c r="K991" s="82"/>
      <c r="L991" s="80"/>
      <c r="M991" s="80"/>
      <c r="N991" s="80"/>
      <c r="O991" s="80"/>
      <c r="P991" s="80"/>
      <c r="Q991" s="83"/>
      <c r="R991" s="80"/>
      <c r="S991" s="80"/>
      <c r="T991" s="80"/>
      <c r="U991" s="80"/>
      <c r="V991" s="84"/>
      <c r="W991" s="80"/>
      <c r="X991" s="85"/>
      <c r="Y991" s="86"/>
      <c r="Z991" s="86"/>
      <c r="AA991" s="86"/>
      <c r="AB991" s="86"/>
      <c r="AC991" s="86"/>
      <c r="AD991" s="86"/>
      <c r="AE991" s="86"/>
      <c r="AF991" s="86"/>
      <c r="AG991" s="86"/>
      <c r="AH991" s="82"/>
    </row>
    <row r="992">
      <c r="A992" s="78"/>
      <c r="B992" s="79"/>
      <c r="C992" s="80"/>
      <c r="D992" s="80"/>
      <c r="E992" s="80"/>
      <c r="F992" s="80"/>
      <c r="G992" s="80"/>
      <c r="H992" s="80"/>
      <c r="I992" s="80"/>
      <c r="J992" s="80"/>
      <c r="K992" s="82"/>
      <c r="L992" s="80"/>
      <c r="M992" s="80"/>
      <c r="N992" s="80"/>
      <c r="O992" s="80"/>
      <c r="P992" s="80"/>
      <c r="Q992" s="83"/>
      <c r="R992" s="80"/>
      <c r="S992" s="80"/>
      <c r="T992" s="80"/>
      <c r="U992" s="80"/>
      <c r="V992" s="84"/>
      <c r="W992" s="80"/>
      <c r="X992" s="85"/>
      <c r="Y992" s="86"/>
      <c r="Z992" s="86"/>
      <c r="AA992" s="86"/>
      <c r="AB992" s="86"/>
      <c r="AC992" s="86"/>
      <c r="AD992" s="86"/>
      <c r="AE992" s="86"/>
      <c r="AF992" s="86"/>
      <c r="AG992" s="86"/>
      <c r="AH992" s="82"/>
    </row>
    <row r="993">
      <c r="A993" s="78"/>
      <c r="B993" s="79"/>
      <c r="C993" s="80"/>
      <c r="D993" s="80"/>
      <c r="E993" s="80"/>
      <c r="F993" s="80"/>
      <c r="G993" s="80"/>
      <c r="H993" s="80"/>
      <c r="I993" s="80"/>
      <c r="J993" s="80"/>
      <c r="K993" s="82"/>
      <c r="L993" s="80"/>
      <c r="M993" s="80"/>
      <c r="N993" s="80"/>
      <c r="O993" s="80"/>
      <c r="P993" s="80"/>
      <c r="Q993" s="83"/>
      <c r="R993" s="80"/>
      <c r="S993" s="80"/>
      <c r="T993" s="80"/>
      <c r="U993" s="80"/>
      <c r="V993" s="84"/>
      <c r="W993" s="80"/>
      <c r="X993" s="85"/>
      <c r="Y993" s="86"/>
      <c r="Z993" s="86"/>
      <c r="AA993" s="86"/>
      <c r="AB993" s="86"/>
      <c r="AC993" s="86"/>
      <c r="AD993" s="86"/>
      <c r="AE993" s="86"/>
      <c r="AF993" s="86"/>
      <c r="AG993" s="86"/>
      <c r="AH993" s="82"/>
    </row>
    <row r="994">
      <c r="A994" s="78"/>
      <c r="B994" s="79"/>
      <c r="C994" s="80"/>
      <c r="D994" s="80"/>
      <c r="E994" s="80"/>
      <c r="F994" s="80"/>
      <c r="G994" s="80"/>
      <c r="H994" s="80"/>
      <c r="I994" s="80"/>
      <c r="J994" s="80"/>
      <c r="K994" s="82"/>
      <c r="L994" s="80"/>
      <c r="M994" s="80"/>
      <c r="N994" s="80"/>
      <c r="O994" s="80"/>
      <c r="P994" s="80"/>
      <c r="Q994" s="83"/>
      <c r="R994" s="80"/>
      <c r="S994" s="80"/>
      <c r="T994" s="80"/>
      <c r="U994" s="80"/>
      <c r="V994" s="84"/>
      <c r="W994" s="80"/>
      <c r="X994" s="85"/>
      <c r="Y994" s="86"/>
      <c r="Z994" s="86"/>
      <c r="AA994" s="86"/>
      <c r="AB994" s="86"/>
      <c r="AC994" s="86"/>
      <c r="AD994" s="86"/>
      <c r="AE994" s="86"/>
      <c r="AF994" s="86"/>
      <c r="AG994" s="86"/>
      <c r="AH994" s="82"/>
    </row>
    <row r="995">
      <c r="A995" s="78"/>
      <c r="B995" s="79"/>
      <c r="C995" s="80"/>
      <c r="D995" s="80"/>
      <c r="E995" s="80"/>
      <c r="F995" s="80"/>
      <c r="G995" s="80"/>
      <c r="H995" s="80"/>
      <c r="I995" s="80"/>
      <c r="J995" s="80"/>
      <c r="K995" s="82"/>
      <c r="L995" s="80"/>
      <c r="M995" s="80"/>
      <c r="N995" s="80"/>
      <c r="O995" s="80"/>
      <c r="P995" s="80"/>
      <c r="Q995" s="83"/>
      <c r="R995" s="80"/>
      <c r="S995" s="80"/>
      <c r="T995" s="80"/>
      <c r="U995" s="80"/>
      <c r="V995" s="84"/>
      <c r="W995" s="80"/>
      <c r="X995" s="85"/>
      <c r="Y995" s="86"/>
      <c r="Z995" s="86"/>
      <c r="AA995" s="86"/>
      <c r="AB995" s="86"/>
      <c r="AC995" s="86"/>
      <c r="AD995" s="86"/>
      <c r="AE995" s="86"/>
      <c r="AF995" s="86"/>
      <c r="AG995" s="86"/>
      <c r="AH995" s="82"/>
    </row>
    <row r="996">
      <c r="A996" s="78"/>
      <c r="B996" s="79"/>
      <c r="C996" s="80"/>
      <c r="D996" s="80"/>
      <c r="E996" s="80"/>
      <c r="F996" s="80"/>
      <c r="G996" s="80"/>
      <c r="H996" s="80"/>
      <c r="I996" s="80"/>
      <c r="J996" s="80"/>
      <c r="K996" s="82"/>
      <c r="L996" s="80"/>
      <c r="M996" s="80"/>
      <c r="N996" s="80"/>
      <c r="O996" s="80"/>
      <c r="P996" s="80"/>
      <c r="Q996" s="83"/>
      <c r="R996" s="80"/>
      <c r="S996" s="80"/>
      <c r="T996" s="80"/>
      <c r="U996" s="80"/>
      <c r="V996" s="84"/>
      <c r="W996" s="80"/>
      <c r="X996" s="85"/>
      <c r="Y996" s="86"/>
      <c r="Z996" s="86"/>
      <c r="AA996" s="86"/>
      <c r="AB996" s="86"/>
      <c r="AC996" s="86"/>
      <c r="AD996" s="86"/>
      <c r="AE996" s="86"/>
      <c r="AF996" s="86"/>
      <c r="AG996" s="86"/>
      <c r="AH996" s="82"/>
    </row>
    <row r="997">
      <c r="A997" s="78"/>
      <c r="B997" s="79"/>
      <c r="C997" s="80"/>
      <c r="D997" s="80"/>
      <c r="E997" s="80"/>
      <c r="F997" s="80"/>
      <c r="G997" s="80"/>
      <c r="H997" s="80"/>
      <c r="I997" s="80"/>
      <c r="J997" s="80"/>
      <c r="K997" s="82"/>
      <c r="L997" s="80"/>
      <c r="M997" s="80"/>
      <c r="N997" s="80"/>
      <c r="O997" s="80"/>
      <c r="P997" s="80"/>
      <c r="Q997" s="83"/>
      <c r="R997" s="80"/>
      <c r="S997" s="80"/>
      <c r="T997" s="80"/>
      <c r="U997" s="80"/>
      <c r="V997" s="84"/>
      <c r="W997" s="80"/>
      <c r="X997" s="85"/>
      <c r="Y997" s="86"/>
      <c r="Z997" s="86"/>
      <c r="AA997" s="86"/>
      <c r="AB997" s="86"/>
      <c r="AC997" s="86"/>
      <c r="AD997" s="86"/>
      <c r="AE997" s="86"/>
      <c r="AF997" s="86"/>
      <c r="AG997" s="86"/>
      <c r="AH997" s="82"/>
    </row>
    <row r="998">
      <c r="A998" s="78"/>
      <c r="B998" s="79"/>
      <c r="C998" s="80"/>
      <c r="D998" s="80"/>
      <c r="E998" s="80"/>
      <c r="F998" s="80"/>
      <c r="G998" s="80"/>
      <c r="H998" s="80"/>
      <c r="I998" s="80"/>
      <c r="J998" s="80"/>
      <c r="K998" s="82"/>
      <c r="L998" s="80"/>
      <c r="M998" s="80"/>
      <c r="N998" s="80"/>
      <c r="O998" s="80"/>
      <c r="P998" s="80"/>
      <c r="Q998" s="83"/>
      <c r="R998" s="80"/>
      <c r="S998" s="80"/>
      <c r="T998" s="80"/>
      <c r="U998" s="80"/>
      <c r="V998" s="84"/>
      <c r="W998" s="80"/>
      <c r="X998" s="85"/>
      <c r="Y998" s="86"/>
      <c r="Z998" s="86"/>
      <c r="AA998" s="86"/>
      <c r="AB998" s="86"/>
      <c r="AC998" s="86"/>
      <c r="AD998" s="86"/>
      <c r="AE998" s="86"/>
      <c r="AF998" s="86"/>
      <c r="AG998" s="86"/>
      <c r="AH998" s="82"/>
    </row>
    <row r="999">
      <c r="A999" s="78"/>
      <c r="B999" s="79"/>
      <c r="C999" s="80"/>
      <c r="D999" s="80"/>
      <c r="E999" s="80"/>
      <c r="F999" s="80"/>
      <c r="G999" s="80"/>
      <c r="H999" s="80"/>
      <c r="I999" s="80"/>
      <c r="J999" s="80"/>
      <c r="K999" s="82"/>
      <c r="L999" s="80"/>
      <c r="M999" s="80"/>
      <c r="N999" s="80"/>
      <c r="O999" s="80"/>
      <c r="P999" s="80"/>
      <c r="Q999" s="83"/>
      <c r="R999" s="80"/>
      <c r="S999" s="80"/>
      <c r="T999" s="80"/>
      <c r="U999" s="80"/>
      <c r="V999" s="84"/>
      <c r="W999" s="80"/>
      <c r="X999" s="85"/>
      <c r="Y999" s="86"/>
      <c r="Z999" s="86"/>
      <c r="AA999" s="86"/>
      <c r="AB999" s="86"/>
      <c r="AC999" s="86"/>
      <c r="AD999" s="86"/>
      <c r="AE999" s="86"/>
      <c r="AF999" s="86"/>
      <c r="AG999" s="86"/>
      <c r="AH999" s="82"/>
    </row>
    <row r="1000">
      <c r="A1000" s="78"/>
      <c r="B1000" s="79"/>
      <c r="C1000" s="80"/>
      <c r="D1000" s="80"/>
      <c r="E1000" s="80"/>
      <c r="F1000" s="80"/>
      <c r="G1000" s="80"/>
      <c r="H1000" s="80"/>
      <c r="I1000" s="80"/>
      <c r="J1000" s="80"/>
      <c r="K1000" s="82"/>
      <c r="L1000" s="80"/>
      <c r="M1000" s="80"/>
      <c r="N1000" s="80"/>
      <c r="O1000" s="80"/>
      <c r="P1000" s="80"/>
      <c r="Q1000" s="83"/>
      <c r="R1000" s="80"/>
      <c r="S1000" s="80"/>
      <c r="T1000" s="80"/>
      <c r="U1000" s="80"/>
      <c r="V1000" s="84"/>
      <c r="W1000" s="80"/>
      <c r="X1000" s="85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2"/>
    </row>
    <row r="1001">
      <c r="A1001" s="78"/>
      <c r="B1001" s="79"/>
      <c r="C1001" s="80"/>
      <c r="D1001" s="80"/>
      <c r="E1001" s="80"/>
      <c r="F1001" s="80"/>
      <c r="G1001" s="80"/>
      <c r="H1001" s="80"/>
      <c r="I1001" s="80"/>
      <c r="J1001" s="80"/>
      <c r="K1001" s="82"/>
      <c r="L1001" s="80"/>
      <c r="M1001" s="80"/>
      <c r="N1001" s="80"/>
      <c r="O1001" s="80"/>
      <c r="P1001" s="80"/>
      <c r="Q1001" s="83"/>
      <c r="R1001" s="80"/>
      <c r="S1001" s="80"/>
      <c r="T1001" s="80"/>
      <c r="U1001" s="80"/>
      <c r="V1001" s="84"/>
      <c r="W1001" s="80"/>
      <c r="X1001" s="85"/>
      <c r="Y1001" s="86"/>
      <c r="Z1001" s="86"/>
      <c r="AA1001" s="86"/>
      <c r="AB1001" s="86"/>
      <c r="AC1001" s="86"/>
      <c r="AD1001" s="86"/>
      <c r="AE1001" s="86"/>
      <c r="AF1001" s="86"/>
      <c r="AG1001" s="86"/>
      <c r="AH1001" s="82"/>
    </row>
    <row r="1002">
      <c r="A1002" s="78"/>
      <c r="B1002" s="79"/>
      <c r="C1002" s="80"/>
      <c r="D1002" s="80"/>
      <c r="E1002" s="80"/>
      <c r="F1002" s="80"/>
      <c r="G1002" s="80"/>
      <c r="H1002" s="80"/>
      <c r="I1002" s="80"/>
      <c r="J1002" s="80"/>
      <c r="K1002" s="82"/>
      <c r="L1002" s="80"/>
      <c r="M1002" s="80"/>
      <c r="N1002" s="80"/>
      <c r="O1002" s="80"/>
      <c r="P1002" s="80"/>
      <c r="Q1002" s="83"/>
      <c r="R1002" s="80"/>
      <c r="S1002" s="80"/>
      <c r="T1002" s="80"/>
      <c r="U1002" s="80"/>
      <c r="V1002" s="84"/>
      <c r="W1002" s="80"/>
      <c r="X1002" s="85"/>
      <c r="Y1002" s="86"/>
      <c r="Z1002" s="86"/>
      <c r="AA1002" s="86"/>
      <c r="AB1002" s="86"/>
      <c r="AC1002" s="86"/>
      <c r="AD1002" s="86"/>
      <c r="AE1002" s="86"/>
      <c r="AF1002" s="86"/>
      <c r="AG1002" s="86"/>
      <c r="AH1002" s="82"/>
    </row>
    <row r="1003">
      <c r="A1003" s="78"/>
      <c r="B1003" s="79"/>
      <c r="C1003" s="80"/>
      <c r="D1003" s="80"/>
      <c r="E1003" s="80"/>
      <c r="F1003" s="80"/>
      <c r="G1003" s="80"/>
      <c r="H1003" s="80"/>
      <c r="I1003" s="80"/>
      <c r="J1003" s="80"/>
      <c r="K1003" s="82"/>
      <c r="L1003" s="80"/>
      <c r="M1003" s="80"/>
      <c r="N1003" s="80"/>
      <c r="O1003" s="80"/>
      <c r="P1003" s="80"/>
      <c r="Q1003" s="83"/>
      <c r="R1003" s="80"/>
      <c r="S1003" s="80"/>
      <c r="T1003" s="80"/>
      <c r="U1003" s="80"/>
      <c r="V1003" s="84"/>
      <c r="W1003" s="80"/>
      <c r="X1003" s="85"/>
      <c r="Y1003" s="86"/>
      <c r="Z1003" s="86"/>
      <c r="AA1003" s="86"/>
      <c r="AB1003" s="86"/>
      <c r="AC1003" s="86"/>
      <c r="AD1003" s="86"/>
      <c r="AE1003" s="86"/>
      <c r="AF1003" s="86"/>
      <c r="AG1003" s="86"/>
      <c r="AH1003" s="82"/>
    </row>
    <row r="1004">
      <c r="A1004" s="78"/>
      <c r="B1004" s="79"/>
      <c r="C1004" s="80"/>
      <c r="D1004" s="80"/>
      <c r="E1004" s="80"/>
      <c r="F1004" s="80"/>
      <c r="G1004" s="80"/>
      <c r="H1004" s="80"/>
      <c r="I1004" s="80"/>
      <c r="J1004" s="80"/>
      <c r="K1004" s="82"/>
      <c r="L1004" s="80"/>
      <c r="M1004" s="80"/>
      <c r="N1004" s="80"/>
      <c r="O1004" s="80"/>
      <c r="P1004" s="80"/>
      <c r="Q1004" s="83"/>
      <c r="R1004" s="80"/>
      <c r="S1004" s="80"/>
      <c r="T1004" s="80"/>
      <c r="U1004" s="80"/>
      <c r="V1004" s="84"/>
      <c r="W1004" s="80"/>
      <c r="X1004" s="85"/>
      <c r="Y1004" s="86"/>
      <c r="Z1004" s="86"/>
      <c r="AA1004" s="86"/>
      <c r="AB1004" s="86"/>
      <c r="AC1004" s="86"/>
      <c r="AD1004" s="86"/>
      <c r="AE1004" s="86"/>
      <c r="AF1004" s="86"/>
      <c r="AG1004" s="86"/>
      <c r="AH1004" s="82"/>
    </row>
    <row r="1005">
      <c r="A1005" s="78"/>
      <c r="B1005" s="79"/>
      <c r="C1005" s="80"/>
      <c r="D1005" s="80"/>
      <c r="E1005" s="80"/>
      <c r="F1005" s="80"/>
      <c r="G1005" s="80"/>
      <c r="H1005" s="80"/>
      <c r="I1005" s="80"/>
      <c r="J1005" s="80"/>
      <c r="K1005" s="82"/>
      <c r="L1005" s="80"/>
      <c r="M1005" s="80"/>
      <c r="N1005" s="80"/>
      <c r="O1005" s="80"/>
      <c r="P1005" s="80"/>
      <c r="Q1005" s="83"/>
      <c r="R1005" s="80"/>
      <c r="S1005" s="80"/>
      <c r="T1005" s="80"/>
      <c r="U1005" s="80"/>
      <c r="V1005" s="84"/>
      <c r="W1005" s="80"/>
      <c r="X1005" s="85"/>
      <c r="Y1005" s="86"/>
      <c r="Z1005" s="86"/>
      <c r="AA1005" s="86"/>
      <c r="AB1005" s="86"/>
      <c r="AC1005" s="86"/>
      <c r="AD1005" s="86"/>
      <c r="AE1005" s="86"/>
      <c r="AF1005" s="86"/>
      <c r="AG1005" s="86"/>
      <c r="AH1005" s="82"/>
    </row>
    <row r="1006">
      <c r="A1006" s="78"/>
      <c r="B1006" s="79"/>
      <c r="C1006" s="80"/>
      <c r="D1006" s="80"/>
      <c r="E1006" s="80"/>
      <c r="F1006" s="80"/>
      <c r="G1006" s="80"/>
      <c r="H1006" s="80"/>
      <c r="I1006" s="80"/>
      <c r="J1006" s="80"/>
      <c r="K1006" s="82"/>
      <c r="L1006" s="80"/>
      <c r="M1006" s="80"/>
      <c r="N1006" s="80"/>
      <c r="O1006" s="80"/>
      <c r="P1006" s="80"/>
      <c r="Q1006" s="83"/>
      <c r="R1006" s="80"/>
      <c r="S1006" s="80"/>
      <c r="T1006" s="80"/>
      <c r="U1006" s="80"/>
      <c r="V1006" s="84"/>
      <c r="W1006" s="80"/>
      <c r="X1006" s="85"/>
      <c r="Y1006" s="86"/>
      <c r="Z1006" s="86"/>
      <c r="AA1006" s="86"/>
      <c r="AB1006" s="86"/>
      <c r="AC1006" s="86"/>
      <c r="AD1006" s="86"/>
      <c r="AE1006" s="86"/>
      <c r="AF1006" s="86"/>
      <c r="AG1006" s="86"/>
      <c r="AH1006" s="82"/>
    </row>
    <row r="1007">
      <c r="A1007" s="78"/>
      <c r="B1007" s="79"/>
      <c r="C1007" s="80"/>
      <c r="D1007" s="80"/>
      <c r="E1007" s="80"/>
      <c r="F1007" s="80"/>
      <c r="G1007" s="80"/>
      <c r="H1007" s="80"/>
      <c r="I1007" s="80"/>
      <c r="J1007" s="80"/>
      <c r="K1007" s="82"/>
      <c r="L1007" s="80"/>
      <c r="M1007" s="80"/>
      <c r="N1007" s="80"/>
      <c r="O1007" s="80"/>
      <c r="P1007" s="80"/>
      <c r="Q1007" s="83"/>
      <c r="R1007" s="80"/>
      <c r="S1007" s="80"/>
      <c r="T1007" s="80"/>
      <c r="U1007" s="80"/>
      <c r="V1007" s="84"/>
      <c r="W1007" s="80"/>
      <c r="X1007" s="85"/>
      <c r="Y1007" s="86"/>
      <c r="Z1007" s="86"/>
      <c r="AA1007" s="86"/>
      <c r="AB1007" s="86"/>
      <c r="AC1007" s="86"/>
      <c r="AD1007" s="86"/>
      <c r="AE1007" s="86"/>
      <c r="AF1007" s="86"/>
      <c r="AG1007" s="86"/>
      <c r="AH1007" s="82"/>
    </row>
    <row r="1008">
      <c r="A1008" s="78"/>
      <c r="B1008" s="79"/>
      <c r="C1008" s="80"/>
      <c r="D1008" s="80"/>
      <c r="E1008" s="80"/>
      <c r="F1008" s="80"/>
      <c r="G1008" s="80"/>
      <c r="H1008" s="80"/>
      <c r="I1008" s="80"/>
      <c r="J1008" s="80"/>
      <c r="K1008" s="82"/>
      <c r="L1008" s="80"/>
      <c r="M1008" s="80"/>
      <c r="N1008" s="80"/>
      <c r="O1008" s="80"/>
      <c r="P1008" s="80"/>
      <c r="Q1008" s="83"/>
      <c r="R1008" s="80"/>
      <c r="S1008" s="80"/>
      <c r="T1008" s="80"/>
      <c r="U1008" s="80"/>
      <c r="V1008" s="84"/>
      <c r="W1008" s="80"/>
      <c r="X1008" s="85"/>
      <c r="Y1008" s="86"/>
      <c r="Z1008" s="86"/>
      <c r="AA1008" s="86"/>
      <c r="AB1008" s="86"/>
      <c r="AC1008" s="86"/>
      <c r="AD1008" s="86"/>
      <c r="AE1008" s="86"/>
      <c r="AF1008" s="86"/>
      <c r="AG1008" s="86"/>
      <c r="AH1008" s="82"/>
    </row>
    <row r="1009">
      <c r="A1009" s="78"/>
      <c r="B1009" s="79"/>
      <c r="C1009" s="80"/>
      <c r="D1009" s="80"/>
      <c r="E1009" s="80"/>
      <c r="F1009" s="80"/>
      <c r="G1009" s="80"/>
      <c r="H1009" s="80"/>
      <c r="I1009" s="80"/>
      <c r="J1009" s="80"/>
      <c r="K1009" s="82"/>
      <c r="L1009" s="80"/>
      <c r="M1009" s="80"/>
      <c r="N1009" s="80"/>
      <c r="O1009" s="80"/>
      <c r="P1009" s="80"/>
      <c r="Q1009" s="83"/>
      <c r="R1009" s="80"/>
      <c r="S1009" s="80"/>
      <c r="T1009" s="80"/>
      <c r="U1009" s="80"/>
      <c r="V1009" s="84"/>
      <c r="W1009" s="80"/>
      <c r="X1009" s="85"/>
      <c r="Y1009" s="86"/>
      <c r="Z1009" s="86"/>
      <c r="AA1009" s="86"/>
      <c r="AB1009" s="86"/>
      <c r="AC1009" s="86"/>
      <c r="AD1009" s="86"/>
      <c r="AE1009" s="86"/>
      <c r="AF1009" s="86"/>
      <c r="AG1009" s="86"/>
      <c r="AH1009" s="82"/>
    </row>
    <row r="1010">
      <c r="A1010" s="78"/>
      <c r="B1010" s="79"/>
      <c r="C1010" s="80"/>
      <c r="D1010" s="80"/>
      <c r="E1010" s="80"/>
      <c r="F1010" s="80"/>
      <c r="G1010" s="80"/>
      <c r="H1010" s="80"/>
      <c r="I1010" s="80"/>
      <c r="J1010" s="80"/>
      <c r="K1010" s="82"/>
      <c r="L1010" s="80"/>
      <c r="M1010" s="80"/>
      <c r="N1010" s="80"/>
      <c r="O1010" s="80"/>
      <c r="P1010" s="80"/>
      <c r="Q1010" s="83"/>
      <c r="R1010" s="80"/>
      <c r="S1010" s="80"/>
      <c r="T1010" s="80"/>
      <c r="U1010" s="80"/>
      <c r="V1010" s="84"/>
      <c r="W1010" s="80"/>
      <c r="X1010" s="85"/>
      <c r="Y1010" s="86"/>
      <c r="Z1010" s="86"/>
      <c r="AA1010" s="86"/>
      <c r="AB1010" s="86"/>
      <c r="AC1010" s="86"/>
      <c r="AD1010" s="86"/>
      <c r="AE1010" s="86"/>
      <c r="AF1010" s="86"/>
      <c r="AG1010" s="86"/>
      <c r="AH1010" s="82"/>
    </row>
  </sheetData>
  <mergeCells count="2">
    <mergeCell ref="D1:E1"/>
    <mergeCell ref="F1:P1"/>
  </mergeCells>
  <dataValidations>
    <dataValidation type="list" allowBlank="1" sqref="I3:I29">
      <formula1>"YES,NO"</formula1>
    </dataValidation>
    <dataValidation type="list" allowBlank="1" sqref="C3:C29">
      <formula1>"Yes,No"</formula1>
    </dataValidation>
    <dataValidation type="list" allowBlank="1" sqref="F3:F29">
      <formula1>"El Paso,Santa Teresa,Sunland Park,Horizon City,Las Cruces"</formula1>
    </dataValidation>
    <dataValidation type="list" allowBlank="1" sqref="P3:P29">
      <formula1>"Mark Morales,Alejandro Morales,Vada,Jesse,Lizeth Lozano,Alan,Angie Utajara,Edgar Barrio ,Personal"</formula1>
    </dataValidation>
    <dataValidation type="list" allowBlank="1" sqref="T3:T29">
      <formula1>"1ST Community,BARRETT,Cadence Lending,CASH,Change Mortgage,CMG,CITI Bank,EMI Funding,Empire Mortgage,RMMC,View Mortgage,Veterans United"</formula1>
    </dataValidation>
    <dataValidation type="list" allowBlank="1" sqref="J3:J29">
      <formula1>"NO,Pending Sale,Presale,Custom,30 Days Out,Late Closing,Early Closing,Pending Builder"</formula1>
    </dataValidation>
    <dataValidation type="custom" allowBlank="1" showDropDown="1" sqref="L3:N29">
      <formula1>OR(NOT(ISERROR(DATEVALUE(L3))), AND(ISNUMBER(L3), LEFT(CELL("format", L3))="D"))</formula1>
    </dataValidation>
    <dataValidation type="list" allowBlank="1" sqref="G3:G29">
      <formula1>"TX,N.M. "</formula1>
    </dataValidation>
    <dataValidation type="list" allowBlank="1" sqref="H3:H29">
      <formula1>"88063,88008,79938,79927,79928,88088,79934,79924,88001"</formula1>
    </dataValidation>
    <dataValidation type="custom" allowBlank="1" showDropDown="1" sqref="B3:B29 K3:K29 X3:AH29">
      <formula1>AND(ISNUMBER(B3),(NOT(OR(NOT(ISERROR(DATEVALUE(B3))), AND(ISNUMBER(B3), LEFT(CELL("format", B3))="D")))))</formula1>
    </dataValidation>
    <dataValidation type="list" allowBlank="1" sqref="Q3:Q29">
      <formula1>"Loan Documents,Disclosures Sent,Disclosures Signed,Appraisal Ordered,Work In Progress,Initial UW,Rate Lock,CD Needs to be sent,Final UW,CTC,Closed ,Funded,Transfer ,CD Issued,BOM,CD Signed,Pending UW"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8.88"/>
    <col customWidth="1" min="3" max="3" width="17.0"/>
    <col customWidth="1" min="4" max="4" width="16.25"/>
    <col customWidth="1" min="5" max="5" width="10.5"/>
    <col customWidth="1" min="6" max="6" width="12.38"/>
    <col customWidth="1" min="7" max="7" width="17.13"/>
    <col customWidth="1" min="8" max="8" width="14.0"/>
    <col customWidth="1" min="9" max="9" width="9.88"/>
  </cols>
  <sheetData>
    <row r="1" ht="22.5" customHeight="1">
      <c r="A1" s="110" t="s">
        <v>96</v>
      </c>
      <c r="B1" s="110" t="s">
        <v>97</v>
      </c>
      <c r="C1" s="110" t="s">
        <v>98</v>
      </c>
      <c r="D1" s="110" t="s">
        <v>99</v>
      </c>
      <c r="E1" s="110" t="s">
        <v>100</v>
      </c>
      <c r="F1" s="110" t="s">
        <v>101</v>
      </c>
      <c r="G1" s="110" t="s">
        <v>102</v>
      </c>
      <c r="H1" s="110" t="s">
        <v>103</v>
      </c>
      <c r="I1" s="110" t="s">
        <v>104</v>
      </c>
    </row>
    <row r="2" ht="22.5" customHeight="1">
      <c r="A2" s="111" t="str">
        <f>IFERROR(__xludf.DUMMYFUNCTION("QUERY(ARRAYFORMULA(UNIQUE(FLATTEN(TRIM(SPLIT({EdwardsHomes2025[ASSISTING AGENT];OtherBuilders[ASSISTING AGENT];Resales[ASSISTING AGENT]},"",""))))),""SELECT Col1 WHERE Col1 is NOT NULL"",0)"),"Mark Morales")</f>
        <v>Mark Morales</v>
      </c>
      <c r="B2" s="111">
        <f>COUNTIFS(EdwardsHomes2025[ASSISTING AGENT],Scoreboard[Agent],EdwardsHomes2025[Assist],"No")</f>
        <v>14</v>
      </c>
      <c r="C2" s="111">
        <f>COUNTIFS(EdwardsHomes2025[ASSISTING AGENT],A2,EdwardsHomes2025[Assist],"Yes")</f>
        <v>9</v>
      </c>
      <c r="D2" s="111">
        <f>COUNTIF(OtherBuilders[ASSISTING AGENT],A2)</f>
        <v>0</v>
      </c>
      <c r="E2" s="111">
        <f>COUNTIF(Resales[ASSISTING AGENT],A2)</f>
        <v>0</v>
      </c>
    </row>
    <row r="3" ht="22.5" customHeight="1">
      <c r="A3" s="111" t="str">
        <f>IFERROR(__xludf.DUMMYFUNCTION("""COMPUTED_VALUE"""),"Angel Alba")</f>
        <v>Angel Alba</v>
      </c>
      <c r="B3" s="111">
        <f>COUNTIFS(EdwardsHomes2025[ASSISTING AGENT],Scoreboard[Agent],EdwardsHomes2025[Assist],"No")</f>
        <v>0</v>
      </c>
    </row>
    <row r="4" ht="22.5" customHeight="1">
      <c r="A4" s="111" t="str">
        <f>IFERROR(__xludf.DUMMYFUNCTION("""COMPUTED_VALUE"""),"Edgar Barrio")</f>
        <v>Edgar Barrio</v>
      </c>
      <c r="B4" s="111">
        <f>COUNTIFS(EdwardsHomes2025[ASSISTING AGENT],Scoreboard[Agent],EdwardsHomes2025[Assist],"No")</f>
        <v>4</v>
      </c>
      <c r="C4" s="111">
        <f>COUNTIFS(EdwardsHomes2025[ASSISTING AGENT],A4,EdwardsHomes2025[Assist],"Yes")</f>
        <v>1</v>
      </c>
      <c r="D4" s="111">
        <f>COUNTIF(OtherBuilders[ASSISTING AGENT],A4)</f>
        <v>0</v>
      </c>
      <c r="E4" s="111">
        <f>COUNTIF(Resales[ASSISTING AGENT],A4)</f>
        <v>0</v>
      </c>
    </row>
    <row r="5" ht="22.5" customHeight="1">
      <c r="A5" s="111" t="str">
        <f>IFERROR(__xludf.DUMMYFUNCTION("""COMPUTED_VALUE"""),"Diana Caballero")</f>
        <v>Diana Caballero</v>
      </c>
      <c r="B5" s="111">
        <f>COUNTIFS(EdwardsHomes2025[ASSISTING AGENT],Scoreboard[Agent],EdwardsHomes2025[Assist],"No")</f>
        <v>0</v>
      </c>
      <c r="C5" s="111">
        <f>COUNTIFS(EdwardsHomes2025[ASSISTING AGENT],A5,EdwardsHomes2025[Assist],"Yes")</f>
        <v>1</v>
      </c>
      <c r="D5" s="111">
        <f>COUNTIF(OtherBuilders[ASSISTING AGENT],A5)</f>
        <v>0</v>
      </c>
      <c r="E5" s="111">
        <f>COUNTIF(Resales[ASSISTING AGENT],A5)</f>
        <v>0</v>
      </c>
    </row>
    <row r="6" ht="22.5" customHeight="1">
      <c r="A6" s="111" t="str">
        <f>IFERROR(__xludf.DUMMYFUNCTION("""COMPUTED_VALUE"""),"Priscilla Ramos")</f>
        <v>Priscilla Ramos</v>
      </c>
      <c r="B6" s="111">
        <f>COUNTIFS(EdwardsHomes2025[ASSISTING AGENT],Scoreboard[Agent],EdwardsHomes2025[Assist],"No")</f>
        <v>0</v>
      </c>
      <c r="C6" s="111">
        <f>COUNTIFS(EdwardsHomes2025[ASSISTING AGENT],A6,EdwardsHomes2025[Assist],"Yes")</f>
        <v>3</v>
      </c>
      <c r="D6" s="111">
        <f>COUNTIF(OtherBuilders[ASSISTING AGENT],A6)</f>
        <v>0</v>
      </c>
      <c r="E6" s="111">
        <f>COUNTIF(Resales[ASSISTING AGENT],A6)</f>
        <v>0</v>
      </c>
    </row>
    <row r="7" ht="22.5" customHeight="1">
      <c r="A7" s="111" t="str">
        <f>IFERROR(__xludf.DUMMYFUNCTION("""COMPUTED_VALUE"""),"Alex Morales")</f>
        <v>Alex Morales</v>
      </c>
      <c r="B7" s="111">
        <f>COUNTIFS(EdwardsHomes2025[ASSISTING AGENT],Scoreboard[Agent],EdwardsHomes2025[Assist],"No")</f>
        <v>0</v>
      </c>
      <c r="C7" s="111">
        <f>COUNTIFS(EdwardsHomes2025[ASSISTING AGENT],A7,EdwardsHomes2025[Assist],"Yes")</f>
        <v>10</v>
      </c>
      <c r="D7" s="111">
        <f>COUNTIF(OtherBuilders[ASSISTING AGENT],A7)</f>
        <v>0</v>
      </c>
      <c r="E7" s="111">
        <f>COUNTIF(Resales[ASSISTING AGENT],A7)</f>
        <v>0</v>
      </c>
    </row>
    <row r="8" ht="22.5" customHeight="1">
      <c r="A8" s="111" t="str">
        <f>IFERROR(__xludf.DUMMYFUNCTION("""COMPUTED_VALUE"""),"Jesse Loya")</f>
        <v>Jesse Loya</v>
      </c>
      <c r="B8" s="111">
        <f>COUNTIFS(EdwardsHomes2025[ASSISTING AGENT],Scoreboard[Agent],EdwardsHomes2025[Assist],"No")</f>
        <v>0</v>
      </c>
      <c r="C8" s="111">
        <f>COUNTIFS(EdwardsHomes2025[ASSISTING AGENT],A8,EdwardsHomes2025[Assist],"Yes")</f>
        <v>0</v>
      </c>
      <c r="D8" s="111">
        <f>COUNTIF(OtherBuilders[ASSISTING AGENT],A8)</f>
        <v>0</v>
      </c>
      <c r="E8" s="111">
        <f>COUNTIF(Resales[ASSISTING AGENT],A8)</f>
        <v>0</v>
      </c>
    </row>
    <row r="9" ht="22.5" customHeight="1">
      <c r="A9" s="111" t="str">
        <f>IFERROR(__xludf.DUMMYFUNCTION("""COMPUTED_VALUE"""),"Juan Amaya")</f>
        <v>Juan Amaya</v>
      </c>
      <c r="B9" s="111">
        <f>COUNTIFS(EdwardsHomes2025[ASSISTING AGENT],Scoreboard[Agent],EdwardsHomes2025[Assist],"No")</f>
        <v>0</v>
      </c>
      <c r="C9" s="111">
        <f>COUNTIFS(EdwardsHomes2025[ASSISTING AGENT],A9,EdwardsHomes2025[Assist],"Yes")</f>
        <v>0</v>
      </c>
      <c r="D9" s="111">
        <f>COUNTIF(OtherBuilders[ASSISTING AGENT],A9)</f>
        <v>0</v>
      </c>
      <c r="E9" s="111">
        <f>COUNTIF(Resales[ASSISTING AGENT],A9)</f>
        <v>0</v>
      </c>
    </row>
    <row r="10" ht="22.5" customHeight="1">
      <c r="A10" s="111" t="str">
        <f>IFERROR(__xludf.DUMMYFUNCTION("""COMPUTED_VALUE"""),"Vada Garcia")</f>
        <v>Vada Garcia</v>
      </c>
      <c r="B10" s="111">
        <f>COUNTIFS(EdwardsHomes2025[ASSISTING AGENT],Scoreboard[Agent],EdwardsHomes2025[Assist],"No")</f>
        <v>0</v>
      </c>
      <c r="C10" s="111">
        <f>COUNTIFS(EdwardsHomes2025[ASSISTING AGENT],A10,EdwardsHomes2025[Assist],"Yes")</f>
        <v>1</v>
      </c>
      <c r="D10" s="111">
        <f>COUNTIF(OtherBuilders[ASSISTING AGENT],A10)</f>
        <v>0</v>
      </c>
      <c r="E10" s="111">
        <f>COUNTIF(Resales[ASSISTING AGENT],A10)</f>
        <v>0</v>
      </c>
    </row>
    <row r="11" ht="22.5" hidden="1" customHeight="1">
      <c r="A11" s="36" t="str">
        <f>IFERROR(__xludf.DUMMYFUNCTION("""COMPUTED_VALUE"""),"#VALUE!")</f>
        <v>#VALUE!</v>
      </c>
      <c r="B11" s="111">
        <f>COUNTIFS(EdwardsHomes2025[ASSISTING AGENT],A11,EdwardsHomes2025[Assist],"No")</f>
        <v>0</v>
      </c>
      <c r="C11" s="111">
        <f>COUNTIFS(EdwardsHomes2025[ASSISTING AGENT],A11,EdwardsHomes2025[Assist],"Yes")</f>
        <v>0</v>
      </c>
      <c r="D11" s="111">
        <f>COUNTIF(OtherBuilders[ASSISTING AGENT],A11)</f>
        <v>0</v>
      </c>
      <c r="E11" s="111">
        <f>COUNTIF(Resales[ASSISTING AGENT],A11)</f>
        <v>0</v>
      </c>
      <c r="F11" s="36"/>
      <c r="G11" s="36"/>
      <c r="H11" s="36"/>
      <c r="I11" s="36"/>
    </row>
    <row r="12" ht="22.5" hidden="1" customHeight="1">
      <c r="A12" s="36"/>
      <c r="B12" s="111">
        <f>COUNTIFS(EdwardsHomes2025[ASSISTING AGENT],A12,EdwardsHomes2025[Assist],"No")</f>
        <v>0</v>
      </c>
      <c r="C12" s="111">
        <f>COUNTIFS(EdwardsHomes2025[ASSISTING AGENT],A12,EdwardsHomes2025[Assist],"Yes")</f>
        <v>0</v>
      </c>
      <c r="D12" s="111">
        <f>COUNTIF(OtherBuilders[ASSISTING AGENT],A12)</f>
        <v>0</v>
      </c>
      <c r="E12" s="111">
        <f>COUNTIF(Resales[ASSISTING AGENT],A12)</f>
        <v>0</v>
      </c>
      <c r="F12" s="36"/>
      <c r="G12" s="36"/>
      <c r="H12" s="36"/>
      <c r="I12" s="36"/>
    </row>
    <row r="13" ht="22.5" hidden="1" customHeight="1">
      <c r="A13" s="36"/>
      <c r="B13" s="111">
        <f>COUNTIFS(EdwardsHomes2025[ASSISTING AGENT],A13,EdwardsHomes2025[Assist],"No")</f>
        <v>0</v>
      </c>
      <c r="C13" s="111">
        <f>COUNTIFS(EdwardsHomes2025[ASSISTING AGENT],A13,EdwardsHomes2025[Assist],"Yes")</f>
        <v>0</v>
      </c>
      <c r="D13" s="111">
        <f>COUNTIF(OtherBuilders[ASSISTING AGENT],A13)</f>
        <v>0</v>
      </c>
      <c r="E13" s="111">
        <f>COUNTIF(Resales[ASSISTING AGENT],A13)</f>
        <v>0</v>
      </c>
      <c r="F13" s="36"/>
      <c r="G13" s="36"/>
      <c r="H13" s="36"/>
      <c r="I13" s="36"/>
    </row>
    <row r="14" ht="22.5" hidden="1" customHeight="1">
      <c r="A14" s="36"/>
      <c r="B14" s="111">
        <f>COUNTIFS(EdwardsHomes2025[ASSISTING AGENT],A14,EdwardsHomes2025[Assist],"No")</f>
        <v>0</v>
      </c>
      <c r="C14" s="111">
        <f>COUNTIFS(EdwardsHomes2025[ASSISTING AGENT],A14,EdwardsHomes2025[Assist],"Yes")</f>
        <v>0</v>
      </c>
      <c r="D14" s="111">
        <f>COUNTIF(OtherBuilders[ASSISTING AGENT],A14)</f>
        <v>0</v>
      </c>
      <c r="E14" s="111">
        <f>COUNTIF(Resales[ASSISTING AGENT],A14)</f>
        <v>0</v>
      </c>
      <c r="F14" s="36"/>
      <c r="G14" s="36"/>
      <c r="H14" s="36"/>
      <c r="I14" s="36"/>
    </row>
    <row r="15" ht="22.5" hidden="1" customHeight="1">
      <c r="A15" s="36"/>
      <c r="B15" s="111">
        <f>COUNTIFS(EdwardsHomes2025[ASSISTING AGENT],A15,EdwardsHomes2025[Assist],"No")</f>
        <v>0</v>
      </c>
      <c r="C15" s="111">
        <f>COUNTIFS(EdwardsHomes2025[ASSISTING AGENT],A15,EdwardsHomes2025[Assist],"Yes")</f>
        <v>0</v>
      </c>
      <c r="D15" s="111">
        <f>COUNTIF(OtherBuilders[ASSISTING AGENT],A15)</f>
        <v>0</v>
      </c>
      <c r="E15" s="111">
        <f>COUNTIF(Resales[ASSISTING AGENT],A15)</f>
        <v>0</v>
      </c>
      <c r="F15" s="36"/>
      <c r="G15" s="36"/>
      <c r="H15" s="36"/>
      <c r="I15" s="36"/>
    </row>
    <row r="16" ht="22.5" hidden="1" customHeight="1">
      <c r="A16" s="36"/>
      <c r="B16" s="111">
        <f>COUNTIFS(EdwardsHomes2025[ASSISTING AGENT],A16,EdwardsHomes2025[Assist],"No")</f>
        <v>0</v>
      </c>
      <c r="C16" s="111">
        <f>COUNTIFS(EdwardsHomes2025[ASSISTING AGENT],A16,EdwardsHomes2025[Assist],"Yes")</f>
        <v>0</v>
      </c>
      <c r="D16" s="111">
        <f>COUNTIF(OtherBuilders[ASSISTING AGENT],A16)</f>
        <v>0</v>
      </c>
      <c r="E16" s="111">
        <f>COUNTIF(Resales[ASSISTING AGENT],A16)</f>
        <v>0</v>
      </c>
      <c r="F16" s="36"/>
      <c r="G16" s="36"/>
      <c r="H16" s="36"/>
      <c r="I16" s="36"/>
    </row>
    <row r="17" ht="22.5" hidden="1" customHeight="1">
      <c r="A17" s="36"/>
      <c r="B17" s="36"/>
      <c r="C17" s="36"/>
      <c r="D17" s="36"/>
      <c r="E17" s="36"/>
      <c r="F17" s="36"/>
      <c r="G17" s="36"/>
      <c r="H17" s="36"/>
      <c r="I17" s="36"/>
    </row>
    <row r="18" ht="22.5" hidden="1" customHeight="1">
      <c r="A18" s="36"/>
      <c r="B18" s="36"/>
      <c r="C18" s="36"/>
      <c r="D18" s="36"/>
      <c r="E18" s="36"/>
      <c r="F18" s="36"/>
      <c r="G18" s="36"/>
      <c r="H18" s="36"/>
      <c r="I18" s="36"/>
    </row>
    <row r="19" ht="22.5" hidden="1" customHeight="1">
      <c r="A19" s="36"/>
      <c r="B19" s="36"/>
      <c r="C19" s="36"/>
      <c r="D19" s="36"/>
      <c r="E19" s="36"/>
      <c r="F19" s="36"/>
      <c r="G19" s="36"/>
      <c r="H19" s="36"/>
      <c r="I19" s="36"/>
    </row>
    <row r="20" ht="22.5" hidden="1" customHeight="1">
      <c r="A20" s="36"/>
      <c r="B20" s="36"/>
      <c r="C20" s="36"/>
      <c r="D20" s="36"/>
      <c r="E20" s="36"/>
      <c r="F20" s="36"/>
      <c r="G20" s="36"/>
      <c r="H20" s="36"/>
      <c r="I20" s="36"/>
    </row>
    <row r="21" ht="22.5" hidden="1" customHeight="1">
      <c r="A21" s="36"/>
      <c r="B21" s="36"/>
      <c r="C21" s="36"/>
      <c r="D21" s="36"/>
      <c r="E21" s="36"/>
      <c r="F21" s="36"/>
      <c r="G21" s="36"/>
      <c r="H21" s="36"/>
      <c r="I21" s="36"/>
    </row>
    <row r="22" ht="22.5" hidden="1" customHeight="1">
      <c r="A22" s="36"/>
      <c r="B22" s="36"/>
      <c r="C22" s="36"/>
      <c r="D22" s="36"/>
      <c r="E22" s="36"/>
      <c r="F22" s="36"/>
      <c r="G22" s="36"/>
      <c r="H22" s="36"/>
      <c r="I22" s="36"/>
    </row>
    <row r="23" ht="22.5" hidden="1" customHeight="1">
      <c r="A23" s="36"/>
      <c r="B23" s="36"/>
      <c r="C23" s="36"/>
      <c r="D23" s="36"/>
      <c r="E23" s="36"/>
      <c r="F23" s="36"/>
      <c r="G23" s="36"/>
      <c r="H23" s="36"/>
      <c r="I23" s="36"/>
    </row>
    <row r="24" ht="22.5" hidden="1" customHeight="1">
      <c r="A24" s="36"/>
      <c r="B24" s="36"/>
      <c r="C24" s="36"/>
      <c r="D24" s="36"/>
      <c r="E24" s="36"/>
      <c r="F24" s="36"/>
      <c r="G24" s="36"/>
      <c r="H24" s="36"/>
      <c r="I24" s="36"/>
    </row>
    <row r="25" ht="22.5" hidden="1" customHeight="1">
      <c r="A25" s="36"/>
      <c r="B25" s="36"/>
      <c r="C25" s="36"/>
      <c r="D25" s="36"/>
      <c r="E25" s="36"/>
      <c r="F25" s="36"/>
      <c r="G25" s="36"/>
      <c r="H25" s="36"/>
      <c r="I25" s="36"/>
    </row>
    <row r="26" ht="22.5" hidden="1" customHeight="1">
      <c r="A26" s="36"/>
      <c r="B26" s="36"/>
      <c r="C26" s="36"/>
      <c r="D26" s="36"/>
      <c r="E26" s="36"/>
      <c r="F26" s="36"/>
      <c r="G26" s="36"/>
      <c r="H26" s="36"/>
      <c r="I26" s="36"/>
    </row>
    <row r="27" ht="22.5" hidden="1" customHeight="1">
      <c r="A27" s="36"/>
      <c r="B27" s="36"/>
      <c r="C27" s="36"/>
      <c r="D27" s="36"/>
      <c r="E27" s="36"/>
      <c r="F27" s="36"/>
      <c r="G27" s="36"/>
      <c r="H27" s="36"/>
      <c r="I27" s="36"/>
    </row>
    <row r="28" ht="22.5" hidden="1" customHeight="1">
      <c r="A28" s="36"/>
      <c r="B28" s="36"/>
      <c r="C28" s="36"/>
      <c r="D28" s="36"/>
      <c r="E28" s="36"/>
      <c r="F28" s="36"/>
      <c r="G28" s="36"/>
      <c r="H28" s="36"/>
      <c r="I28" s="36"/>
    </row>
    <row r="29" ht="22.5" hidden="1" customHeight="1">
      <c r="A29" s="36"/>
      <c r="B29" s="36"/>
      <c r="C29" s="36"/>
      <c r="D29" s="36"/>
      <c r="E29" s="36"/>
      <c r="F29" s="36"/>
      <c r="G29" s="36"/>
      <c r="H29" s="36"/>
      <c r="I29" s="36"/>
    </row>
    <row r="30" ht="22.5" hidden="1" customHeight="1">
      <c r="A30" s="36"/>
      <c r="B30" s="36"/>
      <c r="C30" s="36"/>
      <c r="D30" s="36"/>
      <c r="E30" s="36"/>
      <c r="F30" s="36"/>
      <c r="G30" s="36"/>
      <c r="H30" s="36"/>
      <c r="I30" s="36"/>
    </row>
    <row r="31" ht="22.5" hidden="1" customHeight="1">
      <c r="A31" s="36"/>
      <c r="B31" s="36"/>
      <c r="C31" s="36"/>
      <c r="D31" s="36"/>
      <c r="E31" s="36"/>
      <c r="F31" s="36"/>
      <c r="G31" s="36"/>
      <c r="H31" s="36"/>
      <c r="I31" s="36"/>
    </row>
    <row r="32" ht="22.5" hidden="1" customHeight="1">
      <c r="A32" s="36"/>
      <c r="B32" s="36"/>
      <c r="C32" s="36"/>
      <c r="D32" s="36"/>
      <c r="E32" s="36"/>
      <c r="F32" s="36"/>
      <c r="G32" s="36"/>
      <c r="H32" s="36"/>
      <c r="I32" s="36"/>
    </row>
    <row r="33" ht="22.5" hidden="1" customHeight="1">
      <c r="A33" s="36"/>
      <c r="B33" s="36"/>
      <c r="C33" s="36"/>
      <c r="D33" s="36"/>
      <c r="E33" s="36"/>
      <c r="F33" s="36"/>
      <c r="G33" s="36"/>
      <c r="H33" s="36"/>
      <c r="I33" s="36"/>
    </row>
    <row r="34" ht="22.5" hidden="1" customHeight="1">
      <c r="A34" s="36"/>
      <c r="B34" s="36"/>
      <c r="C34" s="36"/>
      <c r="D34" s="36"/>
      <c r="E34" s="36"/>
      <c r="F34" s="36"/>
      <c r="G34" s="36"/>
      <c r="H34" s="36"/>
      <c r="I34" s="36"/>
    </row>
    <row r="35" ht="22.5" hidden="1" customHeight="1">
      <c r="A35" s="36"/>
      <c r="B35" s="36"/>
      <c r="C35" s="36"/>
      <c r="D35" s="36"/>
      <c r="E35" s="36"/>
      <c r="F35" s="36"/>
      <c r="G35" s="36"/>
      <c r="H35" s="36"/>
      <c r="I35" s="36"/>
    </row>
    <row r="36" ht="22.5" hidden="1" customHeight="1">
      <c r="A36" s="36"/>
      <c r="B36" s="36"/>
      <c r="C36" s="36"/>
      <c r="D36" s="36"/>
      <c r="E36" s="36"/>
      <c r="F36" s="36"/>
      <c r="G36" s="36"/>
      <c r="H36" s="36"/>
      <c r="I36" s="36"/>
    </row>
    <row r="37" ht="22.5" hidden="1" customHeight="1">
      <c r="A37" s="36"/>
      <c r="B37" s="36"/>
      <c r="C37" s="36"/>
      <c r="D37" s="36"/>
      <c r="E37" s="36"/>
      <c r="F37" s="36"/>
      <c r="G37" s="36"/>
      <c r="H37" s="36"/>
      <c r="I37" s="36"/>
    </row>
    <row r="38" ht="22.5" hidden="1" customHeight="1">
      <c r="A38" s="36"/>
      <c r="B38" s="36"/>
      <c r="C38" s="36"/>
      <c r="D38" s="36"/>
      <c r="E38" s="36"/>
      <c r="F38" s="36"/>
      <c r="G38" s="36"/>
      <c r="H38" s="36"/>
      <c r="I38" s="36"/>
    </row>
    <row r="39" ht="22.5" hidden="1" customHeight="1">
      <c r="A39" s="36"/>
      <c r="B39" s="36"/>
      <c r="C39" s="36"/>
      <c r="D39" s="36"/>
      <c r="E39" s="36"/>
      <c r="F39" s="36"/>
      <c r="G39" s="36"/>
      <c r="H39" s="36"/>
      <c r="I39" s="36"/>
    </row>
    <row r="40" ht="22.5" hidden="1" customHeight="1">
      <c r="A40" s="36"/>
      <c r="B40" s="36"/>
      <c r="C40" s="36"/>
      <c r="D40" s="36"/>
      <c r="E40" s="36"/>
      <c r="F40" s="36"/>
      <c r="G40" s="36"/>
      <c r="H40" s="36"/>
      <c r="I40" s="36"/>
    </row>
    <row r="41" ht="22.5" hidden="1" customHeight="1">
      <c r="A41" s="36"/>
      <c r="B41" s="36"/>
      <c r="C41" s="36"/>
      <c r="D41" s="36"/>
      <c r="E41" s="36"/>
      <c r="F41" s="36"/>
      <c r="G41" s="36"/>
      <c r="H41" s="36"/>
      <c r="I41" s="36"/>
    </row>
    <row r="42" ht="22.5" hidden="1" customHeight="1">
      <c r="A42" s="36"/>
      <c r="B42" s="36"/>
      <c r="C42" s="36"/>
      <c r="D42" s="36"/>
      <c r="E42" s="36"/>
      <c r="F42" s="36"/>
      <c r="G42" s="36"/>
      <c r="H42" s="36"/>
      <c r="I42" s="36"/>
    </row>
    <row r="43" ht="22.5" hidden="1" customHeight="1">
      <c r="A43" s="36"/>
      <c r="B43" s="36"/>
      <c r="C43" s="36"/>
      <c r="D43" s="36"/>
      <c r="E43" s="36"/>
      <c r="F43" s="36"/>
      <c r="G43" s="36"/>
      <c r="H43" s="36"/>
      <c r="I43" s="36"/>
    </row>
    <row r="44" ht="22.5" hidden="1" customHeight="1">
      <c r="A44" s="36"/>
      <c r="B44" s="36"/>
      <c r="C44" s="36"/>
      <c r="D44" s="36"/>
      <c r="E44" s="36"/>
      <c r="F44" s="36"/>
      <c r="G44" s="36"/>
      <c r="H44" s="36"/>
      <c r="I44" s="36"/>
    </row>
    <row r="45" ht="22.5" hidden="1" customHeight="1">
      <c r="A45" s="36"/>
      <c r="B45" s="36"/>
      <c r="C45" s="36"/>
      <c r="D45" s="36"/>
      <c r="E45" s="36"/>
      <c r="F45" s="36"/>
      <c r="G45" s="36"/>
      <c r="H45" s="36"/>
      <c r="I45" s="36"/>
    </row>
    <row r="46" ht="22.5" hidden="1" customHeight="1">
      <c r="A46" s="36"/>
      <c r="B46" s="36"/>
      <c r="C46" s="36"/>
      <c r="D46" s="36"/>
      <c r="E46" s="36"/>
      <c r="F46" s="36"/>
      <c r="G46" s="36"/>
      <c r="H46" s="36"/>
      <c r="I46" s="36"/>
    </row>
    <row r="47" ht="22.5" hidden="1" customHeight="1">
      <c r="A47" s="36"/>
      <c r="B47" s="36"/>
      <c r="C47" s="36"/>
      <c r="D47" s="36"/>
      <c r="E47" s="36"/>
      <c r="F47" s="36"/>
      <c r="G47" s="36"/>
      <c r="H47" s="36"/>
      <c r="I47" s="36"/>
    </row>
    <row r="48" ht="22.5" hidden="1" customHeight="1">
      <c r="A48" s="36"/>
      <c r="B48" s="36"/>
      <c r="C48" s="36"/>
      <c r="D48" s="36"/>
      <c r="E48" s="36"/>
      <c r="F48" s="36"/>
      <c r="G48" s="36"/>
      <c r="H48" s="36"/>
      <c r="I48" s="36"/>
    </row>
    <row r="49" ht="22.5" hidden="1" customHeight="1">
      <c r="A49" s="36"/>
      <c r="B49" s="36"/>
      <c r="C49" s="36"/>
      <c r="D49" s="36"/>
      <c r="E49" s="36"/>
      <c r="F49" s="36"/>
      <c r="G49" s="36"/>
      <c r="H49" s="36"/>
      <c r="I49" s="36"/>
    </row>
    <row r="50" ht="22.5" hidden="1" customHeight="1">
      <c r="A50" s="36"/>
      <c r="B50" s="36"/>
      <c r="C50" s="36"/>
      <c r="D50" s="36"/>
      <c r="E50" s="36"/>
      <c r="F50" s="36"/>
      <c r="G50" s="36"/>
      <c r="H50" s="36"/>
      <c r="I50" s="36"/>
    </row>
    <row r="51" ht="22.5" hidden="1" customHeight="1">
      <c r="A51" s="36"/>
      <c r="B51" s="36"/>
      <c r="C51" s="36"/>
      <c r="D51" s="36"/>
      <c r="E51" s="36"/>
      <c r="F51" s="36"/>
      <c r="G51" s="36"/>
      <c r="H51" s="36"/>
      <c r="I51" s="36"/>
    </row>
    <row r="52" ht="22.5" hidden="1" customHeight="1">
      <c r="A52" s="36"/>
      <c r="B52" s="36"/>
      <c r="C52" s="36"/>
      <c r="D52" s="36"/>
      <c r="E52" s="36"/>
      <c r="F52" s="36"/>
      <c r="G52" s="36"/>
      <c r="H52" s="36"/>
      <c r="I52" s="36"/>
    </row>
    <row r="53" ht="22.5" hidden="1" customHeight="1">
      <c r="A53" s="36"/>
      <c r="B53" s="36"/>
      <c r="C53" s="36"/>
      <c r="D53" s="36"/>
      <c r="E53" s="36"/>
      <c r="F53" s="36"/>
      <c r="G53" s="36"/>
      <c r="H53" s="36"/>
      <c r="I53" s="36"/>
    </row>
    <row r="54" ht="22.5" hidden="1" customHeight="1">
      <c r="A54" s="36"/>
      <c r="B54" s="36"/>
      <c r="C54" s="36"/>
      <c r="D54" s="36"/>
      <c r="E54" s="36"/>
      <c r="F54" s="36"/>
      <c r="G54" s="36"/>
      <c r="H54" s="36"/>
      <c r="I54" s="36"/>
    </row>
    <row r="55" ht="22.5" hidden="1" customHeight="1">
      <c r="A55" s="36"/>
      <c r="B55" s="36"/>
      <c r="C55" s="36"/>
      <c r="D55" s="36"/>
      <c r="E55" s="36"/>
      <c r="F55" s="36"/>
      <c r="G55" s="36"/>
      <c r="H55" s="36"/>
      <c r="I55" s="36"/>
    </row>
    <row r="56" ht="22.5" hidden="1" customHeight="1">
      <c r="A56" s="36"/>
      <c r="B56" s="36"/>
      <c r="C56" s="36"/>
      <c r="D56" s="36"/>
      <c r="E56" s="36"/>
      <c r="F56" s="36"/>
      <c r="G56" s="36"/>
      <c r="H56" s="36"/>
      <c r="I56" s="36"/>
    </row>
    <row r="57" ht="22.5" hidden="1" customHeight="1">
      <c r="A57" s="36"/>
      <c r="B57" s="36"/>
      <c r="C57" s="36"/>
      <c r="D57" s="36"/>
      <c r="E57" s="36"/>
      <c r="F57" s="36"/>
      <c r="G57" s="36"/>
      <c r="H57" s="36"/>
      <c r="I57" s="36"/>
    </row>
    <row r="58" ht="22.5" hidden="1" customHeight="1">
      <c r="A58" s="36"/>
      <c r="B58" s="36"/>
      <c r="C58" s="36"/>
      <c r="D58" s="36"/>
      <c r="E58" s="36"/>
      <c r="F58" s="36"/>
      <c r="G58" s="36"/>
      <c r="H58" s="36"/>
      <c r="I58" s="36"/>
    </row>
    <row r="59" ht="22.5" hidden="1" customHeight="1">
      <c r="A59" s="36"/>
      <c r="B59" s="36"/>
      <c r="C59" s="36"/>
      <c r="D59" s="36"/>
      <c r="E59" s="36"/>
      <c r="F59" s="36"/>
      <c r="G59" s="36"/>
      <c r="H59" s="36"/>
      <c r="I59" s="36"/>
    </row>
    <row r="60" ht="22.5" hidden="1" customHeight="1">
      <c r="A60" s="36"/>
      <c r="B60" s="36"/>
      <c r="C60" s="36"/>
      <c r="D60" s="36"/>
      <c r="E60" s="36"/>
      <c r="F60" s="36"/>
      <c r="G60" s="36"/>
      <c r="H60" s="36"/>
      <c r="I60" s="36"/>
    </row>
    <row r="61" ht="22.5" hidden="1" customHeight="1">
      <c r="A61" s="36"/>
      <c r="B61" s="36"/>
      <c r="C61" s="36"/>
      <c r="D61" s="36"/>
      <c r="E61" s="36"/>
      <c r="F61" s="36"/>
      <c r="G61" s="36"/>
      <c r="H61" s="36"/>
      <c r="I61" s="36"/>
    </row>
    <row r="62" ht="22.5" hidden="1" customHeight="1">
      <c r="A62" s="36"/>
      <c r="B62" s="36"/>
      <c r="C62" s="36"/>
      <c r="D62" s="36"/>
      <c r="E62" s="36"/>
      <c r="F62" s="36"/>
      <c r="G62" s="36"/>
      <c r="H62" s="36"/>
      <c r="I62" s="36"/>
    </row>
    <row r="63" ht="22.5" hidden="1" customHeight="1">
      <c r="A63" s="36"/>
      <c r="B63" s="36"/>
      <c r="C63" s="36"/>
      <c r="D63" s="36"/>
      <c r="E63" s="36"/>
      <c r="F63" s="36"/>
      <c r="G63" s="36"/>
      <c r="H63" s="36"/>
      <c r="I63" s="36"/>
    </row>
    <row r="64" ht="22.5" hidden="1" customHeight="1">
      <c r="A64" s="36"/>
      <c r="B64" s="36"/>
      <c r="C64" s="36"/>
      <c r="D64" s="36"/>
      <c r="E64" s="36"/>
      <c r="F64" s="36"/>
      <c r="G64" s="36"/>
      <c r="H64" s="36"/>
      <c r="I64" s="36"/>
    </row>
    <row r="65" ht="22.5" hidden="1" customHeight="1">
      <c r="A65" s="36"/>
      <c r="B65" s="36"/>
      <c r="C65" s="36"/>
      <c r="D65" s="36"/>
      <c r="E65" s="36"/>
      <c r="F65" s="36"/>
      <c r="G65" s="36"/>
      <c r="H65" s="36"/>
      <c r="I65" s="36"/>
    </row>
    <row r="66" ht="22.5" hidden="1" customHeight="1">
      <c r="A66" s="36"/>
      <c r="B66" s="36"/>
      <c r="C66" s="36"/>
      <c r="D66" s="36"/>
      <c r="E66" s="36"/>
      <c r="F66" s="36"/>
      <c r="G66" s="36"/>
      <c r="H66" s="36"/>
      <c r="I66" s="36"/>
    </row>
    <row r="67" ht="22.5" hidden="1" customHeight="1">
      <c r="A67" s="36"/>
      <c r="B67" s="36"/>
      <c r="C67" s="36"/>
      <c r="D67" s="36"/>
      <c r="E67" s="36"/>
      <c r="F67" s="36"/>
      <c r="G67" s="36"/>
      <c r="H67" s="36"/>
      <c r="I67" s="36"/>
    </row>
    <row r="68" ht="22.5" hidden="1" customHeight="1">
      <c r="A68" s="36"/>
      <c r="B68" s="36"/>
      <c r="C68" s="36"/>
      <c r="D68" s="36"/>
      <c r="E68" s="36"/>
      <c r="F68" s="36"/>
      <c r="G68" s="36"/>
      <c r="H68" s="36"/>
      <c r="I68" s="36"/>
    </row>
    <row r="69" ht="22.5" hidden="1" customHeight="1">
      <c r="A69" s="36"/>
      <c r="B69" s="36"/>
      <c r="C69" s="36"/>
      <c r="D69" s="36"/>
      <c r="E69" s="36"/>
      <c r="F69" s="36"/>
      <c r="G69" s="36"/>
      <c r="H69" s="36"/>
      <c r="I69" s="36"/>
    </row>
    <row r="70" ht="22.5" hidden="1" customHeight="1">
      <c r="A70" s="36"/>
      <c r="B70" s="36"/>
      <c r="C70" s="36"/>
      <c r="D70" s="36"/>
      <c r="E70" s="36"/>
      <c r="F70" s="36"/>
      <c r="G70" s="36"/>
      <c r="H70" s="36"/>
      <c r="I70" s="36"/>
    </row>
    <row r="71" ht="22.5" hidden="1" customHeight="1">
      <c r="A71" s="36"/>
      <c r="B71" s="36"/>
      <c r="C71" s="36"/>
      <c r="D71" s="36"/>
      <c r="E71" s="36"/>
      <c r="F71" s="36"/>
      <c r="G71" s="36"/>
      <c r="H71" s="36"/>
      <c r="I71" s="36"/>
    </row>
    <row r="72" ht="22.5" hidden="1" customHeight="1">
      <c r="A72" s="36"/>
      <c r="B72" s="36"/>
      <c r="C72" s="36"/>
      <c r="D72" s="36"/>
      <c r="E72" s="36"/>
      <c r="F72" s="36"/>
      <c r="G72" s="36"/>
      <c r="H72" s="36"/>
      <c r="I72" s="36"/>
    </row>
    <row r="73" ht="22.5" hidden="1" customHeight="1">
      <c r="A73" s="36"/>
      <c r="B73" s="36"/>
      <c r="C73" s="36"/>
      <c r="D73" s="36"/>
      <c r="E73" s="36"/>
      <c r="F73" s="36"/>
      <c r="G73" s="36"/>
      <c r="H73" s="36"/>
      <c r="I73" s="36"/>
    </row>
    <row r="74" ht="22.5" hidden="1" customHeight="1">
      <c r="A74" s="36"/>
      <c r="B74" s="36"/>
      <c r="C74" s="36"/>
      <c r="D74" s="36"/>
      <c r="E74" s="36"/>
      <c r="F74" s="36"/>
      <c r="G74" s="36"/>
      <c r="H74" s="36"/>
      <c r="I74" s="36"/>
    </row>
    <row r="75" ht="22.5" hidden="1" customHeight="1">
      <c r="A75" s="36"/>
      <c r="B75" s="36"/>
      <c r="C75" s="36"/>
      <c r="D75" s="36"/>
      <c r="E75" s="36"/>
      <c r="F75" s="36"/>
      <c r="G75" s="36"/>
      <c r="H75" s="36"/>
      <c r="I75" s="36"/>
    </row>
    <row r="76" ht="22.5" hidden="1" customHeight="1">
      <c r="A76" s="36"/>
      <c r="B76" s="36"/>
      <c r="C76" s="36"/>
      <c r="D76" s="36"/>
      <c r="E76" s="36"/>
      <c r="F76" s="36"/>
      <c r="G76" s="36"/>
      <c r="H76" s="36"/>
      <c r="I76" s="36"/>
    </row>
    <row r="77" ht="22.5" hidden="1" customHeight="1">
      <c r="A77" s="36"/>
      <c r="B77" s="36"/>
      <c r="C77" s="36"/>
      <c r="D77" s="36"/>
      <c r="E77" s="36"/>
      <c r="F77" s="36"/>
      <c r="G77" s="36"/>
      <c r="H77" s="36"/>
      <c r="I77" s="36"/>
    </row>
    <row r="78" ht="22.5" hidden="1" customHeight="1">
      <c r="A78" s="36"/>
      <c r="B78" s="36"/>
      <c r="C78" s="36"/>
      <c r="D78" s="36"/>
      <c r="E78" s="36"/>
      <c r="F78" s="36"/>
      <c r="G78" s="36"/>
      <c r="H78" s="36"/>
      <c r="I78" s="36"/>
    </row>
    <row r="79" ht="22.5" hidden="1" customHeight="1">
      <c r="A79" s="36"/>
      <c r="B79" s="36"/>
      <c r="C79" s="36"/>
      <c r="D79" s="36"/>
      <c r="E79" s="36"/>
      <c r="F79" s="36"/>
      <c r="G79" s="36"/>
      <c r="H79" s="36"/>
      <c r="I79" s="36"/>
    </row>
    <row r="80" ht="22.5" hidden="1" customHeight="1">
      <c r="A80" s="36"/>
      <c r="B80" s="36"/>
      <c r="C80" s="36"/>
      <c r="D80" s="36"/>
      <c r="E80" s="36"/>
      <c r="F80" s="36"/>
      <c r="G80" s="36"/>
      <c r="H80" s="36"/>
      <c r="I80" s="36"/>
    </row>
    <row r="81" ht="22.5" hidden="1" customHeight="1">
      <c r="A81" s="36"/>
      <c r="B81" s="36"/>
      <c r="C81" s="36"/>
      <c r="D81" s="36"/>
      <c r="E81" s="36"/>
      <c r="F81" s="36"/>
      <c r="G81" s="36"/>
      <c r="H81" s="36"/>
      <c r="I81" s="36"/>
    </row>
    <row r="82" ht="22.5" hidden="1" customHeight="1">
      <c r="A82" s="36"/>
      <c r="B82" s="36"/>
      <c r="C82" s="36"/>
      <c r="D82" s="36"/>
      <c r="E82" s="36"/>
      <c r="F82" s="36"/>
      <c r="G82" s="36"/>
      <c r="H82" s="36"/>
      <c r="I82" s="36"/>
    </row>
    <row r="83" ht="22.5" hidden="1" customHeight="1">
      <c r="A83" s="36"/>
      <c r="B83" s="36"/>
      <c r="C83" s="36"/>
      <c r="D83" s="36"/>
      <c r="E83" s="36"/>
      <c r="F83" s="36"/>
      <c r="G83" s="36"/>
      <c r="H83" s="36"/>
      <c r="I83" s="36"/>
    </row>
    <row r="84" ht="22.5" hidden="1" customHeight="1">
      <c r="A84" s="36"/>
      <c r="B84" s="36"/>
      <c r="C84" s="36"/>
      <c r="D84" s="36"/>
      <c r="E84" s="36"/>
      <c r="F84" s="36"/>
      <c r="G84" s="36"/>
      <c r="H84" s="36"/>
      <c r="I84" s="36"/>
    </row>
    <row r="85" ht="22.5" hidden="1" customHeight="1">
      <c r="A85" s="36"/>
      <c r="B85" s="36"/>
      <c r="C85" s="36"/>
      <c r="D85" s="36"/>
      <c r="E85" s="36"/>
      <c r="F85" s="36"/>
      <c r="G85" s="36"/>
      <c r="H85" s="36"/>
      <c r="I85" s="36"/>
    </row>
    <row r="86" ht="22.5" hidden="1" customHeight="1">
      <c r="A86" s="36"/>
      <c r="B86" s="36"/>
      <c r="C86" s="36"/>
      <c r="D86" s="36"/>
      <c r="E86" s="36"/>
      <c r="F86" s="36"/>
      <c r="G86" s="36"/>
      <c r="H86" s="36"/>
      <c r="I86" s="36"/>
    </row>
    <row r="87" ht="22.5" hidden="1" customHeight="1">
      <c r="A87" s="36"/>
      <c r="B87" s="36"/>
      <c r="C87" s="36"/>
      <c r="D87" s="36"/>
      <c r="E87" s="36"/>
      <c r="F87" s="36"/>
      <c r="G87" s="36"/>
      <c r="H87" s="36"/>
      <c r="I87" s="36"/>
    </row>
    <row r="88" ht="22.5" hidden="1" customHeight="1">
      <c r="A88" s="36"/>
      <c r="B88" s="36"/>
      <c r="C88" s="36"/>
      <c r="D88" s="36"/>
      <c r="E88" s="36"/>
      <c r="F88" s="36"/>
      <c r="G88" s="36"/>
      <c r="H88" s="36"/>
      <c r="I88" s="36"/>
    </row>
    <row r="89" ht="22.5" hidden="1" customHeight="1">
      <c r="A89" s="36"/>
      <c r="B89" s="36"/>
      <c r="C89" s="36"/>
      <c r="D89" s="36"/>
      <c r="E89" s="36"/>
      <c r="F89" s="36"/>
      <c r="G89" s="36"/>
      <c r="H89" s="36"/>
      <c r="I89" s="36"/>
    </row>
    <row r="90" ht="22.5" hidden="1" customHeight="1">
      <c r="A90" s="36"/>
      <c r="B90" s="36"/>
      <c r="C90" s="36"/>
      <c r="D90" s="36"/>
      <c r="E90" s="36"/>
      <c r="F90" s="36"/>
      <c r="G90" s="36"/>
      <c r="H90" s="36"/>
      <c r="I90" s="36"/>
    </row>
    <row r="91" ht="22.5" hidden="1" customHeight="1">
      <c r="A91" s="36"/>
      <c r="B91" s="36"/>
      <c r="C91" s="36"/>
      <c r="D91" s="36"/>
      <c r="E91" s="36"/>
      <c r="F91" s="36"/>
      <c r="G91" s="36"/>
      <c r="H91" s="36"/>
      <c r="I91" s="36"/>
    </row>
    <row r="92" ht="22.5" hidden="1" customHeight="1">
      <c r="A92" s="36"/>
      <c r="B92" s="36"/>
      <c r="C92" s="36"/>
      <c r="D92" s="36"/>
      <c r="E92" s="36"/>
      <c r="F92" s="36"/>
      <c r="G92" s="36"/>
      <c r="H92" s="36"/>
      <c r="I92" s="36"/>
    </row>
    <row r="93" ht="22.5" hidden="1" customHeight="1">
      <c r="A93" s="36"/>
      <c r="B93" s="36"/>
      <c r="C93" s="36"/>
      <c r="D93" s="36"/>
      <c r="E93" s="36"/>
      <c r="F93" s="36"/>
      <c r="G93" s="36"/>
      <c r="H93" s="36"/>
      <c r="I93" s="36"/>
    </row>
    <row r="94" ht="22.5" hidden="1" customHeight="1">
      <c r="A94" s="36"/>
      <c r="B94" s="36"/>
      <c r="C94" s="36"/>
      <c r="D94" s="36"/>
      <c r="E94" s="36"/>
      <c r="F94" s="36"/>
      <c r="G94" s="36"/>
      <c r="H94" s="36"/>
      <c r="I94" s="36"/>
    </row>
    <row r="95" ht="22.5" hidden="1" customHeight="1">
      <c r="A95" s="36"/>
      <c r="B95" s="36"/>
      <c r="C95" s="36"/>
      <c r="D95" s="36"/>
      <c r="E95" s="36"/>
      <c r="F95" s="36"/>
      <c r="G95" s="36"/>
      <c r="H95" s="36"/>
      <c r="I95" s="36"/>
    </row>
    <row r="96" ht="22.5" hidden="1" customHeight="1">
      <c r="A96" s="36"/>
      <c r="B96" s="36"/>
      <c r="C96" s="36"/>
      <c r="D96" s="36"/>
      <c r="E96" s="36"/>
      <c r="F96" s="36"/>
      <c r="G96" s="36"/>
      <c r="H96" s="36"/>
      <c r="I96" s="36"/>
    </row>
    <row r="97" ht="22.5" hidden="1" customHeight="1">
      <c r="A97" s="36"/>
      <c r="B97" s="36"/>
      <c r="C97" s="36"/>
      <c r="D97" s="36"/>
      <c r="E97" s="36"/>
      <c r="F97" s="36"/>
      <c r="G97" s="36"/>
      <c r="H97" s="36"/>
      <c r="I97" s="36"/>
    </row>
    <row r="98" ht="22.5" hidden="1" customHeight="1">
      <c r="A98" s="36"/>
      <c r="B98" s="36"/>
      <c r="C98" s="36"/>
      <c r="D98" s="36"/>
      <c r="E98" s="36"/>
      <c r="F98" s="36"/>
      <c r="G98" s="36"/>
      <c r="H98" s="36"/>
      <c r="I98" s="36"/>
    </row>
    <row r="99" ht="22.5" hidden="1" customHeight="1">
      <c r="A99" s="36"/>
      <c r="B99" s="36"/>
      <c r="C99" s="36"/>
      <c r="D99" s="36"/>
      <c r="E99" s="36"/>
      <c r="F99" s="36"/>
      <c r="G99" s="36"/>
      <c r="H99" s="36"/>
      <c r="I99" s="36"/>
    </row>
    <row r="100" ht="22.5" hidden="1" customHeight="1">
      <c r="A100" s="36"/>
      <c r="B100" s="36"/>
      <c r="C100" s="36"/>
      <c r="D100" s="36"/>
      <c r="E100" s="36"/>
      <c r="F100" s="36"/>
      <c r="G100" s="36"/>
      <c r="H100" s="36"/>
      <c r="I100" s="36"/>
    </row>
    <row r="101" ht="22.5" hidden="1" customHeight="1">
      <c r="A101" s="36"/>
      <c r="B101" s="36"/>
      <c r="C101" s="36"/>
      <c r="D101" s="36"/>
      <c r="E101" s="36"/>
      <c r="F101" s="36"/>
      <c r="G101" s="36"/>
      <c r="H101" s="36"/>
      <c r="I101" s="36"/>
    </row>
    <row r="102" ht="22.5" hidden="1" customHeight="1">
      <c r="A102" s="36"/>
      <c r="B102" s="36"/>
      <c r="C102" s="36"/>
      <c r="D102" s="36"/>
      <c r="E102" s="36"/>
      <c r="F102" s="36"/>
      <c r="G102" s="36"/>
      <c r="H102" s="36"/>
      <c r="I102" s="36"/>
    </row>
    <row r="103" ht="22.5" hidden="1" customHeight="1">
      <c r="A103" s="36"/>
      <c r="B103" s="36"/>
      <c r="C103" s="36"/>
      <c r="D103" s="36"/>
      <c r="E103" s="36"/>
      <c r="F103" s="36"/>
      <c r="G103" s="36"/>
      <c r="H103" s="36"/>
      <c r="I103" s="36"/>
    </row>
    <row r="104" ht="22.5" hidden="1" customHeight="1">
      <c r="A104" s="36"/>
      <c r="B104" s="36"/>
      <c r="C104" s="36"/>
      <c r="D104" s="36"/>
      <c r="E104" s="36"/>
      <c r="F104" s="36"/>
      <c r="G104" s="36"/>
      <c r="H104" s="36"/>
      <c r="I104" s="36"/>
    </row>
    <row r="105" ht="22.5" hidden="1" customHeight="1">
      <c r="A105" s="36"/>
      <c r="B105" s="36"/>
      <c r="C105" s="36"/>
      <c r="D105" s="36"/>
      <c r="E105" s="36"/>
      <c r="F105" s="36"/>
      <c r="G105" s="36"/>
      <c r="H105" s="36"/>
      <c r="I105" s="36"/>
    </row>
    <row r="106" ht="22.5" hidden="1" customHeight="1">
      <c r="A106" s="36"/>
      <c r="B106" s="36"/>
      <c r="C106" s="36"/>
      <c r="D106" s="36"/>
      <c r="E106" s="36"/>
      <c r="F106" s="36"/>
      <c r="G106" s="36"/>
      <c r="H106" s="36"/>
      <c r="I106" s="36"/>
    </row>
    <row r="107" ht="22.5" hidden="1" customHeight="1">
      <c r="A107" s="36"/>
      <c r="B107" s="36"/>
      <c r="C107" s="36"/>
      <c r="D107" s="36"/>
      <c r="E107" s="36"/>
      <c r="F107" s="36"/>
      <c r="G107" s="36"/>
      <c r="H107" s="36"/>
      <c r="I107" s="36"/>
    </row>
    <row r="108" ht="22.5" hidden="1" customHeight="1">
      <c r="A108" s="36"/>
      <c r="B108" s="36"/>
      <c r="C108" s="36"/>
      <c r="D108" s="36"/>
      <c r="E108" s="36"/>
      <c r="F108" s="36"/>
      <c r="G108" s="36"/>
      <c r="H108" s="36"/>
      <c r="I108" s="36"/>
    </row>
    <row r="109" ht="22.5" hidden="1" customHeight="1">
      <c r="A109" s="36"/>
      <c r="B109" s="36"/>
      <c r="C109" s="36"/>
      <c r="D109" s="36"/>
      <c r="E109" s="36"/>
      <c r="F109" s="36"/>
      <c r="G109" s="36"/>
      <c r="H109" s="36"/>
      <c r="I109" s="36"/>
    </row>
    <row r="110" ht="22.5" hidden="1" customHeight="1">
      <c r="A110" s="36"/>
      <c r="B110" s="36"/>
      <c r="C110" s="36"/>
      <c r="D110" s="36"/>
      <c r="E110" s="36"/>
      <c r="F110" s="36"/>
      <c r="G110" s="36"/>
      <c r="H110" s="36"/>
      <c r="I110" s="36"/>
    </row>
    <row r="111" ht="22.5" hidden="1" customHeight="1">
      <c r="A111" s="36"/>
      <c r="B111" s="36"/>
      <c r="C111" s="36"/>
      <c r="D111" s="36"/>
      <c r="E111" s="36"/>
      <c r="F111" s="36"/>
      <c r="G111" s="36"/>
      <c r="H111" s="36"/>
      <c r="I111" s="36"/>
    </row>
    <row r="112" ht="22.5" hidden="1" customHeight="1">
      <c r="A112" s="36"/>
      <c r="B112" s="36"/>
      <c r="C112" s="36"/>
      <c r="D112" s="36"/>
      <c r="E112" s="36"/>
      <c r="F112" s="36"/>
      <c r="G112" s="36"/>
      <c r="H112" s="36"/>
      <c r="I112" s="36"/>
    </row>
    <row r="113" ht="22.5" hidden="1" customHeight="1">
      <c r="A113" s="36"/>
      <c r="B113" s="36"/>
      <c r="C113" s="36"/>
      <c r="D113" s="36"/>
      <c r="E113" s="36"/>
      <c r="F113" s="36"/>
      <c r="G113" s="36"/>
      <c r="H113" s="36"/>
      <c r="I113" s="36"/>
    </row>
    <row r="114" ht="22.5" hidden="1" customHeight="1">
      <c r="A114" s="36"/>
      <c r="B114" s="36"/>
      <c r="C114" s="36"/>
      <c r="D114" s="36"/>
      <c r="E114" s="36"/>
      <c r="F114" s="36"/>
      <c r="G114" s="36"/>
      <c r="H114" s="36"/>
      <c r="I114" s="36"/>
    </row>
    <row r="115" ht="22.5" hidden="1" customHeight="1">
      <c r="A115" s="36"/>
      <c r="B115" s="36"/>
      <c r="C115" s="36"/>
      <c r="D115" s="36"/>
      <c r="E115" s="36"/>
      <c r="F115" s="36"/>
      <c r="G115" s="36"/>
      <c r="H115" s="36"/>
      <c r="I115" s="36"/>
    </row>
    <row r="116" ht="22.5" hidden="1" customHeight="1">
      <c r="A116" s="36"/>
      <c r="B116" s="36"/>
      <c r="C116" s="36"/>
      <c r="D116" s="36"/>
      <c r="E116" s="36"/>
      <c r="F116" s="36"/>
      <c r="G116" s="36"/>
      <c r="H116" s="36"/>
      <c r="I116" s="36"/>
    </row>
    <row r="117" ht="22.5" hidden="1" customHeight="1">
      <c r="A117" s="36"/>
      <c r="B117" s="36"/>
      <c r="C117" s="36"/>
      <c r="D117" s="36"/>
      <c r="E117" s="36"/>
      <c r="F117" s="36"/>
      <c r="G117" s="36"/>
      <c r="H117" s="36"/>
      <c r="I117" s="36"/>
    </row>
    <row r="118" ht="22.5" hidden="1" customHeight="1">
      <c r="A118" s="36"/>
      <c r="B118" s="36"/>
      <c r="C118" s="36"/>
      <c r="D118" s="36"/>
      <c r="E118" s="36"/>
      <c r="F118" s="36"/>
      <c r="G118" s="36"/>
      <c r="H118" s="36"/>
      <c r="I118" s="36"/>
    </row>
    <row r="119" ht="22.5" hidden="1" customHeight="1">
      <c r="A119" s="36"/>
      <c r="B119" s="36"/>
      <c r="C119" s="36"/>
      <c r="D119" s="36"/>
      <c r="E119" s="36"/>
      <c r="F119" s="36"/>
      <c r="G119" s="36"/>
      <c r="H119" s="36"/>
      <c r="I119" s="36"/>
    </row>
    <row r="120" ht="22.5" hidden="1" customHeight="1">
      <c r="A120" s="36"/>
      <c r="B120" s="36"/>
      <c r="C120" s="36"/>
      <c r="D120" s="36"/>
      <c r="E120" s="36"/>
      <c r="F120" s="36"/>
      <c r="G120" s="36"/>
      <c r="H120" s="36"/>
      <c r="I120" s="36"/>
    </row>
    <row r="121" ht="22.5" hidden="1" customHeight="1">
      <c r="A121" s="36"/>
      <c r="B121" s="36"/>
      <c r="C121" s="36"/>
      <c r="D121" s="36"/>
      <c r="E121" s="36"/>
      <c r="F121" s="36"/>
      <c r="G121" s="36"/>
      <c r="H121" s="36"/>
      <c r="I121" s="36"/>
    </row>
    <row r="122" ht="22.5" hidden="1" customHeight="1">
      <c r="A122" s="36"/>
      <c r="B122" s="36"/>
      <c r="C122" s="36"/>
      <c r="D122" s="36"/>
      <c r="E122" s="36"/>
      <c r="F122" s="36"/>
      <c r="G122" s="36"/>
      <c r="H122" s="36"/>
      <c r="I122" s="36"/>
    </row>
    <row r="123" ht="22.5" hidden="1" customHeight="1">
      <c r="A123" s="36"/>
      <c r="B123" s="36"/>
      <c r="C123" s="36"/>
      <c r="D123" s="36"/>
      <c r="E123" s="36"/>
      <c r="F123" s="36"/>
      <c r="G123" s="36"/>
      <c r="H123" s="36"/>
      <c r="I123" s="36"/>
    </row>
    <row r="124" ht="22.5" hidden="1" customHeight="1">
      <c r="A124" s="36"/>
      <c r="B124" s="36"/>
      <c r="C124" s="36"/>
      <c r="D124" s="36"/>
      <c r="E124" s="36"/>
      <c r="F124" s="36"/>
      <c r="G124" s="36"/>
      <c r="H124" s="36"/>
      <c r="I124" s="36"/>
    </row>
    <row r="125" ht="22.5" hidden="1" customHeight="1">
      <c r="A125" s="36"/>
      <c r="B125" s="36"/>
      <c r="C125" s="36"/>
      <c r="D125" s="36"/>
      <c r="E125" s="36"/>
      <c r="F125" s="36"/>
      <c r="G125" s="36"/>
      <c r="H125" s="36"/>
      <c r="I125" s="36"/>
    </row>
    <row r="126" ht="22.5" hidden="1" customHeight="1">
      <c r="A126" s="36"/>
      <c r="B126" s="36"/>
      <c r="C126" s="36"/>
      <c r="D126" s="36"/>
      <c r="E126" s="36"/>
      <c r="F126" s="36"/>
      <c r="G126" s="36"/>
      <c r="H126" s="36"/>
      <c r="I126" s="36"/>
    </row>
    <row r="127" ht="22.5" hidden="1" customHeight="1">
      <c r="A127" s="36"/>
      <c r="B127" s="36"/>
      <c r="C127" s="36"/>
      <c r="D127" s="36"/>
      <c r="E127" s="36"/>
      <c r="F127" s="36"/>
      <c r="G127" s="36"/>
      <c r="H127" s="36"/>
      <c r="I127" s="36"/>
    </row>
    <row r="128" ht="22.5" hidden="1" customHeight="1">
      <c r="A128" s="36"/>
      <c r="B128" s="36"/>
      <c r="C128" s="36"/>
      <c r="D128" s="36"/>
      <c r="E128" s="36"/>
      <c r="F128" s="36"/>
      <c r="G128" s="36"/>
      <c r="H128" s="36"/>
      <c r="I128" s="36"/>
    </row>
    <row r="129" ht="22.5" hidden="1" customHeight="1">
      <c r="A129" s="36"/>
      <c r="B129" s="36"/>
      <c r="C129" s="36"/>
      <c r="D129" s="36"/>
      <c r="E129" s="36"/>
      <c r="F129" s="36"/>
      <c r="G129" s="36"/>
      <c r="H129" s="36"/>
      <c r="I129" s="36"/>
    </row>
    <row r="130" ht="22.5" hidden="1" customHeight="1">
      <c r="A130" s="36"/>
      <c r="B130" s="36"/>
      <c r="C130" s="36"/>
      <c r="D130" s="36"/>
      <c r="E130" s="36"/>
      <c r="F130" s="36"/>
      <c r="G130" s="36"/>
      <c r="H130" s="36"/>
      <c r="I130" s="36"/>
    </row>
    <row r="131" ht="22.5" hidden="1" customHeight="1">
      <c r="A131" s="36"/>
      <c r="B131" s="36"/>
      <c r="C131" s="36"/>
      <c r="D131" s="36"/>
      <c r="E131" s="36"/>
      <c r="F131" s="36"/>
      <c r="G131" s="36"/>
      <c r="H131" s="36"/>
      <c r="I131" s="36"/>
    </row>
    <row r="132" ht="22.5" hidden="1" customHeight="1">
      <c r="A132" s="36"/>
      <c r="B132" s="36"/>
      <c r="C132" s="36"/>
      <c r="D132" s="36"/>
      <c r="E132" s="36"/>
      <c r="F132" s="36"/>
      <c r="G132" s="36"/>
      <c r="H132" s="36"/>
      <c r="I132" s="36"/>
    </row>
    <row r="133" ht="22.5" hidden="1" customHeight="1">
      <c r="A133" s="36"/>
      <c r="B133" s="36"/>
      <c r="C133" s="36"/>
      <c r="D133" s="36"/>
      <c r="E133" s="36"/>
      <c r="F133" s="36"/>
      <c r="G133" s="36"/>
      <c r="H133" s="36"/>
      <c r="I133" s="36"/>
    </row>
    <row r="134" ht="22.5" hidden="1" customHeight="1">
      <c r="A134" s="36"/>
      <c r="B134" s="36"/>
      <c r="C134" s="36"/>
      <c r="D134" s="36"/>
      <c r="E134" s="36"/>
      <c r="F134" s="36"/>
      <c r="G134" s="36"/>
      <c r="H134" s="36"/>
      <c r="I134" s="36"/>
    </row>
    <row r="135" ht="22.5" hidden="1" customHeight="1">
      <c r="A135" s="36"/>
      <c r="B135" s="36"/>
      <c r="C135" s="36"/>
      <c r="D135" s="36"/>
      <c r="E135" s="36"/>
      <c r="F135" s="36"/>
      <c r="G135" s="36"/>
      <c r="H135" s="36"/>
      <c r="I135" s="36"/>
    </row>
    <row r="136" ht="22.5" hidden="1" customHeight="1">
      <c r="A136" s="36"/>
      <c r="B136" s="36"/>
      <c r="C136" s="36"/>
      <c r="D136" s="36"/>
      <c r="E136" s="36"/>
      <c r="F136" s="36"/>
      <c r="G136" s="36"/>
      <c r="H136" s="36"/>
      <c r="I136" s="36"/>
    </row>
    <row r="137" ht="22.5" hidden="1" customHeight="1">
      <c r="A137" s="36"/>
      <c r="B137" s="36"/>
      <c r="C137" s="36"/>
      <c r="D137" s="36"/>
      <c r="E137" s="36"/>
      <c r="F137" s="36"/>
      <c r="G137" s="36"/>
      <c r="H137" s="36"/>
      <c r="I137" s="36"/>
    </row>
    <row r="138" ht="22.5" hidden="1" customHeight="1">
      <c r="A138" s="36"/>
      <c r="B138" s="36"/>
      <c r="C138" s="36"/>
      <c r="D138" s="36"/>
      <c r="E138" s="36"/>
      <c r="F138" s="36"/>
      <c r="G138" s="36"/>
      <c r="H138" s="36"/>
      <c r="I138" s="36"/>
    </row>
    <row r="139" ht="22.5" hidden="1" customHeight="1">
      <c r="A139" s="36"/>
      <c r="B139" s="36"/>
      <c r="C139" s="36"/>
      <c r="D139" s="36"/>
      <c r="E139" s="36"/>
      <c r="F139" s="36"/>
      <c r="G139" s="36"/>
      <c r="H139" s="36"/>
      <c r="I139" s="36"/>
    </row>
    <row r="140" ht="22.5" hidden="1" customHeight="1">
      <c r="A140" s="36"/>
      <c r="B140" s="36"/>
      <c r="C140" s="36"/>
      <c r="D140" s="36"/>
      <c r="E140" s="36"/>
      <c r="F140" s="36"/>
      <c r="G140" s="36"/>
      <c r="H140" s="36"/>
      <c r="I140" s="36"/>
    </row>
    <row r="141" ht="22.5" hidden="1" customHeight="1">
      <c r="A141" s="36"/>
      <c r="B141" s="36"/>
      <c r="C141" s="36"/>
      <c r="D141" s="36"/>
      <c r="E141" s="36"/>
      <c r="F141" s="36"/>
      <c r="G141" s="36"/>
      <c r="H141" s="36"/>
      <c r="I141" s="36"/>
    </row>
    <row r="142" ht="22.5" hidden="1" customHeight="1">
      <c r="A142" s="36"/>
      <c r="B142" s="36"/>
      <c r="C142" s="36"/>
      <c r="D142" s="36"/>
      <c r="E142" s="36"/>
      <c r="F142" s="36"/>
      <c r="G142" s="36"/>
      <c r="H142" s="36"/>
      <c r="I142" s="36"/>
    </row>
    <row r="143" ht="22.5" hidden="1" customHeight="1">
      <c r="A143" s="36"/>
      <c r="B143" s="36"/>
      <c r="C143" s="36"/>
      <c r="D143" s="36"/>
      <c r="E143" s="36"/>
      <c r="F143" s="36"/>
      <c r="G143" s="36"/>
      <c r="H143" s="36"/>
      <c r="I143" s="36"/>
    </row>
    <row r="144" ht="22.5" hidden="1" customHeight="1">
      <c r="A144" s="36"/>
      <c r="B144" s="36"/>
      <c r="C144" s="36"/>
      <c r="D144" s="36"/>
      <c r="E144" s="36"/>
      <c r="F144" s="36"/>
      <c r="G144" s="36"/>
      <c r="H144" s="36"/>
      <c r="I144" s="36"/>
    </row>
    <row r="145" ht="22.5" hidden="1" customHeight="1">
      <c r="A145" s="36"/>
      <c r="B145" s="36"/>
      <c r="C145" s="36"/>
      <c r="D145" s="36"/>
      <c r="E145" s="36"/>
      <c r="F145" s="36"/>
      <c r="G145" s="36"/>
      <c r="H145" s="36"/>
      <c r="I145" s="36"/>
    </row>
    <row r="146" ht="22.5" hidden="1" customHeight="1">
      <c r="A146" s="36"/>
      <c r="B146" s="36"/>
      <c r="C146" s="36"/>
      <c r="D146" s="36"/>
      <c r="E146" s="36"/>
      <c r="F146" s="36"/>
      <c r="G146" s="36"/>
      <c r="H146" s="36"/>
      <c r="I146" s="36"/>
    </row>
    <row r="147" ht="22.5" hidden="1" customHeight="1">
      <c r="A147" s="36"/>
      <c r="B147" s="36"/>
      <c r="C147" s="36"/>
      <c r="D147" s="36"/>
      <c r="E147" s="36"/>
      <c r="F147" s="36"/>
      <c r="G147" s="36"/>
      <c r="H147" s="36"/>
      <c r="I147" s="36"/>
    </row>
    <row r="148" ht="22.5" hidden="1" customHeight="1">
      <c r="A148" s="36"/>
      <c r="B148" s="36"/>
      <c r="C148" s="36"/>
      <c r="D148" s="36"/>
      <c r="E148" s="36"/>
      <c r="F148" s="36"/>
      <c r="G148" s="36"/>
      <c r="H148" s="36"/>
      <c r="I148" s="36"/>
    </row>
    <row r="149" ht="22.5" hidden="1" customHeight="1">
      <c r="A149" s="36"/>
      <c r="B149" s="36"/>
      <c r="C149" s="36"/>
      <c r="D149" s="36"/>
      <c r="E149" s="36"/>
      <c r="F149" s="36"/>
      <c r="G149" s="36"/>
      <c r="H149" s="36"/>
      <c r="I149" s="36"/>
    </row>
    <row r="150" ht="22.5" hidden="1" customHeight="1">
      <c r="A150" s="36"/>
      <c r="B150" s="36"/>
      <c r="C150" s="36"/>
      <c r="D150" s="36"/>
      <c r="E150" s="36"/>
      <c r="F150" s="36"/>
      <c r="G150" s="36"/>
      <c r="H150" s="36"/>
      <c r="I150" s="36"/>
    </row>
    <row r="151" ht="22.5" hidden="1" customHeight="1">
      <c r="A151" s="36"/>
      <c r="B151" s="36"/>
      <c r="C151" s="36"/>
      <c r="D151" s="36"/>
      <c r="E151" s="36"/>
      <c r="F151" s="36"/>
      <c r="G151" s="36"/>
      <c r="H151" s="36"/>
      <c r="I151" s="36"/>
    </row>
    <row r="152" ht="22.5" hidden="1" customHeight="1">
      <c r="A152" s="36"/>
      <c r="B152" s="36"/>
      <c r="C152" s="36"/>
      <c r="D152" s="36"/>
      <c r="E152" s="36"/>
      <c r="F152" s="36"/>
      <c r="G152" s="36"/>
      <c r="H152" s="36"/>
      <c r="I152" s="36"/>
    </row>
    <row r="153" ht="22.5" hidden="1" customHeight="1">
      <c r="A153" s="36"/>
      <c r="B153" s="36"/>
      <c r="C153" s="36"/>
      <c r="D153" s="36"/>
      <c r="E153" s="36"/>
      <c r="F153" s="36"/>
      <c r="G153" s="36"/>
      <c r="H153" s="36"/>
      <c r="I153" s="36"/>
    </row>
    <row r="154" ht="22.5" hidden="1" customHeight="1">
      <c r="A154" s="36"/>
      <c r="B154" s="36"/>
      <c r="C154" s="36"/>
      <c r="D154" s="36"/>
      <c r="E154" s="36"/>
      <c r="F154" s="36"/>
      <c r="G154" s="36"/>
      <c r="H154" s="36"/>
      <c r="I154" s="36"/>
    </row>
    <row r="155" ht="22.5" hidden="1" customHeight="1">
      <c r="A155" s="36"/>
      <c r="B155" s="36"/>
      <c r="C155" s="36"/>
      <c r="D155" s="36"/>
      <c r="E155" s="36"/>
      <c r="F155" s="36"/>
      <c r="G155" s="36"/>
      <c r="H155" s="36"/>
      <c r="I155" s="36"/>
    </row>
    <row r="156" ht="22.5" hidden="1" customHeight="1">
      <c r="A156" s="36"/>
      <c r="B156" s="36"/>
      <c r="C156" s="36"/>
      <c r="D156" s="36"/>
      <c r="E156" s="36"/>
      <c r="F156" s="36"/>
      <c r="G156" s="36"/>
      <c r="H156" s="36"/>
      <c r="I156" s="36"/>
    </row>
    <row r="157" ht="22.5" hidden="1" customHeight="1">
      <c r="A157" s="36"/>
      <c r="B157" s="36"/>
      <c r="C157" s="36"/>
      <c r="D157" s="36"/>
      <c r="E157" s="36"/>
      <c r="F157" s="36"/>
      <c r="G157" s="36"/>
      <c r="H157" s="36"/>
      <c r="I157" s="36"/>
    </row>
    <row r="158" ht="22.5" hidden="1" customHeight="1">
      <c r="A158" s="36"/>
      <c r="B158" s="36"/>
      <c r="C158" s="36"/>
      <c r="D158" s="36"/>
      <c r="E158" s="36"/>
      <c r="F158" s="36"/>
      <c r="G158" s="36"/>
      <c r="H158" s="36"/>
      <c r="I158" s="36"/>
    </row>
    <row r="159" ht="22.5" hidden="1" customHeight="1">
      <c r="A159" s="36"/>
      <c r="B159" s="36"/>
      <c r="C159" s="36"/>
      <c r="D159" s="36"/>
      <c r="E159" s="36"/>
      <c r="F159" s="36"/>
      <c r="G159" s="36"/>
      <c r="H159" s="36"/>
      <c r="I159" s="36"/>
    </row>
    <row r="160" ht="22.5" hidden="1" customHeight="1">
      <c r="A160" s="36"/>
      <c r="B160" s="36"/>
      <c r="C160" s="36"/>
      <c r="D160" s="36"/>
      <c r="E160" s="36"/>
      <c r="F160" s="36"/>
      <c r="G160" s="36"/>
      <c r="H160" s="36"/>
      <c r="I160" s="36"/>
    </row>
    <row r="161" ht="22.5" hidden="1" customHeight="1">
      <c r="A161" s="36"/>
      <c r="B161" s="36"/>
      <c r="C161" s="36"/>
      <c r="D161" s="36"/>
      <c r="E161" s="36"/>
      <c r="F161" s="36"/>
      <c r="G161" s="36"/>
      <c r="H161" s="36"/>
      <c r="I161" s="36"/>
    </row>
    <row r="162" ht="22.5" hidden="1" customHeight="1">
      <c r="A162" s="36"/>
      <c r="B162" s="36"/>
      <c r="C162" s="36"/>
      <c r="D162" s="36"/>
      <c r="E162" s="36"/>
      <c r="F162" s="36"/>
      <c r="G162" s="36"/>
      <c r="H162" s="36"/>
      <c r="I162" s="36"/>
    </row>
    <row r="163" ht="22.5" hidden="1" customHeight="1">
      <c r="A163" s="36"/>
      <c r="B163" s="36"/>
      <c r="C163" s="36"/>
      <c r="D163" s="36"/>
      <c r="E163" s="36"/>
      <c r="F163" s="36"/>
      <c r="G163" s="36"/>
      <c r="H163" s="36"/>
      <c r="I163" s="36"/>
    </row>
    <row r="164" ht="22.5" hidden="1" customHeight="1">
      <c r="A164" s="36"/>
      <c r="B164" s="36"/>
      <c r="C164" s="36"/>
      <c r="D164" s="36"/>
      <c r="E164" s="36"/>
      <c r="F164" s="36"/>
      <c r="G164" s="36"/>
      <c r="H164" s="36"/>
      <c r="I164" s="36"/>
    </row>
    <row r="165" ht="22.5" hidden="1" customHeight="1">
      <c r="A165" s="36"/>
      <c r="B165" s="36"/>
      <c r="C165" s="36"/>
      <c r="D165" s="36"/>
      <c r="E165" s="36"/>
      <c r="F165" s="36"/>
      <c r="G165" s="36"/>
      <c r="H165" s="36"/>
      <c r="I165" s="36"/>
    </row>
    <row r="166" ht="22.5" hidden="1" customHeight="1">
      <c r="A166" s="36"/>
      <c r="B166" s="36"/>
      <c r="C166" s="36"/>
      <c r="D166" s="36"/>
      <c r="E166" s="36"/>
      <c r="F166" s="36"/>
      <c r="G166" s="36"/>
      <c r="H166" s="36"/>
      <c r="I166" s="36"/>
    </row>
    <row r="167" ht="22.5" hidden="1" customHeight="1">
      <c r="A167" s="36"/>
      <c r="B167" s="36"/>
      <c r="C167" s="36"/>
      <c r="D167" s="36"/>
      <c r="E167" s="36"/>
      <c r="F167" s="36"/>
      <c r="G167" s="36"/>
      <c r="H167" s="36"/>
      <c r="I167" s="36"/>
    </row>
    <row r="168" ht="22.5" hidden="1" customHeight="1">
      <c r="A168" s="36"/>
      <c r="B168" s="36"/>
      <c r="C168" s="36"/>
      <c r="D168" s="36"/>
      <c r="E168" s="36"/>
      <c r="F168" s="36"/>
      <c r="G168" s="36"/>
      <c r="H168" s="36"/>
      <c r="I168" s="36"/>
    </row>
    <row r="169" ht="22.5" hidden="1" customHeight="1">
      <c r="A169" s="36"/>
      <c r="B169" s="36"/>
      <c r="C169" s="36"/>
      <c r="D169" s="36"/>
      <c r="E169" s="36"/>
      <c r="F169" s="36"/>
      <c r="G169" s="36"/>
      <c r="H169" s="36"/>
      <c r="I169" s="36"/>
    </row>
    <row r="170" ht="22.5" hidden="1" customHeight="1">
      <c r="A170" s="36"/>
      <c r="B170" s="36"/>
      <c r="C170" s="36"/>
      <c r="D170" s="36"/>
      <c r="E170" s="36"/>
      <c r="F170" s="36"/>
      <c r="G170" s="36"/>
      <c r="H170" s="36"/>
      <c r="I170" s="36"/>
    </row>
    <row r="171" ht="22.5" hidden="1" customHeight="1">
      <c r="A171" s="36"/>
      <c r="B171" s="36"/>
      <c r="C171" s="36"/>
      <c r="D171" s="36"/>
      <c r="E171" s="36"/>
      <c r="F171" s="36"/>
      <c r="G171" s="36"/>
      <c r="H171" s="36"/>
      <c r="I171" s="36"/>
    </row>
    <row r="172" ht="22.5" hidden="1" customHeight="1">
      <c r="A172" s="36"/>
      <c r="B172" s="36"/>
      <c r="C172" s="36"/>
      <c r="D172" s="36"/>
      <c r="E172" s="36"/>
      <c r="F172" s="36"/>
      <c r="G172" s="36"/>
      <c r="H172" s="36"/>
      <c r="I172" s="36"/>
    </row>
    <row r="173" ht="22.5" hidden="1" customHeight="1">
      <c r="A173" s="36"/>
      <c r="B173" s="36"/>
      <c r="C173" s="36"/>
      <c r="D173" s="36"/>
      <c r="E173" s="36"/>
      <c r="F173" s="36"/>
      <c r="G173" s="36"/>
      <c r="H173" s="36"/>
      <c r="I173" s="36"/>
    </row>
    <row r="174" ht="22.5" hidden="1" customHeight="1">
      <c r="A174" s="36"/>
      <c r="B174" s="36"/>
      <c r="C174" s="36"/>
      <c r="D174" s="36"/>
      <c r="E174" s="36"/>
      <c r="F174" s="36"/>
      <c r="G174" s="36"/>
      <c r="H174" s="36"/>
      <c r="I174" s="36"/>
    </row>
    <row r="175" ht="22.5" hidden="1" customHeight="1">
      <c r="A175" s="36"/>
      <c r="B175" s="36"/>
      <c r="C175" s="36"/>
      <c r="D175" s="36"/>
      <c r="E175" s="36"/>
      <c r="F175" s="36"/>
      <c r="G175" s="36"/>
      <c r="H175" s="36"/>
      <c r="I175" s="36"/>
    </row>
    <row r="176" ht="22.5" hidden="1" customHeight="1">
      <c r="A176" s="36"/>
      <c r="B176" s="36"/>
      <c r="C176" s="36"/>
      <c r="D176" s="36"/>
      <c r="E176" s="36"/>
      <c r="F176" s="36"/>
      <c r="G176" s="36"/>
      <c r="H176" s="36"/>
      <c r="I176" s="36"/>
    </row>
    <row r="177" ht="22.5" hidden="1" customHeight="1">
      <c r="A177" s="36"/>
      <c r="B177" s="36"/>
      <c r="C177" s="36"/>
      <c r="D177" s="36"/>
      <c r="E177" s="36"/>
      <c r="F177" s="36"/>
      <c r="G177" s="36"/>
      <c r="H177" s="36"/>
      <c r="I177" s="36"/>
    </row>
    <row r="178" ht="22.5" hidden="1" customHeight="1">
      <c r="A178" s="36"/>
      <c r="B178" s="36"/>
      <c r="C178" s="36"/>
      <c r="D178" s="36"/>
      <c r="E178" s="36"/>
      <c r="F178" s="36"/>
      <c r="G178" s="36"/>
      <c r="H178" s="36"/>
      <c r="I178" s="36"/>
    </row>
    <row r="179" ht="22.5" hidden="1" customHeight="1">
      <c r="A179" s="36"/>
      <c r="B179" s="36"/>
      <c r="C179" s="36"/>
      <c r="D179" s="36"/>
      <c r="E179" s="36"/>
      <c r="F179" s="36"/>
      <c r="G179" s="36"/>
      <c r="H179" s="36"/>
      <c r="I179" s="36"/>
    </row>
    <row r="180" ht="22.5" hidden="1" customHeight="1">
      <c r="A180" s="36"/>
      <c r="B180" s="36"/>
      <c r="C180" s="36"/>
      <c r="D180" s="36"/>
      <c r="E180" s="36"/>
      <c r="F180" s="36"/>
      <c r="G180" s="36"/>
      <c r="H180" s="36"/>
      <c r="I180" s="36"/>
    </row>
    <row r="181" ht="22.5" hidden="1" customHeight="1">
      <c r="A181" s="36"/>
      <c r="B181" s="36"/>
      <c r="C181" s="36"/>
      <c r="D181" s="36"/>
      <c r="E181" s="36"/>
      <c r="F181" s="36"/>
      <c r="G181" s="36"/>
      <c r="H181" s="36"/>
      <c r="I181" s="36"/>
    </row>
    <row r="182" ht="22.5" hidden="1" customHeight="1">
      <c r="A182" s="36"/>
      <c r="B182" s="36"/>
      <c r="C182" s="36"/>
      <c r="D182" s="36"/>
      <c r="E182" s="36"/>
      <c r="F182" s="36"/>
      <c r="G182" s="36"/>
      <c r="H182" s="36"/>
      <c r="I182" s="36"/>
    </row>
    <row r="183" ht="22.5" hidden="1" customHeight="1">
      <c r="A183" s="36"/>
      <c r="B183" s="36"/>
      <c r="C183" s="36"/>
      <c r="D183" s="36"/>
      <c r="E183" s="36"/>
      <c r="F183" s="36"/>
      <c r="G183" s="36"/>
      <c r="H183" s="36"/>
      <c r="I183" s="36"/>
    </row>
    <row r="184" ht="22.5" hidden="1" customHeight="1">
      <c r="A184" s="36"/>
      <c r="B184" s="36"/>
      <c r="C184" s="36"/>
      <c r="D184" s="36"/>
      <c r="E184" s="36"/>
      <c r="F184" s="36"/>
      <c r="G184" s="36"/>
      <c r="H184" s="36"/>
      <c r="I184" s="36"/>
    </row>
    <row r="185" ht="22.5" hidden="1" customHeight="1">
      <c r="A185" s="36"/>
      <c r="B185" s="36"/>
      <c r="C185" s="36"/>
      <c r="D185" s="36"/>
      <c r="E185" s="36"/>
      <c r="F185" s="36"/>
      <c r="G185" s="36"/>
      <c r="H185" s="36"/>
      <c r="I185" s="36"/>
    </row>
    <row r="186" ht="22.5" hidden="1" customHeight="1">
      <c r="A186" s="36"/>
      <c r="B186" s="36"/>
      <c r="C186" s="36"/>
      <c r="D186" s="36"/>
      <c r="E186" s="36"/>
      <c r="F186" s="36"/>
      <c r="G186" s="36"/>
      <c r="H186" s="36"/>
      <c r="I186" s="36"/>
    </row>
    <row r="187" ht="22.5" hidden="1" customHeight="1">
      <c r="A187" s="36"/>
      <c r="B187" s="36"/>
      <c r="C187" s="36"/>
      <c r="D187" s="36"/>
      <c r="E187" s="36"/>
      <c r="F187" s="36"/>
      <c r="G187" s="36"/>
      <c r="H187" s="36"/>
      <c r="I187" s="36"/>
    </row>
    <row r="188" ht="22.5" hidden="1" customHeight="1">
      <c r="A188" s="36"/>
      <c r="B188" s="36"/>
      <c r="C188" s="36"/>
      <c r="D188" s="36"/>
      <c r="E188" s="36"/>
      <c r="F188" s="36"/>
      <c r="G188" s="36"/>
      <c r="H188" s="36"/>
      <c r="I188" s="36"/>
    </row>
    <row r="189" ht="22.5" hidden="1" customHeight="1">
      <c r="A189" s="36"/>
      <c r="B189" s="36"/>
      <c r="C189" s="36"/>
      <c r="D189" s="36"/>
      <c r="E189" s="36"/>
      <c r="F189" s="36"/>
      <c r="G189" s="36"/>
      <c r="H189" s="36"/>
      <c r="I189" s="36"/>
    </row>
    <row r="190" ht="22.5" hidden="1" customHeight="1">
      <c r="A190" s="36"/>
      <c r="B190" s="36"/>
      <c r="C190" s="36"/>
      <c r="D190" s="36"/>
      <c r="E190" s="36"/>
      <c r="F190" s="36"/>
      <c r="G190" s="36"/>
      <c r="H190" s="36"/>
      <c r="I190" s="36"/>
    </row>
    <row r="191" ht="22.5" hidden="1" customHeight="1">
      <c r="A191" s="36"/>
      <c r="B191" s="36"/>
      <c r="C191" s="36"/>
      <c r="D191" s="36"/>
      <c r="E191" s="36"/>
      <c r="F191" s="36"/>
      <c r="G191" s="36"/>
      <c r="H191" s="36"/>
      <c r="I191" s="36"/>
    </row>
    <row r="192" ht="22.5" hidden="1" customHeight="1">
      <c r="A192" s="36"/>
      <c r="B192" s="36"/>
      <c r="C192" s="36"/>
      <c r="D192" s="36"/>
      <c r="E192" s="36"/>
      <c r="F192" s="36"/>
      <c r="G192" s="36"/>
      <c r="H192" s="36"/>
      <c r="I192" s="36"/>
    </row>
    <row r="193" ht="22.5" hidden="1" customHeight="1">
      <c r="A193" s="36"/>
      <c r="B193" s="36"/>
      <c r="C193" s="36"/>
      <c r="D193" s="36"/>
      <c r="E193" s="36"/>
      <c r="F193" s="36"/>
      <c r="G193" s="36"/>
      <c r="H193" s="36"/>
      <c r="I193" s="36"/>
    </row>
    <row r="194" ht="22.5" hidden="1" customHeight="1">
      <c r="A194" s="36"/>
      <c r="B194" s="36"/>
      <c r="C194" s="36"/>
      <c r="D194" s="36"/>
      <c r="E194" s="36"/>
      <c r="F194" s="36"/>
      <c r="G194" s="36"/>
      <c r="H194" s="36"/>
      <c r="I194" s="36"/>
    </row>
    <row r="195" ht="22.5" hidden="1" customHeight="1">
      <c r="A195" s="36"/>
      <c r="B195" s="36"/>
      <c r="C195" s="36"/>
      <c r="D195" s="36"/>
      <c r="E195" s="36"/>
      <c r="F195" s="36"/>
      <c r="G195" s="36"/>
      <c r="H195" s="36"/>
      <c r="I195" s="36"/>
    </row>
    <row r="196" ht="22.5" hidden="1" customHeight="1">
      <c r="A196" s="36"/>
      <c r="B196" s="36"/>
      <c r="C196" s="36"/>
      <c r="D196" s="36"/>
      <c r="E196" s="36"/>
      <c r="F196" s="36"/>
      <c r="G196" s="36"/>
      <c r="H196" s="36"/>
      <c r="I196" s="36"/>
    </row>
    <row r="197" ht="22.5" hidden="1" customHeight="1">
      <c r="A197" s="36"/>
      <c r="B197" s="36"/>
      <c r="C197" s="36"/>
      <c r="D197" s="36"/>
      <c r="E197" s="36"/>
      <c r="F197" s="36"/>
      <c r="G197" s="36"/>
      <c r="H197" s="36"/>
      <c r="I197" s="36"/>
    </row>
    <row r="198" ht="22.5" hidden="1" customHeight="1">
      <c r="A198" s="36"/>
      <c r="B198" s="36"/>
      <c r="C198" s="36"/>
      <c r="D198" s="36"/>
      <c r="E198" s="36"/>
      <c r="F198" s="36"/>
      <c r="G198" s="36"/>
      <c r="H198" s="36"/>
      <c r="I198" s="36"/>
    </row>
    <row r="199" ht="22.5" hidden="1" customHeight="1">
      <c r="A199" s="36"/>
      <c r="B199" s="36"/>
      <c r="C199" s="36"/>
      <c r="D199" s="36"/>
      <c r="E199" s="36"/>
      <c r="F199" s="36"/>
      <c r="G199" s="36"/>
      <c r="H199" s="36"/>
      <c r="I199" s="36"/>
    </row>
    <row r="200" ht="22.5" hidden="1" customHeight="1">
      <c r="A200" s="36"/>
      <c r="B200" s="36"/>
      <c r="C200" s="36"/>
      <c r="D200" s="36"/>
      <c r="E200" s="36"/>
      <c r="F200" s="36"/>
      <c r="G200" s="36"/>
      <c r="H200" s="36"/>
      <c r="I200" s="36"/>
    </row>
    <row r="201" ht="22.5" hidden="1" customHeight="1">
      <c r="A201" s="36"/>
      <c r="B201" s="36"/>
      <c r="C201" s="36"/>
      <c r="D201" s="36"/>
      <c r="E201" s="36"/>
      <c r="F201" s="36"/>
      <c r="G201" s="36"/>
      <c r="H201" s="36"/>
      <c r="I201" s="36"/>
    </row>
    <row r="202" ht="22.5" hidden="1" customHeight="1">
      <c r="A202" s="36"/>
      <c r="B202" s="36"/>
      <c r="C202" s="36"/>
      <c r="D202" s="36"/>
      <c r="E202" s="36"/>
      <c r="F202" s="36"/>
      <c r="G202" s="36"/>
      <c r="H202" s="36"/>
      <c r="I202" s="36"/>
    </row>
    <row r="203" ht="22.5" hidden="1" customHeight="1">
      <c r="A203" s="36"/>
      <c r="B203" s="36"/>
      <c r="C203" s="36"/>
      <c r="D203" s="36"/>
      <c r="E203" s="36"/>
      <c r="F203" s="36"/>
      <c r="G203" s="36"/>
      <c r="H203" s="36"/>
      <c r="I203" s="36"/>
    </row>
    <row r="204" ht="22.5" hidden="1" customHeight="1">
      <c r="A204" s="36"/>
      <c r="B204" s="36"/>
      <c r="C204" s="36"/>
      <c r="D204" s="36"/>
      <c r="E204" s="36"/>
      <c r="F204" s="36"/>
      <c r="G204" s="36"/>
      <c r="H204" s="36"/>
      <c r="I204" s="36"/>
    </row>
    <row r="205" ht="22.5" hidden="1" customHeight="1">
      <c r="A205" s="36"/>
      <c r="B205" s="36"/>
      <c r="C205" s="36"/>
      <c r="D205" s="36"/>
      <c r="E205" s="36"/>
      <c r="F205" s="36"/>
      <c r="G205" s="36"/>
      <c r="H205" s="36"/>
      <c r="I205" s="36"/>
    </row>
    <row r="206" ht="22.5" hidden="1" customHeight="1">
      <c r="A206" s="36"/>
      <c r="B206" s="36"/>
      <c r="C206" s="36"/>
      <c r="D206" s="36"/>
      <c r="E206" s="36"/>
      <c r="F206" s="36"/>
      <c r="G206" s="36"/>
      <c r="H206" s="36"/>
      <c r="I206" s="36"/>
    </row>
    <row r="207" ht="22.5" hidden="1" customHeight="1">
      <c r="A207" s="36"/>
      <c r="B207" s="36"/>
      <c r="C207" s="36"/>
      <c r="D207" s="36"/>
      <c r="E207" s="36"/>
      <c r="F207" s="36"/>
      <c r="G207" s="36"/>
      <c r="H207" s="36"/>
      <c r="I207" s="36"/>
    </row>
    <row r="208" ht="22.5" hidden="1" customHeight="1">
      <c r="A208" s="36"/>
      <c r="B208" s="36"/>
      <c r="C208" s="36"/>
      <c r="D208" s="36"/>
      <c r="E208" s="36"/>
      <c r="F208" s="36"/>
      <c r="G208" s="36"/>
      <c r="H208" s="36"/>
      <c r="I208" s="36"/>
    </row>
    <row r="209" ht="22.5" hidden="1" customHeight="1">
      <c r="A209" s="36"/>
      <c r="B209" s="36"/>
      <c r="C209" s="36"/>
      <c r="D209" s="36"/>
      <c r="E209" s="36"/>
      <c r="F209" s="36"/>
      <c r="G209" s="36"/>
      <c r="H209" s="36"/>
      <c r="I209" s="36"/>
    </row>
    <row r="210" ht="22.5" hidden="1" customHeight="1">
      <c r="A210" s="36"/>
      <c r="B210" s="36"/>
      <c r="C210" s="36"/>
      <c r="D210" s="36"/>
      <c r="E210" s="36"/>
      <c r="F210" s="36"/>
      <c r="G210" s="36"/>
      <c r="H210" s="36"/>
      <c r="I210" s="36"/>
    </row>
    <row r="211" ht="22.5" hidden="1" customHeight="1">
      <c r="A211" s="36"/>
      <c r="B211" s="36"/>
      <c r="C211" s="36"/>
      <c r="D211" s="36"/>
      <c r="E211" s="36"/>
      <c r="F211" s="36"/>
      <c r="G211" s="36"/>
      <c r="H211" s="36"/>
      <c r="I211" s="36"/>
    </row>
    <row r="212" ht="22.5" hidden="1" customHeight="1">
      <c r="A212" s="36"/>
      <c r="B212" s="36"/>
      <c r="C212" s="36"/>
      <c r="D212" s="36"/>
      <c r="E212" s="36"/>
      <c r="F212" s="36"/>
      <c r="G212" s="36"/>
      <c r="H212" s="36"/>
      <c r="I212" s="36"/>
    </row>
    <row r="213" ht="22.5" hidden="1" customHeight="1">
      <c r="A213" s="36"/>
      <c r="B213" s="36"/>
      <c r="C213" s="36"/>
      <c r="D213" s="36"/>
      <c r="E213" s="36"/>
      <c r="F213" s="36"/>
      <c r="G213" s="36"/>
      <c r="H213" s="36"/>
      <c r="I213" s="36"/>
    </row>
    <row r="214" ht="22.5" hidden="1" customHeight="1">
      <c r="A214" s="36"/>
      <c r="B214" s="36"/>
      <c r="C214" s="36"/>
      <c r="D214" s="36"/>
      <c r="E214" s="36"/>
      <c r="F214" s="36"/>
      <c r="G214" s="36"/>
      <c r="H214" s="36"/>
      <c r="I214" s="36"/>
    </row>
    <row r="215" ht="22.5" hidden="1" customHeight="1">
      <c r="A215" s="36"/>
      <c r="B215" s="36"/>
      <c r="C215" s="36"/>
      <c r="D215" s="36"/>
      <c r="E215" s="36"/>
      <c r="F215" s="36"/>
      <c r="G215" s="36"/>
      <c r="H215" s="36"/>
      <c r="I215" s="36"/>
    </row>
    <row r="216" ht="22.5" hidden="1" customHeight="1">
      <c r="A216" s="36"/>
      <c r="B216" s="36"/>
      <c r="C216" s="36"/>
      <c r="D216" s="36"/>
      <c r="E216" s="36"/>
      <c r="F216" s="36"/>
      <c r="G216" s="36"/>
      <c r="H216" s="36"/>
      <c r="I216" s="36"/>
    </row>
    <row r="217" ht="22.5" hidden="1" customHeight="1">
      <c r="A217" s="36"/>
      <c r="B217" s="36"/>
      <c r="C217" s="36"/>
      <c r="D217" s="36"/>
      <c r="E217" s="36"/>
      <c r="F217" s="36"/>
      <c r="G217" s="36"/>
      <c r="H217" s="36"/>
      <c r="I217" s="36"/>
    </row>
    <row r="218" ht="22.5" hidden="1" customHeight="1">
      <c r="A218" s="36"/>
      <c r="B218" s="36"/>
      <c r="C218" s="36"/>
      <c r="D218" s="36"/>
      <c r="E218" s="36"/>
      <c r="F218" s="36"/>
      <c r="G218" s="36"/>
      <c r="H218" s="36"/>
      <c r="I218" s="36"/>
    </row>
    <row r="219" ht="22.5" hidden="1" customHeight="1">
      <c r="A219" s="36"/>
      <c r="B219" s="36"/>
      <c r="C219" s="36"/>
      <c r="D219" s="36"/>
      <c r="E219" s="36"/>
      <c r="F219" s="36"/>
      <c r="G219" s="36"/>
      <c r="H219" s="36"/>
      <c r="I219" s="36"/>
    </row>
    <row r="220" ht="22.5" hidden="1" customHeight="1">
      <c r="A220" s="36"/>
      <c r="B220" s="36"/>
      <c r="C220" s="36"/>
      <c r="D220" s="36"/>
      <c r="E220" s="36"/>
      <c r="F220" s="36"/>
      <c r="G220" s="36"/>
      <c r="H220" s="36"/>
      <c r="I220" s="36"/>
    </row>
    <row r="221" ht="22.5" hidden="1" customHeight="1">
      <c r="A221" s="36"/>
      <c r="B221" s="36"/>
      <c r="C221" s="36"/>
      <c r="D221" s="36"/>
      <c r="E221" s="36"/>
      <c r="F221" s="36"/>
      <c r="G221" s="36"/>
      <c r="H221" s="36"/>
      <c r="I221" s="36"/>
    </row>
    <row r="222" ht="22.5" hidden="1" customHeight="1">
      <c r="A222" s="36"/>
      <c r="B222" s="36"/>
      <c r="C222" s="36"/>
      <c r="D222" s="36"/>
      <c r="E222" s="36"/>
      <c r="F222" s="36"/>
      <c r="G222" s="36"/>
      <c r="H222" s="36"/>
      <c r="I222" s="36"/>
    </row>
    <row r="223" ht="22.5" hidden="1" customHeight="1">
      <c r="A223" s="36"/>
      <c r="B223" s="36"/>
      <c r="C223" s="36"/>
      <c r="D223" s="36"/>
      <c r="E223" s="36"/>
      <c r="F223" s="36"/>
      <c r="G223" s="36"/>
      <c r="H223" s="36"/>
      <c r="I223" s="36"/>
    </row>
    <row r="224" ht="22.5" hidden="1" customHeight="1">
      <c r="A224" s="36"/>
      <c r="B224" s="36"/>
      <c r="C224" s="36"/>
      <c r="D224" s="36"/>
      <c r="E224" s="36"/>
      <c r="F224" s="36"/>
      <c r="G224" s="36"/>
      <c r="H224" s="36"/>
      <c r="I224" s="36"/>
    </row>
    <row r="225" ht="22.5" hidden="1" customHeight="1">
      <c r="A225" s="36"/>
      <c r="B225" s="36"/>
      <c r="C225" s="36"/>
      <c r="D225" s="36"/>
      <c r="E225" s="36"/>
      <c r="F225" s="36"/>
      <c r="G225" s="36"/>
      <c r="H225" s="36"/>
      <c r="I225" s="36"/>
    </row>
    <row r="226" ht="22.5" hidden="1" customHeight="1">
      <c r="A226" s="36"/>
      <c r="B226" s="36"/>
      <c r="C226" s="36"/>
      <c r="D226" s="36"/>
      <c r="E226" s="36"/>
      <c r="F226" s="36"/>
      <c r="G226" s="36"/>
      <c r="H226" s="36"/>
      <c r="I226" s="36"/>
    </row>
    <row r="227" ht="22.5" hidden="1" customHeight="1">
      <c r="A227" s="36"/>
      <c r="B227" s="36"/>
      <c r="C227" s="36"/>
      <c r="D227" s="36"/>
      <c r="E227" s="36"/>
      <c r="F227" s="36"/>
      <c r="G227" s="36"/>
      <c r="H227" s="36"/>
      <c r="I227" s="36"/>
    </row>
    <row r="228" ht="22.5" hidden="1" customHeight="1">
      <c r="A228" s="36"/>
      <c r="B228" s="36"/>
      <c r="C228" s="36"/>
      <c r="D228" s="36"/>
      <c r="E228" s="36"/>
      <c r="F228" s="36"/>
      <c r="G228" s="36"/>
      <c r="H228" s="36"/>
      <c r="I228" s="36"/>
    </row>
    <row r="229" ht="22.5" hidden="1" customHeight="1">
      <c r="A229" s="36"/>
      <c r="B229" s="36"/>
      <c r="C229" s="36"/>
      <c r="D229" s="36"/>
      <c r="E229" s="36"/>
      <c r="F229" s="36"/>
      <c r="G229" s="36"/>
      <c r="H229" s="36"/>
      <c r="I229" s="36"/>
    </row>
    <row r="230" ht="22.5" hidden="1" customHeight="1">
      <c r="A230" s="36"/>
      <c r="B230" s="36"/>
      <c r="C230" s="36"/>
      <c r="D230" s="36"/>
      <c r="E230" s="36"/>
      <c r="F230" s="36"/>
      <c r="G230" s="36"/>
      <c r="H230" s="36"/>
      <c r="I230" s="36"/>
    </row>
    <row r="231" ht="22.5" hidden="1" customHeight="1">
      <c r="A231" s="36"/>
      <c r="B231" s="36"/>
      <c r="C231" s="36"/>
      <c r="D231" s="36"/>
      <c r="E231" s="36"/>
      <c r="F231" s="36"/>
      <c r="G231" s="36"/>
      <c r="H231" s="36"/>
      <c r="I231" s="36"/>
    </row>
    <row r="232" ht="22.5" hidden="1" customHeight="1">
      <c r="A232" s="36"/>
      <c r="B232" s="36"/>
      <c r="C232" s="36"/>
      <c r="D232" s="36"/>
      <c r="E232" s="36"/>
      <c r="F232" s="36"/>
      <c r="G232" s="36"/>
      <c r="H232" s="36"/>
      <c r="I232" s="36"/>
    </row>
    <row r="233" ht="22.5" hidden="1" customHeight="1">
      <c r="A233" s="36"/>
      <c r="B233" s="36"/>
      <c r="C233" s="36"/>
      <c r="D233" s="36"/>
      <c r="E233" s="36"/>
      <c r="F233" s="36"/>
      <c r="G233" s="36"/>
      <c r="H233" s="36"/>
      <c r="I233" s="36"/>
    </row>
    <row r="234" ht="22.5" hidden="1" customHeight="1">
      <c r="A234" s="36"/>
      <c r="B234" s="36"/>
      <c r="C234" s="36"/>
      <c r="D234" s="36"/>
      <c r="E234" s="36"/>
      <c r="F234" s="36"/>
      <c r="G234" s="36"/>
      <c r="H234" s="36"/>
      <c r="I234" s="36"/>
    </row>
    <row r="235" ht="22.5" hidden="1" customHeight="1">
      <c r="A235" s="36"/>
      <c r="B235" s="36"/>
      <c r="C235" s="36"/>
      <c r="D235" s="36"/>
      <c r="E235" s="36"/>
      <c r="F235" s="36"/>
      <c r="G235" s="36"/>
      <c r="H235" s="36"/>
      <c r="I235" s="36"/>
    </row>
    <row r="236" ht="22.5" hidden="1" customHeight="1">
      <c r="A236" s="36"/>
      <c r="B236" s="36"/>
      <c r="C236" s="36"/>
      <c r="D236" s="36"/>
      <c r="E236" s="36"/>
      <c r="F236" s="36"/>
      <c r="G236" s="36"/>
      <c r="H236" s="36"/>
      <c r="I236" s="36"/>
    </row>
    <row r="237" ht="22.5" hidden="1" customHeight="1">
      <c r="A237" s="36"/>
      <c r="B237" s="36"/>
      <c r="C237" s="36"/>
      <c r="D237" s="36"/>
      <c r="E237" s="36"/>
      <c r="F237" s="36"/>
      <c r="G237" s="36"/>
      <c r="H237" s="36"/>
      <c r="I237" s="36"/>
    </row>
    <row r="238" ht="22.5" hidden="1" customHeight="1">
      <c r="A238" s="36"/>
      <c r="B238" s="36"/>
      <c r="C238" s="36"/>
      <c r="D238" s="36"/>
      <c r="E238" s="36"/>
      <c r="F238" s="36"/>
      <c r="G238" s="36"/>
      <c r="H238" s="36"/>
      <c r="I238" s="36"/>
    </row>
    <row r="239" ht="22.5" hidden="1" customHeight="1">
      <c r="A239" s="36"/>
      <c r="B239" s="36"/>
      <c r="C239" s="36"/>
      <c r="D239" s="36"/>
      <c r="E239" s="36"/>
      <c r="F239" s="36"/>
      <c r="G239" s="36"/>
      <c r="H239" s="36"/>
      <c r="I239" s="36"/>
    </row>
    <row r="240" ht="22.5" hidden="1" customHeight="1">
      <c r="A240" s="36"/>
      <c r="B240" s="36"/>
      <c r="C240" s="36"/>
      <c r="D240" s="36"/>
      <c r="E240" s="36"/>
      <c r="F240" s="36"/>
      <c r="G240" s="36"/>
      <c r="H240" s="36"/>
      <c r="I240" s="36"/>
    </row>
    <row r="241" ht="22.5" hidden="1" customHeight="1">
      <c r="A241" s="36"/>
      <c r="B241" s="36"/>
      <c r="C241" s="36"/>
      <c r="D241" s="36"/>
      <c r="E241" s="36"/>
      <c r="F241" s="36"/>
      <c r="G241" s="36"/>
      <c r="H241" s="36"/>
      <c r="I241" s="36"/>
    </row>
    <row r="242" ht="22.5" hidden="1" customHeight="1">
      <c r="A242" s="36"/>
      <c r="B242" s="36"/>
      <c r="C242" s="36"/>
      <c r="D242" s="36"/>
      <c r="E242" s="36"/>
      <c r="F242" s="36"/>
      <c r="G242" s="36"/>
      <c r="H242" s="36"/>
      <c r="I242" s="36"/>
    </row>
    <row r="243" ht="22.5" hidden="1" customHeight="1">
      <c r="A243" s="36"/>
      <c r="B243" s="36"/>
      <c r="C243" s="36"/>
      <c r="D243" s="36"/>
      <c r="E243" s="36"/>
      <c r="F243" s="36"/>
      <c r="G243" s="36"/>
      <c r="H243" s="36"/>
      <c r="I243" s="36"/>
    </row>
    <row r="244" ht="22.5" hidden="1" customHeight="1">
      <c r="A244" s="36"/>
      <c r="B244" s="36"/>
      <c r="C244" s="36"/>
      <c r="D244" s="36"/>
      <c r="E244" s="36"/>
      <c r="F244" s="36"/>
      <c r="G244" s="36"/>
      <c r="H244" s="36"/>
      <c r="I244" s="36"/>
    </row>
    <row r="245" ht="22.5" hidden="1" customHeight="1">
      <c r="A245" s="36"/>
      <c r="B245" s="36"/>
      <c r="C245" s="36"/>
      <c r="D245" s="36"/>
      <c r="E245" s="36"/>
      <c r="F245" s="36"/>
      <c r="G245" s="36"/>
      <c r="H245" s="36"/>
      <c r="I245" s="36"/>
    </row>
    <row r="246" ht="22.5" hidden="1" customHeight="1">
      <c r="A246" s="36"/>
      <c r="B246" s="36"/>
      <c r="C246" s="36"/>
      <c r="D246" s="36"/>
      <c r="E246" s="36"/>
      <c r="F246" s="36"/>
      <c r="G246" s="36"/>
      <c r="H246" s="36"/>
      <c r="I246" s="36"/>
    </row>
    <row r="247" ht="22.5" hidden="1" customHeight="1">
      <c r="A247" s="36"/>
      <c r="B247" s="36"/>
      <c r="C247" s="36"/>
      <c r="D247" s="36"/>
      <c r="E247" s="36"/>
      <c r="F247" s="36"/>
      <c r="G247" s="36"/>
      <c r="H247" s="36"/>
      <c r="I247" s="36"/>
    </row>
    <row r="248" ht="22.5" hidden="1" customHeight="1">
      <c r="A248" s="36"/>
      <c r="B248" s="36"/>
      <c r="C248" s="36"/>
      <c r="D248" s="36"/>
      <c r="E248" s="36"/>
      <c r="F248" s="36"/>
      <c r="G248" s="36"/>
      <c r="H248" s="36"/>
      <c r="I248" s="36"/>
    </row>
    <row r="249" ht="22.5" hidden="1" customHeight="1">
      <c r="A249" s="36"/>
      <c r="B249" s="36"/>
      <c r="C249" s="36"/>
      <c r="D249" s="36"/>
      <c r="E249" s="36"/>
      <c r="F249" s="36"/>
      <c r="G249" s="36"/>
      <c r="H249" s="36"/>
      <c r="I249" s="36"/>
    </row>
    <row r="250" ht="22.5" hidden="1" customHeight="1">
      <c r="A250" s="36"/>
      <c r="B250" s="36"/>
      <c r="C250" s="36"/>
      <c r="D250" s="36"/>
      <c r="E250" s="36"/>
      <c r="F250" s="36"/>
      <c r="G250" s="36"/>
      <c r="H250" s="36"/>
      <c r="I250" s="36"/>
    </row>
    <row r="251" ht="22.5" hidden="1" customHeight="1">
      <c r="A251" s="36"/>
      <c r="B251" s="36"/>
      <c r="C251" s="36"/>
      <c r="D251" s="36"/>
      <c r="E251" s="36"/>
      <c r="F251" s="36"/>
      <c r="G251" s="36"/>
      <c r="H251" s="36"/>
      <c r="I251" s="36"/>
    </row>
    <row r="252" ht="22.5" hidden="1" customHeight="1">
      <c r="A252" s="36"/>
      <c r="B252" s="36"/>
      <c r="C252" s="36"/>
      <c r="D252" s="36"/>
      <c r="E252" s="36"/>
      <c r="F252" s="36"/>
      <c r="G252" s="36"/>
      <c r="H252" s="36"/>
      <c r="I252" s="36"/>
    </row>
    <row r="253" ht="22.5" hidden="1" customHeight="1">
      <c r="A253" s="36"/>
      <c r="B253" s="36"/>
      <c r="C253" s="36"/>
      <c r="D253" s="36"/>
      <c r="E253" s="36"/>
      <c r="F253" s="36"/>
      <c r="G253" s="36"/>
      <c r="H253" s="36"/>
      <c r="I253" s="36"/>
    </row>
    <row r="254" ht="22.5" hidden="1" customHeight="1">
      <c r="A254" s="36"/>
      <c r="B254" s="36"/>
      <c r="C254" s="36"/>
      <c r="D254" s="36"/>
      <c r="E254" s="36"/>
      <c r="F254" s="36"/>
      <c r="G254" s="36"/>
      <c r="H254" s="36"/>
      <c r="I254" s="36"/>
    </row>
    <row r="255" ht="22.5" hidden="1" customHeight="1">
      <c r="A255" s="36"/>
      <c r="B255" s="36"/>
      <c r="C255" s="36"/>
      <c r="D255" s="36"/>
      <c r="E255" s="36"/>
      <c r="F255" s="36"/>
      <c r="G255" s="36"/>
      <c r="H255" s="36"/>
      <c r="I255" s="36"/>
    </row>
    <row r="256" ht="22.5" hidden="1" customHeight="1">
      <c r="A256" s="36"/>
      <c r="B256" s="36"/>
      <c r="C256" s="36"/>
      <c r="D256" s="36"/>
      <c r="E256" s="36"/>
      <c r="F256" s="36"/>
      <c r="G256" s="36"/>
      <c r="H256" s="36"/>
      <c r="I256" s="36"/>
    </row>
    <row r="257" ht="22.5" hidden="1" customHeight="1">
      <c r="A257" s="36"/>
      <c r="B257" s="36"/>
      <c r="C257" s="36"/>
      <c r="D257" s="36"/>
      <c r="E257" s="36"/>
      <c r="F257" s="36"/>
      <c r="G257" s="36"/>
      <c r="H257" s="36"/>
      <c r="I257" s="36"/>
    </row>
    <row r="258" ht="22.5" hidden="1" customHeight="1">
      <c r="A258" s="36"/>
      <c r="B258" s="36"/>
      <c r="C258" s="36"/>
      <c r="D258" s="36"/>
      <c r="E258" s="36"/>
      <c r="F258" s="36"/>
      <c r="G258" s="36"/>
      <c r="H258" s="36"/>
      <c r="I258" s="36"/>
    </row>
    <row r="259" ht="22.5" hidden="1" customHeight="1">
      <c r="A259" s="36"/>
      <c r="B259" s="36"/>
      <c r="C259" s="36"/>
      <c r="D259" s="36"/>
      <c r="E259" s="36"/>
      <c r="F259" s="36"/>
      <c r="G259" s="36"/>
      <c r="H259" s="36"/>
      <c r="I259" s="36"/>
    </row>
    <row r="260" ht="22.5" hidden="1" customHeight="1">
      <c r="A260" s="36"/>
      <c r="B260" s="36"/>
      <c r="C260" s="36"/>
      <c r="D260" s="36"/>
      <c r="E260" s="36"/>
      <c r="F260" s="36"/>
      <c r="G260" s="36"/>
      <c r="H260" s="36"/>
      <c r="I260" s="36"/>
    </row>
    <row r="261" ht="22.5" hidden="1" customHeight="1">
      <c r="A261" s="36"/>
      <c r="B261" s="36"/>
      <c r="C261" s="36"/>
      <c r="D261" s="36"/>
      <c r="E261" s="36"/>
      <c r="F261" s="36"/>
      <c r="G261" s="36"/>
      <c r="H261" s="36"/>
      <c r="I261" s="36"/>
    </row>
    <row r="262" ht="22.5" hidden="1" customHeight="1">
      <c r="A262" s="36"/>
      <c r="B262" s="36"/>
      <c r="C262" s="36"/>
      <c r="D262" s="36"/>
      <c r="E262" s="36"/>
      <c r="F262" s="36"/>
      <c r="G262" s="36"/>
      <c r="H262" s="36"/>
      <c r="I262" s="36"/>
    </row>
    <row r="263" ht="22.5" hidden="1" customHeight="1">
      <c r="A263" s="36"/>
      <c r="B263" s="36"/>
      <c r="C263" s="36"/>
      <c r="D263" s="36"/>
      <c r="E263" s="36"/>
      <c r="F263" s="36"/>
      <c r="G263" s="36"/>
      <c r="H263" s="36"/>
      <c r="I263" s="36"/>
    </row>
    <row r="264" ht="22.5" hidden="1" customHeight="1">
      <c r="A264" s="36"/>
      <c r="B264" s="36"/>
      <c r="C264" s="36"/>
      <c r="D264" s="36"/>
      <c r="E264" s="36"/>
      <c r="F264" s="36"/>
      <c r="G264" s="36"/>
      <c r="H264" s="36"/>
      <c r="I264" s="36"/>
    </row>
    <row r="265" ht="22.5" hidden="1" customHeight="1">
      <c r="A265" s="36"/>
      <c r="B265" s="36"/>
      <c r="C265" s="36"/>
      <c r="D265" s="36"/>
      <c r="E265" s="36"/>
      <c r="F265" s="36"/>
      <c r="G265" s="36"/>
      <c r="H265" s="36"/>
      <c r="I265" s="36"/>
    </row>
    <row r="266" ht="22.5" hidden="1" customHeight="1">
      <c r="A266" s="36"/>
      <c r="B266" s="36"/>
      <c r="C266" s="36"/>
      <c r="D266" s="36"/>
      <c r="E266" s="36"/>
      <c r="F266" s="36"/>
      <c r="G266" s="36"/>
      <c r="H266" s="36"/>
      <c r="I266" s="36"/>
    </row>
    <row r="267" ht="22.5" hidden="1" customHeight="1">
      <c r="A267" s="36"/>
      <c r="B267" s="36"/>
      <c r="C267" s="36"/>
      <c r="D267" s="36"/>
      <c r="E267" s="36"/>
      <c r="F267" s="36"/>
      <c r="G267" s="36"/>
      <c r="H267" s="36"/>
      <c r="I267" s="36"/>
    </row>
    <row r="268" ht="22.5" hidden="1" customHeight="1">
      <c r="A268" s="36"/>
      <c r="B268" s="36"/>
      <c r="C268" s="36"/>
      <c r="D268" s="36"/>
      <c r="E268" s="36"/>
      <c r="F268" s="36"/>
      <c r="G268" s="36"/>
      <c r="H268" s="36"/>
      <c r="I268" s="36"/>
    </row>
    <row r="269" ht="22.5" hidden="1" customHeight="1">
      <c r="A269" s="36"/>
      <c r="B269" s="36"/>
      <c r="C269" s="36"/>
      <c r="D269" s="36"/>
      <c r="E269" s="36"/>
      <c r="F269" s="36"/>
      <c r="G269" s="36"/>
      <c r="H269" s="36"/>
      <c r="I269" s="36"/>
    </row>
    <row r="270" ht="22.5" hidden="1" customHeight="1">
      <c r="A270" s="36"/>
      <c r="B270" s="36"/>
      <c r="C270" s="36"/>
      <c r="D270" s="36"/>
      <c r="E270" s="36"/>
      <c r="F270" s="36"/>
      <c r="G270" s="36"/>
      <c r="H270" s="36"/>
      <c r="I270" s="36"/>
    </row>
    <row r="271" ht="22.5" hidden="1" customHeight="1">
      <c r="A271" s="36"/>
      <c r="B271" s="36"/>
      <c r="C271" s="36"/>
      <c r="D271" s="36"/>
      <c r="E271" s="36"/>
      <c r="F271" s="36"/>
      <c r="G271" s="36"/>
      <c r="H271" s="36"/>
      <c r="I271" s="36"/>
    </row>
    <row r="272" ht="22.5" hidden="1" customHeight="1">
      <c r="A272" s="36"/>
      <c r="B272" s="36"/>
      <c r="C272" s="36"/>
      <c r="D272" s="36"/>
      <c r="E272" s="36"/>
      <c r="F272" s="36"/>
      <c r="G272" s="36"/>
      <c r="H272" s="36"/>
      <c r="I272" s="36"/>
    </row>
    <row r="273" ht="22.5" hidden="1" customHeight="1">
      <c r="A273" s="36"/>
      <c r="B273" s="36"/>
      <c r="C273" s="36"/>
      <c r="D273" s="36"/>
      <c r="E273" s="36"/>
      <c r="F273" s="36"/>
      <c r="G273" s="36"/>
      <c r="H273" s="36"/>
      <c r="I273" s="36"/>
    </row>
    <row r="274" ht="22.5" hidden="1" customHeight="1">
      <c r="A274" s="36"/>
      <c r="B274" s="36"/>
      <c r="C274" s="36"/>
      <c r="D274" s="36"/>
      <c r="E274" s="36"/>
      <c r="F274" s="36"/>
      <c r="G274" s="36"/>
      <c r="H274" s="36"/>
      <c r="I274" s="36"/>
    </row>
    <row r="275" ht="22.5" hidden="1" customHeight="1">
      <c r="A275" s="36"/>
      <c r="B275" s="36"/>
      <c r="C275" s="36"/>
      <c r="D275" s="36"/>
      <c r="E275" s="36"/>
      <c r="F275" s="36"/>
      <c r="G275" s="36"/>
      <c r="H275" s="36"/>
      <c r="I275" s="36"/>
    </row>
    <row r="276" ht="22.5" hidden="1" customHeight="1">
      <c r="A276" s="36"/>
      <c r="B276" s="36"/>
      <c r="C276" s="36"/>
      <c r="D276" s="36"/>
      <c r="E276" s="36"/>
      <c r="F276" s="36"/>
      <c r="G276" s="36"/>
      <c r="H276" s="36"/>
      <c r="I276" s="36"/>
    </row>
    <row r="277" ht="22.5" hidden="1" customHeight="1">
      <c r="A277" s="36"/>
      <c r="B277" s="36"/>
      <c r="C277" s="36"/>
      <c r="D277" s="36"/>
      <c r="E277" s="36"/>
      <c r="F277" s="36"/>
      <c r="G277" s="36"/>
      <c r="H277" s="36"/>
      <c r="I277" s="36"/>
    </row>
    <row r="278" ht="22.5" hidden="1" customHeight="1">
      <c r="A278" s="36"/>
      <c r="B278" s="36"/>
      <c r="C278" s="36"/>
      <c r="D278" s="36"/>
      <c r="E278" s="36"/>
      <c r="F278" s="36"/>
      <c r="G278" s="36"/>
      <c r="H278" s="36"/>
      <c r="I278" s="36"/>
    </row>
    <row r="279" ht="22.5" hidden="1" customHeight="1">
      <c r="A279" s="36"/>
      <c r="B279" s="36"/>
      <c r="C279" s="36"/>
      <c r="D279" s="36"/>
      <c r="E279" s="36"/>
      <c r="F279" s="36"/>
      <c r="G279" s="36"/>
      <c r="H279" s="36"/>
      <c r="I279" s="36"/>
    </row>
    <row r="280" ht="22.5" hidden="1" customHeight="1">
      <c r="A280" s="36"/>
      <c r="B280" s="36"/>
      <c r="C280" s="36"/>
      <c r="D280" s="36"/>
      <c r="E280" s="36"/>
      <c r="F280" s="36"/>
      <c r="G280" s="36"/>
      <c r="H280" s="36"/>
      <c r="I280" s="36"/>
    </row>
    <row r="281" ht="22.5" hidden="1" customHeight="1">
      <c r="A281" s="36"/>
      <c r="B281" s="36"/>
      <c r="C281" s="36"/>
      <c r="D281" s="36"/>
      <c r="E281" s="36"/>
      <c r="F281" s="36"/>
      <c r="G281" s="36"/>
      <c r="H281" s="36"/>
      <c r="I281" s="36"/>
    </row>
    <row r="282" ht="22.5" hidden="1" customHeight="1">
      <c r="A282" s="36"/>
      <c r="B282" s="36"/>
      <c r="C282" s="36"/>
      <c r="D282" s="36"/>
      <c r="E282" s="36"/>
      <c r="F282" s="36"/>
      <c r="G282" s="36"/>
      <c r="H282" s="36"/>
      <c r="I282" s="36"/>
    </row>
    <row r="283" ht="22.5" hidden="1" customHeight="1">
      <c r="A283" s="36"/>
      <c r="B283" s="36"/>
      <c r="C283" s="36"/>
      <c r="D283" s="36"/>
      <c r="E283" s="36"/>
      <c r="F283" s="36"/>
      <c r="G283" s="36"/>
      <c r="H283" s="36"/>
      <c r="I283" s="36"/>
    </row>
    <row r="284" ht="22.5" hidden="1" customHeight="1">
      <c r="A284" s="36"/>
      <c r="B284" s="36"/>
      <c r="C284" s="36"/>
      <c r="D284" s="36"/>
      <c r="E284" s="36"/>
      <c r="F284" s="36"/>
      <c r="G284" s="36"/>
      <c r="H284" s="36"/>
      <c r="I284" s="36"/>
    </row>
    <row r="285" ht="22.5" hidden="1" customHeight="1">
      <c r="A285" s="36"/>
      <c r="B285" s="36"/>
      <c r="C285" s="36"/>
      <c r="D285" s="36"/>
      <c r="E285" s="36"/>
      <c r="F285" s="36"/>
      <c r="G285" s="36"/>
      <c r="H285" s="36"/>
      <c r="I285" s="36"/>
    </row>
    <row r="286" ht="22.5" hidden="1" customHeight="1">
      <c r="A286" s="36"/>
      <c r="B286" s="36"/>
      <c r="C286" s="36"/>
      <c r="D286" s="36"/>
      <c r="E286" s="36"/>
      <c r="F286" s="36"/>
      <c r="G286" s="36"/>
      <c r="H286" s="36"/>
      <c r="I286" s="36"/>
    </row>
    <row r="287" ht="22.5" hidden="1" customHeight="1">
      <c r="A287" s="36"/>
      <c r="B287" s="36"/>
      <c r="C287" s="36"/>
      <c r="D287" s="36"/>
      <c r="E287" s="36"/>
      <c r="F287" s="36"/>
      <c r="G287" s="36"/>
      <c r="H287" s="36"/>
      <c r="I287" s="36"/>
    </row>
    <row r="288" ht="22.5" hidden="1" customHeight="1">
      <c r="A288" s="36"/>
      <c r="B288" s="36"/>
      <c r="C288" s="36"/>
      <c r="D288" s="36"/>
      <c r="E288" s="36"/>
      <c r="F288" s="36"/>
      <c r="G288" s="36"/>
      <c r="H288" s="36"/>
      <c r="I288" s="36"/>
    </row>
    <row r="289" ht="22.5" hidden="1" customHeight="1">
      <c r="A289" s="36"/>
      <c r="B289" s="36"/>
      <c r="C289" s="36"/>
      <c r="D289" s="36"/>
      <c r="E289" s="36"/>
      <c r="F289" s="36"/>
      <c r="G289" s="36"/>
      <c r="H289" s="36"/>
      <c r="I289" s="36"/>
    </row>
    <row r="290" ht="22.5" hidden="1" customHeight="1">
      <c r="A290" s="36"/>
      <c r="B290" s="36"/>
      <c r="C290" s="36"/>
      <c r="D290" s="36"/>
      <c r="E290" s="36"/>
      <c r="F290" s="36"/>
      <c r="G290" s="36"/>
      <c r="H290" s="36"/>
      <c r="I290" s="36"/>
    </row>
    <row r="291" ht="22.5" hidden="1" customHeight="1">
      <c r="A291" s="36"/>
      <c r="B291" s="36"/>
      <c r="C291" s="36"/>
      <c r="D291" s="36"/>
      <c r="E291" s="36"/>
      <c r="F291" s="36"/>
      <c r="G291" s="36"/>
      <c r="H291" s="36"/>
      <c r="I291" s="36"/>
    </row>
    <row r="292" ht="22.5" hidden="1" customHeight="1">
      <c r="A292" s="36"/>
      <c r="B292" s="36"/>
      <c r="C292" s="36"/>
      <c r="D292" s="36"/>
      <c r="E292" s="36"/>
      <c r="F292" s="36"/>
      <c r="G292" s="36"/>
      <c r="H292" s="36"/>
      <c r="I292" s="36"/>
    </row>
    <row r="293" ht="22.5" hidden="1" customHeight="1">
      <c r="A293" s="36"/>
      <c r="B293" s="36"/>
      <c r="C293" s="36"/>
      <c r="D293" s="36"/>
      <c r="E293" s="36"/>
      <c r="F293" s="36"/>
      <c r="G293" s="36"/>
      <c r="H293" s="36"/>
      <c r="I293" s="36"/>
    </row>
    <row r="294" ht="22.5" hidden="1" customHeight="1">
      <c r="A294" s="36"/>
      <c r="B294" s="36"/>
      <c r="C294" s="36"/>
      <c r="D294" s="36"/>
      <c r="E294" s="36"/>
      <c r="F294" s="36"/>
      <c r="G294" s="36"/>
      <c r="H294" s="36"/>
      <c r="I294" s="36"/>
    </row>
    <row r="295" ht="22.5" hidden="1" customHeight="1">
      <c r="A295" s="36"/>
      <c r="B295" s="36"/>
      <c r="C295" s="36"/>
      <c r="D295" s="36"/>
      <c r="E295" s="36"/>
      <c r="F295" s="36"/>
      <c r="G295" s="36"/>
      <c r="H295" s="36"/>
      <c r="I295" s="36"/>
    </row>
    <row r="296" ht="22.5" hidden="1" customHeight="1">
      <c r="A296" s="36"/>
      <c r="B296" s="36"/>
      <c r="C296" s="36"/>
      <c r="D296" s="36"/>
      <c r="E296" s="36"/>
      <c r="F296" s="36"/>
      <c r="G296" s="36"/>
      <c r="H296" s="36"/>
      <c r="I296" s="36"/>
    </row>
    <row r="297" ht="22.5" hidden="1" customHeight="1">
      <c r="A297" s="36"/>
      <c r="B297" s="36"/>
      <c r="C297" s="36"/>
      <c r="D297" s="36"/>
      <c r="E297" s="36"/>
      <c r="F297" s="36"/>
      <c r="G297" s="36"/>
      <c r="H297" s="36"/>
      <c r="I297" s="36"/>
    </row>
    <row r="298" ht="22.5" hidden="1" customHeight="1">
      <c r="A298" s="36"/>
      <c r="B298" s="36"/>
      <c r="C298" s="36"/>
      <c r="D298" s="36"/>
      <c r="E298" s="36"/>
      <c r="F298" s="36"/>
      <c r="G298" s="36"/>
      <c r="H298" s="36"/>
      <c r="I298" s="36"/>
    </row>
    <row r="299" ht="22.5" hidden="1" customHeight="1">
      <c r="A299" s="36"/>
      <c r="B299" s="36"/>
      <c r="C299" s="36"/>
      <c r="D299" s="36"/>
      <c r="E299" s="36"/>
      <c r="F299" s="36"/>
      <c r="G299" s="36"/>
      <c r="H299" s="36"/>
      <c r="I299" s="36"/>
    </row>
    <row r="300" ht="22.5" hidden="1" customHeight="1">
      <c r="A300" s="36"/>
      <c r="B300" s="36"/>
      <c r="C300" s="36"/>
      <c r="D300" s="36"/>
      <c r="E300" s="36"/>
      <c r="F300" s="36"/>
      <c r="G300" s="36"/>
      <c r="H300" s="36"/>
      <c r="I300" s="36"/>
    </row>
    <row r="301" ht="22.5" hidden="1" customHeight="1">
      <c r="A301" s="36"/>
      <c r="B301" s="36"/>
      <c r="C301" s="36"/>
      <c r="D301" s="36"/>
      <c r="E301" s="36"/>
      <c r="F301" s="36"/>
      <c r="G301" s="36"/>
      <c r="H301" s="36"/>
      <c r="I301" s="36"/>
    </row>
    <row r="302" ht="22.5" hidden="1" customHeight="1">
      <c r="A302" s="36"/>
      <c r="B302" s="36"/>
      <c r="C302" s="36"/>
      <c r="D302" s="36"/>
      <c r="E302" s="36"/>
      <c r="F302" s="36"/>
      <c r="G302" s="36"/>
      <c r="H302" s="36"/>
      <c r="I302" s="36"/>
    </row>
    <row r="303" ht="22.5" hidden="1" customHeight="1">
      <c r="A303" s="36"/>
      <c r="B303" s="36"/>
      <c r="C303" s="36"/>
      <c r="D303" s="36"/>
      <c r="E303" s="36"/>
      <c r="F303" s="36"/>
      <c r="G303" s="36"/>
      <c r="H303" s="36"/>
      <c r="I303" s="36"/>
    </row>
    <row r="304" ht="22.5" hidden="1" customHeight="1">
      <c r="A304" s="36"/>
      <c r="B304" s="36"/>
      <c r="C304" s="36"/>
      <c r="D304" s="36"/>
      <c r="E304" s="36"/>
      <c r="F304" s="36"/>
      <c r="G304" s="36"/>
      <c r="H304" s="36"/>
      <c r="I304" s="36"/>
    </row>
    <row r="305" ht="22.5" hidden="1" customHeight="1">
      <c r="A305" s="36"/>
      <c r="B305" s="36"/>
      <c r="C305" s="36"/>
      <c r="D305" s="36"/>
      <c r="E305" s="36"/>
      <c r="F305" s="36"/>
      <c r="G305" s="36"/>
      <c r="H305" s="36"/>
      <c r="I305" s="36"/>
    </row>
    <row r="306" ht="22.5" hidden="1" customHeight="1">
      <c r="A306" s="36"/>
      <c r="B306" s="36"/>
      <c r="C306" s="36"/>
      <c r="D306" s="36"/>
      <c r="E306" s="36"/>
      <c r="F306" s="36"/>
      <c r="G306" s="36"/>
      <c r="H306" s="36"/>
      <c r="I306" s="36"/>
    </row>
    <row r="307" ht="22.5" hidden="1" customHeight="1">
      <c r="A307" s="36"/>
      <c r="B307" s="36"/>
      <c r="C307" s="36"/>
      <c r="D307" s="36"/>
      <c r="E307" s="36"/>
      <c r="F307" s="36"/>
      <c r="G307" s="36"/>
      <c r="H307" s="36"/>
      <c r="I307" s="36"/>
    </row>
    <row r="308" ht="22.5" hidden="1" customHeight="1">
      <c r="A308" s="36"/>
      <c r="B308" s="36"/>
      <c r="C308" s="36"/>
      <c r="D308" s="36"/>
      <c r="E308" s="36"/>
      <c r="F308" s="36"/>
      <c r="G308" s="36"/>
      <c r="H308" s="36"/>
      <c r="I308" s="36"/>
    </row>
    <row r="309" ht="22.5" hidden="1" customHeight="1">
      <c r="A309" s="36"/>
      <c r="B309" s="36"/>
      <c r="C309" s="36"/>
      <c r="D309" s="36"/>
      <c r="E309" s="36"/>
      <c r="F309" s="36"/>
      <c r="G309" s="36"/>
      <c r="H309" s="36"/>
      <c r="I309" s="36"/>
    </row>
    <row r="310" ht="22.5" hidden="1" customHeight="1">
      <c r="A310" s="36"/>
      <c r="B310" s="36"/>
      <c r="C310" s="36"/>
      <c r="D310" s="36"/>
      <c r="E310" s="36"/>
      <c r="F310" s="36"/>
      <c r="G310" s="36"/>
      <c r="H310" s="36"/>
      <c r="I310" s="36"/>
    </row>
    <row r="311" ht="22.5" hidden="1" customHeight="1">
      <c r="A311" s="36"/>
      <c r="B311" s="36"/>
      <c r="C311" s="36"/>
      <c r="D311" s="36"/>
      <c r="E311" s="36"/>
      <c r="F311" s="36"/>
      <c r="G311" s="36"/>
      <c r="H311" s="36"/>
      <c r="I311" s="36"/>
    </row>
    <row r="312" ht="22.5" hidden="1" customHeight="1">
      <c r="A312" s="36"/>
      <c r="B312" s="36"/>
      <c r="C312" s="36"/>
      <c r="D312" s="36"/>
      <c r="E312" s="36"/>
      <c r="F312" s="36"/>
      <c r="G312" s="36"/>
      <c r="H312" s="36"/>
      <c r="I312" s="36"/>
    </row>
    <row r="313" ht="22.5" hidden="1" customHeight="1">
      <c r="A313" s="36"/>
      <c r="B313" s="36"/>
      <c r="C313" s="36"/>
      <c r="D313" s="36"/>
      <c r="E313" s="36"/>
      <c r="F313" s="36"/>
      <c r="G313" s="36"/>
      <c r="H313" s="36"/>
      <c r="I313" s="36"/>
    </row>
    <row r="314" ht="22.5" hidden="1" customHeight="1">
      <c r="A314" s="36"/>
      <c r="B314" s="36"/>
      <c r="C314" s="36"/>
      <c r="D314" s="36"/>
      <c r="E314" s="36"/>
      <c r="F314" s="36"/>
      <c r="G314" s="36"/>
      <c r="H314" s="36"/>
      <c r="I314" s="36"/>
    </row>
    <row r="315" ht="22.5" hidden="1" customHeight="1">
      <c r="A315" s="36"/>
      <c r="B315" s="36"/>
      <c r="C315" s="36"/>
      <c r="D315" s="36"/>
      <c r="E315" s="36"/>
      <c r="F315" s="36"/>
      <c r="G315" s="36"/>
      <c r="H315" s="36"/>
      <c r="I315" s="36"/>
    </row>
    <row r="316" ht="22.5" hidden="1" customHeight="1">
      <c r="A316" s="36"/>
      <c r="B316" s="36"/>
      <c r="C316" s="36"/>
      <c r="D316" s="36"/>
      <c r="E316" s="36"/>
      <c r="F316" s="36"/>
      <c r="G316" s="36"/>
      <c r="H316" s="36"/>
      <c r="I316" s="36"/>
    </row>
    <row r="317" ht="22.5" hidden="1" customHeight="1">
      <c r="A317" s="36"/>
      <c r="B317" s="36"/>
      <c r="C317" s="36"/>
      <c r="D317" s="36"/>
      <c r="E317" s="36"/>
      <c r="F317" s="36"/>
      <c r="G317" s="36"/>
      <c r="H317" s="36"/>
      <c r="I317" s="36"/>
    </row>
    <row r="318" ht="22.5" hidden="1" customHeight="1">
      <c r="A318" s="36"/>
      <c r="B318" s="36"/>
      <c r="C318" s="36"/>
      <c r="D318" s="36"/>
      <c r="E318" s="36"/>
      <c r="F318" s="36"/>
      <c r="G318" s="36"/>
      <c r="H318" s="36"/>
      <c r="I318" s="36"/>
    </row>
    <row r="319" ht="22.5" hidden="1" customHeight="1">
      <c r="A319" s="36"/>
      <c r="B319" s="36"/>
      <c r="C319" s="36"/>
      <c r="D319" s="36"/>
      <c r="E319" s="36"/>
      <c r="F319" s="36"/>
      <c r="G319" s="36"/>
      <c r="H319" s="36"/>
      <c r="I319" s="36"/>
    </row>
    <row r="320" ht="22.5" hidden="1" customHeight="1">
      <c r="A320" s="36"/>
      <c r="B320" s="36"/>
      <c r="C320" s="36"/>
      <c r="D320" s="36"/>
      <c r="E320" s="36"/>
      <c r="F320" s="36"/>
      <c r="G320" s="36"/>
      <c r="H320" s="36"/>
      <c r="I320" s="36"/>
    </row>
    <row r="321" ht="22.5" hidden="1" customHeight="1">
      <c r="A321" s="36"/>
      <c r="B321" s="36"/>
      <c r="C321" s="36"/>
      <c r="D321" s="36"/>
      <c r="E321" s="36"/>
      <c r="F321" s="36"/>
      <c r="G321" s="36"/>
      <c r="H321" s="36"/>
      <c r="I321" s="36"/>
    </row>
    <row r="322" ht="22.5" hidden="1" customHeight="1">
      <c r="A322" s="36"/>
      <c r="B322" s="36"/>
      <c r="C322" s="36"/>
      <c r="D322" s="36"/>
      <c r="E322" s="36"/>
      <c r="F322" s="36"/>
      <c r="G322" s="36"/>
      <c r="H322" s="36"/>
      <c r="I322" s="36"/>
    </row>
    <row r="323" ht="22.5" hidden="1" customHeight="1">
      <c r="A323" s="36"/>
      <c r="B323" s="36"/>
      <c r="C323" s="36"/>
      <c r="D323" s="36"/>
      <c r="E323" s="36"/>
      <c r="F323" s="36"/>
      <c r="G323" s="36"/>
      <c r="H323" s="36"/>
      <c r="I323" s="36"/>
    </row>
    <row r="324" ht="22.5" hidden="1" customHeight="1">
      <c r="A324" s="36"/>
      <c r="B324" s="36"/>
      <c r="C324" s="36"/>
      <c r="D324" s="36"/>
      <c r="E324" s="36"/>
      <c r="F324" s="36"/>
      <c r="G324" s="36"/>
      <c r="H324" s="36"/>
      <c r="I324" s="36"/>
    </row>
    <row r="325" ht="22.5" hidden="1" customHeight="1">
      <c r="A325" s="36"/>
      <c r="B325" s="36"/>
      <c r="C325" s="36"/>
      <c r="D325" s="36"/>
      <c r="E325" s="36"/>
      <c r="F325" s="36"/>
      <c r="G325" s="36"/>
      <c r="H325" s="36"/>
      <c r="I325" s="36"/>
    </row>
    <row r="326" ht="22.5" hidden="1" customHeight="1">
      <c r="A326" s="36"/>
      <c r="B326" s="36"/>
      <c r="C326" s="36"/>
      <c r="D326" s="36"/>
      <c r="E326" s="36"/>
      <c r="F326" s="36"/>
      <c r="G326" s="36"/>
      <c r="H326" s="36"/>
      <c r="I326" s="36"/>
    </row>
    <row r="327" ht="22.5" hidden="1" customHeight="1">
      <c r="A327" s="36"/>
      <c r="B327" s="36"/>
      <c r="C327" s="36"/>
      <c r="D327" s="36"/>
      <c r="E327" s="36"/>
      <c r="F327" s="36"/>
      <c r="G327" s="36"/>
      <c r="H327" s="36"/>
      <c r="I327" s="36"/>
    </row>
    <row r="328" ht="22.5" hidden="1" customHeight="1">
      <c r="A328" s="36"/>
      <c r="B328" s="36"/>
      <c r="C328" s="36"/>
      <c r="D328" s="36"/>
      <c r="E328" s="36"/>
      <c r="F328" s="36"/>
      <c r="G328" s="36"/>
      <c r="H328" s="36"/>
      <c r="I328" s="36"/>
    </row>
    <row r="329" ht="22.5" hidden="1" customHeight="1">
      <c r="A329" s="36"/>
      <c r="B329" s="36"/>
      <c r="C329" s="36"/>
      <c r="D329" s="36"/>
      <c r="E329" s="36"/>
      <c r="F329" s="36"/>
      <c r="G329" s="36"/>
      <c r="H329" s="36"/>
      <c r="I329" s="36"/>
    </row>
    <row r="330" ht="22.5" hidden="1" customHeight="1">
      <c r="A330" s="36"/>
      <c r="B330" s="36"/>
      <c r="C330" s="36"/>
      <c r="D330" s="36"/>
      <c r="E330" s="36"/>
      <c r="F330" s="36"/>
      <c r="G330" s="36"/>
      <c r="H330" s="36"/>
      <c r="I330" s="36"/>
    </row>
    <row r="331" ht="22.5" hidden="1" customHeight="1">
      <c r="A331" s="36"/>
      <c r="B331" s="36"/>
      <c r="C331" s="36"/>
      <c r="D331" s="36"/>
      <c r="E331" s="36"/>
      <c r="F331" s="36"/>
      <c r="G331" s="36"/>
      <c r="H331" s="36"/>
      <c r="I331" s="36"/>
    </row>
    <row r="332" ht="22.5" hidden="1" customHeight="1">
      <c r="A332" s="36"/>
      <c r="B332" s="36"/>
      <c r="C332" s="36"/>
      <c r="D332" s="36"/>
      <c r="E332" s="36"/>
      <c r="F332" s="36"/>
      <c r="G332" s="36"/>
      <c r="H332" s="36"/>
      <c r="I332" s="36"/>
    </row>
    <row r="333" ht="22.5" hidden="1" customHeight="1">
      <c r="A333" s="36"/>
      <c r="B333" s="36"/>
      <c r="C333" s="36"/>
      <c r="D333" s="36"/>
      <c r="E333" s="36"/>
      <c r="F333" s="36"/>
      <c r="G333" s="36"/>
      <c r="H333" s="36"/>
      <c r="I333" s="36"/>
    </row>
    <row r="334" ht="22.5" hidden="1" customHeight="1">
      <c r="A334" s="36"/>
      <c r="B334" s="36"/>
      <c r="C334" s="36"/>
      <c r="D334" s="36"/>
      <c r="E334" s="36"/>
      <c r="F334" s="36"/>
      <c r="G334" s="36"/>
      <c r="H334" s="36"/>
      <c r="I334" s="36"/>
    </row>
    <row r="335" ht="22.5" hidden="1" customHeight="1">
      <c r="A335" s="36"/>
      <c r="B335" s="36"/>
      <c r="C335" s="36"/>
      <c r="D335" s="36"/>
      <c r="E335" s="36"/>
      <c r="F335" s="36"/>
      <c r="G335" s="36"/>
      <c r="H335" s="36"/>
      <c r="I335" s="36"/>
    </row>
    <row r="336" ht="22.5" hidden="1" customHeight="1">
      <c r="A336" s="36"/>
      <c r="B336" s="36"/>
      <c r="C336" s="36"/>
      <c r="D336" s="36"/>
      <c r="E336" s="36"/>
      <c r="F336" s="36"/>
      <c r="G336" s="36"/>
      <c r="H336" s="36"/>
      <c r="I336" s="36"/>
    </row>
    <row r="337" ht="22.5" hidden="1" customHeight="1">
      <c r="A337" s="36"/>
      <c r="B337" s="36"/>
      <c r="C337" s="36"/>
      <c r="D337" s="36"/>
      <c r="E337" s="36"/>
      <c r="F337" s="36"/>
      <c r="G337" s="36"/>
      <c r="H337" s="36"/>
      <c r="I337" s="36"/>
    </row>
    <row r="338" ht="22.5" hidden="1" customHeight="1">
      <c r="A338" s="36"/>
      <c r="B338" s="36"/>
      <c r="C338" s="36"/>
      <c r="D338" s="36"/>
      <c r="E338" s="36"/>
      <c r="F338" s="36"/>
      <c r="G338" s="36"/>
      <c r="H338" s="36"/>
      <c r="I338" s="36"/>
    </row>
    <row r="339" ht="22.5" hidden="1" customHeight="1">
      <c r="A339" s="36"/>
      <c r="B339" s="36"/>
      <c r="C339" s="36"/>
      <c r="D339" s="36"/>
      <c r="E339" s="36"/>
      <c r="F339" s="36"/>
      <c r="G339" s="36"/>
      <c r="H339" s="36"/>
      <c r="I339" s="36"/>
    </row>
    <row r="340" ht="22.5" hidden="1" customHeight="1">
      <c r="A340" s="36"/>
      <c r="B340" s="36"/>
      <c r="C340" s="36"/>
      <c r="D340" s="36"/>
      <c r="E340" s="36"/>
      <c r="F340" s="36"/>
      <c r="G340" s="36"/>
      <c r="H340" s="36"/>
      <c r="I340" s="36"/>
    </row>
    <row r="341" ht="22.5" hidden="1" customHeight="1">
      <c r="A341" s="36"/>
      <c r="B341" s="36"/>
      <c r="C341" s="36"/>
      <c r="D341" s="36"/>
      <c r="E341" s="36"/>
      <c r="F341" s="36"/>
      <c r="G341" s="36"/>
      <c r="H341" s="36"/>
      <c r="I341" s="36"/>
    </row>
    <row r="342" ht="22.5" hidden="1" customHeight="1">
      <c r="A342" s="36"/>
      <c r="B342" s="36"/>
      <c r="C342" s="36"/>
      <c r="D342" s="36"/>
      <c r="E342" s="36"/>
      <c r="F342" s="36"/>
      <c r="G342" s="36"/>
      <c r="H342" s="36"/>
      <c r="I342" s="36"/>
    </row>
    <row r="343" ht="22.5" hidden="1" customHeight="1">
      <c r="A343" s="36"/>
      <c r="B343" s="36"/>
      <c r="C343" s="36"/>
      <c r="D343" s="36"/>
      <c r="E343" s="36"/>
      <c r="F343" s="36"/>
      <c r="G343" s="36"/>
      <c r="H343" s="36"/>
      <c r="I343" s="36"/>
    </row>
    <row r="344" ht="22.5" hidden="1" customHeight="1">
      <c r="A344" s="36"/>
      <c r="B344" s="36"/>
      <c r="C344" s="36"/>
      <c r="D344" s="36"/>
      <c r="E344" s="36"/>
      <c r="F344" s="36"/>
      <c r="G344" s="36"/>
      <c r="H344" s="36"/>
      <c r="I344" s="36"/>
    </row>
    <row r="345" ht="22.5" hidden="1" customHeight="1">
      <c r="A345" s="36"/>
      <c r="B345" s="36"/>
      <c r="C345" s="36"/>
      <c r="D345" s="36"/>
      <c r="E345" s="36"/>
      <c r="F345" s="36"/>
      <c r="G345" s="36"/>
      <c r="H345" s="36"/>
      <c r="I345" s="36"/>
    </row>
    <row r="346" ht="22.5" hidden="1" customHeight="1">
      <c r="A346" s="36"/>
      <c r="B346" s="36"/>
      <c r="C346" s="36"/>
      <c r="D346" s="36"/>
      <c r="E346" s="36"/>
      <c r="F346" s="36"/>
      <c r="G346" s="36"/>
      <c r="H346" s="36"/>
      <c r="I346" s="36"/>
    </row>
    <row r="347" ht="22.5" hidden="1" customHeight="1">
      <c r="A347" s="36"/>
      <c r="B347" s="36"/>
      <c r="C347" s="36"/>
      <c r="D347" s="36"/>
      <c r="E347" s="36"/>
      <c r="F347" s="36"/>
      <c r="G347" s="36"/>
      <c r="H347" s="36"/>
      <c r="I347" s="36"/>
    </row>
    <row r="348" ht="22.5" hidden="1" customHeight="1">
      <c r="A348" s="36"/>
      <c r="B348" s="36"/>
      <c r="C348" s="36"/>
      <c r="D348" s="36"/>
      <c r="E348" s="36"/>
      <c r="F348" s="36"/>
      <c r="G348" s="36"/>
      <c r="H348" s="36"/>
      <c r="I348" s="36"/>
    </row>
    <row r="349" ht="22.5" hidden="1" customHeight="1">
      <c r="A349" s="36"/>
      <c r="B349" s="36"/>
      <c r="C349" s="36"/>
      <c r="D349" s="36"/>
      <c r="E349" s="36"/>
      <c r="F349" s="36"/>
      <c r="G349" s="36"/>
      <c r="H349" s="36"/>
      <c r="I349" s="36"/>
    </row>
    <row r="350" ht="22.5" hidden="1" customHeight="1">
      <c r="A350" s="36"/>
      <c r="B350" s="36"/>
      <c r="C350" s="36"/>
      <c r="D350" s="36"/>
      <c r="E350" s="36"/>
      <c r="F350" s="36"/>
      <c r="G350" s="36"/>
      <c r="H350" s="36"/>
      <c r="I350" s="36"/>
    </row>
    <row r="351" ht="22.5" hidden="1" customHeight="1">
      <c r="A351" s="36"/>
      <c r="B351" s="36"/>
      <c r="C351" s="36"/>
      <c r="D351" s="36"/>
      <c r="E351" s="36"/>
      <c r="F351" s="36"/>
      <c r="G351" s="36"/>
      <c r="H351" s="36"/>
      <c r="I351" s="36"/>
    </row>
    <row r="352" ht="22.5" hidden="1" customHeight="1">
      <c r="A352" s="36"/>
      <c r="B352" s="36"/>
      <c r="C352" s="36"/>
      <c r="D352" s="36"/>
      <c r="E352" s="36"/>
      <c r="F352" s="36"/>
      <c r="G352" s="36"/>
      <c r="H352" s="36"/>
      <c r="I352" s="36"/>
    </row>
    <row r="353" ht="22.5" hidden="1" customHeight="1">
      <c r="A353" s="36"/>
      <c r="B353" s="36"/>
      <c r="C353" s="36"/>
      <c r="D353" s="36"/>
      <c r="E353" s="36"/>
      <c r="F353" s="36"/>
      <c r="G353" s="36"/>
      <c r="H353" s="36"/>
      <c r="I353" s="36"/>
    </row>
    <row r="354" ht="22.5" hidden="1" customHeight="1">
      <c r="A354" s="36"/>
      <c r="B354" s="36"/>
      <c r="C354" s="36"/>
      <c r="D354" s="36"/>
      <c r="E354" s="36"/>
      <c r="F354" s="36"/>
      <c r="G354" s="36"/>
      <c r="H354" s="36"/>
      <c r="I354" s="36"/>
    </row>
    <row r="355" ht="22.5" hidden="1" customHeight="1">
      <c r="A355" s="36"/>
      <c r="B355" s="36"/>
      <c r="C355" s="36"/>
      <c r="D355" s="36"/>
      <c r="E355" s="36"/>
      <c r="F355" s="36"/>
      <c r="G355" s="36"/>
      <c r="H355" s="36"/>
      <c r="I355" s="36"/>
    </row>
    <row r="356" ht="22.5" hidden="1" customHeight="1">
      <c r="A356" s="36"/>
      <c r="B356" s="36"/>
      <c r="C356" s="36"/>
      <c r="D356" s="36"/>
      <c r="E356" s="36"/>
      <c r="F356" s="36"/>
      <c r="G356" s="36"/>
      <c r="H356" s="36"/>
      <c r="I356" s="36"/>
    </row>
    <row r="357" ht="22.5" hidden="1" customHeight="1">
      <c r="A357" s="36"/>
      <c r="B357" s="36"/>
      <c r="C357" s="36"/>
      <c r="D357" s="36"/>
      <c r="E357" s="36"/>
      <c r="F357" s="36"/>
      <c r="G357" s="36"/>
      <c r="H357" s="36"/>
      <c r="I357" s="36"/>
    </row>
    <row r="358" ht="22.5" hidden="1" customHeight="1">
      <c r="A358" s="36"/>
      <c r="B358" s="36"/>
      <c r="C358" s="36"/>
      <c r="D358" s="36"/>
      <c r="E358" s="36"/>
      <c r="F358" s="36"/>
      <c r="G358" s="36"/>
      <c r="H358" s="36"/>
      <c r="I358" s="36"/>
    </row>
    <row r="359" ht="22.5" hidden="1" customHeight="1">
      <c r="A359" s="36"/>
      <c r="B359" s="36"/>
      <c r="C359" s="36"/>
      <c r="D359" s="36"/>
      <c r="E359" s="36"/>
      <c r="F359" s="36"/>
      <c r="G359" s="36"/>
      <c r="H359" s="36"/>
      <c r="I359" s="36"/>
    </row>
    <row r="360" ht="22.5" hidden="1" customHeight="1">
      <c r="A360" s="36"/>
      <c r="B360" s="36"/>
      <c r="C360" s="36"/>
      <c r="D360" s="36"/>
      <c r="E360" s="36"/>
      <c r="F360" s="36"/>
      <c r="G360" s="36"/>
      <c r="H360" s="36"/>
      <c r="I360" s="36"/>
    </row>
    <row r="361" ht="22.5" hidden="1" customHeight="1">
      <c r="A361" s="36"/>
      <c r="B361" s="36"/>
      <c r="C361" s="36"/>
      <c r="D361" s="36"/>
      <c r="E361" s="36"/>
      <c r="F361" s="36"/>
      <c r="G361" s="36"/>
      <c r="H361" s="36"/>
      <c r="I361" s="36"/>
    </row>
    <row r="362" ht="22.5" hidden="1" customHeight="1">
      <c r="A362" s="36"/>
      <c r="B362" s="36"/>
      <c r="C362" s="36"/>
      <c r="D362" s="36"/>
      <c r="E362" s="36"/>
      <c r="F362" s="36"/>
      <c r="G362" s="36"/>
      <c r="H362" s="36"/>
      <c r="I362" s="36"/>
    </row>
    <row r="363" ht="22.5" hidden="1" customHeight="1">
      <c r="A363" s="36"/>
      <c r="B363" s="36"/>
      <c r="C363" s="36"/>
      <c r="D363" s="36"/>
      <c r="E363" s="36"/>
      <c r="F363" s="36"/>
      <c r="G363" s="36"/>
      <c r="H363" s="36"/>
      <c r="I363" s="36"/>
    </row>
    <row r="364" ht="22.5" hidden="1" customHeight="1">
      <c r="A364" s="36"/>
      <c r="B364" s="36"/>
      <c r="C364" s="36"/>
      <c r="D364" s="36"/>
      <c r="E364" s="36"/>
      <c r="F364" s="36"/>
      <c r="G364" s="36"/>
      <c r="H364" s="36"/>
      <c r="I364" s="36"/>
    </row>
    <row r="365" ht="22.5" hidden="1" customHeight="1">
      <c r="A365" s="36"/>
      <c r="B365" s="36"/>
      <c r="C365" s="36"/>
      <c r="D365" s="36"/>
      <c r="E365" s="36"/>
      <c r="F365" s="36"/>
      <c r="G365" s="36"/>
      <c r="H365" s="36"/>
      <c r="I365" s="36"/>
    </row>
    <row r="366" ht="22.5" hidden="1" customHeight="1">
      <c r="A366" s="36"/>
      <c r="B366" s="36"/>
      <c r="C366" s="36"/>
      <c r="D366" s="36"/>
      <c r="E366" s="36"/>
      <c r="F366" s="36"/>
      <c r="G366" s="36"/>
      <c r="H366" s="36"/>
      <c r="I366" s="36"/>
    </row>
    <row r="367" ht="22.5" hidden="1" customHeight="1">
      <c r="A367" s="36"/>
      <c r="B367" s="36"/>
      <c r="C367" s="36"/>
      <c r="D367" s="36"/>
      <c r="E367" s="36"/>
      <c r="F367" s="36"/>
      <c r="G367" s="36"/>
      <c r="H367" s="36"/>
      <c r="I367" s="36"/>
    </row>
    <row r="368" ht="22.5" hidden="1" customHeight="1">
      <c r="A368" s="36"/>
      <c r="B368" s="36"/>
      <c r="C368" s="36"/>
      <c r="D368" s="36"/>
      <c r="E368" s="36"/>
      <c r="F368" s="36"/>
      <c r="G368" s="36"/>
      <c r="H368" s="36"/>
      <c r="I368" s="36"/>
    </row>
    <row r="369" ht="22.5" hidden="1" customHeight="1">
      <c r="A369" s="36"/>
      <c r="B369" s="36"/>
      <c r="C369" s="36"/>
      <c r="D369" s="36"/>
      <c r="E369" s="36"/>
      <c r="F369" s="36"/>
      <c r="G369" s="36"/>
      <c r="H369" s="36"/>
      <c r="I369" s="36"/>
    </row>
    <row r="370" ht="22.5" hidden="1" customHeight="1">
      <c r="A370" s="36"/>
      <c r="B370" s="36"/>
      <c r="C370" s="36"/>
      <c r="D370" s="36"/>
      <c r="E370" s="36"/>
      <c r="F370" s="36"/>
      <c r="G370" s="36"/>
      <c r="H370" s="36"/>
      <c r="I370" s="36"/>
    </row>
    <row r="371" ht="22.5" hidden="1" customHeight="1">
      <c r="A371" s="36"/>
      <c r="B371" s="36"/>
      <c r="C371" s="36"/>
      <c r="D371" s="36"/>
      <c r="E371" s="36"/>
      <c r="F371" s="36"/>
      <c r="G371" s="36"/>
      <c r="H371" s="36"/>
      <c r="I371" s="36"/>
    </row>
    <row r="372" ht="22.5" hidden="1" customHeight="1">
      <c r="A372" s="36"/>
      <c r="B372" s="36"/>
      <c r="C372" s="36"/>
      <c r="D372" s="36"/>
      <c r="E372" s="36"/>
      <c r="F372" s="36"/>
      <c r="G372" s="36"/>
      <c r="H372" s="36"/>
      <c r="I372" s="36"/>
    </row>
    <row r="373" ht="22.5" hidden="1" customHeight="1">
      <c r="A373" s="36"/>
      <c r="B373" s="36"/>
      <c r="C373" s="36"/>
      <c r="D373" s="36"/>
      <c r="E373" s="36"/>
      <c r="F373" s="36"/>
      <c r="G373" s="36"/>
      <c r="H373" s="36"/>
      <c r="I373" s="36"/>
    </row>
    <row r="374" ht="22.5" hidden="1" customHeight="1">
      <c r="A374" s="36"/>
      <c r="B374" s="36"/>
      <c r="C374" s="36"/>
      <c r="D374" s="36"/>
      <c r="E374" s="36"/>
      <c r="F374" s="36"/>
      <c r="G374" s="36"/>
      <c r="H374" s="36"/>
      <c r="I374" s="36"/>
    </row>
    <row r="375" ht="22.5" hidden="1" customHeight="1">
      <c r="A375" s="36"/>
      <c r="B375" s="36"/>
      <c r="C375" s="36"/>
      <c r="D375" s="36"/>
      <c r="E375" s="36"/>
      <c r="F375" s="36"/>
      <c r="G375" s="36"/>
      <c r="H375" s="36"/>
      <c r="I375" s="36"/>
    </row>
    <row r="376" ht="22.5" hidden="1" customHeight="1">
      <c r="A376" s="36"/>
      <c r="B376" s="36"/>
      <c r="C376" s="36"/>
      <c r="D376" s="36"/>
      <c r="E376" s="36"/>
      <c r="F376" s="36"/>
      <c r="G376" s="36"/>
      <c r="H376" s="36"/>
      <c r="I376" s="36"/>
    </row>
    <row r="377" ht="22.5" hidden="1" customHeight="1">
      <c r="A377" s="36"/>
      <c r="B377" s="36"/>
      <c r="C377" s="36"/>
      <c r="D377" s="36"/>
      <c r="E377" s="36"/>
      <c r="F377" s="36"/>
      <c r="G377" s="36"/>
      <c r="H377" s="36"/>
      <c r="I377" s="36"/>
    </row>
    <row r="378" ht="22.5" hidden="1" customHeight="1">
      <c r="A378" s="36"/>
      <c r="B378" s="36"/>
      <c r="C378" s="36"/>
      <c r="D378" s="36"/>
      <c r="E378" s="36"/>
      <c r="F378" s="36"/>
      <c r="G378" s="36"/>
      <c r="H378" s="36"/>
      <c r="I378" s="36"/>
    </row>
    <row r="379" ht="22.5" hidden="1" customHeight="1">
      <c r="A379" s="36"/>
      <c r="B379" s="36"/>
      <c r="C379" s="36"/>
      <c r="D379" s="36"/>
      <c r="E379" s="36"/>
      <c r="F379" s="36"/>
      <c r="G379" s="36"/>
      <c r="H379" s="36"/>
      <c r="I379" s="36"/>
    </row>
    <row r="380" ht="22.5" hidden="1" customHeight="1">
      <c r="A380" s="36"/>
      <c r="B380" s="36"/>
      <c r="C380" s="36"/>
      <c r="D380" s="36"/>
      <c r="E380" s="36"/>
      <c r="F380" s="36"/>
      <c r="G380" s="36"/>
      <c r="H380" s="36"/>
      <c r="I380" s="36"/>
    </row>
    <row r="381" ht="22.5" hidden="1" customHeight="1">
      <c r="A381" s="36"/>
      <c r="B381" s="36"/>
      <c r="C381" s="36"/>
      <c r="D381" s="36"/>
      <c r="E381" s="36"/>
      <c r="F381" s="36"/>
      <c r="G381" s="36"/>
      <c r="H381" s="36"/>
      <c r="I381" s="36"/>
    </row>
    <row r="382" ht="22.5" hidden="1" customHeight="1">
      <c r="A382" s="36"/>
      <c r="B382" s="36"/>
      <c r="C382" s="36"/>
      <c r="D382" s="36"/>
      <c r="E382" s="36"/>
      <c r="F382" s="36"/>
      <c r="G382" s="36"/>
      <c r="H382" s="36"/>
      <c r="I382" s="36"/>
    </row>
    <row r="383" ht="22.5" hidden="1" customHeight="1">
      <c r="A383" s="36"/>
      <c r="B383" s="36"/>
      <c r="C383" s="36"/>
      <c r="D383" s="36"/>
      <c r="E383" s="36"/>
      <c r="F383" s="36"/>
      <c r="G383" s="36"/>
      <c r="H383" s="36"/>
      <c r="I383" s="36"/>
    </row>
    <row r="384" ht="22.5" hidden="1" customHeight="1">
      <c r="A384" s="36"/>
      <c r="B384" s="36"/>
      <c r="C384" s="36"/>
      <c r="D384" s="36"/>
      <c r="E384" s="36"/>
      <c r="F384" s="36"/>
      <c r="G384" s="36"/>
      <c r="H384" s="36"/>
      <c r="I384" s="36"/>
    </row>
    <row r="385" ht="22.5" hidden="1" customHeight="1">
      <c r="A385" s="36"/>
      <c r="B385" s="36"/>
      <c r="C385" s="36"/>
      <c r="D385" s="36"/>
      <c r="E385" s="36"/>
      <c r="F385" s="36"/>
      <c r="G385" s="36"/>
      <c r="H385" s="36"/>
      <c r="I385" s="36"/>
    </row>
    <row r="386" ht="22.5" hidden="1" customHeight="1">
      <c r="A386" s="36"/>
      <c r="B386" s="36"/>
      <c r="C386" s="36"/>
      <c r="D386" s="36"/>
      <c r="E386" s="36"/>
      <c r="F386" s="36"/>
      <c r="G386" s="36"/>
      <c r="H386" s="36"/>
      <c r="I386" s="36"/>
    </row>
    <row r="387" ht="22.5" hidden="1" customHeight="1">
      <c r="A387" s="36"/>
      <c r="B387" s="36"/>
      <c r="C387" s="36"/>
      <c r="D387" s="36"/>
      <c r="E387" s="36"/>
      <c r="F387" s="36"/>
      <c r="G387" s="36"/>
      <c r="H387" s="36"/>
      <c r="I387" s="36"/>
    </row>
    <row r="388" ht="22.5" hidden="1" customHeight="1">
      <c r="A388" s="36"/>
      <c r="B388" s="36"/>
      <c r="C388" s="36"/>
      <c r="D388" s="36"/>
      <c r="E388" s="36"/>
      <c r="F388" s="36"/>
      <c r="G388" s="36"/>
      <c r="H388" s="36"/>
      <c r="I388" s="36"/>
    </row>
    <row r="389" ht="22.5" hidden="1" customHeight="1">
      <c r="A389" s="36"/>
      <c r="B389" s="36"/>
      <c r="C389" s="36"/>
      <c r="D389" s="36"/>
      <c r="E389" s="36"/>
      <c r="F389" s="36"/>
      <c r="G389" s="36"/>
      <c r="H389" s="36"/>
      <c r="I389" s="36"/>
    </row>
    <row r="390" ht="22.5" hidden="1" customHeight="1">
      <c r="A390" s="36"/>
      <c r="B390" s="36"/>
      <c r="C390" s="36"/>
      <c r="D390" s="36"/>
      <c r="E390" s="36"/>
      <c r="F390" s="36"/>
      <c r="G390" s="36"/>
      <c r="H390" s="36"/>
      <c r="I390" s="36"/>
    </row>
    <row r="391" ht="22.5" hidden="1" customHeight="1">
      <c r="A391" s="36"/>
      <c r="B391" s="36"/>
      <c r="C391" s="36"/>
      <c r="D391" s="36"/>
      <c r="E391" s="36"/>
      <c r="F391" s="36"/>
      <c r="G391" s="36"/>
      <c r="H391" s="36"/>
      <c r="I391" s="36"/>
    </row>
    <row r="392" ht="22.5" hidden="1" customHeight="1">
      <c r="A392" s="36"/>
      <c r="B392" s="36"/>
      <c r="C392" s="36"/>
      <c r="D392" s="36"/>
      <c r="E392" s="36"/>
      <c r="F392" s="36"/>
      <c r="G392" s="36"/>
      <c r="H392" s="36"/>
      <c r="I392" s="36"/>
    </row>
    <row r="393" ht="22.5" hidden="1" customHeight="1">
      <c r="A393" s="36"/>
      <c r="B393" s="36"/>
      <c r="C393" s="36"/>
      <c r="D393" s="36"/>
      <c r="E393" s="36"/>
      <c r="F393" s="36"/>
      <c r="G393" s="36"/>
      <c r="H393" s="36"/>
      <c r="I393" s="36"/>
    </row>
    <row r="394" ht="22.5" hidden="1" customHeight="1">
      <c r="A394" s="36"/>
      <c r="B394" s="36"/>
      <c r="C394" s="36"/>
      <c r="D394" s="36"/>
      <c r="E394" s="36"/>
      <c r="F394" s="36"/>
      <c r="G394" s="36"/>
      <c r="H394" s="36"/>
      <c r="I394" s="36"/>
    </row>
    <row r="395" ht="22.5" hidden="1" customHeight="1">
      <c r="A395" s="36"/>
      <c r="B395" s="36"/>
      <c r="C395" s="36"/>
      <c r="D395" s="36"/>
      <c r="E395" s="36"/>
      <c r="F395" s="36"/>
      <c r="G395" s="36"/>
      <c r="H395" s="36"/>
      <c r="I395" s="36"/>
    </row>
    <row r="396" ht="22.5" hidden="1" customHeight="1">
      <c r="A396" s="36"/>
      <c r="B396" s="36"/>
      <c r="C396" s="36"/>
      <c r="D396" s="36"/>
      <c r="E396" s="36"/>
      <c r="F396" s="36"/>
      <c r="G396" s="36"/>
      <c r="H396" s="36"/>
      <c r="I396" s="36"/>
    </row>
    <row r="397" ht="22.5" hidden="1" customHeight="1">
      <c r="A397" s="36"/>
      <c r="B397" s="36"/>
      <c r="C397" s="36"/>
      <c r="D397" s="36"/>
      <c r="E397" s="36"/>
      <c r="F397" s="36"/>
      <c r="G397" s="36"/>
      <c r="H397" s="36"/>
      <c r="I397" s="36"/>
    </row>
    <row r="398" ht="22.5" hidden="1" customHeight="1">
      <c r="A398" s="36"/>
      <c r="B398" s="36"/>
      <c r="C398" s="36"/>
      <c r="D398" s="36"/>
      <c r="E398" s="36"/>
      <c r="F398" s="36"/>
      <c r="G398" s="36"/>
      <c r="H398" s="36"/>
      <c r="I398" s="36"/>
    </row>
    <row r="399" ht="22.5" hidden="1" customHeight="1">
      <c r="A399" s="36"/>
      <c r="B399" s="36"/>
      <c r="C399" s="36"/>
      <c r="D399" s="36"/>
      <c r="E399" s="36"/>
      <c r="F399" s="36"/>
      <c r="G399" s="36"/>
      <c r="H399" s="36"/>
      <c r="I399" s="36"/>
    </row>
    <row r="400" ht="22.5" hidden="1" customHeight="1">
      <c r="A400" s="36"/>
      <c r="B400" s="36"/>
      <c r="C400" s="36"/>
      <c r="D400" s="36"/>
      <c r="E400" s="36"/>
      <c r="F400" s="36"/>
      <c r="G400" s="36"/>
      <c r="H400" s="36"/>
      <c r="I400" s="36"/>
    </row>
    <row r="401" ht="22.5" hidden="1" customHeight="1">
      <c r="A401" s="36"/>
      <c r="B401" s="36"/>
      <c r="C401" s="36"/>
      <c r="D401" s="36"/>
      <c r="E401" s="36"/>
      <c r="F401" s="36"/>
      <c r="G401" s="36"/>
      <c r="H401" s="36"/>
      <c r="I401" s="36"/>
    </row>
    <row r="402" ht="22.5" hidden="1" customHeight="1">
      <c r="A402" s="36"/>
      <c r="B402" s="36"/>
      <c r="C402" s="36"/>
      <c r="D402" s="36"/>
      <c r="E402" s="36"/>
      <c r="F402" s="36"/>
      <c r="G402" s="36"/>
      <c r="H402" s="36"/>
      <c r="I402" s="36"/>
    </row>
    <row r="403" ht="22.5" hidden="1" customHeight="1">
      <c r="A403" s="36"/>
      <c r="B403" s="36"/>
      <c r="C403" s="36"/>
      <c r="D403" s="36"/>
      <c r="E403" s="36"/>
      <c r="F403" s="36"/>
      <c r="G403" s="36"/>
      <c r="H403" s="36"/>
      <c r="I403" s="36"/>
    </row>
    <row r="404" ht="22.5" hidden="1" customHeight="1">
      <c r="A404" s="36"/>
      <c r="B404" s="36"/>
      <c r="C404" s="36"/>
      <c r="D404" s="36"/>
      <c r="E404" s="36"/>
      <c r="F404" s="36"/>
      <c r="G404" s="36"/>
      <c r="H404" s="36"/>
      <c r="I404" s="36"/>
    </row>
    <row r="405" ht="22.5" hidden="1" customHeight="1">
      <c r="A405" s="36"/>
      <c r="B405" s="36"/>
      <c r="C405" s="36"/>
      <c r="D405" s="36"/>
      <c r="E405" s="36"/>
      <c r="F405" s="36"/>
      <c r="G405" s="36"/>
      <c r="H405" s="36"/>
      <c r="I405" s="36"/>
    </row>
    <row r="406" ht="22.5" hidden="1" customHeight="1">
      <c r="A406" s="36"/>
      <c r="B406" s="36"/>
      <c r="C406" s="36"/>
      <c r="D406" s="36"/>
      <c r="E406" s="36"/>
      <c r="F406" s="36"/>
      <c r="G406" s="36"/>
      <c r="H406" s="36"/>
      <c r="I406" s="36"/>
    </row>
    <row r="407" ht="22.5" hidden="1" customHeight="1">
      <c r="A407" s="36"/>
      <c r="B407" s="36"/>
      <c r="C407" s="36"/>
      <c r="D407" s="36"/>
      <c r="E407" s="36"/>
      <c r="F407" s="36"/>
      <c r="G407" s="36"/>
      <c r="H407" s="36"/>
      <c r="I407" s="36"/>
    </row>
    <row r="408" ht="22.5" hidden="1" customHeight="1">
      <c r="A408" s="36"/>
      <c r="B408" s="36"/>
      <c r="C408" s="36"/>
      <c r="D408" s="36"/>
      <c r="E408" s="36"/>
      <c r="F408" s="36"/>
      <c r="G408" s="36"/>
      <c r="H408" s="36"/>
      <c r="I408" s="36"/>
    </row>
    <row r="409" ht="22.5" hidden="1" customHeight="1">
      <c r="A409" s="36"/>
      <c r="B409" s="36"/>
      <c r="C409" s="36"/>
      <c r="D409" s="36"/>
      <c r="E409" s="36"/>
      <c r="F409" s="36"/>
      <c r="G409" s="36"/>
      <c r="H409" s="36"/>
      <c r="I409" s="36"/>
    </row>
    <row r="410" ht="22.5" hidden="1" customHeight="1">
      <c r="A410" s="36"/>
      <c r="B410" s="36"/>
      <c r="C410" s="36"/>
      <c r="D410" s="36"/>
      <c r="E410" s="36"/>
      <c r="F410" s="36"/>
      <c r="G410" s="36"/>
      <c r="H410" s="36"/>
      <c r="I410" s="36"/>
    </row>
    <row r="411" ht="22.5" hidden="1" customHeight="1">
      <c r="A411" s="36"/>
      <c r="B411" s="36"/>
      <c r="C411" s="36"/>
      <c r="D411" s="36"/>
      <c r="E411" s="36"/>
      <c r="F411" s="36"/>
      <c r="G411" s="36"/>
      <c r="H411" s="36"/>
      <c r="I411" s="36"/>
    </row>
    <row r="412" ht="22.5" hidden="1" customHeight="1">
      <c r="A412" s="36"/>
      <c r="B412" s="36"/>
      <c r="C412" s="36"/>
      <c r="D412" s="36"/>
      <c r="E412" s="36"/>
      <c r="F412" s="36"/>
      <c r="G412" s="36"/>
      <c r="H412" s="36"/>
      <c r="I412" s="36"/>
    </row>
    <row r="413" ht="22.5" hidden="1" customHeight="1">
      <c r="A413" s="36"/>
      <c r="B413" s="36"/>
      <c r="C413" s="36"/>
      <c r="D413" s="36"/>
      <c r="E413" s="36"/>
      <c r="F413" s="36"/>
      <c r="G413" s="36"/>
      <c r="H413" s="36"/>
      <c r="I413" s="36"/>
    </row>
    <row r="414" ht="22.5" hidden="1" customHeight="1">
      <c r="A414" s="36"/>
      <c r="B414" s="36"/>
      <c r="C414" s="36"/>
      <c r="D414" s="36"/>
      <c r="E414" s="36"/>
      <c r="F414" s="36"/>
      <c r="G414" s="36"/>
      <c r="H414" s="36"/>
      <c r="I414" s="36"/>
    </row>
    <row r="415" ht="22.5" hidden="1" customHeight="1">
      <c r="A415" s="36"/>
      <c r="B415" s="36"/>
      <c r="C415" s="36"/>
      <c r="D415" s="36"/>
      <c r="E415" s="36"/>
      <c r="F415" s="36"/>
      <c r="G415" s="36"/>
      <c r="H415" s="36"/>
      <c r="I415" s="36"/>
    </row>
    <row r="416" ht="22.5" hidden="1" customHeight="1">
      <c r="A416" s="36"/>
      <c r="B416" s="36"/>
      <c r="C416" s="36"/>
      <c r="D416" s="36"/>
      <c r="E416" s="36"/>
      <c r="F416" s="36"/>
      <c r="G416" s="36"/>
      <c r="H416" s="36"/>
      <c r="I416" s="36"/>
    </row>
    <row r="417" ht="22.5" hidden="1" customHeight="1">
      <c r="A417" s="36"/>
      <c r="B417" s="36"/>
      <c r="C417" s="36"/>
      <c r="D417" s="36"/>
      <c r="E417" s="36"/>
      <c r="F417" s="36"/>
      <c r="G417" s="36"/>
      <c r="H417" s="36"/>
      <c r="I417" s="36"/>
    </row>
    <row r="418" ht="22.5" hidden="1" customHeight="1">
      <c r="A418" s="36"/>
      <c r="B418" s="36"/>
      <c r="C418" s="36"/>
      <c r="D418" s="36"/>
      <c r="E418" s="36"/>
      <c r="F418" s="36"/>
      <c r="G418" s="36"/>
      <c r="H418" s="36"/>
      <c r="I418" s="36"/>
    </row>
    <row r="419" ht="22.5" hidden="1" customHeight="1">
      <c r="A419" s="36"/>
      <c r="B419" s="36"/>
      <c r="C419" s="36"/>
      <c r="D419" s="36"/>
      <c r="E419" s="36"/>
      <c r="F419" s="36"/>
      <c r="G419" s="36"/>
      <c r="H419" s="36"/>
      <c r="I419" s="36"/>
    </row>
    <row r="420" ht="22.5" hidden="1" customHeight="1">
      <c r="A420" s="36"/>
      <c r="B420" s="36"/>
      <c r="C420" s="36"/>
      <c r="D420" s="36"/>
      <c r="E420" s="36"/>
      <c r="F420" s="36"/>
      <c r="G420" s="36"/>
      <c r="H420" s="36"/>
      <c r="I420" s="36"/>
    </row>
    <row r="421" ht="22.5" hidden="1" customHeight="1">
      <c r="A421" s="36"/>
      <c r="B421" s="36"/>
      <c r="C421" s="36"/>
      <c r="D421" s="36"/>
      <c r="E421" s="36"/>
      <c r="F421" s="36"/>
      <c r="G421" s="36"/>
      <c r="H421" s="36"/>
      <c r="I421" s="36"/>
    </row>
    <row r="422" ht="22.5" hidden="1" customHeight="1">
      <c r="A422" s="36"/>
      <c r="B422" s="36"/>
      <c r="C422" s="36"/>
      <c r="D422" s="36"/>
      <c r="E422" s="36"/>
      <c r="F422" s="36"/>
      <c r="G422" s="36"/>
      <c r="H422" s="36"/>
      <c r="I422" s="36"/>
    </row>
    <row r="423" ht="22.5" hidden="1" customHeight="1">
      <c r="A423" s="36"/>
      <c r="B423" s="36"/>
      <c r="C423" s="36"/>
      <c r="D423" s="36"/>
      <c r="E423" s="36"/>
      <c r="F423" s="36"/>
      <c r="G423" s="36"/>
      <c r="H423" s="36"/>
      <c r="I423" s="36"/>
    </row>
    <row r="424" ht="22.5" hidden="1" customHeight="1">
      <c r="A424" s="36"/>
      <c r="B424" s="36"/>
      <c r="C424" s="36"/>
      <c r="D424" s="36"/>
      <c r="E424" s="36"/>
      <c r="F424" s="36"/>
      <c r="G424" s="36"/>
      <c r="H424" s="36"/>
      <c r="I424" s="36"/>
    </row>
    <row r="425" ht="22.5" hidden="1" customHeight="1">
      <c r="A425" s="36"/>
      <c r="B425" s="36"/>
      <c r="C425" s="36"/>
      <c r="D425" s="36"/>
      <c r="E425" s="36"/>
      <c r="F425" s="36"/>
      <c r="G425" s="36"/>
      <c r="H425" s="36"/>
      <c r="I425" s="36"/>
    </row>
    <row r="426" ht="22.5" hidden="1" customHeight="1">
      <c r="A426" s="36"/>
      <c r="B426" s="36"/>
      <c r="C426" s="36"/>
      <c r="D426" s="36"/>
      <c r="E426" s="36"/>
      <c r="F426" s="36"/>
      <c r="G426" s="36"/>
      <c r="H426" s="36"/>
      <c r="I426" s="36"/>
    </row>
    <row r="427" ht="22.5" hidden="1" customHeight="1">
      <c r="A427" s="36"/>
      <c r="B427" s="36"/>
      <c r="C427" s="36"/>
      <c r="D427" s="36"/>
      <c r="E427" s="36"/>
      <c r="F427" s="36"/>
      <c r="G427" s="36"/>
      <c r="H427" s="36"/>
      <c r="I427" s="36"/>
    </row>
    <row r="428" ht="22.5" hidden="1" customHeight="1">
      <c r="A428" s="36"/>
      <c r="B428" s="36"/>
      <c r="C428" s="36"/>
      <c r="D428" s="36"/>
      <c r="E428" s="36"/>
      <c r="F428" s="36"/>
      <c r="G428" s="36"/>
      <c r="H428" s="36"/>
      <c r="I428" s="36"/>
    </row>
    <row r="429" ht="22.5" hidden="1" customHeight="1">
      <c r="A429" s="36"/>
      <c r="B429" s="36"/>
      <c r="C429" s="36"/>
      <c r="D429" s="36"/>
      <c r="E429" s="36"/>
      <c r="F429" s="36"/>
      <c r="G429" s="36"/>
      <c r="H429" s="36"/>
      <c r="I429" s="36"/>
    </row>
    <row r="430" ht="22.5" hidden="1" customHeight="1">
      <c r="A430" s="36"/>
      <c r="B430" s="36"/>
      <c r="C430" s="36"/>
      <c r="D430" s="36"/>
      <c r="E430" s="36"/>
      <c r="F430" s="36"/>
      <c r="G430" s="36"/>
      <c r="H430" s="36"/>
      <c r="I430" s="36"/>
    </row>
    <row r="431" ht="22.5" hidden="1" customHeight="1">
      <c r="A431" s="36"/>
      <c r="B431" s="36"/>
      <c r="C431" s="36"/>
      <c r="D431" s="36"/>
      <c r="E431" s="36"/>
      <c r="F431" s="36"/>
      <c r="G431" s="36"/>
      <c r="H431" s="36"/>
      <c r="I431" s="36"/>
    </row>
    <row r="432" ht="22.5" hidden="1" customHeight="1">
      <c r="A432" s="36"/>
      <c r="B432" s="36"/>
      <c r="C432" s="36"/>
      <c r="D432" s="36"/>
      <c r="E432" s="36"/>
      <c r="F432" s="36"/>
      <c r="G432" s="36"/>
      <c r="H432" s="36"/>
      <c r="I432" s="36"/>
    </row>
    <row r="433" ht="22.5" hidden="1" customHeight="1">
      <c r="A433" s="36"/>
      <c r="B433" s="36"/>
      <c r="C433" s="36"/>
      <c r="D433" s="36"/>
      <c r="E433" s="36"/>
      <c r="F433" s="36"/>
      <c r="G433" s="36"/>
      <c r="H433" s="36"/>
      <c r="I433" s="36"/>
    </row>
    <row r="434" ht="22.5" hidden="1" customHeight="1">
      <c r="A434" s="36"/>
      <c r="B434" s="36"/>
      <c r="C434" s="36"/>
      <c r="D434" s="36"/>
      <c r="E434" s="36"/>
      <c r="F434" s="36"/>
      <c r="G434" s="36"/>
      <c r="H434" s="36"/>
      <c r="I434" s="36"/>
    </row>
    <row r="435" ht="22.5" hidden="1" customHeight="1">
      <c r="A435" s="36"/>
      <c r="B435" s="36"/>
      <c r="C435" s="36"/>
      <c r="D435" s="36"/>
      <c r="E435" s="36"/>
      <c r="F435" s="36"/>
      <c r="G435" s="36"/>
      <c r="H435" s="36"/>
      <c r="I435" s="36"/>
    </row>
    <row r="436" ht="22.5" hidden="1" customHeight="1">
      <c r="A436" s="36"/>
      <c r="B436" s="36"/>
      <c r="C436" s="36"/>
      <c r="D436" s="36"/>
      <c r="E436" s="36"/>
      <c r="F436" s="36"/>
      <c r="G436" s="36"/>
      <c r="H436" s="36"/>
      <c r="I436" s="36"/>
    </row>
    <row r="437" ht="22.5" hidden="1" customHeight="1">
      <c r="A437" s="36"/>
      <c r="B437" s="36"/>
      <c r="C437" s="36"/>
      <c r="D437" s="36"/>
      <c r="E437" s="36"/>
      <c r="F437" s="36"/>
      <c r="G437" s="36"/>
      <c r="H437" s="36"/>
      <c r="I437" s="36"/>
    </row>
    <row r="438" ht="22.5" hidden="1" customHeight="1">
      <c r="A438" s="36"/>
      <c r="B438" s="36"/>
      <c r="C438" s="36"/>
      <c r="D438" s="36"/>
      <c r="E438" s="36"/>
      <c r="F438" s="36"/>
      <c r="G438" s="36"/>
      <c r="H438" s="36"/>
      <c r="I438" s="36"/>
    </row>
    <row r="439" ht="22.5" hidden="1" customHeight="1">
      <c r="A439" s="36"/>
      <c r="B439" s="36"/>
      <c r="C439" s="36"/>
      <c r="D439" s="36"/>
      <c r="E439" s="36"/>
      <c r="F439" s="36"/>
      <c r="G439" s="36"/>
      <c r="H439" s="36"/>
      <c r="I439" s="36"/>
    </row>
    <row r="440" ht="22.5" hidden="1" customHeight="1">
      <c r="A440" s="36"/>
      <c r="B440" s="36"/>
      <c r="C440" s="36"/>
      <c r="D440" s="36"/>
      <c r="E440" s="36"/>
      <c r="F440" s="36"/>
      <c r="G440" s="36"/>
      <c r="H440" s="36"/>
      <c r="I440" s="36"/>
    </row>
    <row r="441" ht="22.5" hidden="1" customHeight="1">
      <c r="A441" s="36"/>
      <c r="B441" s="36"/>
      <c r="C441" s="36"/>
      <c r="D441" s="36"/>
      <c r="E441" s="36"/>
      <c r="F441" s="36"/>
      <c r="G441" s="36"/>
      <c r="H441" s="36"/>
      <c r="I441" s="36"/>
    </row>
    <row r="442" ht="22.5" hidden="1" customHeight="1">
      <c r="A442" s="36"/>
      <c r="B442" s="36"/>
      <c r="C442" s="36"/>
      <c r="D442" s="36"/>
      <c r="E442" s="36"/>
      <c r="F442" s="36"/>
      <c r="G442" s="36"/>
      <c r="H442" s="36"/>
      <c r="I442" s="36"/>
    </row>
    <row r="443" ht="22.5" hidden="1" customHeight="1">
      <c r="A443" s="36"/>
      <c r="B443" s="36"/>
      <c r="C443" s="36"/>
      <c r="D443" s="36"/>
      <c r="E443" s="36"/>
      <c r="F443" s="36"/>
      <c r="G443" s="36"/>
      <c r="H443" s="36"/>
      <c r="I443" s="36"/>
    </row>
    <row r="444" ht="22.5" hidden="1" customHeight="1">
      <c r="A444" s="36"/>
      <c r="B444" s="36"/>
      <c r="C444" s="36"/>
      <c r="D444" s="36"/>
      <c r="E444" s="36"/>
      <c r="F444" s="36"/>
      <c r="G444" s="36"/>
      <c r="H444" s="36"/>
      <c r="I444" s="36"/>
    </row>
    <row r="445" ht="22.5" hidden="1" customHeight="1">
      <c r="A445" s="36"/>
      <c r="B445" s="36"/>
      <c r="C445" s="36"/>
      <c r="D445" s="36"/>
      <c r="E445" s="36"/>
      <c r="F445" s="36"/>
      <c r="G445" s="36"/>
      <c r="H445" s="36"/>
      <c r="I445" s="36"/>
    </row>
    <row r="446" ht="22.5" hidden="1" customHeight="1">
      <c r="A446" s="36"/>
      <c r="B446" s="36"/>
      <c r="C446" s="36"/>
      <c r="D446" s="36"/>
      <c r="E446" s="36"/>
      <c r="F446" s="36"/>
      <c r="G446" s="36"/>
      <c r="H446" s="36"/>
      <c r="I446" s="36"/>
    </row>
    <row r="447" ht="22.5" hidden="1" customHeight="1">
      <c r="A447" s="36"/>
      <c r="B447" s="36"/>
      <c r="C447" s="36"/>
      <c r="D447" s="36"/>
      <c r="E447" s="36"/>
      <c r="F447" s="36"/>
      <c r="G447" s="36"/>
      <c r="H447" s="36"/>
      <c r="I447" s="36"/>
    </row>
    <row r="448" ht="22.5" hidden="1" customHeight="1">
      <c r="A448" s="36"/>
      <c r="B448" s="36"/>
      <c r="C448" s="36"/>
      <c r="D448" s="36"/>
      <c r="E448" s="36"/>
      <c r="F448" s="36"/>
      <c r="G448" s="36"/>
      <c r="H448" s="36"/>
      <c r="I448" s="36"/>
    </row>
    <row r="449" ht="22.5" hidden="1" customHeight="1">
      <c r="A449" s="36"/>
      <c r="B449" s="36"/>
      <c r="C449" s="36"/>
      <c r="D449" s="36"/>
      <c r="E449" s="36"/>
      <c r="F449" s="36"/>
      <c r="G449" s="36"/>
      <c r="H449" s="36"/>
      <c r="I449" s="36"/>
    </row>
    <row r="450" ht="22.5" hidden="1" customHeight="1">
      <c r="A450" s="36"/>
      <c r="B450" s="36"/>
      <c r="C450" s="36"/>
      <c r="D450" s="36"/>
      <c r="E450" s="36"/>
      <c r="F450" s="36"/>
      <c r="G450" s="36"/>
      <c r="H450" s="36"/>
      <c r="I450" s="36"/>
    </row>
    <row r="451" ht="22.5" hidden="1" customHeight="1">
      <c r="A451" s="36"/>
      <c r="B451" s="36"/>
      <c r="C451" s="36"/>
      <c r="D451" s="36"/>
      <c r="E451" s="36"/>
      <c r="F451" s="36"/>
      <c r="G451" s="36"/>
      <c r="H451" s="36"/>
      <c r="I451" s="36"/>
    </row>
    <row r="452" ht="22.5" hidden="1" customHeight="1">
      <c r="A452" s="36"/>
      <c r="B452" s="36"/>
      <c r="C452" s="36"/>
      <c r="D452" s="36"/>
      <c r="E452" s="36"/>
      <c r="F452" s="36"/>
      <c r="G452" s="36"/>
      <c r="H452" s="36"/>
      <c r="I452" s="36"/>
    </row>
    <row r="453" ht="22.5" hidden="1" customHeight="1">
      <c r="A453" s="36"/>
      <c r="B453" s="36"/>
      <c r="C453" s="36"/>
      <c r="D453" s="36"/>
      <c r="E453" s="36"/>
      <c r="F453" s="36"/>
      <c r="G453" s="36"/>
      <c r="H453" s="36"/>
      <c r="I453" s="36"/>
    </row>
    <row r="454" ht="22.5" hidden="1" customHeight="1">
      <c r="A454" s="36"/>
      <c r="B454" s="36"/>
      <c r="C454" s="36"/>
      <c r="D454" s="36"/>
      <c r="E454" s="36"/>
      <c r="F454" s="36"/>
      <c r="G454" s="36"/>
      <c r="H454" s="36"/>
      <c r="I454" s="36"/>
    </row>
    <row r="455" ht="22.5" hidden="1" customHeight="1">
      <c r="A455" s="36"/>
      <c r="B455" s="36"/>
      <c r="C455" s="36"/>
      <c r="D455" s="36"/>
      <c r="E455" s="36"/>
      <c r="F455" s="36"/>
      <c r="G455" s="36"/>
      <c r="H455" s="36"/>
      <c r="I455" s="36"/>
    </row>
    <row r="456" ht="22.5" hidden="1" customHeight="1">
      <c r="A456" s="36"/>
      <c r="B456" s="36"/>
      <c r="C456" s="36"/>
      <c r="D456" s="36"/>
      <c r="E456" s="36"/>
      <c r="F456" s="36"/>
      <c r="G456" s="36"/>
      <c r="H456" s="36"/>
      <c r="I456" s="36"/>
    </row>
    <row r="457" ht="22.5" hidden="1" customHeight="1">
      <c r="A457" s="36"/>
      <c r="B457" s="36"/>
      <c r="C457" s="36"/>
      <c r="D457" s="36"/>
      <c r="E457" s="36"/>
      <c r="F457" s="36"/>
      <c r="G457" s="36"/>
      <c r="H457" s="36"/>
      <c r="I457" s="36"/>
    </row>
    <row r="458" ht="22.5" hidden="1" customHeight="1">
      <c r="A458" s="36"/>
      <c r="B458" s="36"/>
      <c r="C458" s="36"/>
      <c r="D458" s="36"/>
      <c r="E458" s="36"/>
      <c r="F458" s="36"/>
      <c r="G458" s="36"/>
      <c r="H458" s="36"/>
      <c r="I458" s="36"/>
    </row>
    <row r="459" ht="22.5" hidden="1" customHeight="1">
      <c r="A459" s="36"/>
      <c r="B459" s="36"/>
      <c r="C459" s="36"/>
      <c r="D459" s="36"/>
      <c r="E459" s="36"/>
      <c r="F459" s="36"/>
      <c r="G459" s="36"/>
      <c r="H459" s="36"/>
      <c r="I459" s="36"/>
    </row>
    <row r="460" ht="22.5" hidden="1" customHeight="1">
      <c r="A460" s="36"/>
      <c r="B460" s="36"/>
      <c r="C460" s="36"/>
      <c r="D460" s="36"/>
      <c r="E460" s="36"/>
      <c r="F460" s="36"/>
      <c r="G460" s="36"/>
      <c r="H460" s="36"/>
      <c r="I460" s="36"/>
    </row>
    <row r="461" ht="22.5" hidden="1" customHeight="1">
      <c r="A461" s="36"/>
      <c r="B461" s="36"/>
      <c r="C461" s="36"/>
      <c r="D461" s="36"/>
      <c r="E461" s="36"/>
      <c r="F461" s="36"/>
      <c r="G461" s="36"/>
      <c r="H461" s="36"/>
      <c r="I461" s="36"/>
    </row>
    <row r="462" ht="22.5" hidden="1" customHeight="1">
      <c r="A462" s="36"/>
      <c r="B462" s="36"/>
      <c r="C462" s="36"/>
      <c r="D462" s="36"/>
      <c r="E462" s="36"/>
      <c r="F462" s="36"/>
      <c r="G462" s="36"/>
      <c r="H462" s="36"/>
      <c r="I462" s="36"/>
    </row>
    <row r="463" ht="22.5" hidden="1" customHeight="1">
      <c r="A463" s="36"/>
      <c r="B463" s="36"/>
      <c r="C463" s="36"/>
      <c r="D463" s="36"/>
      <c r="E463" s="36"/>
      <c r="F463" s="36"/>
      <c r="G463" s="36"/>
      <c r="H463" s="36"/>
      <c r="I463" s="36"/>
    </row>
    <row r="464" ht="22.5" hidden="1" customHeight="1">
      <c r="A464" s="36"/>
      <c r="B464" s="36"/>
      <c r="C464" s="36"/>
      <c r="D464" s="36"/>
      <c r="E464" s="36"/>
      <c r="F464" s="36"/>
      <c r="G464" s="36"/>
      <c r="H464" s="36"/>
      <c r="I464" s="36"/>
    </row>
    <row r="465" ht="22.5" hidden="1" customHeight="1">
      <c r="A465" s="36"/>
      <c r="B465" s="36"/>
      <c r="C465" s="36"/>
      <c r="D465" s="36"/>
      <c r="E465" s="36"/>
      <c r="F465" s="36"/>
      <c r="G465" s="36"/>
      <c r="H465" s="36"/>
      <c r="I465" s="36"/>
    </row>
    <row r="466" ht="22.5" hidden="1" customHeight="1">
      <c r="A466" s="36"/>
      <c r="B466" s="36"/>
      <c r="C466" s="36"/>
      <c r="D466" s="36"/>
      <c r="E466" s="36"/>
      <c r="F466" s="36"/>
      <c r="G466" s="36"/>
      <c r="H466" s="36"/>
      <c r="I466" s="36"/>
    </row>
    <row r="467" ht="22.5" hidden="1" customHeight="1">
      <c r="A467" s="36"/>
      <c r="B467" s="36"/>
      <c r="C467" s="36"/>
      <c r="D467" s="36"/>
      <c r="E467" s="36"/>
      <c r="F467" s="36"/>
      <c r="G467" s="36"/>
      <c r="H467" s="36"/>
      <c r="I467" s="36"/>
    </row>
    <row r="468" ht="22.5" hidden="1" customHeight="1">
      <c r="A468" s="36"/>
      <c r="B468" s="36"/>
      <c r="C468" s="36"/>
      <c r="D468" s="36"/>
      <c r="E468" s="36"/>
      <c r="F468" s="36"/>
      <c r="G468" s="36"/>
      <c r="H468" s="36"/>
      <c r="I468" s="36"/>
    </row>
    <row r="469" ht="22.5" hidden="1" customHeight="1">
      <c r="A469" s="36"/>
      <c r="B469" s="36"/>
      <c r="C469" s="36"/>
      <c r="D469" s="36"/>
      <c r="E469" s="36"/>
      <c r="F469" s="36"/>
      <c r="G469" s="36"/>
      <c r="H469" s="36"/>
      <c r="I469" s="36"/>
    </row>
    <row r="470" ht="22.5" hidden="1" customHeight="1">
      <c r="A470" s="36"/>
      <c r="B470" s="36"/>
      <c r="C470" s="36"/>
      <c r="D470" s="36"/>
      <c r="E470" s="36"/>
      <c r="F470" s="36"/>
      <c r="G470" s="36"/>
      <c r="H470" s="36"/>
      <c r="I470" s="36"/>
    </row>
    <row r="471" ht="22.5" hidden="1" customHeight="1">
      <c r="A471" s="36"/>
      <c r="B471" s="36"/>
      <c r="C471" s="36"/>
      <c r="D471" s="36"/>
      <c r="E471" s="36"/>
      <c r="F471" s="36"/>
      <c r="G471" s="36"/>
      <c r="H471" s="36"/>
      <c r="I471" s="36"/>
    </row>
    <row r="472" ht="22.5" hidden="1" customHeight="1">
      <c r="A472" s="36"/>
      <c r="B472" s="36"/>
      <c r="C472" s="36"/>
      <c r="D472" s="36"/>
      <c r="E472" s="36"/>
      <c r="F472" s="36"/>
      <c r="G472" s="36"/>
      <c r="H472" s="36"/>
      <c r="I472" s="36"/>
    </row>
    <row r="473" ht="22.5" hidden="1" customHeight="1">
      <c r="A473" s="36"/>
      <c r="B473" s="36"/>
      <c r="C473" s="36"/>
      <c r="D473" s="36"/>
      <c r="E473" s="36"/>
      <c r="F473" s="36"/>
      <c r="G473" s="36"/>
      <c r="H473" s="36"/>
      <c r="I473" s="36"/>
    </row>
    <row r="474" ht="22.5" hidden="1" customHeight="1">
      <c r="A474" s="36"/>
      <c r="B474" s="36"/>
      <c r="C474" s="36"/>
      <c r="D474" s="36"/>
      <c r="E474" s="36"/>
      <c r="F474" s="36"/>
      <c r="G474" s="36"/>
      <c r="H474" s="36"/>
      <c r="I474" s="36"/>
    </row>
    <row r="475" ht="22.5" hidden="1" customHeight="1">
      <c r="A475" s="36"/>
      <c r="B475" s="36"/>
      <c r="C475" s="36"/>
      <c r="D475" s="36"/>
      <c r="E475" s="36"/>
      <c r="F475" s="36"/>
      <c r="G475" s="36"/>
      <c r="H475" s="36"/>
      <c r="I475" s="36"/>
    </row>
    <row r="476" ht="22.5" hidden="1" customHeight="1">
      <c r="A476" s="36"/>
      <c r="B476" s="36"/>
      <c r="C476" s="36"/>
      <c r="D476" s="36"/>
      <c r="E476" s="36"/>
      <c r="F476" s="36"/>
      <c r="G476" s="36"/>
      <c r="H476" s="36"/>
      <c r="I476" s="36"/>
    </row>
    <row r="477" ht="22.5" hidden="1" customHeight="1">
      <c r="A477" s="36"/>
      <c r="B477" s="36"/>
      <c r="C477" s="36"/>
      <c r="D477" s="36"/>
      <c r="E477" s="36"/>
      <c r="F477" s="36"/>
      <c r="G477" s="36"/>
      <c r="H477" s="36"/>
      <c r="I477" s="36"/>
    </row>
    <row r="478" ht="22.5" hidden="1" customHeight="1">
      <c r="A478" s="36"/>
      <c r="B478" s="36"/>
      <c r="C478" s="36"/>
      <c r="D478" s="36"/>
      <c r="E478" s="36"/>
      <c r="F478" s="36"/>
      <c r="G478" s="36"/>
      <c r="H478" s="36"/>
      <c r="I478" s="36"/>
    </row>
    <row r="479" ht="22.5" hidden="1" customHeight="1">
      <c r="A479" s="36"/>
      <c r="B479" s="36"/>
      <c r="C479" s="36"/>
      <c r="D479" s="36"/>
      <c r="E479" s="36"/>
      <c r="F479" s="36"/>
      <c r="G479" s="36"/>
      <c r="H479" s="36"/>
      <c r="I479" s="36"/>
    </row>
    <row r="480" ht="22.5" hidden="1" customHeight="1">
      <c r="A480" s="36"/>
      <c r="B480" s="36"/>
      <c r="C480" s="36"/>
      <c r="D480" s="36"/>
      <c r="E480" s="36"/>
      <c r="F480" s="36"/>
      <c r="G480" s="36"/>
      <c r="H480" s="36"/>
      <c r="I480" s="36"/>
    </row>
    <row r="481" ht="22.5" hidden="1" customHeight="1">
      <c r="A481" s="36"/>
      <c r="B481" s="36"/>
      <c r="C481" s="36"/>
      <c r="D481" s="36"/>
      <c r="E481" s="36"/>
      <c r="F481" s="36"/>
      <c r="G481" s="36"/>
      <c r="H481" s="36"/>
      <c r="I481" s="36"/>
    </row>
    <row r="482" ht="22.5" hidden="1" customHeight="1">
      <c r="A482" s="36"/>
      <c r="B482" s="36"/>
      <c r="C482" s="36"/>
      <c r="D482" s="36"/>
      <c r="E482" s="36"/>
      <c r="F482" s="36"/>
      <c r="G482" s="36"/>
      <c r="H482" s="36"/>
      <c r="I482" s="36"/>
    </row>
    <row r="483" ht="22.5" hidden="1" customHeight="1">
      <c r="A483" s="36"/>
      <c r="B483" s="36"/>
      <c r="C483" s="36"/>
      <c r="D483" s="36"/>
      <c r="E483" s="36"/>
      <c r="F483" s="36"/>
      <c r="G483" s="36"/>
      <c r="H483" s="36"/>
      <c r="I483" s="36"/>
    </row>
    <row r="484" ht="22.5" hidden="1" customHeight="1">
      <c r="A484" s="36"/>
      <c r="B484" s="36"/>
      <c r="C484" s="36"/>
      <c r="D484" s="36"/>
      <c r="E484" s="36"/>
      <c r="F484" s="36"/>
      <c r="G484" s="36"/>
      <c r="H484" s="36"/>
      <c r="I484" s="36"/>
    </row>
    <row r="485" ht="22.5" hidden="1" customHeight="1">
      <c r="A485" s="36"/>
      <c r="B485" s="36"/>
      <c r="C485" s="36"/>
      <c r="D485" s="36"/>
      <c r="E485" s="36"/>
      <c r="F485" s="36"/>
      <c r="G485" s="36"/>
      <c r="H485" s="36"/>
      <c r="I485" s="36"/>
    </row>
    <row r="486" ht="22.5" hidden="1" customHeight="1">
      <c r="A486" s="36"/>
      <c r="B486" s="36"/>
      <c r="C486" s="36"/>
      <c r="D486" s="36"/>
      <c r="E486" s="36"/>
      <c r="F486" s="36"/>
      <c r="G486" s="36"/>
      <c r="H486" s="36"/>
      <c r="I486" s="36"/>
    </row>
    <row r="487" ht="22.5" hidden="1" customHeight="1">
      <c r="A487" s="36"/>
      <c r="B487" s="36"/>
      <c r="C487" s="36"/>
      <c r="D487" s="36"/>
      <c r="E487" s="36"/>
      <c r="F487" s="36"/>
      <c r="G487" s="36"/>
      <c r="H487" s="36"/>
      <c r="I487" s="36"/>
    </row>
    <row r="488" ht="22.5" hidden="1" customHeight="1">
      <c r="A488" s="36"/>
      <c r="B488" s="36"/>
      <c r="C488" s="36"/>
      <c r="D488" s="36"/>
      <c r="E488" s="36"/>
      <c r="F488" s="36"/>
      <c r="G488" s="36"/>
      <c r="H488" s="36"/>
      <c r="I488" s="36"/>
    </row>
    <row r="489" ht="22.5" hidden="1" customHeight="1">
      <c r="A489" s="36"/>
      <c r="B489" s="36"/>
      <c r="C489" s="36"/>
      <c r="D489" s="36"/>
      <c r="E489" s="36"/>
      <c r="F489" s="36"/>
      <c r="G489" s="36"/>
      <c r="H489" s="36"/>
      <c r="I489" s="36"/>
    </row>
    <row r="490" ht="22.5" hidden="1" customHeight="1">
      <c r="A490" s="36"/>
      <c r="B490" s="36"/>
      <c r="C490" s="36"/>
      <c r="D490" s="36"/>
      <c r="E490" s="36"/>
      <c r="F490" s="36"/>
      <c r="G490" s="36"/>
      <c r="H490" s="36"/>
      <c r="I490" s="36"/>
    </row>
    <row r="491" ht="22.5" hidden="1" customHeight="1">
      <c r="A491" s="36"/>
      <c r="B491" s="36"/>
      <c r="C491" s="36"/>
      <c r="D491" s="36"/>
      <c r="E491" s="36"/>
      <c r="F491" s="36"/>
      <c r="G491" s="36"/>
      <c r="H491" s="36"/>
      <c r="I491" s="36"/>
    </row>
    <row r="492" ht="22.5" hidden="1" customHeight="1">
      <c r="A492" s="36"/>
      <c r="B492" s="36"/>
      <c r="C492" s="36"/>
      <c r="D492" s="36"/>
      <c r="E492" s="36"/>
      <c r="F492" s="36"/>
      <c r="G492" s="36"/>
      <c r="H492" s="36"/>
      <c r="I492" s="36"/>
    </row>
    <row r="493" ht="22.5" hidden="1" customHeight="1">
      <c r="A493" s="36"/>
      <c r="B493" s="36"/>
      <c r="C493" s="36"/>
      <c r="D493" s="36"/>
      <c r="E493" s="36"/>
      <c r="F493" s="36"/>
      <c r="G493" s="36"/>
      <c r="H493" s="36"/>
      <c r="I493" s="36"/>
    </row>
    <row r="494" ht="22.5" hidden="1" customHeight="1">
      <c r="A494" s="36"/>
      <c r="B494" s="36"/>
      <c r="C494" s="36"/>
      <c r="D494" s="36"/>
      <c r="E494" s="36"/>
      <c r="F494" s="36"/>
      <c r="G494" s="36"/>
      <c r="H494" s="36"/>
      <c r="I494" s="36"/>
    </row>
    <row r="495" ht="22.5" hidden="1" customHeight="1">
      <c r="A495" s="36"/>
      <c r="B495" s="36"/>
      <c r="C495" s="36"/>
      <c r="D495" s="36"/>
      <c r="E495" s="36"/>
      <c r="F495" s="36"/>
      <c r="G495" s="36"/>
      <c r="H495" s="36"/>
      <c r="I495" s="36"/>
    </row>
    <row r="496" ht="22.5" hidden="1" customHeight="1">
      <c r="A496" s="36"/>
      <c r="B496" s="36"/>
      <c r="C496" s="36"/>
      <c r="D496" s="36"/>
      <c r="E496" s="36"/>
      <c r="F496" s="36"/>
      <c r="G496" s="36"/>
      <c r="H496" s="36"/>
      <c r="I496" s="36"/>
    </row>
    <row r="497" ht="22.5" hidden="1" customHeight="1">
      <c r="A497" s="36"/>
      <c r="B497" s="36"/>
      <c r="C497" s="36"/>
      <c r="D497" s="36"/>
      <c r="E497" s="36"/>
      <c r="F497" s="36"/>
      <c r="G497" s="36"/>
      <c r="H497" s="36"/>
      <c r="I497" s="36"/>
    </row>
    <row r="498" ht="22.5" hidden="1" customHeight="1">
      <c r="A498" s="36"/>
      <c r="B498" s="36"/>
      <c r="C498" s="36"/>
      <c r="D498" s="36"/>
      <c r="E498" s="36"/>
      <c r="F498" s="36"/>
      <c r="G498" s="36"/>
      <c r="H498" s="36"/>
      <c r="I498" s="36"/>
    </row>
    <row r="499" ht="22.5" hidden="1" customHeight="1">
      <c r="A499" s="36"/>
      <c r="B499" s="36"/>
      <c r="C499" s="36"/>
      <c r="D499" s="36"/>
      <c r="E499" s="36"/>
      <c r="F499" s="36"/>
      <c r="G499" s="36"/>
      <c r="H499" s="36"/>
      <c r="I499" s="36"/>
    </row>
    <row r="500" ht="22.5" hidden="1" customHeight="1">
      <c r="A500" s="36"/>
      <c r="B500" s="36"/>
      <c r="C500" s="36"/>
      <c r="D500" s="36"/>
      <c r="E500" s="36"/>
      <c r="F500" s="36"/>
      <c r="G500" s="36"/>
      <c r="H500" s="36"/>
      <c r="I500" s="36"/>
    </row>
    <row r="501" ht="22.5" hidden="1" customHeight="1">
      <c r="A501" s="36"/>
      <c r="B501" s="36"/>
      <c r="C501" s="36"/>
      <c r="D501" s="36"/>
      <c r="E501" s="36"/>
      <c r="F501" s="36"/>
      <c r="G501" s="36"/>
      <c r="H501" s="36"/>
      <c r="I501" s="36"/>
    </row>
    <row r="502" ht="22.5" hidden="1" customHeight="1">
      <c r="A502" s="36"/>
      <c r="B502" s="36"/>
      <c r="C502" s="36"/>
      <c r="D502" s="36"/>
      <c r="E502" s="36"/>
      <c r="F502" s="36"/>
      <c r="G502" s="36"/>
      <c r="H502" s="36"/>
      <c r="I502" s="36"/>
    </row>
    <row r="503" ht="22.5" hidden="1" customHeight="1">
      <c r="A503" s="36"/>
      <c r="B503" s="36"/>
      <c r="C503" s="36"/>
      <c r="D503" s="36"/>
      <c r="E503" s="36"/>
      <c r="F503" s="36"/>
      <c r="G503" s="36"/>
      <c r="H503" s="36"/>
      <c r="I503" s="36"/>
    </row>
    <row r="504" ht="22.5" hidden="1" customHeight="1">
      <c r="A504" s="36"/>
      <c r="B504" s="36"/>
      <c r="C504" s="36"/>
      <c r="D504" s="36"/>
      <c r="E504" s="36"/>
      <c r="F504" s="36"/>
      <c r="G504" s="36"/>
      <c r="H504" s="36"/>
      <c r="I504" s="36"/>
    </row>
    <row r="505" ht="22.5" hidden="1" customHeight="1">
      <c r="A505" s="36"/>
      <c r="B505" s="36"/>
      <c r="C505" s="36"/>
      <c r="D505" s="36"/>
      <c r="E505" s="36"/>
      <c r="F505" s="36"/>
      <c r="G505" s="36"/>
      <c r="H505" s="36"/>
      <c r="I505" s="36"/>
    </row>
    <row r="506" ht="22.5" hidden="1" customHeight="1">
      <c r="A506" s="36"/>
      <c r="B506" s="36"/>
      <c r="C506" s="36"/>
      <c r="D506" s="36"/>
      <c r="E506" s="36"/>
      <c r="F506" s="36"/>
      <c r="G506" s="36"/>
      <c r="H506" s="36"/>
      <c r="I506" s="36"/>
    </row>
    <row r="507" ht="22.5" hidden="1" customHeight="1">
      <c r="A507" s="36"/>
      <c r="B507" s="36"/>
      <c r="C507" s="36"/>
      <c r="D507" s="36"/>
      <c r="E507" s="36"/>
      <c r="F507" s="36"/>
      <c r="G507" s="36"/>
      <c r="H507" s="36"/>
      <c r="I507" s="36"/>
    </row>
    <row r="508" ht="22.5" hidden="1" customHeight="1">
      <c r="A508" s="36"/>
      <c r="B508" s="36"/>
      <c r="C508" s="36"/>
      <c r="D508" s="36"/>
      <c r="E508" s="36"/>
      <c r="F508" s="36"/>
      <c r="G508" s="36"/>
      <c r="H508" s="36"/>
      <c r="I508" s="36"/>
    </row>
    <row r="509" ht="22.5" hidden="1" customHeight="1">
      <c r="A509" s="36"/>
      <c r="B509" s="36"/>
      <c r="C509" s="36"/>
      <c r="D509" s="36"/>
      <c r="E509" s="36"/>
      <c r="F509" s="36"/>
      <c r="G509" s="36"/>
      <c r="H509" s="36"/>
      <c r="I509" s="36"/>
    </row>
    <row r="510" ht="22.5" hidden="1" customHeight="1">
      <c r="A510" s="36"/>
      <c r="B510" s="36"/>
      <c r="C510" s="36"/>
      <c r="D510" s="36"/>
      <c r="E510" s="36"/>
      <c r="F510" s="36"/>
      <c r="G510" s="36"/>
      <c r="H510" s="36"/>
      <c r="I510" s="36"/>
    </row>
    <row r="511" ht="22.5" hidden="1" customHeight="1">
      <c r="A511" s="36"/>
      <c r="B511" s="36"/>
      <c r="C511" s="36"/>
      <c r="D511" s="36"/>
      <c r="E511" s="36"/>
      <c r="F511" s="36"/>
      <c r="G511" s="36"/>
      <c r="H511" s="36"/>
      <c r="I511" s="36"/>
    </row>
    <row r="512" ht="22.5" hidden="1" customHeight="1">
      <c r="A512" s="36"/>
      <c r="B512" s="36"/>
      <c r="C512" s="36"/>
      <c r="D512" s="36"/>
      <c r="E512" s="36"/>
      <c r="F512" s="36"/>
      <c r="G512" s="36"/>
      <c r="H512" s="36"/>
      <c r="I512" s="36"/>
    </row>
    <row r="513" ht="22.5" hidden="1" customHeight="1">
      <c r="A513" s="36"/>
      <c r="B513" s="36"/>
      <c r="C513" s="36"/>
      <c r="D513" s="36"/>
      <c r="E513" s="36"/>
      <c r="F513" s="36"/>
      <c r="G513" s="36"/>
      <c r="H513" s="36"/>
      <c r="I513" s="36"/>
    </row>
    <row r="514" ht="22.5" hidden="1" customHeight="1">
      <c r="A514" s="36"/>
      <c r="B514" s="36"/>
      <c r="C514" s="36"/>
      <c r="D514" s="36"/>
      <c r="E514" s="36"/>
      <c r="F514" s="36"/>
      <c r="G514" s="36"/>
      <c r="H514" s="36"/>
      <c r="I514" s="36"/>
    </row>
    <row r="515" ht="22.5" hidden="1" customHeight="1">
      <c r="A515" s="36"/>
      <c r="B515" s="36"/>
      <c r="C515" s="36"/>
      <c r="D515" s="36"/>
      <c r="E515" s="36"/>
      <c r="F515" s="36"/>
      <c r="G515" s="36"/>
      <c r="H515" s="36"/>
      <c r="I515" s="36"/>
    </row>
    <row r="516" ht="22.5" hidden="1" customHeight="1">
      <c r="A516" s="36"/>
      <c r="B516" s="36"/>
      <c r="C516" s="36"/>
      <c r="D516" s="36"/>
      <c r="E516" s="36"/>
      <c r="F516" s="36"/>
      <c r="G516" s="36"/>
      <c r="H516" s="36"/>
      <c r="I516" s="36"/>
    </row>
    <row r="517" ht="22.5" hidden="1" customHeight="1">
      <c r="A517" s="36"/>
      <c r="B517" s="36"/>
      <c r="C517" s="36"/>
      <c r="D517" s="36"/>
      <c r="E517" s="36"/>
      <c r="F517" s="36"/>
      <c r="G517" s="36"/>
      <c r="H517" s="36"/>
      <c r="I517" s="36"/>
    </row>
    <row r="518" ht="22.5" hidden="1" customHeight="1">
      <c r="A518" s="36"/>
      <c r="B518" s="36"/>
      <c r="C518" s="36"/>
      <c r="D518" s="36"/>
      <c r="E518" s="36"/>
      <c r="F518" s="36"/>
      <c r="G518" s="36"/>
      <c r="H518" s="36"/>
      <c r="I518" s="36"/>
    </row>
    <row r="519" ht="22.5" hidden="1" customHeight="1">
      <c r="A519" s="36"/>
      <c r="B519" s="36"/>
      <c r="C519" s="36"/>
      <c r="D519" s="36"/>
      <c r="E519" s="36"/>
      <c r="F519" s="36"/>
      <c r="G519" s="36"/>
      <c r="H519" s="36"/>
      <c r="I519" s="36"/>
    </row>
    <row r="520" ht="22.5" hidden="1" customHeight="1">
      <c r="A520" s="36"/>
      <c r="B520" s="36"/>
      <c r="C520" s="36"/>
      <c r="D520" s="36"/>
      <c r="E520" s="36"/>
      <c r="F520" s="36"/>
      <c r="G520" s="36"/>
      <c r="H520" s="36"/>
      <c r="I520" s="36"/>
    </row>
    <row r="521" ht="22.5" hidden="1" customHeight="1">
      <c r="A521" s="36"/>
      <c r="B521" s="36"/>
      <c r="C521" s="36"/>
      <c r="D521" s="36"/>
      <c r="E521" s="36"/>
      <c r="F521" s="36"/>
      <c r="G521" s="36"/>
      <c r="H521" s="36"/>
      <c r="I521" s="36"/>
    </row>
    <row r="522" ht="22.5" hidden="1" customHeight="1">
      <c r="A522" s="36"/>
      <c r="B522" s="36"/>
      <c r="C522" s="36"/>
      <c r="D522" s="36"/>
      <c r="E522" s="36"/>
      <c r="F522" s="36"/>
      <c r="G522" s="36"/>
      <c r="H522" s="36"/>
      <c r="I522" s="36"/>
    </row>
    <row r="523" ht="22.5" hidden="1" customHeight="1">
      <c r="A523" s="36"/>
      <c r="B523" s="36"/>
      <c r="C523" s="36"/>
      <c r="D523" s="36"/>
      <c r="E523" s="36"/>
      <c r="F523" s="36"/>
      <c r="G523" s="36"/>
      <c r="H523" s="36"/>
      <c r="I523" s="36"/>
    </row>
    <row r="524" ht="22.5" hidden="1" customHeight="1">
      <c r="A524" s="36"/>
      <c r="B524" s="36"/>
      <c r="C524" s="36"/>
      <c r="D524" s="36"/>
      <c r="E524" s="36"/>
      <c r="F524" s="36"/>
      <c r="G524" s="36"/>
      <c r="H524" s="36"/>
      <c r="I524" s="36"/>
    </row>
    <row r="525" ht="22.5" hidden="1" customHeight="1">
      <c r="A525" s="36"/>
      <c r="B525" s="36"/>
      <c r="C525" s="36"/>
      <c r="D525" s="36"/>
      <c r="E525" s="36"/>
      <c r="F525" s="36"/>
      <c r="G525" s="36"/>
      <c r="H525" s="36"/>
      <c r="I525" s="36"/>
    </row>
    <row r="526" ht="22.5" hidden="1" customHeight="1">
      <c r="A526" s="36"/>
      <c r="B526" s="36"/>
      <c r="C526" s="36"/>
      <c r="D526" s="36"/>
      <c r="E526" s="36"/>
      <c r="F526" s="36"/>
      <c r="G526" s="36"/>
      <c r="H526" s="36"/>
      <c r="I526" s="36"/>
    </row>
    <row r="527" ht="22.5" hidden="1" customHeight="1">
      <c r="A527" s="36"/>
      <c r="B527" s="36"/>
      <c r="C527" s="36"/>
      <c r="D527" s="36"/>
      <c r="E527" s="36"/>
      <c r="F527" s="36"/>
      <c r="G527" s="36"/>
      <c r="H527" s="36"/>
      <c r="I527" s="36"/>
    </row>
    <row r="528" ht="22.5" hidden="1" customHeight="1">
      <c r="A528" s="36"/>
      <c r="B528" s="36"/>
      <c r="C528" s="36"/>
      <c r="D528" s="36"/>
      <c r="E528" s="36"/>
      <c r="F528" s="36"/>
      <c r="G528" s="36"/>
      <c r="H528" s="36"/>
      <c r="I528" s="36"/>
    </row>
    <row r="529" ht="22.5" hidden="1" customHeight="1">
      <c r="A529" s="36"/>
      <c r="B529" s="36"/>
      <c r="C529" s="36"/>
      <c r="D529" s="36"/>
      <c r="E529" s="36"/>
      <c r="F529" s="36"/>
      <c r="G529" s="36"/>
      <c r="H529" s="36"/>
      <c r="I529" s="36"/>
    </row>
    <row r="530" ht="22.5" hidden="1" customHeight="1">
      <c r="A530" s="36"/>
      <c r="B530" s="36"/>
      <c r="C530" s="36"/>
      <c r="D530" s="36"/>
      <c r="E530" s="36"/>
      <c r="F530" s="36"/>
      <c r="G530" s="36"/>
      <c r="H530" s="36"/>
      <c r="I530" s="36"/>
    </row>
    <row r="531" ht="22.5" hidden="1" customHeight="1">
      <c r="A531" s="36"/>
      <c r="B531" s="36"/>
      <c r="C531" s="36"/>
      <c r="D531" s="36"/>
      <c r="E531" s="36"/>
      <c r="F531" s="36"/>
      <c r="G531" s="36"/>
      <c r="H531" s="36"/>
      <c r="I531" s="36"/>
    </row>
    <row r="532" ht="22.5" hidden="1" customHeight="1">
      <c r="A532" s="36"/>
      <c r="B532" s="36"/>
      <c r="C532" s="36"/>
      <c r="D532" s="36"/>
      <c r="E532" s="36"/>
      <c r="F532" s="36"/>
      <c r="G532" s="36"/>
      <c r="H532" s="36"/>
      <c r="I532" s="36"/>
    </row>
    <row r="533" ht="22.5" hidden="1" customHeight="1">
      <c r="A533" s="36"/>
      <c r="B533" s="36"/>
      <c r="C533" s="36"/>
      <c r="D533" s="36"/>
      <c r="E533" s="36"/>
      <c r="F533" s="36"/>
      <c r="G533" s="36"/>
      <c r="H533" s="36"/>
      <c r="I533" s="36"/>
    </row>
    <row r="534" ht="22.5" hidden="1" customHeight="1">
      <c r="A534" s="36"/>
      <c r="B534" s="36"/>
      <c r="C534" s="36"/>
      <c r="D534" s="36"/>
      <c r="E534" s="36"/>
      <c r="F534" s="36"/>
      <c r="G534" s="36"/>
      <c r="H534" s="36"/>
      <c r="I534" s="36"/>
    </row>
    <row r="535" ht="22.5" hidden="1" customHeight="1">
      <c r="A535" s="36"/>
      <c r="B535" s="36"/>
      <c r="C535" s="36"/>
      <c r="D535" s="36"/>
      <c r="E535" s="36"/>
      <c r="F535" s="36"/>
      <c r="G535" s="36"/>
      <c r="H535" s="36"/>
      <c r="I535" s="36"/>
    </row>
    <row r="536" ht="22.5" hidden="1" customHeight="1">
      <c r="A536" s="36"/>
      <c r="B536" s="36"/>
      <c r="C536" s="36"/>
      <c r="D536" s="36"/>
      <c r="E536" s="36"/>
      <c r="F536" s="36"/>
      <c r="G536" s="36"/>
      <c r="H536" s="36"/>
      <c r="I536" s="36"/>
    </row>
    <row r="537" ht="22.5" hidden="1" customHeight="1">
      <c r="A537" s="36"/>
      <c r="B537" s="36"/>
      <c r="C537" s="36"/>
      <c r="D537" s="36"/>
      <c r="E537" s="36"/>
      <c r="F537" s="36"/>
      <c r="G537" s="36"/>
      <c r="H537" s="36"/>
      <c r="I537" s="36"/>
    </row>
    <row r="538" ht="22.5" hidden="1" customHeight="1">
      <c r="A538" s="36"/>
      <c r="B538" s="36"/>
      <c r="C538" s="36"/>
      <c r="D538" s="36"/>
      <c r="E538" s="36"/>
      <c r="F538" s="36"/>
      <c r="G538" s="36"/>
      <c r="H538" s="36"/>
      <c r="I538" s="36"/>
    </row>
    <row r="539" ht="22.5" hidden="1" customHeight="1">
      <c r="A539" s="36"/>
      <c r="B539" s="36"/>
      <c r="C539" s="36"/>
      <c r="D539" s="36"/>
      <c r="E539" s="36"/>
      <c r="F539" s="36"/>
      <c r="G539" s="36"/>
      <c r="H539" s="36"/>
      <c r="I539" s="36"/>
    </row>
    <row r="540" ht="22.5" hidden="1" customHeight="1">
      <c r="A540" s="36"/>
      <c r="B540" s="36"/>
      <c r="C540" s="36"/>
      <c r="D540" s="36"/>
      <c r="E540" s="36"/>
      <c r="F540" s="36"/>
      <c r="G540" s="36"/>
      <c r="H540" s="36"/>
      <c r="I540" s="36"/>
    </row>
    <row r="541" ht="22.5" hidden="1" customHeight="1">
      <c r="A541" s="36"/>
      <c r="B541" s="36"/>
      <c r="C541" s="36"/>
      <c r="D541" s="36"/>
      <c r="E541" s="36"/>
      <c r="F541" s="36"/>
      <c r="G541" s="36"/>
      <c r="H541" s="36"/>
      <c r="I541" s="36"/>
    </row>
    <row r="542" ht="22.5" hidden="1" customHeight="1">
      <c r="A542" s="36"/>
      <c r="B542" s="36"/>
      <c r="C542" s="36"/>
      <c r="D542" s="36"/>
      <c r="E542" s="36"/>
      <c r="F542" s="36"/>
      <c r="G542" s="36"/>
      <c r="H542" s="36"/>
      <c r="I542" s="36"/>
    </row>
    <row r="543" ht="22.5" hidden="1" customHeight="1">
      <c r="A543" s="36"/>
      <c r="B543" s="36"/>
      <c r="C543" s="36"/>
      <c r="D543" s="36"/>
      <c r="E543" s="36"/>
      <c r="F543" s="36"/>
      <c r="G543" s="36"/>
      <c r="H543" s="36"/>
      <c r="I543" s="36"/>
    </row>
    <row r="544" ht="22.5" hidden="1" customHeight="1">
      <c r="A544" s="36"/>
      <c r="B544" s="36"/>
      <c r="C544" s="36"/>
      <c r="D544" s="36"/>
      <c r="E544" s="36"/>
      <c r="F544" s="36"/>
      <c r="G544" s="36"/>
      <c r="H544" s="36"/>
      <c r="I544" s="36"/>
    </row>
    <row r="545" ht="22.5" hidden="1" customHeight="1">
      <c r="A545" s="36"/>
      <c r="B545" s="36"/>
      <c r="C545" s="36"/>
      <c r="D545" s="36"/>
      <c r="E545" s="36"/>
      <c r="F545" s="36"/>
      <c r="G545" s="36"/>
      <c r="H545" s="36"/>
      <c r="I545" s="36"/>
    </row>
    <row r="546" ht="22.5" hidden="1" customHeight="1">
      <c r="A546" s="36"/>
      <c r="B546" s="36"/>
      <c r="C546" s="36"/>
      <c r="D546" s="36"/>
      <c r="E546" s="36"/>
      <c r="F546" s="36"/>
      <c r="G546" s="36"/>
      <c r="H546" s="36"/>
      <c r="I546" s="36"/>
    </row>
    <row r="547" ht="22.5" hidden="1" customHeight="1">
      <c r="A547" s="36"/>
      <c r="B547" s="36"/>
      <c r="C547" s="36"/>
      <c r="D547" s="36"/>
      <c r="E547" s="36"/>
      <c r="F547" s="36"/>
      <c r="G547" s="36"/>
      <c r="H547" s="36"/>
      <c r="I547" s="36"/>
    </row>
    <row r="548" ht="22.5" hidden="1" customHeight="1">
      <c r="A548" s="36"/>
      <c r="B548" s="36"/>
      <c r="C548" s="36"/>
      <c r="D548" s="36"/>
      <c r="E548" s="36"/>
      <c r="F548" s="36"/>
      <c r="G548" s="36"/>
      <c r="H548" s="36"/>
      <c r="I548" s="36"/>
    </row>
    <row r="549" ht="22.5" hidden="1" customHeight="1">
      <c r="A549" s="36"/>
      <c r="B549" s="36"/>
      <c r="C549" s="36"/>
      <c r="D549" s="36"/>
      <c r="E549" s="36"/>
      <c r="F549" s="36"/>
      <c r="G549" s="36"/>
      <c r="H549" s="36"/>
      <c r="I549" s="36"/>
    </row>
    <row r="550" ht="22.5" hidden="1" customHeight="1">
      <c r="A550" s="36"/>
      <c r="B550" s="36"/>
      <c r="C550" s="36"/>
      <c r="D550" s="36"/>
      <c r="E550" s="36"/>
      <c r="F550" s="36"/>
      <c r="G550" s="36"/>
      <c r="H550" s="36"/>
      <c r="I550" s="36"/>
    </row>
    <row r="551" ht="22.5" hidden="1" customHeight="1">
      <c r="A551" s="36"/>
      <c r="B551" s="36"/>
      <c r="C551" s="36"/>
      <c r="D551" s="36"/>
      <c r="E551" s="36"/>
      <c r="F551" s="36"/>
      <c r="G551" s="36"/>
      <c r="H551" s="36"/>
      <c r="I551" s="36"/>
    </row>
    <row r="552" ht="22.5" hidden="1" customHeight="1">
      <c r="A552" s="36"/>
      <c r="B552" s="36"/>
      <c r="C552" s="36"/>
      <c r="D552" s="36"/>
      <c r="E552" s="36"/>
      <c r="F552" s="36"/>
      <c r="G552" s="36"/>
      <c r="H552" s="36"/>
      <c r="I552" s="36"/>
    </row>
    <row r="553" ht="22.5" hidden="1" customHeight="1">
      <c r="A553" s="36"/>
      <c r="B553" s="36"/>
      <c r="C553" s="36"/>
      <c r="D553" s="36"/>
      <c r="E553" s="36"/>
      <c r="F553" s="36"/>
      <c r="G553" s="36"/>
      <c r="H553" s="36"/>
      <c r="I553" s="36"/>
    </row>
    <row r="554" ht="22.5" hidden="1" customHeight="1">
      <c r="A554" s="36"/>
      <c r="B554" s="36"/>
      <c r="C554" s="36"/>
      <c r="D554" s="36"/>
      <c r="E554" s="36"/>
      <c r="F554" s="36"/>
      <c r="G554" s="36"/>
      <c r="H554" s="36"/>
      <c r="I554" s="36"/>
    </row>
    <row r="555" ht="22.5" hidden="1" customHeight="1">
      <c r="A555" s="36"/>
      <c r="B555" s="36"/>
      <c r="C555" s="36"/>
      <c r="D555" s="36"/>
      <c r="E555" s="36"/>
      <c r="F555" s="36"/>
      <c r="G555" s="36"/>
      <c r="H555" s="36"/>
      <c r="I555" s="36"/>
    </row>
    <row r="556" ht="22.5" hidden="1" customHeight="1">
      <c r="A556" s="36"/>
      <c r="B556" s="36"/>
      <c r="C556" s="36"/>
      <c r="D556" s="36"/>
      <c r="E556" s="36"/>
      <c r="F556" s="36"/>
      <c r="G556" s="36"/>
      <c r="H556" s="36"/>
      <c r="I556" s="36"/>
    </row>
    <row r="557" ht="22.5" hidden="1" customHeight="1">
      <c r="A557" s="36"/>
      <c r="B557" s="36"/>
      <c r="C557" s="36"/>
      <c r="D557" s="36"/>
      <c r="E557" s="36"/>
      <c r="F557" s="36"/>
      <c r="G557" s="36"/>
      <c r="H557" s="36"/>
      <c r="I557" s="36"/>
    </row>
    <row r="558" ht="22.5" hidden="1" customHeight="1">
      <c r="A558" s="36"/>
      <c r="B558" s="36"/>
      <c r="C558" s="36"/>
      <c r="D558" s="36"/>
      <c r="E558" s="36"/>
      <c r="F558" s="36"/>
      <c r="G558" s="36"/>
      <c r="H558" s="36"/>
      <c r="I558" s="36"/>
    </row>
    <row r="559" ht="22.5" hidden="1" customHeight="1">
      <c r="A559" s="36"/>
      <c r="B559" s="36"/>
      <c r="C559" s="36"/>
      <c r="D559" s="36"/>
      <c r="E559" s="36"/>
      <c r="F559" s="36"/>
      <c r="G559" s="36"/>
      <c r="H559" s="36"/>
      <c r="I559" s="36"/>
    </row>
    <row r="560" ht="22.5" hidden="1" customHeight="1">
      <c r="A560" s="36"/>
      <c r="B560" s="36"/>
      <c r="C560" s="36"/>
      <c r="D560" s="36"/>
      <c r="E560" s="36"/>
      <c r="F560" s="36"/>
      <c r="G560" s="36"/>
      <c r="H560" s="36"/>
      <c r="I560" s="36"/>
    </row>
    <row r="561" ht="22.5" hidden="1" customHeight="1">
      <c r="A561" s="36"/>
      <c r="B561" s="36"/>
      <c r="C561" s="36"/>
      <c r="D561" s="36"/>
      <c r="E561" s="36"/>
      <c r="F561" s="36"/>
      <c r="G561" s="36"/>
      <c r="H561" s="36"/>
      <c r="I561" s="36"/>
    </row>
    <row r="562" ht="22.5" hidden="1" customHeight="1">
      <c r="A562" s="36"/>
      <c r="B562" s="36"/>
      <c r="C562" s="36"/>
      <c r="D562" s="36"/>
      <c r="E562" s="36"/>
      <c r="F562" s="36"/>
      <c r="G562" s="36"/>
      <c r="H562" s="36"/>
      <c r="I562" s="36"/>
    </row>
    <row r="563" ht="22.5" hidden="1" customHeight="1">
      <c r="A563" s="36"/>
      <c r="B563" s="36"/>
      <c r="C563" s="36"/>
      <c r="D563" s="36"/>
      <c r="E563" s="36"/>
      <c r="F563" s="36"/>
      <c r="G563" s="36"/>
      <c r="H563" s="36"/>
      <c r="I563" s="36"/>
    </row>
    <row r="564" ht="22.5" hidden="1" customHeight="1">
      <c r="A564" s="36"/>
      <c r="B564" s="36"/>
      <c r="C564" s="36"/>
      <c r="D564" s="36"/>
      <c r="E564" s="36"/>
      <c r="F564" s="36"/>
      <c r="G564" s="36"/>
      <c r="H564" s="36"/>
      <c r="I564" s="36"/>
    </row>
    <row r="565" ht="22.5" hidden="1" customHeight="1">
      <c r="A565" s="36"/>
      <c r="B565" s="36"/>
      <c r="C565" s="36"/>
      <c r="D565" s="36"/>
      <c r="E565" s="36"/>
      <c r="F565" s="36"/>
      <c r="G565" s="36"/>
      <c r="H565" s="36"/>
      <c r="I565" s="36"/>
    </row>
    <row r="566" ht="22.5" hidden="1" customHeight="1">
      <c r="A566" s="36"/>
      <c r="B566" s="36"/>
      <c r="C566" s="36"/>
      <c r="D566" s="36"/>
      <c r="E566" s="36"/>
      <c r="F566" s="36"/>
      <c r="G566" s="36"/>
      <c r="H566" s="36"/>
      <c r="I566" s="36"/>
    </row>
    <row r="567" ht="22.5" hidden="1" customHeight="1">
      <c r="A567" s="36"/>
      <c r="B567" s="36"/>
      <c r="C567" s="36"/>
      <c r="D567" s="36"/>
      <c r="E567" s="36"/>
      <c r="F567" s="36"/>
      <c r="G567" s="36"/>
      <c r="H567" s="36"/>
      <c r="I567" s="36"/>
    </row>
    <row r="568" ht="22.5" hidden="1" customHeight="1">
      <c r="A568" s="36"/>
      <c r="B568" s="36"/>
      <c r="C568" s="36"/>
      <c r="D568" s="36"/>
      <c r="E568" s="36"/>
      <c r="F568" s="36"/>
      <c r="G568" s="36"/>
      <c r="H568" s="36"/>
      <c r="I568" s="36"/>
    </row>
    <row r="569" ht="22.5" hidden="1" customHeight="1">
      <c r="A569" s="36"/>
      <c r="B569" s="36"/>
      <c r="C569" s="36"/>
      <c r="D569" s="36"/>
      <c r="E569" s="36"/>
      <c r="F569" s="36"/>
      <c r="G569" s="36"/>
      <c r="H569" s="36"/>
      <c r="I569" s="36"/>
    </row>
    <row r="570" ht="22.5" hidden="1" customHeight="1">
      <c r="A570" s="36"/>
      <c r="B570" s="36"/>
      <c r="C570" s="36"/>
      <c r="D570" s="36"/>
      <c r="E570" s="36"/>
      <c r="F570" s="36"/>
      <c r="G570" s="36"/>
      <c r="H570" s="36"/>
      <c r="I570" s="36"/>
    </row>
    <row r="571" ht="22.5" hidden="1" customHeight="1">
      <c r="A571" s="36"/>
      <c r="B571" s="36"/>
      <c r="C571" s="36"/>
      <c r="D571" s="36"/>
      <c r="E571" s="36"/>
      <c r="F571" s="36"/>
      <c r="G571" s="36"/>
      <c r="H571" s="36"/>
      <c r="I571" s="36"/>
    </row>
    <row r="572" ht="22.5" hidden="1" customHeight="1">
      <c r="A572" s="36"/>
      <c r="B572" s="36"/>
      <c r="C572" s="36"/>
      <c r="D572" s="36"/>
      <c r="E572" s="36"/>
      <c r="F572" s="36"/>
      <c r="G572" s="36"/>
      <c r="H572" s="36"/>
      <c r="I572" s="36"/>
    </row>
    <row r="573" ht="22.5" hidden="1" customHeight="1">
      <c r="A573" s="36"/>
      <c r="B573" s="36"/>
      <c r="C573" s="36"/>
      <c r="D573" s="36"/>
      <c r="E573" s="36"/>
      <c r="F573" s="36"/>
      <c r="G573" s="36"/>
      <c r="H573" s="36"/>
      <c r="I573" s="36"/>
    </row>
    <row r="574" ht="22.5" hidden="1" customHeight="1">
      <c r="A574" s="36"/>
      <c r="B574" s="36"/>
      <c r="C574" s="36"/>
      <c r="D574" s="36"/>
      <c r="E574" s="36"/>
      <c r="F574" s="36"/>
      <c r="G574" s="36"/>
      <c r="H574" s="36"/>
      <c r="I574" s="36"/>
    </row>
    <row r="575" ht="22.5" hidden="1" customHeight="1">
      <c r="A575" s="36"/>
      <c r="B575" s="36"/>
      <c r="C575" s="36"/>
      <c r="D575" s="36"/>
      <c r="E575" s="36"/>
      <c r="F575" s="36"/>
      <c r="G575" s="36"/>
      <c r="H575" s="36"/>
      <c r="I575" s="36"/>
    </row>
    <row r="576" ht="22.5" hidden="1" customHeight="1">
      <c r="A576" s="36"/>
      <c r="B576" s="36"/>
      <c r="C576" s="36"/>
      <c r="D576" s="36"/>
      <c r="E576" s="36"/>
      <c r="F576" s="36"/>
      <c r="G576" s="36"/>
      <c r="H576" s="36"/>
      <c r="I576" s="36"/>
    </row>
    <row r="577" ht="22.5" hidden="1" customHeight="1">
      <c r="A577" s="36"/>
      <c r="B577" s="36"/>
      <c r="C577" s="36"/>
      <c r="D577" s="36"/>
      <c r="E577" s="36"/>
      <c r="F577" s="36"/>
      <c r="G577" s="36"/>
      <c r="H577" s="36"/>
      <c r="I577" s="36"/>
    </row>
    <row r="578" ht="22.5" hidden="1" customHeight="1">
      <c r="A578" s="36"/>
      <c r="B578" s="36"/>
      <c r="C578" s="36"/>
      <c r="D578" s="36"/>
      <c r="E578" s="36"/>
      <c r="F578" s="36"/>
      <c r="G578" s="36"/>
      <c r="H578" s="36"/>
      <c r="I578" s="36"/>
    </row>
    <row r="579" ht="22.5" hidden="1" customHeight="1">
      <c r="A579" s="36"/>
      <c r="B579" s="36"/>
      <c r="C579" s="36"/>
      <c r="D579" s="36"/>
      <c r="E579" s="36"/>
      <c r="F579" s="36"/>
      <c r="G579" s="36"/>
      <c r="H579" s="36"/>
      <c r="I579" s="36"/>
    </row>
    <row r="580" ht="22.5" hidden="1" customHeight="1">
      <c r="A580" s="36"/>
      <c r="B580" s="36"/>
      <c r="C580" s="36"/>
      <c r="D580" s="36"/>
      <c r="E580" s="36"/>
      <c r="F580" s="36"/>
      <c r="G580" s="36"/>
      <c r="H580" s="36"/>
      <c r="I580" s="36"/>
    </row>
    <row r="581" ht="22.5" hidden="1" customHeight="1">
      <c r="A581" s="36"/>
      <c r="B581" s="36"/>
      <c r="C581" s="36"/>
      <c r="D581" s="36"/>
      <c r="E581" s="36"/>
      <c r="F581" s="36"/>
      <c r="G581" s="36"/>
      <c r="H581" s="36"/>
      <c r="I581" s="36"/>
    </row>
    <row r="582" ht="22.5" hidden="1" customHeight="1">
      <c r="A582" s="36"/>
      <c r="B582" s="36"/>
      <c r="C582" s="36"/>
      <c r="D582" s="36"/>
      <c r="E582" s="36"/>
      <c r="F582" s="36"/>
      <c r="G582" s="36"/>
      <c r="H582" s="36"/>
      <c r="I582" s="36"/>
    </row>
    <row r="583" ht="22.5" hidden="1" customHeight="1">
      <c r="A583" s="36"/>
      <c r="B583" s="36"/>
      <c r="C583" s="36"/>
      <c r="D583" s="36"/>
      <c r="E583" s="36"/>
      <c r="F583" s="36"/>
      <c r="G583" s="36"/>
      <c r="H583" s="36"/>
      <c r="I583" s="36"/>
    </row>
    <row r="584" ht="22.5" hidden="1" customHeight="1">
      <c r="A584" s="36"/>
      <c r="B584" s="36"/>
      <c r="C584" s="36"/>
      <c r="D584" s="36"/>
      <c r="E584" s="36"/>
      <c r="F584" s="36"/>
      <c r="G584" s="36"/>
      <c r="H584" s="36"/>
      <c r="I584" s="36"/>
    </row>
    <row r="585" ht="22.5" hidden="1" customHeight="1">
      <c r="A585" s="36"/>
      <c r="B585" s="36"/>
      <c r="C585" s="36"/>
      <c r="D585" s="36"/>
      <c r="E585" s="36"/>
      <c r="F585" s="36"/>
      <c r="G585" s="36"/>
      <c r="H585" s="36"/>
      <c r="I585" s="36"/>
    </row>
    <row r="586" ht="22.5" hidden="1" customHeight="1">
      <c r="A586" s="36"/>
      <c r="B586" s="36"/>
      <c r="C586" s="36"/>
      <c r="D586" s="36"/>
      <c r="E586" s="36"/>
      <c r="F586" s="36"/>
      <c r="G586" s="36"/>
      <c r="H586" s="36"/>
      <c r="I586" s="36"/>
    </row>
    <row r="587" ht="22.5" hidden="1" customHeight="1">
      <c r="A587" s="36"/>
      <c r="B587" s="36"/>
      <c r="C587" s="36"/>
      <c r="D587" s="36"/>
      <c r="E587" s="36"/>
      <c r="F587" s="36"/>
      <c r="G587" s="36"/>
      <c r="H587" s="36"/>
      <c r="I587" s="36"/>
    </row>
    <row r="588" ht="22.5" hidden="1" customHeight="1">
      <c r="A588" s="36"/>
      <c r="B588" s="36"/>
      <c r="C588" s="36"/>
      <c r="D588" s="36"/>
      <c r="E588" s="36"/>
      <c r="F588" s="36"/>
      <c r="G588" s="36"/>
      <c r="H588" s="36"/>
      <c r="I588" s="36"/>
    </row>
    <row r="589" ht="22.5" hidden="1" customHeight="1">
      <c r="A589" s="36"/>
      <c r="B589" s="36"/>
      <c r="C589" s="36"/>
      <c r="D589" s="36"/>
      <c r="E589" s="36"/>
      <c r="F589" s="36"/>
      <c r="G589" s="36"/>
      <c r="H589" s="36"/>
      <c r="I589" s="36"/>
    </row>
    <row r="590" ht="22.5" hidden="1" customHeight="1">
      <c r="A590" s="36"/>
      <c r="B590" s="36"/>
      <c r="C590" s="36"/>
      <c r="D590" s="36"/>
      <c r="E590" s="36"/>
      <c r="F590" s="36"/>
      <c r="G590" s="36"/>
      <c r="H590" s="36"/>
      <c r="I590" s="36"/>
    </row>
    <row r="591" ht="22.5" hidden="1" customHeight="1">
      <c r="A591" s="36"/>
      <c r="B591" s="36"/>
      <c r="C591" s="36"/>
      <c r="D591" s="36"/>
      <c r="E591" s="36"/>
      <c r="F591" s="36"/>
      <c r="G591" s="36"/>
      <c r="H591" s="36"/>
      <c r="I591" s="36"/>
    </row>
    <row r="592" ht="22.5" hidden="1" customHeight="1">
      <c r="A592" s="36"/>
      <c r="B592" s="36"/>
      <c r="C592" s="36"/>
      <c r="D592" s="36"/>
      <c r="E592" s="36"/>
      <c r="F592" s="36"/>
      <c r="G592" s="36"/>
      <c r="H592" s="36"/>
      <c r="I592" s="36"/>
    </row>
    <row r="593" ht="22.5" hidden="1" customHeight="1">
      <c r="A593" s="36"/>
      <c r="B593" s="36"/>
      <c r="C593" s="36"/>
      <c r="D593" s="36"/>
      <c r="E593" s="36"/>
      <c r="F593" s="36"/>
      <c r="G593" s="36"/>
      <c r="H593" s="36"/>
      <c r="I593" s="36"/>
    </row>
    <row r="594" ht="22.5" hidden="1" customHeight="1">
      <c r="A594" s="36"/>
      <c r="B594" s="36"/>
      <c r="C594" s="36"/>
      <c r="D594" s="36"/>
      <c r="E594" s="36"/>
      <c r="F594" s="36"/>
      <c r="G594" s="36"/>
      <c r="H594" s="36"/>
      <c r="I594" s="36"/>
    </row>
    <row r="595" ht="22.5" hidden="1" customHeight="1">
      <c r="A595" s="36"/>
      <c r="B595" s="36"/>
      <c r="C595" s="36"/>
      <c r="D595" s="36"/>
      <c r="E595" s="36"/>
      <c r="F595" s="36"/>
      <c r="G595" s="36"/>
      <c r="H595" s="36"/>
      <c r="I595" s="36"/>
    </row>
    <row r="596" ht="22.5" hidden="1" customHeight="1">
      <c r="A596" s="36"/>
      <c r="B596" s="36"/>
      <c r="C596" s="36"/>
      <c r="D596" s="36"/>
      <c r="E596" s="36"/>
      <c r="F596" s="36"/>
      <c r="G596" s="36"/>
      <c r="H596" s="36"/>
      <c r="I596" s="36"/>
    </row>
    <row r="597" ht="22.5" hidden="1" customHeight="1">
      <c r="A597" s="36"/>
      <c r="B597" s="36"/>
      <c r="C597" s="36"/>
      <c r="D597" s="36"/>
      <c r="E597" s="36"/>
      <c r="F597" s="36"/>
      <c r="G597" s="36"/>
      <c r="H597" s="36"/>
      <c r="I597" s="36"/>
    </row>
    <row r="598" ht="22.5" hidden="1" customHeight="1">
      <c r="A598" s="36"/>
      <c r="B598" s="36"/>
      <c r="C598" s="36"/>
      <c r="D598" s="36"/>
      <c r="E598" s="36"/>
      <c r="F598" s="36"/>
      <c r="G598" s="36"/>
      <c r="H598" s="36"/>
      <c r="I598" s="36"/>
    </row>
    <row r="599" ht="22.5" hidden="1" customHeight="1">
      <c r="A599" s="36"/>
      <c r="B599" s="36"/>
      <c r="C599" s="36"/>
      <c r="D599" s="36"/>
      <c r="E599" s="36"/>
      <c r="F599" s="36"/>
      <c r="G599" s="36"/>
      <c r="H599" s="36"/>
      <c r="I599" s="36"/>
    </row>
    <row r="600" ht="22.5" hidden="1" customHeight="1">
      <c r="A600" s="36"/>
      <c r="B600" s="36"/>
      <c r="C600" s="36"/>
      <c r="D600" s="36"/>
      <c r="E600" s="36"/>
      <c r="F600" s="36"/>
      <c r="G600" s="36"/>
      <c r="H600" s="36"/>
      <c r="I600" s="36"/>
    </row>
    <row r="601" ht="22.5" hidden="1" customHeight="1">
      <c r="A601" s="36"/>
      <c r="B601" s="36"/>
      <c r="C601" s="36"/>
      <c r="D601" s="36"/>
      <c r="E601" s="36"/>
      <c r="F601" s="36"/>
      <c r="G601" s="36"/>
      <c r="H601" s="36"/>
      <c r="I601" s="36"/>
    </row>
    <row r="602" ht="22.5" hidden="1" customHeight="1">
      <c r="A602" s="36"/>
      <c r="B602" s="36"/>
      <c r="C602" s="36"/>
      <c r="D602" s="36"/>
      <c r="E602" s="36"/>
      <c r="F602" s="36"/>
      <c r="G602" s="36"/>
      <c r="H602" s="36"/>
      <c r="I602" s="36"/>
    </row>
    <row r="603" ht="22.5" hidden="1" customHeight="1">
      <c r="A603" s="36"/>
      <c r="B603" s="36"/>
      <c r="C603" s="36"/>
      <c r="D603" s="36"/>
      <c r="E603" s="36"/>
      <c r="F603" s="36"/>
      <c r="G603" s="36"/>
      <c r="H603" s="36"/>
      <c r="I603" s="36"/>
    </row>
    <row r="604" ht="22.5" hidden="1" customHeight="1">
      <c r="A604" s="36"/>
      <c r="B604" s="36"/>
      <c r="C604" s="36"/>
      <c r="D604" s="36"/>
      <c r="E604" s="36"/>
      <c r="F604" s="36"/>
      <c r="G604" s="36"/>
      <c r="H604" s="36"/>
      <c r="I604" s="36"/>
    </row>
    <row r="605" ht="22.5" hidden="1" customHeight="1">
      <c r="A605" s="36"/>
      <c r="B605" s="36"/>
      <c r="C605" s="36"/>
      <c r="D605" s="36"/>
      <c r="E605" s="36"/>
      <c r="F605" s="36"/>
      <c r="G605" s="36"/>
      <c r="H605" s="36"/>
      <c r="I605" s="36"/>
    </row>
    <row r="606" ht="22.5" hidden="1" customHeight="1">
      <c r="A606" s="36"/>
      <c r="B606" s="36"/>
      <c r="C606" s="36"/>
      <c r="D606" s="36"/>
      <c r="E606" s="36"/>
      <c r="F606" s="36"/>
      <c r="G606" s="36"/>
      <c r="H606" s="36"/>
      <c r="I606" s="36"/>
    </row>
    <row r="607" ht="22.5" hidden="1" customHeight="1">
      <c r="A607" s="36"/>
      <c r="B607" s="36"/>
      <c r="C607" s="36"/>
      <c r="D607" s="36"/>
      <c r="E607" s="36"/>
      <c r="F607" s="36"/>
      <c r="G607" s="36"/>
      <c r="H607" s="36"/>
      <c r="I607" s="36"/>
    </row>
    <row r="608" ht="22.5" hidden="1" customHeight="1">
      <c r="A608" s="36"/>
      <c r="B608" s="36"/>
      <c r="C608" s="36"/>
      <c r="D608" s="36"/>
      <c r="E608" s="36"/>
      <c r="F608" s="36"/>
      <c r="G608" s="36"/>
      <c r="H608" s="36"/>
      <c r="I608" s="36"/>
    </row>
    <row r="609" ht="22.5" hidden="1" customHeight="1">
      <c r="A609" s="36"/>
      <c r="B609" s="36"/>
      <c r="C609" s="36"/>
      <c r="D609" s="36"/>
      <c r="E609" s="36"/>
      <c r="F609" s="36"/>
      <c r="G609" s="36"/>
      <c r="H609" s="36"/>
      <c r="I609" s="36"/>
    </row>
    <row r="610" ht="22.5" hidden="1" customHeight="1">
      <c r="A610" s="36"/>
      <c r="B610" s="36"/>
      <c r="C610" s="36"/>
      <c r="D610" s="36"/>
      <c r="E610" s="36"/>
      <c r="F610" s="36"/>
      <c r="G610" s="36"/>
      <c r="H610" s="36"/>
      <c r="I610" s="36"/>
    </row>
    <row r="611" ht="22.5" hidden="1" customHeight="1">
      <c r="A611" s="36"/>
      <c r="B611" s="36"/>
      <c r="C611" s="36"/>
      <c r="D611" s="36"/>
      <c r="E611" s="36"/>
      <c r="F611" s="36"/>
      <c r="G611" s="36"/>
      <c r="H611" s="36"/>
      <c r="I611" s="36"/>
    </row>
    <row r="612" ht="22.5" hidden="1" customHeight="1">
      <c r="A612" s="36"/>
      <c r="B612" s="36"/>
      <c r="C612" s="36"/>
      <c r="D612" s="36"/>
      <c r="E612" s="36"/>
      <c r="F612" s="36"/>
      <c r="G612" s="36"/>
      <c r="H612" s="36"/>
      <c r="I612" s="36"/>
    </row>
    <row r="613" ht="22.5" hidden="1" customHeight="1">
      <c r="A613" s="36"/>
      <c r="B613" s="36"/>
      <c r="C613" s="36"/>
      <c r="D613" s="36"/>
      <c r="E613" s="36"/>
      <c r="F613" s="36"/>
      <c r="G613" s="36"/>
      <c r="H613" s="36"/>
      <c r="I613" s="36"/>
    </row>
    <row r="614" ht="22.5" hidden="1" customHeight="1">
      <c r="A614" s="36"/>
      <c r="B614" s="36"/>
      <c r="C614" s="36"/>
      <c r="D614" s="36"/>
      <c r="E614" s="36"/>
      <c r="F614" s="36"/>
      <c r="G614" s="36"/>
      <c r="H614" s="36"/>
      <c r="I614" s="36"/>
    </row>
    <row r="615" ht="22.5" hidden="1" customHeight="1">
      <c r="A615" s="36"/>
      <c r="B615" s="36"/>
      <c r="C615" s="36"/>
      <c r="D615" s="36"/>
      <c r="E615" s="36"/>
      <c r="F615" s="36"/>
      <c r="G615" s="36"/>
      <c r="H615" s="36"/>
      <c r="I615" s="36"/>
    </row>
    <row r="616" ht="22.5" hidden="1" customHeight="1">
      <c r="A616" s="36"/>
      <c r="B616" s="36"/>
      <c r="C616" s="36"/>
      <c r="D616" s="36"/>
      <c r="E616" s="36"/>
      <c r="F616" s="36"/>
      <c r="G616" s="36"/>
      <c r="H616" s="36"/>
      <c r="I616" s="36"/>
    </row>
    <row r="617" ht="22.5" hidden="1" customHeight="1">
      <c r="A617" s="36"/>
      <c r="B617" s="36"/>
      <c r="C617" s="36"/>
      <c r="D617" s="36"/>
      <c r="E617" s="36"/>
      <c r="F617" s="36"/>
      <c r="G617" s="36"/>
      <c r="H617" s="36"/>
      <c r="I617" s="36"/>
    </row>
    <row r="618" ht="22.5" hidden="1" customHeight="1">
      <c r="A618" s="36"/>
      <c r="B618" s="36"/>
      <c r="C618" s="36"/>
      <c r="D618" s="36"/>
      <c r="E618" s="36"/>
      <c r="F618" s="36"/>
      <c r="G618" s="36"/>
      <c r="H618" s="36"/>
      <c r="I618" s="36"/>
    </row>
    <row r="619" ht="22.5" hidden="1" customHeight="1">
      <c r="A619" s="36"/>
      <c r="B619" s="36"/>
      <c r="C619" s="36"/>
      <c r="D619" s="36"/>
      <c r="E619" s="36"/>
      <c r="F619" s="36"/>
      <c r="G619" s="36"/>
      <c r="H619" s="36"/>
      <c r="I619" s="36"/>
    </row>
    <row r="620" ht="22.5" hidden="1" customHeight="1">
      <c r="A620" s="36"/>
      <c r="B620" s="36"/>
      <c r="C620" s="36"/>
      <c r="D620" s="36"/>
      <c r="E620" s="36"/>
      <c r="F620" s="36"/>
      <c r="G620" s="36"/>
      <c r="H620" s="36"/>
      <c r="I620" s="36"/>
    </row>
    <row r="621" ht="22.5" hidden="1" customHeight="1">
      <c r="A621" s="36"/>
      <c r="B621" s="36"/>
      <c r="C621" s="36"/>
      <c r="D621" s="36"/>
      <c r="E621" s="36"/>
      <c r="F621" s="36"/>
      <c r="G621" s="36"/>
      <c r="H621" s="36"/>
      <c r="I621" s="36"/>
    </row>
    <row r="622" ht="22.5" hidden="1" customHeight="1">
      <c r="A622" s="36"/>
      <c r="B622" s="36"/>
      <c r="C622" s="36"/>
      <c r="D622" s="36"/>
      <c r="E622" s="36"/>
      <c r="F622" s="36"/>
      <c r="G622" s="36"/>
      <c r="H622" s="36"/>
      <c r="I622" s="36"/>
    </row>
    <row r="623" ht="22.5" hidden="1" customHeight="1">
      <c r="A623" s="36"/>
      <c r="B623" s="36"/>
      <c r="C623" s="36"/>
      <c r="D623" s="36"/>
      <c r="E623" s="36"/>
      <c r="F623" s="36"/>
      <c r="G623" s="36"/>
      <c r="H623" s="36"/>
      <c r="I623" s="36"/>
    </row>
    <row r="624" ht="22.5" hidden="1" customHeight="1">
      <c r="A624" s="36"/>
      <c r="B624" s="36"/>
      <c r="C624" s="36"/>
      <c r="D624" s="36"/>
      <c r="E624" s="36"/>
      <c r="F624" s="36"/>
      <c r="G624" s="36"/>
      <c r="H624" s="36"/>
      <c r="I624" s="36"/>
    </row>
    <row r="625" ht="22.5" hidden="1" customHeight="1">
      <c r="A625" s="36"/>
      <c r="B625" s="36"/>
      <c r="C625" s="36"/>
      <c r="D625" s="36"/>
      <c r="E625" s="36"/>
      <c r="F625" s="36"/>
      <c r="G625" s="36"/>
      <c r="H625" s="36"/>
      <c r="I625" s="36"/>
    </row>
    <row r="626" ht="22.5" hidden="1" customHeight="1">
      <c r="A626" s="36"/>
      <c r="B626" s="36"/>
      <c r="C626" s="36"/>
      <c r="D626" s="36"/>
      <c r="E626" s="36"/>
      <c r="F626" s="36"/>
      <c r="G626" s="36"/>
      <c r="H626" s="36"/>
      <c r="I626" s="36"/>
    </row>
    <row r="627" ht="22.5" hidden="1" customHeight="1">
      <c r="A627" s="36"/>
      <c r="B627" s="36"/>
      <c r="C627" s="36"/>
      <c r="D627" s="36"/>
      <c r="E627" s="36"/>
      <c r="F627" s="36"/>
      <c r="G627" s="36"/>
      <c r="H627" s="36"/>
      <c r="I627" s="36"/>
    </row>
    <row r="628" ht="22.5" hidden="1" customHeight="1">
      <c r="A628" s="36"/>
      <c r="B628" s="36"/>
      <c r="C628" s="36"/>
      <c r="D628" s="36"/>
      <c r="E628" s="36"/>
      <c r="F628" s="36"/>
      <c r="G628" s="36"/>
      <c r="H628" s="36"/>
      <c r="I628" s="36"/>
    </row>
    <row r="629" ht="22.5" hidden="1" customHeight="1">
      <c r="A629" s="36"/>
      <c r="B629" s="36"/>
      <c r="C629" s="36"/>
      <c r="D629" s="36"/>
      <c r="E629" s="36"/>
      <c r="F629" s="36"/>
      <c r="G629" s="36"/>
      <c r="H629" s="36"/>
      <c r="I629" s="36"/>
    </row>
    <row r="630" ht="22.5" hidden="1" customHeight="1">
      <c r="A630" s="36"/>
      <c r="B630" s="36"/>
      <c r="C630" s="36"/>
      <c r="D630" s="36"/>
      <c r="E630" s="36"/>
      <c r="F630" s="36"/>
      <c r="G630" s="36"/>
      <c r="H630" s="36"/>
      <c r="I630" s="36"/>
    </row>
    <row r="631" ht="22.5" hidden="1" customHeight="1">
      <c r="A631" s="36"/>
      <c r="B631" s="36"/>
      <c r="C631" s="36"/>
      <c r="D631" s="36"/>
      <c r="E631" s="36"/>
      <c r="F631" s="36"/>
      <c r="G631" s="36"/>
      <c r="H631" s="36"/>
      <c r="I631" s="36"/>
    </row>
    <row r="632" ht="22.5" hidden="1" customHeight="1">
      <c r="A632" s="36"/>
      <c r="B632" s="36"/>
      <c r="C632" s="36"/>
      <c r="D632" s="36"/>
      <c r="E632" s="36"/>
      <c r="F632" s="36"/>
      <c r="G632" s="36"/>
      <c r="H632" s="36"/>
      <c r="I632" s="36"/>
    </row>
    <row r="633" ht="22.5" hidden="1" customHeight="1">
      <c r="A633" s="36"/>
      <c r="B633" s="36"/>
      <c r="C633" s="36"/>
      <c r="D633" s="36"/>
      <c r="E633" s="36"/>
      <c r="F633" s="36"/>
      <c r="G633" s="36"/>
      <c r="H633" s="36"/>
      <c r="I633" s="36"/>
    </row>
    <row r="634" ht="22.5" hidden="1" customHeight="1">
      <c r="A634" s="36"/>
      <c r="B634" s="36"/>
      <c r="C634" s="36"/>
      <c r="D634" s="36"/>
      <c r="E634" s="36"/>
      <c r="F634" s="36"/>
      <c r="G634" s="36"/>
      <c r="H634" s="36"/>
      <c r="I634" s="36"/>
    </row>
    <row r="635" ht="22.5" hidden="1" customHeight="1">
      <c r="A635" s="36"/>
      <c r="B635" s="36"/>
      <c r="C635" s="36"/>
      <c r="D635" s="36"/>
      <c r="E635" s="36"/>
      <c r="F635" s="36"/>
      <c r="G635" s="36"/>
      <c r="H635" s="36"/>
      <c r="I635" s="36"/>
    </row>
    <row r="636" ht="22.5" hidden="1" customHeight="1">
      <c r="A636" s="36"/>
      <c r="B636" s="36"/>
      <c r="C636" s="36"/>
      <c r="D636" s="36"/>
      <c r="E636" s="36"/>
      <c r="F636" s="36"/>
      <c r="G636" s="36"/>
      <c r="H636" s="36"/>
      <c r="I636" s="36"/>
    </row>
    <row r="637" ht="22.5" hidden="1" customHeight="1">
      <c r="A637" s="36"/>
      <c r="B637" s="36"/>
      <c r="C637" s="36"/>
      <c r="D637" s="36"/>
      <c r="E637" s="36"/>
      <c r="F637" s="36"/>
      <c r="G637" s="36"/>
      <c r="H637" s="36"/>
      <c r="I637" s="36"/>
    </row>
    <row r="638" ht="22.5" hidden="1" customHeight="1">
      <c r="A638" s="36"/>
      <c r="B638" s="36"/>
      <c r="C638" s="36"/>
      <c r="D638" s="36"/>
      <c r="E638" s="36"/>
      <c r="F638" s="36"/>
      <c r="G638" s="36"/>
      <c r="H638" s="36"/>
      <c r="I638" s="36"/>
    </row>
    <row r="639" ht="22.5" hidden="1" customHeight="1">
      <c r="A639" s="36"/>
      <c r="B639" s="36"/>
      <c r="C639" s="36"/>
      <c r="D639" s="36"/>
      <c r="E639" s="36"/>
      <c r="F639" s="36"/>
      <c r="G639" s="36"/>
      <c r="H639" s="36"/>
      <c r="I639" s="36"/>
    </row>
    <row r="640" ht="22.5" hidden="1" customHeight="1">
      <c r="A640" s="36"/>
      <c r="B640" s="36"/>
      <c r="C640" s="36"/>
      <c r="D640" s="36"/>
      <c r="E640" s="36"/>
      <c r="F640" s="36"/>
      <c r="G640" s="36"/>
      <c r="H640" s="36"/>
      <c r="I640" s="36"/>
    </row>
    <row r="641" ht="22.5" hidden="1" customHeight="1">
      <c r="A641" s="36"/>
      <c r="B641" s="36"/>
      <c r="C641" s="36"/>
      <c r="D641" s="36"/>
      <c r="E641" s="36"/>
      <c r="F641" s="36"/>
      <c r="G641" s="36"/>
      <c r="H641" s="36"/>
      <c r="I641" s="36"/>
    </row>
    <row r="642" ht="22.5" hidden="1" customHeight="1">
      <c r="A642" s="36"/>
      <c r="B642" s="36"/>
      <c r="C642" s="36"/>
      <c r="D642" s="36"/>
      <c r="E642" s="36"/>
      <c r="F642" s="36"/>
      <c r="G642" s="36"/>
      <c r="H642" s="36"/>
      <c r="I642" s="36"/>
    </row>
    <row r="643" ht="22.5" hidden="1" customHeight="1">
      <c r="A643" s="36"/>
      <c r="B643" s="36"/>
      <c r="C643" s="36"/>
      <c r="D643" s="36"/>
      <c r="E643" s="36"/>
      <c r="F643" s="36"/>
      <c r="G643" s="36"/>
      <c r="H643" s="36"/>
      <c r="I643" s="36"/>
    </row>
    <row r="644" ht="22.5" hidden="1" customHeight="1">
      <c r="A644" s="36"/>
      <c r="B644" s="36"/>
      <c r="C644" s="36"/>
      <c r="D644" s="36"/>
      <c r="E644" s="36"/>
      <c r="F644" s="36"/>
      <c r="G644" s="36"/>
      <c r="H644" s="36"/>
      <c r="I644" s="36"/>
    </row>
    <row r="645" ht="22.5" hidden="1" customHeight="1">
      <c r="A645" s="36"/>
      <c r="B645" s="36"/>
      <c r="C645" s="36"/>
      <c r="D645" s="36"/>
      <c r="E645" s="36"/>
      <c r="F645" s="36"/>
      <c r="G645" s="36"/>
      <c r="H645" s="36"/>
      <c r="I645" s="36"/>
    </row>
    <row r="646" ht="22.5" hidden="1" customHeight="1">
      <c r="A646" s="36"/>
      <c r="B646" s="36"/>
      <c r="C646" s="36"/>
      <c r="D646" s="36"/>
      <c r="E646" s="36"/>
      <c r="F646" s="36"/>
      <c r="G646" s="36"/>
      <c r="H646" s="36"/>
      <c r="I646" s="36"/>
    </row>
    <row r="647" ht="22.5" hidden="1" customHeight="1">
      <c r="A647" s="36"/>
      <c r="B647" s="36"/>
      <c r="C647" s="36"/>
      <c r="D647" s="36"/>
      <c r="E647" s="36"/>
      <c r="F647" s="36"/>
      <c r="G647" s="36"/>
      <c r="H647" s="36"/>
      <c r="I647" s="36"/>
    </row>
    <row r="648" ht="22.5" hidden="1" customHeight="1">
      <c r="A648" s="36"/>
      <c r="B648" s="36"/>
      <c r="C648" s="36"/>
      <c r="D648" s="36"/>
      <c r="E648" s="36"/>
      <c r="F648" s="36"/>
      <c r="G648" s="36"/>
      <c r="H648" s="36"/>
      <c r="I648" s="36"/>
    </row>
    <row r="649" ht="22.5" hidden="1" customHeight="1">
      <c r="A649" s="36"/>
      <c r="B649" s="36"/>
      <c r="C649" s="36"/>
      <c r="D649" s="36"/>
      <c r="E649" s="36"/>
      <c r="F649" s="36"/>
      <c r="G649" s="36"/>
      <c r="H649" s="36"/>
      <c r="I649" s="36"/>
    </row>
    <row r="650" ht="22.5" hidden="1" customHeight="1">
      <c r="A650" s="36"/>
      <c r="B650" s="36"/>
      <c r="C650" s="36"/>
      <c r="D650" s="36"/>
      <c r="E650" s="36"/>
      <c r="F650" s="36"/>
      <c r="G650" s="36"/>
      <c r="H650" s="36"/>
      <c r="I650" s="36"/>
    </row>
    <row r="651" ht="22.5" hidden="1" customHeight="1">
      <c r="A651" s="36"/>
      <c r="B651" s="36"/>
      <c r="C651" s="36"/>
      <c r="D651" s="36"/>
      <c r="E651" s="36"/>
      <c r="F651" s="36"/>
      <c r="G651" s="36"/>
      <c r="H651" s="36"/>
      <c r="I651" s="36"/>
    </row>
    <row r="652" ht="22.5" hidden="1" customHeight="1">
      <c r="A652" s="36"/>
      <c r="B652" s="36"/>
      <c r="C652" s="36"/>
      <c r="D652" s="36"/>
      <c r="E652" s="36"/>
      <c r="F652" s="36"/>
      <c r="G652" s="36"/>
      <c r="H652" s="36"/>
      <c r="I652" s="36"/>
    </row>
    <row r="653" ht="22.5" hidden="1" customHeight="1">
      <c r="A653" s="36"/>
      <c r="B653" s="36"/>
      <c r="C653" s="36"/>
      <c r="D653" s="36"/>
      <c r="E653" s="36"/>
      <c r="F653" s="36"/>
      <c r="G653" s="36"/>
      <c r="H653" s="36"/>
      <c r="I653" s="36"/>
    </row>
    <row r="654" ht="22.5" hidden="1" customHeight="1">
      <c r="A654" s="36"/>
      <c r="B654" s="36"/>
      <c r="C654" s="36"/>
      <c r="D654" s="36"/>
      <c r="E654" s="36"/>
      <c r="F654" s="36"/>
      <c r="G654" s="36"/>
      <c r="H654" s="36"/>
      <c r="I654" s="36"/>
    </row>
    <row r="655" ht="22.5" hidden="1" customHeight="1">
      <c r="A655" s="36"/>
      <c r="B655" s="36"/>
      <c r="C655" s="36"/>
      <c r="D655" s="36"/>
      <c r="E655" s="36"/>
      <c r="F655" s="36"/>
      <c r="G655" s="36"/>
      <c r="H655" s="36"/>
      <c r="I655" s="36"/>
    </row>
    <row r="656" ht="22.5" hidden="1" customHeight="1">
      <c r="A656" s="36"/>
      <c r="B656" s="36"/>
      <c r="C656" s="36"/>
      <c r="D656" s="36"/>
      <c r="E656" s="36"/>
      <c r="F656" s="36"/>
      <c r="G656" s="36"/>
      <c r="H656" s="36"/>
      <c r="I656" s="36"/>
    </row>
    <row r="657" ht="22.5" hidden="1" customHeight="1">
      <c r="A657" s="36"/>
      <c r="B657" s="36"/>
      <c r="C657" s="36"/>
      <c r="D657" s="36"/>
      <c r="E657" s="36"/>
      <c r="F657" s="36"/>
      <c r="G657" s="36"/>
      <c r="H657" s="36"/>
      <c r="I657" s="36"/>
    </row>
    <row r="658" ht="22.5" hidden="1" customHeight="1">
      <c r="A658" s="36"/>
      <c r="B658" s="36"/>
      <c r="C658" s="36"/>
      <c r="D658" s="36"/>
      <c r="E658" s="36"/>
      <c r="F658" s="36"/>
      <c r="G658" s="36"/>
      <c r="H658" s="36"/>
      <c r="I658" s="36"/>
    </row>
    <row r="659" ht="22.5" hidden="1" customHeight="1">
      <c r="A659" s="36"/>
      <c r="B659" s="36"/>
      <c r="C659" s="36"/>
      <c r="D659" s="36"/>
      <c r="E659" s="36"/>
      <c r="F659" s="36"/>
      <c r="G659" s="36"/>
      <c r="H659" s="36"/>
      <c r="I659" s="36"/>
    </row>
    <row r="660" ht="22.5" hidden="1" customHeight="1">
      <c r="A660" s="36"/>
      <c r="B660" s="36"/>
      <c r="C660" s="36"/>
      <c r="D660" s="36"/>
      <c r="E660" s="36"/>
      <c r="F660" s="36"/>
      <c r="G660" s="36"/>
      <c r="H660" s="36"/>
      <c r="I660" s="36"/>
    </row>
    <row r="661" ht="22.5" hidden="1" customHeight="1">
      <c r="A661" s="36"/>
      <c r="B661" s="36"/>
      <c r="C661" s="36"/>
      <c r="D661" s="36"/>
      <c r="E661" s="36"/>
      <c r="F661" s="36"/>
      <c r="G661" s="36"/>
      <c r="H661" s="36"/>
      <c r="I661" s="36"/>
    </row>
    <row r="662" ht="22.5" hidden="1" customHeight="1">
      <c r="A662" s="36"/>
      <c r="B662" s="36"/>
      <c r="C662" s="36"/>
      <c r="D662" s="36"/>
      <c r="E662" s="36"/>
      <c r="F662" s="36"/>
      <c r="G662" s="36"/>
      <c r="H662" s="36"/>
      <c r="I662" s="36"/>
    </row>
    <row r="663" ht="22.5" hidden="1" customHeight="1">
      <c r="A663" s="36"/>
      <c r="B663" s="36"/>
      <c r="C663" s="36"/>
      <c r="D663" s="36"/>
      <c r="E663" s="36"/>
      <c r="F663" s="36"/>
      <c r="G663" s="36"/>
      <c r="H663" s="36"/>
      <c r="I663" s="36"/>
    </row>
    <row r="664" ht="22.5" hidden="1" customHeight="1">
      <c r="A664" s="36"/>
      <c r="B664" s="36"/>
      <c r="C664" s="36"/>
      <c r="D664" s="36"/>
      <c r="E664" s="36"/>
      <c r="F664" s="36"/>
      <c r="G664" s="36"/>
      <c r="H664" s="36"/>
      <c r="I664" s="36"/>
    </row>
    <row r="665" ht="22.5" hidden="1" customHeight="1">
      <c r="A665" s="36"/>
      <c r="B665" s="36"/>
      <c r="C665" s="36"/>
      <c r="D665" s="36"/>
      <c r="E665" s="36"/>
      <c r="F665" s="36"/>
      <c r="G665" s="36"/>
      <c r="H665" s="36"/>
      <c r="I665" s="36"/>
    </row>
    <row r="666" ht="22.5" hidden="1" customHeight="1">
      <c r="A666" s="36"/>
      <c r="B666" s="36"/>
      <c r="C666" s="36"/>
      <c r="D666" s="36"/>
      <c r="E666" s="36"/>
      <c r="F666" s="36"/>
      <c r="G666" s="36"/>
      <c r="H666" s="36"/>
      <c r="I666" s="36"/>
    </row>
    <row r="667" ht="22.5" hidden="1" customHeight="1">
      <c r="A667" s="36"/>
      <c r="B667" s="36"/>
      <c r="C667" s="36"/>
      <c r="D667" s="36"/>
      <c r="E667" s="36"/>
      <c r="F667" s="36"/>
      <c r="G667" s="36"/>
      <c r="H667" s="36"/>
      <c r="I667" s="36"/>
    </row>
    <row r="668" ht="22.5" hidden="1" customHeight="1">
      <c r="A668" s="36"/>
      <c r="B668" s="36"/>
      <c r="C668" s="36"/>
      <c r="D668" s="36"/>
      <c r="E668" s="36"/>
      <c r="F668" s="36"/>
      <c r="G668" s="36"/>
      <c r="H668" s="36"/>
      <c r="I668" s="36"/>
    </row>
    <row r="669" ht="22.5" hidden="1" customHeight="1">
      <c r="A669" s="36"/>
      <c r="B669" s="36"/>
      <c r="C669" s="36"/>
      <c r="D669" s="36"/>
      <c r="E669" s="36"/>
      <c r="F669" s="36"/>
      <c r="G669" s="36"/>
      <c r="H669" s="36"/>
      <c r="I669" s="36"/>
    </row>
    <row r="670" ht="22.5" hidden="1" customHeight="1">
      <c r="A670" s="36"/>
      <c r="B670" s="36"/>
      <c r="C670" s="36"/>
      <c r="D670" s="36"/>
      <c r="E670" s="36"/>
      <c r="F670" s="36"/>
      <c r="G670" s="36"/>
      <c r="H670" s="36"/>
      <c r="I670" s="36"/>
    </row>
    <row r="671" ht="22.5" hidden="1" customHeight="1">
      <c r="A671" s="36"/>
      <c r="B671" s="36"/>
      <c r="C671" s="36"/>
      <c r="D671" s="36"/>
      <c r="E671" s="36"/>
      <c r="F671" s="36"/>
      <c r="G671" s="36"/>
      <c r="H671" s="36"/>
      <c r="I671" s="36"/>
    </row>
    <row r="672" ht="22.5" hidden="1" customHeight="1">
      <c r="A672" s="36"/>
      <c r="B672" s="36"/>
      <c r="C672" s="36"/>
      <c r="D672" s="36"/>
      <c r="E672" s="36"/>
      <c r="F672" s="36"/>
      <c r="G672" s="36"/>
      <c r="H672" s="36"/>
      <c r="I672" s="36"/>
    </row>
    <row r="673" ht="22.5" hidden="1" customHeight="1">
      <c r="A673" s="36"/>
      <c r="B673" s="36"/>
      <c r="C673" s="36"/>
      <c r="D673" s="36"/>
      <c r="E673" s="36"/>
      <c r="F673" s="36"/>
      <c r="G673" s="36"/>
      <c r="H673" s="36"/>
      <c r="I673" s="36"/>
    </row>
    <row r="674" ht="22.5" hidden="1" customHeight="1">
      <c r="A674" s="36"/>
      <c r="B674" s="36"/>
      <c r="C674" s="36"/>
      <c r="D674" s="36"/>
      <c r="E674" s="36"/>
      <c r="F674" s="36"/>
      <c r="G674" s="36"/>
      <c r="H674" s="36"/>
      <c r="I674" s="36"/>
    </row>
    <row r="675" ht="22.5" hidden="1" customHeight="1">
      <c r="A675" s="36"/>
      <c r="B675" s="36"/>
      <c r="C675" s="36"/>
      <c r="D675" s="36"/>
      <c r="E675" s="36"/>
      <c r="F675" s="36"/>
      <c r="G675" s="36"/>
      <c r="H675" s="36"/>
      <c r="I675" s="36"/>
    </row>
    <row r="676" ht="22.5" hidden="1" customHeight="1">
      <c r="A676" s="36"/>
      <c r="B676" s="36"/>
      <c r="C676" s="36"/>
      <c r="D676" s="36"/>
      <c r="E676" s="36"/>
      <c r="F676" s="36"/>
      <c r="G676" s="36"/>
      <c r="H676" s="36"/>
      <c r="I676" s="36"/>
    </row>
    <row r="677" ht="22.5" hidden="1" customHeight="1">
      <c r="A677" s="36"/>
      <c r="B677" s="36"/>
      <c r="C677" s="36"/>
      <c r="D677" s="36"/>
      <c r="E677" s="36"/>
      <c r="F677" s="36"/>
      <c r="G677" s="36"/>
      <c r="H677" s="36"/>
      <c r="I677" s="36"/>
    </row>
    <row r="678" ht="22.5" hidden="1" customHeight="1">
      <c r="A678" s="36"/>
      <c r="B678" s="36"/>
      <c r="C678" s="36"/>
      <c r="D678" s="36"/>
      <c r="E678" s="36"/>
      <c r="F678" s="36"/>
      <c r="G678" s="36"/>
      <c r="H678" s="36"/>
      <c r="I678" s="36"/>
    </row>
    <row r="679" ht="22.5" hidden="1" customHeight="1">
      <c r="A679" s="36"/>
      <c r="B679" s="36"/>
      <c r="C679" s="36"/>
      <c r="D679" s="36"/>
      <c r="E679" s="36"/>
      <c r="F679" s="36"/>
      <c r="G679" s="36"/>
      <c r="H679" s="36"/>
      <c r="I679" s="36"/>
    </row>
    <row r="680" ht="22.5" hidden="1" customHeight="1">
      <c r="A680" s="36"/>
      <c r="B680" s="36"/>
      <c r="C680" s="36"/>
      <c r="D680" s="36"/>
      <c r="E680" s="36"/>
      <c r="F680" s="36"/>
      <c r="G680" s="36"/>
      <c r="H680" s="36"/>
      <c r="I680" s="36"/>
    </row>
    <row r="681" ht="22.5" hidden="1" customHeight="1">
      <c r="A681" s="36"/>
      <c r="B681" s="36"/>
      <c r="C681" s="36"/>
      <c r="D681" s="36"/>
      <c r="E681" s="36"/>
      <c r="F681" s="36"/>
      <c r="G681" s="36"/>
      <c r="H681" s="36"/>
      <c r="I681" s="36"/>
    </row>
    <row r="682" ht="22.5" hidden="1" customHeight="1">
      <c r="A682" s="36"/>
      <c r="B682" s="36"/>
      <c r="C682" s="36"/>
      <c r="D682" s="36"/>
      <c r="E682" s="36"/>
      <c r="F682" s="36"/>
      <c r="G682" s="36"/>
      <c r="H682" s="36"/>
      <c r="I682" s="36"/>
    </row>
    <row r="683" ht="22.5" hidden="1" customHeight="1">
      <c r="A683" s="36"/>
      <c r="B683" s="36"/>
      <c r="C683" s="36"/>
      <c r="D683" s="36"/>
      <c r="E683" s="36"/>
      <c r="F683" s="36"/>
      <c r="G683" s="36"/>
      <c r="H683" s="36"/>
      <c r="I683" s="36"/>
    </row>
    <row r="684" ht="22.5" hidden="1" customHeight="1">
      <c r="A684" s="36"/>
      <c r="B684" s="36"/>
      <c r="C684" s="36"/>
      <c r="D684" s="36"/>
      <c r="E684" s="36"/>
      <c r="F684" s="36"/>
      <c r="G684" s="36"/>
      <c r="H684" s="36"/>
      <c r="I684" s="36"/>
    </row>
    <row r="685" ht="22.5" hidden="1" customHeight="1">
      <c r="A685" s="36"/>
      <c r="B685" s="36"/>
      <c r="C685" s="36"/>
      <c r="D685" s="36"/>
      <c r="E685" s="36"/>
      <c r="F685" s="36"/>
      <c r="G685" s="36"/>
      <c r="H685" s="36"/>
      <c r="I685" s="36"/>
    </row>
    <row r="686" ht="22.5" hidden="1" customHeight="1">
      <c r="A686" s="36"/>
      <c r="B686" s="36"/>
      <c r="C686" s="36"/>
      <c r="D686" s="36"/>
      <c r="E686" s="36"/>
      <c r="F686" s="36"/>
      <c r="G686" s="36"/>
      <c r="H686" s="36"/>
      <c r="I686" s="36"/>
    </row>
    <row r="687" ht="22.5" hidden="1" customHeight="1">
      <c r="A687" s="36"/>
      <c r="B687" s="36"/>
      <c r="C687" s="36"/>
      <c r="D687" s="36"/>
      <c r="E687" s="36"/>
      <c r="F687" s="36"/>
      <c r="G687" s="36"/>
      <c r="H687" s="36"/>
      <c r="I687" s="36"/>
    </row>
    <row r="688" ht="22.5" hidden="1" customHeight="1">
      <c r="A688" s="36"/>
      <c r="B688" s="36"/>
      <c r="C688" s="36"/>
      <c r="D688" s="36"/>
      <c r="E688" s="36"/>
      <c r="F688" s="36"/>
      <c r="G688" s="36"/>
      <c r="H688" s="36"/>
      <c r="I688" s="36"/>
    </row>
    <row r="689" ht="22.5" hidden="1" customHeight="1">
      <c r="A689" s="36"/>
      <c r="B689" s="36"/>
      <c r="C689" s="36"/>
      <c r="D689" s="36"/>
      <c r="E689" s="36"/>
      <c r="F689" s="36"/>
      <c r="G689" s="36"/>
      <c r="H689" s="36"/>
      <c r="I689" s="36"/>
    </row>
    <row r="690" ht="22.5" hidden="1" customHeight="1">
      <c r="A690" s="36"/>
      <c r="B690" s="36"/>
      <c r="C690" s="36"/>
      <c r="D690" s="36"/>
      <c r="E690" s="36"/>
      <c r="F690" s="36"/>
      <c r="G690" s="36"/>
      <c r="H690" s="36"/>
      <c r="I690" s="36"/>
    </row>
    <row r="691" ht="22.5" hidden="1" customHeight="1">
      <c r="A691" s="36"/>
      <c r="B691" s="36"/>
      <c r="C691" s="36"/>
      <c r="D691" s="36"/>
      <c r="E691" s="36"/>
      <c r="F691" s="36"/>
      <c r="G691" s="36"/>
      <c r="H691" s="36"/>
      <c r="I691" s="36"/>
    </row>
    <row r="692" ht="22.5" hidden="1" customHeight="1">
      <c r="A692" s="36"/>
      <c r="B692" s="36"/>
      <c r="C692" s="36"/>
      <c r="D692" s="36"/>
      <c r="E692" s="36"/>
      <c r="F692" s="36"/>
      <c r="G692" s="36"/>
      <c r="H692" s="36"/>
      <c r="I692" s="36"/>
    </row>
    <row r="693" ht="22.5" hidden="1" customHeight="1">
      <c r="A693" s="36"/>
      <c r="B693" s="36"/>
      <c r="C693" s="36"/>
      <c r="D693" s="36"/>
      <c r="E693" s="36"/>
      <c r="F693" s="36"/>
      <c r="G693" s="36"/>
      <c r="H693" s="36"/>
      <c r="I693" s="36"/>
    </row>
    <row r="694" ht="22.5" hidden="1" customHeight="1">
      <c r="A694" s="36"/>
      <c r="B694" s="36"/>
      <c r="C694" s="36"/>
      <c r="D694" s="36"/>
      <c r="E694" s="36"/>
      <c r="F694" s="36"/>
      <c r="G694" s="36"/>
      <c r="H694" s="36"/>
      <c r="I694" s="36"/>
    </row>
    <row r="695" ht="22.5" hidden="1" customHeight="1">
      <c r="A695" s="36"/>
      <c r="B695" s="36"/>
      <c r="C695" s="36"/>
      <c r="D695" s="36"/>
      <c r="E695" s="36"/>
      <c r="F695" s="36"/>
      <c r="G695" s="36"/>
      <c r="H695" s="36"/>
      <c r="I695" s="36"/>
    </row>
    <row r="696" ht="22.5" hidden="1" customHeight="1">
      <c r="A696" s="36"/>
      <c r="B696" s="36"/>
      <c r="C696" s="36"/>
      <c r="D696" s="36"/>
      <c r="E696" s="36"/>
      <c r="F696" s="36"/>
      <c r="G696" s="36"/>
      <c r="H696" s="36"/>
      <c r="I696" s="36"/>
    </row>
    <row r="697" ht="22.5" hidden="1" customHeight="1">
      <c r="A697" s="36"/>
      <c r="B697" s="36"/>
      <c r="C697" s="36"/>
      <c r="D697" s="36"/>
      <c r="E697" s="36"/>
      <c r="F697" s="36"/>
      <c r="G697" s="36"/>
      <c r="H697" s="36"/>
      <c r="I697" s="36"/>
    </row>
    <row r="698" ht="22.5" hidden="1" customHeight="1">
      <c r="A698" s="36"/>
      <c r="B698" s="36"/>
      <c r="C698" s="36"/>
      <c r="D698" s="36"/>
      <c r="E698" s="36"/>
      <c r="F698" s="36"/>
      <c r="G698" s="36"/>
      <c r="H698" s="36"/>
      <c r="I698" s="36"/>
    </row>
    <row r="699" ht="22.5" hidden="1" customHeight="1">
      <c r="A699" s="36"/>
      <c r="B699" s="36"/>
      <c r="C699" s="36"/>
      <c r="D699" s="36"/>
      <c r="E699" s="36"/>
      <c r="F699" s="36"/>
      <c r="G699" s="36"/>
      <c r="H699" s="36"/>
      <c r="I699" s="36"/>
    </row>
    <row r="700" ht="22.5" hidden="1" customHeight="1">
      <c r="A700" s="36"/>
      <c r="B700" s="36"/>
      <c r="C700" s="36"/>
      <c r="D700" s="36"/>
      <c r="E700" s="36"/>
      <c r="F700" s="36"/>
      <c r="G700" s="36"/>
      <c r="H700" s="36"/>
      <c r="I700" s="36"/>
    </row>
    <row r="701" ht="22.5" hidden="1" customHeight="1">
      <c r="A701" s="36"/>
      <c r="B701" s="36"/>
      <c r="C701" s="36"/>
      <c r="D701" s="36"/>
      <c r="E701" s="36"/>
      <c r="F701" s="36"/>
      <c r="G701" s="36"/>
      <c r="H701" s="36"/>
      <c r="I701" s="36"/>
    </row>
    <row r="702" ht="22.5" hidden="1" customHeight="1">
      <c r="A702" s="36"/>
      <c r="B702" s="36"/>
      <c r="C702" s="36"/>
      <c r="D702" s="36"/>
      <c r="E702" s="36"/>
      <c r="F702" s="36"/>
      <c r="G702" s="36"/>
      <c r="H702" s="36"/>
      <c r="I702" s="36"/>
    </row>
    <row r="703" ht="22.5" hidden="1" customHeight="1">
      <c r="A703" s="36"/>
      <c r="B703" s="36"/>
      <c r="C703" s="36"/>
      <c r="D703" s="36"/>
      <c r="E703" s="36"/>
      <c r="F703" s="36"/>
      <c r="G703" s="36"/>
      <c r="H703" s="36"/>
      <c r="I703" s="36"/>
    </row>
    <row r="704" ht="22.5" hidden="1" customHeight="1">
      <c r="A704" s="36"/>
      <c r="B704" s="36"/>
      <c r="C704" s="36"/>
      <c r="D704" s="36"/>
      <c r="E704" s="36"/>
      <c r="F704" s="36"/>
      <c r="G704" s="36"/>
      <c r="H704" s="36"/>
      <c r="I704" s="36"/>
    </row>
    <row r="705" ht="22.5" hidden="1" customHeight="1">
      <c r="A705" s="36"/>
      <c r="B705" s="36"/>
      <c r="C705" s="36"/>
      <c r="D705" s="36"/>
      <c r="E705" s="36"/>
      <c r="F705" s="36"/>
      <c r="G705" s="36"/>
      <c r="H705" s="36"/>
      <c r="I705" s="36"/>
    </row>
    <row r="706" ht="22.5" hidden="1" customHeight="1">
      <c r="A706" s="36"/>
      <c r="B706" s="36"/>
      <c r="C706" s="36"/>
      <c r="D706" s="36"/>
      <c r="E706" s="36"/>
      <c r="F706" s="36"/>
      <c r="G706" s="36"/>
      <c r="H706" s="36"/>
      <c r="I706" s="36"/>
    </row>
    <row r="707" ht="22.5" hidden="1" customHeight="1">
      <c r="A707" s="36"/>
      <c r="B707" s="36"/>
      <c r="C707" s="36"/>
      <c r="D707" s="36"/>
      <c r="E707" s="36"/>
      <c r="F707" s="36"/>
      <c r="G707" s="36"/>
      <c r="H707" s="36"/>
      <c r="I707" s="36"/>
    </row>
    <row r="708" ht="22.5" hidden="1" customHeight="1">
      <c r="A708" s="36"/>
      <c r="B708" s="36"/>
      <c r="C708" s="36"/>
      <c r="D708" s="36"/>
      <c r="E708" s="36"/>
      <c r="F708" s="36"/>
      <c r="G708" s="36"/>
      <c r="H708" s="36"/>
      <c r="I708" s="36"/>
    </row>
    <row r="709" ht="22.5" hidden="1" customHeight="1">
      <c r="A709" s="36"/>
      <c r="B709" s="36"/>
      <c r="C709" s="36"/>
      <c r="D709" s="36"/>
      <c r="E709" s="36"/>
      <c r="F709" s="36"/>
      <c r="G709" s="36"/>
      <c r="H709" s="36"/>
      <c r="I709" s="36"/>
    </row>
    <row r="710" ht="22.5" hidden="1" customHeight="1">
      <c r="A710" s="36"/>
      <c r="B710" s="36"/>
      <c r="C710" s="36"/>
      <c r="D710" s="36"/>
      <c r="E710" s="36"/>
      <c r="F710" s="36"/>
      <c r="G710" s="36"/>
      <c r="H710" s="36"/>
      <c r="I710" s="36"/>
    </row>
    <row r="711" ht="22.5" hidden="1" customHeight="1">
      <c r="A711" s="36"/>
      <c r="B711" s="36"/>
      <c r="C711" s="36"/>
      <c r="D711" s="36"/>
      <c r="E711" s="36"/>
      <c r="F711" s="36"/>
      <c r="G711" s="36"/>
      <c r="H711" s="36"/>
      <c r="I711" s="36"/>
    </row>
    <row r="712" ht="22.5" hidden="1" customHeight="1">
      <c r="A712" s="36"/>
      <c r="B712" s="36"/>
      <c r="C712" s="36"/>
      <c r="D712" s="36"/>
      <c r="E712" s="36"/>
      <c r="F712" s="36"/>
      <c r="G712" s="36"/>
      <c r="H712" s="36"/>
      <c r="I712" s="36"/>
    </row>
    <row r="713" ht="22.5" hidden="1" customHeight="1">
      <c r="A713" s="36"/>
      <c r="B713" s="36"/>
      <c r="C713" s="36"/>
      <c r="D713" s="36"/>
      <c r="E713" s="36"/>
      <c r="F713" s="36"/>
      <c r="G713" s="36"/>
      <c r="H713" s="36"/>
      <c r="I713" s="36"/>
    </row>
    <row r="714" ht="22.5" hidden="1" customHeight="1">
      <c r="A714" s="36"/>
      <c r="B714" s="36"/>
      <c r="C714" s="36"/>
      <c r="D714" s="36"/>
      <c r="E714" s="36"/>
      <c r="F714" s="36"/>
      <c r="G714" s="36"/>
      <c r="H714" s="36"/>
      <c r="I714" s="36"/>
    </row>
    <row r="715" ht="22.5" hidden="1" customHeight="1">
      <c r="A715" s="36"/>
      <c r="B715" s="36"/>
      <c r="C715" s="36"/>
      <c r="D715" s="36"/>
      <c r="E715" s="36"/>
      <c r="F715" s="36"/>
      <c r="G715" s="36"/>
      <c r="H715" s="36"/>
      <c r="I715" s="36"/>
    </row>
    <row r="716" ht="22.5" hidden="1" customHeight="1">
      <c r="A716" s="36"/>
      <c r="B716" s="36"/>
      <c r="C716" s="36"/>
      <c r="D716" s="36"/>
      <c r="E716" s="36"/>
      <c r="F716" s="36"/>
      <c r="G716" s="36"/>
      <c r="H716" s="36"/>
      <c r="I716" s="36"/>
    </row>
    <row r="717" ht="22.5" hidden="1" customHeight="1">
      <c r="A717" s="36"/>
      <c r="B717" s="36"/>
      <c r="C717" s="36"/>
      <c r="D717" s="36"/>
      <c r="E717" s="36"/>
      <c r="F717" s="36"/>
      <c r="G717" s="36"/>
      <c r="H717" s="36"/>
      <c r="I717" s="36"/>
    </row>
    <row r="718" ht="22.5" hidden="1" customHeight="1">
      <c r="A718" s="36"/>
      <c r="B718" s="36"/>
      <c r="C718" s="36"/>
      <c r="D718" s="36"/>
      <c r="E718" s="36"/>
      <c r="F718" s="36"/>
      <c r="G718" s="36"/>
      <c r="H718" s="36"/>
      <c r="I718" s="36"/>
    </row>
    <row r="719" ht="22.5" hidden="1" customHeight="1">
      <c r="A719" s="36"/>
      <c r="B719" s="36"/>
      <c r="C719" s="36"/>
      <c r="D719" s="36"/>
      <c r="E719" s="36"/>
      <c r="F719" s="36"/>
      <c r="G719" s="36"/>
      <c r="H719" s="36"/>
      <c r="I719" s="36"/>
    </row>
    <row r="720" ht="22.5" hidden="1" customHeight="1">
      <c r="A720" s="36"/>
      <c r="B720" s="36"/>
      <c r="C720" s="36"/>
      <c r="D720" s="36"/>
      <c r="E720" s="36"/>
      <c r="F720" s="36"/>
      <c r="G720" s="36"/>
      <c r="H720" s="36"/>
      <c r="I720" s="36"/>
    </row>
    <row r="721" ht="22.5" hidden="1" customHeight="1">
      <c r="A721" s="36"/>
      <c r="B721" s="36"/>
      <c r="C721" s="36"/>
      <c r="D721" s="36"/>
      <c r="E721" s="36"/>
      <c r="F721" s="36"/>
      <c r="G721" s="36"/>
      <c r="H721" s="36"/>
      <c r="I721" s="36"/>
    </row>
    <row r="722" ht="22.5" hidden="1" customHeight="1">
      <c r="A722" s="36"/>
      <c r="B722" s="36"/>
      <c r="C722" s="36"/>
      <c r="D722" s="36"/>
      <c r="E722" s="36"/>
      <c r="F722" s="36"/>
      <c r="G722" s="36"/>
      <c r="H722" s="36"/>
      <c r="I722" s="36"/>
    </row>
    <row r="723" ht="22.5" hidden="1" customHeight="1">
      <c r="A723" s="36"/>
      <c r="B723" s="36"/>
      <c r="C723" s="36"/>
      <c r="D723" s="36"/>
      <c r="E723" s="36"/>
      <c r="F723" s="36"/>
      <c r="G723" s="36"/>
      <c r="H723" s="36"/>
      <c r="I723" s="36"/>
    </row>
    <row r="724" ht="22.5" hidden="1" customHeight="1">
      <c r="A724" s="36"/>
      <c r="B724" s="36"/>
      <c r="C724" s="36"/>
      <c r="D724" s="36"/>
      <c r="E724" s="36"/>
      <c r="F724" s="36"/>
      <c r="G724" s="36"/>
      <c r="H724" s="36"/>
      <c r="I724" s="36"/>
    </row>
    <row r="725" ht="22.5" hidden="1" customHeight="1">
      <c r="A725" s="36"/>
      <c r="B725" s="36"/>
      <c r="C725" s="36"/>
      <c r="D725" s="36"/>
      <c r="E725" s="36"/>
      <c r="F725" s="36"/>
      <c r="G725" s="36"/>
      <c r="H725" s="36"/>
      <c r="I725" s="36"/>
    </row>
    <row r="726" ht="22.5" hidden="1" customHeight="1">
      <c r="A726" s="36"/>
      <c r="B726" s="36"/>
      <c r="C726" s="36"/>
      <c r="D726" s="36"/>
      <c r="E726" s="36"/>
      <c r="F726" s="36"/>
      <c r="G726" s="36"/>
      <c r="H726" s="36"/>
      <c r="I726" s="36"/>
    </row>
    <row r="727" ht="22.5" hidden="1" customHeight="1">
      <c r="A727" s="36"/>
      <c r="B727" s="36"/>
      <c r="C727" s="36"/>
      <c r="D727" s="36"/>
      <c r="E727" s="36"/>
      <c r="F727" s="36"/>
      <c r="G727" s="36"/>
      <c r="H727" s="36"/>
      <c r="I727" s="36"/>
    </row>
    <row r="728" ht="22.5" hidden="1" customHeight="1">
      <c r="A728" s="36"/>
      <c r="B728" s="36"/>
      <c r="C728" s="36"/>
      <c r="D728" s="36"/>
      <c r="E728" s="36"/>
      <c r="F728" s="36"/>
      <c r="G728" s="36"/>
      <c r="H728" s="36"/>
      <c r="I728" s="36"/>
    </row>
    <row r="729" ht="22.5" hidden="1" customHeight="1">
      <c r="A729" s="36"/>
      <c r="B729" s="36"/>
      <c r="C729" s="36"/>
      <c r="D729" s="36"/>
      <c r="E729" s="36"/>
      <c r="F729" s="36"/>
      <c r="G729" s="36"/>
      <c r="H729" s="36"/>
      <c r="I729" s="36"/>
    </row>
    <row r="730" ht="22.5" hidden="1" customHeight="1">
      <c r="A730" s="36"/>
      <c r="B730" s="36"/>
      <c r="C730" s="36"/>
      <c r="D730" s="36"/>
      <c r="E730" s="36"/>
      <c r="F730" s="36"/>
      <c r="G730" s="36"/>
      <c r="H730" s="36"/>
      <c r="I730" s="36"/>
    </row>
    <row r="731" ht="22.5" hidden="1" customHeight="1">
      <c r="A731" s="36"/>
      <c r="B731" s="36"/>
      <c r="C731" s="36"/>
      <c r="D731" s="36"/>
      <c r="E731" s="36"/>
      <c r="F731" s="36"/>
      <c r="G731" s="36"/>
      <c r="H731" s="36"/>
      <c r="I731" s="36"/>
    </row>
    <row r="732" ht="22.5" hidden="1" customHeight="1">
      <c r="A732" s="36"/>
      <c r="B732" s="36"/>
      <c r="C732" s="36"/>
      <c r="D732" s="36"/>
      <c r="E732" s="36"/>
      <c r="F732" s="36"/>
      <c r="G732" s="36"/>
      <c r="H732" s="36"/>
      <c r="I732" s="36"/>
    </row>
    <row r="733" ht="22.5" hidden="1" customHeight="1">
      <c r="A733" s="36"/>
      <c r="B733" s="36"/>
      <c r="C733" s="36"/>
      <c r="D733" s="36"/>
      <c r="E733" s="36"/>
      <c r="F733" s="36"/>
      <c r="G733" s="36"/>
      <c r="H733" s="36"/>
      <c r="I733" s="36"/>
    </row>
    <row r="734" ht="22.5" hidden="1" customHeight="1">
      <c r="A734" s="36"/>
      <c r="B734" s="36"/>
      <c r="C734" s="36"/>
      <c r="D734" s="36"/>
      <c r="E734" s="36"/>
      <c r="F734" s="36"/>
      <c r="G734" s="36"/>
      <c r="H734" s="36"/>
      <c r="I734" s="36"/>
    </row>
    <row r="735" ht="22.5" hidden="1" customHeight="1">
      <c r="A735" s="36"/>
      <c r="B735" s="36"/>
      <c r="C735" s="36"/>
      <c r="D735" s="36"/>
      <c r="E735" s="36"/>
      <c r="F735" s="36"/>
      <c r="G735" s="36"/>
      <c r="H735" s="36"/>
      <c r="I735" s="36"/>
    </row>
    <row r="736" ht="22.5" hidden="1" customHeight="1">
      <c r="A736" s="36"/>
      <c r="B736" s="36"/>
      <c r="C736" s="36"/>
      <c r="D736" s="36"/>
      <c r="E736" s="36"/>
      <c r="F736" s="36"/>
      <c r="G736" s="36"/>
      <c r="H736" s="36"/>
      <c r="I736" s="36"/>
    </row>
    <row r="737" ht="22.5" hidden="1" customHeight="1">
      <c r="A737" s="36"/>
      <c r="B737" s="36"/>
      <c r="C737" s="36"/>
      <c r="D737" s="36"/>
      <c r="E737" s="36"/>
      <c r="F737" s="36"/>
      <c r="G737" s="36"/>
      <c r="H737" s="36"/>
      <c r="I737" s="36"/>
    </row>
    <row r="738" ht="22.5" hidden="1" customHeight="1">
      <c r="A738" s="36"/>
      <c r="B738" s="36"/>
      <c r="C738" s="36"/>
      <c r="D738" s="36"/>
      <c r="E738" s="36"/>
      <c r="F738" s="36"/>
      <c r="G738" s="36"/>
      <c r="H738" s="36"/>
      <c r="I738" s="36"/>
    </row>
    <row r="739" ht="22.5" hidden="1" customHeight="1">
      <c r="A739" s="36"/>
      <c r="B739" s="36"/>
      <c r="C739" s="36"/>
      <c r="D739" s="36"/>
      <c r="E739" s="36"/>
      <c r="F739" s="36"/>
      <c r="G739" s="36"/>
      <c r="H739" s="36"/>
      <c r="I739" s="36"/>
    </row>
    <row r="740" ht="22.5" hidden="1" customHeight="1">
      <c r="A740" s="36"/>
      <c r="B740" s="36"/>
      <c r="C740" s="36"/>
      <c r="D740" s="36"/>
      <c r="E740" s="36"/>
      <c r="F740" s="36"/>
      <c r="G740" s="36"/>
      <c r="H740" s="36"/>
      <c r="I740" s="36"/>
    </row>
    <row r="741" ht="22.5" hidden="1" customHeight="1">
      <c r="A741" s="36"/>
      <c r="B741" s="36"/>
      <c r="C741" s="36"/>
      <c r="D741" s="36"/>
      <c r="E741" s="36"/>
      <c r="F741" s="36"/>
      <c r="G741" s="36"/>
      <c r="H741" s="36"/>
      <c r="I741" s="36"/>
    </row>
    <row r="742" ht="22.5" hidden="1" customHeight="1">
      <c r="A742" s="36"/>
      <c r="B742" s="36"/>
      <c r="C742" s="36"/>
      <c r="D742" s="36"/>
      <c r="E742" s="36"/>
      <c r="F742" s="36"/>
      <c r="G742" s="36"/>
      <c r="H742" s="36"/>
      <c r="I742" s="36"/>
    </row>
    <row r="743" ht="22.5" hidden="1" customHeight="1">
      <c r="A743" s="36"/>
      <c r="B743" s="36"/>
      <c r="C743" s="36"/>
      <c r="D743" s="36"/>
      <c r="E743" s="36"/>
      <c r="F743" s="36"/>
      <c r="G743" s="36"/>
      <c r="H743" s="36"/>
      <c r="I743" s="36"/>
    </row>
    <row r="744" ht="22.5" hidden="1" customHeight="1">
      <c r="A744" s="36"/>
      <c r="B744" s="36"/>
      <c r="C744" s="36"/>
      <c r="D744" s="36"/>
      <c r="E744" s="36"/>
      <c r="F744" s="36"/>
      <c r="G744" s="36"/>
      <c r="H744" s="36"/>
      <c r="I744" s="36"/>
    </row>
    <row r="745" ht="22.5" hidden="1" customHeight="1">
      <c r="A745" s="36"/>
      <c r="B745" s="36"/>
      <c r="C745" s="36"/>
      <c r="D745" s="36"/>
      <c r="E745" s="36"/>
      <c r="F745" s="36"/>
      <c r="G745" s="36"/>
      <c r="H745" s="36"/>
      <c r="I745" s="36"/>
    </row>
    <row r="746" ht="22.5" hidden="1" customHeight="1">
      <c r="A746" s="36"/>
      <c r="B746" s="36"/>
      <c r="C746" s="36"/>
      <c r="D746" s="36"/>
      <c r="E746" s="36"/>
      <c r="F746" s="36"/>
      <c r="G746" s="36"/>
      <c r="H746" s="36"/>
      <c r="I746" s="36"/>
    </row>
    <row r="747" ht="22.5" hidden="1" customHeight="1">
      <c r="A747" s="36"/>
      <c r="B747" s="36"/>
      <c r="C747" s="36"/>
      <c r="D747" s="36"/>
      <c r="E747" s="36"/>
      <c r="F747" s="36"/>
      <c r="G747" s="36"/>
      <c r="H747" s="36"/>
      <c r="I747" s="36"/>
    </row>
    <row r="748" ht="22.5" hidden="1" customHeight="1">
      <c r="A748" s="36"/>
      <c r="B748" s="36"/>
      <c r="C748" s="36"/>
      <c r="D748" s="36"/>
      <c r="E748" s="36"/>
      <c r="F748" s="36"/>
      <c r="G748" s="36"/>
      <c r="H748" s="36"/>
      <c r="I748" s="36"/>
    </row>
    <row r="749" ht="22.5" hidden="1" customHeight="1">
      <c r="A749" s="36"/>
      <c r="B749" s="36"/>
      <c r="C749" s="36"/>
      <c r="D749" s="36"/>
      <c r="E749" s="36"/>
      <c r="F749" s="36"/>
      <c r="G749" s="36"/>
      <c r="H749" s="36"/>
      <c r="I749" s="36"/>
    </row>
    <row r="750" ht="22.5" hidden="1" customHeight="1">
      <c r="A750" s="36"/>
      <c r="B750" s="36"/>
      <c r="C750" s="36"/>
      <c r="D750" s="36"/>
      <c r="E750" s="36"/>
      <c r="F750" s="36"/>
      <c r="G750" s="36"/>
      <c r="H750" s="36"/>
      <c r="I750" s="36"/>
    </row>
    <row r="751" ht="22.5" hidden="1" customHeight="1">
      <c r="A751" s="36"/>
      <c r="B751" s="36"/>
      <c r="C751" s="36"/>
      <c r="D751" s="36"/>
      <c r="E751" s="36"/>
      <c r="F751" s="36"/>
      <c r="G751" s="36"/>
      <c r="H751" s="36"/>
      <c r="I751" s="36"/>
    </row>
    <row r="752" ht="22.5" hidden="1" customHeight="1">
      <c r="A752" s="36"/>
      <c r="B752" s="36"/>
      <c r="C752" s="36"/>
      <c r="D752" s="36"/>
      <c r="E752" s="36"/>
      <c r="F752" s="36"/>
      <c r="G752" s="36"/>
      <c r="H752" s="36"/>
      <c r="I752" s="36"/>
    </row>
    <row r="753" ht="22.5" hidden="1" customHeight="1">
      <c r="A753" s="36"/>
      <c r="B753" s="36"/>
      <c r="C753" s="36"/>
      <c r="D753" s="36"/>
      <c r="E753" s="36"/>
      <c r="F753" s="36"/>
      <c r="G753" s="36"/>
      <c r="H753" s="36"/>
      <c r="I753" s="36"/>
    </row>
    <row r="754" ht="22.5" hidden="1" customHeight="1">
      <c r="A754" s="36"/>
      <c r="B754" s="36"/>
      <c r="C754" s="36"/>
      <c r="D754" s="36"/>
      <c r="E754" s="36"/>
      <c r="F754" s="36"/>
      <c r="G754" s="36"/>
      <c r="H754" s="36"/>
      <c r="I754" s="36"/>
    </row>
    <row r="755" ht="22.5" hidden="1" customHeight="1">
      <c r="A755" s="36"/>
      <c r="B755" s="36"/>
      <c r="C755" s="36"/>
      <c r="D755" s="36"/>
      <c r="E755" s="36"/>
      <c r="F755" s="36"/>
      <c r="G755" s="36"/>
      <c r="H755" s="36"/>
      <c r="I755" s="36"/>
    </row>
    <row r="756" ht="22.5" hidden="1" customHeight="1">
      <c r="A756" s="36"/>
      <c r="B756" s="36"/>
      <c r="C756" s="36"/>
      <c r="D756" s="36"/>
      <c r="E756" s="36"/>
      <c r="F756" s="36"/>
      <c r="G756" s="36"/>
      <c r="H756" s="36"/>
      <c r="I756" s="36"/>
    </row>
    <row r="757" ht="22.5" hidden="1" customHeight="1">
      <c r="A757" s="36"/>
      <c r="B757" s="36"/>
      <c r="C757" s="36"/>
      <c r="D757" s="36"/>
      <c r="E757" s="36"/>
      <c r="F757" s="36"/>
      <c r="G757" s="36"/>
      <c r="H757" s="36"/>
      <c r="I757" s="36"/>
    </row>
    <row r="758" ht="22.5" hidden="1" customHeight="1">
      <c r="A758" s="36"/>
      <c r="B758" s="36"/>
      <c r="C758" s="36"/>
      <c r="D758" s="36"/>
      <c r="E758" s="36"/>
      <c r="F758" s="36"/>
      <c r="G758" s="36"/>
      <c r="H758" s="36"/>
      <c r="I758" s="36"/>
    </row>
    <row r="759" ht="22.5" hidden="1" customHeight="1">
      <c r="A759" s="36"/>
      <c r="B759" s="36"/>
      <c r="C759" s="36"/>
      <c r="D759" s="36"/>
      <c r="E759" s="36"/>
      <c r="F759" s="36"/>
      <c r="G759" s="36"/>
      <c r="H759" s="36"/>
      <c r="I759" s="36"/>
    </row>
    <row r="760" ht="22.5" hidden="1" customHeight="1">
      <c r="A760" s="36"/>
      <c r="B760" s="36"/>
      <c r="C760" s="36"/>
      <c r="D760" s="36"/>
      <c r="E760" s="36"/>
      <c r="F760" s="36"/>
      <c r="G760" s="36"/>
      <c r="H760" s="36"/>
      <c r="I760" s="36"/>
    </row>
    <row r="761" ht="22.5" hidden="1" customHeight="1">
      <c r="A761" s="36"/>
      <c r="B761" s="36"/>
      <c r="C761" s="36"/>
      <c r="D761" s="36"/>
      <c r="E761" s="36"/>
      <c r="F761" s="36"/>
      <c r="G761" s="36"/>
      <c r="H761" s="36"/>
      <c r="I761" s="36"/>
    </row>
    <row r="762" ht="22.5" hidden="1" customHeight="1">
      <c r="A762" s="36"/>
      <c r="B762" s="36"/>
      <c r="C762" s="36"/>
      <c r="D762" s="36"/>
      <c r="E762" s="36"/>
      <c r="F762" s="36"/>
      <c r="G762" s="36"/>
      <c r="H762" s="36"/>
      <c r="I762" s="36"/>
    </row>
    <row r="763" ht="22.5" hidden="1" customHeight="1">
      <c r="A763" s="36"/>
      <c r="B763" s="36"/>
      <c r="C763" s="36"/>
      <c r="D763" s="36"/>
      <c r="E763" s="36"/>
      <c r="F763" s="36"/>
      <c r="G763" s="36"/>
      <c r="H763" s="36"/>
      <c r="I763" s="36"/>
    </row>
    <row r="764" ht="22.5" hidden="1" customHeight="1">
      <c r="A764" s="36"/>
      <c r="B764" s="36"/>
      <c r="C764" s="36"/>
      <c r="D764" s="36"/>
      <c r="E764" s="36"/>
      <c r="F764" s="36"/>
      <c r="G764" s="36"/>
      <c r="H764" s="36"/>
      <c r="I764" s="36"/>
    </row>
    <row r="765" ht="22.5" hidden="1" customHeight="1">
      <c r="A765" s="36"/>
      <c r="B765" s="36"/>
      <c r="C765" s="36"/>
      <c r="D765" s="36"/>
      <c r="E765" s="36"/>
      <c r="F765" s="36"/>
      <c r="G765" s="36"/>
      <c r="H765" s="36"/>
      <c r="I765" s="36"/>
    </row>
    <row r="766" ht="22.5" hidden="1" customHeight="1">
      <c r="A766" s="36"/>
      <c r="B766" s="36"/>
      <c r="C766" s="36"/>
      <c r="D766" s="36"/>
      <c r="E766" s="36"/>
      <c r="F766" s="36"/>
      <c r="G766" s="36"/>
      <c r="H766" s="36"/>
      <c r="I766" s="36"/>
    </row>
    <row r="767" ht="22.5" hidden="1" customHeight="1">
      <c r="A767" s="36"/>
      <c r="B767" s="36"/>
      <c r="C767" s="36"/>
      <c r="D767" s="36"/>
      <c r="E767" s="36"/>
      <c r="F767" s="36"/>
      <c r="G767" s="36"/>
      <c r="H767" s="36"/>
      <c r="I767" s="36"/>
    </row>
    <row r="768" ht="22.5" hidden="1" customHeight="1">
      <c r="A768" s="36"/>
      <c r="B768" s="36"/>
      <c r="C768" s="36"/>
      <c r="D768" s="36"/>
      <c r="E768" s="36"/>
      <c r="F768" s="36"/>
      <c r="G768" s="36"/>
      <c r="H768" s="36"/>
      <c r="I768" s="36"/>
    </row>
    <row r="769" ht="22.5" hidden="1" customHeight="1">
      <c r="A769" s="36"/>
      <c r="B769" s="36"/>
      <c r="C769" s="36"/>
      <c r="D769" s="36"/>
      <c r="E769" s="36"/>
      <c r="F769" s="36"/>
      <c r="G769" s="36"/>
      <c r="H769" s="36"/>
      <c r="I769" s="36"/>
    </row>
    <row r="770" ht="22.5" hidden="1" customHeight="1">
      <c r="A770" s="36"/>
      <c r="B770" s="36"/>
      <c r="C770" s="36"/>
      <c r="D770" s="36"/>
      <c r="E770" s="36"/>
      <c r="F770" s="36"/>
      <c r="G770" s="36"/>
      <c r="H770" s="36"/>
      <c r="I770" s="36"/>
    </row>
    <row r="771" ht="22.5" hidden="1" customHeight="1">
      <c r="A771" s="36"/>
      <c r="B771" s="36"/>
      <c r="C771" s="36"/>
      <c r="D771" s="36"/>
      <c r="E771" s="36"/>
      <c r="F771" s="36"/>
      <c r="G771" s="36"/>
      <c r="H771" s="36"/>
      <c r="I771" s="36"/>
    </row>
    <row r="772" ht="22.5" hidden="1" customHeight="1">
      <c r="A772" s="36"/>
      <c r="B772" s="36"/>
      <c r="C772" s="36"/>
      <c r="D772" s="36"/>
      <c r="E772" s="36"/>
      <c r="F772" s="36"/>
      <c r="G772" s="36"/>
      <c r="H772" s="36"/>
      <c r="I772" s="36"/>
    </row>
    <row r="773" ht="22.5" hidden="1" customHeight="1">
      <c r="A773" s="36"/>
      <c r="B773" s="36"/>
      <c r="C773" s="36"/>
      <c r="D773" s="36"/>
      <c r="E773" s="36"/>
      <c r="F773" s="36"/>
      <c r="G773" s="36"/>
      <c r="H773" s="36"/>
      <c r="I773" s="36"/>
    </row>
    <row r="774" ht="22.5" hidden="1" customHeight="1">
      <c r="A774" s="36"/>
      <c r="B774" s="36"/>
      <c r="C774" s="36"/>
      <c r="D774" s="36"/>
      <c r="E774" s="36"/>
      <c r="F774" s="36"/>
      <c r="G774" s="36"/>
      <c r="H774" s="36"/>
      <c r="I774" s="36"/>
    </row>
    <row r="775" ht="22.5" hidden="1" customHeight="1">
      <c r="A775" s="36"/>
      <c r="B775" s="36"/>
      <c r="C775" s="36"/>
      <c r="D775" s="36"/>
      <c r="E775" s="36"/>
      <c r="F775" s="36"/>
      <c r="G775" s="36"/>
      <c r="H775" s="36"/>
      <c r="I775" s="36"/>
    </row>
    <row r="776" ht="22.5" hidden="1" customHeight="1">
      <c r="A776" s="36"/>
      <c r="B776" s="36"/>
      <c r="C776" s="36"/>
      <c r="D776" s="36"/>
      <c r="E776" s="36"/>
      <c r="F776" s="36"/>
      <c r="G776" s="36"/>
      <c r="H776" s="36"/>
      <c r="I776" s="36"/>
    </row>
    <row r="777" ht="22.5" hidden="1" customHeight="1">
      <c r="A777" s="36"/>
      <c r="B777" s="36"/>
      <c r="C777" s="36"/>
      <c r="D777" s="36"/>
      <c r="E777" s="36"/>
      <c r="F777" s="36"/>
      <c r="G777" s="36"/>
      <c r="H777" s="36"/>
      <c r="I777" s="36"/>
    </row>
    <row r="778" ht="22.5" hidden="1" customHeight="1">
      <c r="A778" s="36"/>
      <c r="B778" s="36"/>
      <c r="C778" s="36"/>
      <c r="D778" s="36"/>
      <c r="E778" s="36"/>
      <c r="F778" s="36"/>
      <c r="G778" s="36"/>
      <c r="H778" s="36"/>
      <c r="I778" s="36"/>
    </row>
    <row r="779" ht="22.5" hidden="1" customHeight="1">
      <c r="A779" s="36"/>
      <c r="B779" s="36"/>
      <c r="C779" s="36"/>
      <c r="D779" s="36"/>
      <c r="E779" s="36"/>
      <c r="F779" s="36"/>
      <c r="G779" s="36"/>
      <c r="H779" s="36"/>
      <c r="I779" s="36"/>
    </row>
    <row r="780" ht="22.5" hidden="1" customHeight="1">
      <c r="A780" s="36"/>
      <c r="B780" s="36"/>
      <c r="C780" s="36"/>
      <c r="D780" s="36"/>
      <c r="E780" s="36"/>
      <c r="F780" s="36"/>
      <c r="G780" s="36"/>
      <c r="H780" s="36"/>
      <c r="I780" s="36"/>
    </row>
    <row r="781" ht="22.5" hidden="1" customHeight="1">
      <c r="A781" s="36"/>
      <c r="B781" s="36"/>
      <c r="C781" s="36"/>
      <c r="D781" s="36"/>
      <c r="E781" s="36"/>
      <c r="F781" s="36"/>
      <c r="G781" s="36"/>
      <c r="H781" s="36"/>
      <c r="I781" s="36"/>
    </row>
    <row r="782" ht="22.5" hidden="1" customHeight="1">
      <c r="A782" s="36"/>
      <c r="B782" s="36"/>
      <c r="C782" s="36"/>
      <c r="D782" s="36"/>
      <c r="E782" s="36"/>
      <c r="F782" s="36"/>
      <c r="G782" s="36"/>
      <c r="H782" s="36"/>
      <c r="I782" s="36"/>
    </row>
    <row r="783" ht="22.5" hidden="1" customHeight="1">
      <c r="A783" s="36"/>
      <c r="B783" s="36"/>
      <c r="C783" s="36"/>
      <c r="D783" s="36"/>
      <c r="E783" s="36"/>
      <c r="F783" s="36"/>
      <c r="G783" s="36"/>
      <c r="H783" s="36"/>
      <c r="I783" s="36"/>
    </row>
    <row r="784" ht="22.5" hidden="1" customHeight="1">
      <c r="A784" s="36"/>
      <c r="B784" s="36"/>
      <c r="C784" s="36"/>
      <c r="D784" s="36"/>
      <c r="E784" s="36"/>
      <c r="F784" s="36"/>
      <c r="G784" s="36"/>
      <c r="H784" s="36"/>
      <c r="I784" s="36"/>
    </row>
    <row r="785" ht="22.5" hidden="1" customHeight="1">
      <c r="A785" s="36"/>
      <c r="B785" s="36"/>
      <c r="C785" s="36"/>
      <c r="D785" s="36"/>
      <c r="E785" s="36"/>
      <c r="F785" s="36"/>
      <c r="G785" s="36"/>
      <c r="H785" s="36"/>
      <c r="I785" s="36"/>
    </row>
    <row r="786" ht="22.5" hidden="1" customHeight="1">
      <c r="A786" s="36"/>
      <c r="B786" s="36"/>
      <c r="C786" s="36"/>
      <c r="D786" s="36"/>
      <c r="E786" s="36"/>
      <c r="F786" s="36"/>
      <c r="G786" s="36"/>
      <c r="H786" s="36"/>
      <c r="I786" s="36"/>
    </row>
    <row r="787" ht="22.5" hidden="1" customHeight="1">
      <c r="A787" s="36"/>
      <c r="B787" s="36"/>
      <c r="C787" s="36"/>
      <c r="D787" s="36"/>
      <c r="E787" s="36"/>
      <c r="F787" s="36"/>
      <c r="G787" s="36"/>
      <c r="H787" s="36"/>
      <c r="I787" s="36"/>
    </row>
    <row r="788" ht="22.5" hidden="1" customHeight="1">
      <c r="A788" s="36"/>
      <c r="B788" s="36"/>
      <c r="C788" s="36"/>
      <c r="D788" s="36"/>
      <c r="E788" s="36"/>
      <c r="F788" s="36"/>
      <c r="G788" s="36"/>
      <c r="H788" s="36"/>
      <c r="I788" s="36"/>
    </row>
    <row r="789" ht="22.5" hidden="1" customHeight="1">
      <c r="A789" s="36"/>
      <c r="B789" s="36"/>
      <c r="C789" s="36"/>
      <c r="D789" s="36"/>
      <c r="E789" s="36"/>
      <c r="F789" s="36"/>
      <c r="G789" s="36"/>
      <c r="H789" s="36"/>
      <c r="I789" s="36"/>
    </row>
    <row r="790" ht="22.5" hidden="1" customHeight="1">
      <c r="A790" s="36"/>
      <c r="B790" s="36"/>
      <c r="C790" s="36"/>
      <c r="D790" s="36"/>
      <c r="E790" s="36"/>
      <c r="F790" s="36"/>
      <c r="G790" s="36"/>
      <c r="H790" s="36"/>
      <c r="I790" s="36"/>
    </row>
    <row r="791" ht="22.5" hidden="1" customHeight="1">
      <c r="A791" s="36"/>
      <c r="B791" s="36"/>
      <c r="C791" s="36"/>
      <c r="D791" s="36"/>
      <c r="E791" s="36"/>
      <c r="F791" s="36"/>
      <c r="G791" s="36"/>
      <c r="H791" s="36"/>
      <c r="I791" s="36"/>
    </row>
    <row r="792" ht="22.5" hidden="1" customHeight="1">
      <c r="A792" s="36"/>
      <c r="B792" s="36"/>
      <c r="C792" s="36"/>
      <c r="D792" s="36"/>
      <c r="E792" s="36"/>
      <c r="F792" s="36"/>
      <c r="G792" s="36"/>
      <c r="H792" s="36"/>
      <c r="I792" s="36"/>
    </row>
    <row r="793" ht="22.5" hidden="1" customHeight="1">
      <c r="A793" s="36"/>
      <c r="B793" s="36"/>
      <c r="C793" s="36"/>
      <c r="D793" s="36"/>
      <c r="E793" s="36"/>
      <c r="F793" s="36"/>
      <c r="G793" s="36"/>
      <c r="H793" s="36"/>
      <c r="I793" s="36"/>
    </row>
    <row r="794" ht="22.5" hidden="1" customHeight="1">
      <c r="A794" s="36"/>
      <c r="B794" s="36"/>
      <c r="C794" s="36"/>
      <c r="D794" s="36"/>
      <c r="E794" s="36"/>
      <c r="F794" s="36"/>
      <c r="G794" s="36"/>
      <c r="H794" s="36"/>
      <c r="I794" s="36"/>
    </row>
    <row r="795" ht="22.5" hidden="1" customHeight="1">
      <c r="A795" s="36"/>
      <c r="B795" s="36"/>
      <c r="C795" s="36"/>
      <c r="D795" s="36"/>
      <c r="E795" s="36"/>
      <c r="F795" s="36"/>
      <c r="G795" s="36"/>
      <c r="H795" s="36"/>
      <c r="I795" s="36"/>
    </row>
    <row r="796" ht="22.5" hidden="1" customHeight="1">
      <c r="A796" s="36"/>
      <c r="B796" s="36"/>
      <c r="C796" s="36"/>
      <c r="D796" s="36"/>
      <c r="E796" s="36"/>
      <c r="F796" s="36"/>
      <c r="G796" s="36"/>
      <c r="H796" s="36"/>
      <c r="I796" s="36"/>
    </row>
    <row r="797" ht="22.5" hidden="1" customHeight="1">
      <c r="A797" s="36"/>
      <c r="B797" s="36"/>
      <c r="C797" s="36"/>
      <c r="D797" s="36"/>
      <c r="E797" s="36"/>
      <c r="F797" s="36"/>
      <c r="G797" s="36"/>
      <c r="H797" s="36"/>
      <c r="I797" s="36"/>
    </row>
    <row r="798" ht="22.5" hidden="1" customHeight="1">
      <c r="A798" s="36"/>
      <c r="B798" s="36"/>
      <c r="C798" s="36"/>
      <c r="D798" s="36"/>
      <c r="E798" s="36"/>
      <c r="F798" s="36"/>
      <c r="G798" s="36"/>
      <c r="H798" s="36"/>
      <c r="I798" s="36"/>
    </row>
    <row r="799" ht="22.5" hidden="1" customHeight="1">
      <c r="A799" s="36"/>
      <c r="B799" s="36"/>
      <c r="C799" s="36"/>
      <c r="D799" s="36"/>
      <c r="E799" s="36"/>
      <c r="F799" s="36"/>
      <c r="G799" s="36"/>
      <c r="H799" s="36"/>
      <c r="I799" s="36"/>
    </row>
    <row r="800" ht="22.5" hidden="1" customHeight="1">
      <c r="A800" s="36"/>
      <c r="B800" s="36"/>
      <c r="C800" s="36"/>
      <c r="D800" s="36"/>
      <c r="E800" s="36"/>
      <c r="F800" s="36"/>
      <c r="G800" s="36"/>
      <c r="H800" s="36"/>
      <c r="I800" s="36"/>
    </row>
    <row r="801" ht="22.5" hidden="1" customHeight="1">
      <c r="A801" s="36"/>
      <c r="B801" s="36"/>
      <c r="C801" s="36"/>
      <c r="D801" s="36"/>
      <c r="E801" s="36"/>
      <c r="F801" s="36"/>
      <c r="G801" s="36"/>
      <c r="H801" s="36"/>
      <c r="I801" s="36"/>
    </row>
    <row r="802" ht="22.5" hidden="1" customHeight="1">
      <c r="A802" s="36"/>
      <c r="B802" s="36"/>
      <c r="C802" s="36"/>
      <c r="D802" s="36"/>
      <c r="E802" s="36"/>
      <c r="F802" s="36"/>
      <c r="G802" s="36"/>
      <c r="H802" s="36"/>
      <c r="I802" s="36"/>
    </row>
    <row r="803" ht="22.5" hidden="1" customHeight="1">
      <c r="A803" s="36"/>
      <c r="B803" s="36"/>
      <c r="C803" s="36"/>
      <c r="D803" s="36"/>
      <c r="E803" s="36"/>
      <c r="F803" s="36"/>
      <c r="G803" s="36"/>
      <c r="H803" s="36"/>
      <c r="I803" s="36"/>
    </row>
    <row r="804" ht="22.5" hidden="1" customHeight="1">
      <c r="A804" s="36"/>
      <c r="B804" s="36"/>
      <c r="C804" s="36"/>
      <c r="D804" s="36"/>
      <c r="E804" s="36"/>
      <c r="F804" s="36"/>
      <c r="G804" s="36"/>
      <c r="H804" s="36"/>
      <c r="I804" s="36"/>
    </row>
    <row r="805" ht="22.5" hidden="1" customHeight="1">
      <c r="A805" s="36"/>
      <c r="B805" s="36"/>
      <c r="C805" s="36"/>
      <c r="D805" s="36"/>
      <c r="E805" s="36"/>
      <c r="F805" s="36"/>
      <c r="G805" s="36"/>
      <c r="H805" s="36"/>
      <c r="I805" s="36"/>
    </row>
    <row r="806" ht="22.5" hidden="1" customHeight="1">
      <c r="A806" s="36"/>
      <c r="B806" s="36"/>
      <c r="C806" s="36"/>
      <c r="D806" s="36"/>
      <c r="E806" s="36"/>
      <c r="F806" s="36"/>
      <c r="G806" s="36"/>
      <c r="H806" s="36"/>
      <c r="I806" s="36"/>
    </row>
    <row r="807" ht="22.5" hidden="1" customHeight="1">
      <c r="A807" s="36"/>
      <c r="B807" s="36"/>
      <c r="C807" s="36"/>
      <c r="D807" s="36"/>
      <c r="E807" s="36"/>
      <c r="F807" s="36"/>
      <c r="G807" s="36"/>
      <c r="H807" s="36"/>
      <c r="I807" s="36"/>
    </row>
    <row r="808" ht="22.5" hidden="1" customHeight="1">
      <c r="A808" s="36"/>
      <c r="B808" s="36"/>
      <c r="C808" s="36"/>
      <c r="D808" s="36"/>
      <c r="E808" s="36"/>
      <c r="F808" s="36"/>
      <c r="G808" s="36"/>
      <c r="H808" s="36"/>
      <c r="I808" s="36"/>
    </row>
    <row r="809" ht="22.5" hidden="1" customHeight="1">
      <c r="A809" s="36"/>
      <c r="B809" s="36"/>
      <c r="C809" s="36"/>
      <c r="D809" s="36"/>
      <c r="E809" s="36"/>
      <c r="F809" s="36"/>
      <c r="G809" s="36"/>
      <c r="H809" s="36"/>
      <c r="I809" s="36"/>
    </row>
    <row r="810" ht="22.5" hidden="1" customHeight="1">
      <c r="A810" s="36"/>
      <c r="B810" s="36"/>
      <c r="C810" s="36"/>
      <c r="D810" s="36"/>
      <c r="E810" s="36"/>
      <c r="F810" s="36"/>
      <c r="G810" s="36"/>
      <c r="H810" s="36"/>
      <c r="I810" s="36"/>
    </row>
    <row r="811" ht="22.5" hidden="1" customHeight="1">
      <c r="A811" s="36"/>
      <c r="B811" s="36"/>
      <c r="C811" s="36"/>
      <c r="D811" s="36"/>
      <c r="E811" s="36"/>
      <c r="F811" s="36"/>
      <c r="G811" s="36"/>
      <c r="H811" s="36"/>
      <c r="I811" s="36"/>
    </row>
    <row r="812" ht="22.5" hidden="1" customHeight="1">
      <c r="A812" s="36"/>
      <c r="B812" s="36"/>
      <c r="C812" s="36"/>
      <c r="D812" s="36"/>
      <c r="E812" s="36"/>
      <c r="F812" s="36"/>
      <c r="G812" s="36"/>
      <c r="H812" s="36"/>
      <c r="I812" s="36"/>
    </row>
    <row r="813" ht="22.5" hidden="1" customHeight="1">
      <c r="A813" s="36"/>
      <c r="B813" s="36"/>
      <c r="C813" s="36"/>
      <c r="D813" s="36"/>
      <c r="E813" s="36"/>
      <c r="F813" s="36"/>
      <c r="G813" s="36"/>
      <c r="H813" s="36"/>
      <c r="I813" s="36"/>
    </row>
    <row r="814" ht="22.5" hidden="1" customHeight="1">
      <c r="A814" s="36"/>
      <c r="B814" s="36"/>
      <c r="C814" s="36"/>
      <c r="D814" s="36"/>
      <c r="E814" s="36"/>
      <c r="F814" s="36"/>
      <c r="G814" s="36"/>
      <c r="H814" s="36"/>
      <c r="I814" s="36"/>
    </row>
    <row r="815" ht="22.5" hidden="1" customHeight="1">
      <c r="A815" s="36"/>
      <c r="B815" s="36"/>
      <c r="C815" s="36"/>
      <c r="D815" s="36"/>
      <c r="E815" s="36"/>
      <c r="F815" s="36"/>
      <c r="G815" s="36"/>
      <c r="H815" s="36"/>
      <c r="I815" s="36"/>
    </row>
    <row r="816" ht="22.5" hidden="1" customHeight="1">
      <c r="A816" s="36"/>
      <c r="B816" s="36"/>
      <c r="C816" s="36"/>
      <c r="D816" s="36"/>
      <c r="E816" s="36"/>
      <c r="F816" s="36"/>
      <c r="G816" s="36"/>
      <c r="H816" s="36"/>
      <c r="I816" s="36"/>
    </row>
    <row r="817" ht="22.5" hidden="1" customHeight="1">
      <c r="A817" s="36"/>
      <c r="B817" s="36"/>
      <c r="C817" s="36"/>
      <c r="D817" s="36"/>
      <c r="E817" s="36"/>
      <c r="F817" s="36"/>
      <c r="G817" s="36"/>
      <c r="H817" s="36"/>
      <c r="I817" s="36"/>
    </row>
    <row r="818" ht="22.5" hidden="1" customHeight="1">
      <c r="A818" s="36"/>
      <c r="B818" s="36"/>
      <c r="C818" s="36"/>
      <c r="D818" s="36"/>
      <c r="E818" s="36"/>
      <c r="F818" s="36"/>
      <c r="G818" s="36"/>
      <c r="H818" s="36"/>
      <c r="I818" s="36"/>
    </row>
    <row r="819" ht="22.5" hidden="1" customHeight="1">
      <c r="A819" s="36"/>
      <c r="B819" s="36"/>
      <c r="C819" s="36"/>
      <c r="D819" s="36"/>
      <c r="E819" s="36"/>
      <c r="F819" s="36"/>
      <c r="G819" s="36"/>
      <c r="H819" s="36"/>
      <c r="I819" s="36"/>
    </row>
    <row r="820" ht="22.5" hidden="1" customHeight="1">
      <c r="A820" s="36"/>
      <c r="B820" s="36"/>
      <c r="C820" s="36"/>
      <c r="D820" s="36"/>
      <c r="E820" s="36"/>
      <c r="F820" s="36"/>
      <c r="G820" s="36"/>
      <c r="H820" s="36"/>
      <c r="I820" s="36"/>
    </row>
    <row r="821" ht="22.5" hidden="1" customHeight="1">
      <c r="A821" s="36"/>
      <c r="B821" s="36"/>
      <c r="C821" s="36"/>
      <c r="D821" s="36"/>
      <c r="E821" s="36"/>
      <c r="F821" s="36"/>
      <c r="G821" s="36"/>
      <c r="H821" s="36"/>
      <c r="I821" s="36"/>
    </row>
    <row r="822" ht="22.5" hidden="1" customHeight="1">
      <c r="A822" s="36"/>
      <c r="B822" s="36"/>
      <c r="C822" s="36"/>
      <c r="D822" s="36"/>
      <c r="E822" s="36"/>
      <c r="F822" s="36"/>
      <c r="G822" s="36"/>
      <c r="H822" s="36"/>
      <c r="I822" s="36"/>
    </row>
    <row r="823" ht="22.5" hidden="1" customHeight="1">
      <c r="A823" s="36"/>
      <c r="B823" s="36"/>
      <c r="C823" s="36"/>
      <c r="D823" s="36"/>
      <c r="E823" s="36"/>
      <c r="F823" s="36"/>
      <c r="G823" s="36"/>
      <c r="H823" s="36"/>
      <c r="I823" s="36"/>
    </row>
    <row r="824" ht="22.5" hidden="1" customHeight="1">
      <c r="A824" s="36"/>
      <c r="B824" s="36"/>
      <c r="C824" s="36"/>
      <c r="D824" s="36"/>
      <c r="E824" s="36"/>
      <c r="F824" s="36"/>
      <c r="G824" s="36"/>
      <c r="H824" s="36"/>
      <c r="I824" s="36"/>
    </row>
    <row r="825" ht="22.5" hidden="1" customHeight="1">
      <c r="A825" s="36"/>
      <c r="B825" s="36"/>
      <c r="C825" s="36"/>
      <c r="D825" s="36"/>
      <c r="E825" s="36"/>
      <c r="F825" s="36"/>
      <c r="G825" s="36"/>
      <c r="H825" s="36"/>
      <c r="I825" s="36"/>
    </row>
    <row r="826" ht="22.5" hidden="1" customHeight="1">
      <c r="A826" s="36"/>
      <c r="B826" s="36"/>
      <c r="C826" s="36"/>
      <c r="D826" s="36"/>
      <c r="E826" s="36"/>
      <c r="F826" s="36"/>
      <c r="G826" s="36"/>
      <c r="H826" s="36"/>
      <c r="I826" s="36"/>
    </row>
    <row r="827" ht="22.5" hidden="1" customHeight="1">
      <c r="A827" s="36"/>
      <c r="B827" s="36"/>
      <c r="C827" s="36"/>
      <c r="D827" s="36"/>
      <c r="E827" s="36"/>
      <c r="F827" s="36"/>
      <c r="G827" s="36"/>
      <c r="H827" s="36"/>
      <c r="I827" s="36"/>
    </row>
    <row r="828" ht="22.5" hidden="1" customHeight="1">
      <c r="A828" s="36"/>
      <c r="B828" s="36"/>
      <c r="C828" s="36"/>
      <c r="D828" s="36"/>
      <c r="E828" s="36"/>
      <c r="F828" s="36"/>
      <c r="G828" s="36"/>
      <c r="H828" s="36"/>
      <c r="I828" s="36"/>
    </row>
    <row r="829" ht="22.5" hidden="1" customHeight="1">
      <c r="A829" s="36"/>
      <c r="B829" s="36"/>
      <c r="C829" s="36"/>
      <c r="D829" s="36"/>
      <c r="E829" s="36"/>
      <c r="F829" s="36"/>
      <c r="G829" s="36"/>
      <c r="H829" s="36"/>
      <c r="I829" s="36"/>
    </row>
    <row r="830" ht="22.5" hidden="1" customHeight="1">
      <c r="A830" s="36"/>
      <c r="B830" s="36"/>
      <c r="C830" s="36"/>
      <c r="D830" s="36"/>
      <c r="E830" s="36"/>
      <c r="F830" s="36"/>
      <c r="G830" s="36"/>
      <c r="H830" s="36"/>
      <c r="I830" s="36"/>
    </row>
    <row r="831" ht="22.5" hidden="1" customHeight="1">
      <c r="A831" s="36"/>
      <c r="B831" s="36"/>
      <c r="C831" s="36"/>
      <c r="D831" s="36"/>
      <c r="E831" s="36"/>
      <c r="F831" s="36"/>
      <c r="G831" s="36"/>
      <c r="H831" s="36"/>
      <c r="I831" s="36"/>
    </row>
    <row r="832" ht="22.5" hidden="1" customHeight="1">
      <c r="A832" s="36"/>
      <c r="B832" s="36"/>
      <c r="C832" s="36"/>
      <c r="D832" s="36"/>
      <c r="E832" s="36"/>
      <c r="F832" s="36"/>
      <c r="G832" s="36"/>
      <c r="H832" s="36"/>
      <c r="I832" s="36"/>
    </row>
    <row r="833" ht="22.5" hidden="1" customHeight="1">
      <c r="A833" s="36"/>
      <c r="B833" s="36"/>
      <c r="C833" s="36"/>
      <c r="D833" s="36"/>
      <c r="E833" s="36"/>
      <c r="F833" s="36"/>
      <c r="G833" s="36"/>
      <c r="H833" s="36"/>
      <c r="I833" s="36"/>
    </row>
    <row r="834" ht="22.5" hidden="1" customHeight="1">
      <c r="A834" s="36"/>
      <c r="B834" s="36"/>
      <c r="C834" s="36"/>
      <c r="D834" s="36"/>
      <c r="E834" s="36"/>
      <c r="F834" s="36"/>
      <c r="G834" s="36"/>
      <c r="H834" s="36"/>
      <c r="I834" s="36"/>
    </row>
    <row r="835" ht="22.5" hidden="1" customHeight="1">
      <c r="A835" s="36"/>
      <c r="B835" s="36"/>
      <c r="C835" s="36"/>
      <c r="D835" s="36"/>
      <c r="E835" s="36"/>
      <c r="F835" s="36"/>
      <c r="G835" s="36"/>
      <c r="H835" s="36"/>
      <c r="I835" s="36"/>
    </row>
    <row r="836" ht="22.5" hidden="1" customHeight="1">
      <c r="A836" s="36"/>
      <c r="B836" s="36"/>
      <c r="C836" s="36"/>
      <c r="D836" s="36"/>
      <c r="E836" s="36"/>
      <c r="F836" s="36"/>
      <c r="G836" s="36"/>
      <c r="H836" s="36"/>
      <c r="I836" s="36"/>
    </row>
    <row r="837" ht="22.5" hidden="1" customHeight="1">
      <c r="A837" s="36"/>
      <c r="B837" s="36"/>
      <c r="C837" s="36"/>
      <c r="D837" s="36"/>
      <c r="E837" s="36"/>
      <c r="F837" s="36"/>
      <c r="G837" s="36"/>
      <c r="H837" s="36"/>
      <c r="I837" s="36"/>
    </row>
    <row r="838" ht="22.5" hidden="1" customHeight="1">
      <c r="A838" s="36"/>
      <c r="B838" s="36"/>
      <c r="C838" s="36"/>
      <c r="D838" s="36"/>
      <c r="E838" s="36"/>
      <c r="F838" s="36"/>
      <c r="G838" s="36"/>
      <c r="H838" s="36"/>
      <c r="I838" s="36"/>
    </row>
    <row r="839" ht="22.5" hidden="1" customHeight="1">
      <c r="A839" s="36"/>
      <c r="B839" s="36"/>
      <c r="C839" s="36"/>
      <c r="D839" s="36"/>
      <c r="E839" s="36"/>
      <c r="F839" s="36"/>
      <c r="G839" s="36"/>
      <c r="H839" s="36"/>
      <c r="I839" s="36"/>
    </row>
    <row r="840" ht="22.5" hidden="1" customHeight="1">
      <c r="A840" s="36"/>
      <c r="B840" s="36"/>
      <c r="C840" s="36"/>
      <c r="D840" s="36"/>
      <c r="E840" s="36"/>
      <c r="F840" s="36"/>
      <c r="G840" s="36"/>
      <c r="H840" s="36"/>
      <c r="I840" s="36"/>
    </row>
    <row r="841" ht="22.5" hidden="1" customHeight="1">
      <c r="A841" s="36"/>
      <c r="B841" s="36"/>
      <c r="C841" s="36"/>
      <c r="D841" s="36"/>
      <c r="E841" s="36"/>
      <c r="F841" s="36"/>
      <c r="G841" s="36"/>
      <c r="H841" s="36"/>
      <c r="I841" s="36"/>
    </row>
    <row r="842" ht="22.5" hidden="1" customHeight="1">
      <c r="A842" s="36"/>
      <c r="B842" s="36"/>
      <c r="C842" s="36"/>
      <c r="D842" s="36"/>
      <c r="E842" s="36"/>
      <c r="F842" s="36"/>
      <c r="G842" s="36"/>
      <c r="H842" s="36"/>
      <c r="I842" s="36"/>
    </row>
    <row r="843" ht="22.5" hidden="1" customHeight="1">
      <c r="A843" s="36"/>
      <c r="B843" s="36"/>
      <c r="C843" s="36"/>
      <c r="D843" s="36"/>
      <c r="E843" s="36"/>
      <c r="F843" s="36"/>
      <c r="G843" s="36"/>
      <c r="H843" s="36"/>
      <c r="I843" s="36"/>
    </row>
    <row r="844" ht="22.5" hidden="1" customHeight="1">
      <c r="A844" s="36"/>
      <c r="B844" s="36"/>
      <c r="C844" s="36"/>
      <c r="D844" s="36"/>
      <c r="E844" s="36"/>
      <c r="F844" s="36"/>
      <c r="G844" s="36"/>
      <c r="H844" s="36"/>
      <c r="I844" s="36"/>
    </row>
    <row r="845" ht="22.5" hidden="1" customHeight="1">
      <c r="A845" s="36"/>
      <c r="B845" s="36"/>
      <c r="C845" s="36"/>
      <c r="D845" s="36"/>
      <c r="E845" s="36"/>
      <c r="F845" s="36"/>
      <c r="G845" s="36"/>
      <c r="H845" s="36"/>
      <c r="I845" s="36"/>
    </row>
    <row r="846" ht="22.5" hidden="1" customHeight="1">
      <c r="A846" s="36"/>
      <c r="B846" s="36"/>
      <c r="C846" s="36"/>
      <c r="D846" s="36"/>
      <c r="E846" s="36"/>
      <c r="F846" s="36"/>
      <c r="G846" s="36"/>
      <c r="H846" s="36"/>
      <c r="I846" s="36"/>
    </row>
    <row r="847" ht="22.5" hidden="1" customHeight="1">
      <c r="A847" s="36"/>
      <c r="B847" s="36"/>
      <c r="C847" s="36"/>
      <c r="D847" s="36"/>
      <c r="E847" s="36"/>
      <c r="F847" s="36"/>
      <c r="G847" s="36"/>
      <c r="H847" s="36"/>
      <c r="I847" s="36"/>
    </row>
    <row r="848" ht="22.5" hidden="1" customHeight="1">
      <c r="A848" s="36"/>
      <c r="B848" s="36"/>
      <c r="C848" s="36"/>
      <c r="D848" s="36"/>
      <c r="E848" s="36"/>
      <c r="F848" s="36"/>
      <c r="G848" s="36"/>
      <c r="H848" s="36"/>
      <c r="I848" s="36"/>
    </row>
    <row r="849" ht="22.5" hidden="1" customHeight="1">
      <c r="A849" s="36"/>
      <c r="B849" s="36"/>
      <c r="C849" s="36"/>
      <c r="D849" s="36"/>
      <c r="E849" s="36"/>
      <c r="F849" s="36"/>
      <c r="G849" s="36"/>
      <c r="H849" s="36"/>
      <c r="I849" s="36"/>
    </row>
    <row r="850" ht="22.5" hidden="1" customHeight="1">
      <c r="A850" s="36"/>
      <c r="B850" s="36"/>
      <c r="C850" s="36"/>
      <c r="D850" s="36"/>
      <c r="E850" s="36"/>
      <c r="F850" s="36"/>
      <c r="G850" s="36"/>
      <c r="H850" s="36"/>
      <c r="I850" s="36"/>
    </row>
    <row r="851" ht="22.5" hidden="1" customHeight="1">
      <c r="A851" s="36"/>
      <c r="B851" s="36"/>
      <c r="C851" s="36"/>
      <c r="D851" s="36"/>
      <c r="E851" s="36"/>
      <c r="F851" s="36"/>
      <c r="G851" s="36"/>
      <c r="H851" s="36"/>
      <c r="I851" s="36"/>
    </row>
    <row r="852" ht="22.5" hidden="1" customHeight="1">
      <c r="A852" s="36"/>
      <c r="B852" s="36"/>
      <c r="C852" s="36"/>
      <c r="D852" s="36"/>
      <c r="E852" s="36"/>
      <c r="F852" s="36"/>
      <c r="G852" s="36"/>
      <c r="H852" s="36"/>
      <c r="I852" s="36"/>
    </row>
    <row r="853" ht="22.5" hidden="1" customHeight="1">
      <c r="A853" s="36"/>
      <c r="B853" s="36"/>
      <c r="C853" s="36"/>
      <c r="D853" s="36"/>
      <c r="E853" s="36"/>
      <c r="F853" s="36"/>
      <c r="G853" s="36"/>
      <c r="H853" s="36"/>
      <c r="I853" s="36"/>
    </row>
    <row r="854" ht="22.5" hidden="1" customHeight="1">
      <c r="A854" s="36"/>
      <c r="B854" s="36"/>
      <c r="C854" s="36"/>
      <c r="D854" s="36"/>
      <c r="E854" s="36"/>
      <c r="F854" s="36"/>
      <c r="G854" s="36"/>
      <c r="H854" s="36"/>
      <c r="I854" s="36"/>
    </row>
    <row r="855" ht="22.5" hidden="1" customHeight="1">
      <c r="A855" s="36"/>
      <c r="B855" s="36"/>
      <c r="C855" s="36"/>
      <c r="D855" s="36"/>
      <c r="E855" s="36"/>
      <c r="F855" s="36"/>
      <c r="G855" s="36"/>
      <c r="H855" s="36"/>
      <c r="I855" s="36"/>
    </row>
    <row r="856" ht="22.5" hidden="1" customHeight="1">
      <c r="A856" s="36"/>
      <c r="B856" s="36"/>
      <c r="C856" s="36"/>
      <c r="D856" s="36"/>
      <c r="E856" s="36"/>
      <c r="F856" s="36"/>
      <c r="G856" s="36"/>
      <c r="H856" s="36"/>
      <c r="I856" s="36"/>
    </row>
    <row r="857" ht="22.5" hidden="1" customHeight="1">
      <c r="A857" s="36"/>
      <c r="B857" s="36"/>
      <c r="C857" s="36"/>
      <c r="D857" s="36"/>
      <c r="E857" s="36"/>
      <c r="F857" s="36"/>
      <c r="G857" s="36"/>
      <c r="H857" s="36"/>
      <c r="I857" s="36"/>
    </row>
    <row r="858" ht="22.5" hidden="1" customHeight="1">
      <c r="A858" s="36"/>
      <c r="B858" s="36"/>
      <c r="C858" s="36"/>
      <c r="D858" s="36"/>
      <c r="E858" s="36"/>
      <c r="F858" s="36"/>
      <c r="G858" s="36"/>
      <c r="H858" s="36"/>
      <c r="I858" s="36"/>
    </row>
    <row r="859" ht="22.5" hidden="1" customHeight="1">
      <c r="A859" s="36"/>
      <c r="B859" s="36"/>
      <c r="C859" s="36"/>
      <c r="D859" s="36"/>
      <c r="E859" s="36"/>
      <c r="F859" s="36"/>
      <c r="G859" s="36"/>
      <c r="H859" s="36"/>
      <c r="I859" s="36"/>
    </row>
    <row r="860" ht="22.5" hidden="1" customHeight="1">
      <c r="A860" s="36"/>
      <c r="B860" s="36"/>
      <c r="C860" s="36"/>
      <c r="D860" s="36"/>
      <c r="E860" s="36"/>
      <c r="F860" s="36"/>
      <c r="G860" s="36"/>
      <c r="H860" s="36"/>
      <c r="I860" s="36"/>
    </row>
    <row r="861" ht="22.5" hidden="1" customHeight="1">
      <c r="A861" s="36"/>
      <c r="B861" s="36"/>
      <c r="C861" s="36"/>
      <c r="D861" s="36"/>
      <c r="E861" s="36"/>
      <c r="F861" s="36"/>
      <c r="G861" s="36"/>
      <c r="H861" s="36"/>
      <c r="I861" s="36"/>
    </row>
    <row r="862" ht="22.5" hidden="1" customHeight="1">
      <c r="A862" s="36"/>
      <c r="B862" s="36"/>
      <c r="C862" s="36"/>
      <c r="D862" s="36"/>
      <c r="E862" s="36"/>
      <c r="F862" s="36"/>
      <c r="G862" s="36"/>
      <c r="H862" s="36"/>
      <c r="I862" s="36"/>
    </row>
    <row r="863" ht="22.5" hidden="1" customHeight="1">
      <c r="A863" s="36"/>
      <c r="B863" s="36"/>
      <c r="C863" s="36"/>
      <c r="D863" s="36"/>
      <c r="E863" s="36"/>
      <c r="F863" s="36"/>
      <c r="G863" s="36"/>
      <c r="H863" s="36"/>
      <c r="I863" s="36"/>
    </row>
    <row r="864" ht="22.5" hidden="1" customHeight="1">
      <c r="A864" s="36"/>
      <c r="B864" s="36"/>
      <c r="C864" s="36"/>
      <c r="D864" s="36"/>
      <c r="E864" s="36"/>
      <c r="F864" s="36"/>
      <c r="G864" s="36"/>
      <c r="H864" s="36"/>
      <c r="I864" s="36"/>
    </row>
    <row r="865" ht="22.5" hidden="1" customHeight="1">
      <c r="A865" s="36"/>
      <c r="B865" s="36"/>
      <c r="C865" s="36"/>
      <c r="D865" s="36"/>
      <c r="E865" s="36"/>
      <c r="F865" s="36"/>
      <c r="G865" s="36"/>
      <c r="H865" s="36"/>
      <c r="I865" s="36"/>
    </row>
    <row r="866" ht="22.5" hidden="1" customHeight="1">
      <c r="A866" s="36"/>
      <c r="B866" s="36"/>
      <c r="C866" s="36"/>
      <c r="D866" s="36"/>
      <c r="E866" s="36"/>
      <c r="F866" s="36"/>
      <c r="G866" s="36"/>
      <c r="H866" s="36"/>
      <c r="I866" s="36"/>
    </row>
    <row r="867" ht="22.5" hidden="1" customHeight="1">
      <c r="A867" s="36"/>
      <c r="B867" s="36"/>
      <c r="C867" s="36"/>
      <c r="D867" s="36"/>
      <c r="E867" s="36"/>
      <c r="F867" s="36"/>
      <c r="G867" s="36"/>
      <c r="H867" s="36"/>
      <c r="I867" s="36"/>
    </row>
    <row r="868" ht="22.5" hidden="1" customHeight="1">
      <c r="A868" s="36"/>
      <c r="B868" s="36"/>
      <c r="C868" s="36"/>
      <c r="D868" s="36"/>
      <c r="E868" s="36"/>
      <c r="F868" s="36"/>
      <c r="G868" s="36"/>
      <c r="H868" s="36"/>
      <c r="I868" s="36"/>
    </row>
    <row r="869" ht="22.5" hidden="1" customHeight="1">
      <c r="A869" s="36"/>
      <c r="B869" s="36"/>
      <c r="C869" s="36"/>
      <c r="D869" s="36"/>
      <c r="E869" s="36"/>
      <c r="F869" s="36"/>
      <c r="G869" s="36"/>
      <c r="H869" s="36"/>
      <c r="I869" s="36"/>
    </row>
    <row r="870" ht="22.5" hidden="1" customHeight="1">
      <c r="A870" s="36"/>
      <c r="B870" s="36"/>
      <c r="C870" s="36"/>
      <c r="D870" s="36"/>
      <c r="E870" s="36"/>
      <c r="F870" s="36"/>
      <c r="G870" s="36"/>
      <c r="H870" s="36"/>
      <c r="I870" s="36"/>
    </row>
    <row r="871" ht="22.5" hidden="1" customHeight="1">
      <c r="A871" s="36"/>
      <c r="B871" s="36"/>
      <c r="C871" s="36"/>
      <c r="D871" s="36"/>
      <c r="E871" s="36"/>
      <c r="F871" s="36"/>
      <c r="G871" s="36"/>
      <c r="H871" s="36"/>
      <c r="I871" s="36"/>
    </row>
    <row r="872" ht="22.5" hidden="1" customHeight="1">
      <c r="A872" s="36"/>
      <c r="B872" s="36"/>
      <c r="C872" s="36"/>
      <c r="D872" s="36"/>
      <c r="E872" s="36"/>
      <c r="F872" s="36"/>
      <c r="G872" s="36"/>
      <c r="H872" s="36"/>
      <c r="I872" s="36"/>
    </row>
    <row r="873" ht="22.5" hidden="1" customHeight="1">
      <c r="A873" s="36"/>
      <c r="B873" s="36"/>
      <c r="C873" s="36"/>
      <c r="D873" s="36"/>
      <c r="E873" s="36"/>
      <c r="F873" s="36"/>
      <c r="G873" s="36"/>
      <c r="H873" s="36"/>
      <c r="I873" s="36"/>
    </row>
    <row r="874" ht="22.5" hidden="1" customHeight="1">
      <c r="A874" s="36"/>
      <c r="B874" s="36"/>
      <c r="C874" s="36"/>
      <c r="D874" s="36"/>
      <c r="E874" s="36"/>
      <c r="F874" s="36"/>
      <c r="G874" s="36"/>
      <c r="H874" s="36"/>
      <c r="I874" s="36"/>
    </row>
    <row r="875" ht="22.5" hidden="1" customHeight="1">
      <c r="A875" s="36"/>
      <c r="B875" s="36"/>
      <c r="C875" s="36"/>
      <c r="D875" s="36"/>
      <c r="E875" s="36"/>
      <c r="F875" s="36"/>
      <c r="G875" s="36"/>
      <c r="H875" s="36"/>
      <c r="I875" s="36"/>
    </row>
    <row r="876" ht="22.5" hidden="1" customHeight="1">
      <c r="A876" s="36"/>
      <c r="B876" s="36"/>
      <c r="C876" s="36"/>
      <c r="D876" s="36"/>
      <c r="E876" s="36"/>
      <c r="F876" s="36"/>
      <c r="G876" s="36"/>
      <c r="H876" s="36"/>
      <c r="I876" s="36"/>
    </row>
    <row r="877" ht="22.5" hidden="1" customHeight="1">
      <c r="A877" s="36"/>
      <c r="B877" s="36"/>
      <c r="C877" s="36"/>
      <c r="D877" s="36"/>
      <c r="E877" s="36"/>
      <c r="F877" s="36"/>
      <c r="G877" s="36"/>
      <c r="H877" s="36"/>
      <c r="I877" s="36"/>
    </row>
    <row r="878" ht="22.5" hidden="1" customHeight="1">
      <c r="A878" s="36"/>
      <c r="B878" s="36"/>
      <c r="C878" s="36"/>
      <c r="D878" s="36"/>
      <c r="E878" s="36"/>
      <c r="F878" s="36"/>
      <c r="G878" s="36"/>
      <c r="H878" s="36"/>
      <c r="I878" s="36"/>
    </row>
    <row r="879" ht="22.5" hidden="1" customHeight="1">
      <c r="A879" s="36"/>
      <c r="B879" s="36"/>
      <c r="C879" s="36"/>
      <c r="D879" s="36"/>
      <c r="E879" s="36"/>
      <c r="F879" s="36"/>
      <c r="G879" s="36"/>
      <c r="H879" s="36"/>
      <c r="I879" s="36"/>
    </row>
    <row r="880" ht="22.5" hidden="1" customHeight="1">
      <c r="A880" s="36"/>
      <c r="B880" s="36"/>
      <c r="C880" s="36"/>
      <c r="D880" s="36"/>
      <c r="E880" s="36"/>
      <c r="F880" s="36"/>
      <c r="G880" s="36"/>
      <c r="H880" s="36"/>
      <c r="I880" s="36"/>
    </row>
    <row r="881" ht="22.5" hidden="1" customHeight="1">
      <c r="A881" s="36"/>
      <c r="B881" s="36"/>
      <c r="C881" s="36"/>
      <c r="D881" s="36"/>
      <c r="E881" s="36"/>
      <c r="F881" s="36"/>
      <c r="G881" s="36"/>
      <c r="H881" s="36"/>
      <c r="I881" s="36"/>
    </row>
    <row r="882" ht="22.5" hidden="1" customHeight="1">
      <c r="A882" s="36"/>
      <c r="B882" s="36"/>
      <c r="C882" s="36"/>
      <c r="D882" s="36"/>
      <c r="E882" s="36"/>
      <c r="F882" s="36"/>
      <c r="G882" s="36"/>
      <c r="H882" s="36"/>
      <c r="I882" s="36"/>
    </row>
    <row r="883" ht="22.5" hidden="1" customHeight="1">
      <c r="A883" s="36"/>
      <c r="B883" s="36"/>
      <c r="C883" s="36"/>
      <c r="D883" s="36"/>
      <c r="E883" s="36"/>
      <c r="F883" s="36"/>
      <c r="G883" s="36"/>
      <c r="H883" s="36"/>
      <c r="I883" s="36"/>
    </row>
    <row r="884" ht="22.5" hidden="1" customHeight="1">
      <c r="A884" s="36"/>
      <c r="B884" s="36"/>
      <c r="C884" s="36"/>
      <c r="D884" s="36"/>
      <c r="E884" s="36"/>
      <c r="F884" s="36"/>
      <c r="G884" s="36"/>
      <c r="H884" s="36"/>
      <c r="I884" s="36"/>
    </row>
    <row r="885" ht="22.5" hidden="1" customHeight="1">
      <c r="A885" s="36"/>
      <c r="B885" s="36"/>
      <c r="C885" s="36"/>
      <c r="D885" s="36"/>
      <c r="E885" s="36"/>
      <c r="F885" s="36"/>
      <c r="G885" s="36"/>
      <c r="H885" s="36"/>
      <c r="I885" s="36"/>
    </row>
    <row r="886" ht="22.5" hidden="1" customHeight="1">
      <c r="A886" s="36"/>
      <c r="B886" s="36"/>
      <c r="C886" s="36"/>
      <c r="D886" s="36"/>
      <c r="E886" s="36"/>
      <c r="F886" s="36"/>
      <c r="G886" s="36"/>
      <c r="H886" s="36"/>
      <c r="I886" s="36"/>
    </row>
    <row r="887" ht="22.5" hidden="1" customHeight="1">
      <c r="A887" s="36"/>
      <c r="B887" s="36"/>
      <c r="C887" s="36"/>
      <c r="D887" s="36"/>
      <c r="E887" s="36"/>
      <c r="F887" s="36"/>
      <c r="G887" s="36"/>
      <c r="H887" s="36"/>
      <c r="I887" s="36"/>
    </row>
    <row r="888" ht="22.5" hidden="1" customHeight="1">
      <c r="A888" s="36"/>
      <c r="B888" s="36"/>
      <c r="C888" s="36"/>
      <c r="D888" s="36"/>
      <c r="E888" s="36"/>
      <c r="F888" s="36"/>
      <c r="G888" s="36"/>
      <c r="H888" s="36"/>
      <c r="I888" s="36"/>
    </row>
    <row r="889" ht="22.5" hidden="1" customHeight="1">
      <c r="A889" s="36"/>
      <c r="B889" s="36"/>
      <c r="C889" s="36"/>
      <c r="D889" s="36"/>
      <c r="E889" s="36"/>
      <c r="F889" s="36"/>
      <c r="G889" s="36"/>
      <c r="H889" s="36"/>
      <c r="I889" s="36"/>
    </row>
    <row r="890" ht="22.5" hidden="1" customHeight="1">
      <c r="A890" s="36"/>
      <c r="B890" s="36"/>
      <c r="C890" s="36"/>
      <c r="D890" s="36"/>
      <c r="E890" s="36"/>
      <c r="F890" s="36"/>
      <c r="G890" s="36"/>
      <c r="H890" s="36"/>
      <c r="I890" s="36"/>
    </row>
    <row r="891" ht="22.5" hidden="1" customHeight="1">
      <c r="A891" s="36"/>
      <c r="B891" s="36"/>
      <c r="C891" s="36"/>
      <c r="D891" s="36"/>
      <c r="E891" s="36"/>
      <c r="F891" s="36"/>
      <c r="G891" s="36"/>
      <c r="H891" s="36"/>
      <c r="I891" s="36"/>
    </row>
    <row r="892" ht="22.5" hidden="1" customHeight="1">
      <c r="A892" s="36"/>
      <c r="B892" s="36"/>
      <c r="C892" s="36"/>
      <c r="D892" s="36"/>
      <c r="E892" s="36"/>
      <c r="F892" s="36"/>
      <c r="G892" s="36"/>
      <c r="H892" s="36"/>
      <c r="I892" s="36"/>
    </row>
    <row r="893" ht="22.5" hidden="1" customHeight="1">
      <c r="A893" s="36"/>
      <c r="B893" s="36"/>
      <c r="C893" s="36"/>
      <c r="D893" s="36"/>
      <c r="E893" s="36"/>
      <c r="F893" s="36"/>
      <c r="G893" s="36"/>
      <c r="H893" s="36"/>
      <c r="I893" s="36"/>
    </row>
    <row r="894" ht="22.5" hidden="1" customHeight="1">
      <c r="A894" s="36"/>
      <c r="B894" s="36"/>
      <c r="C894" s="36"/>
      <c r="D894" s="36"/>
      <c r="E894" s="36"/>
      <c r="F894" s="36"/>
      <c r="G894" s="36"/>
      <c r="H894" s="36"/>
      <c r="I894" s="36"/>
    </row>
    <row r="895" ht="22.5" hidden="1" customHeight="1">
      <c r="A895" s="36"/>
      <c r="B895" s="36"/>
      <c r="C895" s="36"/>
      <c r="D895" s="36"/>
      <c r="E895" s="36"/>
      <c r="F895" s="36"/>
      <c r="G895" s="36"/>
      <c r="H895" s="36"/>
      <c r="I895" s="36"/>
    </row>
    <row r="896" ht="22.5" hidden="1" customHeight="1">
      <c r="A896" s="36"/>
      <c r="B896" s="36"/>
      <c r="C896" s="36"/>
      <c r="D896" s="36"/>
      <c r="E896" s="36"/>
      <c r="F896" s="36"/>
      <c r="G896" s="36"/>
      <c r="H896" s="36"/>
      <c r="I896" s="36"/>
    </row>
    <row r="897" ht="22.5" hidden="1" customHeight="1">
      <c r="A897" s="36"/>
      <c r="B897" s="36"/>
      <c r="C897" s="36"/>
      <c r="D897" s="36"/>
      <c r="E897" s="36"/>
      <c r="F897" s="36"/>
      <c r="G897" s="36"/>
      <c r="H897" s="36"/>
      <c r="I897" s="36"/>
    </row>
    <row r="898" ht="22.5" hidden="1" customHeight="1">
      <c r="A898" s="36"/>
      <c r="B898" s="36"/>
      <c r="C898" s="36"/>
      <c r="D898" s="36"/>
      <c r="E898" s="36"/>
      <c r="F898" s="36"/>
      <c r="G898" s="36"/>
      <c r="H898" s="36"/>
      <c r="I898" s="36"/>
    </row>
    <row r="899" ht="22.5" hidden="1" customHeight="1">
      <c r="A899" s="36"/>
      <c r="B899" s="36"/>
      <c r="C899" s="36"/>
      <c r="D899" s="36"/>
      <c r="E899" s="36"/>
      <c r="F899" s="36"/>
      <c r="G899" s="36"/>
      <c r="H899" s="36"/>
      <c r="I899" s="36"/>
    </row>
    <row r="900" ht="22.5" hidden="1" customHeight="1">
      <c r="A900" s="36"/>
      <c r="B900" s="36"/>
      <c r="C900" s="36"/>
      <c r="D900" s="36"/>
      <c r="E900" s="36"/>
      <c r="F900" s="36"/>
      <c r="G900" s="36"/>
      <c r="H900" s="36"/>
      <c r="I900" s="36"/>
    </row>
    <row r="901" ht="22.5" hidden="1" customHeight="1">
      <c r="A901" s="36"/>
      <c r="B901" s="36"/>
      <c r="C901" s="36"/>
      <c r="D901" s="36"/>
      <c r="E901" s="36"/>
      <c r="F901" s="36"/>
      <c r="G901" s="36"/>
      <c r="H901" s="36"/>
      <c r="I901" s="36"/>
    </row>
    <row r="902" ht="22.5" hidden="1" customHeight="1">
      <c r="A902" s="36"/>
      <c r="B902" s="36"/>
      <c r="C902" s="36"/>
      <c r="D902" s="36"/>
      <c r="E902" s="36"/>
      <c r="F902" s="36"/>
      <c r="G902" s="36"/>
      <c r="H902" s="36"/>
      <c r="I902" s="36"/>
    </row>
    <row r="903" ht="22.5" hidden="1" customHeight="1">
      <c r="A903" s="36"/>
      <c r="B903" s="36"/>
      <c r="C903" s="36"/>
      <c r="D903" s="36"/>
      <c r="E903" s="36"/>
      <c r="F903" s="36"/>
      <c r="G903" s="36"/>
      <c r="H903" s="36"/>
      <c r="I903" s="36"/>
    </row>
    <row r="904" ht="22.5" hidden="1" customHeight="1">
      <c r="A904" s="36"/>
      <c r="B904" s="36"/>
      <c r="C904" s="36"/>
      <c r="D904" s="36"/>
      <c r="E904" s="36"/>
      <c r="F904" s="36"/>
      <c r="G904" s="36"/>
      <c r="H904" s="36"/>
      <c r="I904" s="36"/>
    </row>
    <row r="905" ht="22.5" hidden="1" customHeight="1">
      <c r="A905" s="36"/>
      <c r="B905" s="36"/>
      <c r="C905" s="36"/>
      <c r="D905" s="36"/>
      <c r="E905" s="36"/>
      <c r="F905" s="36"/>
      <c r="G905" s="36"/>
      <c r="H905" s="36"/>
      <c r="I905" s="36"/>
    </row>
    <row r="906" ht="22.5" hidden="1" customHeight="1">
      <c r="A906" s="36"/>
      <c r="B906" s="36"/>
      <c r="C906" s="36"/>
      <c r="D906" s="36"/>
      <c r="E906" s="36"/>
      <c r="F906" s="36"/>
      <c r="G906" s="36"/>
      <c r="H906" s="36"/>
      <c r="I906" s="36"/>
    </row>
    <row r="907" ht="22.5" hidden="1" customHeight="1">
      <c r="A907" s="36"/>
      <c r="B907" s="36"/>
      <c r="C907" s="36"/>
      <c r="D907" s="36"/>
      <c r="E907" s="36"/>
      <c r="F907" s="36"/>
      <c r="G907" s="36"/>
      <c r="H907" s="36"/>
      <c r="I907" s="36"/>
    </row>
    <row r="908" ht="22.5" hidden="1" customHeight="1">
      <c r="A908" s="36"/>
      <c r="B908" s="36"/>
      <c r="C908" s="36"/>
      <c r="D908" s="36"/>
      <c r="E908" s="36"/>
      <c r="F908" s="36"/>
      <c r="G908" s="36"/>
      <c r="H908" s="36"/>
      <c r="I908" s="36"/>
    </row>
    <row r="909" ht="22.5" hidden="1" customHeight="1">
      <c r="A909" s="36"/>
      <c r="B909" s="36"/>
      <c r="C909" s="36"/>
      <c r="D909" s="36"/>
      <c r="E909" s="36"/>
      <c r="F909" s="36"/>
      <c r="G909" s="36"/>
      <c r="H909" s="36"/>
      <c r="I909" s="36"/>
    </row>
    <row r="910" ht="22.5" hidden="1" customHeight="1">
      <c r="A910" s="36"/>
      <c r="B910" s="36"/>
      <c r="C910" s="36"/>
      <c r="D910" s="36"/>
      <c r="E910" s="36"/>
      <c r="F910" s="36"/>
      <c r="G910" s="36"/>
      <c r="H910" s="36"/>
      <c r="I910" s="36"/>
    </row>
    <row r="911" ht="22.5" hidden="1" customHeight="1">
      <c r="A911" s="36"/>
      <c r="B911" s="36"/>
      <c r="C911" s="36"/>
      <c r="D911" s="36"/>
      <c r="E911" s="36"/>
      <c r="F911" s="36"/>
      <c r="G911" s="36"/>
      <c r="H911" s="36"/>
      <c r="I911" s="36"/>
    </row>
    <row r="912" ht="22.5" hidden="1" customHeight="1">
      <c r="A912" s="36"/>
      <c r="B912" s="36"/>
      <c r="C912" s="36"/>
      <c r="D912" s="36"/>
      <c r="E912" s="36"/>
      <c r="F912" s="36"/>
      <c r="G912" s="36"/>
      <c r="H912" s="36"/>
      <c r="I912" s="36"/>
    </row>
    <row r="913" ht="22.5" hidden="1" customHeight="1">
      <c r="A913" s="36"/>
      <c r="B913" s="36"/>
      <c r="C913" s="36"/>
      <c r="D913" s="36"/>
      <c r="E913" s="36"/>
      <c r="F913" s="36"/>
      <c r="G913" s="36"/>
      <c r="H913" s="36"/>
      <c r="I913" s="36"/>
    </row>
    <row r="914" ht="22.5" hidden="1" customHeight="1">
      <c r="A914" s="36"/>
      <c r="B914" s="36"/>
      <c r="C914" s="36"/>
      <c r="D914" s="36"/>
      <c r="E914" s="36"/>
      <c r="F914" s="36"/>
      <c r="G914" s="36"/>
      <c r="H914" s="36"/>
      <c r="I914" s="36"/>
    </row>
    <row r="915" ht="22.5" hidden="1" customHeight="1">
      <c r="A915" s="36"/>
      <c r="B915" s="36"/>
      <c r="C915" s="36"/>
      <c r="D915" s="36"/>
      <c r="E915" s="36"/>
      <c r="F915" s="36"/>
      <c r="G915" s="36"/>
      <c r="H915" s="36"/>
      <c r="I915" s="36"/>
    </row>
    <row r="916" ht="22.5" hidden="1" customHeight="1">
      <c r="A916" s="36"/>
      <c r="B916" s="36"/>
      <c r="C916" s="36"/>
      <c r="D916" s="36"/>
      <c r="E916" s="36"/>
      <c r="F916" s="36"/>
      <c r="G916" s="36"/>
      <c r="H916" s="36"/>
      <c r="I916" s="36"/>
    </row>
    <row r="917" ht="22.5" hidden="1" customHeight="1">
      <c r="A917" s="36"/>
      <c r="B917" s="36"/>
      <c r="C917" s="36"/>
      <c r="D917" s="36"/>
      <c r="E917" s="36"/>
      <c r="F917" s="36"/>
      <c r="G917" s="36"/>
      <c r="H917" s="36"/>
      <c r="I917" s="36"/>
    </row>
    <row r="918" ht="22.5" hidden="1" customHeight="1">
      <c r="A918" s="36"/>
      <c r="B918" s="36"/>
      <c r="C918" s="36"/>
      <c r="D918" s="36"/>
      <c r="E918" s="36"/>
      <c r="F918" s="36"/>
      <c r="G918" s="36"/>
      <c r="H918" s="36"/>
      <c r="I918" s="36"/>
    </row>
    <row r="919" ht="22.5" hidden="1" customHeight="1">
      <c r="A919" s="36"/>
      <c r="B919" s="36"/>
      <c r="C919" s="36"/>
      <c r="D919" s="36"/>
      <c r="E919" s="36"/>
      <c r="F919" s="36"/>
      <c r="G919" s="36"/>
      <c r="H919" s="36"/>
      <c r="I919" s="36"/>
    </row>
    <row r="920" ht="22.5" hidden="1" customHeight="1">
      <c r="A920" s="36"/>
      <c r="B920" s="36"/>
      <c r="C920" s="36"/>
      <c r="D920" s="36"/>
      <c r="E920" s="36"/>
      <c r="F920" s="36"/>
      <c r="G920" s="36"/>
      <c r="H920" s="36"/>
      <c r="I920" s="36"/>
    </row>
    <row r="921" ht="22.5" hidden="1" customHeight="1">
      <c r="A921" s="36"/>
      <c r="B921" s="36"/>
      <c r="C921" s="36"/>
      <c r="D921" s="36"/>
      <c r="E921" s="36"/>
      <c r="F921" s="36"/>
      <c r="G921" s="36"/>
      <c r="H921" s="36"/>
      <c r="I921" s="36"/>
    </row>
    <row r="922" ht="22.5" hidden="1" customHeight="1">
      <c r="A922" s="36"/>
      <c r="B922" s="36"/>
      <c r="C922" s="36"/>
      <c r="D922" s="36"/>
      <c r="E922" s="36"/>
      <c r="F922" s="36"/>
      <c r="G922" s="36"/>
      <c r="H922" s="36"/>
      <c r="I922" s="36"/>
    </row>
    <row r="923" ht="22.5" hidden="1" customHeight="1">
      <c r="A923" s="36"/>
      <c r="B923" s="36"/>
      <c r="C923" s="36"/>
      <c r="D923" s="36"/>
      <c r="E923" s="36"/>
      <c r="F923" s="36"/>
      <c r="G923" s="36"/>
      <c r="H923" s="36"/>
      <c r="I923" s="36"/>
    </row>
    <row r="924" ht="22.5" hidden="1" customHeight="1">
      <c r="A924" s="36"/>
      <c r="B924" s="36"/>
      <c r="C924" s="36"/>
      <c r="D924" s="36"/>
      <c r="E924" s="36"/>
      <c r="F924" s="36"/>
      <c r="G924" s="36"/>
      <c r="H924" s="36"/>
      <c r="I924" s="36"/>
    </row>
    <row r="925" ht="22.5" hidden="1" customHeight="1">
      <c r="A925" s="36"/>
      <c r="B925" s="36"/>
      <c r="C925" s="36"/>
      <c r="D925" s="36"/>
      <c r="E925" s="36"/>
      <c r="F925" s="36"/>
      <c r="G925" s="36"/>
      <c r="H925" s="36"/>
      <c r="I925" s="36"/>
    </row>
    <row r="926" ht="22.5" hidden="1" customHeight="1">
      <c r="A926" s="36"/>
      <c r="B926" s="36"/>
      <c r="C926" s="36"/>
      <c r="D926" s="36"/>
      <c r="E926" s="36"/>
      <c r="F926" s="36"/>
      <c r="G926" s="36"/>
      <c r="H926" s="36"/>
      <c r="I926" s="36"/>
    </row>
    <row r="927" ht="22.5" hidden="1" customHeight="1">
      <c r="A927" s="36"/>
      <c r="B927" s="36"/>
      <c r="C927" s="36"/>
      <c r="D927" s="36"/>
      <c r="E927" s="36"/>
      <c r="F927" s="36"/>
      <c r="G927" s="36"/>
      <c r="H927" s="36"/>
      <c r="I927" s="36"/>
    </row>
    <row r="928" ht="22.5" hidden="1" customHeight="1">
      <c r="A928" s="36"/>
      <c r="B928" s="36"/>
      <c r="C928" s="36"/>
      <c r="D928" s="36"/>
      <c r="E928" s="36"/>
      <c r="F928" s="36"/>
      <c r="G928" s="36"/>
      <c r="H928" s="36"/>
      <c r="I928" s="36"/>
    </row>
    <row r="929" ht="22.5" hidden="1" customHeight="1">
      <c r="A929" s="36"/>
      <c r="B929" s="36"/>
      <c r="C929" s="36"/>
      <c r="D929" s="36"/>
      <c r="E929" s="36"/>
      <c r="F929" s="36"/>
      <c r="G929" s="36"/>
      <c r="H929" s="36"/>
      <c r="I929" s="36"/>
    </row>
    <row r="930" ht="22.5" hidden="1" customHeight="1">
      <c r="A930" s="36"/>
      <c r="B930" s="36"/>
      <c r="C930" s="36"/>
      <c r="D930" s="36"/>
      <c r="E930" s="36"/>
      <c r="F930" s="36"/>
      <c r="G930" s="36"/>
      <c r="H930" s="36"/>
      <c r="I930" s="36"/>
    </row>
    <row r="931" ht="22.5" hidden="1" customHeight="1">
      <c r="A931" s="36"/>
      <c r="B931" s="36"/>
      <c r="C931" s="36"/>
      <c r="D931" s="36"/>
      <c r="E931" s="36"/>
      <c r="F931" s="36"/>
      <c r="G931" s="36"/>
      <c r="H931" s="36"/>
      <c r="I931" s="36"/>
    </row>
    <row r="932" ht="22.5" hidden="1" customHeight="1">
      <c r="A932" s="36"/>
      <c r="B932" s="36"/>
      <c r="C932" s="36"/>
      <c r="D932" s="36"/>
      <c r="E932" s="36"/>
      <c r="F932" s="36"/>
      <c r="G932" s="36"/>
      <c r="H932" s="36"/>
      <c r="I932" s="36"/>
    </row>
    <row r="933" ht="22.5" hidden="1" customHeight="1">
      <c r="A933" s="36"/>
      <c r="B933" s="36"/>
      <c r="C933" s="36"/>
      <c r="D933" s="36"/>
      <c r="E933" s="36"/>
      <c r="F933" s="36"/>
      <c r="G933" s="36"/>
      <c r="H933" s="36"/>
      <c r="I933" s="36"/>
    </row>
    <row r="934" ht="22.5" hidden="1" customHeight="1">
      <c r="A934" s="36"/>
      <c r="B934" s="36"/>
      <c r="C934" s="36"/>
      <c r="D934" s="36"/>
      <c r="E934" s="36"/>
      <c r="F934" s="36"/>
      <c r="G934" s="36"/>
      <c r="H934" s="36"/>
      <c r="I934" s="36"/>
    </row>
    <row r="935" ht="22.5" hidden="1" customHeight="1">
      <c r="A935" s="36"/>
      <c r="B935" s="36"/>
      <c r="C935" s="36"/>
      <c r="D935" s="36"/>
      <c r="E935" s="36"/>
      <c r="F935" s="36"/>
      <c r="G935" s="36"/>
      <c r="H935" s="36"/>
      <c r="I935" s="36"/>
    </row>
    <row r="936" ht="22.5" hidden="1" customHeight="1">
      <c r="A936" s="36"/>
      <c r="B936" s="36"/>
      <c r="C936" s="36"/>
      <c r="D936" s="36"/>
      <c r="E936" s="36"/>
      <c r="F936" s="36"/>
      <c r="G936" s="36"/>
      <c r="H936" s="36"/>
      <c r="I936" s="36"/>
    </row>
    <row r="937" ht="22.5" hidden="1" customHeight="1">
      <c r="A937" s="36"/>
      <c r="B937" s="36"/>
      <c r="C937" s="36"/>
      <c r="D937" s="36"/>
      <c r="E937" s="36"/>
      <c r="F937" s="36"/>
      <c r="G937" s="36"/>
      <c r="H937" s="36"/>
      <c r="I937" s="36"/>
    </row>
    <row r="938" ht="22.5" hidden="1" customHeight="1">
      <c r="A938" s="36"/>
      <c r="B938" s="36"/>
      <c r="C938" s="36"/>
      <c r="D938" s="36"/>
      <c r="E938" s="36"/>
      <c r="F938" s="36"/>
      <c r="G938" s="36"/>
      <c r="H938" s="36"/>
      <c r="I938" s="36"/>
    </row>
    <row r="939" ht="22.5" hidden="1" customHeight="1">
      <c r="A939" s="36"/>
      <c r="B939" s="36"/>
      <c r="C939" s="36"/>
      <c r="D939" s="36"/>
      <c r="E939" s="36"/>
      <c r="F939" s="36"/>
      <c r="G939" s="36"/>
      <c r="H939" s="36"/>
      <c r="I939" s="36"/>
    </row>
    <row r="940" ht="22.5" hidden="1" customHeight="1">
      <c r="A940" s="36"/>
      <c r="B940" s="36"/>
      <c r="C940" s="36"/>
      <c r="D940" s="36"/>
      <c r="E940" s="36"/>
      <c r="F940" s="36"/>
      <c r="G940" s="36"/>
      <c r="H940" s="36"/>
      <c r="I940" s="36"/>
    </row>
    <row r="941" ht="22.5" hidden="1" customHeight="1">
      <c r="A941" s="36"/>
      <c r="B941" s="36"/>
      <c r="C941" s="36"/>
      <c r="D941" s="36"/>
      <c r="E941" s="36"/>
      <c r="F941" s="36"/>
      <c r="G941" s="36"/>
      <c r="H941" s="36"/>
      <c r="I941" s="36"/>
    </row>
    <row r="942" ht="22.5" hidden="1" customHeight="1">
      <c r="A942" s="36"/>
      <c r="B942" s="36"/>
      <c r="C942" s="36"/>
      <c r="D942" s="36"/>
      <c r="E942" s="36"/>
      <c r="F942" s="36"/>
      <c r="G942" s="36"/>
      <c r="H942" s="36"/>
      <c r="I942" s="36"/>
    </row>
    <row r="943" ht="22.5" hidden="1" customHeight="1">
      <c r="A943" s="36"/>
      <c r="B943" s="36"/>
      <c r="C943" s="36"/>
      <c r="D943" s="36"/>
      <c r="E943" s="36"/>
      <c r="F943" s="36"/>
      <c r="G943" s="36"/>
      <c r="H943" s="36"/>
      <c r="I943" s="36"/>
    </row>
    <row r="944" ht="22.5" hidden="1" customHeight="1">
      <c r="A944" s="36"/>
      <c r="B944" s="36"/>
      <c r="C944" s="36"/>
      <c r="D944" s="36"/>
      <c r="E944" s="36"/>
      <c r="F944" s="36"/>
      <c r="G944" s="36"/>
      <c r="H944" s="36"/>
      <c r="I944" s="36"/>
    </row>
    <row r="945" ht="22.5" hidden="1" customHeight="1">
      <c r="A945" s="36"/>
      <c r="B945" s="36"/>
      <c r="C945" s="36"/>
      <c r="D945" s="36"/>
      <c r="E945" s="36"/>
      <c r="F945" s="36"/>
      <c r="G945" s="36"/>
      <c r="H945" s="36"/>
      <c r="I945" s="36"/>
    </row>
    <row r="946" ht="22.5" hidden="1" customHeight="1">
      <c r="A946" s="36"/>
      <c r="B946" s="36"/>
      <c r="C946" s="36"/>
      <c r="D946" s="36"/>
      <c r="E946" s="36"/>
      <c r="F946" s="36"/>
      <c r="G946" s="36"/>
      <c r="H946" s="36"/>
      <c r="I946" s="36"/>
    </row>
    <row r="947" ht="22.5" hidden="1" customHeight="1">
      <c r="A947" s="36"/>
      <c r="B947" s="36"/>
      <c r="C947" s="36"/>
      <c r="D947" s="36"/>
      <c r="E947" s="36"/>
      <c r="F947" s="36"/>
      <c r="G947" s="36"/>
      <c r="H947" s="36"/>
      <c r="I947" s="36"/>
    </row>
    <row r="948" ht="22.5" hidden="1" customHeight="1">
      <c r="A948" s="36"/>
      <c r="B948" s="36"/>
      <c r="C948" s="36"/>
      <c r="D948" s="36"/>
      <c r="E948" s="36"/>
      <c r="F948" s="36"/>
      <c r="G948" s="36"/>
      <c r="H948" s="36"/>
      <c r="I948" s="36"/>
    </row>
    <row r="949" ht="22.5" hidden="1" customHeight="1">
      <c r="A949" s="36"/>
      <c r="B949" s="36"/>
      <c r="C949" s="36"/>
      <c r="D949" s="36"/>
      <c r="E949" s="36"/>
      <c r="F949" s="36"/>
      <c r="G949" s="36"/>
      <c r="H949" s="36"/>
      <c r="I949" s="36"/>
    </row>
    <row r="950" ht="22.5" hidden="1" customHeight="1">
      <c r="A950" s="36"/>
      <c r="B950" s="36"/>
      <c r="C950" s="36"/>
      <c r="D950" s="36"/>
      <c r="E950" s="36"/>
      <c r="F950" s="36"/>
      <c r="G950" s="36"/>
      <c r="H950" s="36"/>
      <c r="I950" s="36"/>
    </row>
    <row r="951" ht="22.5" hidden="1" customHeight="1">
      <c r="A951" s="36"/>
      <c r="B951" s="36"/>
      <c r="C951" s="36"/>
      <c r="D951" s="36"/>
      <c r="E951" s="36"/>
      <c r="F951" s="36"/>
      <c r="G951" s="36"/>
      <c r="H951" s="36"/>
      <c r="I951" s="36"/>
    </row>
    <row r="952" ht="22.5" hidden="1" customHeight="1">
      <c r="A952" s="36"/>
      <c r="B952" s="36"/>
      <c r="C952" s="36"/>
      <c r="D952" s="36"/>
      <c r="E952" s="36"/>
      <c r="F952" s="36"/>
      <c r="G952" s="36"/>
      <c r="H952" s="36"/>
      <c r="I952" s="36"/>
    </row>
    <row r="953" ht="22.5" hidden="1" customHeight="1">
      <c r="A953" s="36"/>
      <c r="B953" s="36"/>
      <c r="C953" s="36"/>
      <c r="D953" s="36"/>
      <c r="E953" s="36"/>
      <c r="F953" s="36"/>
      <c r="G953" s="36"/>
      <c r="H953" s="36"/>
      <c r="I953" s="36"/>
    </row>
    <row r="954" ht="22.5" hidden="1" customHeight="1">
      <c r="A954" s="36"/>
      <c r="B954" s="36"/>
      <c r="C954" s="36"/>
      <c r="D954" s="36"/>
      <c r="E954" s="36"/>
      <c r="F954" s="36"/>
      <c r="G954" s="36"/>
      <c r="H954" s="36"/>
      <c r="I954" s="36"/>
    </row>
    <row r="955" ht="22.5" hidden="1" customHeight="1">
      <c r="A955" s="36"/>
      <c r="B955" s="36"/>
      <c r="C955" s="36"/>
      <c r="D955" s="36"/>
      <c r="E955" s="36"/>
      <c r="F955" s="36"/>
      <c r="G955" s="36"/>
      <c r="H955" s="36"/>
      <c r="I955" s="36"/>
    </row>
    <row r="956" ht="22.5" hidden="1" customHeight="1">
      <c r="A956" s="36"/>
      <c r="B956" s="36"/>
      <c r="C956" s="36"/>
      <c r="D956" s="36"/>
      <c r="E956" s="36"/>
      <c r="F956" s="36"/>
      <c r="G956" s="36"/>
      <c r="H956" s="36"/>
      <c r="I956" s="36"/>
    </row>
    <row r="957" ht="22.5" hidden="1" customHeight="1">
      <c r="A957" s="36"/>
      <c r="B957" s="36"/>
      <c r="C957" s="36"/>
      <c r="D957" s="36"/>
      <c r="E957" s="36"/>
      <c r="F957" s="36"/>
      <c r="G957" s="36"/>
      <c r="H957" s="36"/>
      <c r="I957" s="36"/>
    </row>
    <row r="958" ht="22.5" hidden="1" customHeight="1">
      <c r="A958" s="36"/>
      <c r="B958" s="36"/>
      <c r="C958" s="36"/>
      <c r="D958" s="36"/>
      <c r="E958" s="36"/>
      <c r="F958" s="36"/>
      <c r="G958" s="36"/>
      <c r="H958" s="36"/>
      <c r="I958" s="36"/>
    </row>
    <row r="959" ht="22.5" hidden="1" customHeight="1">
      <c r="A959" s="36"/>
      <c r="B959" s="36"/>
      <c r="C959" s="36"/>
      <c r="D959" s="36"/>
      <c r="E959" s="36"/>
      <c r="F959" s="36"/>
      <c r="G959" s="36"/>
      <c r="H959" s="36"/>
      <c r="I959" s="36"/>
    </row>
    <row r="960" ht="22.5" hidden="1" customHeight="1">
      <c r="A960" s="36"/>
      <c r="B960" s="36"/>
      <c r="C960" s="36"/>
      <c r="D960" s="36"/>
      <c r="E960" s="36"/>
      <c r="F960" s="36"/>
      <c r="G960" s="36"/>
      <c r="H960" s="36"/>
      <c r="I960" s="36"/>
    </row>
    <row r="961" ht="22.5" hidden="1" customHeight="1">
      <c r="A961" s="36"/>
      <c r="B961" s="36"/>
      <c r="C961" s="36"/>
      <c r="D961" s="36"/>
      <c r="E961" s="36"/>
      <c r="F961" s="36"/>
      <c r="G961" s="36"/>
      <c r="H961" s="36"/>
      <c r="I961" s="36"/>
    </row>
    <row r="962" ht="22.5" hidden="1" customHeight="1">
      <c r="A962" s="36"/>
      <c r="B962" s="36"/>
      <c r="C962" s="36"/>
      <c r="D962" s="36"/>
      <c r="E962" s="36"/>
      <c r="F962" s="36"/>
      <c r="G962" s="36"/>
      <c r="H962" s="36"/>
      <c r="I962" s="36"/>
    </row>
    <row r="963" ht="22.5" hidden="1" customHeight="1">
      <c r="A963" s="36"/>
      <c r="B963" s="36"/>
      <c r="C963" s="36"/>
      <c r="D963" s="36"/>
      <c r="E963" s="36"/>
      <c r="F963" s="36"/>
      <c r="G963" s="36"/>
      <c r="H963" s="36"/>
      <c r="I963" s="36"/>
    </row>
    <row r="964" ht="22.5" hidden="1" customHeight="1">
      <c r="A964" s="36"/>
      <c r="B964" s="36"/>
      <c r="C964" s="36"/>
      <c r="D964" s="36"/>
      <c r="E964" s="36"/>
      <c r="F964" s="36"/>
      <c r="G964" s="36"/>
      <c r="H964" s="36"/>
      <c r="I964" s="36"/>
    </row>
    <row r="965" ht="22.5" hidden="1" customHeight="1">
      <c r="A965" s="36"/>
      <c r="B965" s="36"/>
      <c r="C965" s="36"/>
      <c r="D965" s="36"/>
      <c r="E965" s="36"/>
      <c r="F965" s="36"/>
      <c r="G965" s="36"/>
      <c r="H965" s="36"/>
      <c r="I965" s="36"/>
    </row>
    <row r="966" ht="22.5" hidden="1" customHeight="1">
      <c r="A966" s="36"/>
      <c r="B966" s="36"/>
      <c r="C966" s="36"/>
      <c r="D966" s="36"/>
      <c r="E966" s="36"/>
      <c r="F966" s="36"/>
      <c r="G966" s="36"/>
      <c r="H966" s="36"/>
      <c r="I966" s="36"/>
    </row>
    <row r="967" ht="22.5" hidden="1" customHeight="1">
      <c r="A967" s="36"/>
      <c r="B967" s="36"/>
      <c r="C967" s="36"/>
      <c r="D967" s="36"/>
      <c r="E967" s="36"/>
      <c r="F967" s="36"/>
      <c r="G967" s="36"/>
      <c r="H967" s="36"/>
      <c r="I967" s="36"/>
    </row>
    <row r="968" ht="22.5" hidden="1" customHeight="1">
      <c r="A968" s="36"/>
      <c r="B968" s="36"/>
      <c r="C968" s="36"/>
      <c r="D968" s="36"/>
      <c r="E968" s="36"/>
      <c r="F968" s="36"/>
      <c r="G968" s="36"/>
      <c r="H968" s="36"/>
      <c r="I968" s="36"/>
    </row>
    <row r="969" ht="22.5" hidden="1" customHeight="1">
      <c r="A969" s="36"/>
      <c r="B969" s="36"/>
      <c r="C969" s="36"/>
      <c r="D969" s="36"/>
      <c r="E969" s="36"/>
      <c r="F969" s="36"/>
      <c r="G969" s="36"/>
      <c r="H969" s="36"/>
      <c r="I969" s="36"/>
    </row>
    <row r="970" ht="22.5" hidden="1" customHeight="1">
      <c r="A970" s="36"/>
      <c r="B970" s="36"/>
      <c r="C970" s="36"/>
      <c r="D970" s="36"/>
      <c r="E970" s="36"/>
      <c r="F970" s="36"/>
      <c r="G970" s="36"/>
      <c r="H970" s="36"/>
      <c r="I970" s="36"/>
    </row>
    <row r="971" ht="22.5" hidden="1" customHeight="1">
      <c r="A971" s="36"/>
      <c r="B971" s="36"/>
      <c r="C971" s="36"/>
      <c r="D971" s="36"/>
      <c r="E971" s="36"/>
      <c r="F971" s="36"/>
      <c r="G971" s="36"/>
      <c r="H971" s="36"/>
      <c r="I971" s="36"/>
    </row>
    <row r="972" ht="22.5" hidden="1" customHeight="1">
      <c r="A972" s="36"/>
      <c r="B972" s="36"/>
      <c r="C972" s="36"/>
      <c r="D972" s="36"/>
      <c r="E972" s="36"/>
      <c r="F972" s="36"/>
      <c r="G972" s="36"/>
      <c r="H972" s="36"/>
      <c r="I972" s="36"/>
    </row>
    <row r="973" ht="22.5" hidden="1" customHeight="1">
      <c r="A973" s="36"/>
      <c r="B973" s="36"/>
      <c r="C973" s="36"/>
      <c r="D973" s="36"/>
      <c r="E973" s="36"/>
      <c r="F973" s="36"/>
      <c r="G973" s="36"/>
      <c r="H973" s="36"/>
      <c r="I973" s="36"/>
    </row>
    <row r="974" ht="22.5" hidden="1" customHeight="1">
      <c r="A974" s="36"/>
      <c r="B974" s="36"/>
      <c r="C974" s="36"/>
      <c r="D974" s="36"/>
      <c r="E974" s="36"/>
      <c r="F974" s="36"/>
      <c r="G974" s="36"/>
      <c r="H974" s="36"/>
      <c r="I974" s="36"/>
    </row>
    <row r="975" ht="22.5" hidden="1" customHeight="1">
      <c r="A975" s="36"/>
      <c r="B975" s="36"/>
      <c r="C975" s="36"/>
      <c r="D975" s="36"/>
      <c r="E975" s="36"/>
      <c r="F975" s="36"/>
      <c r="G975" s="36"/>
      <c r="H975" s="36"/>
      <c r="I975" s="36"/>
    </row>
    <row r="976" ht="22.5" hidden="1" customHeight="1">
      <c r="A976" s="36"/>
      <c r="B976" s="36"/>
      <c r="C976" s="36"/>
      <c r="D976" s="36"/>
      <c r="E976" s="36"/>
      <c r="F976" s="36"/>
      <c r="G976" s="36"/>
      <c r="H976" s="36"/>
      <c r="I976" s="36"/>
    </row>
    <row r="977" ht="22.5" hidden="1" customHeight="1">
      <c r="A977" s="36"/>
      <c r="B977" s="36"/>
      <c r="C977" s="36"/>
      <c r="D977" s="36"/>
      <c r="E977" s="36"/>
      <c r="F977" s="36"/>
      <c r="G977" s="36"/>
      <c r="H977" s="36"/>
      <c r="I977" s="36"/>
    </row>
    <row r="978" ht="22.5" hidden="1" customHeight="1">
      <c r="A978" s="36"/>
      <c r="B978" s="36"/>
      <c r="C978" s="36"/>
      <c r="D978" s="36"/>
      <c r="E978" s="36"/>
      <c r="F978" s="36"/>
      <c r="G978" s="36"/>
      <c r="H978" s="36"/>
      <c r="I978" s="36"/>
    </row>
    <row r="979" ht="22.5" hidden="1" customHeight="1">
      <c r="A979" s="36"/>
      <c r="B979" s="36"/>
      <c r="C979" s="36"/>
      <c r="D979" s="36"/>
      <c r="E979" s="36"/>
      <c r="F979" s="36"/>
      <c r="G979" s="36"/>
      <c r="H979" s="36"/>
      <c r="I979" s="36"/>
    </row>
    <row r="980" ht="22.5" hidden="1" customHeight="1">
      <c r="A980" s="36"/>
      <c r="B980" s="36"/>
      <c r="C980" s="36"/>
      <c r="D980" s="36"/>
      <c r="E980" s="36"/>
      <c r="F980" s="36"/>
      <c r="G980" s="36"/>
      <c r="H980" s="36"/>
      <c r="I980" s="36"/>
    </row>
    <row r="981" ht="22.5" hidden="1" customHeight="1">
      <c r="A981" s="36"/>
      <c r="B981" s="36"/>
      <c r="C981" s="36"/>
      <c r="D981" s="36"/>
      <c r="E981" s="36"/>
      <c r="F981" s="36"/>
      <c r="G981" s="36"/>
      <c r="H981" s="36"/>
      <c r="I981" s="36"/>
    </row>
    <row r="982" ht="22.5" hidden="1" customHeight="1">
      <c r="A982" s="36"/>
      <c r="B982" s="36"/>
      <c r="C982" s="36"/>
      <c r="D982" s="36"/>
      <c r="E982" s="36"/>
      <c r="F982" s="36"/>
      <c r="G982" s="36"/>
      <c r="H982" s="36"/>
      <c r="I982" s="36"/>
    </row>
    <row r="983" ht="22.5" hidden="1" customHeight="1">
      <c r="A983" s="36"/>
      <c r="B983" s="36"/>
      <c r="C983" s="36"/>
      <c r="D983" s="36"/>
      <c r="E983" s="36"/>
      <c r="F983" s="36"/>
      <c r="G983" s="36"/>
      <c r="H983" s="36"/>
      <c r="I983" s="36"/>
    </row>
    <row r="984" ht="22.5" hidden="1" customHeight="1">
      <c r="A984" s="36"/>
      <c r="B984" s="36"/>
      <c r="C984" s="36"/>
      <c r="D984" s="36"/>
      <c r="E984" s="36"/>
      <c r="F984" s="36"/>
      <c r="G984" s="36"/>
      <c r="H984" s="36"/>
      <c r="I984" s="36"/>
    </row>
    <row r="985" ht="22.5" hidden="1" customHeight="1">
      <c r="A985" s="36"/>
      <c r="B985" s="36"/>
      <c r="C985" s="36"/>
      <c r="D985" s="36"/>
      <c r="E985" s="36"/>
      <c r="F985" s="36"/>
      <c r="G985" s="36"/>
      <c r="H985" s="36"/>
      <c r="I985" s="36"/>
    </row>
    <row r="986" ht="22.5" hidden="1" customHeight="1">
      <c r="A986" s="36"/>
      <c r="B986" s="36"/>
      <c r="C986" s="36"/>
      <c r="D986" s="36"/>
      <c r="E986" s="36"/>
      <c r="F986" s="36"/>
      <c r="G986" s="36"/>
      <c r="H986" s="36"/>
      <c r="I986" s="36"/>
    </row>
    <row r="987" ht="22.5" hidden="1" customHeight="1">
      <c r="A987" s="36"/>
      <c r="B987" s="36"/>
      <c r="C987" s="36"/>
      <c r="D987" s="36"/>
      <c r="E987" s="36"/>
      <c r="F987" s="36"/>
      <c r="G987" s="36"/>
      <c r="H987" s="36"/>
      <c r="I987" s="36"/>
    </row>
    <row r="988" ht="22.5" hidden="1" customHeight="1">
      <c r="A988" s="36"/>
      <c r="B988" s="36"/>
      <c r="C988" s="36"/>
      <c r="D988" s="36"/>
      <c r="E988" s="36"/>
      <c r="F988" s="36"/>
      <c r="G988" s="36"/>
      <c r="H988" s="36"/>
      <c r="I988" s="36"/>
    </row>
    <row r="989" ht="22.5" hidden="1" customHeight="1">
      <c r="A989" s="36"/>
      <c r="B989" s="36"/>
      <c r="C989" s="36"/>
      <c r="D989" s="36"/>
      <c r="E989" s="36"/>
      <c r="F989" s="36"/>
      <c r="G989" s="36"/>
      <c r="H989" s="36"/>
      <c r="I989" s="36"/>
    </row>
    <row r="990" ht="22.5" hidden="1" customHeight="1">
      <c r="A990" s="36"/>
      <c r="B990" s="36"/>
      <c r="C990" s="36"/>
      <c r="D990" s="36"/>
      <c r="E990" s="36"/>
      <c r="F990" s="36"/>
      <c r="G990" s="36"/>
      <c r="H990" s="36"/>
      <c r="I990" s="36"/>
    </row>
    <row r="991" ht="22.5" hidden="1" customHeight="1">
      <c r="A991" s="36"/>
      <c r="B991" s="36"/>
      <c r="C991" s="36"/>
      <c r="D991" s="36"/>
      <c r="E991" s="36"/>
      <c r="F991" s="36"/>
      <c r="G991" s="36"/>
      <c r="H991" s="36"/>
      <c r="I991" s="36"/>
    </row>
    <row r="992" ht="22.5" hidden="1" customHeight="1">
      <c r="A992" s="36"/>
      <c r="B992" s="36"/>
      <c r="C992" s="36"/>
      <c r="D992" s="36"/>
      <c r="E992" s="36"/>
      <c r="F992" s="36"/>
      <c r="G992" s="36"/>
      <c r="H992" s="36"/>
      <c r="I992" s="36"/>
    </row>
    <row r="993" ht="22.5" hidden="1" customHeight="1">
      <c r="A993" s="36"/>
      <c r="B993" s="36"/>
      <c r="C993" s="36"/>
      <c r="D993" s="36"/>
      <c r="E993" s="36"/>
      <c r="F993" s="36"/>
      <c r="G993" s="36"/>
      <c r="H993" s="36"/>
      <c r="I993" s="36"/>
    </row>
    <row r="994" ht="22.5" hidden="1" customHeight="1">
      <c r="A994" s="36"/>
      <c r="B994" s="36"/>
      <c r="C994" s="36"/>
      <c r="D994" s="36"/>
      <c r="E994" s="36"/>
      <c r="F994" s="36"/>
      <c r="G994" s="36"/>
      <c r="H994" s="36"/>
      <c r="I994" s="36"/>
    </row>
    <row r="995" ht="22.5" hidden="1" customHeight="1">
      <c r="A995" s="36"/>
      <c r="B995" s="36"/>
      <c r="C995" s="36"/>
      <c r="D995" s="36"/>
      <c r="E995" s="36"/>
      <c r="F995" s="36"/>
      <c r="G995" s="36"/>
      <c r="H995" s="36"/>
      <c r="I995" s="36"/>
    </row>
    <row r="996" ht="22.5" hidden="1" customHeight="1">
      <c r="A996" s="36"/>
      <c r="B996" s="36"/>
      <c r="C996" s="36"/>
      <c r="D996" s="36"/>
      <c r="E996" s="36"/>
      <c r="F996" s="36"/>
      <c r="G996" s="36"/>
      <c r="H996" s="36"/>
      <c r="I996" s="36"/>
    </row>
    <row r="997" ht="22.5" hidden="1" customHeight="1">
      <c r="A997" s="36"/>
      <c r="B997" s="36"/>
      <c r="C997" s="36"/>
      <c r="D997" s="36"/>
      <c r="E997" s="36"/>
      <c r="F997" s="36"/>
      <c r="G997" s="36"/>
      <c r="H997" s="36"/>
      <c r="I997" s="36"/>
    </row>
    <row r="998" ht="22.5" hidden="1" customHeight="1">
      <c r="A998" s="36"/>
      <c r="B998" s="36"/>
      <c r="C998" s="36"/>
      <c r="D998" s="36"/>
      <c r="E998" s="36"/>
      <c r="F998" s="36"/>
      <c r="G998" s="36"/>
      <c r="H998" s="36"/>
      <c r="I998" s="36"/>
    </row>
    <row r="999" ht="22.5" hidden="1" customHeight="1">
      <c r="A999" s="36"/>
      <c r="B999" s="36"/>
      <c r="C999" s="36"/>
      <c r="D999" s="36"/>
      <c r="E999" s="36"/>
      <c r="F999" s="36"/>
      <c r="G999" s="36"/>
      <c r="H999" s="36"/>
      <c r="I999" s="3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4.0"/>
    <col customWidth="1" min="3" max="3" width="32.5"/>
    <col customWidth="1" min="4" max="4" width="22.75"/>
    <col customWidth="1" min="5" max="6" width="11.5"/>
    <col customWidth="1" min="7" max="7" width="12.0"/>
    <col customWidth="1" min="8" max="8" width="10.63"/>
    <col customWidth="1" min="9" max="9" width="11.13"/>
    <col customWidth="1" min="10" max="10" width="17.13"/>
    <col customWidth="1" min="11" max="11" width="14.5"/>
    <col customWidth="1" min="12" max="12" width="19.0"/>
    <col customWidth="1" min="13" max="13" width="16.5"/>
    <col customWidth="1" min="17" max="17" width="5.5"/>
    <col customWidth="1" min="20" max="20" width="5.63"/>
    <col customWidth="1" min="24" max="24" width="6.0"/>
    <col customWidth="1" min="25" max="25" width="20.25"/>
    <col customWidth="1" min="29" max="29" width="11.0"/>
    <col customWidth="1" min="30" max="30" width="13.0"/>
    <col customWidth="1" min="31" max="31" width="5.5"/>
    <col customWidth="1" min="32" max="32" width="13.38"/>
    <col customWidth="1" min="33" max="33" width="8.13"/>
    <col customWidth="1" min="34" max="34" width="25.25"/>
    <col customWidth="1" min="35" max="35" width="5.5"/>
    <col customWidth="1" min="36" max="36" width="13.38"/>
    <col customWidth="1" min="37" max="37" width="6.38"/>
    <col customWidth="1" min="38" max="38" width="40.63"/>
    <col customWidth="1" min="39" max="39" width="4.75"/>
    <col customWidth="1" min="40" max="40" width="11.63"/>
    <col customWidth="1" min="41" max="41" width="5.0"/>
    <col customWidth="1" min="42" max="42" width="28.25"/>
    <col customWidth="1" min="43" max="43" width="5.5"/>
    <col customWidth="1" min="45" max="45" width="13.0"/>
    <col customWidth="1" min="46" max="46" width="5.5"/>
    <col customWidth="1" min="47" max="47" width="13.38"/>
    <col customWidth="1" min="48" max="48" width="17.38"/>
    <col customWidth="1" min="49" max="49" width="5.25"/>
    <col customWidth="1" min="50" max="50" width="13.0"/>
    <col customWidth="1" min="51" max="51" width="5.5"/>
    <col customWidth="1" min="52" max="52" width="13.38"/>
    <col customWidth="1" min="53" max="53" width="17.38"/>
    <col customWidth="1" min="54" max="54" width="7.0"/>
    <col customWidth="1" min="55" max="55" width="52.38"/>
  </cols>
  <sheetData>
    <row r="1">
      <c r="A1" s="112" t="s">
        <v>105</v>
      </c>
      <c r="B1" s="113"/>
      <c r="C1" s="113"/>
      <c r="D1" s="113"/>
      <c r="E1" s="113"/>
      <c r="F1" s="113"/>
      <c r="G1" s="113"/>
      <c r="H1" s="114"/>
      <c r="J1" s="112" t="s">
        <v>106</v>
      </c>
      <c r="K1" s="113"/>
      <c r="L1" s="113"/>
      <c r="M1" s="114"/>
      <c r="N1" s="115"/>
      <c r="O1" s="112" t="s">
        <v>107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4"/>
      <c r="AC1" s="115"/>
      <c r="AD1" s="112" t="s">
        <v>108</v>
      </c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4"/>
      <c r="AS1" s="112" t="s">
        <v>109</v>
      </c>
      <c r="AT1" s="113"/>
      <c r="AU1" s="113"/>
      <c r="AV1" s="113"/>
      <c r="AW1" s="113"/>
      <c r="AX1" s="113"/>
      <c r="AY1" s="113"/>
      <c r="AZ1" s="113"/>
      <c r="BA1" s="114"/>
      <c r="BB1" s="116"/>
      <c r="BC1" s="117" t="s">
        <v>110</v>
      </c>
    </row>
    <row r="2">
      <c r="A2" s="118"/>
      <c r="B2" s="118"/>
      <c r="C2" s="118"/>
      <c r="D2" s="119"/>
      <c r="E2" s="117"/>
      <c r="F2" s="118"/>
      <c r="G2" s="118"/>
      <c r="H2" s="118"/>
      <c r="J2" s="119"/>
      <c r="K2" s="119"/>
      <c r="L2" s="119"/>
      <c r="M2" s="119"/>
      <c r="N2" s="120"/>
      <c r="T2" s="119"/>
      <c r="X2" s="121"/>
      <c r="Y2" s="115"/>
      <c r="Z2" s="115"/>
      <c r="AA2" s="115"/>
      <c r="AB2" s="115"/>
      <c r="AC2" s="115"/>
      <c r="AD2" s="115" t="s">
        <v>111</v>
      </c>
      <c r="AG2" s="115"/>
      <c r="AH2" s="115" t="s">
        <v>112</v>
      </c>
      <c r="AK2" s="115"/>
      <c r="AL2" s="115" t="s">
        <v>113</v>
      </c>
      <c r="AP2" s="115" t="s">
        <v>114</v>
      </c>
      <c r="AS2" s="115" t="s">
        <v>115</v>
      </c>
      <c r="AX2" s="115" t="s">
        <v>116</v>
      </c>
      <c r="BB2" s="122"/>
      <c r="BC2" s="123" t="s">
        <v>117</v>
      </c>
    </row>
    <row r="3">
      <c r="E3" s="117"/>
      <c r="J3" s="124" t="s">
        <v>124</v>
      </c>
      <c r="K3" s="125"/>
      <c r="L3" s="125"/>
      <c r="M3" s="126"/>
      <c r="N3" s="120"/>
      <c r="T3" s="119"/>
      <c r="X3" s="121"/>
      <c r="Y3" s="115" t="s">
        <v>130</v>
      </c>
      <c r="AC3" s="115"/>
      <c r="AD3" s="123" t="str">
        <f>IFERROR(__xludf.DUMMYFUNCTION("QUERY(
  ARRAYFORMULA(
    SPLIT(
      FLATTEN(
        TRIM(SPLIT(FILTER('E.H. _ Pipeline'!AE3:AE50501, LEN('E.H. _ Pipeline'!AE3:AE50501)), "","")) 
        &amp; ""♠"" 
        &amp; FILTER('E.H. _ Pipeline'!G3:G50501, LEN('E.H. _ Pipeline'!AE3:AE50501))
    "&amp;"  ),
      ""♠""
    )
  ),
  ""select Col1, count(Col1), sum(Col2) 
   where not Col1 matches '^[0-9]+$' 
     and Col1 matches '"" &amp; TEXTJOIN(""|"", TRUE, FILTER(Lists!I3:I50501, LEN(Lists!I3:I50501))) &amp; ""'
   group by Col1 
   order by sum(Col2) desc
"&amp;"   label Col1 'Name', count(Col1) 'Deals', sum(Col2) 'Allocated Sales'"",
  0
)
"),"Name")</f>
        <v>Name</v>
      </c>
      <c r="AE3" s="123" t="str">
        <f>IFERROR(__xludf.DUMMYFUNCTION("""COMPUTED_VALUE"""),"Deals")</f>
        <v>Deals</v>
      </c>
      <c r="AF3" s="123" t="str">
        <f>IFERROR(__xludf.DUMMYFUNCTION("""COMPUTED_VALUE"""),"Allocated Sales")</f>
        <v>Allocated Sales</v>
      </c>
      <c r="AG3" s="128"/>
      <c r="AH3" s="123" t="str">
        <f>IFERROR(__xludf.DUMMYFUNCTION("QUERY(
  ARRAYFORMULA(
    SPLIT(
      FLATTEN(
        TRIM(SPLIT(FILTER('E.H. _ Pipeline'!AE3:AE50501, LEN('E.H. _ Pipeline'!AE3:AE50501)), "","")) 
        &amp; ""♠"" 
        &amp; FILTER('E.H. _ Pipeline'!G3:G50501, LEN('E.H. _ Pipeline'!AE3:AE50501))
    "&amp;"  ),
      ""♠""
    )
  ),
  ""select Col1, count(Col1), sum(Col2) 
   where not Col1 matches '^[0-9]+$' 
     and not Col1 matches '"" &amp; TEXTJOIN(""|"", TRUE, FILTER(Lists!I3:I50501, LEN(Lists!I3:I50501))) &amp; ""' and not Col1 matches '♠'
   group by Col1"&amp;" 
   order by sum(Col2) desc
   label Col1 'Name', count(Col1) 'Deals', sum(Col2) 'Allocated Sales'"",
  0
)
"),"Name")</f>
        <v>Name</v>
      </c>
      <c r="AI3" s="123" t="str">
        <f>IFERROR(__xludf.DUMMYFUNCTION("""COMPUTED_VALUE"""),"Deals")</f>
        <v>Deals</v>
      </c>
      <c r="AJ3" s="123" t="str">
        <f>IFERROR(__xludf.DUMMYFUNCTION("""COMPUTED_VALUE"""),"Allocated Sales")</f>
        <v>Allocated Sales</v>
      </c>
      <c r="AK3" s="115"/>
      <c r="AP3" s="123" t="str">
        <f>IFERROR(__xludf.DUMMYFUNCTION("QUERY(
  ARRAYFORMULA(
    SPLIT(
      FLATTEN(
        TRIM(SPLIT(FILTER('E.H. _ Pipeline'!AE3:AE50501, LEN('E.H. _ Pipeline'!AE3:AE50501)), "","")) 
        &amp; ""♠"" 
        &amp; FILTER('E.H. _ Pipeline'!P3:P50501, LEN('E.H. _ Pipeline'!AE3:AE50501))
    "&amp;"  ),
      ""♠""
    )
  ),
  ""select Col1, count(Col1) 
   where not Col1 matches '^[0-9]+$' 
     and not Col1 matches '♠'
     and Col2 is not null
   group by Col1 
   order by count(Col1) desc
   label Col1 'Name', count(Col1) 'Deals'"",
  0
)
"),"Name")</f>
        <v>Name</v>
      </c>
      <c r="AQ3" s="123" t="str">
        <f>IFERROR(__xludf.DUMMYFUNCTION("""COMPUTED_VALUE"""),"Deals")</f>
        <v>Deals</v>
      </c>
      <c r="AS3" s="129" t="s">
        <v>96</v>
      </c>
      <c r="AT3" s="129" t="s">
        <v>126</v>
      </c>
      <c r="AU3" s="129" t="s">
        <v>132</v>
      </c>
      <c r="AV3" s="129" t="s">
        <v>133</v>
      </c>
      <c r="AX3" s="129" t="s">
        <v>96</v>
      </c>
      <c r="AY3" s="129" t="s">
        <v>126</v>
      </c>
      <c r="AZ3" s="129" t="s">
        <v>132</v>
      </c>
      <c r="BA3" s="129" t="s">
        <v>133</v>
      </c>
      <c r="BB3" s="122"/>
      <c r="BC3" s="130" t="str">
        <f>IFERROR(__xludf.DUMMYFUNCTION("FILTER(
  EdwardsHomes2025[ADDRESS],
  EdwardsHomes2025[CLOSED DATE] &lt;&gt; """",
  EdwardsHomes2025[SCHEDULED CLOSING] &lt;&gt; """",
  EdwardsHomes2025[CLOSED DATE] - EdwardsHomes2025[SCHEDULED CLOSING] &lt; 0
)"),"904 Sandhurst Pl.")</f>
        <v>904 Sandhurst Pl.</v>
      </c>
    </row>
    <row r="4">
      <c r="J4" s="132">
        <f>COUNT(EdwardsHomes2025[#])</f>
        <v>38</v>
      </c>
      <c r="M4" s="133"/>
      <c r="N4" s="120"/>
      <c r="Q4" s="120"/>
      <c r="AA4" s="134" t="s">
        <v>124</v>
      </c>
      <c r="AB4" s="134" t="s">
        <v>138</v>
      </c>
      <c r="AD4" s="127" t="str">
        <f>IFERROR(__xludf.DUMMYFUNCTION("""COMPUTED_VALUE"""),"Mark Morales")</f>
        <v>Mark Morales</v>
      </c>
      <c r="AE4" s="135">
        <f>IFERROR(__xludf.DUMMYFUNCTION("""COMPUTED_VALUE"""),11.0)</f>
        <v>11</v>
      </c>
      <c r="AF4" s="136">
        <f>IFERROR(__xludf.DUMMYFUNCTION("""COMPUTED_VALUE"""),3033450.0)</f>
        <v>3033450</v>
      </c>
      <c r="AG4" s="135"/>
      <c r="AH4" s="135" t="str">
        <f>IFERROR(__xludf.DUMMYFUNCTION("""COMPUTED_VALUE"""),"Alberto Sanchez")</f>
        <v>Alberto Sanchez</v>
      </c>
      <c r="AI4" s="135">
        <f>IFERROR(__xludf.DUMMYFUNCTION("""COMPUTED_VALUE"""),2.0)</f>
        <v>2</v>
      </c>
      <c r="AJ4" s="137">
        <f>IFERROR(__xludf.DUMMYFUNCTION("""COMPUTED_VALUE"""),547900.0)</f>
        <v>547900</v>
      </c>
      <c r="AP4" s="127" t="str">
        <f>IFERROR(__xludf.DUMMYFUNCTION("""COMPUTED_VALUE"""),"Mark Morales")</f>
        <v>Mark Morales</v>
      </c>
      <c r="AQ4" s="127">
        <f>IFERROR(__xludf.DUMMYFUNCTION("""COMPUTED_VALUE"""),3.0)</f>
        <v>3</v>
      </c>
      <c r="AS4" s="127" t="str">
        <f>IFERROR(__xludf.DUMMYFUNCTION("ARRAYFORMULA(
  IFERROR(
    IF(
      UNIQUE(FILTER(AuxTable1[Agent], AuxTable1[Agent]&lt;&gt;"""", AuxTable1[Agent]=AuxTable1[Realtor Partner]))&lt;&gt;"""",
      {
        UNIQUE(FILTER(AuxTable1[Agent], AuxTable1[Agent]&lt;&gt;"""", AuxTable1[Agent]=AuxTable1[Realtor "&amp;"Partner])),  
        SUMIF(AuxTable1[Agent], UNIQUE(FILTER(AuxTable1[Agent], AuxTable1[Agent]&lt;&gt;"""", AuxTable1[Agent]=AuxTable1[Realtor Partner])), AuxTable1[Factor]),
        MMULT(
          TRANSPOSE(
            N(AuxTable1[Agent]=TRANSPOSE("&amp;"UNIQUE(FILTER(AuxTable1[Agent], AuxTable1[Agent]&lt;&gt;"""", AuxTable1[Agent]=AuxTable1[Realtor Partner]))))
          ), 
          N(AuxTable1[Sales Price]*AuxTable1[Factor])
        ),
        IFERROR(
          MMULT(
            TRANSPOSE(
      "&amp;"        N(AuxTable1[Agent]=TRANSPOSE(UNIQUE(FILTER(AuxTable1[Agent], AuxTable1[Agent]&lt;&gt;"""", AuxTable1[Agent]=AuxTable1[Realtor Partner]))))
            ), 
            N(AuxTable1[Sales Price]*AuxTable1[Factor])
          )
          /
          COUNTIF("&amp;"AuxTable1[Agent], UNIQUE(FILTER(AuxTable1[Agent], AuxTable1[Agent]&lt;&gt;"""", AuxTable1[Agent]=AuxTable1[Realtor Partner])))
        )
      },
      """"
    )
  )
)"),"Mark Morales")</f>
        <v>Mark Morales</v>
      </c>
      <c r="AT4" s="127">
        <f>IFERROR(__xludf.DUMMYFUNCTION("""COMPUTED_VALUE"""),9.0)</f>
        <v>9</v>
      </c>
      <c r="AU4" s="140">
        <f>IFERROR(__xludf.DUMMYFUNCTION("""COMPUTED_VALUE"""),2457550.0)</f>
        <v>2457550</v>
      </c>
      <c r="AV4" s="140">
        <f>IFERROR(__xludf.DUMMYFUNCTION("""COMPUTED_VALUE"""),273061.1111111111)</f>
        <v>273061.1111</v>
      </c>
      <c r="AX4" s="119" t="str">
        <f>IFERROR(__xludf.DUMMYFUNCTION("ARRAYFORMULA(
  IFERROR(
    IF(
      UNIQUE(FILTER(AuxTable1[Agent], AuxTable1[Agent]&lt;&gt;"""", AuxTable1[Agent]&lt;&gt;AuxTable1[Realtor Partner]))&lt;&gt;"""",
      {
        UNIQUE(FILTER(AuxTable1[Agent], AuxTable1[Agent]&lt;&gt;"""", AuxTable1[Agent]&lt;&gt;AuxTable1[Realto"&amp;"r Partner])),  
        SUMIF(AuxTable1[Agent], UNIQUE(FILTER(AuxTable1[Agent], AuxTable1[Agent]&lt;&gt;"""", AuxTable1[Agent]&lt;&gt;AuxTable1[Realtor Partner])), AuxTable1[Factor]),
        MMULT(
          TRANSPOSE(
            N(AuxTable1[Agent]=TRANSPO"&amp;"SE(UNIQUE(FILTER(AuxTable1[Agent], AuxTable1[Agent]&lt;&gt;"""", AuxTable1[Agent]&lt;&gt;AuxTable1[Realtor Partner]))))
          ), 
          N(AuxTable1[Sales Price]*AuxTable1[Factor])
        ),
        IFERROR(
          MMULT(
            TRANSPOSE(
  "&amp;"            N(AuxTable1[Agent]=TRANSPOSE(UNIQUE(FILTER(AuxTable1[Agent], AuxTable1[Agent]&lt;&gt;"""", AuxTable1[Agent]&lt;&gt;AuxTable1[Realtor Partner]))))
            ), 
            N(AuxTable1[Sales Price]*AuxTable1[Factor])
          )
          /
          COU"&amp;"NTIF(AuxTable1[Agent], UNIQUE(FILTER(AuxTable1[Agent], AuxTable1[Agent]&lt;&gt;"""", AuxTable1[Agent]&lt;&gt;AuxTable1[Realtor Partner])))
        )
      },
      """"
    )
  )
)"),"#VALUE!")</f>
        <v>#VALUE!</v>
      </c>
      <c r="AY4" s="127">
        <f>IFERROR(__xludf.DUMMYFUNCTION("""COMPUTED_VALUE"""),0.0)</f>
        <v>0</v>
      </c>
      <c r="AZ4" s="140">
        <f>IFERROR(__xludf.DUMMYFUNCTION("""COMPUTED_VALUE"""),0.0)</f>
        <v>0</v>
      </c>
      <c r="BA4" s="140"/>
      <c r="BB4" s="122"/>
      <c r="BC4" s="141" t="str">
        <f>IFERROR(__xludf.DUMMYFUNCTION("""COMPUTED_VALUE"""),"15029 Destination ")</f>
        <v>15029 Destination </v>
      </c>
    </row>
    <row r="5">
      <c r="J5" s="142"/>
      <c r="M5" s="143"/>
      <c r="AA5" s="127">
        <f>COUNTIF(EdwardsHomes2025[EXECUTED],"YES")</f>
        <v>41</v>
      </c>
      <c r="AB5" s="144">
        <f>COUNTIF(EdwardsHomes2025[LOAN STATUS],"Back On Market (BOM)")/COUNTA(EdwardsHomes2025[ADDRESS])*100</f>
        <v>14.58333333</v>
      </c>
      <c r="AD5" s="127" t="str">
        <f>IFERROR(__xludf.DUMMYFUNCTION("""COMPUTED_VALUE"""),"Edgar Barrio")</f>
        <v>Edgar Barrio</v>
      </c>
      <c r="AE5" s="127">
        <f>IFERROR(__xludf.DUMMYFUNCTION("""COMPUTED_VALUE"""),5.0)</f>
        <v>5</v>
      </c>
      <c r="AF5" s="136">
        <f>IFERROR(__xludf.DUMMYFUNCTION("""COMPUTED_VALUE"""),1497750.0)</f>
        <v>1497750</v>
      </c>
      <c r="AG5" s="135"/>
      <c r="AH5" s="135" t="str">
        <f>IFERROR(__xludf.DUMMYFUNCTION("""COMPUTED_VALUE"""),"Jesse Loya")</f>
        <v>Jesse Loya</v>
      </c>
      <c r="AI5" s="135">
        <f>IFERROR(__xludf.DUMMYFUNCTION("""COMPUTED_VALUE"""),2.0)</f>
        <v>2</v>
      </c>
      <c r="AJ5" s="137">
        <f>IFERROR(__xludf.DUMMYFUNCTION("""COMPUTED_VALUE"""),542900.0)</f>
        <v>542900</v>
      </c>
      <c r="AP5" s="127" t="str">
        <f>IFERROR(__xludf.DUMMYFUNCTION("""COMPUTED_VALUE"""),"Alfonso Yanez")</f>
        <v>Alfonso Yanez</v>
      </c>
      <c r="AQ5" s="127">
        <f>IFERROR(__xludf.DUMMYFUNCTION("""COMPUTED_VALUE"""),1.0)</f>
        <v>1</v>
      </c>
      <c r="AS5" s="127" t="str">
        <f>IFERROR(__xludf.DUMMYFUNCTION("""COMPUTED_VALUE"""),"Edgar Barrio")</f>
        <v>Edgar Barrio</v>
      </c>
      <c r="AT5" s="127">
        <f>IFERROR(__xludf.DUMMYFUNCTION("""COMPUTED_VALUE"""),1.0)</f>
        <v>1</v>
      </c>
      <c r="AU5" s="140">
        <f>IFERROR(__xludf.DUMMYFUNCTION("""COMPUTED_VALUE"""),269950.0)</f>
        <v>269950</v>
      </c>
      <c r="AV5" s="140">
        <f>IFERROR(__xludf.DUMMYFUNCTION("""COMPUTED_VALUE"""),269950.0)</f>
        <v>269950</v>
      </c>
      <c r="AX5" s="127" t="str">
        <f>IFERROR(__xludf.DUMMYFUNCTION("""COMPUTED_VALUE"""),"Mark Morales")</f>
        <v>Mark Morales</v>
      </c>
      <c r="AY5" s="127">
        <f>IFERROR(__xludf.DUMMYFUNCTION("""COMPUTED_VALUE"""),9.0)</f>
        <v>9</v>
      </c>
      <c r="AZ5" s="140">
        <f>IFERROR(__xludf.DUMMYFUNCTION("""COMPUTED_VALUE"""),2457550.0)</f>
        <v>2457550</v>
      </c>
      <c r="BA5" s="140">
        <f>IFERROR(__xludf.DUMMYFUNCTION("""COMPUTED_VALUE"""),273061.1111111111)</f>
        <v>273061.1111</v>
      </c>
      <c r="BB5" s="122"/>
      <c r="BC5" s="141" t="str">
        <f>IFERROR(__xludf.DUMMYFUNCTION("""COMPUTED_VALUE"""),"15060 Destination")</f>
        <v>15060 Destination</v>
      </c>
    </row>
    <row r="6">
      <c r="A6" s="145" t="s">
        <v>142</v>
      </c>
      <c r="B6" s="113"/>
      <c r="C6" s="114"/>
      <c r="J6" s="146" t="s">
        <v>144</v>
      </c>
      <c r="K6" s="146" t="s">
        <v>145</v>
      </c>
      <c r="L6" s="146" t="s">
        <v>146</v>
      </c>
      <c r="M6" s="146" t="s">
        <v>147</v>
      </c>
      <c r="AD6" s="127" t="str">
        <f>IFERROR(__xludf.DUMMYFUNCTION("""COMPUTED_VALUE"""),"Vada Garcia")</f>
        <v>Vada Garcia</v>
      </c>
      <c r="AE6" s="127">
        <f>IFERROR(__xludf.DUMMYFUNCTION("""COMPUTED_VALUE"""),1.0)</f>
        <v>1</v>
      </c>
      <c r="AF6" s="136">
        <f>IFERROR(__xludf.DUMMYFUNCTION("""COMPUTED_VALUE"""),277950.0)</f>
        <v>277950</v>
      </c>
      <c r="AG6" s="135"/>
      <c r="AH6" s="135" t="str">
        <f>IFERROR(__xludf.DUMMYFUNCTION("""COMPUTED_VALUE"""),"Oscar Rivas")</f>
        <v>Oscar Rivas</v>
      </c>
      <c r="AI6" s="135">
        <f>IFERROR(__xludf.DUMMYFUNCTION("""COMPUTED_VALUE"""),1.0)</f>
        <v>1</v>
      </c>
      <c r="AJ6" s="137">
        <f>IFERROR(__xludf.DUMMYFUNCTION("""COMPUTED_VALUE"""),369950.0)</f>
        <v>369950</v>
      </c>
      <c r="AP6" s="127" t="str">
        <f>IFERROR(__xludf.DUMMYFUNCTION("""COMPUTED_VALUE"""),"Angel Flores")</f>
        <v>Angel Flores</v>
      </c>
      <c r="AQ6" s="127">
        <f>IFERROR(__xludf.DUMMYFUNCTION("""COMPUTED_VALUE"""),1.0)</f>
        <v>1</v>
      </c>
      <c r="AU6" s="140"/>
      <c r="AV6" s="140"/>
      <c r="AX6" s="127" t="str">
        <f>IFERROR(__xludf.DUMMYFUNCTION("""COMPUTED_VALUE"""),"Angel Alba")</f>
        <v>Angel Alba</v>
      </c>
      <c r="AY6" s="127">
        <f>IFERROR(__xludf.DUMMYFUNCTION("""COMPUTED_VALUE"""),1.0)</f>
        <v>1</v>
      </c>
      <c r="AZ6" s="140">
        <f>IFERROR(__xludf.DUMMYFUNCTION("""COMPUTED_VALUE"""),301950.0)</f>
        <v>301950</v>
      </c>
      <c r="BA6" s="140">
        <f>IFERROR(__xludf.DUMMYFUNCTION("""COMPUTED_VALUE"""),301950.0)</f>
        <v>301950</v>
      </c>
      <c r="BB6" s="122"/>
      <c r="BC6" s="141" t="str">
        <f>IFERROR(__xludf.DUMMYFUNCTION("""COMPUTED_VALUE"""),"812 Paseo Pacifico")</f>
        <v>812 Paseo Pacifico</v>
      </c>
    </row>
    <row r="7">
      <c r="B7" s="147" t="s">
        <v>151</v>
      </c>
      <c r="C7" s="147" t="s">
        <v>152</v>
      </c>
      <c r="J7" s="148">
        <f>COUNTIF(EdwardsHomes2025[EXECUTED],"YES")/COUNTA(EdwardsHomes2025[EXECUTED])*100</f>
        <v>87.23404255</v>
      </c>
      <c r="K7" s="141">
        <f>J4*J7/100</f>
        <v>33.14893617</v>
      </c>
      <c r="L7" s="149">
        <f>COUNTIF(EdwardsHomes2025[EXECUTED],"NO")/COUNTA(EdwardsHomes2025[EXECUTED])*100</f>
        <v>12.76595745</v>
      </c>
      <c r="M7" s="150">
        <f>J4*L7/100</f>
        <v>4.85106383</v>
      </c>
      <c r="AF7" s="135"/>
      <c r="AG7" s="135"/>
      <c r="AH7" s="135" t="str">
        <f>IFERROR(__xludf.DUMMYFUNCTION("""COMPUTED_VALUE"""),"Christopher Gil")</f>
        <v>Christopher Gil</v>
      </c>
      <c r="AI7" s="135">
        <f>IFERROR(__xludf.DUMMYFUNCTION("""COMPUTED_VALUE"""),1.0)</f>
        <v>1</v>
      </c>
      <c r="AJ7" s="137">
        <f>IFERROR(__xludf.DUMMYFUNCTION("""COMPUTED_VALUE"""),346950.0)</f>
        <v>346950</v>
      </c>
      <c r="AP7" s="127" t="str">
        <f>IFERROR(__xludf.DUMMYFUNCTION("""COMPUTED_VALUE"""),"Caren Carver")</f>
        <v>Caren Carver</v>
      </c>
      <c r="AQ7" s="127">
        <f>IFERROR(__xludf.DUMMYFUNCTION("""COMPUTED_VALUE"""),1.0)</f>
        <v>1</v>
      </c>
      <c r="AU7" s="140"/>
      <c r="AV7" s="140"/>
      <c r="AX7" s="127" t="str">
        <f>IFERROR(__xludf.DUMMYFUNCTION("""COMPUTED_VALUE"""),"Priscilla Ramos")</f>
        <v>Priscilla Ramos</v>
      </c>
      <c r="AY7" s="127">
        <f>IFERROR(__xludf.DUMMYFUNCTION("""COMPUTED_VALUE"""),1.0)</f>
        <v>1</v>
      </c>
      <c r="AZ7" s="140">
        <f>IFERROR(__xludf.DUMMYFUNCTION("""COMPUTED_VALUE"""),369950.0)</f>
        <v>369950</v>
      </c>
      <c r="BA7" s="140">
        <f>IFERROR(__xludf.DUMMYFUNCTION("""COMPUTED_VALUE"""),369950.0)</f>
        <v>369950</v>
      </c>
      <c r="BB7" s="122"/>
      <c r="BC7" s="141" t="str">
        <f>IFERROR(__xludf.DUMMYFUNCTION("""COMPUTED_VALUE"""),"51089 Sand Verbena")</f>
        <v>51089 Sand Verbena</v>
      </c>
    </row>
    <row r="8">
      <c r="B8" s="151">
        <f>A8/10*100</f>
        <v>410</v>
      </c>
      <c r="C8" s="151">
        <f>A8/120*100</f>
        <v>34.16666667</v>
      </c>
      <c r="J8" s="152"/>
      <c r="K8" s="141"/>
      <c r="L8" s="141"/>
      <c r="M8" s="150"/>
      <c r="AF8" s="135"/>
      <c r="AG8" s="135"/>
      <c r="AH8" s="135" t="str">
        <f>IFERROR(__xludf.DUMMYFUNCTION("""COMPUTED_VALUE"""),"David Acosta")</f>
        <v>David Acosta</v>
      </c>
      <c r="AI8" s="135">
        <f>IFERROR(__xludf.DUMMYFUNCTION("""COMPUTED_VALUE"""),1.0)</f>
        <v>1</v>
      </c>
      <c r="AJ8" s="137">
        <f>IFERROR(__xludf.DUMMYFUNCTION("""COMPUTED_VALUE"""),346950.0)</f>
        <v>346950</v>
      </c>
      <c r="AP8" s="127" t="str">
        <f>IFERROR(__xludf.DUMMYFUNCTION("""COMPUTED_VALUE"""),"Christopher Gil")</f>
        <v>Christopher Gil</v>
      </c>
      <c r="AQ8" s="127">
        <f>IFERROR(__xludf.DUMMYFUNCTION("""COMPUTED_VALUE"""),1.0)</f>
        <v>1</v>
      </c>
      <c r="AX8" s="127" t="str">
        <f>IFERROR(__xludf.DUMMYFUNCTION("""COMPUTED_VALUE"""),"Alex Morales")</f>
        <v>Alex Morales</v>
      </c>
      <c r="AY8" s="127">
        <f>IFERROR(__xludf.DUMMYFUNCTION("""COMPUTED_VALUE"""),5.0)</f>
        <v>5</v>
      </c>
      <c r="AZ8" s="140">
        <f>IFERROR(__xludf.DUMMYFUNCTION("""COMPUTED_VALUE"""),1489750.0)</f>
        <v>1489750</v>
      </c>
      <c r="BA8" s="140">
        <f>IFERROR(__xludf.DUMMYFUNCTION("""COMPUTED_VALUE"""),297950.0)</f>
        <v>297950</v>
      </c>
      <c r="BB8" s="153"/>
      <c r="BC8" s="141"/>
    </row>
    <row r="9">
      <c r="J9" s="146" t="s">
        <v>164</v>
      </c>
      <c r="K9" s="146" t="s">
        <v>165</v>
      </c>
      <c r="L9" s="146" t="s">
        <v>166</v>
      </c>
      <c r="M9" s="146" t="s">
        <v>167</v>
      </c>
      <c r="AF9" s="135"/>
      <c r="AG9" s="135"/>
      <c r="AH9" s="135" t="str">
        <f>IFERROR(__xludf.DUMMYFUNCTION("""COMPUTED_VALUE"""),"Jacalyn L Perez")</f>
        <v>Jacalyn L Perez</v>
      </c>
      <c r="AI9" s="135">
        <f>IFERROR(__xludf.DUMMYFUNCTION("""COMPUTED_VALUE"""),1.0)</f>
        <v>1</v>
      </c>
      <c r="AJ9" s="137">
        <f>IFERROR(__xludf.DUMMYFUNCTION("""COMPUTED_VALUE"""),332950.0)</f>
        <v>332950</v>
      </c>
      <c r="AP9" s="127" t="str">
        <f>IFERROR(__xludf.DUMMYFUNCTION("""COMPUTED_VALUE"""),"David Acosta")</f>
        <v>David Acosta</v>
      </c>
      <c r="AQ9" s="127">
        <f>IFERROR(__xludf.DUMMYFUNCTION("""COMPUTED_VALUE"""),1.0)</f>
        <v>1</v>
      </c>
      <c r="AZ9" s="140"/>
      <c r="BA9" s="140"/>
      <c r="BB9" s="122"/>
      <c r="BC9" s="141"/>
    </row>
    <row r="10">
      <c r="A10" s="112" t="s">
        <v>172</v>
      </c>
      <c r="B10" s="113"/>
      <c r="C10" s="113"/>
      <c r="D10" s="114"/>
      <c r="J10" s="148">
        <f>(COUNTIF(EdwardsHomes2025[LOAN STATUS],"Closed") + COUNTIF(EdwardsHomes2025[LOAN STATUS],"Funded") + COUNTIF(EdwardsHomes2025[LOAN STATUS],"Loan Complete / Transfer")) / COUNTIF(EdwardsHomes2025[EXECUTED],"YES") * 100</f>
        <v>58.53658537</v>
      </c>
      <c r="K10" s="141">
        <f>J10*K7/100</f>
        <v>19.40425532</v>
      </c>
      <c r="L10" s="149">
        <f>(COUNTIFS(EdwardsHomes2025[LOAN STATUS], "&lt;&gt;Closed",EdwardsHomes2025[LOAN STATUS], "&lt;&gt;Funded", EdwardsHomes2025[LOAN STATUS], "&lt;&gt;Loan Complete / Transfer") - COUNTIF(EdwardsHomes2025[EXECUTED],"NO")) / COUNTIF(EdwardsHomes2025[EXECUTED],"YES") * 100</f>
        <v>43.90243902</v>
      </c>
      <c r="M10" s="150">
        <f>L10*K7/100</f>
        <v>14.55319149</v>
      </c>
      <c r="AF10" s="135"/>
      <c r="AG10" s="135"/>
      <c r="AH10" s="135" t="str">
        <f>IFERROR(__xludf.DUMMYFUNCTION("""COMPUTED_VALUE"""),"Seiichi Yoshizaki")</f>
        <v>Seiichi Yoshizaki</v>
      </c>
      <c r="AI10" s="135">
        <f>IFERROR(__xludf.DUMMYFUNCTION("""COMPUTED_VALUE"""),1.0)</f>
        <v>1</v>
      </c>
      <c r="AJ10" s="137">
        <f>IFERROR(__xludf.DUMMYFUNCTION("""COMPUTED_VALUE"""),332950.0)</f>
        <v>332950</v>
      </c>
      <c r="AP10" s="127" t="str">
        <f>IFERROR(__xludf.DUMMYFUNCTION("""COMPUTED_VALUE"""),"Loren Favela")</f>
        <v>Loren Favela</v>
      </c>
      <c r="AQ10" s="127">
        <f>IFERROR(__xludf.DUMMYFUNCTION("""COMPUTED_VALUE"""),1.0)</f>
        <v>1</v>
      </c>
      <c r="BA10" s="144"/>
      <c r="BB10" s="122"/>
      <c r="BC10" s="141"/>
    </row>
    <row r="11">
      <c r="J11" s="142"/>
      <c r="M11" s="143"/>
      <c r="AF11" s="135"/>
      <c r="AG11" s="135"/>
      <c r="AH11" s="135" t="str">
        <f>IFERROR(__xludf.DUMMYFUNCTION("""COMPUTED_VALUE"""),"Deleina Galvan")</f>
        <v>Deleina Galvan</v>
      </c>
      <c r="AI11" s="135">
        <f>IFERROR(__xludf.DUMMYFUNCTION("""COMPUTED_VALUE"""),1.0)</f>
        <v>1</v>
      </c>
      <c r="AJ11" s="137">
        <f>IFERROR(__xludf.DUMMYFUNCTION("""COMPUTED_VALUE"""),304950.0)</f>
        <v>304950</v>
      </c>
      <c r="AP11" s="127" t="str">
        <f>IFERROR(__xludf.DUMMYFUNCTION("""COMPUTED_VALUE"""),"Seiichi Yoshizaki")</f>
        <v>Seiichi Yoshizaki</v>
      </c>
      <c r="AQ11" s="127">
        <f>IFERROR(__xludf.DUMMYFUNCTION("""COMPUTED_VALUE"""),1.0)</f>
        <v>1</v>
      </c>
      <c r="BA11" s="144"/>
      <c r="BB11" s="122"/>
      <c r="BC11" s="141"/>
    </row>
    <row r="12">
      <c r="J12" s="146" t="s">
        <v>180</v>
      </c>
      <c r="K12" s="146" t="s">
        <v>181</v>
      </c>
      <c r="L12" s="146" t="s">
        <v>182</v>
      </c>
      <c r="M12" s="146" t="s">
        <v>183</v>
      </c>
      <c r="AF12" s="135"/>
      <c r="AG12" s="135"/>
      <c r="AH12" s="135" t="str">
        <f>IFERROR(__xludf.DUMMYFUNCTION("""COMPUTED_VALUE"""),"Loren Favela")</f>
        <v>Loren Favela</v>
      </c>
      <c r="AI12" s="135">
        <f>IFERROR(__xludf.DUMMYFUNCTION("""COMPUTED_VALUE"""),1.0)</f>
        <v>1</v>
      </c>
      <c r="AJ12" s="137">
        <f>IFERROR(__xludf.DUMMYFUNCTION("""COMPUTED_VALUE"""),304950.0)</f>
        <v>304950</v>
      </c>
      <c r="AP12" s="127" t="str">
        <f>IFERROR(__xludf.DUMMYFUNCTION("""COMPUTED_VALUE"""),"Vada Garcia")</f>
        <v>Vada Garcia</v>
      </c>
      <c r="AQ12" s="127">
        <f>IFERROR(__xludf.DUMMYFUNCTION("""COMPUTED_VALUE"""),1.0)</f>
        <v>1</v>
      </c>
      <c r="BA12" s="144"/>
      <c r="BB12" s="122"/>
      <c r="BC12" s="141"/>
    </row>
    <row r="13">
      <c r="J13" s="155">
        <f>COUNTIF(EdwardsHomes2025[EXTENSION DATE],"&lt;&gt;") / COUNTIF(EdwardsHomes2025[EXECUTED],"YES") * 100</f>
        <v>26.82926829</v>
      </c>
      <c r="K13" s="156">
        <f>J13*K7/100</f>
        <v>8.893617021</v>
      </c>
      <c r="L13" s="157">
        <f>(COUNTIF(EdwardsHomes2025[EXTENSION DATE],"=") - COUNTIF(EdwardsHomes2025[EXECUTED],"NO")) / COUNTIF(EdwardsHomes2025[EXECUTED],"YES") * 100</f>
        <v>75.6097561</v>
      </c>
      <c r="M13" s="158">
        <f>L13*K7/100</f>
        <v>25.06382979</v>
      </c>
      <c r="AF13" s="135"/>
      <c r="AG13" s="135"/>
      <c r="AH13" s="135" t="str">
        <f>IFERROR(__xludf.DUMMYFUNCTION("""COMPUTED_VALUE"""),"Fernando Sanchez")</f>
        <v>Fernando Sanchez</v>
      </c>
      <c r="AI13" s="135">
        <f>IFERROR(__xludf.DUMMYFUNCTION("""COMPUTED_VALUE"""),1.0)</f>
        <v>1</v>
      </c>
      <c r="AJ13" s="137">
        <f>IFERROR(__xludf.DUMMYFUNCTION("""COMPUTED_VALUE"""),301950.0)</f>
        <v>301950</v>
      </c>
      <c r="BA13" s="144"/>
      <c r="BB13" s="122"/>
      <c r="BC13" s="141"/>
    </row>
    <row r="14">
      <c r="AF14" s="135"/>
      <c r="AG14" s="135"/>
      <c r="AH14" s="135" t="str">
        <f>IFERROR(__xludf.DUMMYFUNCTION("""COMPUTED_VALUE"""),"Angel Flores")</f>
        <v>Angel Flores</v>
      </c>
      <c r="AI14" s="135">
        <f>IFERROR(__xludf.DUMMYFUNCTION("""COMPUTED_VALUE"""),1.0)</f>
        <v>1</v>
      </c>
      <c r="AJ14" s="137">
        <f>IFERROR(__xludf.DUMMYFUNCTION("""COMPUTED_VALUE"""),282950.0)</f>
        <v>282950</v>
      </c>
      <c r="BA14" s="144"/>
      <c r="BB14" s="122"/>
      <c r="BC14" s="141"/>
    </row>
    <row r="15">
      <c r="J15" s="159" t="s">
        <v>198</v>
      </c>
      <c r="K15" s="125"/>
      <c r="L15" s="125"/>
      <c r="M15" s="126"/>
      <c r="AF15" s="135"/>
      <c r="AG15" s="135"/>
      <c r="AH15" s="135" t="str">
        <f>IFERROR(__xludf.DUMMYFUNCTION("""COMPUTED_VALUE"""),"Pamela Gonzalez Pulido")</f>
        <v>Pamela Gonzalez Pulido</v>
      </c>
      <c r="AI15" s="135">
        <f>IFERROR(__xludf.DUMMYFUNCTION("""COMPUTED_VALUE"""),1.0)</f>
        <v>1</v>
      </c>
      <c r="AJ15" s="137">
        <f>IFERROR(__xludf.DUMMYFUNCTION("""COMPUTED_VALUE"""),282950.0)</f>
        <v>282950</v>
      </c>
      <c r="BB15" s="122"/>
      <c r="BC15" s="141"/>
    </row>
    <row r="16">
      <c r="J16" s="146" t="s">
        <v>202</v>
      </c>
      <c r="K16" s="146" t="s">
        <v>203</v>
      </c>
      <c r="L16" s="146" t="s">
        <v>204</v>
      </c>
      <c r="M16" s="146" t="s">
        <v>205</v>
      </c>
      <c r="AF16" s="135"/>
      <c r="AG16" s="135"/>
      <c r="AH16" s="135" t="str">
        <f>IFERROR(__xludf.DUMMYFUNCTION("""COMPUTED_VALUE"""),"Faride Scarlett")</f>
        <v>Faride Scarlett</v>
      </c>
      <c r="AI16" s="135">
        <f>IFERROR(__xludf.DUMMYFUNCTION("""COMPUTED_VALUE"""),1.0)</f>
        <v>1</v>
      </c>
      <c r="AJ16" s="137">
        <f>IFERROR(__xludf.DUMMYFUNCTION("""COMPUTED_VALUE"""),279950.0)</f>
        <v>279950</v>
      </c>
      <c r="BB16" s="122"/>
      <c r="BC16" s="141"/>
    </row>
    <row r="17">
      <c r="J17" s="160">
        <f>IFERROR(__xludf.DUMMYFUNCTION("ROUNDUP(AVERAGE(FILTER(ABS(EdwardsHomes2025[SUB''D DATE]-EdwardsHomes2025[EXECUTED DATE]), EdwardsHomes2025[EXECUTED DATE]&lt;&gt;"""",EdwardsHomes2025[SUB''D DATE]&lt;&gt;"""")))"),32.0)</f>
        <v>32</v>
      </c>
      <c r="K17" s="161">
        <f>IFERROR(__xludf.DUMMYFUNCTION("ROUNDUP(AVERAGE(FILTER(ABS(EdwardsHomes2025[SCHEDULED CLOSING]-EdwardsHomes2025[EXECUTED DATE]), EdwardsHomes2025[EXECUTED DATE]&lt;&gt;"""", EdwardsHomes2025[SCHEDULED CLOSING]&lt;&gt;"""")))"),36.0)</f>
        <v>36</v>
      </c>
      <c r="L17" s="161">
        <f>IFERROR(__xludf.DUMMYFUNCTION("ROUNDUP(AVERAGE(FILTER(ABS(EdwardsHomes2025[SCHEDULED CLOSING]-EdwardsHomes2025[EXTENSION DATE]), EdwardsHomes2025[EXTENSION DATE]&lt;&gt;"""",EdwardsHomes2025[SCHEDULED CLOSING]&lt;&gt;"""")))"),16.0)</f>
        <v>16</v>
      </c>
      <c r="M17" s="162">
        <f>IFERROR(__xludf.DUMMYFUNCTION("ROUNDUP(AVERAGE(FILTER(ABS(EdwardsHomes2025[EXECUTED DATE]-EdwardsHomes2025[CLOSED DATE]), EdwardsHomes2025[EXECUTED DATE]&lt;&gt;"""",EdwardsHomes2025[CLOSED DATE]&lt;&gt;"""")))"),75.0)</f>
        <v>75</v>
      </c>
      <c r="AF17" s="135"/>
      <c r="AG17" s="135"/>
      <c r="AH17" s="135" t="str">
        <f>IFERROR(__xludf.DUMMYFUNCTION("""COMPUTED_VALUE"""),"Alfonso Yanez")</f>
        <v>Alfonso Yanez</v>
      </c>
      <c r="AI17" s="135">
        <f>IFERROR(__xludf.DUMMYFUNCTION("""COMPUTED_VALUE"""),1.0)</f>
        <v>1</v>
      </c>
      <c r="AJ17" s="137">
        <f>IFERROR(__xludf.DUMMYFUNCTION("""COMPUTED_VALUE"""),274950.0)</f>
        <v>274950</v>
      </c>
      <c r="BB17" s="122"/>
      <c r="BC17" s="141"/>
    </row>
    <row r="18">
      <c r="AF18" s="135"/>
      <c r="AG18" s="135"/>
      <c r="AH18" s="135" t="str">
        <f>IFERROR(__xludf.DUMMYFUNCTION("""COMPUTED_VALUE"""),"Caren Carver")</f>
        <v>Caren Carver</v>
      </c>
      <c r="AI18" s="135">
        <f>IFERROR(__xludf.DUMMYFUNCTION("""COMPUTED_VALUE"""),1.0)</f>
        <v>1</v>
      </c>
      <c r="AJ18" s="137">
        <f>IFERROR(__xludf.DUMMYFUNCTION("""COMPUTED_VALUE"""),274950.0)</f>
        <v>274950</v>
      </c>
      <c r="BB18" s="122"/>
      <c r="BC18" s="141"/>
    </row>
    <row r="19">
      <c r="K19" s="121"/>
      <c r="L19" s="121"/>
      <c r="M19" s="121"/>
      <c r="AF19" s="135"/>
      <c r="AG19" s="135"/>
      <c r="AH19" s="135" t="str">
        <f>IFERROR(__xludf.DUMMYFUNCTION("""COMPUTED_VALUE"""),"Carmen Luna")</f>
        <v>Carmen Luna</v>
      </c>
      <c r="AI19" s="135">
        <f>IFERROR(__xludf.DUMMYFUNCTION("""COMPUTED_VALUE"""),1.0)</f>
        <v>1</v>
      </c>
      <c r="AJ19" s="137">
        <f>IFERROR(__xludf.DUMMYFUNCTION("""COMPUTED_VALUE"""),274950.0)</f>
        <v>274950</v>
      </c>
      <c r="BB19" s="122"/>
      <c r="BC19" s="141"/>
    </row>
    <row r="20">
      <c r="A20" s="163"/>
      <c r="B20" s="163"/>
      <c r="C20" s="163"/>
      <c r="D20" s="163"/>
      <c r="K20" s="164"/>
      <c r="M20" s="164"/>
      <c r="AF20" s="135"/>
      <c r="AG20" s="135"/>
      <c r="AH20" s="135" t="str">
        <f>IFERROR(__xludf.DUMMYFUNCTION("""COMPUTED_VALUE"""),"Lizeth Lozano")</f>
        <v>Lizeth Lozano</v>
      </c>
      <c r="AI20" s="135">
        <f>IFERROR(__xludf.DUMMYFUNCTION("""COMPUTED_VALUE"""),1.0)</f>
        <v>1</v>
      </c>
      <c r="AJ20" s="127">
        <f>IFERROR(__xludf.DUMMYFUNCTION("""COMPUTED_VALUE"""),274950.0)</f>
        <v>274950</v>
      </c>
      <c r="BB20" s="122"/>
      <c r="BC20" s="141"/>
    </row>
    <row r="21">
      <c r="A21" s="163"/>
      <c r="B21" s="163"/>
      <c r="C21" s="163"/>
      <c r="D21" s="163"/>
      <c r="AF21" s="135"/>
      <c r="AG21" s="135"/>
      <c r="AH21" s="135"/>
      <c r="AI21" s="135"/>
      <c r="BB21" s="122"/>
      <c r="BC21" s="141"/>
    </row>
    <row r="22">
      <c r="A22" s="165"/>
      <c r="B22" s="163"/>
      <c r="C22" s="163"/>
      <c r="D22" s="163"/>
      <c r="J22" s="121"/>
      <c r="K22" s="121"/>
      <c r="L22" s="121"/>
      <c r="M22" s="121"/>
      <c r="AF22" s="135"/>
      <c r="AG22" s="135"/>
      <c r="AH22" s="135"/>
      <c r="AI22" s="135"/>
      <c r="BB22" s="122"/>
      <c r="BC22" s="141"/>
    </row>
    <row r="23">
      <c r="A23" s="163"/>
      <c r="B23" s="163"/>
      <c r="C23" s="163"/>
      <c r="D23" s="163"/>
      <c r="AF23" s="135"/>
      <c r="AG23" s="135"/>
      <c r="AH23" s="135"/>
      <c r="AI23" s="135"/>
      <c r="BB23" s="122"/>
      <c r="BC23" s="141"/>
    </row>
    <row r="24">
      <c r="A24" s="163"/>
      <c r="B24" s="163"/>
      <c r="C24" s="163"/>
      <c r="D24" s="163"/>
      <c r="L24" s="119"/>
      <c r="AF24" s="135"/>
      <c r="AG24" s="135"/>
      <c r="AH24" s="135"/>
      <c r="AI24" s="135"/>
      <c r="BB24" s="122"/>
      <c r="BC24" s="141"/>
    </row>
    <row r="25">
      <c r="A25" s="163"/>
      <c r="B25" s="163"/>
      <c r="C25" s="163"/>
      <c r="D25" s="163"/>
      <c r="J25" s="141"/>
      <c r="K25" s="141"/>
      <c r="L25" s="149"/>
      <c r="BB25" s="122"/>
      <c r="BC25" s="141"/>
    </row>
    <row r="26">
      <c r="A26" s="163"/>
      <c r="B26" s="163"/>
      <c r="C26" s="163"/>
      <c r="D26" s="163"/>
      <c r="BB26" s="122"/>
      <c r="BC26" s="141"/>
    </row>
    <row r="27">
      <c r="BB27" s="122"/>
      <c r="BC27" s="141"/>
    </row>
    <row r="28">
      <c r="BB28" s="122"/>
      <c r="BC28" s="141"/>
    </row>
    <row r="29">
      <c r="J29" s="119"/>
      <c r="BB29" s="122"/>
      <c r="BC29" s="141"/>
    </row>
    <row r="30">
      <c r="BB30" s="122"/>
      <c r="BC30" s="141"/>
    </row>
    <row r="31">
      <c r="BB31" s="122"/>
      <c r="BC31" s="141"/>
    </row>
    <row r="32">
      <c r="J32" s="119"/>
      <c r="BB32" s="122"/>
      <c r="BC32" s="141"/>
    </row>
    <row r="33">
      <c r="BB33" s="122"/>
      <c r="BC33" s="141"/>
    </row>
    <row r="34">
      <c r="BB34" s="122"/>
      <c r="BC34" s="141"/>
    </row>
    <row r="35">
      <c r="J35" s="119"/>
      <c r="BB35" s="122"/>
      <c r="BC35" s="141"/>
    </row>
    <row r="36">
      <c r="BB36" s="122"/>
      <c r="BC36" s="141"/>
    </row>
    <row r="37">
      <c r="BB37" s="122"/>
      <c r="BC37" s="141"/>
    </row>
    <row r="38">
      <c r="BB38" s="122"/>
      <c r="BC38" s="141"/>
    </row>
    <row r="39">
      <c r="BB39" s="122"/>
      <c r="BC39" s="141"/>
    </row>
    <row r="40">
      <c r="J40" s="119"/>
      <c r="BB40" s="122"/>
      <c r="BC40" s="141"/>
    </row>
    <row r="41">
      <c r="BB41" s="122"/>
      <c r="BC41" s="141"/>
    </row>
    <row r="42">
      <c r="BB42" s="122"/>
      <c r="BC42" s="141"/>
    </row>
    <row r="43">
      <c r="BB43" s="122"/>
      <c r="BC43" s="141"/>
    </row>
    <row r="44">
      <c r="BB44" s="122"/>
      <c r="BC44" s="141"/>
    </row>
    <row r="45">
      <c r="BB45" s="122"/>
      <c r="BC45" s="141"/>
    </row>
    <row r="46">
      <c r="BB46" s="122"/>
      <c r="BC46" s="141"/>
    </row>
    <row r="47">
      <c r="BB47" s="122"/>
      <c r="BC47" s="141"/>
    </row>
    <row r="48">
      <c r="BB48" s="122"/>
      <c r="BC48" s="141"/>
    </row>
    <row r="49">
      <c r="BB49" s="122"/>
      <c r="BC49" s="141"/>
    </row>
    <row r="50">
      <c r="BB50" s="122"/>
      <c r="BC50" s="141"/>
    </row>
    <row r="51">
      <c r="BB51" s="122"/>
      <c r="BC51" s="141"/>
    </row>
    <row r="52">
      <c r="BB52" s="122"/>
      <c r="BC52" s="141"/>
    </row>
    <row r="53">
      <c r="BB53" s="122"/>
      <c r="BC53" s="141"/>
    </row>
    <row r="54">
      <c r="BB54" s="122"/>
      <c r="BC54" s="141"/>
    </row>
    <row r="55">
      <c r="BB55" s="122"/>
      <c r="BC55" s="141"/>
    </row>
    <row r="56">
      <c r="BB56" s="122"/>
      <c r="BC56" s="141"/>
    </row>
    <row r="57">
      <c r="BB57" s="122"/>
      <c r="BC57" s="141"/>
    </row>
    <row r="58">
      <c r="BB58" s="122"/>
      <c r="BC58" s="141"/>
    </row>
    <row r="59">
      <c r="BB59" s="122"/>
      <c r="BC59" s="141"/>
    </row>
    <row r="60">
      <c r="BB60" s="122"/>
      <c r="BC60" s="141"/>
    </row>
    <row r="61">
      <c r="BB61" s="122"/>
      <c r="BC61" s="141"/>
    </row>
    <row r="62">
      <c r="BB62" s="122"/>
      <c r="BC62" s="141"/>
    </row>
    <row r="63">
      <c r="BB63" s="122"/>
      <c r="BC63" s="141"/>
    </row>
    <row r="64">
      <c r="BB64" s="122"/>
      <c r="BC64" s="141"/>
    </row>
    <row r="65">
      <c r="BB65" s="122"/>
      <c r="BC65" s="141"/>
    </row>
    <row r="66">
      <c r="BB66" s="122"/>
      <c r="BC66" s="141"/>
    </row>
    <row r="67">
      <c r="BB67" s="122"/>
      <c r="BC67" s="141"/>
    </row>
    <row r="68">
      <c r="BB68" s="122"/>
      <c r="BC68" s="141"/>
    </row>
    <row r="69">
      <c r="BB69" s="122"/>
      <c r="BC69" s="141"/>
    </row>
    <row r="70">
      <c r="BB70" s="122"/>
      <c r="BC70" s="141"/>
    </row>
    <row r="71">
      <c r="BB71" s="122"/>
      <c r="BC71" s="141"/>
    </row>
    <row r="72">
      <c r="BB72" s="122"/>
      <c r="BC72" s="141"/>
    </row>
    <row r="73">
      <c r="BB73" s="122"/>
      <c r="BC73" s="141"/>
    </row>
    <row r="74">
      <c r="BB74" s="122"/>
      <c r="BC74" s="141"/>
    </row>
    <row r="75">
      <c r="BB75" s="122"/>
      <c r="BC75" s="141"/>
    </row>
    <row r="76">
      <c r="BB76" s="122"/>
      <c r="BC76" s="141"/>
    </row>
    <row r="77">
      <c r="BB77" s="122"/>
      <c r="BC77" s="141"/>
    </row>
    <row r="78">
      <c r="BB78" s="122"/>
      <c r="BC78" s="141"/>
    </row>
    <row r="79">
      <c r="BB79" s="122"/>
      <c r="BC79" s="141"/>
    </row>
    <row r="80">
      <c r="BB80" s="122"/>
      <c r="BC80" s="141"/>
    </row>
    <row r="81">
      <c r="BB81" s="122"/>
      <c r="BC81" s="141"/>
    </row>
    <row r="82">
      <c r="BB82" s="122"/>
      <c r="BC82" s="141"/>
    </row>
    <row r="83">
      <c r="BB83" s="122"/>
      <c r="BC83" s="141"/>
    </row>
    <row r="84">
      <c r="BB84" s="122"/>
      <c r="BC84" s="141"/>
    </row>
    <row r="85">
      <c r="BB85" s="122"/>
      <c r="BC85" s="141"/>
    </row>
    <row r="86">
      <c r="BB86" s="122"/>
      <c r="BC86" s="141"/>
    </row>
    <row r="87">
      <c r="BB87" s="122"/>
      <c r="BC87" s="141"/>
    </row>
    <row r="88">
      <c r="BB88" s="122"/>
      <c r="BC88" s="141"/>
    </row>
    <row r="89">
      <c r="BB89" s="122"/>
      <c r="BC89" s="141"/>
    </row>
    <row r="90">
      <c r="BB90" s="122"/>
      <c r="BC90" s="141"/>
    </row>
    <row r="91">
      <c r="BB91" s="122"/>
      <c r="BC91" s="141"/>
    </row>
    <row r="92">
      <c r="BB92" s="122"/>
      <c r="BC92" s="141"/>
    </row>
    <row r="93">
      <c r="BB93" s="122"/>
      <c r="BC93" s="141"/>
    </row>
    <row r="94">
      <c r="BB94" s="122"/>
      <c r="BC94" s="141"/>
    </row>
    <row r="95">
      <c r="BB95" s="122"/>
      <c r="BC95" s="141"/>
    </row>
    <row r="96">
      <c r="BB96" s="122"/>
      <c r="BC96" s="141"/>
    </row>
    <row r="97">
      <c r="BB97" s="122"/>
      <c r="BC97" s="141"/>
    </row>
    <row r="98">
      <c r="BB98" s="122"/>
      <c r="BC98" s="141"/>
    </row>
    <row r="99">
      <c r="BB99" s="122"/>
      <c r="BC99" s="141"/>
    </row>
    <row r="100">
      <c r="BB100" s="122"/>
      <c r="BC100" s="141"/>
    </row>
    <row r="101">
      <c r="BB101" s="122"/>
      <c r="BC101" s="141"/>
    </row>
    <row r="102">
      <c r="BB102" s="122"/>
      <c r="BC102" s="141"/>
    </row>
    <row r="103">
      <c r="BB103" s="122"/>
      <c r="BC103" s="141"/>
    </row>
    <row r="104">
      <c r="BB104" s="122"/>
      <c r="BC104" s="141"/>
    </row>
    <row r="105">
      <c r="BB105" s="122"/>
      <c r="BC105" s="141"/>
    </row>
    <row r="106">
      <c r="BB106" s="122"/>
      <c r="BC106" s="141"/>
    </row>
    <row r="107">
      <c r="BB107" s="122"/>
      <c r="BC107" s="141"/>
    </row>
    <row r="108">
      <c r="BB108" s="122"/>
      <c r="BC108" s="141"/>
    </row>
    <row r="109">
      <c r="BB109" s="122"/>
      <c r="BC109" s="141"/>
    </row>
    <row r="110">
      <c r="BB110" s="122"/>
      <c r="BC110" s="141"/>
    </row>
    <row r="111">
      <c r="BB111" s="122"/>
      <c r="BC111" s="141"/>
    </row>
    <row r="112">
      <c r="BB112" s="122"/>
      <c r="BC112" s="141"/>
    </row>
    <row r="113">
      <c r="BB113" s="122"/>
      <c r="BC113" s="141"/>
    </row>
    <row r="114">
      <c r="BB114" s="122"/>
      <c r="BC114" s="141"/>
    </row>
    <row r="115">
      <c r="BB115" s="122"/>
      <c r="BC115" s="141"/>
    </row>
    <row r="116">
      <c r="BB116" s="122"/>
      <c r="BC116" s="141"/>
    </row>
    <row r="117">
      <c r="BB117" s="122"/>
      <c r="BC117" s="141"/>
    </row>
    <row r="118">
      <c r="BB118" s="122"/>
      <c r="BC118" s="141"/>
    </row>
    <row r="119">
      <c r="BB119" s="122"/>
      <c r="BC119" s="141"/>
    </row>
    <row r="120">
      <c r="BB120" s="122"/>
      <c r="BC120" s="141"/>
    </row>
    <row r="121">
      <c r="BB121" s="122"/>
      <c r="BC121" s="141"/>
    </row>
    <row r="122">
      <c r="BB122" s="122"/>
      <c r="BC122" s="141"/>
    </row>
    <row r="123">
      <c r="BB123" s="122"/>
      <c r="BC123" s="141"/>
    </row>
    <row r="124">
      <c r="BB124" s="122"/>
      <c r="BC124" s="141"/>
    </row>
    <row r="125">
      <c r="BB125" s="122"/>
      <c r="BC125" s="141"/>
    </row>
    <row r="126">
      <c r="BB126" s="122"/>
      <c r="BC126" s="141"/>
    </row>
    <row r="127">
      <c r="BB127" s="122"/>
      <c r="BC127" s="141"/>
    </row>
    <row r="128">
      <c r="BB128" s="122"/>
      <c r="BC128" s="141"/>
    </row>
    <row r="129">
      <c r="BB129" s="122"/>
      <c r="BC129" s="141"/>
    </row>
    <row r="130">
      <c r="BB130" s="122"/>
      <c r="BC130" s="141"/>
    </row>
    <row r="131">
      <c r="BB131" s="122"/>
      <c r="BC131" s="141"/>
    </row>
    <row r="132">
      <c r="BB132" s="122"/>
      <c r="BC132" s="141"/>
    </row>
    <row r="133">
      <c r="BB133" s="122"/>
      <c r="BC133" s="141"/>
    </row>
    <row r="134">
      <c r="BB134" s="122"/>
      <c r="BC134" s="141"/>
    </row>
    <row r="135">
      <c r="BB135" s="122"/>
      <c r="BC135" s="141"/>
    </row>
    <row r="136">
      <c r="BB136" s="122"/>
      <c r="BC136" s="141"/>
    </row>
    <row r="137">
      <c r="BB137" s="122"/>
      <c r="BC137" s="141"/>
    </row>
    <row r="138">
      <c r="BB138" s="122"/>
      <c r="BC138" s="141"/>
    </row>
    <row r="139">
      <c r="BB139" s="122"/>
      <c r="BC139" s="141"/>
    </row>
    <row r="140">
      <c r="BB140" s="122"/>
      <c r="BC140" s="141"/>
    </row>
    <row r="141">
      <c r="BB141" s="122"/>
      <c r="BC141" s="141"/>
    </row>
    <row r="142">
      <c r="BB142" s="122"/>
      <c r="BC142" s="141"/>
    </row>
    <row r="143">
      <c r="BB143" s="122"/>
      <c r="BC143" s="141"/>
    </row>
    <row r="144">
      <c r="BB144" s="122"/>
      <c r="BC144" s="141"/>
    </row>
    <row r="145">
      <c r="BB145" s="122"/>
      <c r="BC145" s="141"/>
    </row>
    <row r="146">
      <c r="BB146" s="122"/>
      <c r="BC146" s="141"/>
    </row>
    <row r="147">
      <c r="BB147" s="122"/>
      <c r="BC147" s="141"/>
    </row>
    <row r="148">
      <c r="BB148" s="122"/>
      <c r="BC148" s="141"/>
    </row>
    <row r="149">
      <c r="BB149" s="122"/>
      <c r="BC149" s="141"/>
    </row>
    <row r="150">
      <c r="BB150" s="122"/>
      <c r="BC150" s="141"/>
    </row>
    <row r="151">
      <c r="BB151" s="122"/>
      <c r="BC151" s="141"/>
    </row>
    <row r="152">
      <c r="BB152" s="122"/>
      <c r="BC152" s="141"/>
    </row>
    <row r="153">
      <c r="BB153" s="122"/>
      <c r="BC153" s="141"/>
    </row>
    <row r="154">
      <c r="BB154" s="122"/>
      <c r="BC154" s="141"/>
    </row>
    <row r="155">
      <c r="BB155" s="122"/>
      <c r="BC155" s="141"/>
    </row>
    <row r="156">
      <c r="BB156" s="122"/>
      <c r="BC156" s="141"/>
    </row>
    <row r="157">
      <c r="BB157" s="122"/>
      <c r="BC157" s="141"/>
    </row>
    <row r="158">
      <c r="BB158" s="122"/>
      <c r="BC158" s="141"/>
    </row>
    <row r="159">
      <c r="BB159" s="122"/>
      <c r="BC159" s="141"/>
    </row>
    <row r="160">
      <c r="BB160" s="122"/>
      <c r="BC160" s="141"/>
    </row>
    <row r="161">
      <c r="BB161" s="122"/>
      <c r="BC161" s="141"/>
    </row>
    <row r="162">
      <c r="BB162" s="122"/>
      <c r="BC162" s="141"/>
    </row>
    <row r="163">
      <c r="BB163" s="122"/>
      <c r="BC163" s="141"/>
    </row>
    <row r="164">
      <c r="BB164" s="122"/>
      <c r="BC164" s="141"/>
    </row>
    <row r="165">
      <c r="BB165" s="122"/>
      <c r="BC165" s="141"/>
    </row>
    <row r="166">
      <c r="BB166" s="122"/>
      <c r="BC166" s="141"/>
    </row>
    <row r="167">
      <c r="BB167" s="122"/>
      <c r="BC167" s="141"/>
    </row>
    <row r="168">
      <c r="BB168" s="122"/>
      <c r="BC168" s="141"/>
    </row>
    <row r="169">
      <c r="BB169" s="122"/>
      <c r="BC169" s="141"/>
    </row>
    <row r="170">
      <c r="BB170" s="122"/>
      <c r="BC170" s="141"/>
    </row>
    <row r="171">
      <c r="BB171" s="122"/>
      <c r="BC171" s="141"/>
    </row>
    <row r="172">
      <c r="BB172" s="122"/>
      <c r="BC172" s="141"/>
    </row>
    <row r="173">
      <c r="BB173" s="122"/>
      <c r="BC173" s="141"/>
    </row>
    <row r="174">
      <c r="BB174" s="122"/>
      <c r="BC174" s="141"/>
    </row>
    <row r="175">
      <c r="BB175" s="122"/>
      <c r="BC175" s="141"/>
    </row>
    <row r="176">
      <c r="BB176" s="122"/>
      <c r="BC176" s="141"/>
    </row>
    <row r="177">
      <c r="BB177" s="122"/>
      <c r="BC177" s="141"/>
    </row>
    <row r="178">
      <c r="BB178" s="122"/>
      <c r="BC178" s="141"/>
    </row>
    <row r="179">
      <c r="BB179" s="122"/>
      <c r="BC179" s="141"/>
    </row>
    <row r="180">
      <c r="BB180" s="122"/>
      <c r="BC180" s="141"/>
    </row>
    <row r="181">
      <c r="BB181" s="122"/>
      <c r="BC181" s="141"/>
    </row>
    <row r="182">
      <c r="BB182" s="122"/>
      <c r="BC182" s="141"/>
    </row>
    <row r="183">
      <c r="BB183" s="122"/>
      <c r="BC183" s="141"/>
    </row>
    <row r="184">
      <c r="BB184" s="122"/>
      <c r="BC184" s="141"/>
    </row>
    <row r="185">
      <c r="BB185" s="122"/>
      <c r="BC185" s="141"/>
    </row>
    <row r="186">
      <c r="BB186" s="122"/>
      <c r="BC186" s="141"/>
    </row>
    <row r="187">
      <c r="BB187" s="122"/>
      <c r="BC187" s="141"/>
    </row>
    <row r="188">
      <c r="BB188" s="122"/>
      <c r="BC188" s="141"/>
    </row>
    <row r="189">
      <c r="BB189" s="122"/>
      <c r="BC189" s="141"/>
    </row>
    <row r="190">
      <c r="BB190" s="122"/>
      <c r="BC190" s="141"/>
    </row>
    <row r="191">
      <c r="BB191" s="122"/>
      <c r="BC191" s="141"/>
    </row>
    <row r="192">
      <c r="BB192" s="122"/>
      <c r="BC192" s="141"/>
    </row>
    <row r="193">
      <c r="BB193" s="122"/>
      <c r="BC193" s="141"/>
    </row>
    <row r="194">
      <c r="BB194" s="122"/>
      <c r="BC194" s="141"/>
    </row>
    <row r="195">
      <c r="BB195" s="122"/>
      <c r="BC195" s="141"/>
    </row>
    <row r="196">
      <c r="BB196" s="122"/>
      <c r="BC196" s="141"/>
    </row>
    <row r="197">
      <c r="BB197" s="122"/>
      <c r="BC197" s="141"/>
    </row>
    <row r="198">
      <c r="BB198" s="122"/>
      <c r="BC198" s="141"/>
    </row>
    <row r="199">
      <c r="BB199" s="122"/>
      <c r="BC199" s="141"/>
    </row>
    <row r="200">
      <c r="BB200" s="122"/>
      <c r="BC200" s="141"/>
    </row>
    <row r="201">
      <c r="BB201" s="122"/>
      <c r="BC201" s="141"/>
    </row>
    <row r="202">
      <c r="BB202" s="122"/>
      <c r="BC202" s="141"/>
    </row>
    <row r="203">
      <c r="BB203" s="122"/>
      <c r="BC203" s="141"/>
    </row>
    <row r="204">
      <c r="BB204" s="122"/>
      <c r="BC204" s="141"/>
    </row>
    <row r="205">
      <c r="BB205" s="122"/>
      <c r="BC205" s="141"/>
    </row>
    <row r="206">
      <c r="BB206" s="122"/>
      <c r="BC206" s="141"/>
    </row>
    <row r="207">
      <c r="BB207" s="122"/>
      <c r="BC207" s="141"/>
    </row>
    <row r="208">
      <c r="BB208" s="122"/>
      <c r="BC208" s="141"/>
    </row>
    <row r="209">
      <c r="BB209" s="122"/>
      <c r="BC209" s="141"/>
    </row>
    <row r="210">
      <c r="BB210" s="122"/>
      <c r="BC210" s="141"/>
    </row>
    <row r="211">
      <c r="BB211" s="122"/>
      <c r="BC211" s="141"/>
    </row>
    <row r="212">
      <c r="BB212" s="122"/>
      <c r="BC212" s="141"/>
    </row>
    <row r="213">
      <c r="BB213" s="122"/>
      <c r="BC213" s="141"/>
    </row>
    <row r="214">
      <c r="BB214" s="122"/>
      <c r="BC214" s="141"/>
    </row>
    <row r="215">
      <c r="BB215" s="122"/>
      <c r="BC215" s="141"/>
    </row>
    <row r="216">
      <c r="BB216" s="122"/>
      <c r="BC216" s="141"/>
    </row>
    <row r="217">
      <c r="BB217" s="122"/>
      <c r="BC217" s="141"/>
    </row>
    <row r="218">
      <c r="BB218" s="122"/>
      <c r="BC218" s="141"/>
    </row>
    <row r="219">
      <c r="BB219" s="122"/>
      <c r="BC219" s="141"/>
    </row>
    <row r="220">
      <c r="BB220" s="122"/>
      <c r="BC220" s="141"/>
    </row>
    <row r="221">
      <c r="BB221" s="122"/>
      <c r="BC221" s="141"/>
    </row>
    <row r="222">
      <c r="BB222" s="122"/>
      <c r="BC222" s="141"/>
    </row>
    <row r="223">
      <c r="BB223" s="122"/>
      <c r="BC223" s="141"/>
    </row>
    <row r="224">
      <c r="BB224" s="122"/>
      <c r="BC224" s="141"/>
    </row>
    <row r="225">
      <c r="BB225" s="122"/>
      <c r="BC225" s="141"/>
    </row>
    <row r="226">
      <c r="BB226" s="122"/>
      <c r="BC226" s="141"/>
    </row>
    <row r="227">
      <c r="BB227" s="122"/>
      <c r="BC227" s="141"/>
    </row>
    <row r="228">
      <c r="BB228" s="122"/>
      <c r="BC228" s="141"/>
    </row>
    <row r="229">
      <c r="BB229" s="122"/>
      <c r="BC229" s="141"/>
    </row>
    <row r="230">
      <c r="BB230" s="122"/>
      <c r="BC230" s="141"/>
    </row>
    <row r="231">
      <c r="BB231" s="122"/>
      <c r="BC231" s="141"/>
    </row>
    <row r="232">
      <c r="BB232" s="122"/>
      <c r="BC232" s="141"/>
    </row>
    <row r="233">
      <c r="BB233" s="122"/>
      <c r="BC233" s="141"/>
    </row>
    <row r="234">
      <c r="BB234" s="122"/>
      <c r="BC234" s="141"/>
    </row>
    <row r="235">
      <c r="BB235" s="122"/>
      <c r="BC235" s="141"/>
    </row>
    <row r="236">
      <c r="BB236" s="122"/>
      <c r="BC236" s="141"/>
    </row>
    <row r="237">
      <c r="BB237" s="122"/>
      <c r="BC237" s="141"/>
    </row>
    <row r="238">
      <c r="BB238" s="122"/>
      <c r="BC238" s="141"/>
    </row>
    <row r="239">
      <c r="BB239" s="122"/>
      <c r="BC239" s="141"/>
    </row>
    <row r="240">
      <c r="BB240" s="122"/>
      <c r="BC240" s="141"/>
    </row>
    <row r="241">
      <c r="BB241" s="122"/>
      <c r="BC241" s="141"/>
    </row>
    <row r="242">
      <c r="BB242" s="122"/>
      <c r="BC242" s="141"/>
    </row>
    <row r="243">
      <c r="BB243" s="122"/>
      <c r="BC243" s="141"/>
    </row>
    <row r="244">
      <c r="BB244" s="122"/>
      <c r="BC244" s="141"/>
    </row>
    <row r="245">
      <c r="BB245" s="122"/>
      <c r="BC245" s="141"/>
    </row>
    <row r="246">
      <c r="BB246" s="122"/>
      <c r="BC246" s="141"/>
    </row>
    <row r="247">
      <c r="BB247" s="122"/>
      <c r="BC247" s="141"/>
    </row>
    <row r="248">
      <c r="BB248" s="122"/>
      <c r="BC248" s="141"/>
    </row>
    <row r="249">
      <c r="BB249" s="122"/>
      <c r="BC249" s="141"/>
    </row>
    <row r="250">
      <c r="BB250" s="122"/>
      <c r="BC250" s="141"/>
    </row>
    <row r="251">
      <c r="BB251" s="122"/>
      <c r="BC251" s="141"/>
    </row>
    <row r="252">
      <c r="BB252" s="122"/>
      <c r="BC252" s="141"/>
    </row>
    <row r="253">
      <c r="BB253" s="122"/>
      <c r="BC253" s="141"/>
    </row>
    <row r="254">
      <c r="BB254" s="122"/>
      <c r="BC254" s="141"/>
    </row>
    <row r="255">
      <c r="BB255" s="122"/>
      <c r="BC255" s="141"/>
    </row>
    <row r="256">
      <c r="BB256" s="122"/>
      <c r="BC256" s="141"/>
    </row>
    <row r="257">
      <c r="BB257" s="122"/>
      <c r="BC257" s="141"/>
    </row>
    <row r="258">
      <c r="BB258" s="122"/>
      <c r="BC258" s="141"/>
    </row>
    <row r="259">
      <c r="BB259" s="122"/>
      <c r="BC259" s="141"/>
    </row>
    <row r="260">
      <c r="BB260" s="122"/>
      <c r="BC260" s="141"/>
    </row>
    <row r="261">
      <c r="BB261" s="122"/>
      <c r="BC261" s="141"/>
    </row>
    <row r="262">
      <c r="BB262" s="122"/>
      <c r="BC262" s="141"/>
    </row>
    <row r="263">
      <c r="BB263" s="122"/>
      <c r="BC263" s="141"/>
    </row>
    <row r="264">
      <c r="BB264" s="122"/>
      <c r="BC264" s="141"/>
    </row>
    <row r="265">
      <c r="BB265" s="122"/>
      <c r="BC265" s="141"/>
    </row>
    <row r="266">
      <c r="BB266" s="122"/>
      <c r="BC266" s="141"/>
    </row>
    <row r="267">
      <c r="BB267" s="122"/>
      <c r="BC267" s="141"/>
    </row>
    <row r="268">
      <c r="BB268" s="122"/>
      <c r="BC268" s="141"/>
    </row>
    <row r="269">
      <c r="BB269" s="122"/>
      <c r="BC269" s="141"/>
    </row>
    <row r="270">
      <c r="BB270" s="122"/>
      <c r="BC270" s="141"/>
    </row>
    <row r="271">
      <c r="BB271" s="122"/>
      <c r="BC271" s="141"/>
    </row>
    <row r="272">
      <c r="BB272" s="122"/>
      <c r="BC272" s="141"/>
    </row>
    <row r="273">
      <c r="BB273" s="122"/>
      <c r="BC273" s="141"/>
    </row>
    <row r="274">
      <c r="BB274" s="122"/>
      <c r="BC274" s="141"/>
    </row>
    <row r="275">
      <c r="BB275" s="122"/>
      <c r="BC275" s="141"/>
    </row>
    <row r="276">
      <c r="BB276" s="122"/>
      <c r="BC276" s="141"/>
    </row>
    <row r="277">
      <c r="BB277" s="122"/>
      <c r="BC277" s="141"/>
    </row>
    <row r="278">
      <c r="BB278" s="122"/>
      <c r="BC278" s="141"/>
    </row>
    <row r="279">
      <c r="BB279" s="122"/>
      <c r="BC279" s="141"/>
    </row>
    <row r="280">
      <c r="BB280" s="122"/>
      <c r="BC280" s="141"/>
    </row>
    <row r="281">
      <c r="BB281" s="122"/>
      <c r="BC281" s="141"/>
    </row>
    <row r="282">
      <c r="BB282" s="122"/>
      <c r="BC282" s="141"/>
    </row>
    <row r="283">
      <c r="BB283" s="122"/>
      <c r="BC283" s="141"/>
    </row>
    <row r="284">
      <c r="BB284" s="122"/>
      <c r="BC284" s="141"/>
    </row>
    <row r="285">
      <c r="BB285" s="122"/>
      <c r="BC285" s="141"/>
    </row>
    <row r="286">
      <c r="BB286" s="122"/>
      <c r="BC286" s="141"/>
    </row>
    <row r="287">
      <c r="BB287" s="122"/>
      <c r="BC287" s="141"/>
    </row>
    <row r="288">
      <c r="BB288" s="122"/>
      <c r="BC288" s="141"/>
    </row>
    <row r="289">
      <c r="BB289" s="122"/>
      <c r="BC289" s="141"/>
    </row>
    <row r="290">
      <c r="BB290" s="122"/>
      <c r="BC290" s="141"/>
    </row>
    <row r="291">
      <c r="BB291" s="122"/>
      <c r="BC291" s="141"/>
    </row>
    <row r="292">
      <c r="BB292" s="122"/>
      <c r="BC292" s="141"/>
    </row>
    <row r="293">
      <c r="BB293" s="122"/>
      <c r="BC293" s="141"/>
    </row>
    <row r="294">
      <c r="BB294" s="122"/>
      <c r="BC294" s="141"/>
    </row>
    <row r="295">
      <c r="BB295" s="122"/>
      <c r="BC295" s="141"/>
    </row>
    <row r="296">
      <c r="BB296" s="122"/>
      <c r="BC296" s="141"/>
    </row>
    <row r="297">
      <c r="BB297" s="122"/>
      <c r="BC297" s="141"/>
    </row>
    <row r="298">
      <c r="BB298" s="122"/>
      <c r="BC298" s="141"/>
    </row>
    <row r="299">
      <c r="BB299" s="122"/>
      <c r="BC299" s="141"/>
    </row>
    <row r="300">
      <c r="BB300" s="122"/>
      <c r="BC300" s="141"/>
    </row>
    <row r="301">
      <c r="BB301" s="122"/>
      <c r="BC301" s="141"/>
    </row>
    <row r="302">
      <c r="BB302" s="122"/>
      <c r="BC302" s="141"/>
    </row>
    <row r="303">
      <c r="BB303" s="122"/>
      <c r="BC303" s="141"/>
    </row>
    <row r="304">
      <c r="BB304" s="122"/>
      <c r="BC304" s="141"/>
    </row>
    <row r="305">
      <c r="BB305" s="122"/>
      <c r="BC305" s="141"/>
    </row>
    <row r="306">
      <c r="BB306" s="122"/>
      <c r="BC306" s="141"/>
    </row>
    <row r="307">
      <c r="BB307" s="122"/>
      <c r="BC307" s="141"/>
    </row>
    <row r="308">
      <c r="BB308" s="122"/>
      <c r="BC308" s="141"/>
    </row>
    <row r="309">
      <c r="BB309" s="122"/>
      <c r="BC309" s="141"/>
    </row>
    <row r="310">
      <c r="BB310" s="122"/>
      <c r="BC310" s="141"/>
    </row>
    <row r="311">
      <c r="BB311" s="122"/>
      <c r="BC311" s="141"/>
    </row>
    <row r="312">
      <c r="BB312" s="122"/>
      <c r="BC312" s="141"/>
    </row>
    <row r="313">
      <c r="BB313" s="122"/>
      <c r="BC313" s="141"/>
    </row>
    <row r="314">
      <c r="BB314" s="122"/>
      <c r="BC314" s="141"/>
    </row>
    <row r="315">
      <c r="BB315" s="122"/>
      <c r="BC315" s="141"/>
    </row>
    <row r="316">
      <c r="BB316" s="122"/>
      <c r="BC316" s="141"/>
    </row>
    <row r="317">
      <c r="BB317" s="122"/>
      <c r="BC317" s="141"/>
    </row>
    <row r="318">
      <c r="BB318" s="122"/>
      <c r="BC318" s="141"/>
    </row>
    <row r="319">
      <c r="BB319" s="122"/>
      <c r="BC319" s="141"/>
    </row>
    <row r="320">
      <c r="BB320" s="122"/>
      <c r="BC320" s="141"/>
    </row>
    <row r="321">
      <c r="BB321" s="122"/>
      <c r="BC321" s="141"/>
    </row>
    <row r="322">
      <c r="BB322" s="122"/>
      <c r="BC322" s="141"/>
    </row>
    <row r="323">
      <c r="BB323" s="122"/>
      <c r="BC323" s="141"/>
    </row>
    <row r="324">
      <c r="BB324" s="122"/>
      <c r="BC324" s="141"/>
    </row>
    <row r="325">
      <c r="BB325" s="122"/>
      <c r="BC325" s="141"/>
    </row>
    <row r="326">
      <c r="BB326" s="122"/>
      <c r="BC326" s="141"/>
    </row>
    <row r="327">
      <c r="BB327" s="122"/>
      <c r="BC327" s="141"/>
    </row>
    <row r="328">
      <c r="BB328" s="122"/>
      <c r="BC328" s="141"/>
    </row>
    <row r="329">
      <c r="BB329" s="122"/>
      <c r="BC329" s="141"/>
    </row>
    <row r="330">
      <c r="BB330" s="122"/>
      <c r="BC330" s="141"/>
    </row>
    <row r="331">
      <c r="BB331" s="122"/>
      <c r="BC331" s="141"/>
    </row>
    <row r="332">
      <c r="BB332" s="122"/>
      <c r="BC332" s="141"/>
    </row>
    <row r="333">
      <c r="BB333" s="122"/>
      <c r="BC333" s="141"/>
    </row>
    <row r="334">
      <c r="BB334" s="122"/>
      <c r="BC334" s="141"/>
    </row>
    <row r="335">
      <c r="BB335" s="122"/>
      <c r="BC335" s="141"/>
    </row>
    <row r="336">
      <c r="BB336" s="122"/>
      <c r="BC336" s="141"/>
    </row>
    <row r="337">
      <c r="BB337" s="122"/>
      <c r="BC337" s="141"/>
    </row>
    <row r="338">
      <c r="BB338" s="122"/>
      <c r="BC338" s="141"/>
    </row>
    <row r="339">
      <c r="BB339" s="122"/>
      <c r="BC339" s="141"/>
    </row>
    <row r="340">
      <c r="BB340" s="122"/>
      <c r="BC340" s="141"/>
    </row>
    <row r="341">
      <c r="BB341" s="122"/>
      <c r="BC341" s="141"/>
    </row>
    <row r="342">
      <c r="BB342" s="122"/>
      <c r="BC342" s="141"/>
    </row>
    <row r="343">
      <c r="BB343" s="122"/>
      <c r="BC343" s="141"/>
    </row>
    <row r="344">
      <c r="BB344" s="122"/>
      <c r="BC344" s="141"/>
    </row>
    <row r="345">
      <c r="BB345" s="122"/>
      <c r="BC345" s="141"/>
    </row>
    <row r="346">
      <c r="BB346" s="122"/>
      <c r="BC346" s="141"/>
    </row>
    <row r="347">
      <c r="BB347" s="122"/>
      <c r="BC347" s="141"/>
    </row>
    <row r="348">
      <c r="BB348" s="122"/>
      <c r="BC348" s="141"/>
    </row>
    <row r="349">
      <c r="BB349" s="122"/>
      <c r="BC349" s="141"/>
    </row>
    <row r="350">
      <c r="BB350" s="122"/>
      <c r="BC350" s="141"/>
    </row>
    <row r="351">
      <c r="BB351" s="122"/>
      <c r="BC351" s="141"/>
    </row>
    <row r="352">
      <c r="BB352" s="122"/>
      <c r="BC352" s="141"/>
    </row>
    <row r="353">
      <c r="BB353" s="122"/>
      <c r="BC353" s="141"/>
    </row>
    <row r="354">
      <c r="BB354" s="122"/>
      <c r="BC354" s="141"/>
    </row>
    <row r="355">
      <c r="BB355" s="122"/>
      <c r="BC355" s="141"/>
    </row>
    <row r="356">
      <c r="BB356" s="122"/>
      <c r="BC356" s="141"/>
    </row>
    <row r="357">
      <c r="BB357" s="122"/>
      <c r="BC357" s="141"/>
    </row>
    <row r="358">
      <c r="BB358" s="122"/>
      <c r="BC358" s="141"/>
    </row>
    <row r="359">
      <c r="BB359" s="122"/>
      <c r="BC359" s="141"/>
    </row>
    <row r="360">
      <c r="BB360" s="122"/>
      <c r="BC360" s="141"/>
    </row>
    <row r="361">
      <c r="BB361" s="122"/>
      <c r="BC361" s="141"/>
    </row>
    <row r="362">
      <c r="BB362" s="122"/>
      <c r="BC362" s="141"/>
    </row>
    <row r="363">
      <c r="BB363" s="122"/>
      <c r="BC363" s="141"/>
    </row>
    <row r="364">
      <c r="BB364" s="122"/>
      <c r="BC364" s="141"/>
    </row>
    <row r="365">
      <c r="BB365" s="122"/>
      <c r="BC365" s="141"/>
    </row>
    <row r="366">
      <c r="BB366" s="122"/>
      <c r="BC366" s="141"/>
    </row>
    <row r="367">
      <c r="BB367" s="122"/>
      <c r="BC367" s="141"/>
    </row>
    <row r="368">
      <c r="BB368" s="122"/>
      <c r="BC368" s="141"/>
    </row>
    <row r="369">
      <c r="BB369" s="122"/>
      <c r="BC369" s="141"/>
    </row>
    <row r="370">
      <c r="BB370" s="122"/>
      <c r="BC370" s="141"/>
    </row>
    <row r="371">
      <c r="BB371" s="122"/>
      <c r="BC371" s="141"/>
    </row>
    <row r="372">
      <c r="BB372" s="122"/>
      <c r="BC372" s="141"/>
    </row>
    <row r="373">
      <c r="BB373" s="122"/>
      <c r="BC373" s="141"/>
    </row>
    <row r="374">
      <c r="BB374" s="122"/>
      <c r="BC374" s="141"/>
    </row>
    <row r="375">
      <c r="BB375" s="122"/>
      <c r="BC375" s="141"/>
    </row>
    <row r="376">
      <c r="BB376" s="122"/>
      <c r="BC376" s="141"/>
    </row>
    <row r="377">
      <c r="BB377" s="122"/>
      <c r="BC377" s="141"/>
    </row>
    <row r="378">
      <c r="BB378" s="122"/>
      <c r="BC378" s="141"/>
    </row>
    <row r="379">
      <c r="BB379" s="122"/>
      <c r="BC379" s="141"/>
    </row>
    <row r="380">
      <c r="BB380" s="122"/>
      <c r="BC380" s="141"/>
    </row>
    <row r="381">
      <c r="BB381" s="122"/>
      <c r="BC381" s="141"/>
    </row>
    <row r="382">
      <c r="BB382" s="122"/>
      <c r="BC382" s="141"/>
    </row>
    <row r="383">
      <c r="BB383" s="122"/>
      <c r="BC383" s="141"/>
    </row>
    <row r="384">
      <c r="BB384" s="122"/>
      <c r="BC384" s="141"/>
    </row>
    <row r="385">
      <c r="BB385" s="122"/>
      <c r="BC385" s="141"/>
    </row>
    <row r="386">
      <c r="BB386" s="122"/>
      <c r="BC386" s="141"/>
    </row>
    <row r="387">
      <c r="BB387" s="122"/>
      <c r="BC387" s="141"/>
    </row>
    <row r="388">
      <c r="BB388" s="122"/>
      <c r="BC388" s="141"/>
    </row>
    <row r="389">
      <c r="BB389" s="122"/>
      <c r="BC389" s="141"/>
    </row>
    <row r="390">
      <c r="BB390" s="122"/>
      <c r="BC390" s="141"/>
    </row>
    <row r="391">
      <c r="BB391" s="122"/>
      <c r="BC391" s="141"/>
    </row>
    <row r="392">
      <c r="BB392" s="122"/>
      <c r="BC392" s="141"/>
    </row>
    <row r="393">
      <c r="BB393" s="122"/>
      <c r="BC393" s="141"/>
    </row>
    <row r="394">
      <c r="BB394" s="122"/>
      <c r="BC394" s="141"/>
    </row>
    <row r="395">
      <c r="BB395" s="122"/>
      <c r="BC395" s="141"/>
    </row>
    <row r="396">
      <c r="BB396" s="122"/>
      <c r="BC396" s="141"/>
    </row>
    <row r="397">
      <c r="BB397" s="122"/>
      <c r="BC397" s="141"/>
    </row>
    <row r="398">
      <c r="BB398" s="122"/>
      <c r="BC398" s="141"/>
    </row>
    <row r="399">
      <c r="BB399" s="122"/>
      <c r="BC399" s="141"/>
    </row>
    <row r="400">
      <c r="BB400" s="122"/>
      <c r="BC400" s="141"/>
    </row>
    <row r="401">
      <c r="BB401" s="122"/>
      <c r="BC401" s="141"/>
    </row>
    <row r="402">
      <c r="BB402" s="122"/>
      <c r="BC402" s="141"/>
    </row>
    <row r="403">
      <c r="BB403" s="122"/>
      <c r="BC403" s="141"/>
    </row>
    <row r="404">
      <c r="BB404" s="122"/>
      <c r="BC404" s="141"/>
    </row>
    <row r="405">
      <c r="BB405" s="122"/>
      <c r="BC405" s="141"/>
    </row>
    <row r="406">
      <c r="BB406" s="122"/>
      <c r="BC406" s="141"/>
    </row>
    <row r="407">
      <c r="BB407" s="122"/>
      <c r="BC407" s="141"/>
    </row>
    <row r="408">
      <c r="BB408" s="122"/>
      <c r="BC408" s="141"/>
    </row>
    <row r="409">
      <c r="BB409" s="122"/>
      <c r="BC409" s="141"/>
    </row>
    <row r="410">
      <c r="BB410" s="122"/>
      <c r="BC410" s="141"/>
    </row>
    <row r="411">
      <c r="BB411" s="122"/>
      <c r="BC411" s="141"/>
    </row>
    <row r="412">
      <c r="BB412" s="122"/>
      <c r="BC412" s="141"/>
    </row>
    <row r="413">
      <c r="BB413" s="122"/>
      <c r="BC413" s="141"/>
    </row>
    <row r="414">
      <c r="BB414" s="122"/>
      <c r="BC414" s="141"/>
    </row>
    <row r="415">
      <c r="BB415" s="122"/>
      <c r="BC415" s="141"/>
    </row>
    <row r="416">
      <c r="BB416" s="122"/>
      <c r="BC416" s="141"/>
    </row>
    <row r="417">
      <c r="BB417" s="122"/>
      <c r="BC417" s="141"/>
    </row>
    <row r="418">
      <c r="BB418" s="122"/>
      <c r="BC418" s="141"/>
    </row>
    <row r="419">
      <c r="BB419" s="122"/>
      <c r="BC419" s="141"/>
    </row>
    <row r="420">
      <c r="BB420" s="122"/>
      <c r="BC420" s="141"/>
    </row>
    <row r="421">
      <c r="BB421" s="122"/>
      <c r="BC421" s="141"/>
    </row>
    <row r="422">
      <c r="BB422" s="122"/>
      <c r="BC422" s="141"/>
    </row>
    <row r="423">
      <c r="BB423" s="122"/>
      <c r="BC423" s="141"/>
    </row>
    <row r="424">
      <c r="BB424" s="122"/>
      <c r="BC424" s="141"/>
    </row>
    <row r="425">
      <c r="BB425" s="122"/>
      <c r="BC425" s="141"/>
    </row>
    <row r="426">
      <c r="BB426" s="122"/>
      <c r="BC426" s="141"/>
    </row>
    <row r="427">
      <c r="BB427" s="122"/>
      <c r="BC427" s="141"/>
    </row>
    <row r="428">
      <c r="BB428" s="122"/>
      <c r="BC428" s="141"/>
    </row>
    <row r="429">
      <c r="BB429" s="122"/>
      <c r="BC429" s="141"/>
    </row>
    <row r="430">
      <c r="BB430" s="122"/>
      <c r="BC430" s="141"/>
    </row>
    <row r="431">
      <c r="BB431" s="122"/>
      <c r="BC431" s="141"/>
    </row>
    <row r="432">
      <c r="BB432" s="122"/>
      <c r="BC432" s="141"/>
    </row>
    <row r="433">
      <c r="BB433" s="122"/>
      <c r="BC433" s="141"/>
    </row>
    <row r="434">
      <c r="BB434" s="122"/>
      <c r="BC434" s="141"/>
    </row>
    <row r="435">
      <c r="BB435" s="122"/>
      <c r="BC435" s="141"/>
    </row>
    <row r="436">
      <c r="BB436" s="122"/>
      <c r="BC436" s="141"/>
    </row>
    <row r="437">
      <c r="BB437" s="122"/>
      <c r="BC437" s="141"/>
    </row>
    <row r="438">
      <c r="BB438" s="122"/>
      <c r="BC438" s="141"/>
    </row>
    <row r="439">
      <c r="BB439" s="122"/>
      <c r="BC439" s="141"/>
    </row>
    <row r="440">
      <c r="BB440" s="122"/>
      <c r="BC440" s="141"/>
    </row>
    <row r="441">
      <c r="BB441" s="122"/>
      <c r="BC441" s="141"/>
    </row>
    <row r="442">
      <c r="BB442" s="122"/>
      <c r="BC442" s="141"/>
    </row>
    <row r="443">
      <c r="BB443" s="122"/>
      <c r="BC443" s="141"/>
    </row>
    <row r="444">
      <c r="BB444" s="122"/>
      <c r="BC444" s="141"/>
    </row>
    <row r="445">
      <c r="BB445" s="122"/>
      <c r="BC445" s="141"/>
    </row>
    <row r="446">
      <c r="BB446" s="122"/>
      <c r="BC446" s="141"/>
    </row>
    <row r="447">
      <c r="BB447" s="122"/>
      <c r="BC447" s="141"/>
    </row>
    <row r="448">
      <c r="BB448" s="122"/>
      <c r="BC448" s="141"/>
    </row>
    <row r="449">
      <c r="BB449" s="122"/>
      <c r="BC449" s="141"/>
    </row>
    <row r="450">
      <c r="BB450" s="122"/>
      <c r="BC450" s="141"/>
    </row>
    <row r="451">
      <c r="BB451" s="122"/>
      <c r="BC451" s="141"/>
    </row>
    <row r="452">
      <c r="BB452" s="122"/>
      <c r="BC452" s="141"/>
    </row>
    <row r="453">
      <c r="BB453" s="122"/>
      <c r="BC453" s="141"/>
    </row>
    <row r="454">
      <c r="BB454" s="122"/>
      <c r="BC454" s="141"/>
    </row>
    <row r="455">
      <c r="BB455" s="122"/>
      <c r="BC455" s="141"/>
    </row>
    <row r="456">
      <c r="BB456" s="122"/>
      <c r="BC456" s="141"/>
    </row>
    <row r="457">
      <c r="BB457" s="122"/>
      <c r="BC457" s="141"/>
    </row>
    <row r="458">
      <c r="BB458" s="122"/>
      <c r="BC458" s="141"/>
    </row>
    <row r="459">
      <c r="BB459" s="122"/>
      <c r="BC459" s="141"/>
    </row>
    <row r="460">
      <c r="BB460" s="122"/>
      <c r="BC460" s="141"/>
    </row>
    <row r="461">
      <c r="BB461" s="122"/>
      <c r="BC461" s="141"/>
    </row>
    <row r="462">
      <c r="BB462" s="122"/>
      <c r="BC462" s="141"/>
    </row>
    <row r="463">
      <c r="BB463" s="122"/>
      <c r="BC463" s="141"/>
    </row>
    <row r="464">
      <c r="BB464" s="122"/>
      <c r="BC464" s="141"/>
    </row>
    <row r="465">
      <c r="BB465" s="122"/>
      <c r="BC465" s="141"/>
    </row>
    <row r="466">
      <c r="BB466" s="122"/>
      <c r="BC466" s="141"/>
    </row>
    <row r="467">
      <c r="BB467" s="122"/>
      <c r="BC467" s="141"/>
    </row>
    <row r="468">
      <c r="BB468" s="122"/>
      <c r="BC468" s="141"/>
    </row>
    <row r="469">
      <c r="BB469" s="122"/>
      <c r="BC469" s="141"/>
    </row>
    <row r="470">
      <c r="BB470" s="122"/>
      <c r="BC470" s="141"/>
    </row>
    <row r="471">
      <c r="BB471" s="122"/>
      <c r="BC471" s="141"/>
    </row>
    <row r="472">
      <c r="BB472" s="122"/>
      <c r="BC472" s="141"/>
    </row>
    <row r="473">
      <c r="BB473" s="122"/>
      <c r="BC473" s="141"/>
    </row>
    <row r="474">
      <c r="BB474" s="122"/>
      <c r="BC474" s="141"/>
    </row>
    <row r="475">
      <c r="BB475" s="122"/>
      <c r="BC475" s="141"/>
    </row>
    <row r="476">
      <c r="BB476" s="122"/>
      <c r="BC476" s="141"/>
    </row>
    <row r="477">
      <c r="BB477" s="122"/>
      <c r="BC477" s="141"/>
    </row>
    <row r="478">
      <c r="BB478" s="122"/>
      <c r="BC478" s="141"/>
    </row>
    <row r="479">
      <c r="BB479" s="122"/>
      <c r="BC479" s="141"/>
    </row>
    <row r="480">
      <c r="BB480" s="122"/>
      <c r="BC480" s="141"/>
    </row>
    <row r="481">
      <c r="BB481" s="122"/>
      <c r="BC481" s="141"/>
    </row>
    <row r="482">
      <c r="BB482" s="122"/>
      <c r="BC482" s="141"/>
    </row>
    <row r="483">
      <c r="BB483" s="122"/>
      <c r="BC483" s="141"/>
    </row>
    <row r="484">
      <c r="BB484" s="122"/>
      <c r="BC484" s="141"/>
    </row>
    <row r="485">
      <c r="BB485" s="122"/>
      <c r="BC485" s="141"/>
    </row>
    <row r="486">
      <c r="BB486" s="122"/>
      <c r="BC486" s="141"/>
    </row>
    <row r="487">
      <c r="BB487" s="122"/>
      <c r="BC487" s="141"/>
    </row>
    <row r="488">
      <c r="BB488" s="122"/>
      <c r="BC488" s="141"/>
    </row>
    <row r="489">
      <c r="BB489" s="122"/>
      <c r="BC489" s="141"/>
    </row>
    <row r="490">
      <c r="BB490" s="122"/>
      <c r="BC490" s="141"/>
    </row>
    <row r="491">
      <c r="BB491" s="122"/>
      <c r="BC491" s="141"/>
    </row>
    <row r="492">
      <c r="BB492" s="122"/>
      <c r="BC492" s="141"/>
    </row>
    <row r="493">
      <c r="BB493" s="122"/>
      <c r="BC493" s="141"/>
    </row>
    <row r="494">
      <c r="BB494" s="122"/>
      <c r="BC494" s="141"/>
    </row>
    <row r="495">
      <c r="BB495" s="122"/>
      <c r="BC495" s="141"/>
    </row>
    <row r="496">
      <c r="BB496" s="122"/>
      <c r="BC496" s="141"/>
    </row>
    <row r="497">
      <c r="BB497" s="122"/>
      <c r="BC497" s="141"/>
    </row>
    <row r="498">
      <c r="BB498" s="122"/>
      <c r="BC498" s="141"/>
    </row>
    <row r="499">
      <c r="BB499" s="122"/>
      <c r="BC499" s="141"/>
    </row>
    <row r="500">
      <c r="BB500" s="122"/>
      <c r="BC500" s="141"/>
    </row>
    <row r="501">
      <c r="BB501" s="122"/>
      <c r="BC501" s="141"/>
    </row>
    <row r="502">
      <c r="BB502" s="122"/>
      <c r="BC502" s="141"/>
    </row>
    <row r="503">
      <c r="BB503" s="122"/>
      <c r="BC503" s="141"/>
    </row>
    <row r="504">
      <c r="BB504" s="122"/>
      <c r="BC504" s="141"/>
    </row>
    <row r="505">
      <c r="BB505" s="122"/>
      <c r="BC505" s="141"/>
    </row>
    <row r="506">
      <c r="BB506" s="122"/>
      <c r="BC506" s="141"/>
    </row>
    <row r="507">
      <c r="BB507" s="122"/>
      <c r="BC507" s="141"/>
    </row>
    <row r="508">
      <c r="BB508" s="122"/>
      <c r="BC508" s="141"/>
    </row>
    <row r="509">
      <c r="BB509" s="122"/>
      <c r="BC509" s="141"/>
    </row>
    <row r="510">
      <c r="BB510" s="122"/>
      <c r="BC510" s="141"/>
    </row>
    <row r="511">
      <c r="BB511" s="122"/>
      <c r="BC511" s="141"/>
    </row>
    <row r="512">
      <c r="BB512" s="122"/>
      <c r="BC512" s="141"/>
    </row>
    <row r="513">
      <c r="BB513" s="122"/>
      <c r="BC513" s="141"/>
    </row>
    <row r="514">
      <c r="BB514" s="122"/>
      <c r="BC514" s="141"/>
    </row>
    <row r="515">
      <c r="BB515" s="122"/>
      <c r="BC515" s="141"/>
    </row>
    <row r="516">
      <c r="BB516" s="122"/>
      <c r="BC516" s="141"/>
    </row>
    <row r="517">
      <c r="BB517" s="122"/>
      <c r="BC517" s="141"/>
    </row>
    <row r="518">
      <c r="BB518" s="122"/>
      <c r="BC518" s="141"/>
    </row>
    <row r="519">
      <c r="BB519" s="122"/>
      <c r="BC519" s="141"/>
    </row>
    <row r="520">
      <c r="BB520" s="122"/>
      <c r="BC520" s="141"/>
    </row>
    <row r="521">
      <c r="BB521" s="122"/>
      <c r="BC521" s="141"/>
    </row>
    <row r="522">
      <c r="BB522" s="122"/>
      <c r="BC522" s="141"/>
    </row>
    <row r="523">
      <c r="BB523" s="122"/>
      <c r="BC523" s="141"/>
    </row>
    <row r="524">
      <c r="BB524" s="122"/>
      <c r="BC524" s="141"/>
    </row>
    <row r="525">
      <c r="BB525" s="122"/>
      <c r="BC525" s="141"/>
    </row>
    <row r="526">
      <c r="BB526" s="122"/>
      <c r="BC526" s="141"/>
    </row>
    <row r="527">
      <c r="BB527" s="122"/>
      <c r="BC527" s="141"/>
    </row>
    <row r="528">
      <c r="BB528" s="122"/>
      <c r="BC528" s="141"/>
    </row>
    <row r="529">
      <c r="BB529" s="122"/>
      <c r="BC529" s="141"/>
    </row>
    <row r="530">
      <c r="BB530" s="122"/>
      <c r="BC530" s="141"/>
    </row>
    <row r="531">
      <c r="BB531" s="122"/>
      <c r="BC531" s="141"/>
    </row>
    <row r="532">
      <c r="BB532" s="122"/>
      <c r="BC532" s="141"/>
    </row>
    <row r="533">
      <c r="BB533" s="122"/>
      <c r="BC533" s="141"/>
    </row>
    <row r="534">
      <c r="BB534" s="122"/>
      <c r="BC534" s="141"/>
    </row>
    <row r="535">
      <c r="BB535" s="122"/>
      <c r="BC535" s="141"/>
    </row>
    <row r="536">
      <c r="BB536" s="122"/>
      <c r="BC536" s="141"/>
    </row>
    <row r="537">
      <c r="BB537" s="122"/>
      <c r="BC537" s="141"/>
    </row>
    <row r="538">
      <c r="BB538" s="122"/>
      <c r="BC538" s="141"/>
    </row>
    <row r="539">
      <c r="BB539" s="122"/>
      <c r="BC539" s="141"/>
    </row>
    <row r="540">
      <c r="BB540" s="122"/>
      <c r="BC540" s="141"/>
    </row>
    <row r="541">
      <c r="BB541" s="122"/>
      <c r="BC541" s="141"/>
    </row>
    <row r="542">
      <c r="BB542" s="122"/>
      <c r="BC542" s="141"/>
    </row>
    <row r="543">
      <c r="BB543" s="122"/>
      <c r="BC543" s="141"/>
    </row>
    <row r="544">
      <c r="BB544" s="122"/>
      <c r="BC544" s="141"/>
    </row>
    <row r="545">
      <c r="BB545" s="122"/>
      <c r="BC545" s="141"/>
    </row>
    <row r="546">
      <c r="BB546" s="122"/>
      <c r="BC546" s="141"/>
    </row>
    <row r="547">
      <c r="BB547" s="122"/>
      <c r="BC547" s="141"/>
    </row>
    <row r="548">
      <c r="BB548" s="122"/>
      <c r="BC548" s="141"/>
    </row>
    <row r="549">
      <c r="BB549" s="122"/>
      <c r="BC549" s="141"/>
    </row>
    <row r="550">
      <c r="BB550" s="122"/>
      <c r="BC550" s="141"/>
    </row>
    <row r="551">
      <c r="BB551" s="122"/>
      <c r="BC551" s="141"/>
    </row>
    <row r="552">
      <c r="BB552" s="122"/>
      <c r="BC552" s="141"/>
    </row>
    <row r="553">
      <c r="BB553" s="122"/>
      <c r="BC553" s="141"/>
    </row>
    <row r="554">
      <c r="BB554" s="122"/>
      <c r="BC554" s="141"/>
    </row>
    <row r="555">
      <c r="BB555" s="122"/>
      <c r="BC555" s="141"/>
    </row>
    <row r="556">
      <c r="BB556" s="122"/>
      <c r="BC556" s="141"/>
    </row>
    <row r="557">
      <c r="BB557" s="122"/>
      <c r="BC557" s="141"/>
    </row>
    <row r="558">
      <c r="BB558" s="122"/>
      <c r="BC558" s="141"/>
    </row>
    <row r="559">
      <c r="BB559" s="122"/>
      <c r="BC559" s="141"/>
    </row>
    <row r="560">
      <c r="BB560" s="122"/>
      <c r="BC560" s="141"/>
    </row>
    <row r="561">
      <c r="BB561" s="122"/>
      <c r="BC561" s="141"/>
    </row>
    <row r="562">
      <c r="BB562" s="122"/>
      <c r="BC562" s="141"/>
    </row>
    <row r="563">
      <c r="BB563" s="122"/>
      <c r="BC563" s="141"/>
    </row>
    <row r="564">
      <c r="BB564" s="122"/>
      <c r="BC564" s="141"/>
    </row>
    <row r="565">
      <c r="BB565" s="122"/>
      <c r="BC565" s="141"/>
    </row>
    <row r="566">
      <c r="BB566" s="122"/>
      <c r="BC566" s="141"/>
    </row>
    <row r="567">
      <c r="BB567" s="122"/>
      <c r="BC567" s="141"/>
    </row>
    <row r="568">
      <c r="BB568" s="122"/>
      <c r="BC568" s="141"/>
    </row>
    <row r="569">
      <c r="BB569" s="122"/>
      <c r="BC569" s="141"/>
    </row>
    <row r="570">
      <c r="BB570" s="122"/>
      <c r="BC570" s="141"/>
    </row>
    <row r="571">
      <c r="BB571" s="122"/>
      <c r="BC571" s="141"/>
    </row>
    <row r="572">
      <c r="BB572" s="122"/>
      <c r="BC572" s="141"/>
    </row>
    <row r="573">
      <c r="BB573" s="122"/>
      <c r="BC573" s="141"/>
    </row>
    <row r="574">
      <c r="BB574" s="122"/>
      <c r="BC574" s="141"/>
    </row>
    <row r="575">
      <c r="BB575" s="122"/>
      <c r="BC575" s="141"/>
    </row>
    <row r="576">
      <c r="BB576" s="122"/>
      <c r="BC576" s="141"/>
    </row>
    <row r="577">
      <c r="BB577" s="122"/>
      <c r="BC577" s="141"/>
    </row>
    <row r="578">
      <c r="BB578" s="122"/>
      <c r="BC578" s="141"/>
    </row>
    <row r="579">
      <c r="BB579" s="122"/>
      <c r="BC579" s="141"/>
    </row>
    <row r="580">
      <c r="BB580" s="122"/>
      <c r="BC580" s="141"/>
    </row>
    <row r="581">
      <c r="BB581" s="122"/>
      <c r="BC581" s="141"/>
    </row>
    <row r="582">
      <c r="BB582" s="122"/>
      <c r="BC582" s="141"/>
    </row>
    <row r="583">
      <c r="BB583" s="122"/>
      <c r="BC583" s="141"/>
    </row>
    <row r="584">
      <c r="BB584" s="122"/>
      <c r="BC584" s="141"/>
    </row>
    <row r="585">
      <c r="BB585" s="122"/>
      <c r="BC585" s="141"/>
    </row>
    <row r="586">
      <c r="BB586" s="122"/>
      <c r="BC586" s="141"/>
    </row>
    <row r="587">
      <c r="BB587" s="122"/>
      <c r="BC587" s="141"/>
    </row>
    <row r="588">
      <c r="BB588" s="122"/>
      <c r="BC588" s="141"/>
    </row>
    <row r="589">
      <c r="BB589" s="122"/>
      <c r="BC589" s="141"/>
    </row>
    <row r="590">
      <c r="BB590" s="122"/>
      <c r="BC590" s="141"/>
    </row>
    <row r="591">
      <c r="BB591" s="122"/>
      <c r="BC591" s="141"/>
    </row>
    <row r="592">
      <c r="BB592" s="122"/>
      <c r="BC592" s="141"/>
    </row>
    <row r="593">
      <c r="BB593" s="122"/>
      <c r="BC593" s="141"/>
    </row>
    <row r="594">
      <c r="BB594" s="122"/>
      <c r="BC594" s="141"/>
    </row>
    <row r="595">
      <c r="BB595" s="122"/>
      <c r="BC595" s="141"/>
    </row>
    <row r="596">
      <c r="BB596" s="122"/>
      <c r="BC596" s="141"/>
    </row>
    <row r="597">
      <c r="BB597" s="122"/>
      <c r="BC597" s="141"/>
    </row>
    <row r="598">
      <c r="BB598" s="122"/>
      <c r="BC598" s="141"/>
    </row>
    <row r="599">
      <c r="BB599" s="122"/>
      <c r="BC599" s="141"/>
    </row>
    <row r="600">
      <c r="BB600" s="122"/>
      <c r="BC600" s="141"/>
    </row>
    <row r="601">
      <c r="BB601" s="122"/>
      <c r="BC601" s="141"/>
    </row>
    <row r="602">
      <c r="BB602" s="122"/>
      <c r="BC602" s="141"/>
    </row>
    <row r="603">
      <c r="BB603" s="122"/>
      <c r="BC603" s="141"/>
    </row>
    <row r="604">
      <c r="BB604" s="122"/>
      <c r="BC604" s="141"/>
    </row>
    <row r="605">
      <c r="BB605" s="122"/>
      <c r="BC605" s="141"/>
    </row>
    <row r="606">
      <c r="BB606" s="122"/>
      <c r="BC606" s="141"/>
    </row>
    <row r="607">
      <c r="BB607" s="122"/>
      <c r="BC607" s="141"/>
    </row>
    <row r="608">
      <c r="BB608" s="122"/>
      <c r="BC608" s="141"/>
    </row>
    <row r="609">
      <c r="BB609" s="122"/>
      <c r="BC609" s="141"/>
    </row>
    <row r="610">
      <c r="BB610" s="122"/>
      <c r="BC610" s="141"/>
    </row>
    <row r="611">
      <c r="BB611" s="122"/>
      <c r="BC611" s="141"/>
    </row>
    <row r="612">
      <c r="BB612" s="122"/>
      <c r="BC612" s="141"/>
    </row>
    <row r="613">
      <c r="BB613" s="122"/>
      <c r="BC613" s="141"/>
    </row>
    <row r="614">
      <c r="BB614" s="122"/>
      <c r="BC614" s="141"/>
    </row>
    <row r="615">
      <c r="BB615" s="122"/>
      <c r="BC615" s="141"/>
    </row>
    <row r="616">
      <c r="BB616" s="122"/>
      <c r="BC616" s="141"/>
    </row>
    <row r="617">
      <c r="BB617" s="122"/>
      <c r="BC617" s="141"/>
    </row>
    <row r="618">
      <c r="BB618" s="122"/>
      <c r="BC618" s="141"/>
    </row>
    <row r="619">
      <c r="BB619" s="122"/>
      <c r="BC619" s="141"/>
    </row>
    <row r="620">
      <c r="BB620" s="122"/>
      <c r="BC620" s="141"/>
    </row>
    <row r="621">
      <c r="BB621" s="122"/>
      <c r="BC621" s="141"/>
    </row>
    <row r="622">
      <c r="BB622" s="122"/>
      <c r="BC622" s="141"/>
    </row>
    <row r="623">
      <c r="BB623" s="122"/>
      <c r="BC623" s="141"/>
    </row>
    <row r="624">
      <c r="BB624" s="122"/>
      <c r="BC624" s="141"/>
    </row>
    <row r="625">
      <c r="BB625" s="122"/>
      <c r="BC625" s="141"/>
    </row>
    <row r="626">
      <c r="BB626" s="122"/>
      <c r="BC626" s="141"/>
    </row>
    <row r="627">
      <c r="BB627" s="122"/>
      <c r="BC627" s="141"/>
    </row>
    <row r="628">
      <c r="BB628" s="122"/>
      <c r="BC628" s="141"/>
    </row>
    <row r="629">
      <c r="BB629" s="122"/>
      <c r="BC629" s="141"/>
    </row>
    <row r="630">
      <c r="BB630" s="122"/>
      <c r="BC630" s="141"/>
    </row>
    <row r="631">
      <c r="BB631" s="122"/>
      <c r="BC631" s="141"/>
    </row>
    <row r="632">
      <c r="BB632" s="122"/>
      <c r="BC632" s="141"/>
    </row>
    <row r="633">
      <c r="BB633" s="122"/>
      <c r="BC633" s="141"/>
    </row>
    <row r="634">
      <c r="BB634" s="122"/>
      <c r="BC634" s="141"/>
    </row>
    <row r="635">
      <c r="BB635" s="122"/>
      <c r="BC635" s="141"/>
    </row>
    <row r="636">
      <c r="BB636" s="122"/>
      <c r="BC636" s="141"/>
    </row>
    <row r="637">
      <c r="BB637" s="122"/>
      <c r="BC637" s="141"/>
    </row>
    <row r="638">
      <c r="BB638" s="122"/>
      <c r="BC638" s="141"/>
    </row>
    <row r="639">
      <c r="BB639" s="122"/>
      <c r="BC639" s="141"/>
    </row>
    <row r="640">
      <c r="BB640" s="122"/>
      <c r="BC640" s="141"/>
    </row>
    <row r="641">
      <c r="BB641" s="122"/>
      <c r="BC641" s="141"/>
    </row>
    <row r="642">
      <c r="BB642" s="122"/>
      <c r="BC642" s="141"/>
    </row>
    <row r="643">
      <c r="BB643" s="122"/>
      <c r="BC643" s="141"/>
    </row>
    <row r="644">
      <c r="BB644" s="122"/>
      <c r="BC644" s="141"/>
    </row>
    <row r="645">
      <c r="BB645" s="122"/>
      <c r="BC645" s="141"/>
    </row>
    <row r="646">
      <c r="BB646" s="122"/>
      <c r="BC646" s="141"/>
    </row>
    <row r="647">
      <c r="BB647" s="122"/>
      <c r="BC647" s="141"/>
    </row>
    <row r="648">
      <c r="BB648" s="122"/>
      <c r="BC648" s="141"/>
    </row>
    <row r="649">
      <c r="BB649" s="122"/>
      <c r="BC649" s="141"/>
    </row>
    <row r="650">
      <c r="BB650" s="122"/>
      <c r="BC650" s="141"/>
    </row>
    <row r="651">
      <c r="BB651" s="122"/>
      <c r="BC651" s="141"/>
    </row>
    <row r="652">
      <c r="BB652" s="122"/>
      <c r="BC652" s="141"/>
    </row>
    <row r="653">
      <c r="BB653" s="122"/>
      <c r="BC653" s="141"/>
    </row>
    <row r="654">
      <c r="BB654" s="122"/>
      <c r="BC654" s="141"/>
    </row>
    <row r="655">
      <c r="BB655" s="122"/>
      <c r="BC655" s="141"/>
    </row>
    <row r="656">
      <c r="BB656" s="122"/>
      <c r="BC656" s="141"/>
    </row>
    <row r="657">
      <c r="BB657" s="122"/>
      <c r="BC657" s="141"/>
    </row>
    <row r="658">
      <c r="BB658" s="122"/>
      <c r="BC658" s="141"/>
    </row>
    <row r="659">
      <c r="BB659" s="122"/>
      <c r="BC659" s="141"/>
    </row>
    <row r="660">
      <c r="BB660" s="122"/>
      <c r="BC660" s="141"/>
    </row>
    <row r="661">
      <c r="BB661" s="122"/>
      <c r="BC661" s="141"/>
    </row>
    <row r="662">
      <c r="BB662" s="122"/>
      <c r="BC662" s="141"/>
    </row>
    <row r="663">
      <c r="BB663" s="122"/>
      <c r="BC663" s="141"/>
    </row>
    <row r="664">
      <c r="BB664" s="122"/>
      <c r="BC664" s="141"/>
    </row>
    <row r="665">
      <c r="BB665" s="122"/>
      <c r="BC665" s="141"/>
    </row>
    <row r="666">
      <c r="BB666" s="122"/>
      <c r="BC666" s="141"/>
    </row>
    <row r="667">
      <c r="BB667" s="122"/>
      <c r="BC667" s="141"/>
    </row>
    <row r="668">
      <c r="BB668" s="122"/>
      <c r="BC668" s="141"/>
    </row>
    <row r="669">
      <c r="BB669" s="122"/>
      <c r="BC669" s="141"/>
    </row>
    <row r="670">
      <c r="BB670" s="122"/>
      <c r="BC670" s="141"/>
    </row>
    <row r="671">
      <c r="BB671" s="122"/>
      <c r="BC671" s="141"/>
    </row>
    <row r="672">
      <c r="BB672" s="122"/>
      <c r="BC672" s="141"/>
    </row>
    <row r="673">
      <c r="BB673" s="122"/>
      <c r="BC673" s="141"/>
    </row>
    <row r="674">
      <c r="BB674" s="122"/>
      <c r="BC674" s="141"/>
    </row>
    <row r="675">
      <c r="BB675" s="122"/>
      <c r="BC675" s="141"/>
    </row>
    <row r="676">
      <c r="BB676" s="122"/>
      <c r="BC676" s="141"/>
    </row>
    <row r="677">
      <c r="BB677" s="122"/>
      <c r="BC677" s="141"/>
    </row>
    <row r="678">
      <c r="BB678" s="122"/>
      <c r="BC678" s="141"/>
    </row>
    <row r="679">
      <c r="BB679" s="122"/>
      <c r="BC679" s="141"/>
    </row>
    <row r="680">
      <c r="BB680" s="122"/>
      <c r="BC680" s="141"/>
    </row>
    <row r="681">
      <c r="BB681" s="122"/>
      <c r="BC681" s="141"/>
    </row>
    <row r="682">
      <c r="BB682" s="122"/>
      <c r="BC682" s="141"/>
    </row>
    <row r="683">
      <c r="BB683" s="122"/>
      <c r="BC683" s="141"/>
    </row>
    <row r="684">
      <c r="BB684" s="122"/>
      <c r="BC684" s="141"/>
    </row>
    <row r="685">
      <c r="BB685" s="122"/>
      <c r="BC685" s="141"/>
    </row>
    <row r="686">
      <c r="BB686" s="122"/>
      <c r="BC686" s="141"/>
    </row>
    <row r="687">
      <c r="BB687" s="122"/>
      <c r="BC687" s="141"/>
    </row>
    <row r="688">
      <c r="BB688" s="122"/>
      <c r="BC688" s="141"/>
    </row>
    <row r="689">
      <c r="BB689" s="122"/>
      <c r="BC689" s="141"/>
    </row>
    <row r="690">
      <c r="BB690" s="122"/>
      <c r="BC690" s="141"/>
    </row>
    <row r="691">
      <c r="BB691" s="122"/>
      <c r="BC691" s="141"/>
    </row>
    <row r="692">
      <c r="BB692" s="122"/>
      <c r="BC692" s="141"/>
    </row>
    <row r="693">
      <c r="BB693" s="122"/>
      <c r="BC693" s="141"/>
    </row>
    <row r="694">
      <c r="BB694" s="122"/>
      <c r="BC694" s="141"/>
    </row>
    <row r="695">
      <c r="BB695" s="122"/>
      <c r="BC695" s="141"/>
    </row>
    <row r="696">
      <c r="BB696" s="122"/>
      <c r="BC696" s="141"/>
    </row>
    <row r="697">
      <c r="BB697" s="122"/>
      <c r="BC697" s="141"/>
    </row>
    <row r="698">
      <c r="BB698" s="122"/>
      <c r="BC698" s="141"/>
    </row>
    <row r="699">
      <c r="BB699" s="122"/>
      <c r="BC699" s="141"/>
    </row>
    <row r="700">
      <c r="BB700" s="122"/>
      <c r="BC700" s="141"/>
    </row>
    <row r="701">
      <c r="BB701" s="122"/>
      <c r="BC701" s="141"/>
    </row>
    <row r="702">
      <c r="BB702" s="122"/>
      <c r="BC702" s="141"/>
    </row>
    <row r="703">
      <c r="BB703" s="122"/>
      <c r="BC703" s="141"/>
    </row>
    <row r="704">
      <c r="BB704" s="122"/>
      <c r="BC704" s="141"/>
    </row>
    <row r="705">
      <c r="BB705" s="122"/>
      <c r="BC705" s="141"/>
    </row>
    <row r="706">
      <c r="BB706" s="122"/>
      <c r="BC706" s="141"/>
    </row>
    <row r="707">
      <c r="BB707" s="122"/>
      <c r="BC707" s="141"/>
    </row>
    <row r="708">
      <c r="BB708" s="122"/>
      <c r="BC708" s="141"/>
    </row>
    <row r="709">
      <c r="BB709" s="122"/>
      <c r="BC709" s="141"/>
    </row>
    <row r="710">
      <c r="BB710" s="122"/>
      <c r="BC710" s="141"/>
    </row>
    <row r="711">
      <c r="BB711" s="122"/>
      <c r="BC711" s="141"/>
    </row>
    <row r="712">
      <c r="BB712" s="122"/>
      <c r="BC712" s="141"/>
    </row>
    <row r="713">
      <c r="BB713" s="122"/>
      <c r="BC713" s="141"/>
    </row>
    <row r="714">
      <c r="BB714" s="122"/>
      <c r="BC714" s="141"/>
    </row>
    <row r="715">
      <c r="BB715" s="122"/>
      <c r="BC715" s="141"/>
    </row>
    <row r="716">
      <c r="BB716" s="122"/>
      <c r="BC716" s="141"/>
    </row>
    <row r="717">
      <c r="BB717" s="122"/>
      <c r="BC717" s="141"/>
    </row>
    <row r="718">
      <c r="BB718" s="122"/>
      <c r="BC718" s="141"/>
    </row>
    <row r="719">
      <c r="BB719" s="122"/>
      <c r="BC719" s="141"/>
    </row>
    <row r="720">
      <c r="BB720" s="122"/>
      <c r="BC720" s="141"/>
    </row>
    <row r="721">
      <c r="BB721" s="122"/>
      <c r="BC721" s="141"/>
    </row>
    <row r="722">
      <c r="BB722" s="122"/>
      <c r="BC722" s="141"/>
    </row>
    <row r="723">
      <c r="BB723" s="122"/>
      <c r="BC723" s="141"/>
    </row>
    <row r="724">
      <c r="BB724" s="122"/>
      <c r="BC724" s="141"/>
    </row>
    <row r="725">
      <c r="BB725" s="122"/>
      <c r="BC725" s="141"/>
    </row>
    <row r="726">
      <c r="BB726" s="122"/>
      <c r="BC726" s="141"/>
    </row>
    <row r="727">
      <c r="BB727" s="122"/>
      <c r="BC727" s="141"/>
    </row>
    <row r="728">
      <c r="BB728" s="122"/>
      <c r="BC728" s="141"/>
    </row>
    <row r="729">
      <c r="BB729" s="122"/>
      <c r="BC729" s="141"/>
    </row>
    <row r="730">
      <c r="BB730" s="122"/>
      <c r="BC730" s="141"/>
    </row>
    <row r="731">
      <c r="BB731" s="122"/>
      <c r="BC731" s="141"/>
    </row>
    <row r="732">
      <c r="BB732" s="122"/>
      <c r="BC732" s="141"/>
    </row>
    <row r="733">
      <c r="BB733" s="122"/>
      <c r="BC733" s="141"/>
    </row>
    <row r="734">
      <c r="BB734" s="122"/>
      <c r="BC734" s="141"/>
    </row>
    <row r="735">
      <c r="BB735" s="122"/>
      <c r="BC735" s="141"/>
    </row>
    <row r="736">
      <c r="BB736" s="122"/>
      <c r="BC736" s="141"/>
    </row>
    <row r="737">
      <c r="BB737" s="122"/>
      <c r="BC737" s="141"/>
    </row>
    <row r="738">
      <c r="BB738" s="122"/>
      <c r="BC738" s="141"/>
    </row>
    <row r="739">
      <c r="BB739" s="122"/>
      <c r="BC739" s="141"/>
    </row>
    <row r="740">
      <c r="BB740" s="122"/>
      <c r="BC740" s="141"/>
    </row>
    <row r="741">
      <c r="BB741" s="122"/>
      <c r="BC741" s="141"/>
    </row>
    <row r="742">
      <c r="BB742" s="122"/>
      <c r="BC742" s="141"/>
    </row>
    <row r="743">
      <c r="BB743" s="122"/>
      <c r="BC743" s="141"/>
    </row>
    <row r="744">
      <c r="BB744" s="122"/>
      <c r="BC744" s="141"/>
    </row>
    <row r="745">
      <c r="BB745" s="122"/>
      <c r="BC745" s="141"/>
    </row>
    <row r="746">
      <c r="BB746" s="122"/>
      <c r="BC746" s="141"/>
    </row>
    <row r="747">
      <c r="BB747" s="122"/>
      <c r="BC747" s="141"/>
    </row>
    <row r="748">
      <c r="BB748" s="122"/>
      <c r="BC748" s="141"/>
    </row>
    <row r="749">
      <c r="BB749" s="122"/>
      <c r="BC749" s="141"/>
    </row>
    <row r="750">
      <c r="BB750" s="122"/>
      <c r="BC750" s="141"/>
    </row>
    <row r="751">
      <c r="BB751" s="122"/>
      <c r="BC751" s="141"/>
    </row>
    <row r="752">
      <c r="BB752" s="122"/>
      <c r="BC752" s="141"/>
    </row>
    <row r="753">
      <c r="BB753" s="122"/>
      <c r="BC753" s="141"/>
    </row>
    <row r="754">
      <c r="BB754" s="122"/>
      <c r="BC754" s="141"/>
    </row>
    <row r="755">
      <c r="BB755" s="122"/>
      <c r="BC755" s="141"/>
    </row>
    <row r="756">
      <c r="BB756" s="122"/>
      <c r="BC756" s="141"/>
    </row>
    <row r="757">
      <c r="BB757" s="122"/>
      <c r="BC757" s="141"/>
    </row>
    <row r="758">
      <c r="BB758" s="122"/>
      <c r="BC758" s="141"/>
    </row>
    <row r="759">
      <c r="BB759" s="122"/>
      <c r="BC759" s="141"/>
    </row>
    <row r="760">
      <c r="BB760" s="122"/>
      <c r="BC760" s="141"/>
    </row>
    <row r="761">
      <c r="BB761" s="122"/>
      <c r="BC761" s="141"/>
    </row>
    <row r="762">
      <c r="BB762" s="122"/>
      <c r="BC762" s="141"/>
    </row>
    <row r="763">
      <c r="BB763" s="122"/>
      <c r="BC763" s="141"/>
    </row>
    <row r="764">
      <c r="BB764" s="122"/>
      <c r="BC764" s="141"/>
    </row>
    <row r="765">
      <c r="BB765" s="122"/>
      <c r="BC765" s="141"/>
    </row>
    <row r="766">
      <c r="BB766" s="122"/>
      <c r="BC766" s="141"/>
    </row>
    <row r="767">
      <c r="BB767" s="122"/>
      <c r="BC767" s="141"/>
    </row>
    <row r="768">
      <c r="BB768" s="122"/>
      <c r="BC768" s="141"/>
    </row>
    <row r="769">
      <c r="BB769" s="122"/>
      <c r="BC769" s="141"/>
    </row>
    <row r="770">
      <c r="BB770" s="122"/>
      <c r="BC770" s="141"/>
    </row>
    <row r="771">
      <c r="BB771" s="122"/>
      <c r="BC771" s="141"/>
    </row>
    <row r="772">
      <c r="BB772" s="122"/>
      <c r="BC772" s="141"/>
    </row>
    <row r="773">
      <c r="BB773" s="122"/>
      <c r="BC773" s="141"/>
    </row>
    <row r="774">
      <c r="BB774" s="122"/>
      <c r="BC774" s="141"/>
    </row>
    <row r="775">
      <c r="BB775" s="122"/>
      <c r="BC775" s="141"/>
    </row>
    <row r="776">
      <c r="BB776" s="122"/>
      <c r="BC776" s="141"/>
    </row>
    <row r="777">
      <c r="BB777" s="122"/>
      <c r="BC777" s="141"/>
    </row>
    <row r="778">
      <c r="BB778" s="122"/>
      <c r="BC778" s="141"/>
    </row>
    <row r="779">
      <c r="BB779" s="122"/>
      <c r="BC779" s="141"/>
    </row>
    <row r="780">
      <c r="BB780" s="122"/>
      <c r="BC780" s="141"/>
    </row>
    <row r="781">
      <c r="BB781" s="122"/>
      <c r="BC781" s="141"/>
    </row>
    <row r="782">
      <c r="BB782" s="122"/>
      <c r="BC782" s="141"/>
    </row>
    <row r="783">
      <c r="BB783" s="122"/>
      <c r="BC783" s="141"/>
    </row>
    <row r="784">
      <c r="BB784" s="122"/>
      <c r="BC784" s="141"/>
    </row>
    <row r="785">
      <c r="BB785" s="122"/>
      <c r="BC785" s="141"/>
    </row>
    <row r="786">
      <c r="BB786" s="122"/>
      <c r="BC786" s="141"/>
    </row>
    <row r="787">
      <c r="BB787" s="122"/>
      <c r="BC787" s="141"/>
    </row>
    <row r="788">
      <c r="BB788" s="122"/>
      <c r="BC788" s="141"/>
    </row>
    <row r="789">
      <c r="BB789" s="122"/>
      <c r="BC789" s="141"/>
    </row>
    <row r="790">
      <c r="BB790" s="122"/>
      <c r="BC790" s="141"/>
    </row>
    <row r="791">
      <c r="BB791" s="122"/>
      <c r="BC791" s="141"/>
    </row>
    <row r="792">
      <c r="BB792" s="122"/>
      <c r="BC792" s="141"/>
    </row>
    <row r="793">
      <c r="BB793" s="122"/>
      <c r="BC793" s="141"/>
    </row>
    <row r="794">
      <c r="BB794" s="122"/>
      <c r="BC794" s="141"/>
    </row>
    <row r="795">
      <c r="BB795" s="122"/>
      <c r="BC795" s="141"/>
    </row>
    <row r="796">
      <c r="BB796" s="122"/>
      <c r="BC796" s="141"/>
    </row>
    <row r="797">
      <c r="BB797" s="122"/>
      <c r="BC797" s="141"/>
    </row>
    <row r="798">
      <c r="BB798" s="122"/>
      <c r="BC798" s="141"/>
    </row>
    <row r="799">
      <c r="BB799" s="122"/>
      <c r="BC799" s="141"/>
    </row>
    <row r="800">
      <c r="BB800" s="122"/>
      <c r="BC800" s="141"/>
    </row>
    <row r="801">
      <c r="BB801" s="122"/>
      <c r="BC801" s="141"/>
    </row>
    <row r="802">
      <c r="BB802" s="122"/>
      <c r="BC802" s="141"/>
    </row>
    <row r="803">
      <c r="BB803" s="122"/>
      <c r="BC803" s="141"/>
    </row>
    <row r="804">
      <c r="BB804" s="122"/>
      <c r="BC804" s="141"/>
    </row>
    <row r="805">
      <c r="BB805" s="122"/>
      <c r="BC805" s="141"/>
    </row>
    <row r="806">
      <c r="BB806" s="122"/>
      <c r="BC806" s="141"/>
    </row>
    <row r="807">
      <c r="BB807" s="122"/>
      <c r="BC807" s="141"/>
    </row>
    <row r="808">
      <c r="BB808" s="122"/>
      <c r="BC808" s="141"/>
    </row>
    <row r="809">
      <c r="BB809" s="122"/>
      <c r="BC809" s="141"/>
    </row>
    <row r="810">
      <c r="BB810" s="122"/>
      <c r="BC810" s="141"/>
    </row>
    <row r="811">
      <c r="BB811" s="122"/>
      <c r="BC811" s="141"/>
    </row>
    <row r="812">
      <c r="BB812" s="122"/>
      <c r="BC812" s="141"/>
    </row>
    <row r="813">
      <c r="BB813" s="122"/>
      <c r="BC813" s="141"/>
    </row>
    <row r="814">
      <c r="BB814" s="122"/>
      <c r="BC814" s="141"/>
    </row>
    <row r="815">
      <c r="BB815" s="122"/>
      <c r="BC815" s="141"/>
    </row>
    <row r="816">
      <c r="BB816" s="122"/>
      <c r="BC816" s="141"/>
    </row>
    <row r="817">
      <c r="BB817" s="122"/>
      <c r="BC817" s="141"/>
    </row>
    <row r="818">
      <c r="BB818" s="122"/>
      <c r="BC818" s="141"/>
    </row>
    <row r="819">
      <c r="BB819" s="122"/>
      <c r="BC819" s="141"/>
    </row>
    <row r="820">
      <c r="BB820" s="122"/>
      <c r="BC820" s="141"/>
    </row>
    <row r="821">
      <c r="BB821" s="122"/>
      <c r="BC821" s="141"/>
    </row>
    <row r="822">
      <c r="BB822" s="122"/>
      <c r="BC822" s="141"/>
    </row>
    <row r="823">
      <c r="BB823" s="122"/>
      <c r="BC823" s="141"/>
    </row>
    <row r="824">
      <c r="BB824" s="122"/>
      <c r="BC824" s="141"/>
    </row>
    <row r="825">
      <c r="BB825" s="122"/>
      <c r="BC825" s="141"/>
    </row>
    <row r="826">
      <c r="BB826" s="122"/>
      <c r="BC826" s="141"/>
    </row>
    <row r="827">
      <c r="BB827" s="122"/>
      <c r="BC827" s="141"/>
    </row>
    <row r="828">
      <c r="BB828" s="122"/>
      <c r="BC828" s="141"/>
    </row>
    <row r="829">
      <c r="BB829" s="122"/>
      <c r="BC829" s="141"/>
    </row>
    <row r="830">
      <c r="BB830" s="122"/>
      <c r="BC830" s="141"/>
    </row>
    <row r="831">
      <c r="BB831" s="122"/>
      <c r="BC831" s="141"/>
    </row>
    <row r="832">
      <c r="BB832" s="122"/>
      <c r="BC832" s="141"/>
    </row>
    <row r="833">
      <c r="BB833" s="122"/>
      <c r="BC833" s="141"/>
    </row>
    <row r="834">
      <c r="BB834" s="122"/>
      <c r="BC834" s="141"/>
    </row>
    <row r="835">
      <c r="BB835" s="122"/>
      <c r="BC835" s="141"/>
    </row>
    <row r="836">
      <c r="BB836" s="122"/>
      <c r="BC836" s="141"/>
    </row>
    <row r="837">
      <c r="BB837" s="122"/>
      <c r="BC837" s="141"/>
    </row>
    <row r="838">
      <c r="BB838" s="122"/>
      <c r="BC838" s="141"/>
    </row>
    <row r="839">
      <c r="BB839" s="122"/>
      <c r="BC839" s="141"/>
    </row>
    <row r="840">
      <c r="BB840" s="122"/>
      <c r="BC840" s="141"/>
    </row>
    <row r="841">
      <c r="BB841" s="122"/>
      <c r="BC841" s="141"/>
    </row>
    <row r="842">
      <c r="BB842" s="122"/>
      <c r="BC842" s="141"/>
    </row>
    <row r="843">
      <c r="BB843" s="122"/>
      <c r="BC843" s="141"/>
    </row>
    <row r="844">
      <c r="BB844" s="122"/>
      <c r="BC844" s="141"/>
    </row>
    <row r="845">
      <c r="BB845" s="122"/>
      <c r="BC845" s="141"/>
    </row>
    <row r="846">
      <c r="BB846" s="122"/>
      <c r="BC846" s="141"/>
    </row>
    <row r="847">
      <c r="BB847" s="122"/>
      <c r="BC847" s="141"/>
    </row>
    <row r="848">
      <c r="BB848" s="122"/>
      <c r="BC848" s="141"/>
    </row>
    <row r="849">
      <c r="BB849" s="122"/>
      <c r="BC849" s="141"/>
    </row>
    <row r="850">
      <c r="BB850" s="122"/>
      <c r="BC850" s="141"/>
    </row>
    <row r="851">
      <c r="BB851" s="122"/>
      <c r="BC851" s="141"/>
    </row>
    <row r="852">
      <c r="BB852" s="122"/>
      <c r="BC852" s="141"/>
    </row>
    <row r="853">
      <c r="BB853" s="122"/>
      <c r="BC853" s="141"/>
    </row>
    <row r="854">
      <c r="BB854" s="122"/>
      <c r="BC854" s="141"/>
    </row>
    <row r="855">
      <c r="BB855" s="122"/>
      <c r="BC855" s="141"/>
    </row>
    <row r="856">
      <c r="BB856" s="122"/>
      <c r="BC856" s="141"/>
    </row>
    <row r="857">
      <c r="BB857" s="122"/>
      <c r="BC857" s="141"/>
    </row>
    <row r="858">
      <c r="BB858" s="122"/>
      <c r="BC858" s="141"/>
    </row>
    <row r="859">
      <c r="BB859" s="122"/>
      <c r="BC859" s="141"/>
    </row>
    <row r="860">
      <c r="BB860" s="122"/>
      <c r="BC860" s="141"/>
    </row>
    <row r="861">
      <c r="BB861" s="122"/>
      <c r="BC861" s="141"/>
    </row>
    <row r="862">
      <c r="BB862" s="122"/>
      <c r="BC862" s="141"/>
    </row>
    <row r="863">
      <c r="BB863" s="122"/>
      <c r="BC863" s="141"/>
    </row>
    <row r="864">
      <c r="BB864" s="122"/>
      <c r="BC864" s="141"/>
    </row>
    <row r="865">
      <c r="BB865" s="122"/>
      <c r="BC865" s="141"/>
    </row>
    <row r="866">
      <c r="BB866" s="122"/>
      <c r="BC866" s="141"/>
    </row>
    <row r="867">
      <c r="BB867" s="122"/>
      <c r="BC867" s="141"/>
    </row>
    <row r="868">
      <c r="BB868" s="122"/>
      <c r="BC868" s="141"/>
    </row>
    <row r="869">
      <c r="BB869" s="122"/>
      <c r="BC869" s="141"/>
    </row>
    <row r="870">
      <c r="BB870" s="122"/>
      <c r="BC870" s="141"/>
    </row>
    <row r="871">
      <c r="BB871" s="122"/>
      <c r="BC871" s="141"/>
    </row>
    <row r="872">
      <c r="BB872" s="122"/>
      <c r="BC872" s="141"/>
    </row>
    <row r="873">
      <c r="BB873" s="122"/>
      <c r="BC873" s="141"/>
    </row>
    <row r="874">
      <c r="BB874" s="122"/>
      <c r="BC874" s="141"/>
    </row>
    <row r="875">
      <c r="BB875" s="122"/>
      <c r="BC875" s="141"/>
    </row>
    <row r="876">
      <c r="BB876" s="122"/>
      <c r="BC876" s="141"/>
    </row>
    <row r="877">
      <c r="BB877" s="122"/>
      <c r="BC877" s="141"/>
    </row>
    <row r="878">
      <c r="BB878" s="122"/>
      <c r="BC878" s="141"/>
    </row>
    <row r="879">
      <c r="BB879" s="122"/>
      <c r="BC879" s="141"/>
    </row>
    <row r="880">
      <c r="BB880" s="122"/>
      <c r="BC880" s="141"/>
    </row>
    <row r="881">
      <c r="BB881" s="122"/>
      <c r="BC881" s="141"/>
    </row>
    <row r="882">
      <c r="BB882" s="122"/>
      <c r="BC882" s="141"/>
    </row>
    <row r="883">
      <c r="BB883" s="122"/>
      <c r="BC883" s="141"/>
    </row>
    <row r="884">
      <c r="BB884" s="122"/>
      <c r="BC884" s="141"/>
    </row>
    <row r="885">
      <c r="BB885" s="122"/>
      <c r="BC885" s="141"/>
    </row>
    <row r="886">
      <c r="BB886" s="122"/>
      <c r="BC886" s="141"/>
    </row>
    <row r="887">
      <c r="BB887" s="122"/>
      <c r="BC887" s="141"/>
    </row>
    <row r="888">
      <c r="BB888" s="122"/>
      <c r="BC888" s="141"/>
    </row>
    <row r="889">
      <c r="BB889" s="122"/>
      <c r="BC889" s="141"/>
    </row>
    <row r="890">
      <c r="BB890" s="122"/>
      <c r="BC890" s="141"/>
    </row>
    <row r="891">
      <c r="BB891" s="122"/>
      <c r="BC891" s="141"/>
    </row>
    <row r="892">
      <c r="BB892" s="122"/>
      <c r="BC892" s="141"/>
    </row>
    <row r="893">
      <c r="BB893" s="122"/>
      <c r="BC893" s="141"/>
    </row>
    <row r="894">
      <c r="BB894" s="122"/>
      <c r="BC894" s="141"/>
    </row>
    <row r="895">
      <c r="BB895" s="122"/>
      <c r="BC895" s="141"/>
    </row>
    <row r="896">
      <c r="BB896" s="122"/>
      <c r="BC896" s="141"/>
    </row>
    <row r="897">
      <c r="BB897" s="122"/>
      <c r="BC897" s="141"/>
    </row>
    <row r="898">
      <c r="BB898" s="122"/>
      <c r="BC898" s="141"/>
    </row>
    <row r="899">
      <c r="BB899" s="122"/>
      <c r="BC899" s="141"/>
    </row>
    <row r="900">
      <c r="BB900" s="122"/>
      <c r="BC900" s="141"/>
    </row>
    <row r="901">
      <c r="BB901" s="122"/>
      <c r="BC901" s="141"/>
    </row>
    <row r="902">
      <c r="BB902" s="122"/>
      <c r="BC902" s="141"/>
    </row>
    <row r="903">
      <c r="BB903" s="122"/>
      <c r="BC903" s="141"/>
    </row>
    <row r="904">
      <c r="BB904" s="122"/>
      <c r="BC904" s="141"/>
    </row>
    <row r="905">
      <c r="BB905" s="122"/>
      <c r="BC905" s="141"/>
    </row>
    <row r="906">
      <c r="BB906" s="122"/>
      <c r="BC906" s="141"/>
    </row>
    <row r="907">
      <c r="BB907" s="122"/>
      <c r="BC907" s="141"/>
    </row>
    <row r="908">
      <c r="BB908" s="122"/>
      <c r="BC908" s="141"/>
    </row>
    <row r="909">
      <c r="BB909" s="122"/>
      <c r="BC909" s="141"/>
    </row>
    <row r="910">
      <c r="BB910" s="122"/>
      <c r="BC910" s="141"/>
    </row>
    <row r="911">
      <c r="BB911" s="122"/>
      <c r="BC911" s="141"/>
    </row>
    <row r="912">
      <c r="BB912" s="122"/>
      <c r="BC912" s="141"/>
    </row>
    <row r="913">
      <c r="BB913" s="122"/>
      <c r="BC913" s="141"/>
    </row>
    <row r="914">
      <c r="BB914" s="122"/>
      <c r="BC914" s="141"/>
    </row>
    <row r="915">
      <c r="BB915" s="122"/>
      <c r="BC915" s="141"/>
    </row>
    <row r="916">
      <c r="BB916" s="122"/>
      <c r="BC916" s="141"/>
    </row>
    <row r="917">
      <c r="BB917" s="122"/>
      <c r="BC917" s="141"/>
    </row>
    <row r="918">
      <c r="BB918" s="122"/>
      <c r="BC918" s="141"/>
    </row>
    <row r="919">
      <c r="BB919" s="122"/>
      <c r="BC919" s="141"/>
    </row>
    <row r="920">
      <c r="BB920" s="122"/>
      <c r="BC920" s="141"/>
    </row>
    <row r="921">
      <c r="BB921" s="122"/>
      <c r="BC921" s="141"/>
    </row>
    <row r="922">
      <c r="BB922" s="122"/>
      <c r="BC922" s="141"/>
    </row>
    <row r="923">
      <c r="BB923" s="122"/>
      <c r="BC923" s="141"/>
    </row>
    <row r="924">
      <c r="BB924" s="122"/>
      <c r="BC924" s="141"/>
    </row>
    <row r="925">
      <c r="BB925" s="122"/>
      <c r="BC925" s="141"/>
    </row>
    <row r="926">
      <c r="BB926" s="122"/>
      <c r="BC926" s="141"/>
    </row>
    <row r="927">
      <c r="BB927" s="122"/>
      <c r="BC927" s="141"/>
    </row>
    <row r="928">
      <c r="BB928" s="122"/>
      <c r="BC928" s="141"/>
    </row>
    <row r="929">
      <c r="BB929" s="122"/>
      <c r="BC929" s="141"/>
    </row>
    <row r="930">
      <c r="BB930" s="122"/>
      <c r="BC930" s="141"/>
    </row>
    <row r="931">
      <c r="BB931" s="122"/>
      <c r="BC931" s="141"/>
    </row>
    <row r="932">
      <c r="BB932" s="122"/>
      <c r="BC932" s="141"/>
    </row>
    <row r="933">
      <c r="BB933" s="122"/>
      <c r="BC933" s="141"/>
    </row>
    <row r="934">
      <c r="BB934" s="122"/>
      <c r="BC934" s="141"/>
    </row>
    <row r="935">
      <c r="BB935" s="122"/>
      <c r="BC935" s="141"/>
    </row>
    <row r="936">
      <c r="BB936" s="122"/>
      <c r="BC936" s="141"/>
    </row>
    <row r="937">
      <c r="BB937" s="122"/>
      <c r="BC937" s="141"/>
    </row>
    <row r="938">
      <c r="BB938" s="122"/>
      <c r="BC938" s="141"/>
    </row>
    <row r="939">
      <c r="BB939" s="122"/>
      <c r="BC939" s="141"/>
    </row>
    <row r="940">
      <c r="BB940" s="122"/>
      <c r="BC940" s="141"/>
    </row>
    <row r="941">
      <c r="BB941" s="122"/>
      <c r="BC941" s="141"/>
    </row>
    <row r="942">
      <c r="BB942" s="122"/>
      <c r="BC942" s="141"/>
    </row>
    <row r="943">
      <c r="BB943" s="122"/>
      <c r="BC943" s="141"/>
    </row>
    <row r="944">
      <c r="BB944" s="122"/>
      <c r="BC944" s="141"/>
    </row>
    <row r="945">
      <c r="BB945" s="122"/>
      <c r="BC945" s="141"/>
    </row>
    <row r="946">
      <c r="BB946" s="122"/>
      <c r="BC946" s="141"/>
    </row>
    <row r="947">
      <c r="BB947" s="122"/>
      <c r="BC947" s="141"/>
    </row>
    <row r="948">
      <c r="BB948" s="122"/>
      <c r="BC948" s="141"/>
    </row>
    <row r="949">
      <c r="BB949" s="122"/>
      <c r="BC949" s="141"/>
    </row>
    <row r="950">
      <c r="BB950" s="122"/>
      <c r="BC950" s="141"/>
    </row>
    <row r="951">
      <c r="BB951" s="122"/>
      <c r="BC951" s="141"/>
    </row>
    <row r="952">
      <c r="BB952" s="122"/>
      <c r="BC952" s="141"/>
    </row>
    <row r="953">
      <c r="BB953" s="122"/>
      <c r="BC953" s="141"/>
    </row>
    <row r="954">
      <c r="BB954" s="122"/>
      <c r="BC954" s="141"/>
    </row>
    <row r="955">
      <c r="BB955" s="122"/>
      <c r="BC955" s="141"/>
    </row>
    <row r="956">
      <c r="BB956" s="122"/>
      <c r="BC956" s="141"/>
    </row>
    <row r="957">
      <c r="BB957" s="122"/>
      <c r="BC957" s="141"/>
    </row>
    <row r="958">
      <c r="BB958" s="122"/>
      <c r="BC958" s="141"/>
    </row>
    <row r="959">
      <c r="BB959" s="122"/>
      <c r="BC959" s="141"/>
    </row>
    <row r="960">
      <c r="BB960" s="122"/>
      <c r="BC960" s="141"/>
    </row>
    <row r="961">
      <c r="BB961" s="122"/>
      <c r="BC961" s="141"/>
    </row>
    <row r="962">
      <c r="BB962" s="122"/>
      <c r="BC962" s="141"/>
    </row>
    <row r="963">
      <c r="BB963" s="122"/>
      <c r="BC963" s="141"/>
    </row>
    <row r="964">
      <c r="BB964" s="122"/>
      <c r="BC964" s="141"/>
    </row>
    <row r="965">
      <c r="BB965" s="122"/>
      <c r="BC965" s="141"/>
    </row>
    <row r="966">
      <c r="BB966" s="122"/>
      <c r="BC966" s="141"/>
    </row>
    <row r="967">
      <c r="BB967" s="122"/>
      <c r="BC967" s="141"/>
    </row>
    <row r="968">
      <c r="BB968" s="122"/>
      <c r="BC968" s="141"/>
    </row>
    <row r="969">
      <c r="BB969" s="122"/>
      <c r="BC969" s="141"/>
    </row>
    <row r="970">
      <c r="BB970" s="122"/>
      <c r="BC970" s="141"/>
    </row>
    <row r="971">
      <c r="BB971" s="122"/>
      <c r="BC971" s="141"/>
    </row>
    <row r="972">
      <c r="BB972" s="122"/>
      <c r="BC972" s="141"/>
    </row>
    <row r="973">
      <c r="BB973" s="122"/>
      <c r="BC973" s="141"/>
    </row>
    <row r="974">
      <c r="BB974" s="122"/>
      <c r="BC974" s="141"/>
    </row>
    <row r="975">
      <c r="BB975" s="122"/>
      <c r="BC975" s="141"/>
    </row>
    <row r="976">
      <c r="BB976" s="122"/>
      <c r="BC976" s="141"/>
    </row>
    <row r="977">
      <c r="BB977" s="122"/>
      <c r="BC977" s="141"/>
    </row>
    <row r="978">
      <c r="BB978" s="122"/>
      <c r="BC978" s="141"/>
    </row>
    <row r="979">
      <c r="BB979" s="122"/>
      <c r="BC979" s="141"/>
    </row>
    <row r="980">
      <c r="BB980" s="122"/>
      <c r="BC980" s="141"/>
    </row>
    <row r="981">
      <c r="BB981" s="122"/>
      <c r="BC981" s="141"/>
    </row>
    <row r="982">
      <c r="BB982" s="122"/>
      <c r="BC982" s="141"/>
    </row>
    <row r="983">
      <c r="BB983" s="122"/>
      <c r="BC983" s="141"/>
    </row>
    <row r="984">
      <c r="BB984" s="122"/>
      <c r="BC984" s="141"/>
    </row>
    <row r="985">
      <c r="BB985" s="122"/>
      <c r="BC985" s="141"/>
    </row>
    <row r="986">
      <c r="BB986" s="122"/>
      <c r="BC986" s="141"/>
    </row>
    <row r="987">
      <c r="BB987" s="122"/>
      <c r="BC987" s="141"/>
    </row>
    <row r="988">
      <c r="BB988" s="122"/>
      <c r="BC988" s="141"/>
    </row>
    <row r="989">
      <c r="BB989" s="122"/>
      <c r="BC989" s="141"/>
    </row>
    <row r="990">
      <c r="BB990" s="122"/>
      <c r="BC990" s="141"/>
    </row>
    <row r="991">
      <c r="BB991" s="122"/>
      <c r="BC991" s="141"/>
    </row>
    <row r="992">
      <c r="BB992" s="122"/>
      <c r="BC992" s="141"/>
    </row>
    <row r="993">
      <c r="BB993" s="122"/>
      <c r="BC993" s="141"/>
    </row>
    <row r="994">
      <c r="BB994" s="122"/>
      <c r="BC994" s="141"/>
    </row>
    <row r="995">
      <c r="BB995" s="122"/>
      <c r="BC995" s="141"/>
    </row>
    <row r="996">
      <c r="BB996" s="122"/>
      <c r="BC996" s="141"/>
    </row>
    <row r="997">
      <c r="BB997" s="122"/>
      <c r="BC997" s="141"/>
    </row>
    <row r="998">
      <c r="BB998" s="122"/>
      <c r="BC998" s="141"/>
    </row>
    <row r="999">
      <c r="BB999" s="122"/>
      <c r="BC999" s="141"/>
    </row>
    <row r="1000">
      <c r="BB1000" s="122"/>
      <c r="BC1000" s="141"/>
    </row>
    <row r="1001">
      <c r="BB1001" s="122"/>
      <c r="BC1001" s="141"/>
    </row>
    <row r="1002">
      <c r="BB1002" s="122"/>
      <c r="BC1002" s="141"/>
    </row>
    <row r="1003">
      <c r="BB1003" s="122"/>
      <c r="BC1003" s="141"/>
    </row>
    <row r="1004">
      <c r="BB1004" s="122"/>
      <c r="BC1004" s="141"/>
    </row>
    <row r="1005">
      <c r="BB1005" s="122"/>
      <c r="BC1005" s="141"/>
    </row>
    <row r="1006">
      <c r="BB1006" s="122"/>
      <c r="BC1006" s="141"/>
    </row>
    <row r="1007">
      <c r="BB1007" s="122"/>
      <c r="BC1007" s="141"/>
    </row>
    <row r="1008">
      <c r="BB1008" s="122"/>
      <c r="BC1008" s="141"/>
    </row>
    <row r="1009">
      <c r="BB1009" s="122"/>
      <c r="BC1009" s="141"/>
    </row>
    <row r="1010">
      <c r="BB1010" s="122"/>
      <c r="BC1010" s="141"/>
    </row>
    <row r="1011">
      <c r="BB1011" s="122"/>
      <c r="BC1011" s="141"/>
    </row>
    <row r="1012">
      <c r="BB1012" s="122"/>
      <c r="BC1012" s="141"/>
    </row>
    <row r="1013">
      <c r="BB1013" s="122"/>
      <c r="BC1013" s="141"/>
    </row>
    <row r="1014">
      <c r="BB1014" s="122"/>
      <c r="BC1014" s="141"/>
    </row>
    <row r="1015">
      <c r="BB1015" s="122"/>
      <c r="BC1015" s="141"/>
    </row>
    <row r="1016">
      <c r="BB1016" s="122"/>
      <c r="BC1016" s="141"/>
    </row>
    <row r="1017">
      <c r="BB1017" s="122"/>
      <c r="BC1017" s="141"/>
    </row>
    <row r="1018">
      <c r="BB1018" s="122"/>
      <c r="BC1018" s="141"/>
    </row>
    <row r="1019">
      <c r="BB1019" s="122"/>
      <c r="BC1019" s="141"/>
    </row>
    <row r="1020">
      <c r="BB1020" s="122"/>
      <c r="BC1020" s="141"/>
    </row>
    <row r="1021">
      <c r="BB1021" s="122"/>
      <c r="BC1021" s="141"/>
    </row>
    <row r="1022">
      <c r="BB1022" s="122"/>
      <c r="BC1022" s="141"/>
    </row>
    <row r="1023">
      <c r="BB1023" s="122"/>
      <c r="BC1023" s="141"/>
    </row>
    <row r="1024">
      <c r="BB1024" s="122"/>
      <c r="BC1024" s="141"/>
    </row>
    <row r="1025">
      <c r="BB1025" s="122"/>
      <c r="BC1025" s="141"/>
    </row>
    <row r="1026">
      <c r="BB1026" s="122"/>
      <c r="BC1026" s="141"/>
    </row>
    <row r="1027">
      <c r="BB1027" s="122"/>
      <c r="BC1027" s="141"/>
    </row>
    <row r="1028">
      <c r="BB1028" s="122"/>
      <c r="BC1028" s="141"/>
    </row>
    <row r="1029">
      <c r="BB1029" s="122"/>
      <c r="BC1029" s="141"/>
    </row>
    <row r="1030">
      <c r="BB1030" s="122"/>
      <c r="BC1030" s="141"/>
    </row>
    <row r="1031">
      <c r="BB1031" s="122"/>
      <c r="BC1031" s="141"/>
    </row>
    <row r="1032">
      <c r="BB1032" s="122"/>
      <c r="BC1032" s="141"/>
    </row>
    <row r="1033">
      <c r="BB1033" s="122"/>
      <c r="BC1033" s="141"/>
    </row>
    <row r="1034">
      <c r="BB1034" s="122"/>
      <c r="BC1034" s="141"/>
    </row>
    <row r="1035">
      <c r="BB1035" s="122"/>
      <c r="BC1035" s="141"/>
    </row>
    <row r="1036">
      <c r="BB1036" s="122"/>
      <c r="BC1036" s="141"/>
    </row>
    <row r="1037">
      <c r="BB1037" s="122"/>
      <c r="BC1037" s="141"/>
    </row>
    <row r="1038">
      <c r="BB1038" s="122"/>
      <c r="BC1038" s="141"/>
    </row>
    <row r="1039">
      <c r="BB1039" s="122"/>
      <c r="BC1039" s="141"/>
    </row>
    <row r="1040">
      <c r="BB1040" s="122"/>
      <c r="BC1040" s="141"/>
    </row>
    <row r="1041">
      <c r="BB1041" s="122"/>
      <c r="BC1041" s="141"/>
    </row>
    <row r="1042">
      <c r="BB1042" s="122"/>
      <c r="BC1042" s="141"/>
    </row>
    <row r="1043">
      <c r="BB1043" s="122"/>
      <c r="BC1043" s="141"/>
    </row>
    <row r="1044">
      <c r="BB1044" s="122"/>
      <c r="BC1044" s="141"/>
    </row>
    <row r="1045">
      <c r="BB1045" s="122"/>
      <c r="BC1045" s="141"/>
    </row>
    <row r="1046">
      <c r="BB1046" s="122"/>
      <c r="BC1046" s="141"/>
    </row>
    <row r="1047">
      <c r="BB1047" s="122"/>
      <c r="BC1047" s="141"/>
    </row>
    <row r="1048">
      <c r="BB1048" s="122"/>
      <c r="BC1048" s="141"/>
    </row>
    <row r="1049">
      <c r="BB1049" s="122"/>
      <c r="BC1049" s="141"/>
    </row>
    <row r="1050">
      <c r="BB1050" s="122"/>
      <c r="BC1050" s="141"/>
    </row>
    <row r="1051">
      <c r="BB1051" s="122"/>
      <c r="BC1051" s="141"/>
    </row>
    <row r="1052">
      <c r="BB1052" s="122"/>
      <c r="BC1052" s="141"/>
    </row>
    <row r="1053">
      <c r="BB1053" s="122"/>
      <c r="BC1053" s="141"/>
    </row>
    <row r="1054">
      <c r="BB1054" s="122"/>
      <c r="BC1054" s="141"/>
    </row>
    <row r="1055">
      <c r="BB1055" s="122"/>
      <c r="BC1055" s="141"/>
    </row>
    <row r="1056">
      <c r="BB1056" s="122"/>
      <c r="BC1056" s="141"/>
    </row>
    <row r="1057">
      <c r="BB1057" s="122"/>
      <c r="BC1057" s="141"/>
    </row>
    <row r="1058">
      <c r="BB1058" s="122"/>
      <c r="BC1058" s="141"/>
    </row>
    <row r="1059">
      <c r="BB1059" s="122"/>
      <c r="BC1059" s="141"/>
    </row>
    <row r="1060">
      <c r="BB1060" s="122"/>
      <c r="BC1060" s="141"/>
    </row>
    <row r="1061">
      <c r="BB1061" s="122"/>
      <c r="BC1061" s="141"/>
    </row>
    <row r="1062">
      <c r="BB1062" s="122"/>
      <c r="BC1062" s="141"/>
    </row>
    <row r="1063">
      <c r="BB1063" s="122"/>
      <c r="BC1063" s="141"/>
    </row>
    <row r="1064">
      <c r="BB1064" s="122"/>
      <c r="BC1064" s="141"/>
    </row>
    <row r="1065">
      <c r="BB1065" s="122"/>
      <c r="BC1065" s="141"/>
    </row>
    <row r="1066">
      <c r="BB1066" s="122"/>
      <c r="BC1066" s="141"/>
    </row>
    <row r="1067">
      <c r="BB1067" s="122"/>
      <c r="BC1067" s="141"/>
    </row>
    <row r="1068">
      <c r="BB1068" s="122"/>
      <c r="BC1068" s="141"/>
    </row>
    <row r="1069">
      <c r="BB1069" s="122"/>
      <c r="BC1069" s="141"/>
    </row>
    <row r="1070">
      <c r="BB1070" s="122"/>
      <c r="BC1070" s="141"/>
    </row>
    <row r="1071">
      <c r="BB1071" s="122"/>
      <c r="BC1071" s="141"/>
    </row>
    <row r="1072">
      <c r="BB1072" s="122"/>
      <c r="BC1072" s="141"/>
    </row>
    <row r="1073">
      <c r="BB1073" s="122"/>
      <c r="BC1073" s="141"/>
    </row>
    <row r="1074">
      <c r="BB1074" s="122"/>
      <c r="BC1074" s="141"/>
    </row>
    <row r="1075">
      <c r="BB1075" s="122"/>
      <c r="BC1075" s="141"/>
    </row>
    <row r="1076">
      <c r="BB1076" s="122"/>
      <c r="BC1076" s="141"/>
    </row>
    <row r="1077">
      <c r="BB1077" s="122"/>
      <c r="BC1077" s="141"/>
    </row>
    <row r="1078">
      <c r="BB1078" s="122"/>
      <c r="BC1078" s="141"/>
    </row>
    <row r="1079">
      <c r="BB1079" s="122"/>
      <c r="BC1079" s="141"/>
    </row>
    <row r="1080">
      <c r="BB1080" s="122"/>
      <c r="BC1080" s="141"/>
    </row>
    <row r="1081">
      <c r="BB1081" s="122"/>
      <c r="BC1081" s="141"/>
    </row>
    <row r="1082">
      <c r="BB1082" s="122"/>
      <c r="BC1082" s="141"/>
    </row>
    <row r="1083">
      <c r="BB1083" s="122"/>
      <c r="BC1083" s="141"/>
    </row>
    <row r="1084">
      <c r="BB1084" s="122"/>
      <c r="BC1084" s="141"/>
    </row>
    <row r="1085">
      <c r="BB1085" s="122"/>
      <c r="BC1085" s="141"/>
    </row>
    <row r="1086">
      <c r="BB1086" s="122"/>
      <c r="BC1086" s="141"/>
    </row>
    <row r="1087">
      <c r="BB1087" s="122"/>
      <c r="BC1087" s="141"/>
    </row>
    <row r="1088">
      <c r="BB1088" s="122"/>
      <c r="BC1088" s="141"/>
    </row>
    <row r="1089">
      <c r="BB1089" s="122"/>
      <c r="BC1089" s="141"/>
    </row>
    <row r="1090">
      <c r="BB1090" s="122"/>
      <c r="BC1090" s="141"/>
    </row>
    <row r="1091">
      <c r="BB1091" s="122"/>
      <c r="BC1091" s="141"/>
    </row>
    <row r="1092">
      <c r="BB1092" s="122"/>
      <c r="BC1092" s="141"/>
    </row>
    <row r="1093">
      <c r="BB1093" s="122"/>
      <c r="BC1093" s="141"/>
    </row>
    <row r="1094">
      <c r="BB1094" s="122"/>
      <c r="BC1094" s="141"/>
    </row>
    <row r="1095">
      <c r="BB1095" s="122"/>
      <c r="BC1095" s="141"/>
    </row>
    <row r="1096">
      <c r="BB1096" s="122"/>
      <c r="BC1096" s="141"/>
    </row>
    <row r="1097">
      <c r="BB1097" s="122"/>
      <c r="BC1097" s="141"/>
    </row>
    <row r="1098">
      <c r="BB1098" s="122"/>
      <c r="BC1098" s="141"/>
    </row>
    <row r="1099">
      <c r="BB1099" s="122"/>
      <c r="BC1099" s="141"/>
    </row>
    <row r="1100">
      <c r="BB1100" s="122"/>
      <c r="BC1100" s="141"/>
    </row>
    <row r="1101">
      <c r="BB1101" s="122"/>
      <c r="BC1101" s="141"/>
    </row>
    <row r="1102">
      <c r="BB1102" s="122"/>
      <c r="BC1102" s="141"/>
    </row>
    <row r="1103">
      <c r="BB1103" s="122"/>
      <c r="BC1103" s="141"/>
    </row>
    <row r="1104">
      <c r="BB1104" s="122"/>
      <c r="BC1104" s="141"/>
    </row>
    <row r="1105">
      <c r="BB1105" s="122"/>
      <c r="BC1105" s="141"/>
    </row>
    <row r="1106">
      <c r="BB1106" s="122"/>
      <c r="BC1106" s="141"/>
    </row>
    <row r="1107">
      <c r="BB1107" s="122"/>
      <c r="BC1107" s="141"/>
    </row>
    <row r="1108">
      <c r="BB1108" s="122"/>
      <c r="BC1108" s="141"/>
    </row>
    <row r="1109">
      <c r="BB1109" s="122"/>
      <c r="BC1109" s="141"/>
    </row>
    <row r="1110">
      <c r="BB1110" s="122"/>
      <c r="BC1110" s="141"/>
    </row>
    <row r="1111">
      <c r="BB1111" s="122"/>
      <c r="BC1111" s="141"/>
    </row>
    <row r="1112">
      <c r="BB1112" s="122"/>
      <c r="BC1112" s="141"/>
    </row>
    <row r="1113">
      <c r="BB1113" s="122"/>
      <c r="BC1113" s="141"/>
    </row>
    <row r="1114">
      <c r="BB1114" s="122"/>
      <c r="BC1114" s="141"/>
    </row>
    <row r="1115">
      <c r="BB1115" s="122"/>
      <c r="BC1115" s="141"/>
    </row>
    <row r="1116">
      <c r="BB1116" s="122"/>
      <c r="BC1116" s="141"/>
    </row>
    <row r="1117">
      <c r="BB1117" s="122"/>
      <c r="BC1117" s="141"/>
    </row>
    <row r="1118">
      <c r="BB1118" s="122"/>
      <c r="BC1118" s="141"/>
    </row>
    <row r="1119">
      <c r="BB1119" s="122"/>
      <c r="BC1119" s="141"/>
    </row>
    <row r="1120">
      <c r="BB1120" s="122"/>
      <c r="BC1120" s="141"/>
    </row>
    <row r="1121">
      <c r="BB1121" s="122"/>
      <c r="BC1121" s="141"/>
    </row>
    <row r="1122">
      <c r="BB1122" s="122"/>
      <c r="BC1122" s="141"/>
    </row>
    <row r="1123">
      <c r="BB1123" s="122"/>
      <c r="BC1123" s="141"/>
    </row>
    <row r="1124">
      <c r="BB1124" s="122"/>
      <c r="BC1124" s="141"/>
    </row>
    <row r="1125">
      <c r="BB1125" s="122"/>
      <c r="BC1125" s="141"/>
    </row>
    <row r="1126">
      <c r="BB1126" s="122"/>
      <c r="BC1126" s="141"/>
    </row>
    <row r="1127">
      <c r="BB1127" s="122"/>
      <c r="BC1127" s="141"/>
    </row>
    <row r="1128">
      <c r="BB1128" s="122"/>
      <c r="BC1128" s="141"/>
    </row>
    <row r="1129">
      <c r="BB1129" s="122"/>
      <c r="BC1129" s="141"/>
    </row>
    <row r="1130">
      <c r="BB1130" s="122"/>
      <c r="BC1130" s="141"/>
    </row>
    <row r="1131">
      <c r="BB1131" s="122"/>
      <c r="BC1131" s="141"/>
    </row>
    <row r="1132">
      <c r="BB1132" s="122"/>
      <c r="BC1132" s="141"/>
    </row>
    <row r="1133">
      <c r="BB1133" s="122"/>
      <c r="BC1133" s="141"/>
    </row>
    <row r="1134">
      <c r="BB1134" s="122"/>
      <c r="BC1134" s="141"/>
    </row>
    <row r="1135">
      <c r="BB1135" s="122"/>
      <c r="BC1135" s="141"/>
    </row>
    <row r="1136">
      <c r="BB1136" s="122"/>
      <c r="BC1136" s="141"/>
    </row>
    <row r="1137">
      <c r="BB1137" s="122"/>
      <c r="BC1137" s="141"/>
    </row>
    <row r="1138">
      <c r="BB1138" s="122"/>
      <c r="BC1138" s="141"/>
    </row>
    <row r="1139">
      <c r="BB1139" s="122"/>
      <c r="BC1139" s="141"/>
    </row>
    <row r="1140">
      <c r="BB1140" s="122"/>
      <c r="BC1140" s="141"/>
    </row>
    <row r="1141">
      <c r="BB1141" s="122"/>
      <c r="BC1141" s="141"/>
    </row>
    <row r="1142">
      <c r="BB1142" s="122"/>
      <c r="BC1142" s="141"/>
    </row>
    <row r="1143">
      <c r="BB1143" s="122"/>
      <c r="BC1143" s="141"/>
    </row>
    <row r="1144">
      <c r="BB1144" s="122"/>
      <c r="BC1144" s="141"/>
    </row>
    <row r="1145">
      <c r="BB1145" s="122"/>
      <c r="BC1145" s="141"/>
    </row>
    <row r="1146">
      <c r="BB1146" s="122"/>
      <c r="BC1146" s="141"/>
    </row>
    <row r="1147">
      <c r="BB1147" s="122"/>
      <c r="BC1147" s="141"/>
    </row>
    <row r="1148">
      <c r="BB1148" s="122"/>
      <c r="BC1148" s="141"/>
    </row>
    <row r="1149">
      <c r="BB1149" s="122"/>
      <c r="BC1149" s="141"/>
    </row>
    <row r="1150">
      <c r="BB1150" s="122"/>
      <c r="BC1150" s="141"/>
    </row>
    <row r="1151">
      <c r="BB1151" s="122"/>
      <c r="BC1151" s="141"/>
    </row>
    <row r="1152">
      <c r="BB1152" s="122"/>
      <c r="BC1152" s="141"/>
    </row>
    <row r="1153">
      <c r="BB1153" s="122"/>
      <c r="BC1153" s="141"/>
    </row>
    <row r="1154">
      <c r="BB1154" s="122"/>
      <c r="BC1154" s="141"/>
    </row>
    <row r="1155">
      <c r="BB1155" s="122"/>
      <c r="BC1155" s="141"/>
    </row>
    <row r="1156">
      <c r="BB1156" s="122"/>
      <c r="BC1156" s="141"/>
    </row>
    <row r="1157">
      <c r="BB1157" s="122"/>
      <c r="BC1157" s="141"/>
    </row>
    <row r="1158">
      <c r="BB1158" s="122"/>
      <c r="BC1158" s="141"/>
    </row>
    <row r="1159">
      <c r="BB1159" s="122"/>
      <c r="BC1159" s="141"/>
    </row>
    <row r="1160">
      <c r="BB1160" s="122"/>
      <c r="BC1160" s="141"/>
    </row>
    <row r="1161">
      <c r="BB1161" s="122"/>
      <c r="BC1161" s="141"/>
    </row>
    <row r="1162">
      <c r="BB1162" s="122"/>
      <c r="BC1162" s="141"/>
    </row>
    <row r="1163">
      <c r="BB1163" s="122"/>
      <c r="BC1163" s="141"/>
    </row>
    <row r="1164">
      <c r="BB1164" s="122"/>
      <c r="BC1164" s="141"/>
    </row>
    <row r="1165">
      <c r="BB1165" s="122"/>
      <c r="BC1165" s="141"/>
    </row>
    <row r="1166">
      <c r="BB1166" s="122"/>
      <c r="BC1166" s="141"/>
    </row>
    <row r="1167">
      <c r="BB1167" s="122"/>
      <c r="BC1167" s="141"/>
    </row>
    <row r="1168">
      <c r="BB1168" s="122"/>
      <c r="BC1168" s="141"/>
    </row>
    <row r="1169">
      <c r="BB1169" s="122"/>
      <c r="BC1169" s="141"/>
    </row>
    <row r="1170">
      <c r="BB1170" s="122"/>
      <c r="BC1170" s="141"/>
    </row>
    <row r="1171">
      <c r="BB1171" s="122"/>
      <c r="BC1171" s="141"/>
    </row>
    <row r="1172">
      <c r="BB1172" s="122"/>
      <c r="BC1172" s="141"/>
    </row>
    <row r="1173">
      <c r="BB1173" s="122"/>
      <c r="BC1173" s="141"/>
    </row>
    <row r="1174">
      <c r="BB1174" s="122"/>
      <c r="BC1174" s="141"/>
    </row>
    <row r="1175">
      <c r="BB1175" s="122"/>
      <c r="BC1175" s="141"/>
    </row>
    <row r="1176">
      <c r="BB1176" s="122"/>
      <c r="BC1176" s="141"/>
    </row>
    <row r="1177">
      <c r="BB1177" s="122"/>
      <c r="BC1177" s="141"/>
    </row>
    <row r="1178">
      <c r="BB1178" s="122"/>
      <c r="BC1178" s="141"/>
    </row>
    <row r="1179">
      <c r="BB1179" s="122"/>
      <c r="BC1179" s="141"/>
    </row>
    <row r="1180">
      <c r="BB1180" s="122"/>
      <c r="BC1180" s="141"/>
    </row>
    <row r="1181">
      <c r="BB1181" s="122"/>
      <c r="BC1181" s="141"/>
    </row>
    <row r="1182">
      <c r="BB1182" s="122"/>
      <c r="BC1182" s="141"/>
    </row>
    <row r="1183">
      <c r="BB1183" s="122"/>
      <c r="BC1183" s="141"/>
    </row>
    <row r="1184">
      <c r="BB1184" s="122"/>
      <c r="BC1184" s="141"/>
    </row>
    <row r="1185">
      <c r="BB1185" s="122"/>
      <c r="BC1185" s="141"/>
    </row>
    <row r="1186">
      <c r="BB1186" s="122"/>
      <c r="BC1186" s="141"/>
    </row>
    <row r="1187">
      <c r="BB1187" s="122"/>
      <c r="BC1187" s="141"/>
    </row>
    <row r="1188">
      <c r="BB1188" s="122"/>
      <c r="BC1188" s="141"/>
    </row>
    <row r="1189">
      <c r="BB1189" s="122"/>
      <c r="BC1189" s="141"/>
    </row>
    <row r="1190">
      <c r="BB1190" s="122"/>
      <c r="BC1190" s="141"/>
    </row>
    <row r="1191">
      <c r="BB1191" s="122"/>
      <c r="BC1191" s="141"/>
    </row>
    <row r="1192">
      <c r="BB1192" s="122"/>
      <c r="BC1192" s="141"/>
    </row>
    <row r="1193">
      <c r="BB1193" s="122"/>
      <c r="BC1193" s="141"/>
    </row>
    <row r="1194">
      <c r="BB1194" s="122"/>
      <c r="BC1194" s="141"/>
    </row>
    <row r="1195">
      <c r="BB1195" s="122"/>
      <c r="BC1195" s="141"/>
    </row>
    <row r="1196">
      <c r="BB1196" s="122"/>
      <c r="BC1196" s="141"/>
    </row>
    <row r="1197">
      <c r="BB1197" s="122"/>
      <c r="BC1197" s="141"/>
    </row>
    <row r="1198">
      <c r="BB1198" s="122"/>
      <c r="BC1198" s="141"/>
    </row>
    <row r="1199">
      <c r="BB1199" s="122"/>
      <c r="BC1199" s="141"/>
    </row>
    <row r="1200">
      <c r="BB1200" s="122"/>
      <c r="BC1200" s="141"/>
    </row>
    <row r="1201">
      <c r="BB1201" s="122"/>
      <c r="BC1201" s="141"/>
    </row>
    <row r="1202">
      <c r="BB1202" s="122"/>
      <c r="BC1202" s="141"/>
    </row>
    <row r="1203">
      <c r="BB1203" s="122"/>
      <c r="BC1203" s="141"/>
    </row>
    <row r="1204">
      <c r="BB1204" s="122"/>
      <c r="BC1204" s="141"/>
    </row>
    <row r="1205">
      <c r="BB1205" s="122"/>
      <c r="BC1205" s="141"/>
    </row>
    <row r="1206">
      <c r="BB1206" s="122"/>
      <c r="BC1206" s="141"/>
    </row>
    <row r="1207">
      <c r="BB1207" s="122"/>
      <c r="BC1207" s="141"/>
    </row>
    <row r="1208">
      <c r="BB1208" s="122"/>
      <c r="BC1208" s="141"/>
    </row>
    <row r="1209">
      <c r="BB1209" s="122"/>
      <c r="BC1209" s="141"/>
    </row>
    <row r="1210">
      <c r="BB1210" s="122"/>
      <c r="BC1210" s="141"/>
    </row>
    <row r="1211">
      <c r="BB1211" s="122"/>
      <c r="BC1211" s="141"/>
    </row>
    <row r="1212">
      <c r="BB1212" s="122"/>
      <c r="BC1212" s="141"/>
    </row>
    <row r="1213">
      <c r="BB1213" s="122"/>
      <c r="BC1213" s="141"/>
    </row>
    <row r="1214">
      <c r="BB1214" s="122"/>
      <c r="BC1214" s="141"/>
    </row>
    <row r="1215">
      <c r="BB1215" s="122"/>
      <c r="BC1215" s="141"/>
    </row>
    <row r="1216">
      <c r="BB1216" s="122"/>
      <c r="BC1216" s="141"/>
    </row>
    <row r="1217">
      <c r="BB1217" s="122"/>
      <c r="BC1217" s="141"/>
    </row>
    <row r="1218">
      <c r="BB1218" s="122"/>
      <c r="BC1218" s="141"/>
    </row>
    <row r="1219">
      <c r="BB1219" s="122"/>
      <c r="BC1219" s="141"/>
    </row>
    <row r="1220">
      <c r="BB1220" s="122"/>
      <c r="BC1220" s="141"/>
    </row>
    <row r="1221">
      <c r="BB1221" s="122"/>
      <c r="BC1221" s="141"/>
    </row>
    <row r="1222">
      <c r="BB1222" s="122"/>
      <c r="BC1222" s="141"/>
    </row>
    <row r="1223">
      <c r="BB1223" s="122"/>
      <c r="BC1223" s="141"/>
    </row>
    <row r="1224">
      <c r="BB1224" s="122"/>
      <c r="BC1224" s="141"/>
    </row>
    <row r="1225">
      <c r="BB1225" s="122"/>
      <c r="BC1225" s="141"/>
    </row>
    <row r="1226">
      <c r="BB1226" s="122"/>
      <c r="BC1226" s="141"/>
    </row>
    <row r="1227">
      <c r="BB1227" s="122"/>
      <c r="BC1227" s="141"/>
    </row>
    <row r="1228">
      <c r="BB1228" s="122"/>
      <c r="BC1228" s="141"/>
    </row>
    <row r="1229">
      <c r="BB1229" s="122"/>
      <c r="BC1229" s="141"/>
    </row>
    <row r="1230">
      <c r="BB1230" s="122"/>
      <c r="BC1230" s="141"/>
    </row>
    <row r="1231">
      <c r="BB1231" s="122"/>
      <c r="BC1231" s="141"/>
    </row>
    <row r="1232">
      <c r="BB1232" s="122"/>
      <c r="BC1232" s="141"/>
    </row>
    <row r="1233">
      <c r="BB1233" s="122"/>
      <c r="BC1233" s="141"/>
    </row>
    <row r="1234">
      <c r="BB1234" s="122"/>
      <c r="BC1234" s="141"/>
    </row>
    <row r="1235">
      <c r="BB1235" s="122"/>
      <c r="BC1235" s="141"/>
    </row>
    <row r="1236">
      <c r="BB1236" s="122"/>
      <c r="BC1236" s="141"/>
    </row>
    <row r="1237">
      <c r="BB1237" s="122"/>
      <c r="BC1237" s="141"/>
    </row>
    <row r="1238">
      <c r="BB1238" s="122"/>
      <c r="BC1238" s="141"/>
    </row>
    <row r="1239">
      <c r="BB1239" s="122"/>
      <c r="BC1239" s="141"/>
    </row>
    <row r="1240">
      <c r="BB1240" s="122"/>
      <c r="BC1240" s="141"/>
    </row>
    <row r="1241">
      <c r="BB1241" s="122"/>
      <c r="BC1241" s="141"/>
    </row>
    <row r="1242">
      <c r="BB1242" s="122"/>
      <c r="BC1242" s="141"/>
    </row>
    <row r="1243">
      <c r="BB1243" s="122"/>
      <c r="BC1243" s="141"/>
    </row>
    <row r="1244">
      <c r="BB1244" s="122"/>
      <c r="BC1244" s="141"/>
    </row>
    <row r="1245">
      <c r="BB1245" s="122"/>
      <c r="BC1245" s="141"/>
    </row>
    <row r="1246">
      <c r="BB1246" s="122"/>
      <c r="BC1246" s="141"/>
    </row>
    <row r="1247">
      <c r="BB1247" s="122"/>
      <c r="BC1247" s="141"/>
    </row>
    <row r="1248">
      <c r="BB1248" s="122"/>
      <c r="BC1248" s="141"/>
    </row>
    <row r="1249">
      <c r="BB1249" s="122"/>
      <c r="BC1249" s="141"/>
    </row>
    <row r="1250">
      <c r="BB1250" s="122"/>
      <c r="BC1250" s="141"/>
    </row>
    <row r="1251">
      <c r="BB1251" s="122"/>
      <c r="BC1251" s="141"/>
    </row>
    <row r="1252">
      <c r="BB1252" s="122"/>
      <c r="BC1252" s="141"/>
    </row>
    <row r="1253">
      <c r="BB1253" s="122"/>
      <c r="BC1253" s="141"/>
    </row>
    <row r="1254">
      <c r="BB1254" s="122"/>
      <c r="BC1254" s="141"/>
    </row>
    <row r="1255">
      <c r="BB1255" s="122"/>
      <c r="BC1255" s="141"/>
    </row>
    <row r="1256">
      <c r="BB1256" s="122"/>
      <c r="BC1256" s="141"/>
    </row>
    <row r="1257">
      <c r="BB1257" s="122"/>
      <c r="BC1257" s="141"/>
    </row>
    <row r="1258">
      <c r="BB1258" s="122"/>
      <c r="BC1258" s="141"/>
    </row>
    <row r="1259">
      <c r="BB1259" s="122"/>
      <c r="BC1259" s="141"/>
    </row>
    <row r="1260">
      <c r="BB1260" s="122"/>
      <c r="BC1260" s="141"/>
    </row>
    <row r="1261">
      <c r="BB1261" s="122"/>
      <c r="BC1261" s="141"/>
    </row>
    <row r="1262">
      <c r="BB1262" s="122"/>
      <c r="BC1262" s="141"/>
    </row>
    <row r="1263">
      <c r="BB1263" s="122"/>
      <c r="BC1263" s="141"/>
    </row>
    <row r="1264">
      <c r="BB1264" s="122"/>
      <c r="BC1264" s="141"/>
    </row>
    <row r="1265">
      <c r="BB1265" s="122"/>
      <c r="BC1265" s="141"/>
    </row>
    <row r="1266">
      <c r="BB1266" s="122"/>
      <c r="BC1266" s="141"/>
    </row>
    <row r="1267">
      <c r="BB1267" s="122"/>
      <c r="BC1267" s="141"/>
    </row>
    <row r="1268">
      <c r="BB1268" s="122"/>
      <c r="BC1268" s="141"/>
    </row>
    <row r="1269">
      <c r="BB1269" s="122"/>
      <c r="BC1269" s="141"/>
    </row>
    <row r="1270">
      <c r="BB1270" s="122"/>
      <c r="BC1270" s="141"/>
    </row>
    <row r="1271">
      <c r="BB1271" s="122"/>
      <c r="BC1271" s="141"/>
    </row>
    <row r="1272">
      <c r="BB1272" s="122"/>
      <c r="BC1272" s="141"/>
    </row>
    <row r="1273">
      <c r="BB1273" s="122"/>
      <c r="BC1273" s="141"/>
    </row>
    <row r="1274">
      <c r="BB1274" s="122"/>
      <c r="BC1274" s="141"/>
    </row>
    <row r="1275">
      <c r="BB1275" s="122"/>
      <c r="BC1275" s="141"/>
    </row>
    <row r="1276">
      <c r="BB1276" s="122"/>
      <c r="BC1276" s="141"/>
    </row>
    <row r="1277">
      <c r="BB1277" s="122"/>
      <c r="BC1277" s="141"/>
    </row>
    <row r="1278">
      <c r="BB1278" s="122"/>
      <c r="BC1278" s="141"/>
    </row>
    <row r="1279">
      <c r="BB1279" s="122"/>
      <c r="BC1279" s="141"/>
    </row>
    <row r="1280">
      <c r="BB1280" s="122"/>
      <c r="BC1280" s="141"/>
    </row>
    <row r="1281">
      <c r="BB1281" s="122"/>
      <c r="BC1281" s="141"/>
    </row>
    <row r="1282">
      <c r="BB1282" s="122"/>
      <c r="BC1282" s="141"/>
    </row>
    <row r="1283">
      <c r="BB1283" s="122"/>
      <c r="BC1283" s="141"/>
    </row>
    <row r="1284">
      <c r="BB1284" s="122"/>
      <c r="BC1284" s="141"/>
    </row>
    <row r="1285">
      <c r="BB1285" s="122"/>
      <c r="BC1285" s="141"/>
    </row>
    <row r="1286">
      <c r="BB1286" s="122"/>
      <c r="BC1286" s="141"/>
    </row>
    <row r="1287">
      <c r="BB1287" s="122"/>
      <c r="BC1287" s="141"/>
    </row>
    <row r="1288">
      <c r="BB1288" s="122"/>
      <c r="BC1288" s="141"/>
    </row>
    <row r="1289">
      <c r="BB1289" s="122"/>
      <c r="BC1289" s="141"/>
    </row>
    <row r="1290">
      <c r="BB1290" s="122"/>
      <c r="BC1290" s="141"/>
    </row>
    <row r="1291">
      <c r="BB1291" s="122"/>
      <c r="BC1291" s="141"/>
    </row>
    <row r="1292">
      <c r="BB1292" s="122"/>
      <c r="BC1292" s="141"/>
    </row>
    <row r="1293">
      <c r="BB1293" s="122"/>
      <c r="BC1293" s="141"/>
    </row>
    <row r="1294">
      <c r="BB1294" s="122"/>
      <c r="BC1294" s="141"/>
    </row>
    <row r="1295">
      <c r="BB1295" s="122"/>
      <c r="BC1295" s="141"/>
    </row>
    <row r="1296">
      <c r="BB1296" s="122"/>
      <c r="BC1296" s="141"/>
    </row>
    <row r="1297">
      <c r="BB1297" s="122"/>
      <c r="BC1297" s="141"/>
    </row>
    <row r="1298">
      <c r="BB1298" s="122"/>
      <c r="BC1298" s="141"/>
    </row>
    <row r="1299">
      <c r="BB1299" s="122"/>
      <c r="BC1299" s="141"/>
    </row>
    <row r="1300">
      <c r="BB1300" s="122"/>
      <c r="BC1300" s="141"/>
    </row>
    <row r="1301">
      <c r="BB1301" s="122"/>
      <c r="BC1301" s="141"/>
    </row>
    <row r="1302">
      <c r="BB1302" s="122"/>
      <c r="BC1302" s="141"/>
    </row>
    <row r="1303">
      <c r="BB1303" s="122"/>
      <c r="BC1303" s="141"/>
    </row>
    <row r="1304">
      <c r="BB1304" s="122"/>
      <c r="BC1304" s="141"/>
    </row>
    <row r="1305">
      <c r="BB1305" s="122"/>
      <c r="BC1305" s="141"/>
    </row>
    <row r="1306">
      <c r="BB1306" s="122"/>
      <c r="BC1306" s="141"/>
    </row>
    <row r="1307">
      <c r="BB1307" s="122"/>
      <c r="BC1307" s="141"/>
    </row>
    <row r="1308">
      <c r="BB1308" s="122"/>
      <c r="BC1308" s="141"/>
    </row>
    <row r="1309">
      <c r="BB1309" s="122"/>
      <c r="BC1309" s="141"/>
    </row>
    <row r="1310">
      <c r="BB1310" s="122"/>
      <c r="BC1310" s="141"/>
    </row>
    <row r="1311">
      <c r="BB1311" s="122"/>
      <c r="BC1311" s="141"/>
    </row>
    <row r="1312">
      <c r="BB1312" s="122"/>
      <c r="BC1312" s="141"/>
    </row>
    <row r="1313">
      <c r="BB1313" s="122"/>
      <c r="BC1313" s="141"/>
    </row>
    <row r="1314">
      <c r="BB1314" s="122"/>
      <c r="BC1314" s="141"/>
    </row>
    <row r="1315">
      <c r="BB1315" s="122"/>
      <c r="BC1315" s="141"/>
    </row>
    <row r="1316">
      <c r="BB1316" s="122"/>
      <c r="BC1316" s="141"/>
    </row>
    <row r="1317">
      <c r="BB1317" s="122"/>
      <c r="BC1317" s="141"/>
    </row>
    <row r="1318">
      <c r="BB1318" s="122"/>
      <c r="BC1318" s="141"/>
    </row>
    <row r="1319">
      <c r="BB1319" s="122"/>
      <c r="BC1319" s="141"/>
    </row>
    <row r="1320">
      <c r="BB1320" s="122"/>
      <c r="BC1320" s="141"/>
    </row>
    <row r="1321">
      <c r="BB1321" s="122"/>
      <c r="BC1321" s="141"/>
    </row>
    <row r="1322">
      <c r="BB1322" s="122"/>
      <c r="BC1322" s="141"/>
    </row>
    <row r="1323">
      <c r="BB1323" s="122"/>
      <c r="BC1323" s="141"/>
    </row>
    <row r="1324">
      <c r="BB1324" s="122"/>
      <c r="BC1324" s="141"/>
    </row>
    <row r="1325">
      <c r="BB1325" s="122"/>
      <c r="BC1325" s="141"/>
    </row>
    <row r="1326">
      <c r="BB1326" s="122"/>
      <c r="BC1326" s="141"/>
    </row>
    <row r="1327">
      <c r="BB1327" s="122"/>
      <c r="BC1327" s="141"/>
    </row>
    <row r="1328">
      <c r="BB1328" s="122"/>
      <c r="BC1328" s="141"/>
    </row>
    <row r="1329">
      <c r="BB1329" s="122"/>
      <c r="BC1329" s="141"/>
    </row>
    <row r="1330">
      <c r="BB1330" s="122"/>
      <c r="BC1330" s="141"/>
    </row>
    <row r="1331">
      <c r="BB1331" s="122"/>
      <c r="BC1331" s="141"/>
    </row>
    <row r="1332">
      <c r="BB1332" s="122"/>
      <c r="BC1332" s="141"/>
    </row>
    <row r="1333">
      <c r="BB1333" s="122"/>
      <c r="BC1333" s="141"/>
    </row>
    <row r="1334">
      <c r="BB1334" s="122"/>
      <c r="BC1334" s="141"/>
    </row>
    <row r="1335">
      <c r="BB1335" s="122"/>
      <c r="BC1335" s="141"/>
    </row>
    <row r="1336">
      <c r="BB1336" s="122"/>
      <c r="BC1336" s="141"/>
    </row>
    <row r="1337">
      <c r="BB1337" s="122"/>
      <c r="BC1337" s="141"/>
    </row>
    <row r="1338">
      <c r="BB1338" s="122"/>
      <c r="BC1338" s="141"/>
    </row>
    <row r="1339">
      <c r="BB1339" s="122"/>
      <c r="BC1339" s="141"/>
    </row>
    <row r="1340">
      <c r="BB1340" s="122"/>
      <c r="BC1340" s="141"/>
    </row>
    <row r="1341">
      <c r="BB1341" s="122"/>
      <c r="BC1341" s="141"/>
    </row>
    <row r="1342">
      <c r="BB1342" s="122"/>
      <c r="BC1342" s="141"/>
    </row>
    <row r="1343">
      <c r="BB1343" s="122"/>
      <c r="BC1343" s="141"/>
    </row>
    <row r="1344">
      <c r="BB1344" s="122"/>
      <c r="BC1344" s="141"/>
    </row>
    <row r="1345">
      <c r="BB1345" s="122"/>
      <c r="BC1345" s="141"/>
    </row>
    <row r="1346">
      <c r="BB1346" s="122"/>
      <c r="BC1346" s="141"/>
    </row>
    <row r="1347">
      <c r="BB1347" s="122"/>
      <c r="BC1347" s="141"/>
    </row>
    <row r="1348">
      <c r="BB1348" s="122"/>
      <c r="BC1348" s="141"/>
    </row>
    <row r="1349">
      <c r="BB1349" s="122"/>
      <c r="BC1349" s="141"/>
    </row>
    <row r="1350">
      <c r="BB1350" s="122"/>
      <c r="BC1350" s="141"/>
    </row>
    <row r="1351">
      <c r="BB1351" s="122"/>
      <c r="BC1351" s="141"/>
    </row>
    <row r="1352">
      <c r="BB1352" s="122"/>
      <c r="BC1352" s="141"/>
    </row>
    <row r="1353">
      <c r="BB1353" s="122"/>
      <c r="BC1353" s="141"/>
    </row>
    <row r="1354">
      <c r="BB1354" s="122"/>
      <c r="BC1354" s="141"/>
    </row>
    <row r="1355">
      <c r="BB1355" s="122"/>
      <c r="BC1355" s="141"/>
    </row>
    <row r="1356">
      <c r="BB1356" s="122"/>
      <c r="BC1356" s="141"/>
    </row>
    <row r="1357">
      <c r="BB1357" s="122"/>
      <c r="BC1357" s="141"/>
    </row>
    <row r="1358">
      <c r="BB1358" s="122"/>
      <c r="BC1358" s="141"/>
    </row>
    <row r="1359">
      <c r="BB1359" s="122"/>
      <c r="BC1359" s="141"/>
    </row>
    <row r="1360">
      <c r="BB1360" s="122"/>
      <c r="BC1360" s="141"/>
    </row>
    <row r="1361">
      <c r="BB1361" s="122"/>
      <c r="BC1361" s="141"/>
    </row>
    <row r="1362">
      <c r="BB1362" s="122"/>
      <c r="BC1362" s="141"/>
    </row>
    <row r="1363">
      <c r="BB1363" s="122"/>
      <c r="BC1363" s="141"/>
    </row>
    <row r="1364">
      <c r="BB1364" s="122"/>
      <c r="BC1364" s="141"/>
    </row>
    <row r="1365">
      <c r="BB1365" s="122"/>
      <c r="BC1365" s="141"/>
    </row>
    <row r="1366">
      <c r="BB1366" s="122"/>
      <c r="BC1366" s="141"/>
    </row>
    <row r="1367">
      <c r="BB1367" s="122"/>
      <c r="BC1367" s="141"/>
    </row>
    <row r="1368">
      <c r="BB1368" s="122"/>
      <c r="BC1368" s="141"/>
    </row>
    <row r="1369">
      <c r="BB1369" s="122"/>
      <c r="BC1369" s="141"/>
    </row>
    <row r="1370">
      <c r="BB1370" s="122"/>
      <c r="BC1370" s="141"/>
    </row>
    <row r="1371">
      <c r="BB1371" s="122"/>
      <c r="BC1371" s="141"/>
    </row>
    <row r="1372">
      <c r="BB1372" s="122"/>
      <c r="BC1372" s="141"/>
    </row>
    <row r="1373">
      <c r="BB1373" s="122"/>
      <c r="BC1373" s="141"/>
    </row>
    <row r="1374">
      <c r="BB1374" s="122"/>
      <c r="BC1374" s="141"/>
    </row>
    <row r="1375">
      <c r="BB1375" s="122"/>
      <c r="BC1375" s="141"/>
    </row>
    <row r="1376">
      <c r="BB1376" s="122"/>
      <c r="BC1376" s="141"/>
    </row>
    <row r="1377">
      <c r="BB1377" s="122"/>
      <c r="BC1377" s="141"/>
    </row>
    <row r="1378">
      <c r="BB1378" s="122"/>
      <c r="BC1378" s="141"/>
    </row>
    <row r="1379">
      <c r="BB1379" s="122"/>
      <c r="BC1379" s="141"/>
    </row>
    <row r="1380">
      <c r="BB1380" s="122"/>
      <c r="BC1380" s="141"/>
    </row>
    <row r="1381">
      <c r="BB1381" s="122"/>
      <c r="BC1381" s="141"/>
    </row>
    <row r="1382">
      <c r="BB1382" s="122"/>
      <c r="BC1382" s="141"/>
    </row>
    <row r="1383">
      <c r="BB1383" s="122"/>
      <c r="BC1383" s="141"/>
    </row>
    <row r="1384">
      <c r="BB1384" s="122"/>
      <c r="BC1384" s="141"/>
    </row>
    <row r="1385">
      <c r="BB1385" s="122"/>
      <c r="BC1385" s="141"/>
    </row>
    <row r="1386">
      <c r="BB1386" s="122"/>
      <c r="BC1386" s="141"/>
    </row>
    <row r="1387">
      <c r="BB1387" s="122"/>
      <c r="BC1387" s="141"/>
    </row>
    <row r="1388">
      <c r="BB1388" s="122"/>
      <c r="BC1388" s="141"/>
    </row>
    <row r="1389">
      <c r="BB1389" s="122"/>
      <c r="BC1389" s="141"/>
    </row>
    <row r="1390">
      <c r="BB1390" s="122"/>
      <c r="BC1390" s="141"/>
    </row>
    <row r="1391">
      <c r="BB1391" s="122"/>
      <c r="BC1391" s="141"/>
    </row>
    <row r="1392">
      <c r="BB1392" s="122"/>
      <c r="BC1392" s="141"/>
    </row>
    <row r="1393">
      <c r="BB1393" s="122"/>
      <c r="BC1393" s="141"/>
    </row>
    <row r="1394">
      <c r="BB1394" s="122"/>
      <c r="BC1394" s="141"/>
    </row>
    <row r="1395">
      <c r="BB1395" s="122"/>
      <c r="BC1395" s="141"/>
    </row>
    <row r="1396">
      <c r="BB1396" s="122"/>
      <c r="BC1396" s="141"/>
    </row>
    <row r="1397">
      <c r="BB1397" s="122"/>
      <c r="BC1397" s="141"/>
    </row>
    <row r="1398">
      <c r="BB1398" s="122"/>
      <c r="BC1398" s="141"/>
    </row>
    <row r="1399">
      <c r="BB1399" s="122"/>
      <c r="BC1399" s="141"/>
    </row>
    <row r="1400">
      <c r="BB1400" s="122"/>
      <c r="BC1400" s="141"/>
    </row>
    <row r="1401">
      <c r="BB1401" s="122"/>
      <c r="BC1401" s="141"/>
    </row>
    <row r="1402">
      <c r="BB1402" s="122"/>
      <c r="BC1402" s="141"/>
    </row>
    <row r="1403">
      <c r="BB1403" s="122"/>
      <c r="BC1403" s="141"/>
    </row>
    <row r="1404">
      <c r="BB1404" s="122"/>
      <c r="BC1404" s="141"/>
    </row>
    <row r="1405">
      <c r="BB1405" s="122"/>
      <c r="BC1405" s="141"/>
    </row>
    <row r="1406">
      <c r="BB1406" s="122"/>
      <c r="BC1406" s="141"/>
    </row>
    <row r="1407">
      <c r="BB1407" s="122"/>
      <c r="BC1407" s="141"/>
    </row>
    <row r="1408">
      <c r="BB1408" s="122"/>
      <c r="BC1408" s="141"/>
    </row>
    <row r="1409">
      <c r="BB1409" s="122"/>
      <c r="BC1409" s="141"/>
    </row>
    <row r="1410">
      <c r="BB1410" s="122"/>
      <c r="BC1410" s="141"/>
    </row>
    <row r="1411">
      <c r="BB1411" s="122"/>
      <c r="BC1411" s="141"/>
    </row>
    <row r="1412">
      <c r="BB1412" s="122"/>
      <c r="BC1412" s="141"/>
    </row>
    <row r="1413">
      <c r="BB1413" s="122"/>
      <c r="BC1413" s="141"/>
    </row>
    <row r="1414">
      <c r="BB1414" s="122"/>
      <c r="BC1414" s="141"/>
    </row>
    <row r="1415">
      <c r="BB1415" s="122"/>
      <c r="BC1415" s="141"/>
    </row>
    <row r="1416">
      <c r="BB1416" s="122"/>
      <c r="BC1416" s="141"/>
    </row>
    <row r="1417">
      <c r="BB1417" s="122"/>
      <c r="BC1417" s="141"/>
    </row>
    <row r="1418">
      <c r="BB1418" s="122"/>
      <c r="BC1418" s="141"/>
    </row>
    <row r="1419">
      <c r="BB1419" s="122"/>
      <c r="BC1419" s="141"/>
    </row>
    <row r="1420">
      <c r="BB1420" s="122"/>
      <c r="BC1420" s="141"/>
    </row>
    <row r="1421">
      <c r="BB1421" s="122"/>
      <c r="BC1421" s="141"/>
    </row>
    <row r="1422">
      <c r="BB1422" s="122"/>
      <c r="BC1422" s="141"/>
    </row>
    <row r="1423">
      <c r="BB1423" s="122"/>
      <c r="BC1423" s="141"/>
    </row>
    <row r="1424">
      <c r="BB1424" s="122"/>
      <c r="BC1424" s="141"/>
    </row>
    <row r="1425">
      <c r="BB1425" s="122"/>
      <c r="BC1425" s="141"/>
    </row>
    <row r="1426">
      <c r="BB1426" s="122"/>
      <c r="BC1426" s="141"/>
    </row>
    <row r="1427">
      <c r="BB1427" s="122"/>
      <c r="BC1427" s="141"/>
    </row>
    <row r="1428">
      <c r="BB1428" s="122"/>
      <c r="BC1428" s="141"/>
    </row>
    <row r="1429">
      <c r="BB1429" s="122"/>
      <c r="BC1429" s="141"/>
    </row>
    <row r="1430">
      <c r="BB1430" s="122"/>
      <c r="BC1430" s="141"/>
    </row>
    <row r="1431">
      <c r="BB1431" s="122"/>
      <c r="BC1431" s="141"/>
    </row>
    <row r="1432">
      <c r="BB1432" s="122"/>
      <c r="BC1432" s="141"/>
    </row>
    <row r="1433">
      <c r="BB1433" s="122"/>
      <c r="BC1433" s="141"/>
    </row>
    <row r="1434">
      <c r="BB1434" s="122"/>
      <c r="BC1434" s="141"/>
    </row>
    <row r="1435">
      <c r="BB1435" s="122"/>
      <c r="BC1435" s="141"/>
    </row>
    <row r="1436">
      <c r="BB1436" s="122"/>
      <c r="BC1436" s="141"/>
    </row>
    <row r="1437">
      <c r="BB1437" s="122"/>
      <c r="BC1437" s="141"/>
    </row>
    <row r="1438">
      <c r="BB1438" s="122"/>
      <c r="BC1438" s="141"/>
    </row>
    <row r="1439">
      <c r="BB1439" s="122"/>
      <c r="BC1439" s="141"/>
    </row>
    <row r="1440">
      <c r="BB1440" s="122"/>
      <c r="BC1440" s="141"/>
    </row>
    <row r="1441">
      <c r="BB1441" s="122"/>
      <c r="BC1441" s="141"/>
    </row>
    <row r="1442">
      <c r="BB1442" s="122"/>
      <c r="BC1442" s="141"/>
    </row>
    <row r="1443">
      <c r="BB1443" s="122"/>
      <c r="BC1443" s="141"/>
    </row>
    <row r="1444">
      <c r="BB1444" s="122"/>
      <c r="BC1444" s="141"/>
    </row>
    <row r="1445">
      <c r="BB1445" s="122"/>
      <c r="BC1445" s="141"/>
    </row>
    <row r="1446">
      <c r="BB1446" s="122"/>
      <c r="BC1446" s="141"/>
    </row>
    <row r="1447">
      <c r="BB1447" s="122"/>
      <c r="BC1447" s="141"/>
    </row>
    <row r="1448">
      <c r="BB1448" s="122"/>
      <c r="BC1448" s="141"/>
    </row>
    <row r="1449">
      <c r="BB1449" s="122"/>
      <c r="BC1449" s="141"/>
    </row>
    <row r="1450">
      <c r="BB1450" s="122"/>
      <c r="BC1450" s="141"/>
    </row>
    <row r="1451">
      <c r="BB1451" s="122"/>
      <c r="BC1451" s="141"/>
    </row>
    <row r="1452">
      <c r="BB1452" s="122"/>
      <c r="BC1452" s="141"/>
    </row>
    <row r="1453">
      <c r="BB1453" s="122"/>
      <c r="BC1453" s="141"/>
    </row>
    <row r="1454">
      <c r="BB1454" s="122"/>
      <c r="BC1454" s="141"/>
    </row>
    <row r="1455">
      <c r="BB1455" s="122"/>
      <c r="BC1455" s="141"/>
    </row>
    <row r="1456">
      <c r="BB1456" s="122"/>
      <c r="BC1456" s="141"/>
    </row>
    <row r="1457">
      <c r="BB1457" s="122"/>
      <c r="BC1457" s="141"/>
    </row>
    <row r="1458">
      <c r="BB1458" s="122"/>
      <c r="BC1458" s="141"/>
    </row>
    <row r="1459">
      <c r="BB1459" s="122"/>
      <c r="BC1459" s="141"/>
    </row>
    <row r="1460">
      <c r="BB1460" s="122"/>
      <c r="BC1460" s="141"/>
    </row>
    <row r="1461">
      <c r="BB1461" s="122"/>
      <c r="BC1461" s="141"/>
    </row>
    <row r="1462">
      <c r="BB1462" s="122"/>
      <c r="BC1462" s="141"/>
    </row>
    <row r="1463">
      <c r="BB1463" s="122"/>
      <c r="BC1463" s="141"/>
    </row>
    <row r="1464">
      <c r="BB1464" s="122"/>
      <c r="BC1464" s="141"/>
    </row>
    <row r="1465">
      <c r="BB1465" s="122"/>
      <c r="BC1465" s="141"/>
    </row>
    <row r="1466">
      <c r="BB1466" s="122"/>
      <c r="BC1466" s="141"/>
    </row>
    <row r="1467">
      <c r="BB1467" s="122"/>
      <c r="BC1467" s="141"/>
    </row>
    <row r="1468">
      <c r="BB1468" s="122"/>
      <c r="BC1468" s="141"/>
    </row>
    <row r="1469">
      <c r="BB1469" s="122"/>
      <c r="BC1469" s="141"/>
    </row>
    <row r="1470">
      <c r="BB1470" s="122"/>
      <c r="BC1470" s="141"/>
    </row>
    <row r="1471">
      <c r="BB1471" s="122"/>
      <c r="BC1471" s="141"/>
    </row>
    <row r="1472">
      <c r="BB1472" s="122"/>
      <c r="BC1472" s="141"/>
    </row>
    <row r="1473">
      <c r="BB1473" s="122"/>
      <c r="BC1473" s="141"/>
    </row>
    <row r="1474">
      <c r="BB1474" s="122"/>
      <c r="BC1474" s="141"/>
    </row>
    <row r="1475">
      <c r="BB1475" s="122"/>
      <c r="BC1475" s="141"/>
    </row>
    <row r="1476">
      <c r="BB1476" s="122"/>
      <c r="BC1476" s="141"/>
    </row>
    <row r="1477">
      <c r="BB1477" s="122"/>
      <c r="BC1477" s="141"/>
    </row>
    <row r="1478">
      <c r="BB1478" s="122"/>
      <c r="BC1478" s="141"/>
    </row>
    <row r="1479">
      <c r="BB1479" s="122"/>
      <c r="BC1479" s="141"/>
    </row>
    <row r="1480">
      <c r="BB1480" s="122"/>
      <c r="BC1480" s="141"/>
    </row>
    <row r="1481">
      <c r="BB1481" s="122"/>
      <c r="BC1481" s="141"/>
    </row>
    <row r="1482">
      <c r="BB1482" s="122"/>
      <c r="BC1482" s="141"/>
    </row>
    <row r="1483">
      <c r="BB1483" s="122"/>
      <c r="BC1483" s="141"/>
    </row>
    <row r="1484">
      <c r="BB1484" s="122"/>
      <c r="BC1484" s="141"/>
    </row>
    <row r="1485">
      <c r="BB1485" s="122"/>
      <c r="BC1485" s="141"/>
    </row>
    <row r="1486">
      <c r="BB1486" s="122"/>
      <c r="BC1486" s="141"/>
    </row>
    <row r="1487">
      <c r="BB1487" s="122"/>
      <c r="BC1487" s="141"/>
    </row>
    <row r="1488">
      <c r="BB1488" s="122"/>
      <c r="BC1488" s="141"/>
    </row>
    <row r="1489">
      <c r="BB1489" s="122"/>
      <c r="BC1489" s="141"/>
    </row>
    <row r="1490">
      <c r="BB1490" s="122"/>
      <c r="BC1490" s="141"/>
    </row>
    <row r="1491">
      <c r="BB1491" s="122"/>
      <c r="BC1491" s="141"/>
    </row>
    <row r="1492">
      <c r="BB1492" s="122"/>
      <c r="BC1492" s="141"/>
    </row>
    <row r="1493">
      <c r="BB1493" s="122"/>
      <c r="BC1493" s="141"/>
    </row>
    <row r="1494">
      <c r="BB1494" s="122"/>
      <c r="BC1494" s="141"/>
    </row>
    <row r="1495">
      <c r="BB1495" s="122"/>
      <c r="BC1495" s="141"/>
    </row>
    <row r="1496">
      <c r="BB1496" s="122"/>
      <c r="BC1496" s="141"/>
    </row>
    <row r="1497">
      <c r="BB1497" s="122"/>
      <c r="BC1497" s="141"/>
    </row>
    <row r="1498">
      <c r="BB1498" s="122"/>
      <c r="BC1498" s="141"/>
    </row>
    <row r="1499">
      <c r="BB1499" s="122"/>
      <c r="BC1499" s="141"/>
    </row>
    <row r="1500">
      <c r="BB1500" s="122"/>
      <c r="BC1500" s="141"/>
    </row>
    <row r="1501">
      <c r="BB1501" s="122"/>
      <c r="BC1501" s="141"/>
    </row>
    <row r="1502">
      <c r="BB1502" s="122"/>
      <c r="BC1502" s="141"/>
    </row>
    <row r="1503">
      <c r="BB1503" s="122"/>
      <c r="BC1503" s="141"/>
    </row>
    <row r="1504">
      <c r="BB1504" s="122"/>
      <c r="BC1504" s="141"/>
    </row>
    <row r="1505">
      <c r="BB1505" s="122"/>
      <c r="BC1505" s="141"/>
    </row>
    <row r="1506">
      <c r="BB1506" s="122"/>
      <c r="BC1506" s="141"/>
    </row>
    <row r="1507">
      <c r="BB1507" s="122"/>
      <c r="BC1507" s="141"/>
    </row>
    <row r="1508">
      <c r="BB1508" s="122"/>
      <c r="BC1508" s="141"/>
    </row>
    <row r="1509">
      <c r="BB1509" s="122"/>
      <c r="BC1509" s="141"/>
    </row>
    <row r="1510">
      <c r="BB1510" s="122"/>
      <c r="BC1510" s="141"/>
    </row>
    <row r="1511">
      <c r="BB1511" s="122"/>
      <c r="BC1511" s="141"/>
    </row>
    <row r="1512">
      <c r="BB1512" s="122"/>
      <c r="BC1512" s="141"/>
    </row>
    <row r="1513">
      <c r="BB1513" s="122"/>
      <c r="BC1513" s="141"/>
    </row>
    <row r="1514">
      <c r="BB1514" s="122"/>
      <c r="BC1514" s="141"/>
    </row>
    <row r="1515">
      <c r="BB1515" s="122"/>
      <c r="BC1515" s="141"/>
    </row>
    <row r="1516">
      <c r="BB1516" s="122"/>
      <c r="BC1516" s="141"/>
    </row>
    <row r="1517">
      <c r="BB1517" s="122"/>
      <c r="BC1517" s="141"/>
    </row>
    <row r="1518">
      <c r="BB1518" s="122"/>
      <c r="BC1518" s="141"/>
    </row>
    <row r="1519">
      <c r="BB1519" s="122"/>
      <c r="BC1519" s="141"/>
    </row>
    <row r="1520">
      <c r="BB1520" s="122"/>
      <c r="BC1520" s="141"/>
    </row>
    <row r="1521">
      <c r="BB1521" s="122"/>
      <c r="BC1521" s="141"/>
    </row>
    <row r="1522">
      <c r="BB1522" s="122"/>
      <c r="BC1522" s="141"/>
    </row>
    <row r="1523">
      <c r="BB1523" s="122"/>
      <c r="BC1523" s="141"/>
    </row>
    <row r="1524">
      <c r="BB1524" s="122"/>
      <c r="BC1524" s="141"/>
    </row>
    <row r="1525">
      <c r="BB1525" s="122"/>
      <c r="BC1525" s="141"/>
    </row>
    <row r="1526">
      <c r="BB1526" s="122"/>
      <c r="BC1526" s="141"/>
    </row>
    <row r="1527">
      <c r="BB1527" s="122"/>
      <c r="BC1527" s="141"/>
    </row>
    <row r="1528">
      <c r="BB1528" s="122"/>
      <c r="BC1528" s="141"/>
    </row>
    <row r="1529">
      <c r="BB1529" s="122"/>
      <c r="BC1529" s="141"/>
    </row>
    <row r="1530">
      <c r="BB1530" s="122"/>
      <c r="BC1530" s="141"/>
    </row>
    <row r="1531">
      <c r="BB1531" s="122"/>
      <c r="BC1531" s="141"/>
    </row>
    <row r="1532">
      <c r="BB1532" s="122"/>
      <c r="BC1532" s="141"/>
    </row>
    <row r="1533">
      <c r="BB1533" s="122"/>
      <c r="BC1533" s="141"/>
    </row>
    <row r="1534">
      <c r="BB1534" s="122"/>
      <c r="BC1534" s="141"/>
    </row>
    <row r="1535">
      <c r="BB1535" s="122"/>
      <c r="BC1535" s="141"/>
    </row>
    <row r="1536">
      <c r="BB1536" s="122"/>
      <c r="BC1536" s="141"/>
    </row>
    <row r="1537">
      <c r="BB1537" s="122"/>
      <c r="BC1537" s="141"/>
    </row>
    <row r="1538">
      <c r="BB1538" s="122"/>
      <c r="BC1538" s="141"/>
    </row>
    <row r="1539">
      <c r="BB1539" s="122"/>
      <c r="BC1539" s="141"/>
    </row>
    <row r="1540">
      <c r="BB1540" s="122"/>
      <c r="BC1540" s="141"/>
    </row>
    <row r="1541">
      <c r="BB1541" s="122"/>
      <c r="BC1541" s="141"/>
    </row>
    <row r="1542">
      <c r="BB1542" s="122"/>
      <c r="BC1542" s="141"/>
    </row>
    <row r="1543">
      <c r="BB1543" s="122"/>
      <c r="BC1543" s="141"/>
    </row>
    <row r="1544">
      <c r="BB1544" s="122"/>
      <c r="BC1544" s="141"/>
    </row>
    <row r="1545">
      <c r="BB1545" s="122"/>
      <c r="BC1545" s="141"/>
    </row>
    <row r="1546">
      <c r="BB1546" s="122"/>
      <c r="BC1546" s="141"/>
    </row>
    <row r="1547">
      <c r="BB1547" s="122"/>
      <c r="BC1547" s="141"/>
    </row>
    <row r="1548">
      <c r="BB1548" s="122"/>
      <c r="BC1548" s="141"/>
    </row>
    <row r="1549">
      <c r="BB1549" s="122"/>
      <c r="BC1549" s="141"/>
    </row>
    <row r="1550">
      <c r="BB1550" s="122"/>
      <c r="BC1550" s="141"/>
    </row>
    <row r="1551">
      <c r="BB1551" s="122"/>
      <c r="BC1551" s="141"/>
    </row>
    <row r="1552">
      <c r="BB1552" s="122"/>
      <c r="BC1552" s="141"/>
    </row>
    <row r="1553">
      <c r="BB1553" s="122"/>
      <c r="BC1553" s="141"/>
    </row>
    <row r="1554">
      <c r="BB1554" s="122"/>
      <c r="BC1554" s="141"/>
    </row>
    <row r="1555">
      <c r="BB1555" s="122"/>
      <c r="BC1555" s="141"/>
    </row>
    <row r="1556">
      <c r="BB1556" s="122"/>
      <c r="BC1556" s="141"/>
    </row>
    <row r="1557">
      <c r="BB1557" s="122"/>
      <c r="BC1557" s="141"/>
    </row>
    <row r="1558">
      <c r="BB1558" s="122"/>
      <c r="BC1558" s="141"/>
    </row>
    <row r="1559">
      <c r="BB1559" s="122"/>
      <c r="BC1559" s="141"/>
    </row>
    <row r="1560">
      <c r="BB1560" s="122"/>
      <c r="BC1560" s="141"/>
    </row>
    <row r="1561">
      <c r="BB1561" s="122"/>
      <c r="BC1561" s="141"/>
    </row>
    <row r="1562">
      <c r="BB1562" s="122"/>
      <c r="BC1562" s="141"/>
    </row>
    <row r="1563">
      <c r="BB1563" s="122"/>
      <c r="BC1563" s="141"/>
    </row>
    <row r="1564">
      <c r="BB1564" s="122"/>
      <c r="BC1564" s="141"/>
    </row>
    <row r="1565">
      <c r="BB1565" s="122"/>
      <c r="BC1565" s="141"/>
    </row>
    <row r="1566">
      <c r="BB1566" s="122"/>
      <c r="BC1566" s="141"/>
    </row>
    <row r="1567">
      <c r="BB1567" s="122"/>
      <c r="BC1567" s="141"/>
    </row>
    <row r="1568">
      <c r="BB1568" s="122"/>
      <c r="BC1568" s="141"/>
    </row>
    <row r="1569">
      <c r="BB1569" s="122"/>
      <c r="BC1569" s="141"/>
    </row>
    <row r="1570">
      <c r="BB1570" s="122"/>
      <c r="BC1570" s="141"/>
    </row>
    <row r="1571">
      <c r="BB1571" s="122"/>
      <c r="BC1571" s="141"/>
    </row>
    <row r="1572">
      <c r="BB1572" s="122"/>
      <c r="BC1572" s="141"/>
    </row>
    <row r="1573">
      <c r="BB1573" s="122"/>
      <c r="BC1573" s="141"/>
    </row>
    <row r="1574">
      <c r="BB1574" s="122"/>
      <c r="BC1574" s="141"/>
    </row>
    <row r="1575">
      <c r="BB1575" s="122"/>
      <c r="BC1575" s="141"/>
    </row>
    <row r="1576">
      <c r="BB1576" s="122"/>
      <c r="BC1576" s="141"/>
    </row>
    <row r="1577">
      <c r="BB1577" s="122"/>
      <c r="BC1577" s="141"/>
    </row>
    <row r="1578">
      <c r="BB1578" s="122"/>
      <c r="BC1578" s="141"/>
    </row>
    <row r="1579">
      <c r="BB1579" s="122"/>
      <c r="BC1579" s="141"/>
    </row>
    <row r="1580">
      <c r="BB1580" s="122"/>
      <c r="BC1580" s="141"/>
    </row>
    <row r="1581">
      <c r="BB1581" s="122"/>
      <c r="BC1581" s="141"/>
    </row>
    <row r="1582">
      <c r="BB1582" s="122"/>
      <c r="BC1582" s="141"/>
    </row>
    <row r="1583">
      <c r="BB1583" s="122"/>
      <c r="BC1583" s="141"/>
    </row>
    <row r="1584">
      <c r="BB1584" s="122"/>
      <c r="BC1584" s="141"/>
    </row>
    <row r="1585">
      <c r="BB1585" s="122"/>
      <c r="BC1585" s="141"/>
    </row>
    <row r="1586">
      <c r="BB1586" s="122"/>
      <c r="BC1586" s="141"/>
    </row>
    <row r="1587">
      <c r="BB1587" s="122"/>
      <c r="BC1587" s="141"/>
    </row>
    <row r="1588">
      <c r="BB1588" s="122"/>
      <c r="BC1588" s="141"/>
    </row>
    <row r="1589">
      <c r="BB1589" s="122"/>
      <c r="BC1589" s="141"/>
    </row>
    <row r="1590">
      <c r="BB1590" s="122"/>
      <c r="BC1590" s="141"/>
    </row>
    <row r="1591">
      <c r="BB1591" s="122"/>
      <c r="BC1591" s="141"/>
    </row>
    <row r="1592">
      <c r="BB1592" s="122"/>
      <c r="BC1592" s="141"/>
    </row>
    <row r="1593">
      <c r="BB1593" s="122"/>
      <c r="BC1593" s="141"/>
    </row>
    <row r="1594">
      <c r="BB1594" s="122"/>
      <c r="BC1594" s="141"/>
    </row>
    <row r="1595">
      <c r="BB1595" s="122"/>
      <c r="BC1595" s="141"/>
    </row>
    <row r="1596">
      <c r="BB1596" s="122"/>
      <c r="BC1596" s="141"/>
    </row>
    <row r="1597">
      <c r="BB1597" s="122"/>
      <c r="BC1597" s="141"/>
    </row>
    <row r="1598">
      <c r="BB1598" s="122"/>
      <c r="BC1598" s="141"/>
    </row>
    <row r="1599">
      <c r="BB1599" s="122"/>
      <c r="BC1599" s="141"/>
    </row>
    <row r="1600">
      <c r="BB1600" s="122"/>
      <c r="BC1600" s="141"/>
    </row>
    <row r="1601">
      <c r="BB1601" s="122"/>
      <c r="BC1601" s="141"/>
    </row>
    <row r="1602">
      <c r="BB1602" s="122"/>
      <c r="BC1602" s="141"/>
    </row>
    <row r="1603">
      <c r="BB1603" s="122"/>
      <c r="BC1603" s="141"/>
    </row>
    <row r="1604">
      <c r="BB1604" s="122"/>
      <c r="BC1604" s="141"/>
    </row>
    <row r="1605">
      <c r="BB1605" s="122"/>
      <c r="BC1605" s="141"/>
    </row>
    <row r="1606">
      <c r="BB1606" s="122"/>
      <c r="BC1606" s="141"/>
    </row>
    <row r="1607">
      <c r="BB1607" s="122"/>
      <c r="BC1607" s="141"/>
    </row>
    <row r="1608">
      <c r="BB1608" s="122"/>
      <c r="BC1608" s="141"/>
    </row>
    <row r="1609">
      <c r="BB1609" s="122"/>
      <c r="BC1609" s="141"/>
    </row>
    <row r="1610">
      <c r="BB1610" s="122"/>
      <c r="BC1610" s="141"/>
    </row>
    <row r="1611">
      <c r="BB1611" s="122"/>
      <c r="BC1611" s="141"/>
    </row>
    <row r="1612">
      <c r="BB1612" s="122"/>
      <c r="BC1612" s="141"/>
    </row>
    <row r="1613">
      <c r="BB1613" s="122"/>
      <c r="BC1613" s="141"/>
    </row>
    <row r="1614">
      <c r="BB1614" s="122"/>
      <c r="BC1614" s="141"/>
    </row>
    <row r="1615">
      <c r="BB1615" s="122"/>
      <c r="BC1615" s="141"/>
    </row>
    <row r="1616">
      <c r="BB1616" s="122"/>
      <c r="BC1616" s="141"/>
    </row>
    <row r="1617">
      <c r="BB1617" s="122"/>
      <c r="BC1617" s="141"/>
    </row>
    <row r="1618">
      <c r="BB1618" s="122"/>
      <c r="BC1618" s="141"/>
    </row>
    <row r="1619">
      <c r="BB1619" s="122"/>
      <c r="BC1619" s="141"/>
    </row>
    <row r="1620">
      <c r="BB1620" s="122"/>
      <c r="BC1620" s="141"/>
    </row>
    <row r="1621">
      <c r="BB1621" s="122"/>
      <c r="BC1621" s="141"/>
    </row>
    <row r="1622">
      <c r="BB1622" s="122"/>
      <c r="BC1622" s="141"/>
    </row>
    <row r="1623">
      <c r="BB1623" s="122"/>
      <c r="BC1623" s="141"/>
    </row>
    <row r="1624">
      <c r="BB1624" s="122"/>
      <c r="BC1624" s="141"/>
    </row>
    <row r="1625">
      <c r="BB1625" s="122"/>
      <c r="BC1625" s="141"/>
    </row>
    <row r="1626">
      <c r="BB1626" s="122"/>
      <c r="BC1626" s="141"/>
    </row>
    <row r="1627">
      <c r="BB1627" s="122"/>
      <c r="BC1627" s="141"/>
    </row>
    <row r="1628">
      <c r="BB1628" s="122"/>
      <c r="BC1628" s="141"/>
    </row>
    <row r="1629">
      <c r="BB1629" s="122"/>
      <c r="BC1629" s="141"/>
    </row>
    <row r="1630">
      <c r="BB1630" s="122"/>
      <c r="BC1630" s="141"/>
    </row>
    <row r="1631">
      <c r="BB1631" s="122"/>
      <c r="BC1631" s="141"/>
    </row>
    <row r="1632">
      <c r="BB1632" s="122"/>
      <c r="BC1632" s="141"/>
    </row>
    <row r="1633">
      <c r="BB1633" s="122"/>
      <c r="BC1633" s="141"/>
    </row>
    <row r="1634">
      <c r="BB1634" s="122"/>
      <c r="BC1634" s="141"/>
    </row>
    <row r="1635">
      <c r="BB1635" s="122"/>
      <c r="BC1635" s="141"/>
    </row>
    <row r="1636">
      <c r="BB1636" s="122"/>
      <c r="BC1636" s="141"/>
    </row>
    <row r="1637">
      <c r="BB1637" s="122"/>
      <c r="BC1637" s="141"/>
    </row>
    <row r="1638">
      <c r="BB1638" s="122"/>
      <c r="BC1638" s="141"/>
    </row>
    <row r="1639">
      <c r="BB1639" s="122"/>
      <c r="BC1639" s="141"/>
    </row>
    <row r="1640">
      <c r="BB1640" s="122"/>
      <c r="BC1640" s="141"/>
    </row>
    <row r="1641">
      <c r="BB1641" s="122"/>
      <c r="BC1641" s="141"/>
    </row>
    <row r="1642">
      <c r="BB1642" s="122"/>
      <c r="BC1642" s="141"/>
    </row>
    <row r="1643">
      <c r="BB1643" s="122"/>
      <c r="BC1643" s="141"/>
    </row>
    <row r="1644">
      <c r="BB1644" s="122"/>
      <c r="BC1644" s="141"/>
    </row>
    <row r="1645">
      <c r="BB1645" s="122"/>
      <c r="BC1645" s="141"/>
    </row>
    <row r="1646">
      <c r="BB1646" s="122"/>
      <c r="BC1646" s="141"/>
    </row>
    <row r="1647">
      <c r="BB1647" s="122"/>
      <c r="BC1647" s="141"/>
    </row>
    <row r="1648">
      <c r="BB1648" s="122"/>
      <c r="BC1648" s="141"/>
    </row>
    <row r="1649">
      <c r="BB1649" s="122"/>
      <c r="BC1649" s="141"/>
    </row>
    <row r="1650">
      <c r="BB1650" s="122"/>
      <c r="BC1650" s="141"/>
    </row>
    <row r="1651">
      <c r="BB1651" s="122"/>
      <c r="BC1651" s="141"/>
    </row>
    <row r="1652">
      <c r="BB1652" s="122"/>
      <c r="BC1652" s="141"/>
    </row>
    <row r="1653">
      <c r="BB1653" s="122"/>
      <c r="BC1653" s="141"/>
    </row>
    <row r="1654">
      <c r="BB1654" s="122"/>
      <c r="BC1654" s="141"/>
    </row>
    <row r="1655">
      <c r="BB1655" s="122"/>
      <c r="BC1655" s="141"/>
    </row>
    <row r="1656">
      <c r="BB1656" s="122"/>
      <c r="BC1656" s="141"/>
    </row>
    <row r="1657">
      <c r="BB1657" s="122"/>
      <c r="BC1657" s="141"/>
    </row>
    <row r="1658">
      <c r="BB1658" s="122"/>
      <c r="BC1658" s="141"/>
    </row>
    <row r="1659">
      <c r="BB1659" s="122"/>
      <c r="BC1659" s="141"/>
    </row>
    <row r="1660">
      <c r="BB1660" s="122"/>
      <c r="BC1660" s="141"/>
    </row>
    <row r="1661">
      <c r="BB1661" s="122"/>
      <c r="BC1661" s="141"/>
    </row>
    <row r="1662">
      <c r="BB1662" s="122"/>
      <c r="BC1662" s="141"/>
    </row>
    <row r="1663">
      <c r="BB1663" s="122"/>
      <c r="BC1663" s="141"/>
    </row>
    <row r="1664">
      <c r="BB1664" s="122"/>
      <c r="BC1664" s="141"/>
    </row>
    <row r="1665">
      <c r="BB1665" s="122"/>
      <c r="BC1665" s="141"/>
    </row>
    <row r="1666">
      <c r="BB1666" s="122"/>
      <c r="BC1666" s="141"/>
    </row>
    <row r="1667">
      <c r="BB1667" s="122"/>
      <c r="BC1667" s="141"/>
    </row>
    <row r="1668">
      <c r="BB1668" s="122"/>
      <c r="BC1668" s="141"/>
    </row>
    <row r="1669">
      <c r="BB1669" s="122"/>
      <c r="BC1669" s="141"/>
    </row>
    <row r="1670">
      <c r="BB1670" s="122"/>
      <c r="BC1670" s="141"/>
    </row>
    <row r="1671">
      <c r="BB1671" s="122"/>
      <c r="BC1671" s="141"/>
    </row>
    <row r="1672">
      <c r="BB1672" s="122"/>
      <c r="BC1672" s="141"/>
    </row>
    <row r="1673">
      <c r="BB1673" s="122"/>
      <c r="BC1673" s="141"/>
    </row>
    <row r="1674">
      <c r="BB1674" s="122"/>
      <c r="BC1674" s="141"/>
    </row>
    <row r="1675">
      <c r="BB1675" s="122"/>
      <c r="BC1675" s="141"/>
    </row>
    <row r="1676">
      <c r="BB1676" s="122"/>
      <c r="BC1676" s="141"/>
    </row>
    <row r="1677">
      <c r="BB1677" s="122"/>
      <c r="BC1677" s="141"/>
    </row>
    <row r="1678">
      <c r="BB1678" s="122"/>
      <c r="BC1678" s="141"/>
    </row>
    <row r="1679">
      <c r="BB1679" s="122"/>
      <c r="BC1679" s="141"/>
    </row>
    <row r="1680">
      <c r="BB1680" s="122"/>
      <c r="BC1680" s="141"/>
    </row>
    <row r="1681">
      <c r="BB1681" s="122"/>
      <c r="BC1681" s="141"/>
    </row>
    <row r="1682">
      <c r="BB1682" s="122"/>
      <c r="BC1682" s="141"/>
    </row>
    <row r="1683">
      <c r="BB1683" s="122"/>
      <c r="BC1683" s="141"/>
    </row>
    <row r="1684">
      <c r="BB1684" s="122"/>
      <c r="BC1684" s="141"/>
    </row>
    <row r="1685">
      <c r="BB1685" s="122"/>
      <c r="BC1685" s="141"/>
    </row>
    <row r="1686">
      <c r="BB1686" s="122"/>
      <c r="BC1686" s="141"/>
    </row>
    <row r="1687">
      <c r="BB1687" s="122"/>
      <c r="BC1687" s="141"/>
    </row>
    <row r="1688">
      <c r="BB1688" s="122"/>
      <c r="BC1688" s="141"/>
    </row>
    <row r="1689">
      <c r="BB1689" s="122"/>
      <c r="BC1689" s="141"/>
    </row>
    <row r="1690">
      <c r="BB1690" s="122"/>
      <c r="BC1690" s="141"/>
    </row>
    <row r="1691">
      <c r="BB1691" s="122"/>
      <c r="BC1691" s="141"/>
    </row>
    <row r="1692">
      <c r="BB1692" s="122"/>
      <c r="BC1692" s="141"/>
    </row>
    <row r="1693">
      <c r="BB1693" s="122"/>
      <c r="BC1693" s="141"/>
    </row>
    <row r="1694">
      <c r="BB1694" s="122"/>
      <c r="BC1694" s="141"/>
    </row>
    <row r="1695">
      <c r="BB1695" s="122"/>
      <c r="BC1695" s="141"/>
    </row>
    <row r="1696">
      <c r="BB1696" s="122"/>
      <c r="BC1696" s="141"/>
    </row>
    <row r="1697">
      <c r="BB1697" s="122"/>
      <c r="BC1697" s="141"/>
    </row>
    <row r="1698">
      <c r="BB1698" s="122"/>
      <c r="BC1698" s="141"/>
    </row>
    <row r="1699">
      <c r="BB1699" s="122"/>
      <c r="BC1699" s="141"/>
    </row>
    <row r="1700">
      <c r="BB1700" s="122"/>
      <c r="BC1700" s="141"/>
    </row>
    <row r="1701">
      <c r="BB1701" s="122"/>
      <c r="BC1701" s="141"/>
    </row>
    <row r="1702">
      <c r="BB1702" s="122"/>
      <c r="BC1702" s="141"/>
    </row>
    <row r="1703">
      <c r="BB1703" s="122"/>
      <c r="BC1703" s="141"/>
    </row>
    <row r="1704">
      <c r="BB1704" s="122"/>
      <c r="BC1704" s="141"/>
    </row>
    <row r="1705">
      <c r="BB1705" s="122"/>
      <c r="BC1705" s="141"/>
    </row>
    <row r="1706">
      <c r="BB1706" s="122"/>
      <c r="BC1706" s="141"/>
    </row>
    <row r="1707">
      <c r="BB1707" s="122"/>
      <c r="BC1707" s="141"/>
    </row>
    <row r="1708">
      <c r="BB1708" s="122"/>
      <c r="BC1708" s="141"/>
    </row>
    <row r="1709">
      <c r="BB1709" s="122"/>
      <c r="BC1709" s="141"/>
    </row>
    <row r="1710">
      <c r="BB1710" s="122"/>
      <c r="BC1710" s="141"/>
    </row>
    <row r="1711">
      <c r="BB1711" s="122"/>
      <c r="BC1711" s="141"/>
    </row>
    <row r="1712">
      <c r="BB1712" s="122"/>
      <c r="BC1712" s="141"/>
    </row>
    <row r="1713">
      <c r="BB1713" s="122"/>
      <c r="BC1713" s="141"/>
    </row>
    <row r="1714">
      <c r="BB1714" s="122"/>
      <c r="BC1714" s="141"/>
    </row>
    <row r="1715">
      <c r="BB1715" s="122"/>
      <c r="BC1715" s="141"/>
    </row>
    <row r="1716">
      <c r="BB1716" s="122"/>
      <c r="BC1716" s="141"/>
    </row>
    <row r="1717">
      <c r="BB1717" s="122"/>
      <c r="BC1717" s="141"/>
    </row>
    <row r="1718">
      <c r="BB1718" s="122"/>
      <c r="BC1718" s="141"/>
    </row>
    <row r="1719">
      <c r="BB1719" s="122"/>
      <c r="BC1719" s="141"/>
    </row>
    <row r="1720">
      <c r="BB1720" s="122"/>
      <c r="BC1720" s="141"/>
    </row>
    <row r="1721">
      <c r="BB1721" s="122"/>
      <c r="BC1721" s="141"/>
    </row>
    <row r="1722">
      <c r="BB1722" s="122"/>
      <c r="BC1722" s="141"/>
    </row>
    <row r="1723">
      <c r="BB1723" s="122"/>
      <c r="BC1723" s="141"/>
    </row>
    <row r="1724">
      <c r="BB1724" s="122"/>
      <c r="BC1724" s="141"/>
    </row>
    <row r="1725">
      <c r="BB1725" s="122"/>
      <c r="BC1725" s="141"/>
    </row>
    <row r="1726">
      <c r="BB1726" s="122"/>
      <c r="BC1726" s="141"/>
    </row>
    <row r="1727">
      <c r="BB1727" s="122"/>
      <c r="BC1727" s="141"/>
    </row>
    <row r="1728">
      <c r="BB1728" s="122"/>
      <c r="BC1728" s="141"/>
    </row>
    <row r="1729">
      <c r="BB1729" s="122"/>
      <c r="BC1729" s="141"/>
    </row>
    <row r="1730">
      <c r="BB1730" s="122"/>
      <c r="BC1730" s="141"/>
    </row>
    <row r="1731">
      <c r="BB1731" s="122"/>
      <c r="BC1731" s="141"/>
    </row>
    <row r="1732">
      <c r="BB1732" s="122"/>
      <c r="BC1732" s="141"/>
    </row>
    <row r="1733">
      <c r="BB1733" s="122"/>
      <c r="BC1733" s="141"/>
    </row>
    <row r="1734">
      <c r="BB1734" s="122"/>
      <c r="BC1734" s="141"/>
    </row>
    <row r="1735">
      <c r="BB1735" s="122"/>
      <c r="BC1735" s="141"/>
    </row>
    <row r="1736">
      <c r="BB1736" s="122"/>
      <c r="BC1736" s="141"/>
    </row>
    <row r="1737">
      <c r="BB1737" s="122"/>
      <c r="BC1737" s="141"/>
    </row>
    <row r="1738">
      <c r="BB1738" s="122"/>
      <c r="BC1738" s="141"/>
    </row>
    <row r="1739">
      <c r="BB1739" s="122"/>
      <c r="BC1739" s="141"/>
    </row>
    <row r="1740">
      <c r="BB1740" s="122"/>
      <c r="BC1740" s="141"/>
    </row>
    <row r="1741">
      <c r="BB1741" s="122"/>
      <c r="BC1741" s="141"/>
    </row>
    <row r="1742">
      <c r="BB1742" s="122"/>
      <c r="BC1742" s="141"/>
    </row>
    <row r="1743">
      <c r="BB1743" s="122"/>
      <c r="BC1743" s="141"/>
    </row>
    <row r="1744">
      <c r="BB1744" s="122"/>
      <c r="BC1744" s="141"/>
    </row>
    <row r="1745">
      <c r="BB1745" s="122"/>
      <c r="BC1745" s="141"/>
    </row>
    <row r="1746">
      <c r="BB1746" s="122"/>
      <c r="BC1746" s="141"/>
    </row>
    <row r="1747">
      <c r="BB1747" s="122"/>
      <c r="BC1747" s="141"/>
    </row>
    <row r="1748">
      <c r="BB1748" s="122"/>
      <c r="BC1748" s="141"/>
    </row>
    <row r="1749">
      <c r="BB1749" s="122"/>
      <c r="BC1749" s="141"/>
    </row>
    <row r="1750">
      <c r="BB1750" s="122"/>
      <c r="BC1750" s="141"/>
    </row>
    <row r="1751">
      <c r="BB1751" s="122"/>
      <c r="BC1751" s="141"/>
    </row>
    <row r="1752">
      <c r="BB1752" s="122"/>
      <c r="BC1752" s="141"/>
    </row>
    <row r="1753">
      <c r="BB1753" s="122"/>
      <c r="BC1753" s="141"/>
    </row>
    <row r="1754">
      <c r="BB1754" s="122"/>
      <c r="BC1754" s="141"/>
    </row>
    <row r="1755">
      <c r="BB1755" s="122"/>
      <c r="BC1755" s="141"/>
    </row>
    <row r="1756">
      <c r="BB1756" s="122"/>
      <c r="BC1756" s="141"/>
    </row>
    <row r="1757">
      <c r="BB1757" s="122"/>
      <c r="BC1757" s="141"/>
    </row>
    <row r="1758">
      <c r="BB1758" s="122"/>
      <c r="BC1758" s="141"/>
    </row>
    <row r="1759">
      <c r="BB1759" s="122"/>
      <c r="BC1759" s="141"/>
    </row>
    <row r="1760">
      <c r="BB1760" s="122"/>
      <c r="BC1760" s="141"/>
    </row>
    <row r="1761">
      <c r="BB1761" s="122"/>
      <c r="BC1761" s="141"/>
    </row>
    <row r="1762">
      <c r="BB1762" s="122"/>
      <c r="BC1762" s="141"/>
    </row>
    <row r="1763">
      <c r="BB1763" s="122"/>
      <c r="BC1763" s="141"/>
    </row>
    <row r="1764">
      <c r="BB1764" s="122"/>
      <c r="BC1764" s="141"/>
    </row>
    <row r="1765">
      <c r="BB1765" s="122"/>
      <c r="BC1765" s="141"/>
    </row>
    <row r="1766">
      <c r="BB1766" s="122"/>
      <c r="BC1766" s="141"/>
    </row>
    <row r="1767">
      <c r="BB1767" s="122"/>
      <c r="BC1767" s="141"/>
    </row>
    <row r="1768">
      <c r="BB1768" s="122"/>
      <c r="BC1768" s="141"/>
    </row>
    <row r="1769">
      <c r="BB1769" s="122"/>
      <c r="BC1769" s="141"/>
    </row>
    <row r="1770">
      <c r="BB1770" s="122"/>
      <c r="BC1770" s="141"/>
    </row>
    <row r="1771">
      <c r="BB1771" s="122"/>
      <c r="BC1771" s="141"/>
    </row>
    <row r="1772">
      <c r="BB1772" s="122"/>
      <c r="BC1772" s="141"/>
    </row>
    <row r="1773">
      <c r="BB1773" s="122"/>
      <c r="BC1773" s="141"/>
    </row>
    <row r="1774">
      <c r="BB1774" s="122"/>
      <c r="BC1774" s="141"/>
    </row>
    <row r="1775">
      <c r="BB1775" s="122"/>
      <c r="BC1775" s="141"/>
    </row>
    <row r="1776">
      <c r="BB1776" s="122"/>
      <c r="BC1776" s="141"/>
    </row>
    <row r="1777">
      <c r="BB1777" s="122"/>
      <c r="BC1777" s="141"/>
    </row>
    <row r="1778">
      <c r="BB1778" s="122"/>
      <c r="BC1778" s="141"/>
    </row>
    <row r="1779">
      <c r="BB1779" s="122"/>
      <c r="BC1779" s="141"/>
    </row>
    <row r="1780">
      <c r="BB1780" s="122"/>
      <c r="BC1780" s="141"/>
    </row>
    <row r="1781">
      <c r="BB1781" s="122"/>
      <c r="BC1781" s="141"/>
    </row>
    <row r="1782">
      <c r="BB1782" s="122"/>
      <c r="BC1782" s="141"/>
    </row>
    <row r="1783">
      <c r="BB1783" s="122"/>
      <c r="BC1783" s="141"/>
    </row>
    <row r="1784">
      <c r="BB1784" s="122"/>
      <c r="BC1784" s="141"/>
    </row>
    <row r="1785">
      <c r="BB1785" s="122"/>
      <c r="BC1785" s="141"/>
    </row>
    <row r="1786">
      <c r="BB1786" s="122"/>
      <c r="BC1786" s="141"/>
    </row>
    <row r="1787">
      <c r="BB1787" s="122"/>
      <c r="BC1787" s="141"/>
    </row>
    <row r="1788">
      <c r="BB1788" s="122"/>
      <c r="BC1788" s="141"/>
    </row>
    <row r="1789">
      <c r="BB1789" s="122"/>
      <c r="BC1789" s="141"/>
    </row>
    <row r="1790">
      <c r="BB1790" s="122"/>
      <c r="BC1790" s="141"/>
    </row>
    <row r="1791">
      <c r="BB1791" s="122"/>
      <c r="BC1791" s="141"/>
    </row>
    <row r="1792">
      <c r="BB1792" s="122"/>
      <c r="BC1792" s="141"/>
    </row>
    <row r="1793">
      <c r="BB1793" s="122"/>
      <c r="BC1793" s="141"/>
    </row>
    <row r="1794">
      <c r="BB1794" s="122"/>
      <c r="BC1794" s="141"/>
    </row>
    <row r="1795">
      <c r="BB1795" s="122"/>
      <c r="BC1795" s="141"/>
    </row>
    <row r="1796">
      <c r="BB1796" s="122"/>
      <c r="BC1796" s="141"/>
    </row>
    <row r="1797">
      <c r="BB1797" s="122"/>
      <c r="BC1797" s="141"/>
    </row>
    <row r="1798">
      <c r="BB1798" s="122"/>
      <c r="BC1798" s="141"/>
    </row>
    <row r="1799">
      <c r="BB1799" s="122"/>
      <c r="BC1799" s="141"/>
    </row>
    <row r="1800">
      <c r="BB1800" s="122"/>
      <c r="BC1800" s="141"/>
    </row>
    <row r="1801">
      <c r="BB1801" s="122"/>
      <c r="BC1801" s="141"/>
    </row>
    <row r="1802">
      <c r="BB1802" s="122"/>
      <c r="BC1802" s="141"/>
    </row>
    <row r="1803">
      <c r="BB1803" s="122"/>
      <c r="BC1803" s="141"/>
    </row>
    <row r="1804">
      <c r="BB1804" s="122"/>
      <c r="BC1804" s="141"/>
    </row>
    <row r="1805">
      <c r="BB1805" s="122"/>
      <c r="BC1805" s="141"/>
    </row>
    <row r="1806">
      <c r="BB1806" s="122"/>
      <c r="BC1806" s="141"/>
    </row>
    <row r="1807">
      <c r="BB1807" s="122"/>
      <c r="BC1807" s="141"/>
    </row>
    <row r="1808">
      <c r="BB1808" s="122"/>
      <c r="BC1808" s="141"/>
    </row>
    <row r="1809">
      <c r="BB1809" s="122"/>
      <c r="BC1809" s="141"/>
    </row>
    <row r="1810">
      <c r="BB1810" s="122"/>
      <c r="BC1810" s="141"/>
    </row>
    <row r="1811">
      <c r="BB1811" s="122"/>
      <c r="BC1811" s="141"/>
    </row>
    <row r="1812">
      <c r="BB1812" s="122"/>
      <c r="BC1812" s="141"/>
    </row>
    <row r="1813">
      <c r="BB1813" s="122"/>
      <c r="BC1813" s="141"/>
    </row>
    <row r="1814">
      <c r="BB1814" s="122"/>
      <c r="BC1814" s="141"/>
    </row>
    <row r="1815">
      <c r="BB1815" s="122"/>
      <c r="BC1815" s="141"/>
    </row>
    <row r="1816">
      <c r="BB1816" s="122"/>
      <c r="BC1816" s="141"/>
    </row>
    <row r="1817">
      <c r="BB1817" s="122"/>
      <c r="BC1817" s="141"/>
    </row>
    <row r="1818">
      <c r="BB1818" s="122"/>
      <c r="BC1818" s="141"/>
    </row>
    <row r="1819">
      <c r="BB1819" s="122"/>
      <c r="BC1819" s="141"/>
    </row>
    <row r="1820">
      <c r="BB1820" s="122"/>
      <c r="BC1820" s="141"/>
    </row>
    <row r="1821">
      <c r="BB1821" s="122"/>
      <c r="BC1821" s="141"/>
    </row>
    <row r="1822">
      <c r="BB1822" s="122"/>
      <c r="BC1822" s="141"/>
    </row>
    <row r="1823">
      <c r="BB1823" s="122"/>
      <c r="BC1823" s="141"/>
    </row>
    <row r="1824">
      <c r="BB1824" s="122"/>
      <c r="BC1824" s="141"/>
    </row>
    <row r="1825">
      <c r="BB1825" s="122"/>
      <c r="BC1825" s="141"/>
    </row>
    <row r="1826">
      <c r="BB1826" s="122"/>
      <c r="BC1826" s="141"/>
    </row>
    <row r="1827">
      <c r="BB1827" s="122"/>
      <c r="BC1827" s="141"/>
    </row>
    <row r="1828">
      <c r="BB1828" s="122"/>
      <c r="BC1828" s="141"/>
    </row>
    <row r="1829">
      <c r="BB1829" s="122"/>
      <c r="BC1829" s="141"/>
    </row>
    <row r="1830">
      <c r="BB1830" s="122"/>
      <c r="BC1830" s="141"/>
    </row>
    <row r="1831">
      <c r="BB1831" s="122"/>
      <c r="BC1831" s="141"/>
    </row>
    <row r="1832">
      <c r="BB1832" s="122"/>
      <c r="BC1832" s="141"/>
    </row>
    <row r="1833">
      <c r="BB1833" s="122"/>
      <c r="BC1833" s="141"/>
    </row>
    <row r="1834">
      <c r="BB1834" s="122"/>
      <c r="BC1834" s="141"/>
    </row>
    <row r="1835">
      <c r="BB1835" s="122"/>
      <c r="BC1835" s="141"/>
    </row>
    <row r="1836">
      <c r="BB1836" s="122"/>
      <c r="BC1836" s="141"/>
    </row>
    <row r="1837">
      <c r="BB1837" s="122"/>
      <c r="BC1837" s="141"/>
    </row>
    <row r="1838">
      <c r="BB1838" s="122"/>
      <c r="BC1838" s="141"/>
    </row>
    <row r="1839">
      <c r="BB1839" s="122"/>
      <c r="BC1839" s="141"/>
    </row>
    <row r="1840">
      <c r="BB1840" s="122"/>
      <c r="BC1840" s="141"/>
    </row>
    <row r="1841">
      <c r="BB1841" s="122"/>
      <c r="BC1841" s="141"/>
    </row>
    <row r="1842">
      <c r="BB1842" s="122"/>
      <c r="BC1842" s="141"/>
    </row>
    <row r="1843">
      <c r="BB1843" s="122"/>
      <c r="BC1843" s="141"/>
    </row>
    <row r="1844">
      <c r="BB1844" s="122"/>
      <c r="BC1844" s="141"/>
    </row>
    <row r="1845">
      <c r="BB1845" s="122"/>
      <c r="BC1845" s="141"/>
    </row>
    <row r="1846">
      <c r="BB1846" s="122"/>
      <c r="BC1846" s="141"/>
    </row>
    <row r="1847">
      <c r="BB1847" s="122"/>
      <c r="BC1847" s="141"/>
    </row>
    <row r="1848">
      <c r="BB1848" s="122"/>
      <c r="BC1848" s="141"/>
    </row>
    <row r="1849">
      <c r="BB1849" s="122"/>
      <c r="BC1849" s="141"/>
    </row>
    <row r="1850">
      <c r="BB1850" s="122"/>
      <c r="BC1850" s="141"/>
    </row>
    <row r="1851">
      <c r="BB1851" s="122"/>
      <c r="BC1851" s="141"/>
    </row>
    <row r="1852">
      <c r="BB1852" s="122"/>
      <c r="BC1852" s="141"/>
    </row>
    <row r="1853">
      <c r="BB1853" s="122"/>
      <c r="BC1853" s="141"/>
    </row>
    <row r="1854">
      <c r="BB1854" s="122"/>
      <c r="BC1854" s="141"/>
    </row>
    <row r="1855">
      <c r="BB1855" s="122"/>
      <c r="BC1855" s="141"/>
    </row>
    <row r="1856">
      <c r="BB1856" s="122"/>
      <c r="BC1856" s="141"/>
    </row>
    <row r="1857">
      <c r="BB1857" s="122"/>
      <c r="BC1857" s="141"/>
    </row>
    <row r="1858">
      <c r="BB1858" s="122"/>
      <c r="BC1858" s="141"/>
    </row>
    <row r="1859">
      <c r="BB1859" s="122"/>
      <c r="BC1859" s="141"/>
    </row>
    <row r="1860">
      <c r="BB1860" s="122"/>
      <c r="BC1860" s="141"/>
    </row>
    <row r="1861">
      <c r="BB1861" s="122"/>
      <c r="BC1861" s="141"/>
    </row>
    <row r="1862">
      <c r="BB1862" s="122"/>
      <c r="BC1862" s="141"/>
    </row>
    <row r="1863">
      <c r="BB1863" s="122"/>
      <c r="BC1863" s="141"/>
    </row>
    <row r="1864">
      <c r="BB1864" s="122"/>
      <c r="BC1864" s="141"/>
    </row>
    <row r="1865">
      <c r="BB1865" s="122"/>
      <c r="BC1865" s="141"/>
    </row>
    <row r="1866">
      <c r="BB1866" s="122"/>
      <c r="BC1866" s="141"/>
    </row>
    <row r="1867">
      <c r="BB1867" s="122"/>
      <c r="BC1867" s="141"/>
    </row>
    <row r="1868">
      <c r="BB1868" s="122"/>
      <c r="BC1868" s="141"/>
    </row>
    <row r="1869">
      <c r="BB1869" s="122"/>
      <c r="BC1869" s="141"/>
    </row>
    <row r="1870">
      <c r="BB1870" s="122"/>
      <c r="BC1870" s="141"/>
    </row>
    <row r="1871">
      <c r="BB1871" s="122"/>
      <c r="BC1871" s="141"/>
    </row>
    <row r="1872">
      <c r="BB1872" s="122"/>
      <c r="BC1872" s="141"/>
    </row>
    <row r="1873">
      <c r="BB1873" s="122"/>
      <c r="BC1873" s="141"/>
    </row>
    <row r="1874">
      <c r="BB1874" s="122"/>
      <c r="BC1874" s="141"/>
    </row>
    <row r="1875">
      <c r="BB1875" s="122"/>
      <c r="BC1875" s="141"/>
    </row>
    <row r="1876">
      <c r="BB1876" s="122"/>
      <c r="BC1876" s="141"/>
    </row>
    <row r="1877">
      <c r="BB1877" s="122"/>
      <c r="BC1877" s="141"/>
    </row>
    <row r="1878">
      <c r="BB1878" s="122"/>
      <c r="BC1878" s="141"/>
    </row>
    <row r="1879">
      <c r="BB1879" s="122"/>
      <c r="BC1879" s="141"/>
    </row>
    <row r="1880">
      <c r="BB1880" s="122"/>
      <c r="BC1880" s="141"/>
    </row>
    <row r="1881">
      <c r="BB1881" s="122"/>
      <c r="BC1881" s="141"/>
    </row>
    <row r="1882">
      <c r="BB1882" s="122"/>
      <c r="BC1882" s="141"/>
    </row>
    <row r="1883">
      <c r="BB1883" s="122"/>
      <c r="BC1883" s="141"/>
    </row>
    <row r="1884">
      <c r="BB1884" s="122"/>
      <c r="BC1884" s="141"/>
    </row>
    <row r="1885">
      <c r="BB1885" s="122"/>
      <c r="BC1885" s="141"/>
    </row>
    <row r="1886">
      <c r="BB1886" s="122"/>
      <c r="BC1886" s="141"/>
    </row>
    <row r="1887">
      <c r="BB1887" s="122"/>
      <c r="BC1887" s="141"/>
    </row>
    <row r="1888">
      <c r="BB1888" s="122"/>
      <c r="BC1888" s="141"/>
    </row>
    <row r="1889">
      <c r="BB1889" s="122"/>
      <c r="BC1889" s="141"/>
    </row>
    <row r="1890">
      <c r="BB1890" s="122"/>
      <c r="BC1890" s="141"/>
    </row>
    <row r="1891">
      <c r="BB1891" s="122"/>
      <c r="BC1891" s="141"/>
    </row>
    <row r="1892">
      <c r="BB1892" s="122"/>
      <c r="BC1892" s="141"/>
    </row>
    <row r="1893">
      <c r="BB1893" s="122"/>
      <c r="BC1893" s="141"/>
    </row>
    <row r="1894">
      <c r="BB1894" s="122"/>
      <c r="BC1894" s="141"/>
    </row>
    <row r="1895">
      <c r="BB1895" s="122"/>
      <c r="BC1895" s="141"/>
    </row>
    <row r="1896">
      <c r="BB1896" s="122"/>
      <c r="BC1896" s="141"/>
    </row>
    <row r="1897">
      <c r="BB1897" s="122"/>
      <c r="BC1897" s="141"/>
    </row>
    <row r="1898">
      <c r="BB1898" s="122"/>
      <c r="BC1898" s="141"/>
    </row>
    <row r="1899">
      <c r="BB1899" s="122"/>
      <c r="BC1899" s="141"/>
    </row>
    <row r="1900">
      <c r="BB1900" s="122"/>
      <c r="BC1900" s="141"/>
    </row>
    <row r="1901">
      <c r="BB1901" s="122"/>
      <c r="BC1901" s="141"/>
    </row>
    <row r="1902">
      <c r="BB1902" s="122"/>
      <c r="BC1902" s="141"/>
    </row>
    <row r="1903">
      <c r="BB1903" s="122"/>
      <c r="BC1903" s="141"/>
    </row>
    <row r="1904">
      <c r="BB1904" s="122"/>
      <c r="BC1904" s="141"/>
    </row>
    <row r="1905">
      <c r="BB1905" s="122"/>
      <c r="BC1905" s="141"/>
    </row>
    <row r="1906">
      <c r="BB1906" s="122"/>
      <c r="BC1906" s="141"/>
    </row>
    <row r="1907">
      <c r="BB1907" s="122"/>
      <c r="BC1907" s="141"/>
    </row>
    <row r="1908">
      <c r="BB1908" s="122"/>
      <c r="BC1908" s="141"/>
    </row>
    <row r="1909">
      <c r="BB1909" s="122"/>
      <c r="BC1909" s="141"/>
    </row>
    <row r="1910">
      <c r="BB1910" s="122"/>
      <c r="BC1910" s="141"/>
    </row>
    <row r="1911">
      <c r="BB1911" s="122"/>
      <c r="BC1911" s="141"/>
    </row>
    <row r="1912">
      <c r="BB1912" s="122"/>
      <c r="BC1912" s="141"/>
    </row>
    <row r="1913">
      <c r="BB1913" s="122"/>
      <c r="BC1913" s="141"/>
    </row>
    <row r="1914">
      <c r="BB1914" s="122"/>
      <c r="BC1914" s="141"/>
    </row>
    <row r="1915">
      <c r="BB1915" s="122"/>
      <c r="BC1915" s="141"/>
    </row>
    <row r="1916">
      <c r="BB1916" s="122"/>
      <c r="BC1916" s="141"/>
    </row>
    <row r="1917">
      <c r="BB1917" s="122"/>
      <c r="BC1917" s="141"/>
    </row>
    <row r="1918">
      <c r="BB1918" s="122"/>
      <c r="BC1918" s="141"/>
    </row>
    <row r="1919">
      <c r="BB1919" s="122"/>
      <c r="BC1919" s="141"/>
    </row>
    <row r="1920">
      <c r="BB1920" s="122"/>
      <c r="BC1920" s="141"/>
    </row>
    <row r="1921">
      <c r="BB1921" s="122"/>
      <c r="BC1921" s="141"/>
    </row>
    <row r="1922">
      <c r="BB1922" s="122"/>
      <c r="BC1922" s="141"/>
    </row>
    <row r="1923">
      <c r="BB1923" s="122"/>
      <c r="BC1923" s="141"/>
    </row>
    <row r="1924">
      <c r="BB1924" s="122"/>
      <c r="BC1924" s="141"/>
    </row>
    <row r="1925">
      <c r="BB1925" s="122"/>
      <c r="BC1925" s="141"/>
    </row>
    <row r="1926">
      <c r="BB1926" s="122"/>
      <c r="BC1926" s="141"/>
    </row>
    <row r="1927">
      <c r="BB1927" s="122"/>
      <c r="BC1927" s="141"/>
    </row>
    <row r="1928">
      <c r="BB1928" s="122"/>
      <c r="BC1928" s="141"/>
    </row>
    <row r="1929">
      <c r="BB1929" s="122"/>
      <c r="BC1929" s="141"/>
    </row>
    <row r="1930">
      <c r="BB1930" s="122"/>
      <c r="BC1930" s="141"/>
    </row>
    <row r="1931">
      <c r="BB1931" s="122"/>
      <c r="BC1931" s="141"/>
    </row>
    <row r="1932">
      <c r="BB1932" s="122"/>
      <c r="BC1932" s="141"/>
    </row>
    <row r="1933">
      <c r="BB1933" s="122"/>
      <c r="BC1933" s="141"/>
    </row>
    <row r="1934">
      <c r="BB1934" s="122"/>
      <c r="BC1934" s="141"/>
    </row>
    <row r="1935">
      <c r="BB1935" s="122"/>
      <c r="BC1935" s="141"/>
    </row>
    <row r="1936">
      <c r="BB1936" s="122"/>
      <c r="BC1936" s="141"/>
    </row>
    <row r="1937">
      <c r="BB1937" s="122"/>
      <c r="BC1937" s="141"/>
    </row>
    <row r="1938">
      <c r="BB1938" s="122"/>
      <c r="BC1938" s="141"/>
    </row>
    <row r="1939">
      <c r="BB1939" s="122"/>
      <c r="BC1939" s="141"/>
    </row>
    <row r="1940">
      <c r="BB1940" s="122"/>
      <c r="BC1940" s="141"/>
    </row>
    <row r="1941">
      <c r="BB1941" s="122"/>
      <c r="BC1941" s="141"/>
    </row>
    <row r="1942">
      <c r="BB1942" s="122"/>
      <c r="BC1942" s="141"/>
    </row>
    <row r="1943">
      <c r="BB1943" s="122"/>
      <c r="BC1943" s="141"/>
    </row>
    <row r="1944">
      <c r="BB1944" s="122"/>
      <c r="BC1944" s="141"/>
    </row>
    <row r="1945">
      <c r="BB1945" s="122"/>
      <c r="BC1945" s="141"/>
    </row>
    <row r="1946">
      <c r="BB1946" s="122"/>
      <c r="BC1946" s="141"/>
    </row>
    <row r="1947">
      <c r="BB1947" s="122"/>
      <c r="BC1947" s="141"/>
    </row>
    <row r="1948">
      <c r="BB1948" s="122"/>
      <c r="BC1948" s="141"/>
    </row>
    <row r="1949">
      <c r="BB1949" s="122"/>
      <c r="BC1949" s="141"/>
    </row>
    <row r="1950">
      <c r="BB1950" s="122"/>
      <c r="BC1950" s="141"/>
    </row>
    <row r="1951">
      <c r="BB1951" s="122"/>
      <c r="BC1951" s="141"/>
    </row>
    <row r="1952">
      <c r="BB1952" s="122"/>
      <c r="BC1952" s="141"/>
    </row>
    <row r="1953">
      <c r="BB1953" s="122"/>
      <c r="BC1953" s="141"/>
    </row>
    <row r="1954">
      <c r="BB1954" s="122"/>
      <c r="BC1954" s="141"/>
    </row>
    <row r="1955">
      <c r="BB1955" s="122"/>
      <c r="BC1955" s="141"/>
    </row>
    <row r="1956">
      <c r="BB1956" s="122"/>
      <c r="BC1956" s="141"/>
    </row>
    <row r="1957">
      <c r="BB1957" s="122"/>
      <c r="BC1957" s="141"/>
    </row>
    <row r="1958">
      <c r="BB1958" s="122"/>
      <c r="BC1958" s="141"/>
    </row>
    <row r="1959">
      <c r="BB1959" s="122"/>
      <c r="BC1959" s="141"/>
    </row>
    <row r="1960">
      <c r="BB1960" s="122"/>
      <c r="BC1960" s="141"/>
    </row>
    <row r="1961">
      <c r="BB1961" s="122"/>
      <c r="BC1961" s="141"/>
    </row>
    <row r="1962">
      <c r="BB1962" s="122"/>
      <c r="BC1962" s="141"/>
    </row>
    <row r="1963">
      <c r="BB1963" s="122"/>
      <c r="BC1963" s="141"/>
    </row>
    <row r="1964">
      <c r="BB1964" s="122"/>
      <c r="BC1964" s="141"/>
    </row>
    <row r="1965">
      <c r="BB1965" s="122"/>
      <c r="BC1965" s="141"/>
    </row>
    <row r="1966">
      <c r="BB1966" s="122"/>
      <c r="BC1966" s="141"/>
    </row>
    <row r="1967">
      <c r="BB1967" s="122"/>
      <c r="BC1967" s="141"/>
    </row>
    <row r="1968">
      <c r="BB1968" s="122"/>
      <c r="BC1968" s="141"/>
    </row>
    <row r="1969">
      <c r="BB1969" s="122"/>
      <c r="BC1969" s="141"/>
    </row>
    <row r="1970">
      <c r="BB1970" s="122"/>
      <c r="BC1970" s="141"/>
    </row>
    <row r="1971">
      <c r="BB1971" s="122"/>
      <c r="BC1971" s="141"/>
    </row>
    <row r="1972">
      <c r="BB1972" s="122"/>
      <c r="BC1972" s="141"/>
    </row>
    <row r="1973">
      <c r="BB1973" s="122"/>
      <c r="BC1973" s="141"/>
    </row>
    <row r="1974">
      <c r="BB1974" s="122"/>
      <c r="BC1974" s="141"/>
    </row>
    <row r="1975">
      <c r="BB1975" s="122"/>
      <c r="BC1975" s="141"/>
    </row>
    <row r="1976">
      <c r="BB1976" s="122"/>
      <c r="BC1976" s="141"/>
    </row>
    <row r="1977">
      <c r="BB1977" s="122"/>
      <c r="BC1977" s="141"/>
    </row>
    <row r="1978">
      <c r="BB1978" s="122"/>
      <c r="BC1978" s="141"/>
    </row>
    <row r="1979">
      <c r="BB1979" s="122"/>
      <c r="BC1979" s="141"/>
    </row>
    <row r="1980">
      <c r="BB1980" s="122"/>
      <c r="BC1980" s="141"/>
    </row>
    <row r="1981">
      <c r="BB1981" s="122"/>
      <c r="BC1981" s="141"/>
    </row>
    <row r="1982">
      <c r="BB1982" s="122"/>
      <c r="BC1982" s="141"/>
    </row>
    <row r="1983">
      <c r="BB1983" s="122"/>
      <c r="BC1983" s="141"/>
    </row>
    <row r="1984">
      <c r="BB1984" s="122"/>
      <c r="BC1984" s="141"/>
    </row>
    <row r="1985">
      <c r="BB1985" s="122"/>
      <c r="BC1985" s="141"/>
    </row>
    <row r="1986">
      <c r="BB1986" s="122"/>
      <c r="BC1986" s="141"/>
    </row>
    <row r="1987">
      <c r="BB1987" s="122"/>
      <c r="BC1987" s="141"/>
    </row>
    <row r="1988">
      <c r="BB1988" s="122"/>
      <c r="BC1988" s="141"/>
    </row>
    <row r="1989">
      <c r="BB1989" s="122"/>
      <c r="BC1989" s="141"/>
    </row>
    <row r="1990">
      <c r="BB1990" s="122"/>
      <c r="BC1990" s="141"/>
    </row>
    <row r="1991">
      <c r="BB1991" s="122"/>
      <c r="BC1991" s="141"/>
    </row>
    <row r="1992">
      <c r="BB1992" s="122"/>
      <c r="BC1992" s="141"/>
    </row>
    <row r="1993">
      <c r="BB1993" s="122"/>
      <c r="BC1993" s="141"/>
    </row>
    <row r="1994">
      <c r="BB1994" s="122"/>
      <c r="BC1994" s="141"/>
    </row>
    <row r="1995">
      <c r="BB1995" s="122"/>
      <c r="BC1995" s="141"/>
    </row>
    <row r="1996">
      <c r="BB1996" s="122"/>
      <c r="BC1996" s="141"/>
    </row>
    <row r="1997">
      <c r="BB1997" s="122"/>
      <c r="BC1997" s="141"/>
    </row>
    <row r="1998">
      <c r="BB1998" s="122"/>
      <c r="BC1998" s="141"/>
    </row>
    <row r="1999">
      <c r="BB1999" s="122"/>
      <c r="BC1999" s="141"/>
    </row>
    <row r="2000">
      <c r="BB2000" s="122"/>
      <c r="BC2000" s="141"/>
    </row>
    <row r="2001">
      <c r="BB2001" s="122"/>
      <c r="BC2001" s="141"/>
    </row>
    <row r="2002">
      <c r="BB2002" s="122"/>
      <c r="BC2002" s="141"/>
    </row>
    <row r="2003">
      <c r="BB2003" s="122"/>
      <c r="BC2003" s="141"/>
    </row>
    <row r="2004">
      <c r="BB2004" s="122"/>
      <c r="BC2004" s="141"/>
    </row>
    <row r="2005">
      <c r="BB2005" s="122"/>
      <c r="BC2005" s="141"/>
    </row>
    <row r="2006">
      <c r="BB2006" s="122"/>
      <c r="BC2006" s="141"/>
    </row>
    <row r="2007">
      <c r="BB2007" s="122"/>
      <c r="BC2007" s="141"/>
    </row>
    <row r="2008">
      <c r="BB2008" s="122"/>
      <c r="BC2008" s="141"/>
    </row>
    <row r="2009">
      <c r="BB2009" s="122"/>
      <c r="BC2009" s="141"/>
    </row>
    <row r="2010">
      <c r="BB2010" s="122"/>
      <c r="BC2010" s="141"/>
    </row>
    <row r="2011">
      <c r="BB2011" s="122"/>
      <c r="BC2011" s="141"/>
    </row>
    <row r="2012">
      <c r="BB2012" s="122"/>
      <c r="BC2012" s="141"/>
    </row>
    <row r="2013">
      <c r="BB2013" s="122"/>
      <c r="BC2013" s="141"/>
    </row>
    <row r="2014">
      <c r="BB2014" s="122"/>
      <c r="BC2014" s="141"/>
    </row>
    <row r="2015">
      <c r="BB2015" s="122"/>
      <c r="BC2015" s="141"/>
    </row>
    <row r="2016">
      <c r="BB2016" s="122"/>
      <c r="BC2016" s="141"/>
    </row>
    <row r="2017">
      <c r="BB2017" s="122"/>
      <c r="BC2017" s="141"/>
    </row>
    <row r="2018">
      <c r="BB2018" s="122"/>
      <c r="BC2018" s="141"/>
    </row>
    <row r="2019">
      <c r="BB2019" s="122"/>
      <c r="BC2019" s="141"/>
    </row>
    <row r="2020">
      <c r="BB2020" s="122"/>
      <c r="BC2020" s="141"/>
    </row>
    <row r="2021">
      <c r="BB2021" s="122"/>
      <c r="BC2021" s="141"/>
    </row>
    <row r="2022">
      <c r="BB2022" s="122"/>
      <c r="BC2022" s="141"/>
    </row>
    <row r="2023">
      <c r="BB2023" s="122"/>
      <c r="BC2023" s="141"/>
    </row>
    <row r="2024">
      <c r="BB2024" s="122"/>
      <c r="BC2024" s="141"/>
    </row>
    <row r="2025">
      <c r="BB2025" s="122"/>
      <c r="BC2025" s="141"/>
    </row>
    <row r="2026">
      <c r="BB2026" s="122"/>
      <c r="BC2026" s="141"/>
    </row>
    <row r="2027">
      <c r="BB2027" s="122"/>
      <c r="BC2027" s="141"/>
    </row>
    <row r="2028">
      <c r="BB2028" s="122"/>
      <c r="BC2028" s="141"/>
    </row>
    <row r="2029">
      <c r="BB2029" s="122"/>
      <c r="BC2029" s="141"/>
    </row>
    <row r="2030">
      <c r="BB2030" s="122"/>
      <c r="BC2030" s="141"/>
    </row>
    <row r="2031">
      <c r="BB2031" s="122"/>
      <c r="BC2031" s="141"/>
    </row>
    <row r="2032">
      <c r="BB2032" s="122"/>
      <c r="BC2032" s="141"/>
    </row>
    <row r="2033">
      <c r="BB2033" s="122"/>
      <c r="BC2033" s="141"/>
    </row>
    <row r="2034">
      <c r="BB2034" s="122"/>
      <c r="BC2034" s="141"/>
    </row>
    <row r="2035">
      <c r="BB2035" s="122"/>
      <c r="BC2035" s="141"/>
    </row>
    <row r="2036">
      <c r="BB2036" s="122"/>
      <c r="BC2036" s="141"/>
    </row>
    <row r="2037">
      <c r="BB2037" s="122"/>
      <c r="BC2037" s="141"/>
    </row>
    <row r="2038">
      <c r="BB2038" s="122"/>
      <c r="BC2038" s="141"/>
    </row>
    <row r="2039">
      <c r="BB2039" s="122"/>
      <c r="BC2039" s="141"/>
    </row>
    <row r="2040">
      <c r="BB2040" s="122"/>
      <c r="BC2040" s="141"/>
    </row>
    <row r="2041">
      <c r="BB2041" s="122"/>
      <c r="BC2041" s="141"/>
    </row>
    <row r="2042">
      <c r="BB2042" s="122"/>
      <c r="BC2042" s="141"/>
    </row>
    <row r="2043">
      <c r="BB2043" s="122"/>
      <c r="BC2043" s="141"/>
    </row>
    <row r="2044">
      <c r="BB2044" s="122"/>
      <c r="BC2044" s="141"/>
    </row>
    <row r="2045">
      <c r="BB2045" s="122"/>
      <c r="BC2045" s="141"/>
    </row>
    <row r="2046">
      <c r="BB2046" s="122"/>
      <c r="BC2046" s="141"/>
    </row>
    <row r="2047">
      <c r="BB2047" s="122"/>
      <c r="BC2047" s="141"/>
    </row>
    <row r="2048">
      <c r="BB2048" s="122"/>
      <c r="BC2048" s="141"/>
    </row>
    <row r="2049">
      <c r="BB2049" s="122"/>
      <c r="BC2049" s="141"/>
    </row>
    <row r="2050">
      <c r="BB2050" s="122"/>
      <c r="BC2050" s="141"/>
    </row>
    <row r="2051">
      <c r="BB2051" s="122"/>
      <c r="BC2051" s="141"/>
    </row>
    <row r="2052">
      <c r="BB2052" s="122"/>
      <c r="BC2052" s="141"/>
    </row>
    <row r="2053">
      <c r="BB2053" s="122"/>
      <c r="BC2053" s="141"/>
    </row>
    <row r="2054">
      <c r="BB2054" s="122"/>
      <c r="BC2054" s="141"/>
    </row>
    <row r="2055">
      <c r="BB2055" s="122"/>
      <c r="BC2055" s="141"/>
    </row>
    <row r="2056">
      <c r="BB2056" s="122"/>
      <c r="BC2056" s="141"/>
    </row>
    <row r="2057">
      <c r="BB2057" s="122"/>
      <c r="BC2057" s="141"/>
    </row>
    <row r="2058">
      <c r="BB2058" s="122"/>
      <c r="BC2058" s="141"/>
    </row>
    <row r="2059">
      <c r="BB2059" s="122"/>
      <c r="BC2059" s="141"/>
    </row>
    <row r="2060">
      <c r="BB2060" s="122"/>
      <c r="BC2060" s="141"/>
    </row>
    <row r="2061">
      <c r="BB2061" s="122"/>
      <c r="BC2061" s="141"/>
    </row>
    <row r="2062">
      <c r="BB2062" s="122"/>
      <c r="BC2062" s="141"/>
    </row>
    <row r="2063">
      <c r="BB2063" s="122"/>
      <c r="BC2063" s="141"/>
    </row>
    <row r="2064">
      <c r="BB2064" s="122"/>
      <c r="BC2064" s="141"/>
    </row>
    <row r="2065">
      <c r="BB2065" s="122"/>
      <c r="BC2065" s="141"/>
    </row>
    <row r="2066">
      <c r="BB2066" s="122"/>
      <c r="BC2066" s="141"/>
    </row>
    <row r="2067">
      <c r="BB2067" s="122"/>
      <c r="BC2067" s="141"/>
    </row>
    <row r="2068">
      <c r="BB2068" s="122"/>
      <c r="BC2068" s="141"/>
    </row>
    <row r="2069">
      <c r="BB2069" s="122"/>
      <c r="BC2069" s="141"/>
    </row>
    <row r="2070">
      <c r="BB2070" s="122"/>
      <c r="BC2070" s="141"/>
    </row>
    <row r="2071">
      <c r="BB2071" s="122"/>
      <c r="BC2071" s="141"/>
    </row>
    <row r="2072">
      <c r="BB2072" s="122"/>
      <c r="BC2072" s="141"/>
    </row>
    <row r="2073">
      <c r="BB2073" s="122"/>
      <c r="BC2073" s="141"/>
    </row>
    <row r="2074">
      <c r="BB2074" s="122"/>
      <c r="BC2074" s="141"/>
    </row>
    <row r="2075">
      <c r="BB2075" s="122"/>
      <c r="BC2075" s="141"/>
    </row>
    <row r="2076">
      <c r="BB2076" s="122"/>
      <c r="BC2076" s="141"/>
    </row>
    <row r="2077">
      <c r="BB2077" s="122"/>
      <c r="BC2077" s="141"/>
    </row>
    <row r="2078">
      <c r="BB2078" s="122"/>
      <c r="BC2078" s="141"/>
    </row>
    <row r="2079">
      <c r="BB2079" s="122"/>
      <c r="BC2079" s="141"/>
    </row>
    <row r="2080">
      <c r="BB2080" s="122"/>
      <c r="BC2080" s="141"/>
    </row>
    <row r="2081">
      <c r="BB2081" s="122"/>
      <c r="BC2081" s="141"/>
    </row>
    <row r="2082">
      <c r="BB2082" s="122"/>
      <c r="BC2082" s="141"/>
    </row>
    <row r="2083">
      <c r="BB2083" s="122"/>
      <c r="BC2083" s="141"/>
    </row>
    <row r="2084">
      <c r="BB2084" s="122"/>
      <c r="BC2084" s="141"/>
    </row>
    <row r="2085">
      <c r="BB2085" s="122"/>
      <c r="BC2085" s="141"/>
    </row>
    <row r="2086">
      <c r="BB2086" s="122"/>
      <c r="BC2086" s="141"/>
    </row>
    <row r="2087">
      <c r="BB2087" s="122"/>
      <c r="BC2087" s="141"/>
    </row>
    <row r="2088">
      <c r="BB2088" s="122"/>
      <c r="BC2088" s="141"/>
    </row>
    <row r="2089">
      <c r="BB2089" s="122"/>
      <c r="BC2089" s="141"/>
    </row>
    <row r="2090">
      <c r="BB2090" s="122"/>
      <c r="BC2090" s="141"/>
    </row>
    <row r="2091">
      <c r="BB2091" s="122"/>
      <c r="BC2091" s="141"/>
    </row>
    <row r="2092">
      <c r="BB2092" s="122"/>
      <c r="BC2092" s="141"/>
    </row>
    <row r="2093">
      <c r="BB2093" s="122"/>
      <c r="BC2093" s="141"/>
    </row>
    <row r="2094">
      <c r="BB2094" s="122"/>
      <c r="BC2094" s="141"/>
    </row>
    <row r="2095">
      <c r="BB2095" s="122"/>
      <c r="BC2095" s="141"/>
    </row>
    <row r="2096">
      <c r="BB2096" s="122"/>
      <c r="BC2096" s="141"/>
    </row>
    <row r="2097">
      <c r="BB2097" s="122"/>
      <c r="BC2097" s="141"/>
    </row>
    <row r="2098">
      <c r="BB2098" s="122"/>
      <c r="BC2098" s="141"/>
    </row>
    <row r="2099">
      <c r="BB2099" s="122"/>
      <c r="BC2099" s="141"/>
    </row>
    <row r="2100">
      <c r="BB2100" s="122"/>
      <c r="BC2100" s="141"/>
    </row>
    <row r="2101">
      <c r="BB2101" s="122"/>
      <c r="BC2101" s="141"/>
    </row>
    <row r="2102">
      <c r="BB2102" s="122"/>
      <c r="BC2102" s="141"/>
    </row>
    <row r="2103">
      <c r="BB2103" s="122"/>
      <c r="BC2103" s="141"/>
    </row>
    <row r="2104">
      <c r="BB2104" s="122"/>
      <c r="BC2104" s="141"/>
    </row>
    <row r="2105">
      <c r="BB2105" s="122"/>
      <c r="BC2105" s="141"/>
    </row>
    <row r="2106">
      <c r="BB2106" s="122"/>
      <c r="BC2106" s="141"/>
    </row>
    <row r="2107">
      <c r="BB2107" s="122"/>
      <c r="BC2107" s="141"/>
    </row>
    <row r="2108">
      <c r="BB2108" s="122"/>
      <c r="BC2108" s="141"/>
    </row>
    <row r="2109">
      <c r="BB2109" s="122"/>
      <c r="BC2109" s="141"/>
    </row>
    <row r="2110">
      <c r="BB2110" s="122"/>
      <c r="BC2110" s="141"/>
    </row>
    <row r="2111">
      <c r="BB2111" s="122"/>
      <c r="BC2111" s="141"/>
    </row>
    <row r="2112">
      <c r="BB2112" s="122"/>
      <c r="BC2112" s="141"/>
    </row>
    <row r="2113">
      <c r="BB2113" s="122"/>
      <c r="BC2113" s="141"/>
    </row>
    <row r="2114">
      <c r="BB2114" s="122"/>
      <c r="BC2114" s="141"/>
    </row>
    <row r="2115">
      <c r="BB2115" s="122"/>
      <c r="BC2115" s="141"/>
    </row>
    <row r="2116">
      <c r="BB2116" s="122"/>
      <c r="BC2116" s="141"/>
    </row>
    <row r="2117">
      <c r="BB2117" s="122"/>
      <c r="BC2117" s="141"/>
    </row>
    <row r="2118">
      <c r="BB2118" s="122"/>
      <c r="BC2118" s="141"/>
    </row>
    <row r="2119">
      <c r="BB2119" s="122"/>
      <c r="BC2119" s="141"/>
    </row>
    <row r="2120">
      <c r="BB2120" s="122"/>
      <c r="BC2120" s="141"/>
    </row>
    <row r="2121">
      <c r="BB2121" s="122"/>
      <c r="BC2121" s="141"/>
    </row>
    <row r="2122">
      <c r="BB2122" s="122"/>
      <c r="BC2122" s="141"/>
    </row>
    <row r="2123">
      <c r="BB2123" s="122"/>
      <c r="BC2123" s="141"/>
    </row>
    <row r="2124">
      <c r="BB2124" s="122"/>
      <c r="BC2124" s="141"/>
    </row>
    <row r="2125">
      <c r="BB2125" s="122"/>
      <c r="BC2125" s="141"/>
    </row>
    <row r="2126">
      <c r="BB2126" s="122"/>
      <c r="BC2126" s="141"/>
    </row>
    <row r="2127">
      <c r="BB2127" s="122"/>
      <c r="BC2127" s="141"/>
    </row>
    <row r="2128">
      <c r="BB2128" s="122"/>
      <c r="BC2128" s="141"/>
    </row>
    <row r="2129">
      <c r="BB2129" s="122"/>
      <c r="BC2129" s="141"/>
    </row>
    <row r="2130">
      <c r="BB2130" s="122"/>
      <c r="BC2130" s="141"/>
    </row>
    <row r="2131">
      <c r="BB2131" s="122"/>
      <c r="BC2131" s="141"/>
    </row>
    <row r="2132">
      <c r="BB2132" s="122"/>
      <c r="BC2132" s="141"/>
    </row>
    <row r="2133">
      <c r="BB2133" s="122"/>
      <c r="BC2133" s="141"/>
    </row>
    <row r="2134">
      <c r="BB2134" s="122"/>
      <c r="BC2134" s="141"/>
    </row>
    <row r="2135">
      <c r="BB2135" s="122"/>
      <c r="BC2135" s="141"/>
    </row>
    <row r="2136">
      <c r="BB2136" s="122"/>
      <c r="BC2136" s="141"/>
    </row>
    <row r="2137">
      <c r="BB2137" s="122"/>
      <c r="BC2137" s="141"/>
    </row>
    <row r="2138">
      <c r="BB2138" s="122"/>
      <c r="BC2138" s="141"/>
    </row>
    <row r="2139">
      <c r="BB2139" s="122"/>
      <c r="BC2139" s="141"/>
    </row>
    <row r="2140">
      <c r="BB2140" s="122"/>
      <c r="BC2140" s="141"/>
    </row>
    <row r="2141">
      <c r="BB2141" s="122"/>
      <c r="BC2141" s="141"/>
    </row>
    <row r="2142">
      <c r="BB2142" s="122"/>
      <c r="BC2142" s="141"/>
    </row>
    <row r="2143">
      <c r="BB2143" s="122"/>
      <c r="BC2143" s="141"/>
    </row>
    <row r="2144">
      <c r="BB2144" s="122"/>
      <c r="BC2144" s="141"/>
    </row>
    <row r="2145">
      <c r="BB2145" s="122"/>
      <c r="BC2145" s="141"/>
    </row>
    <row r="2146">
      <c r="BB2146" s="122"/>
      <c r="BC2146" s="141"/>
    </row>
    <row r="2147">
      <c r="BB2147" s="122"/>
      <c r="BC2147" s="141"/>
    </row>
    <row r="2148">
      <c r="BB2148" s="122"/>
      <c r="BC2148" s="141"/>
    </row>
    <row r="2149">
      <c r="BB2149" s="122"/>
      <c r="BC2149" s="141"/>
    </row>
    <row r="2150">
      <c r="BB2150" s="122"/>
      <c r="BC2150" s="141"/>
    </row>
    <row r="2151">
      <c r="BB2151" s="122"/>
      <c r="BC2151" s="141"/>
    </row>
    <row r="2152">
      <c r="BB2152" s="122"/>
      <c r="BC2152" s="141"/>
    </row>
    <row r="2153">
      <c r="BB2153" s="122"/>
      <c r="BC2153" s="141"/>
    </row>
    <row r="2154">
      <c r="BB2154" s="122"/>
      <c r="BC2154" s="141"/>
    </row>
    <row r="2155">
      <c r="BB2155" s="122"/>
      <c r="BC2155" s="141"/>
    </row>
    <row r="2156">
      <c r="BB2156" s="122"/>
      <c r="BC2156" s="141"/>
    </row>
    <row r="2157">
      <c r="BB2157" s="122"/>
      <c r="BC2157" s="141"/>
    </row>
    <row r="2158">
      <c r="BB2158" s="122"/>
      <c r="BC2158" s="141"/>
    </row>
    <row r="2159">
      <c r="BB2159" s="122"/>
      <c r="BC2159" s="141"/>
    </row>
    <row r="2160">
      <c r="BB2160" s="122"/>
      <c r="BC2160" s="141"/>
    </row>
    <row r="2161">
      <c r="BB2161" s="122"/>
      <c r="BC2161" s="141"/>
    </row>
    <row r="2162">
      <c r="BB2162" s="122"/>
      <c r="BC2162" s="141"/>
    </row>
    <row r="2163">
      <c r="BB2163" s="122"/>
      <c r="BC2163" s="141"/>
    </row>
    <row r="2164">
      <c r="BB2164" s="122"/>
      <c r="BC2164" s="141"/>
    </row>
    <row r="2165">
      <c r="BB2165" s="122"/>
      <c r="BC2165" s="141"/>
    </row>
    <row r="2166">
      <c r="BB2166" s="122"/>
      <c r="BC2166" s="141"/>
    </row>
    <row r="2167">
      <c r="BB2167" s="122"/>
      <c r="BC2167" s="141"/>
    </row>
    <row r="2168">
      <c r="BB2168" s="122"/>
      <c r="BC2168" s="141"/>
    </row>
    <row r="2169">
      <c r="BB2169" s="122"/>
      <c r="BC2169" s="141"/>
    </row>
    <row r="2170">
      <c r="BB2170" s="122"/>
      <c r="BC2170" s="141"/>
    </row>
    <row r="2171">
      <c r="BB2171" s="122"/>
      <c r="BC2171" s="141"/>
    </row>
    <row r="2172">
      <c r="BB2172" s="122"/>
      <c r="BC2172" s="141"/>
    </row>
    <row r="2173">
      <c r="BB2173" s="122"/>
      <c r="BC2173" s="141"/>
    </row>
    <row r="2174">
      <c r="BB2174" s="122"/>
      <c r="BC2174" s="141"/>
    </row>
    <row r="2175">
      <c r="BB2175" s="122"/>
      <c r="BC2175" s="141"/>
    </row>
    <row r="2176">
      <c r="BB2176" s="122"/>
      <c r="BC2176" s="141"/>
    </row>
    <row r="2177">
      <c r="BB2177" s="122"/>
      <c r="BC2177" s="141"/>
    </row>
    <row r="2178">
      <c r="BB2178" s="122"/>
      <c r="BC2178" s="141"/>
    </row>
    <row r="2179">
      <c r="BB2179" s="122"/>
      <c r="BC2179" s="141"/>
    </row>
    <row r="2180">
      <c r="BB2180" s="122"/>
      <c r="BC2180" s="141"/>
    </row>
    <row r="2181">
      <c r="BB2181" s="122"/>
      <c r="BC2181" s="141"/>
    </row>
    <row r="2182">
      <c r="BB2182" s="122"/>
      <c r="BC2182" s="141"/>
    </row>
    <row r="2183">
      <c r="BB2183" s="122"/>
      <c r="BC2183" s="141"/>
    </row>
    <row r="2184">
      <c r="BB2184" s="122"/>
      <c r="BC2184" s="141"/>
    </row>
    <row r="2185">
      <c r="BB2185" s="122"/>
      <c r="BC2185" s="141"/>
    </row>
    <row r="2186">
      <c r="BB2186" s="122"/>
      <c r="BC2186" s="141"/>
    </row>
    <row r="2187">
      <c r="BB2187" s="122"/>
      <c r="BC2187" s="141"/>
    </row>
    <row r="2188">
      <c r="BB2188" s="122"/>
      <c r="BC2188" s="141"/>
    </row>
    <row r="2189">
      <c r="BB2189" s="122"/>
      <c r="BC2189" s="141"/>
    </row>
    <row r="2190">
      <c r="BB2190" s="122"/>
      <c r="BC2190" s="141"/>
    </row>
    <row r="2191">
      <c r="BB2191" s="122"/>
      <c r="BC2191" s="141"/>
    </row>
    <row r="2192">
      <c r="BB2192" s="122"/>
      <c r="BC2192" s="141"/>
    </row>
    <row r="2193">
      <c r="BB2193" s="122"/>
      <c r="BC2193" s="141"/>
    </row>
    <row r="2194">
      <c r="BB2194" s="122"/>
      <c r="BC2194" s="141"/>
    </row>
    <row r="2195">
      <c r="BB2195" s="122"/>
      <c r="BC2195" s="141"/>
    </row>
    <row r="2196">
      <c r="BB2196" s="122"/>
      <c r="BC2196" s="141"/>
    </row>
    <row r="2197">
      <c r="BB2197" s="122"/>
      <c r="BC2197" s="141"/>
    </row>
    <row r="2198">
      <c r="BB2198" s="122"/>
      <c r="BC2198" s="141"/>
    </row>
    <row r="2199">
      <c r="BB2199" s="122"/>
      <c r="BC2199" s="141"/>
    </row>
    <row r="2200">
      <c r="BB2200" s="122"/>
      <c r="BC2200" s="141"/>
    </row>
    <row r="2201">
      <c r="BB2201" s="122"/>
      <c r="BC2201" s="141"/>
    </row>
    <row r="2202">
      <c r="BB2202" s="122"/>
      <c r="BC2202" s="141"/>
    </row>
    <row r="2203">
      <c r="BB2203" s="122"/>
      <c r="BC2203" s="141"/>
    </row>
    <row r="2204">
      <c r="BB2204" s="122"/>
      <c r="BC2204" s="141"/>
    </row>
    <row r="2205">
      <c r="BB2205" s="122"/>
      <c r="BC2205" s="141"/>
    </row>
    <row r="2206">
      <c r="BB2206" s="122"/>
      <c r="BC2206" s="141"/>
    </row>
    <row r="2207">
      <c r="BB2207" s="122"/>
      <c r="BC2207" s="141"/>
    </row>
    <row r="2208">
      <c r="BB2208" s="122"/>
      <c r="BC2208" s="141"/>
    </row>
    <row r="2209">
      <c r="BB2209" s="122"/>
      <c r="BC2209" s="141"/>
    </row>
    <row r="2210">
      <c r="BB2210" s="122"/>
      <c r="BC2210" s="141"/>
    </row>
    <row r="2211">
      <c r="BB2211" s="122"/>
      <c r="BC2211" s="141"/>
    </row>
    <row r="2212">
      <c r="BB2212" s="122"/>
      <c r="BC2212" s="141"/>
    </row>
    <row r="2213">
      <c r="BB2213" s="122"/>
      <c r="BC2213" s="141"/>
    </row>
    <row r="2214">
      <c r="BB2214" s="122"/>
      <c r="BC2214" s="141"/>
    </row>
    <row r="2215">
      <c r="BB2215" s="122"/>
      <c r="BC2215" s="141"/>
    </row>
    <row r="2216">
      <c r="BB2216" s="122"/>
      <c r="BC2216" s="141"/>
    </row>
    <row r="2217">
      <c r="BB2217" s="122"/>
      <c r="BC2217" s="141"/>
    </row>
    <row r="2218">
      <c r="BB2218" s="122"/>
      <c r="BC2218" s="141"/>
    </row>
    <row r="2219">
      <c r="BB2219" s="122"/>
      <c r="BC2219" s="141"/>
    </row>
    <row r="2220">
      <c r="BB2220" s="122"/>
      <c r="BC2220" s="141"/>
    </row>
    <row r="2221">
      <c r="BB2221" s="122"/>
      <c r="BC2221" s="141"/>
    </row>
    <row r="2222">
      <c r="BB2222" s="122"/>
      <c r="BC2222" s="141"/>
    </row>
    <row r="2223">
      <c r="BB2223" s="122"/>
      <c r="BC2223" s="141"/>
    </row>
    <row r="2224">
      <c r="BB2224" s="122"/>
      <c r="BC2224" s="141"/>
    </row>
    <row r="2225">
      <c r="BB2225" s="122"/>
      <c r="BC2225" s="141"/>
    </row>
    <row r="2226">
      <c r="BB2226" s="122"/>
      <c r="BC2226" s="141"/>
    </row>
    <row r="2227">
      <c r="BB2227" s="122"/>
      <c r="BC2227" s="141"/>
    </row>
    <row r="2228">
      <c r="BB2228" s="122"/>
      <c r="BC2228" s="141"/>
    </row>
    <row r="2229">
      <c r="BB2229" s="122"/>
      <c r="BC2229" s="141"/>
    </row>
    <row r="2230">
      <c r="BB2230" s="122"/>
      <c r="BC2230" s="141"/>
    </row>
    <row r="2231">
      <c r="BB2231" s="122"/>
      <c r="BC2231" s="141"/>
    </row>
    <row r="2232">
      <c r="BB2232" s="122"/>
      <c r="BC2232" s="141"/>
    </row>
    <row r="2233">
      <c r="BB2233" s="122"/>
      <c r="BC2233" s="141"/>
    </row>
    <row r="2234">
      <c r="BB2234" s="122"/>
      <c r="BC2234" s="141"/>
    </row>
    <row r="2235">
      <c r="BB2235" s="122"/>
      <c r="BC2235" s="141"/>
    </row>
    <row r="2236">
      <c r="BB2236" s="122"/>
      <c r="BC2236" s="141"/>
    </row>
    <row r="2237">
      <c r="BB2237" s="122"/>
      <c r="BC2237" s="141"/>
    </row>
    <row r="2238">
      <c r="BB2238" s="122"/>
      <c r="BC2238" s="141"/>
    </row>
    <row r="2239">
      <c r="BB2239" s="122"/>
      <c r="BC2239" s="141"/>
    </row>
    <row r="2240">
      <c r="BB2240" s="122"/>
      <c r="BC2240" s="141"/>
    </row>
    <row r="2241">
      <c r="BB2241" s="122"/>
      <c r="BC2241" s="141"/>
    </row>
    <row r="2242">
      <c r="BB2242" s="122"/>
      <c r="BC2242" s="141"/>
    </row>
    <row r="2243">
      <c r="BB2243" s="122"/>
      <c r="BC2243" s="141"/>
    </row>
    <row r="2244">
      <c r="BB2244" s="122"/>
      <c r="BC2244" s="141"/>
    </row>
    <row r="2245">
      <c r="BB2245" s="122"/>
      <c r="BC2245" s="141"/>
    </row>
    <row r="2246">
      <c r="BB2246" s="122"/>
      <c r="BC2246" s="141"/>
    </row>
    <row r="2247">
      <c r="BB2247" s="122"/>
      <c r="BC2247" s="141"/>
    </row>
    <row r="2248">
      <c r="BB2248" s="122"/>
      <c r="BC2248" s="141"/>
    </row>
    <row r="2249">
      <c r="BB2249" s="122"/>
      <c r="BC2249" s="141"/>
    </row>
    <row r="2250">
      <c r="BB2250" s="122"/>
      <c r="BC2250" s="141"/>
    </row>
    <row r="2251">
      <c r="BB2251" s="122"/>
      <c r="BC2251" s="141"/>
    </row>
    <row r="2252">
      <c r="BB2252" s="122"/>
      <c r="BC2252" s="141"/>
    </row>
    <row r="2253">
      <c r="BB2253" s="122"/>
      <c r="BC2253" s="141"/>
    </row>
    <row r="2254">
      <c r="BB2254" s="122"/>
      <c r="BC2254" s="141"/>
    </row>
    <row r="2255">
      <c r="BB2255" s="122"/>
      <c r="BC2255" s="141"/>
    </row>
    <row r="2256">
      <c r="BB2256" s="122"/>
      <c r="BC2256" s="141"/>
    </row>
    <row r="2257">
      <c r="BB2257" s="122"/>
      <c r="BC2257" s="141"/>
    </row>
    <row r="2258">
      <c r="BB2258" s="122"/>
      <c r="BC2258" s="141"/>
    </row>
    <row r="2259">
      <c r="BB2259" s="122"/>
      <c r="BC2259" s="141"/>
    </row>
    <row r="2260">
      <c r="BB2260" s="122"/>
      <c r="BC2260" s="141"/>
    </row>
    <row r="2261">
      <c r="BB2261" s="122"/>
      <c r="BC2261" s="141"/>
    </row>
    <row r="2262">
      <c r="BB2262" s="122"/>
      <c r="BC2262" s="141"/>
    </row>
    <row r="2263">
      <c r="BB2263" s="122"/>
      <c r="BC2263" s="141"/>
    </row>
    <row r="2264">
      <c r="BB2264" s="122"/>
      <c r="BC2264" s="141"/>
    </row>
    <row r="2265">
      <c r="BB2265" s="122"/>
      <c r="BC2265" s="141"/>
    </row>
    <row r="2266">
      <c r="BB2266" s="122"/>
      <c r="BC2266" s="141"/>
    </row>
    <row r="2267">
      <c r="BB2267" s="122"/>
      <c r="BC2267" s="141"/>
    </row>
    <row r="2268">
      <c r="BB2268" s="122"/>
      <c r="BC2268" s="141"/>
    </row>
    <row r="2269">
      <c r="BB2269" s="122"/>
      <c r="BC2269" s="141"/>
    </row>
    <row r="2270">
      <c r="BB2270" s="122"/>
      <c r="BC2270" s="141"/>
    </row>
    <row r="2271">
      <c r="BB2271" s="122"/>
      <c r="BC2271" s="141"/>
    </row>
    <row r="2272">
      <c r="BB2272" s="122"/>
      <c r="BC2272" s="141"/>
    </row>
    <row r="2273">
      <c r="BB2273" s="122"/>
      <c r="BC2273" s="141"/>
    </row>
    <row r="2274">
      <c r="BB2274" s="122"/>
      <c r="BC2274" s="141"/>
    </row>
    <row r="2275">
      <c r="BB2275" s="122"/>
      <c r="BC2275" s="141"/>
    </row>
    <row r="2276">
      <c r="BB2276" s="122"/>
      <c r="BC2276" s="141"/>
    </row>
    <row r="2277">
      <c r="BB2277" s="122"/>
      <c r="BC2277" s="141"/>
    </row>
    <row r="2278">
      <c r="BB2278" s="122"/>
      <c r="BC2278" s="141"/>
    </row>
    <row r="2279">
      <c r="BB2279" s="122"/>
      <c r="BC2279" s="141"/>
    </row>
    <row r="2280">
      <c r="BB2280" s="122"/>
      <c r="BC2280" s="141"/>
    </row>
    <row r="2281">
      <c r="BB2281" s="122"/>
      <c r="BC2281" s="141"/>
    </row>
    <row r="2282">
      <c r="BB2282" s="122"/>
      <c r="BC2282" s="141"/>
    </row>
    <row r="2283">
      <c r="BB2283" s="122"/>
      <c r="BC2283" s="141"/>
    </row>
    <row r="2284">
      <c r="BB2284" s="122"/>
      <c r="BC2284" s="141"/>
    </row>
    <row r="2285">
      <c r="BB2285" s="122"/>
      <c r="BC2285" s="141"/>
    </row>
    <row r="2286">
      <c r="BB2286" s="122"/>
      <c r="BC2286" s="141"/>
    </row>
    <row r="2287">
      <c r="BB2287" s="122"/>
      <c r="BC2287" s="141"/>
    </row>
    <row r="2288">
      <c r="BB2288" s="122"/>
      <c r="BC2288" s="141"/>
    </row>
    <row r="2289">
      <c r="BB2289" s="122"/>
      <c r="BC2289" s="141"/>
    </row>
    <row r="2290">
      <c r="BB2290" s="122"/>
      <c r="BC2290" s="141"/>
    </row>
    <row r="2291">
      <c r="BB2291" s="122"/>
      <c r="BC2291" s="141"/>
    </row>
    <row r="2292">
      <c r="BB2292" s="122"/>
      <c r="BC2292" s="141"/>
    </row>
    <row r="2293">
      <c r="BB2293" s="122"/>
      <c r="BC2293" s="141"/>
    </row>
    <row r="2294">
      <c r="BB2294" s="122"/>
      <c r="BC2294" s="141"/>
    </row>
    <row r="2295">
      <c r="BB2295" s="122"/>
      <c r="BC2295" s="141"/>
    </row>
    <row r="2296">
      <c r="BB2296" s="122"/>
      <c r="BC2296" s="141"/>
    </row>
    <row r="2297">
      <c r="BB2297" s="122"/>
      <c r="BC2297" s="141"/>
    </row>
    <row r="2298">
      <c r="BB2298" s="122"/>
      <c r="BC2298" s="141"/>
    </row>
    <row r="2299">
      <c r="BB2299" s="122"/>
      <c r="BC2299" s="141"/>
    </row>
    <row r="2300">
      <c r="BB2300" s="122"/>
      <c r="BC2300" s="141"/>
    </row>
    <row r="2301">
      <c r="BB2301" s="122"/>
      <c r="BC2301" s="141"/>
    </row>
    <row r="2302">
      <c r="BB2302" s="122"/>
      <c r="BC2302" s="141"/>
    </row>
    <row r="2303">
      <c r="BB2303" s="122"/>
      <c r="BC2303" s="141"/>
    </row>
    <row r="2304">
      <c r="BB2304" s="122"/>
      <c r="BC2304" s="141"/>
    </row>
    <row r="2305">
      <c r="BB2305" s="122"/>
      <c r="BC2305" s="141"/>
    </row>
    <row r="2306">
      <c r="BB2306" s="122"/>
      <c r="BC2306" s="141"/>
    </row>
    <row r="2307">
      <c r="BB2307" s="122"/>
      <c r="BC2307" s="141"/>
    </row>
    <row r="2308">
      <c r="BB2308" s="122"/>
      <c r="BC2308" s="141"/>
    </row>
    <row r="2309">
      <c r="BB2309" s="122"/>
      <c r="BC2309" s="141"/>
    </row>
    <row r="2310">
      <c r="BB2310" s="122"/>
      <c r="BC2310" s="141"/>
    </row>
    <row r="2311">
      <c r="BB2311" s="122"/>
      <c r="BC2311" s="141"/>
    </row>
    <row r="2312">
      <c r="BB2312" s="122"/>
      <c r="BC2312" s="141"/>
    </row>
    <row r="2313">
      <c r="BB2313" s="122"/>
      <c r="BC2313" s="141"/>
    </row>
    <row r="2314">
      <c r="BB2314" s="122"/>
      <c r="BC2314" s="141"/>
    </row>
    <row r="2315">
      <c r="BB2315" s="122"/>
      <c r="BC2315" s="141"/>
    </row>
    <row r="2316">
      <c r="BB2316" s="122"/>
      <c r="BC2316" s="141"/>
    </row>
    <row r="2317">
      <c r="BB2317" s="122"/>
      <c r="BC2317" s="141"/>
    </row>
    <row r="2318">
      <c r="BB2318" s="122"/>
      <c r="BC2318" s="141"/>
    </row>
    <row r="2319">
      <c r="BB2319" s="122"/>
      <c r="BC2319" s="141"/>
    </row>
    <row r="2320">
      <c r="BB2320" s="122"/>
      <c r="BC2320" s="141"/>
    </row>
    <row r="2321">
      <c r="BB2321" s="122"/>
      <c r="BC2321" s="141"/>
    </row>
    <row r="2322">
      <c r="BB2322" s="122"/>
      <c r="BC2322" s="141"/>
    </row>
    <row r="2323">
      <c r="BB2323" s="122"/>
      <c r="BC2323" s="141"/>
    </row>
    <row r="2324">
      <c r="BB2324" s="122"/>
      <c r="BC2324" s="141"/>
    </row>
    <row r="2325">
      <c r="BB2325" s="122"/>
      <c r="BC2325" s="141"/>
    </row>
    <row r="2326">
      <c r="BB2326" s="122"/>
      <c r="BC2326" s="141"/>
    </row>
    <row r="2327">
      <c r="BB2327" s="122"/>
      <c r="BC2327" s="141"/>
    </row>
    <row r="2328">
      <c r="BB2328" s="122"/>
      <c r="BC2328" s="141"/>
    </row>
    <row r="2329">
      <c r="BB2329" s="122"/>
      <c r="BC2329" s="141"/>
    </row>
    <row r="2330">
      <c r="BB2330" s="122"/>
      <c r="BC2330" s="141"/>
    </row>
    <row r="2331">
      <c r="BB2331" s="122"/>
      <c r="BC2331" s="141"/>
    </row>
    <row r="2332">
      <c r="BB2332" s="122"/>
      <c r="BC2332" s="141"/>
    </row>
    <row r="2333">
      <c r="BB2333" s="122"/>
      <c r="BC2333" s="141"/>
    </row>
    <row r="2334">
      <c r="BB2334" s="122"/>
      <c r="BC2334" s="141"/>
    </row>
    <row r="2335">
      <c r="BB2335" s="122"/>
      <c r="BC2335" s="141"/>
    </row>
    <row r="2336">
      <c r="BB2336" s="122"/>
      <c r="BC2336" s="141"/>
    </row>
    <row r="2337">
      <c r="BB2337" s="122"/>
      <c r="BC2337" s="141"/>
    </row>
    <row r="2338">
      <c r="BB2338" s="122"/>
      <c r="BC2338" s="141"/>
    </row>
    <row r="2339">
      <c r="BB2339" s="122"/>
      <c r="BC2339" s="141"/>
    </row>
    <row r="2340">
      <c r="BB2340" s="122"/>
      <c r="BC2340" s="141"/>
    </row>
    <row r="2341">
      <c r="BB2341" s="122"/>
      <c r="BC2341" s="141"/>
    </row>
    <row r="2342">
      <c r="BB2342" s="122"/>
      <c r="BC2342" s="141"/>
    </row>
    <row r="2343">
      <c r="BB2343" s="122"/>
      <c r="BC2343" s="141"/>
    </row>
    <row r="2344">
      <c r="BB2344" s="122"/>
      <c r="BC2344" s="141"/>
    </row>
    <row r="2345">
      <c r="BB2345" s="122"/>
      <c r="BC2345" s="141"/>
    </row>
    <row r="2346">
      <c r="BB2346" s="122"/>
      <c r="BC2346" s="141"/>
    </row>
    <row r="2347">
      <c r="BB2347" s="122"/>
      <c r="BC2347" s="141"/>
    </row>
    <row r="2348">
      <c r="BB2348" s="122"/>
      <c r="BC2348" s="141"/>
    </row>
    <row r="2349">
      <c r="BB2349" s="122"/>
      <c r="BC2349" s="141"/>
    </row>
    <row r="2350">
      <c r="BB2350" s="122"/>
      <c r="BC2350" s="141"/>
    </row>
    <row r="2351">
      <c r="BB2351" s="122"/>
      <c r="BC2351" s="141"/>
    </row>
    <row r="2352">
      <c r="BB2352" s="122"/>
      <c r="BC2352" s="141"/>
    </row>
    <row r="2353">
      <c r="BB2353" s="122"/>
      <c r="BC2353" s="141"/>
    </row>
    <row r="2354">
      <c r="BB2354" s="122"/>
      <c r="BC2354" s="141"/>
    </row>
    <row r="2355">
      <c r="BB2355" s="122"/>
      <c r="BC2355" s="141"/>
    </row>
    <row r="2356">
      <c r="BB2356" s="122"/>
      <c r="BC2356" s="141"/>
    </row>
    <row r="2357">
      <c r="BB2357" s="122"/>
      <c r="BC2357" s="141"/>
    </row>
    <row r="2358">
      <c r="BB2358" s="122"/>
      <c r="BC2358" s="141"/>
    </row>
    <row r="2359">
      <c r="BB2359" s="122"/>
      <c r="BC2359" s="141"/>
    </row>
    <row r="2360">
      <c r="BB2360" s="122"/>
      <c r="BC2360" s="141"/>
    </row>
    <row r="2361">
      <c r="BB2361" s="122"/>
      <c r="BC2361" s="141"/>
    </row>
    <row r="2362">
      <c r="BB2362" s="122"/>
      <c r="BC2362" s="141"/>
    </row>
    <row r="2363">
      <c r="BB2363" s="122"/>
      <c r="BC2363" s="141"/>
    </row>
    <row r="2364">
      <c r="BB2364" s="122"/>
      <c r="BC2364" s="141"/>
    </row>
    <row r="2365">
      <c r="BB2365" s="122"/>
      <c r="BC2365" s="141"/>
    </row>
    <row r="2366">
      <c r="BB2366" s="122"/>
      <c r="BC2366" s="141"/>
    </row>
    <row r="2367">
      <c r="BB2367" s="122"/>
      <c r="BC2367" s="141"/>
    </row>
    <row r="2368">
      <c r="BB2368" s="122"/>
      <c r="BC2368" s="141"/>
    </row>
    <row r="2369">
      <c r="BB2369" s="122"/>
      <c r="BC2369" s="141"/>
    </row>
    <row r="2370">
      <c r="BB2370" s="122"/>
      <c r="BC2370" s="141"/>
    </row>
    <row r="2371">
      <c r="BB2371" s="122"/>
      <c r="BC2371" s="141"/>
    </row>
    <row r="2372">
      <c r="BB2372" s="122"/>
      <c r="BC2372" s="141"/>
    </row>
    <row r="2373">
      <c r="BB2373" s="122"/>
      <c r="BC2373" s="141"/>
    </row>
    <row r="2374">
      <c r="BB2374" s="122"/>
      <c r="BC2374" s="141"/>
    </row>
    <row r="2375">
      <c r="BB2375" s="122"/>
      <c r="BC2375" s="141"/>
    </row>
    <row r="2376">
      <c r="BB2376" s="122"/>
      <c r="BC2376" s="141"/>
    </row>
    <row r="2377">
      <c r="BB2377" s="122"/>
      <c r="BC2377" s="141"/>
    </row>
    <row r="2378">
      <c r="BB2378" s="122"/>
      <c r="BC2378" s="141"/>
    </row>
    <row r="2379">
      <c r="BB2379" s="122"/>
      <c r="BC2379" s="141"/>
    </row>
    <row r="2380">
      <c r="BB2380" s="122"/>
      <c r="BC2380" s="141"/>
    </row>
    <row r="2381">
      <c r="BB2381" s="122"/>
      <c r="BC2381" s="141"/>
    </row>
    <row r="2382">
      <c r="BB2382" s="122"/>
      <c r="BC2382" s="141"/>
    </row>
    <row r="2383">
      <c r="BB2383" s="122"/>
      <c r="BC2383" s="141"/>
    </row>
    <row r="2384">
      <c r="BB2384" s="122"/>
      <c r="BC2384" s="141"/>
    </row>
    <row r="2385">
      <c r="BB2385" s="122"/>
      <c r="BC2385" s="141"/>
    </row>
    <row r="2386">
      <c r="BB2386" s="122"/>
      <c r="BC2386" s="141"/>
    </row>
    <row r="2387">
      <c r="BB2387" s="122"/>
      <c r="BC2387" s="141"/>
    </row>
    <row r="2388">
      <c r="BB2388" s="122"/>
      <c r="BC2388" s="141"/>
    </row>
    <row r="2389">
      <c r="BB2389" s="122"/>
      <c r="BC2389" s="141"/>
    </row>
    <row r="2390">
      <c r="BB2390" s="122"/>
      <c r="BC2390" s="141"/>
    </row>
    <row r="2391">
      <c r="BB2391" s="122"/>
      <c r="BC2391" s="141"/>
    </row>
    <row r="2392">
      <c r="BB2392" s="122"/>
      <c r="BC2392" s="141"/>
    </row>
    <row r="2393">
      <c r="BB2393" s="122"/>
      <c r="BC2393" s="141"/>
    </row>
    <row r="2394">
      <c r="BB2394" s="122"/>
      <c r="BC2394" s="141"/>
    </row>
    <row r="2395">
      <c r="BB2395" s="122"/>
      <c r="BC2395" s="141"/>
    </row>
    <row r="2396">
      <c r="BB2396" s="122"/>
      <c r="BC2396" s="141"/>
    </row>
    <row r="2397">
      <c r="BB2397" s="122"/>
      <c r="BC2397" s="141"/>
    </row>
    <row r="2398">
      <c r="BB2398" s="122"/>
      <c r="BC2398" s="141"/>
    </row>
    <row r="2399">
      <c r="BB2399" s="122"/>
      <c r="BC2399" s="141"/>
    </row>
    <row r="2400">
      <c r="BB2400" s="122"/>
      <c r="BC2400" s="141"/>
    </row>
    <row r="2401">
      <c r="BB2401" s="122"/>
      <c r="BC2401" s="141"/>
    </row>
    <row r="2402">
      <c r="BB2402" s="122"/>
      <c r="BC2402" s="141"/>
    </row>
    <row r="2403">
      <c r="BB2403" s="122"/>
      <c r="BC2403" s="141"/>
    </row>
    <row r="2404">
      <c r="BB2404" s="122"/>
      <c r="BC2404" s="141"/>
    </row>
    <row r="2405">
      <c r="BB2405" s="122"/>
      <c r="BC2405" s="141"/>
    </row>
    <row r="2406">
      <c r="BB2406" s="122"/>
      <c r="BC2406" s="141"/>
    </row>
    <row r="2407">
      <c r="BB2407" s="122"/>
      <c r="BC2407" s="141"/>
    </row>
    <row r="2408">
      <c r="BB2408" s="122"/>
      <c r="BC2408" s="141"/>
    </row>
    <row r="2409">
      <c r="BB2409" s="122"/>
      <c r="BC2409" s="141"/>
    </row>
    <row r="2410">
      <c r="BB2410" s="122"/>
      <c r="BC2410" s="141"/>
    </row>
    <row r="2411">
      <c r="BB2411" s="122"/>
      <c r="BC2411" s="141"/>
    </row>
    <row r="2412">
      <c r="BB2412" s="122"/>
      <c r="BC2412" s="141"/>
    </row>
    <row r="2413">
      <c r="BB2413" s="122"/>
      <c r="BC2413" s="141"/>
    </row>
    <row r="2414">
      <c r="BB2414" s="122"/>
      <c r="BC2414" s="141"/>
    </row>
    <row r="2415">
      <c r="BB2415" s="122"/>
      <c r="BC2415" s="141"/>
    </row>
    <row r="2416">
      <c r="BB2416" s="122"/>
      <c r="BC2416" s="141"/>
    </row>
    <row r="2417">
      <c r="BB2417" s="122"/>
      <c r="BC2417" s="141"/>
    </row>
    <row r="2418">
      <c r="BB2418" s="122"/>
      <c r="BC2418" s="141"/>
    </row>
    <row r="2419">
      <c r="BB2419" s="122"/>
      <c r="BC2419" s="141"/>
    </row>
    <row r="2420">
      <c r="BB2420" s="122"/>
      <c r="BC2420" s="141"/>
    </row>
    <row r="2421">
      <c r="BB2421" s="122"/>
      <c r="BC2421" s="141"/>
    </row>
    <row r="2422">
      <c r="BB2422" s="122"/>
      <c r="BC2422" s="141"/>
    </row>
    <row r="2423">
      <c r="BB2423" s="122"/>
      <c r="BC2423" s="141"/>
    </row>
    <row r="2424">
      <c r="BB2424" s="122"/>
      <c r="BC2424" s="141"/>
    </row>
    <row r="2425">
      <c r="BB2425" s="122"/>
      <c r="BC2425" s="141"/>
    </row>
    <row r="2426">
      <c r="BB2426" s="122"/>
      <c r="BC2426" s="141"/>
    </row>
    <row r="2427">
      <c r="BB2427" s="122"/>
      <c r="BC2427" s="141"/>
    </row>
    <row r="2428">
      <c r="BB2428" s="122"/>
      <c r="BC2428" s="141"/>
    </row>
    <row r="2429">
      <c r="BB2429" s="122"/>
      <c r="BC2429" s="141"/>
    </row>
    <row r="2430">
      <c r="BB2430" s="122"/>
      <c r="BC2430" s="141"/>
    </row>
    <row r="2431">
      <c r="BB2431" s="122"/>
      <c r="BC2431" s="141"/>
    </row>
    <row r="2432">
      <c r="BB2432" s="122"/>
      <c r="BC2432" s="141"/>
    </row>
    <row r="2433">
      <c r="BB2433" s="122"/>
      <c r="BC2433" s="141"/>
    </row>
    <row r="2434">
      <c r="BB2434" s="122"/>
      <c r="BC2434" s="141"/>
    </row>
    <row r="2435">
      <c r="BB2435" s="122"/>
      <c r="BC2435" s="141"/>
    </row>
    <row r="2436">
      <c r="BB2436" s="122"/>
      <c r="BC2436" s="141"/>
    </row>
    <row r="2437">
      <c r="BB2437" s="122"/>
      <c r="BC2437" s="141"/>
    </row>
    <row r="2438">
      <c r="BB2438" s="122"/>
      <c r="BC2438" s="141"/>
    </row>
    <row r="2439">
      <c r="BB2439" s="122"/>
      <c r="BC2439" s="141"/>
    </row>
    <row r="2440">
      <c r="BB2440" s="122"/>
      <c r="BC2440" s="141"/>
    </row>
    <row r="2441">
      <c r="BB2441" s="122"/>
      <c r="BC2441" s="141"/>
    </row>
    <row r="2442">
      <c r="BB2442" s="122"/>
      <c r="BC2442" s="141"/>
    </row>
    <row r="2443">
      <c r="BB2443" s="122"/>
      <c r="BC2443" s="141"/>
    </row>
    <row r="2444">
      <c r="BB2444" s="122"/>
      <c r="BC2444" s="141"/>
    </row>
    <row r="2445">
      <c r="BB2445" s="122"/>
      <c r="BC2445" s="141"/>
    </row>
    <row r="2446">
      <c r="BB2446" s="122"/>
      <c r="BC2446" s="141"/>
    </row>
    <row r="2447">
      <c r="BB2447" s="122"/>
      <c r="BC2447" s="141"/>
    </row>
    <row r="2448">
      <c r="BB2448" s="122"/>
      <c r="BC2448" s="141"/>
    </row>
    <row r="2449">
      <c r="BB2449" s="122"/>
      <c r="BC2449" s="141"/>
    </row>
    <row r="2450">
      <c r="BB2450" s="122"/>
      <c r="BC2450" s="141"/>
    </row>
    <row r="2451">
      <c r="BB2451" s="122"/>
      <c r="BC2451" s="141"/>
    </row>
    <row r="2452">
      <c r="BB2452" s="122"/>
      <c r="BC2452" s="141"/>
    </row>
    <row r="2453">
      <c r="BB2453" s="122"/>
      <c r="BC2453" s="141"/>
    </row>
    <row r="2454">
      <c r="BB2454" s="122"/>
      <c r="BC2454" s="141"/>
    </row>
    <row r="2455">
      <c r="BB2455" s="122"/>
      <c r="BC2455" s="141"/>
    </row>
    <row r="2456">
      <c r="BB2456" s="122"/>
      <c r="BC2456" s="141"/>
    </row>
    <row r="2457">
      <c r="BB2457" s="122"/>
      <c r="BC2457" s="141"/>
    </row>
    <row r="2458">
      <c r="BB2458" s="122"/>
      <c r="BC2458" s="141"/>
    </row>
    <row r="2459">
      <c r="BB2459" s="122"/>
      <c r="BC2459" s="141"/>
    </row>
    <row r="2460">
      <c r="BB2460" s="122"/>
      <c r="BC2460" s="141"/>
    </row>
    <row r="2461">
      <c r="BB2461" s="122"/>
      <c r="BC2461" s="141"/>
    </row>
    <row r="2462">
      <c r="BB2462" s="122"/>
      <c r="BC2462" s="141"/>
    </row>
    <row r="2463">
      <c r="BB2463" s="122"/>
      <c r="BC2463" s="141"/>
    </row>
    <row r="2464">
      <c r="BB2464" s="122"/>
      <c r="BC2464" s="141"/>
    </row>
    <row r="2465">
      <c r="BB2465" s="122"/>
      <c r="BC2465" s="141"/>
    </row>
    <row r="2466">
      <c r="BB2466" s="122"/>
      <c r="BC2466" s="141"/>
    </row>
    <row r="2467">
      <c r="BB2467" s="122"/>
      <c r="BC2467" s="141"/>
    </row>
    <row r="2468">
      <c r="BB2468" s="122"/>
      <c r="BC2468" s="141"/>
    </row>
    <row r="2469">
      <c r="BB2469" s="122"/>
      <c r="BC2469" s="141"/>
    </row>
    <row r="2470">
      <c r="BB2470" s="122"/>
      <c r="BC2470" s="141"/>
    </row>
    <row r="2471">
      <c r="BB2471" s="122"/>
      <c r="BC2471" s="141"/>
    </row>
    <row r="2472">
      <c r="BB2472" s="122"/>
      <c r="BC2472" s="141"/>
    </row>
    <row r="2473">
      <c r="BB2473" s="122"/>
      <c r="BC2473" s="141"/>
    </row>
    <row r="2474">
      <c r="BB2474" s="122"/>
      <c r="BC2474" s="141"/>
    </row>
    <row r="2475">
      <c r="BB2475" s="122"/>
      <c r="BC2475" s="141"/>
    </row>
    <row r="2476">
      <c r="BB2476" s="122"/>
      <c r="BC2476" s="141"/>
    </row>
    <row r="2477">
      <c r="BB2477" s="122"/>
      <c r="BC2477" s="141"/>
    </row>
    <row r="2478">
      <c r="BB2478" s="122"/>
      <c r="BC2478" s="141"/>
    </row>
    <row r="2479">
      <c r="BB2479" s="122"/>
      <c r="BC2479" s="141"/>
    </row>
    <row r="2480">
      <c r="BB2480" s="122"/>
      <c r="BC2480" s="141"/>
    </row>
    <row r="2481">
      <c r="BB2481" s="122"/>
      <c r="BC2481" s="141"/>
    </row>
    <row r="2482">
      <c r="BB2482" s="122"/>
      <c r="BC2482" s="141"/>
    </row>
    <row r="2483">
      <c r="BB2483" s="122"/>
      <c r="BC2483" s="141"/>
    </row>
    <row r="2484">
      <c r="BB2484" s="122"/>
      <c r="BC2484" s="141"/>
    </row>
    <row r="2485">
      <c r="BB2485" s="122"/>
      <c r="BC2485" s="141"/>
    </row>
    <row r="2486">
      <c r="BB2486" s="122"/>
      <c r="BC2486" s="141"/>
    </row>
    <row r="2487">
      <c r="BB2487" s="122"/>
      <c r="BC2487" s="141"/>
    </row>
    <row r="2488">
      <c r="BB2488" s="122"/>
      <c r="BC2488" s="141"/>
    </row>
    <row r="2489">
      <c r="BB2489" s="122"/>
      <c r="BC2489" s="141"/>
    </row>
    <row r="2490">
      <c r="BB2490" s="122"/>
      <c r="BC2490" s="141"/>
    </row>
    <row r="2491">
      <c r="BB2491" s="122"/>
      <c r="BC2491" s="141"/>
    </row>
    <row r="2492">
      <c r="BB2492" s="122"/>
      <c r="BC2492" s="141"/>
    </row>
    <row r="2493">
      <c r="BB2493" s="122"/>
      <c r="BC2493" s="141"/>
    </row>
    <row r="2494">
      <c r="BB2494" s="122"/>
      <c r="BC2494" s="141"/>
    </row>
    <row r="2495">
      <c r="BB2495" s="122"/>
      <c r="BC2495" s="141"/>
    </row>
    <row r="2496">
      <c r="BB2496" s="122"/>
      <c r="BC2496" s="141"/>
    </row>
    <row r="2497">
      <c r="BB2497" s="122"/>
      <c r="BC2497" s="141"/>
    </row>
    <row r="2498">
      <c r="BB2498" s="122"/>
      <c r="BC2498" s="141"/>
    </row>
    <row r="2499">
      <c r="BB2499" s="122"/>
      <c r="BC2499" s="141"/>
    </row>
    <row r="2500">
      <c r="BB2500" s="122"/>
      <c r="BC2500" s="141"/>
    </row>
    <row r="2501">
      <c r="BB2501" s="122"/>
      <c r="BC2501" s="141"/>
    </row>
    <row r="2502">
      <c r="BB2502" s="122"/>
      <c r="BC2502" s="141"/>
    </row>
    <row r="2503">
      <c r="BB2503" s="122"/>
      <c r="BC2503" s="141"/>
    </row>
    <row r="2504">
      <c r="BB2504" s="122"/>
      <c r="BC2504" s="141"/>
    </row>
    <row r="2505">
      <c r="BB2505" s="122"/>
      <c r="BC2505" s="141"/>
    </row>
    <row r="2506">
      <c r="BB2506" s="122"/>
      <c r="BC2506" s="141"/>
    </row>
    <row r="2507">
      <c r="BB2507" s="122"/>
      <c r="BC2507" s="141"/>
    </row>
    <row r="2508">
      <c r="BB2508" s="122"/>
      <c r="BC2508" s="141"/>
    </row>
    <row r="2509">
      <c r="BB2509" s="122"/>
      <c r="BC2509" s="141"/>
    </row>
    <row r="2510">
      <c r="BB2510" s="122"/>
      <c r="BC2510" s="141"/>
    </row>
    <row r="2511">
      <c r="BB2511" s="122"/>
      <c r="BC2511" s="141"/>
    </row>
    <row r="2512">
      <c r="BB2512" s="122"/>
      <c r="BC2512" s="141"/>
    </row>
    <row r="2513">
      <c r="BB2513" s="122"/>
      <c r="BC2513" s="141"/>
    </row>
    <row r="2514">
      <c r="BB2514" s="122"/>
      <c r="BC2514" s="141"/>
    </row>
    <row r="2515">
      <c r="BB2515" s="122"/>
      <c r="BC2515" s="141"/>
    </row>
    <row r="2516">
      <c r="BB2516" s="122"/>
      <c r="BC2516" s="141"/>
    </row>
    <row r="2517">
      <c r="BB2517" s="122"/>
      <c r="BC2517" s="141"/>
    </row>
    <row r="2518">
      <c r="BB2518" s="122"/>
      <c r="BC2518" s="141"/>
    </row>
    <row r="2519">
      <c r="BB2519" s="122"/>
      <c r="BC2519" s="141"/>
    </row>
    <row r="2520">
      <c r="BB2520" s="122"/>
      <c r="BC2520" s="141"/>
    </row>
    <row r="2521">
      <c r="BB2521" s="122"/>
      <c r="BC2521" s="141"/>
    </row>
    <row r="2522">
      <c r="BB2522" s="122"/>
      <c r="BC2522" s="141"/>
    </row>
    <row r="2523">
      <c r="BB2523" s="122"/>
      <c r="BC2523" s="141"/>
    </row>
    <row r="2524">
      <c r="BB2524" s="122"/>
      <c r="BC2524" s="141"/>
    </row>
    <row r="2525">
      <c r="BB2525" s="122"/>
      <c r="BC2525" s="141"/>
    </row>
    <row r="2526">
      <c r="BB2526" s="122"/>
      <c r="BC2526" s="141"/>
    </row>
    <row r="2527">
      <c r="BB2527" s="122"/>
      <c r="BC2527" s="141"/>
    </row>
    <row r="2528">
      <c r="BB2528" s="122"/>
      <c r="BC2528" s="141"/>
    </row>
    <row r="2529">
      <c r="BB2529" s="122"/>
      <c r="BC2529" s="141"/>
    </row>
    <row r="2530">
      <c r="BB2530" s="122"/>
      <c r="BC2530" s="141"/>
    </row>
    <row r="2531">
      <c r="BB2531" s="122"/>
      <c r="BC2531" s="141"/>
    </row>
    <row r="2532">
      <c r="BB2532" s="122"/>
      <c r="BC2532" s="141"/>
    </row>
    <row r="2533">
      <c r="BB2533" s="122"/>
      <c r="BC2533" s="141"/>
    </row>
    <row r="2534">
      <c r="BB2534" s="122"/>
      <c r="BC2534" s="141"/>
    </row>
    <row r="2535">
      <c r="BB2535" s="122"/>
      <c r="BC2535" s="141"/>
    </row>
    <row r="2536">
      <c r="BB2536" s="122"/>
      <c r="BC2536" s="141"/>
    </row>
    <row r="2537">
      <c r="BB2537" s="122"/>
      <c r="BC2537" s="141"/>
    </row>
    <row r="2538">
      <c r="BB2538" s="122"/>
      <c r="BC2538" s="141"/>
    </row>
    <row r="2539">
      <c r="BB2539" s="122"/>
      <c r="BC2539" s="141"/>
    </row>
    <row r="2540">
      <c r="BB2540" s="122"/>
      <c r="BC2540" s="141"/>
    </row>
    <row r="2541">
      <c r="BB2541" s="122"/>
      <c r="BC2541" s="141"/>
    </row>
    <row r="2542">
      <c r="BB2542" s="122"/>
      <c r="BC2542" s="141"/>
    </row>
    <row r="2543">
      <c r="BB2543" s="122"/>
      <c r="BC2543" s="141"/>
    </row>
    <row r="2544">
      <c r="BB2544" s="122"/>
      <c r="BC2544" s="141"/>
    </row>
    <row r="2545">
      <c r="BB2545" s="122"/>
      <c r="BC2545" s="141"/>
    </row>
    <row r="2546">
      <c r="BB2546" s="122"/>
      <c r="BC2546" s="141"/>
    </row>
    <row r="2547">
      <c r="BB2547" s="122"/>
      <c r="BC2547" s="141"/>
    </row>
    <row r="2548">
      <c r="BB2548" s="122"/>
      <c r="BC2548" s="141"/>
    </row>
    <row r="2549">
      <c r="BB2549" s="122"/>
      <c r="BC2549" s="141"/>
    </row>
    <row r="2550">
      <c r="BB2550" s="122"/>
      <c r="BC2550" s="141"/>
    </row>
    <row r="2551">
      <c r="BB2551" s="122"/>
      <c r="BC2551" s="141"/>
    </row>
    <row r="2552">
      <c r="BB2552" s="122"/>
      <c r="BC2552" s="141"/>
    </row>
    <row r="2553">
      <c r="BB2553" s="122"/>
      <c r="BC2553" s="141"/>
    </row>
    <row r="2554">
      <c r="BB2554" s="122"/>
      <c r="BC2554" s="141"/>
    </row>
    <row r="2555">
      <c r="BB2555" s="122"/>
      <c r="BC2555" s="141"/>
    </row>
    <row r="2556">
      <c r="BB2556" s="122"/>
      <c r="BC2556" s="141"/>
    </row>
    <row r="2557">
      <c r="BB2557" s="122"/>
      <c r="BC2557" s="141"/>
    </row>
    <row r="2558">
      <c r="BB2558" s="122"/>
      <c r="BC2558" s="141"/>
    </row>
    <row r="2559">
      <c r="BB2559" s="122"/>
      <c r="BC2559" s="141"/>
    </row>
    <row r="2560">
      <c r="BB2560" s="122"/>
      <c r="BC2560" s="141"/>
    </row>
    <row r="2561">
      <c r="BB2561" s="122"/>
      <c r="BC2561" s="141"/>
    </row>
    <row r="2562">
      <c r="BB2562" s="122"/>
      <c r="BC2562" s="141"/>
    </row>
    <row r="2563">
      <c r="BB2563" s="122"/>
      <c r="BC2563" s="141"/>
    </row>
    <row r="2564">
      <c r="BB2564" s="122"/>
      <c r="BC2564" s="141"/>
    </row>
    <row r="2565">
      <c r="BB2565" s="122"/>
      <c r="BC2565" s="141"/>
    </row>
    <row r="2566">
      <c r="BB2566" s="122"/>
      <c r="BC2566" s="141"/>
    </row>
    <row r="2567">
      <c r="BB2567" s="122"/>
      <c r="BC2567" s="141"/>
    </row>
    <row r="2568">
      <c r="BB2568" s="122"/>
      <c r="BC2568" s="141"/>
    </row>
    <row r="2569">
      <c r="BB2569" s="122"/>
      <c r="BC2569" s="141"/>
    </row>
    <row r="2570">
      <c r="BB2570" s="122"/>
      <c r="BC2570" s="141"/>
    </row>
    <row r="2571">
      <c r="BB2571" s="122"/>
      <c r="BC2571" s="141"/>
    </row>
    <row r="2572">
      <c r="BB2572" s="122"/>
      <c r="BC2572" s="141"/>
    </row>
    <row r="2573">
      <c r="BB2573" s="122"/>
      <c r="BC2573" s="141"/>
    </row>
    <row r="2574">
      <c r="BB2574" s="122"/>
      <c r="BC2574" s="141"/>
    </row>
    <row r="2575">
      <c r="BB2575" s="122"/>
      <c r="BC2575" s="141"/>
    </row>
    <row r="2576">
      <c r="BB2576" s="122"/>
      <c r="BC2576" s="141"/>
    </row>
    <row r="2577">
      <c r="BB2577" s="122"/>
      <c r="BC2577" s="141"/>
    </row>
    <row r="2578">
      <c r="BB2578" s="122"/>
      <c r="BC2578" s="141"/>
    </row>
    <row r="2579">
      <c r="BB2579" s="122"/>
      <c r="BC2579" s="141"/>
    </row>
    <row r="2580">
      <c r="BB2580" s="122"/>
      <c r="BC2580" s="141"/>
    </row>
    <row r="2581">
      <c r="BB2581" s="122"/>
      <c r="BC2581" s="141"/>
    </row>
    <row r="2582">
      <c r="BB2582" s="122"/>
      <c r="BC2582" s="141"/>
    </row>
    <row r="2583">
      <c r="BB2583" s="122"/>
      <c r="BC2583" s="141"/>
    </row>
    <row r="2584">
      <c r="BB2584" s="122"/>
      <c r="BC2584" s="141"/>
    </row>
    <row r="2585">
      <c r="BB2585" s="122"/>
      <c r="BC2585" s="141"/>
    </row>
    <row r="2586">
      <c r="BB2586" s="122"/>
      <c r="BC2586" s="141"/>
    </row>
    <row r="2587">
      <c r="BB2587" s="122"/>
      <c r="BC2587" s="141"/>
    </row>
    <row r="2588">
      <c r="BB2588" s="122"/>
      <c r="BC2588" s="141"/>
    </row>
    <row r="2589">
      <c r="BB2589" s="122"/>
      <c r="BC2589" s="141"/>
    </row>
    <row r="2590">
      <c r="BB2590" s="122"/>
      <c r="BC2590" s="141"/>
    </row>
    <row r="2591">
      <c r="BB2591" s="122"/>
      <c r="BC2591" s="141"/>
    </row>
    <row r="2592">
      <c r="BB2592" s="122"/>
      <c r="BC2592" s="141"/>
    </row>
    <row r="2593">
      <c r="BB2593" s="122"/>
      <c r="BC2593" s="141"/>
    </row>
    <row r="2594">
      <c r="BB2594" s="122"/>
      <c r="BC2594" s="141"/>
    </row>
    <row r="2595">
      <c r="BB2595" s="122"/>
      <c r="BC2595" s="141"/>
    </row>
    <row r="2596">
      <c r="BB2596" s="122"/>
      <c r="BC2596" s="141"/>
    </row>
    <row r="2597">
      <c r="BB2597" s="122"/>
      <c r="BC2597" s="141"/>
    </row>
    <row r="2598">
      <c r="BB2598" s="122"/>
      <c r="BC2598" s="141"/>
    </row>
    <row r="2599">
      <c r="BB2599" s="122"/>
      <c r="BC2599" s="141"/>
    </row>
    <row r="2600">
      <c r="BB2600" s="122"/>
      <c r="BC2600" s="141"/>
    </row>
    <row r="2601">
      <c r="BB2601" s="122"/>
      <c r="BC2601" s="141"/>
    </row>
    <row r="2602">
      <c r="BB2602" s="122"/>
      <c r="BC2602" s="141"/>
    </row>
    <row r="2603">
      <c r="BB2603" s="122"/>
      <c r="BC2603" s="141"/>
    </row>
    <row r="2604">
      <c r="BB2604" s="122"/>
      <c r="BC2604" s="141"/>
    </row>
    <row r="2605">
      <c r="BB2605" s="122"/>
      <c r="BC2605" s="141"/>
    </row>
    <row r="2606">
      <c r="BB2606" s="122"/>
      <c r="BC2606" s="141"/>
    </row>
    <row r="2607">
      <c r="BB2607" s="122"/>
      <c r="BC2607" s="141"/>
    </row>
    <row r="2608">
      <c r="BB2608" s="122"/>
      <c r="BC2608" s="141"/>
    </row>
    <row r="2609">
      <c r="BB2609" s="122"/>
      <c r="BC2609" s="141"/>
    </row>
    <row r="2610">
      <c r="BB2610" s="122"/>
      <c r="BC2610" s="141"/>
    </row>
    <row r="2611">
      <c r="BB2611" s="122"/>
      <c r="BC2611" s="141"/>
    </row>
    <row r="2612">
      <c r="BB2612" s="122"/>
      <c r="BC2612" s="141"/>
    </row>
    <row r="2613">
      <c r="BB2613" s="122"/>
      <c r="BC2613" s="141"/>
    </row>
    <row r="2614">
      <c r="BB2614" s="122"/>
      <c r="BC2614" s="141"/>
    </row>
    <row r="2615">
      <c r="BB2615" s="122"/>
      <c r="BC2615" s="141"/>
    </row>
    <row r="2616">
      <c r="BB2616" s="122"/>
      <c r="BC2616" s="141"/>
    </row>
    <row r="2617">
      <c r="BB2617" s="122"/>
      <c r="BC2617" s="141"/>
    </row>
    <row r="2618">
      <c r="BB2618" s="122"/>
      <c r="BC2618" s="141"/>
    </row>
    <row r="2619">
      <c r="BB2619" s="122"/>
      <c r="BC2619" s="141"/>
    </row>
    <row r="2620">
      <c r="BB2620" s="122"/>
      <c r="BC2620" s="141"/>
    </row>
    <row r="2621">
      <c r="BB2621" s="122"/>
      <c r="BC2621" s="141"/>
    </row>
    <row r="2622">
      <c r="BB2622" s="122"/>
      <c r="BC2622" s="141"/>
    </row>
    <row r="2623">
      <c r="BB2623" s="122"/>
      <c r="BC2623" s="141"/>
    </row>
    <row r="2624">
      <c r="BB2624" s="122"/>
      <c r="BC2624" s="141"/>
    </row>
    <row r="2625">
      <c r="BB2625" s="122"/>
      <c r="BC2625" s="141"/>
    </row>
    <row r="2626">
      <c r="BB2626" s="122"/>
      <c r="BC2626" s="141"/>
    </row>
    <row r="2627">
      <c r="BB2627" s="122"/>
      <c r="BC2627" s="141"/>
    </row>
    <row r="2628">
      <c r="BB2628" s="122"/>
      <c r="BC2628" s="141"/>
    </row>
    <row r="2629">
      <c r="BB2629" s="122"/>
      <c r="BC2629" s="141"/>
    </row>
    <row r="2630">
      <c r="BB2630" s="122"/>
      <c r="BC2630" s="141"/>
    </row>
    <row r="2631">
      <c r="BB2631" s="122"/>
      <c r="BC2631" s="141"/>
    </row>
    <row r="2632">
      <c r="BB2632" s="122"/>
      <c r="BC2632" s="141"/>
    </row>
    <row r="2633">
      <c r="BB2633" s="122"/>
      <c r="BC2633" s="141"/>
    </row>
    <row r="2634">
      <c r="BB2634" s="122"/>
      <c r="BC2634" s="141"/>
    </row>
    <row r="2635">
      <c r="BB2635" s="122"/>
      <c r="BC2635" s="141"/>
    </row>
    <row r="2636">
      <c r="BB2636" s="122"/>
      <c r="BC2636" s="141"/>
    </row>
    <row r="2637">
      <c r="BB2637" s="122"/>
      <c r="BC2637" s="141"/>
    </row>
    <row r="2638">
      <c r="BB2638" s="122"/>
      <c r="BC2638" s="141"/>
    </row>
    <row r="2639">
      <c r="BB2639" s="122"/>
      <c r="BC2639" s="141"/>
    </row>
    <row r="2640">
      <c r="BB2640" s="122"/>
      <c r="BC2640" s="141"/>
    </row>
    <row r="2641">
      <c r="BB2641" s="122"/>
      <c r="BC2641" s="141"/>
    </row>
    <row r="2642">
      <c r="BB2642" s="122"/>
      <c r="BC2642" s="141"/>
    </row>
    <row r="2643">
      <c r="BB2643" s="122"/>
      <c r="BC2643" s="141"/>
    </row>
    <row r="2644">
      <c r="BB2644" s="122"/>
      <c r="BC2644" s="141"/>
    </row>
    <row r="2645">
      <c r="BB2645" s="122"/>
      <c r="BC2645" s="141"/>
    </row>
    <row r="2646">
      <c r="BB2646" s="122"/>
      <c r="BC2646" s="141"/>
    </row>
    <row r="2647">
      <c r="BB2647" s="122"/>
      <c r="BC2647" s="141"/>
    </row>
    <row r="2648">
      <c r="BB2648" s="122"/>
      <c r="BC2648" s="141"/>
    </row>
    <row r="2649">
      <c r="BB2649" s="122"/>
      <c r="BC2649" s="141"/>
    </row>
    <row r="2650">
      <c r="BB2650" s="122"/>
      <c r="BC2650" s="141"/>
    </row>
    <row r="2651">
      <c r="BB2651" s="122"/>
      <c r="BC2651" s="141"/>
    </row>
    <row r="2652">
      <c r="BB2652" s="122"/>
      <c r="BC2652" s="141"/>
    </row>
    <row r="2653">
      <c r="BB2653" s="122"/>
      <c r="BC2653" s="141"/>
    </row>
    <row r="2654">
      <c r="BB2654" s="122"/>
      <c r="BC2654" s="141"/>
    </row>
    <row r="2655">
      <c r="BB2655" s="122"/>
      <c r="BC2655" s="141"/>
    </row>
    <row r="2656">
      <c r="BB2656" s="122"/>
      <c r="BC2656" s="141"/>
    </row>
    <row r="2657">
      <c r="BB2657" s="122"/>
      <c r="BC2657" s="141"/>
    </row>
    <row r="2658">
      <c r="BB2658" s="122"/>
      <c r="BC2658" s="141"/>
    </row>
    <row r="2659">
      <c r="BB2659" s="122"/>
      <c r="BC2659" s="141"/>
    </row>
    <row r="2660">
      <c r="BB2660" s="122"/>
      <c r="BC2660" s="141"/>
    </row>
    <row r="2661">
      <c r="BB2661" s="122"/>
      <c r="BC2661" s="141"/>
    </row>
    <row r="2662">
      <c r="BB2662" s="122"/>
      <c r="BC2662" s="141"/>
    </row>
    <row r="2663">
      <c r="BB2663" s="122"/>
      <c r="BC2663" s="141"/>
    </row>
    <row r="2664">
      <c r="BB2664" s="122"/>
      <c r="BC2664" s="141"/>
    </row>
    <row r="2665">
      <c r="BB2665" s="122"/>
      <c r="BC2665" s="141"/>
    </row>
    <row r="2666">
      <c r="BB2666" s="122"/>
      <c r="BC2666" s="141"/>
    </row>
    <row r="2667">
      <c r="BB2667" s="122"/>
      <c r="BC2667" s="141"/>
    </row>
    <row r="2668">
      <c r="BB2668" s="122"/>
      <c r="BC2668" s="141"/>
    </row>
    <row r="2669">
      <c r="BB2669" s="122"/>
      <c r="BC2669" s="141"/>
    </row>
    <row r="2670">
      <c r="BB2670" s="122"/>
      <c r="BC2670" s="141"/>
    </row>
    <row r="2671">
      <c r="BB2671" s="122"/>
      <c r="BC2671" s="141"/>
    </row>
    <row r="2672">
      <c r="BB2672" s="122"/>
      <c r="BC2672" s="141"/>
    </row>
    <row r="2673">
      <c r="BB2673" s="122"/>
      <c r="BC2673" s="141"/>
    </row>
    <row r="2674">
      <c r="BB2674" s="122"/>
      <c r="BC2674" s="141"/>
    </row>
    <row r="2675">
      <c r="BB2675" s="122"/>
      <c r="BC2675" s="141"/>
    </row>
    <row r="2676">
      <c r="BB2676" s="122"/>
      <c r="BC2676" s="141"/>
    </row>
    <row r="2677">
      <c r="BB2677" s="122"/>
      <c r="BC2677" s="141"/>
    </row>
    <row r="2678">
      <c r="BB2678" s="122"/>
      <c r="BC2678" s="141"/>
    </row>
    <row r="2679">
      <c r="BB2679" s="122"/>
      <c r="BC2679" s="141"/>
    </row>
    <row r="2680">
      <c r="BB2680" s="122"/>
      <c r="BC2680" s="141"/>
    </row>
    <row r="2681">
      <c r="BB2681" s="122"/>
      <c r="BC2681" s="141"/>
    </row>
    <row r="2682">
      <c r="BB2682" s="122"/>
      <c r="BC2682" s="141"/>
    </row>
    <row r="2683">
      <c r="BB2683" s="122"/>
      <c r="BC2683" s="141"/>
    </row>
    <row r="2684">
      <c r="BB2684" s="122"/>
      <c r="BC2684" s="141"/>
    </row>
    <row r="2685">
      <c r="BB2685" s="122"/>
      <c r="BC2685" s="141"/>
    </row>
    <row r="2686">
      <c r="BB2686" s="122"/>
      <c r="BC2686" s="141"/>
    </row>
    <row r="2687">
      <c r="BB2687" s="122"/>
      <c r="BC2687" s="141"/>
    </row>
    <row r="2688">
      <c r="BB2688" s="122"/>
      <c r="BC2688" s="141"/>
    </row>
    <row r="2689">
      <c r="BB2689" s="122"/>
      <c r="BC2689" s="141"/>
    </row>
    <row r="2690">
      <c r="BB2690" s="122"/>
      <c r="BC2690" s="141"/>
    </row>
    <row r="2691">
      <c r="BB2691" s="122"/>
      <c r="BC2691" s="141"/>
    </row>
    <row r="2692">
      <c r="BB2692" s="122"/>
      <c r="BC2692" s="141"/>
    </row>
    <row r="2693">
      <c r="BB2693" s="122"/>
      <c r="BC2693" s="141"/>
    </row>
    <row r="2694">
      <c r="BB2694" s="122"/>
      <c r="BC2694" s="141"/>
    </row>
    <row r="2695">
      <c r="BB2695" s="122"/>
      <c r="BC2695" s="141"/>
    </row>
    <row r="2696">
      <c r="BB2696" s="122"/>
      <c r="BC2696" s="141"/>
    </row>
    <row r="2697">
      <c r="BB2697" s="122"/>
      <c r="BC2697" s="141"/>
    </row>
    <row r="2698">
      <c r="BB2698" s="122"/>
      <c r="BC2698" s="141"/>
    </row>
    <row r="2699">
      <c r="BB2699" s="122"/>
      <c r="BC2699" s="141"/>
    </row>
    <row r="2700">
      <c r="BB2700" s="122"/>
      <c r="BC2700" s="141"/>
    </row>
    <row r="2701">
      <c r="BB2701" s="122"/>
      <c r="BC2701" s="141"/>
    </row>
    <row r="2702">
      <c r="BB2702" s="122"/>
      <c r="BC2702" s="141"/>
    </row>
    <row r="2703">
      <c r="BB2703" s="122"/>
      <c r="BC2703" s="141"/>
    </row>
    <row r="2704">
      <c r="BB2704" s="122"/>
      <c r="BC2704" s="141"/>
    </row>
    <row r="2705">
      <c r="BB2705" s="122"/>
      <c r="BC2705" s="141"/>
    </row>
    <row r="2706">
      <c r="BB2706" s="122"/>
      <c r="BC2706" s="141"/>
    </row>
    <row r="2707">
      <c r="BB2707" s="122"/>
      <c r="BC2707" s="141"/>
    </row>
    <row r="2708">
      <c r="BB2708" s="122"/>
      <c r="BC2708" s="141"/>
    </row>
    <row r="2709">
      <c r="BB2709" s="122"/>
      <c r="BC2709" s="141"/>
    </row>
    <row r="2710">
      <c r="BB2710" s="122"/>
      <c r="BC2710" s="141"/>
    </row>
    <row r="2711">
      <c r="BB2711" s="122"/>
      <c r="BC2711" s="141"/>
    </row>
    <row r="2712">
      <c r="BB2712" s="122"/>
      <c r="BC2712" s="141"/>
    </row>
    <row r="2713">
      <c r="BB2713" s="122"/>
      <c r="BC2713" s="141"/>
    </row>
    <row r="2714">
      <c r="BB2714" s="122"/>
      <c r="BC2714" s="141"/>
    </row>
    <row r="2715">
      <c r="BB2715" s="122"/>
      <c r="BC2715" s="141"/>
    </row>
    <row r="2716">
      <c r="BB2716" s="122"/>
      <c r="BC2716" s="141"/>
    </row>
    <row r="2717">
      <c r="BB2717" s="122"/>
      <c r="BC2717" s="141"/>
    </row>
    <row r="2718">
      <c r="BB2718" s="122"/>
      <c r="BC2718" s="141"/>
    </row>
    <row r="2719">
      <c r="BB2719" s="122"/>
      <c r="BC2719" s="141"/>
    </row>
    <row r="2720">
      <c r="BB2720" s="122"/>
      <c r="BC2720" s="141"/>
    </row>
    <row r="2721">
      <c r="BB2721" s="122"/>
      <c r="BC2721" s="141"/>
    </row>
    <row r="2722">
      <c r="BB2722" s="122"/>
      <c r="BC2722" s="141"/>
    </row>
    <row r="2723">
      <c r="BB2723" s="122"/>
      <c r="BC2723" s="141"/>
    </row>
    <row r="2724">
      <c r="BB2724" s="122"/>
      <c r="BC2724" s="141"/>
    </row>
    <row r="2725">
      <c r="BB2725" s="122"/>
      <c r="BC2725" s="141"/>
    </row>
    <row r="2726">
      <c r="BB2726" s="122"/>
      <c r="BC2726" s="141"/>
    </row>
    <row r="2727">
      <c r="BB2727" s="122"/>
      <c r="BC2727" s="141"/>
    </row>
    <row r="2728">
      <c r="BB2728" s="122"/>
      <c r="BC2728" s="141"/>
    </row>
    <row r="2729">
      <c r="BB2729" s="122"/>
      <c r="BC2729" s="141"/>
    </row>
    <row r="2730">
      <c r="BB2730" s="122"/>
      <c r="BC2730" s="141"/>
    </row>
    <row r="2731">
      <c r="BB2731" s="122"/>
      <c r="BC2731" s="141"/>
    </row>
    <row r="2732">
      <c r="BB2732" s="122"/>
      <c r="BC2732" s="141"/>
    </row>
    <row r="2733">
      <c r="BB2733" s="122"/>
      <c r="BC2733" s="141"/>
    </row>
    <row r="2734">
      <c r="BB2734" s="122"/>
      <c r="BC2734" s="141"/>
    </row>
    <row r="2735">
      <c r="BB2735" s="122"/>
      <c r="BC2735" s="141"/>
    </row>
    <row r="2736">
      <c r="BB2736" s="122"/>
      <c r="BC2736" s="141"/>
    </row>
    <row r="2737">
      <c r="BB2737" s="122"/>
      <c r="BC2737" s="141"/>
    </row>
    <row r="2738">
      <c r="BB2738" s="122"/>
      <c r="BC2738" s="141"/>
    </row>
    <row r="2739">
      <c r="BB2739" s="122"/>
      <c r="BC2739" s="141"/>
    </row>
    <row r="2740">
      <c r="BB2740" s="122"/>
      <c r="BC2740" s="141"/>
    </row>
    <row r="2741">
      <c r="BB2741" s="122"/>
      <c r="BC2741" s="141"/>
    </row>
    <row r="2742">
      <c r="BB2742" s="122"/>
      <c r="BC2742" s="141"/>
    </row>
    <row r="2743">
      <c r="BB2743" s="122"/>
      <c r="BC2743" s="141"/>
    </row>
    <row r="2744">
      <c r="BB2744" s="122"/>
      <c r="BC2744" s="141"/>
    </row>
    <row r="2745">
      <c r="BB2745" s="122"/>
      <c r="BC2745" s="141"/>
    </row>
    <row r="2746">
      <c r="BB2746" s="122"/>
      <c r="BC2746" s="141"/>
    </row>
    <row r="2747">
      <c r="BB2747" s="122"/>
      <c r="BC2747" s="141"/>
    </row>
    <row r="2748">
      <c r="BB2748" s="122"/>
      <c r="BC2748" s="141"/>
    </row>
    <row r="2749">
      <c r="BB2749" s="122"/>
      <c r="BC2749" s="141"/>
    </row>
    <row r="2750">
      <c r="BB2750" s="122"/>
      <c r="BC2750" s="141"/>
    </row>
    <row r="2751">
      <c r="BB2751" s="122"/>
      <c r="BC2751" s="141"/>
    </row>
    <row r="2752">
      <c r="BB2752" s="122"/>
      <c r="BC2752" s="141"/>
    </row>
    <row r="2753">
      <c r="BB2753" s="122"/>
      <c r="BC2753" s="141"/>
    </row>
    <row r="2754">
      <c r="BB2754" s="122"/>
      <c r="BC2754" s="141"/>
    </row>
    <row r="2755">
      <c r="BB2755" s="122"/>
      <c r="BC2755" s="141"/>
    </row>
    <row r="2756">
      <c r="BB2756" s="122"/>
      <c r="BC2756" s="141"/>
    </row>
    <row r="2757">
      <c r="BB2757" s="122"/>
      <c r="BC2757" s="141"/>
    </row>
    <row r="2758">
      <c r="BB2758" s="122"/>
      <c r="BC2758" s="141"/>
    </row>
    <row r="2759">
      <c r="BB2759" s="122"/>
      <c r="BC2759" s="141"/>
    </row>
    <row r="2760">
      <c r="BB2760" s="122"/>
      <c r="BC2760" s="141"/>
    </row>
    <row r="2761">
      <c r="BB2761" s="122"/>
      <c r="BC2761" s="141"/>
    </row>
    <row r="2762">
      <c r="BB2762" s="122"/>
      <c r="BC2762" s="141"/>
    </row>
    <row r="2763">
      <c r="BB2763" s="122"/>
      <c r="BC2763" s="141"/>
    </row>
    <row r="2764">
      <c r="BB2764" s="122"/>
      <c r="BC2764" s="141"/>
    </row>
    <row r="2765">
      <c r="BB2765" s="122"/>
      <c r="BC2765" s="141"/>
    </row>
    <row r="2766">
      <c r="BB2766" s="122"/>
      <c r="BC2766" s="141"/>
    </row>
    <row r="2767">
      <c r="BB2767" s="122"/>
      <c r="BC2767" s="141"/>
    </row>
    <row r="2768">
      <c r="BB2768" s="122"/>
      <c r="BC2768" s="141"/>
    </row>
    <row r="2769">
      <c r="BB2769" s="122"/>
      <c r="BC2769" s="141"/>
    </row>
    <row r="2770">
      <c r="BB2770" s="122"/>
      <c r="BC2770" s="141"/>
    </row>
    <row r="2771">
      <c r="BB2771" s="122"/>
      <c r="BC2771" s="141"/>
    </row>
    <row r="2772">
      <c r="BB2772" s="122"/>
      <c r="BC2772" s="141"/>
    </row>
    <row r="2773">
      <c r="BB2773" s="122"/>
      <c r="BC2773" s="141"/>
    </row>
    <row r="2774">
      <c r="BB2774" s="122"/>
      <c r="BC2774" s="141"/>
    </row>
    <row r="2775">
      <c r="BB2775" s="122"/>
      <c r="BC2775" s="141"/>
    </row>
    <row r="2776">
      <c r="BB2776" s="122"/>
      <c r="BC2776" s="141"/>
    </row>
    <row r="2777">
      <c r="BB2777" s="122"/>
      <c r="BC2777" s="141"/>
    </row>
    <row r="2778">
      <c r="BB2778" s="122"/>
      <c r="BC2778" s="141"/>
    </row>
    <row r="2779">
      <c r="BB2779" s="122"/>
      <c r="BC2779" s="141"/>
    </row>
    <row r="2780">
      <c r="BB2780" s="122"/>
      <c r="BC2780" s="141"/>
    </row>
    <row r="2781">
      <c r="BB2781" s="122"/>
      <c r="BC2781" s="141"/>
    </row>
    <row r="2782">
      <c r="BB2782" s="122"/>
      <c r="BC2782" s="141"/>
    </row>
    <row r="2783">
      <c r="BB2783" s="122"/>
      <c r="BC2783" s="141"/>
    </row>
    <row r="2784">
      <c r="BB2784" s="122"/>
      <c r="BC2784" s="141"/>
    </row>
    <row r="2785">
      <c r="BB2785" s="122"/>
      <c r="BC2785" s="141"/>
    </row>
    <row r="2786">
      <c r="BB2786" s="122"/>
      <c r="BC2786" s="141"/>
    </row>
    <row r="2787">
      <c r="BB2787" s="122"/>
      <c r="BC2787" s="141"/>
    </row>
    <row r="2788">
      <c r="BB2788" s="122"/>
      <c r="BC2788" s="141"/>
    </row>
    <row r="2789">
      <c r="BB2789" s="122"/>
      <c r="BC2789" s="141"/>
    </row>
    <row r="2790">
      <c r="BB2790" s="122"/>
      <c r="BC2790" s="141"/>
    </row>
    <row r="2791">
      <c r="BB2791" s="122"/>
      <c r="BC2791" s="141"/>
    </row>
    <row r="2792">
      <c r="BB2792" s="122"/>
      <c r="BC2792" s="141"/>
    </row>
    <row r="2793">
      <c r="BB2793" s="122"/>
      <c r="BC2793" s="141"/>
    </row>
    <row r="2794">
      <c r="BB2794" s="122"/>
      <c r="BC2794" s="141"/>
    </row>
    <row r="2795">
      <c r="BB2795" s="122"/>
      <c r="BC2795" s="141"/>
    </row>
    <row r="2796">
      <c r="BB2796" s="122"/>
      <c r="BC2796" s="141"/>
    </row>
    <row r="2797">
      <c r="BB2797" s="122"/>
      <c r="BC2797" s="141"/>
    </row>
    <row r="2798">
      <c r="BB2798" s="122"/>
      <c r="BC2798" s="141"/>
    </row>
    <row r="2799">
      <c r="BB2799" s="122"/>
      <c r="BC2799" s="141"/>
    </row>
    <row r="2800">
      <c r="BB2800" s="122"/>
      <c r="BC2800" s="141"/>
    </row>
    <row r="2801">
      <c r="BB2801" s="122"/>
      <c r="BC2801" s="141"/>
    </row>
    <row r="2802">
      <c r="BB2802" s="122"/>
      <c r="BC2802" s="141"/>
    </row>
    <row r="2803">
      <c r="BB2803" s="122"/>
      <c r="BC2803" s="141"/>
    </row>
    <row r="2804">
      <c r="BB2804" s="122"/>
      <c r="BC2804" s="141"/>
    </row>
    <row r="2805">
      <c r="BB2805" s="122"/>
      <c r="BC2805" s="141"/>
    </row>
    <row r="2806">
      <c r="BB2806" s="122"/>
      <c r="BC2806" s="141"/>
    </row>
    <row r="2807">
      <c r="BB2807" s="122"/>
      <c r="BC2807" s="141"/>
    </row>
    <row r="2808">
      <c r="BB2808" s="122"/>
      <c r="BC2808" s="141"/>
    </row>
    <row r="2809">
      <c r="BB2809" s="122"/>
      <c r="BC2809" s="141"/>
    </row>
    <row r="2810">
      <c r="BB2810" s="122"/>
      <c r="BC2810" s="141"/>
    </row>
    <row r="2811">
      <c r="BB2811" s="122"/>
      <c r="BC2811" s="141"/>
    </row>
    <row r="2812">
      <c r="BB2812" s="122"/>
      <c r="BC2812" s="141"/>
    </row>
    <row r="2813">
      <c r="BB2813" s="122"/>
      <c r="BC2813" s="141"/>
    </row>
    <row r="2814">
      <c r="BB2814" s="122"/>
      <c r="BC2814" s="141"/>
    </row>
    <row r="2815">
      <c r="BB2815" s="122"/>
      <c r="BC2815" s="141"/>
    </row>
    <row r="2816">
      <c r="BB2816" s="122"/>
      <c r="BC2816" s="141"/>
    </row>
    <row r="2817">
      <c r="BB2817" s="122"/>
      <c r="BC2817" s="141"/>
    </row>
    <row r="2818">
      <c r="BB2818" s="122"/>
      <c r="BC2818" s="141"/>
    </row>
    <row r="2819">
      <c r="BB2819" s="122"/>
      <c r="BC2819" s="141"/>
    </row>
    <row r="2820">
      <c r="BB2820" s="122"/>
      <c r="BC2820" s="141"/>
    </row>
    <row r="2821">
      <c r="BB2821" s="122"/>
      <c r="BC2821" s="141"/>
    </row>
    <row r="2822">
      <c r="BB2822" s="122"/>
      <c r="BC2822" s="141"/>
    </row>
    <row r="2823">
      <c r="BB2823" s="122"/>
      <c r="BC2823" s="141"/>
    </row>
    <row r="2824">
      <c r="BB2824" s="122"/>
      <c r="BC2824" s="141"/>
    </row>
    <row r="2825">
      <c r="BB2825" s="122"/>
      <c r="BC2825" s="141"/>
    </row>
    <row r="2826">
      <c r="BB2826" s="122"/>
      <c r="BC2826" s="141"/>
    </row>
    <row r="2827">
      <c r="BB2827" s="122"/>
      <c r="BC2827" s="141"/>
    </row>
    <row r="2828">
      <c r="BB2828" s="122"/>
      <c r="BC2828" s="141"/>
    </row>
    <row r="2829">
      <c r="BB2829" s="122"/>
      <c r="BC2829" s="141"/>
    </row>
    <row r="2830">
      <c r="BB2830" s="122"/>
      <c r="BC2830" s="141"/>
    </row>
    <row r="2831">
      <c r="BB2831" s="122"/>
      <c r="BC2831" s="141"/>
    </row>
    <row r="2832">
      <c r="BB2832" s="122"/>
      <c r="BC2832" s="141"/>
    </row>
    <row r="2833">
      <c r="BB2833" s="122"/>
      <c r="BC2833" s="141"/>
    </row>
    <row r="2834">
      <c r="BB2834" s="122"/>
      <c r="BC2834" s="141"/>
    </row>
    <row r="2835">
      <c r="BB2835" s="122"/>
      <c r="BC2835" s="141"/>
    </row>
    <row r="2836">
      <c r="BB2836" s="122"/>
      <c r="BC2836" s="141"/>
    </row>
    <row r="2837">
      <c r="BB2837" s="122"/>
      <c r="BC2837" s="141"/>
    </row>
    <row r="2838">
      <c r="BB2838" s="122"/>
      <c r="BC2838" s="141"/>
    </row>
    <row r="2839">
      <c r="BB2839" s="122"/>
      <c r="BC2839" s="141"/>
    </row>
    <row r="2840">
      <c r="BB2840" s="122"/>
      <c r="BC2840" s="141"/>
    </row>
    <row r="2841">
      <c r="BB2841" s="122"/>
      <c r="BC2841" s="141"/>
    </row>
    <row r="2842">
      <c r="BB2842" s="122"/>
      <c r="BC2842" s="141"/>
    </row>
    <row r="2843">
      <c r="BB2843" s="122"/>
      <c r="BC2843" s="141"/>
    </row>
    <row r="2844">
      <c r="BB2844" s="122"/>
      <c r="BC2844" s="141"/>
    </row>
    <row r="2845">
      <c r="BB2845" s="122"/>
      <c r="BC2845" s="141"/>
    </row>
    <row r="2846">
      <c r="BB2846" s="122"/>
      <c r="BC2846" s="141"/>
    </row>
    <row r="2847">
      <c r="BB2847" s="122"/>
      <c r="BC2847" s="141"/>
    </row>
    <row r="2848">
      <c r="BB2848" s="122"/>
      <c r="BC2848" s="141"/>
    </row>
    <row r="2849">
      <c r="BB2849" s="122"/>
      <c r="BC2849" s="141"/>
    </row>
    <row r="2850">
      <c r="BB2850" s="122"/>
      <c r="BC2850" s="141"/>
    </row>
    <row r="2851">
      <c r="BB2851" s="122"/>
      <c r="BC2851" s="141"/>
    </row>
    <row r="2852">
      <c r="BB2852" s="122"/>
      <c r="BC2852" s="141"/>
    </row>
    <row r="2853">
      <c r="BB2853" s="122"/>
      <c r="BC2853" s="141"/>
    </row>
    <row r="2854">
      <c r="BB2854" s="122"/>
      <c r="BC2854" s="141"/>
    </row>
    <row r="2855">
      <c r="BB2855" s="122"/>
      <c r="BC2855" s="141"/>
    </row>
    <row r="2856">
      <c r="BB2856" s="122"/>
      <c r="BC2856" s="141"/>
    </row>
    <row r="2857">
      <c r="BB2857" s="122"/>
      <c r="BC2857" s="141"/>
    </row>
    <row r="2858">
      <c r="BB2858" s="122"/>
      <c r="BC2858" s="141"/>
    </row>
    <row r="2859">
      <c r="BB2859" s="122"/>
      <c r="BC2859" s="141"/>
    </row>
    <row r="2860">
      <c r="BB2860" s="122"/>
      <c r="BC2860" s="141"/>
    </row>
    <row r="2861">
      <c r="BB2861" s="122"/>
      <c r="BC2861" s="141"/>
    </row>
    <row r="2862">
      <c r="BB2862" s="122"/>
      <c r="BC2862" s="141"/>
    </row>
    <row r="2863">
      <c r="BB2863" s="122"/>
      <c r="BC2863" s="141"/>
    </row>
    <row r="2864">
      <c r="BB2864" s="122"/>
      <c r="BC2864" s="141"/>
    </row>
    <row r="2865">
      <c r="BB2865" s="122"/>
      <c r="BC2865" s="141"/>
    </row>
    <row r="2866">
      <c r="BB2866" s="122"/>
      <c r="BC2866" s="141"/>
    </row>
    <row r="2867">
      <c r="BB2867" s="122"/>
      <c r="BC2867" s="141"/>
    </row>
    <row r="2868">
      <c r="BB2868" s="122"/>
      <c r="BC2868" s="141"/>
    </row>
    <row r="2869">
      <c r="BB2869" s="122"/>
      <c r="BC2869" s="141"/>
    </row>
    <row r="2870">
      <c r="BB2870" s="122"/>
      <c r="BC2870" s="141"/>
    </row>
    <row r="2871">
      <c r="BB2871" s="122"/>
      <c r="BC2871" s="141"/>
    </row>
    <row r="2872">
      <c r="BB2872" s="122"/>
      <c r="BC2872" s="141"/>
    </row>
    <row r="2873">
      <c r="BB2873" s="122"/>
      <c r="BC2873" s="141"/>
    </row>
    <row r="2874">
      <c r="BB2874" s="122"/>
      <c r="BC2874" s="141"/>
    </row>
    <row r="2875">
      <c r="BB2875" s="122"/>
      <c r="BC2875" s="141"/>
    </row>
    <row r="2876">
      <c r="BB2876" s="122"/>
      <c r="BC2876" s="141"/>
    </row>
    <row r="2877">
      <c r="BB2877" s="122"/>
      <c r="BC2877" s="141"/>
    </row>
    <row r="2878">
      <c r="BB2878" s="122"/>
      <c r="BC2878" s="141"/>
    </row>
    <row r="2879">
      <c r="BB2879" s="122"/>
      <c r="BC2879" s="141"/>
    </row>
    <row r="2880">
      <c r="BB2880" s="122"/>
      <c r="BC2880" s="141"/>
    </row>
    <row r="2881">
      <c r="BB2881" s="122"/>
      <c r="BC2881" s="141"/>
    </row>
    <row r="2882">
      <c r="BB2882" s="122"/>
      <c r="BC2882" s="141"/>
    </row>
    <row r="2883">
      <c r="BB2883" s="122"/>
      <c r="BC2883" s="141"/>
    </row>
    <row r="2884">
      <c r="BB2884" s="122"/>
      <c r="BC2884" s="141"/>
    </row>
    <row r="2885">
      <c r="BB2885" s="122"/>
      <c r="BC2885" s="141"/>
    </row>
    <row r="2886">
      <c r="BB2886" s="122"/>
      <c r="BC2886" s="141"/>
    </row>
    <row r="2887">
      <c r="BB2887" s="122"/>
      <c r="BC2887" s="141"/>
    </row>
    <row r="2888">
      <c r="BB2888" s="122"/>
      <c r="BC2888" s="141"/>
    </row>
    <row r="2889">
      <c r="BB2889" s="122"/>
      <c r="BC2889" s="141"/>
    </row>
    <row r="2890">
      <c r="BB2890" s="122"/>
      <c r="BC2890" s="141"/>
    </row>
    <row r="2891">
      <c r="BB2891" s="122"/>
      <c r="BC2891" s="141"/>
    </row>
    <row r="2892">
      <c r="BB2892" s="122"/>
      <c r="BC2892" s="141"/>
    </row>
    <row r="2893">
      <c r="BB2893" s="122"/>
      <c r="BC2893" s="141"/>
    </row>
    <row r="2894">
      <c r="BB2894" s="122"/>
      <c r="BC2894" s="141"/>
    </row>
    <row r="2895">
      <c r="BB2895" s="122"/>
      <c r="BC2895" s="141"/>
    </row>
    <row r="2896">
      <c r="BB2896" s="122"/>
      <c r="BC2896" s="141"/>
    </row>
    <row r="2897">
      <c r="BB2897" s="122"/>
      <c r="BC2897" s="141"/>
    </row>
    <row r="2898">
      <c r="BB2898" s="122"/>
      <c r="BC2898" s="141"/>
    </row>
    <row r="2899">
      <c r="BB2899" s="122"/>
      <c r="BC2899" s="141"/>
    </row>
    <row r="2900">
      <c r="BB2900" s="122"/>
      <c r="BC2900" s="141"/>
    </row>
    <row r="2901">
      <c r="BB2901" s="122"/>
      <c r="BC2901" s="141"/>
    </row>
    <row r="2902">
      <c r="BB2902" s="122"/>
      <c r="BC2902" s="141"/>
    </row>
    <row r="2903">
      <c r="BB2903" s="122"/>
      <c r="BC2903" s="141"/>
    </row>
    <row r="2904">
      <c r="BB2904" s="122"/>
      <c r="BC2904" s="141"/>
    </row>
    <row r="2905">
      <c r="BB2905" s="122"/>
      <c r="BC2905" s="141"/>
    </row>
    <row r="2906">
      <c r="BB2906" s="122"/>
      <c r="BC2906" s="141"/>
    </row>
    <row r="2907">
      <c r="BB2907" s="122"/>
      <c r="BC2907" s="141"/>
    </row>
    <row r="2908">
      <c r="BB2908" s="122"/>
      <c r="BC2908" s="141"/>
    </row>
    <row r="2909">
      <c r="BB2909" s="122"/>
      <c r="BC2909" s="141"/>
    </row>
    <row r="2910">
      <c r="BB2910" s="122"/>
      <c r="BC2910" s="141"/>
    </row>
    <row r="2911">
      <c r="BB2911" s="122"/>
      <c r="BC2911" s="141"/>
    </row>
    <row r="2912">
      <c r="BB2912" s="122"/>
      <c r="BC2912" s="141"/>
    </row>
    <row r="2913">
      <c r="BB2913" s="122"/>
      <c r="BC2913" s="141"/>
    </row>
    <row r="2914">
      <c r="BB2914" s="122"/>
      <c r="BC2914" s="141"/>
    </row>
    <row r="2915">
      <c r="BB2915" s="122"/>
      <c r="BC2915" s="141"/>
    </row>
    <row r="2916">
      <c r="BB2916" s="122"/>
      <c r="BC2916" s="141"/>
    </row>
    <row r="2917">
      <c r="BB2917" s="122"/>
      <c r="BC2917" s="141"/>
    </row>
    <row r="2918">
      <c r="BB2918" s="122"/>
      <c r="BC2918" s="141"/>
    </row>
    <row r="2919">
      <c r="BB2919" s="122"/>
      <c r="BC2919" s="141"/>
    </row>
    <row r="2920">
      <c r="BB2920" s="122"/>
      <c r="BC2920" s="141"/>
    </row>
    <row r="2921">
      <c r="BB2921" s="122"/>
      <c r="BC2921" s="141"/>
    </row>
    <row r="2922">
      <c r="BB2922" s="122"/>
      <c r="BC2922" s="141"/>
    </row>
    <row r="2923">
      <c r="BB2923" s="122"/>
      <c r="BC2923" s="141"/>
    </row>
    <row r="2924">
      <c r="BB2924" s="122"/>
      <c r="BC2924" s="141"/>
    </row>
    <row r="2925">
      <c r="BB2925" s="122"/>
      <c r="BC2925" s="141"/>
    </row>
    <row r="2926">
      <c r="BB2926" s="122"/>
      <c r="BC2926" s="141"/>
    </row>
    <row r="2927">
      <c r="BB2927" s="122"/>
      <c r="BC2927" s="141"/>
    </row>
    <row r="2928">
      <c r="BB2928" s="122"/>
      <c r="BC2928" s="141"/>
    </row>
    <row r="2929">
      <c r="BB2929" s="122"/>
      <c r="BC2929" s="141"/>
    </row>
    <row r="2930">
      <c r="BB2930" s="122"/>
      <c r="BC2930" s="141"/>
    </row>
    <row r="2931">
      <c r="BB2931" s="122"/>
      <c r="BC2931" s="141"/>
    </row>
    <row r="2932">
      <c r="BB2932" s="122"/>
      <c r="BC2932" s="141"/>
    </row>
    <row r="2933">
      <c r="BB2933" s="122"/>
      <c r="BC2933" s="141"/>
    </row>
    <row r="2934">
      <c r="BB2934" s="122"/>
      <c r="BC2934" s="141"/>
    </row>
    <row r="2935">
      <c r="BB2935" s="122"/>
      <c r="BC2935" s="141"/>
    </row>
    <row r="2936">
      <c r="BB2936" s="122"/>
      <c r="BC2936" s="141"/>
    </row>
    <row r="2937">
      <c r="BB2937" s="122"/>
      <c r="BC2937" s="141"/>
    </row>
    <row r="2938">
      <c r="BB2938" s="122"/>
      <c r="BC2938" s="141"/>
    </row>
    <row r="2939">
      <c r="BB2939" s="122"/>
      <c r="BC2939" s="141"/>
    </row>
    <row r="2940">
      <c r="BB2940" s="122"/>
      <c r="BC2940" s="141"/>
    </row>
    <row r="2941">
      <c r="BB2941" s="122"/>
      <c r="BC2941" s="141"/>
    </row>
    <row r="2942">
      <c r="BB2942" s="122"/>
      <c r="BC2942" s="141"/>
    </row>
    <row r="2943">
      <c r="BB2943" s="122"/>
      <c r="BC2943" s="141"/>
    </row>
    <row r="2944">
      <c r="BB2944" s="122"/>
      <c r="BC2944" s="141"/>
    </row>
    <row r="2945">
      <c r="BB2945" s="122"/>
      <c r="BC2945" s="141"/>
    </row>
    <row r="2946">
      <c r="BB2946" s="122"/>
      <c r="BC2946" s="141"/>
    </row>
    <row r="2947">
      <c r="BB2947" s="122"/>
      <c r="BC2947" s="141"/>
    </row>
    <row r="2948">
      <c r="BB2948" s="122"/>
      <c r="BC2948" s="141"/>
    </row>
    <row r="2949">
      <c r="BB2949" s="122"/>
      <c r="BC2949" s="141"/>
    </row>
    <row r="2950">
      <c r="BB2950" s="122"/>
      <c r="BC2950" s="141"/>
    </row>
    <row r="2951">
      <c r="BB2951" s="122"/>
      <c r="BC2951" s="141"/>
    </row>
    <row r="2952">
      <c r="BB2952" s="122"/>
      <c r="BC2952" s="141"/>
    </row>
    <row r="2953">
      <c r="BB2953" s="122"/>
      <c r="BC2953" s="141"/>
    </row>
    <row r="2954">
      <c r="BB2954" s="122"/>
      <c r="BC2954" s="141"/>
    </row>
    <row r="2955">
      <c r="BB2955" s="122"/>
      <c r="BC2955" s="141"/>
    </row>
    <row r="2956">
      <c r="BB2956" s="122"/>
      <c r="BC2956" s="141"/>
    </row>
    <row r="2957">
      <c r="BB2957" s="122"/>
      <c r="BC2957" s="141"/>
    </row>
    <row r="2958">
      <c r="BB2958" s="122"/>
      <c r="BC2958" s="141"/>
    </row>
    <row r="2959">
      <c r="BB2959" s="122"/>
      <c r="BC2959" s="141"/>
    </row>
    <row r="2960">
      <c r="BB2960" s="122"/>
      <c r="BC2960" s="141"/>
    </row>
    <row r="2961">
      <c r="BB2961" s="122"/>
      <c r="BC2961" s="141"/>
    </row>
    <row r="2962">
      <c r="BB2962" s="122"/>
      <c r="BC2962" s="141"/>
    </row>
    <row r="2963">
      <c r="BB2963" s="122"/>
      <c r="BC2963" s="141"/>
    </row>
    <row r="2964">
      <c r="BB2964" s="122"/>
      <c r="BC2964" s="141"/>
    </row>
    <row r="2965">
      <c r="BB2965" s="122"/>
      <c r="BC2965" s="141"/>
    </row>
    <row r="2966">
      <c r="BB2966" s="122"/>
      <c r="BC2966" s="141"/>
    </row>
    <row r="2967">
      <c r="BB2967" s="122"/>
      <c r="BC2967" s="141"/>
    </row>
    <row r="2968">
      <c r="BB2968" s="122"/>
      <c r="BC2968" s="141"/>
    </row>
    <row r="2969">
      <c r="BB2969" s="122"/>
      <c r="BC2969" s="141"/>
    </row>
    <row r="2970">
      <c r="BB2970" s="122"/>
      <c r="BC2970" s="141"/>
    </row>
    <row r="2971">
      <c r="BB2971" s="122"/>
      <c r="BC2971" s="141"/>
    </row>
    <row r="2972">
      <c r="BB2972" s="122"/>
      <c r="BC2972" s="141"/>
    </row>
    <row r="2973">
      <c r="BB2973" s="122"/>
      <c r="BC2973" s="141"/>
    </row>
    <row r="2974">
      <c r="BB2974" s="122"/>
      <c r="BC2974" s="141"/>
    </row>
    <row r="2975">
      <c r="BB2975" s="122"/>
      <c r="BC2975" s="141"/>
    </row>
    <row r="2976">
      <c r="BB2976" s="122"/>
      <c r="BC2976" s="141"/>
    </row>
    <row r="2977">
      <c r="BB2977" s="122"/>
      <c r="BC2977" s="141"/>
    </row>
    <row r="2978">
      <c r="BB2978" s="122"/>
      <c r="BC2978" s="141"/>
    </row>
    <row r="2979">
      <c r="BB2979" s="122"/>
      <c r="BC2979" s="141"/>
    </row>
    <row r="2980">
      <c r="BB2980" s="122"/>
      <c r="BC2980" s="141"/>
    </row>
    <row r="2981">
      <c r="BB2981" s="122"/>
      <c r="BC2981" s="141"/>
    </row>
    <row r="2982">
      <c r="BB2982" s="122"/>
      <c r="BC2982" s="141"/>
    </row>
    <row r="2983">
      <c r="BB2983" s="122"/>
      <c r="BC2983" s="141"/>
    </row>
    <row r="2984">
      <c r="BB2984" s="122"/>
      <c r="BC2984" s="141"/>
    </row>
    <row r="2985">
      <c r="BB2985" s="122"/>
      <c r="BC2985" s="141"/>
    </row>
    <row r="2986">
      <c r="BB2986" s="122"/>
      <c r="BC2986" s="141"/>
    </row>
    <row r="2987">
      <c r="BB2987" s="122"/>
      <c r="BC2987" s="141"/>
    </row>
    <row r="2988">
      <c r="BB2988" s="122"/>
      <c r="BC2988" s="141"/>
    </row>
    <row r="2989">
      <c r="BB2989" s="122"/>
      <c r="BC2989" s="141"/>
    </row>
    <row r="2990">
      <c r="BB2990" s="122"/>
      <c r="BC2990" s="141"/>
    </row>
    <row r="2991">
      <c r="BB2991" s="122"/>
      <c r="BC2991" s="141"/>
    </row>
    <row r="2992">
      <c r="BB2992" s="122"/>
      <c r="BC2992" s="141"/>
    </row>
    <row r="2993">
      <c r="BB2993" s="122"/>
      <c r="BC2993" s="141"/>
    </row>
    <row r="2994">
      <c r="BB2994" s="122"/>
      <c r="BC2994" s="141"/>
    </row>
    <row r="2995">
      <c r="BB2995" s="122"/>
      <c r="BC2995" s="141"/>
    </row>
    <row r="2996">
      <c r="BB2996" s="122"/>
      <c r="BC2996" s="141"/>
    </row>
    <row r="2997">
      <c r="BB2997" s="122"/>
      <c r="BC2997" s="141"/>
    </row>
    <row r="2998">
      <c r="BB2998" s="122"/>
      <c r="BC2998" s="141"/>
    </row>
    <row r="2999">
      <c r="BB2999" s="122"/>
      <c r="BC2999" s="141"/>
    </row>
    <row r="3000">
      <c r="BB3000" s="122"/>
      <c r="BC3000" s="141"/>
    </row>
    <row r="3001">
      <c r="BB3001" s="122"/>
      <c r="BC3001" s="141"/>
    </row>
    <row r="3002">
      <c r="BB3002" s="122"/>
      <c r="BC3002" s="141"/>
    </row>
    <row r="3003">
      <c r="BB3003" s="122"/>
      <c r="BC3003" s="141"/>
    </row>
    <row r="3004">
      <c r="BB3004" s="122"/>
      <c r="BC3004" s="141"/>
    </row>
    <row r="3005">
      <c r="BB3005" s="122"/>
      <c r="BC3005" s="141"/>
    </row>
    <row r="3006">
      <c r="BB3006" s="122"/>
      <c r="BC3006" s="141"/>
    </row>
    <row r="3007">
      <c r="BB3007" s="122"/>
      <c r="BC3007" s="141"/>
    </row>
    <row r="3008">
      <c r="BB3008" s="122"/>
      <c r="BC3008" s="141"/>
    </row>
    <row r="3009">
      <c r="BB3009" s="122"/>
      <c r="BC3009" s="141"/>
    </row>
    <row r="3010">
      <c r="BB3010" s="122"/>
      <c r="BC3010" s="141"/>
    </row>
    <row r="3011">
      <c r="BB3011" s="122"/>
      <c r="BC3011" s="141"/>
    </row>
    <row r="3012">
      <c r="BB3012" s="122"/>
      <c r="BC3012" s="141"/>
    </row>
    <row r="3013">
      <c r="BB3013" s="122"/>
      <c r="BC3013" s="141"/>
    </row>
    <row r="3014">
      <c r="BB3014" s="122"/>
      <c r="BC3014" s="141"/>
    </row>
    <row r="3015">
      <c r="BB3015" s="122"/>
      <c r="BC3015" s="141"/>
    </row>
    <row r="3016">
      <c r="BB3016" s="122"/>
      <c r="BC3016" s="141"/>
    </row>
    <row r="3017">
      <c r="BB3017" s="122"/>
      <c r="BC3017" s="141"/>
    </row>
    <row r="3018">
      <c r="BB3018" s="122"/>
      <c r="BC3018" s="141"/>
    </row>
    <row r="3019">
      <c r="BB3019" s="122"/>
      <c r="BC3019" s="141"/>
    </row>
    <row r="3020">
      <c r="BB3020" s="122"/>
      <c r="BC3020" s="141"/>
    </row>
    <row r="3021">
      <c r="BB3021" s="122"/>
      <c r="BC3021" s="141"/>
    </row>
    <row r="3022">
      <c r="BB3022" s="122"/>
      <c r="BC3022" s="141"/>
    </row>
    <row r="3023">
      <c r="BB3023" s="122"/>
      <c r="BC3023" s="141"/>
    </row>
    <row r="3024">
      <c r="BB3024" s="122"/>
      <c r="BC3024" s="141"/>
    </row>
    <row r="3025">
      <c r="BB3025" s="122"/>
      <c r="BC3025" s="141"/>
    </row>
    <row r="3026">
      <c r="BB3026" s="122"/>
      <c r="BC3026" s="141"/>
    </row>
    <row r="3027">
      <c r="BB3027" s="122"/>
      <c r="BC3027" s="141"/>
    </row>
    <row r="3028">
      <c r="BB3028" s="122"/>
      <c r="BC3028" s="141"/>
    </row>
    <row r="3029">
      <c r="BB3029" s="122"/>
      <c r="BC3029" s="141"/>
    </row>
    <row r="3030">
      <c r="BB3030" s="122"/>
      <c r="BC3030" s="141"/>
    </row>
    <row r="3031">
      <c r="BB3031" s="122"/>
      <c r="BC3031" s="141"/>
    </row>
    <row r="3032">
      <c r="BB3032" s="122"/>
      <c r="BC3032" s="141"/>
    </row>
    <row r="3033">
      <c r="BB3033" s="122"/>
      <c r="BC3033" s="141"/>
    </row>
    <row r="3034">
      <c r="BB3034" s="122"/>
      <c r="BC3034" s="141"/>
    </row>
    <row r="3035">
      <c r="BB3035" s="122"/>
      <c r="BC3035" s="141"/>
    </row>
    <row r="3036">
      <c r="BB3036" s="122"/>
      <c r="BC3036" s="141"/>
    </row>
    <row r="3037">
      <c r="BB3037" s="122"/>
      <c r="BC3037" s="141"/>
    </row>
    <row r="3038">
      <c r="BB3038" s="122"/>
      <c r="BC3038" s="141"/>
    </row>
    <row r="3039">
      <c r="BB3039" s="122"/>
      <c r="BC3039" s="141"/>
    </row>
    <row r="3040">
      <c r="BB3040" s="122"/>
      <c r="BC3040" s="141"/>
    </row>
    <row r="3041">
      <c r="BB3041" s="122"/>
      <c r="BC3041" s="141"/>
    </row>
    <row r="3042">
      <c r="BB3042" s="122"/>
      <c r="BC3042" s="141"/>
    </row>
    <row r="3043">
      <c r="BB3043" s="122"/>
      <c r="BC3043" s="141"/>
    </row>
    <row r="3044">
      <c r="BB3044" s="122"/>
      <c r="BC3044" s="141"/>
    </row>
    <row r="3045">
      <c r="BB3045" s="122"/>
      <c r="BC3045" s="141"/>
    </row>
    <row r="3046">
      <c r="BB3046" s="122"/>
      <c r="BC3046" s="141"/>
    </row>
    <row r="3047">
      <c r="BB3047" s="122"/>
      <c r="BC3047" s="141"/>
    </row>
    <row r="3048">
      <c r="BB3048" s="122"/>
      <c r="BC3048" s="141"/>
    </row>
    <row r="3049">
      <c r="BB3049" s="122"/>
      <c r="BC3049" s="141"/>
    </row>
    <row r="3050">
      <c r="BB3050" s="122"/>
      <c r="BC3050" s="141"/>
    </row>
    <row r="3051">
      <c r="BB3051" s="122"/>
      <c r="BC3051" s="141"/>
    </row>
    <row r="3052">
      <c r="BB3052" s="122"/>
      <c r="BC3052" s="141"/>
    </row>
    <row r="3053">
      <c r="BB3053" s="122"/>
      <c r="BC3053" s="141"/>
    </row>
    <row r="3054">
      <c r="BB3054" s="122"/>
      <c r="BC3054" s="141"/>
    </row>
    <row r="3055">
      <c r="BB3055" s="122"/>
      <c r="BC3055" s="141"/>
    </row>
    <row r="3056">
      <c r="BB3056" s="122"/>
      <c r="BC3056" s="141"/>
    </row>
    <row r="3057">
      <c r="BB3057" s="122"/>
      <c r="BC3057" s="141"/>
    </row>
    <row r="3058">
      <c r="BB3058" s="122"/>
      <c r="BC3058" s="141"/>
    </row>
    <row r="3059">
      <c r="BB3059" s="122"/>
      <c r="BC3059" s="141"/>
    </row>
    <row r="3060">
      <c r="BB3060" s="122"/>
      <c r="BC3060" s="141"/>
    </row>
    <row r="3061">
      <c r="BB3061" s="122"/>
      <c r="BC3061" s="141"/>
    </row>
    <row r="3062">
      <c r="BB3062" s="122"/>
      <c r="BC3062" s="141"/>
    </row>
    <row r="3063">
      <c r="BB3063" s="122"/>
      <c r="BC3063" s="141"/>
    </row>
    <row r="3064">
      <c r="BB3064" s="122"/>
      <c r="BC3064" s="141"/>
    </row>
    <row r="3065">
      <c r="BB3065" s="122"/>
      <c r="BC3065" s="141"/>
    </row>
    <row r="3066">
      <c r="BB3066" s="122"/>
      <c r="BC3066" s="141"/>
    </row>
    <row r="3067">
      <c r="BB3067" s="122"/>
      <c r="BC3067" s="141"/>
    </row>
    <row r="3068">
      <c r="BB3068" s="122"/>
      <c r="BC3068" s="141"/>
    </row>
    <row r="3069">
      <c r="BB3069" s="122"/>
      <c r="BC3069" s="141"/>
    </row>
    <row r="3070">
      <c r="BB3070" s="122"/>
      <c r="BC3070" s="141"/>
    </row>
    <row r="3071">
      <c r="BB3071" s="122"/>
      <c r="BC3071" s="141"/>
    </row>
    <row r="3072">
      <c r="BB3072" s="122"/>
      <c r="BC3072" s="141"/>
    </row>
    <row r="3073">
      <c r="BB3073" s="122"/>
      <c r="BC3073" s="141"/>
    </row>
    <row r="3074">
      <c r="BB3074" s="122"/>
      <c r="BC3074" s="141"/>
    </row>
    <row r="3075">
      <c r="BB3075" s="122"/>
      <c r="BC3075" s="141"/>
    </row>
    <row r="3076">
      <c r="BB3076" s="122"/>
      <c r="BC3076" s="141"/>
    </row>
    <row r="3077">
      <c r="BB3077" s="122"/>
      <c r="BC3077" s="141"/>
    </row>
    <row r="3078">
      <c r="BB3078" s="122"/>
      <c r="BC3078" s="141"/>
    </row>
    <row r="3079">
      <c r="BB3079" s="122"/>
      <c r="BC3079" s="141"/>
    </row>
    <row r="3080">
      <c r="BB3080" s="122"/>
      <c r="BC3080" s="141"/>
    </row>
    <row r="3081">
      <c r="BB3081" s="122"/>
      <c r="BC3081" s="141"/>
    </row>
    <row r="3082">
      <c r="BB3082" s="122"/>
      <c r="BC3082" s="141"/>
    </row>
    <row r="3083">
      <c r="BB3083" s="122"/>
      <c r="BC3083" s="141"/>
    </row>
    <row r="3084">
      <c r="BB3084" s="122"/>
      <c r="BC3084" s="141"/>
    </row>
    <row r="3085">
      <c r="BB3085" s="122"/>
      <c r="BC3085" s="141"/>
    </row>
    <row r="3086">
      <c r="BB3086" s="122"/>
      <c r="BC3086" s="141"/>
    </row>
    <row r="3087">
      <c r="BB3087" s="122"/>
      <c r="BC3087" s="141"/>
    </row>
    <row r="3088">
      <c r="BB3088" s="122"/>
      <c r="BC3088" s="141"/>
    </row>
    <row r="3089">
      <c r="BB3089" s="122"/>
      <c r="BC3089" s="141"/>
    </row>
    <row r="3090">
      <c r="BB3090" s="122"/>
      <c r="BC3090" s="141"/>
    </row>
    <row r="3091">
      <c r="BB3091" s="122"/>
      <c r="BC3091" s="141"/>
    </row>
    <row r="3092">
      <c r="BB3092" s="122"/>
      <c r="BC3092" s="141"/>
    </row>
    <row r="3093">
      <c r="BB3093" s="122"/>
      <c r="BC3093" s="141"/>
    </row>
    <row r="3094">
      <c r="BB3094" s="122"/>
      <c r="BC3094" s="141"/>
    </row>
    <row r="3095">
      <c r="BB3095" s="122"/>
      <c r="BC3095" s="141"/>
    </row>
    <row r="3096">
      <c r="BB3096" s="122"/>
      <c r="BC3096" s="141"/>
    </row>
    <row r="3097">
      <c r="BB3097" s="122"/>
      <c r="BC3097" s="141"/>
    </row>
    <row r="3098">
      <c r="BB3098" s="122"/>
      <c r="BC3098" s="141"/>
    </row>
    <row r="3099">
      <c r="BB3099" s="122"/>
      <c r="BC3099" s="141"/>
    </row>
    <row r="3100">
      <c r="BB3100" s="122"/>
      <c r="BC3100" s="141"/>
    </row>
    <row r="3101">
      <c r="BB3101" s="122"/>
      <c r="BC3101" s="141"/>
    </row>
    <row r="3102">
      <c r="BB3102" s="122"/>
      <c r="BC3102" s="141"/>
    </row>
    <row r="3103">
      <c r="BB3103" s="122"/>
      <c r="BC3103" s="141"/>
    </row>
    <row r="3104">
      <c r="BB3104" s="122"/>
      <c r="BC3104" s="141"/>
    </row>
    <row r="3105">
      <c r="BB3105" s="122"/>
      <c r="BC3105" s="141"/>
    </row>
    <row r="3106">
      <c r="BB3106" s="122"/>
      <c r="BC3106" s="141"/>
    </row>
    <row r="3107">
      <c r="BB3107" s="122"/>
      <c r="BC3107" s="141"/>
    </row>
    <row r="3108">
      <c r="BB3108" s="122"/>
      <c r="BC3108" s="141"/>
    </row>
    <row r="3109">
      <c r="BB3109" s="122"/>
      <c r="BC3109" s="141"/>
    </row>
    <row r="3110">
      <c r="BB3110" s="122"/>
      <c r="BC3110" s="141"/>
    </row>
    <row r="3111">
      <c r="BB3111" s="122"/>
      <c r="BC3111" s="141"/>
    </row>
    <row r="3112">
      <c r="BB3112" s="122"/>
      <c r="BC3112" s="141"/>
    </row>
    <row r="3113">
      <c r="BB3113" s="122"/>
      <c r="BC3113" s="141"/>
    </row>
    <row r="3114">
      <c r="BB3114" s="122"/>
      <c r="BC3114" s="141"/>
    </row>
    <row r="3115">
      <c r="BB3115" s="122"/>
      <c r="BC3115" s="141"/>
    </row>
    <row r="3116">
      <c r="BB3116" s="122"/>
      <c r="BC3116" s="141"/>
    </row>
    <row r="3117">
      <c r="BB3117" s="122"/>
      <c r="BC3117" s="141"/>
    </row>
    <row r="3118">
      <c r="BB3118" s="122"/>
      <c r="BC3118" s="141"/>
    </row>
    <row r="3119">
      <c r="BB3119" s="122"/>
      <c r="BC3119" s="141"/>
    </row>
    <row r="3120">
      <c r="BB3120" s="122"/>
      <c r="BC3120" s="141"/>
    </row>
    <row r="3121">
      <c r="BB3121" s="122"/>
      <c r="BC3121" s="141"/>
    </row>
    <row r="3122">
      <c r="BB3122" s="122"/>
      <c r="BC3122" s="141"/>
    </row>
    <row r="3123">
      <c r="BB3123" s="122"/>
      <c r="BC3123" s="141"/>
    </row>
    <row r="3124">
      <c r="BB3124" s="122"/>
      <c r="BC3124" s="141"/>
    </row>
    <row r="3125">
      <c r="BB3125" s="122"/>
      <c r="BC3125" s="141"/>
    </row>
    <row r="3126">
      <c r="BB3126" s="122"/>
      <c r="BC3126" s="141"/>
    </row>
    <row r="3127">
      <c r="BB3127" s="122"/>
      <c r="BC3127" s="141"/>
    </row>
    <row r="3128">
      <c r="BB3128" s="122"/>
      <c r="BC3128" s="141"/>
    </row>
    <row r="3129">
      <c r="BB3129" s="122"/>
      <c r="BC3129" s="141"/>
    </row>
    <row r="3130">
      <c r="BB3130" s="122"/>
      <c r="BC3130" s="141"/>
    </row>
    <row r="3131">
      <c r="BB3131" s="122"/>
      <c r="BC3131" s="141"/>
    </row>
    <row r="3132">
      <c r="BB3132" s="122"/>
      <c r="BC3132" s="141"/>
    </row>
    <row r="3133">
      <c r="BB3133" s="122"/>
      <c r="BC3133" s="141"/>
    </row>
    <row r="3134">
      <c r="BB3134" s="122"/>
      <c r="BC3134" s="141"/>
    </row>
    <row r="3135">
      <c r="BB3135" s="122"/>
      <c r="BC3135" s="141"/>
    </row>
    <row r="3136">
      <c r="BB3136" s="122"/>
      <c r="BC3136" s="141"/>
    </row>
    <row r="3137">
      <c r="BB3137" s="122"/>
      <c r="BC3137" s="141"/>
    </row>
    <row r="3138">
      <c r="BB3138" s="122"/>
      <c r="BC3138" s="141"/>
    </row>
    <row r="3139">
      <c r="BB3139" s="122"/>
      <c r="BC3139" s="141"/>
    </row>
    <row r="3140">
      <c r="BB3140" s="122"/>
      <c r="BC3140" s="141"/>
    </row>
    <row r="3141">
      <c r="BB3141" s="122"/>
      <c r="BC3141" s="141"/>
    </row>
    <row r="3142">
      <c r="BB3142" s="122"/>
      <c r="BC3142" s="141"/>
    </row>
    <row r="3143">
      <c r="BB3143" s="122"/>
      <c r="BC3143" s="141"/>
    </row>
    <row r="3144">
      <c r="BB3144" s="122"/>
      <c r="BC3144" s="141"/>
    </row>
    <row r="3145">
      <c r="BB3145" s="122"/>
      <c r="BC3145" s="141"/>
    </row>
    <row r="3146">
      <c r="BB3146" s="122"/>
      <c r="BC3146" s="141"/>
    </row>
    <row r="3147">
      <c r="BB3147" s="122"/>
      <c r="BC3147" s="141"/>
    </row>
    <row r="3148">
      <c r="BB3148" s="122"/>
      <c r="BC3148" s="141"/>
    </row>
    <row r="3149">
      <c r="BB3149" s="122"/>
      <c r="BC3149" s="141"/>
    </row>
    <row r="3150">
      <c r="BB3150" s="122"/>
      <c r="BC3150" s="141"/>
    </row>
    <row r="3151">
      <c r="BB3151" s="122"/>
      <c r="BC3151" s="141"/>
    </row>
    <row r="3152">
      <c r="BB3152" s="122"/>
      <c r="BC3152" s="141"/>
    </row>
    <row r="3153">
      <c r="BB3153" s="122"/>
      <c r="BC3153" s="141"/>
    </row>
    <row r="3154">
      <c r="BB3154" s="122"/>
      <c r="BC3154" s="141"/>
    </row>
    <row r="3155">
      <c r="BB3155" s="122"/>
      <c r="BC3155" s="141"/>
    </row>
    <row r="3156">
      <c r="BB3156" s="122"/>
      <c r="BC3156" s="141"/>
    </row>
    <row r="3157">
      <c r="BB3157" s="122"/>
      <c r="BC3157" s="141"/>
    </row>
    <row r="3158">
      <c r="BB3158" s="122"/>
      <c r="BC3158" s="141"/>
    </row>
    <row r="3159">
      <c r="BB3159" s="122"/>
      <c r="BC3159" s="141"/>
    </row>
    <row r="3160">
      <c r="BB3160" s="122"/>
      <c r="BC3160" s="141"/>
    </row>
    <row r="3161">
      <c r="BB3161" s="122"/>
      <c r="BC3161" s="141"/>
    </row>
    <row r="3162">
      <c r="BB3162" s="122"/>
      <c r="BC3162" s="141"/>
    </row>
    <row r="3163">
      <c r="BB3163" s="122"/>
      <c r="BC3163" s="141"/>
    </row>
    <row r="3164">
      <c r="BB3164" s="122"/>
      <c r="BC3164" s="141"/>
    </row>
    <row r="3165">
      <c r="BB3165" s="122"/>
      <c r="BC3165" s="141"/>
    </row>
    <row r="3166">
      <c r="BB3166" s="122"/>
      <c r="BC3166" s="141"/>
    </row>
    <row r="3167">
      <c r="BB3167" s="122"/>
      <c r="BC3167" s="141"/>
    </row>
    <row r="3168">
      <c r="BB3168" s="122"/>
      <c r="BC3168" s="141"/>
    </row>
    <row r="3169">
      <c r="BB3169" s="122"/>
      <c r="BC3169" s="141"/>
    </row>
    <row r="3170">
      <c r="BB3170" s="122"/>
      <c r="BC3170" s="141"/>
    </row>
    <row r="3171">
      <c r="BB3171" s="122"/>
      <c r="BC3171" s="141"/>
    </row>
    <row r="3172">
      <c r="BB3172" s="122"/>
      <c r="BC3172" s="141"/>
    </row>
    <row r="3173">
      <c r="BB3173" s="122"/>
      <c r="BC3173" s="141"/>
    </row>
    <row r="3174">
      <c r="BB3174" s="122"/>
      <c r="BC3174" s="141"/>
    </row>
    <row r="3175">
      <c r="BB3175" s="122"/>
      <c r="BC3175" s="141"/>
    </row>
    <row r="3176">
      <c r="BB3176" s="122"/>
      <c r="BC3176" s="141"/>
    </row>
    <row r="3177">
      <c r="BB3177" s="122"/>
      <c r="BC3177" s="141"/>
    </row>
    <row r="3178">
      <c r="BB3178" s="122"/>
      <c r="BC3178" s="141"/>
    </row>
    <row r="3179">
      <c r="BB3179" s="122"/>
      <c r="BC3179" s="141"/>
    </row>
    <row r="3180">
      <c r="BB3180" s="122"/>
      <c r="BC3180" s="141"/>
    </row>
    <row r="3181">
      <c r="BB3181" s="122"/>
      <c r="BC3181" s="141"/>
    </row>
    <row r="3182">
      <c r="BB3182" s="122"/>
      <c r="BC3182" s="141"/>
    </row>
    <row r="3183">
      <c r="BB3183" s="122"/>
      <c r="BC3183" s="141"/>
    </row>
    <row r="3184">
      <c r="BB3184" s="122"/>
      <c r="BC3184" s="141"/>
    </row>
    <row r="3185">
      <c r="BB3185" s="122"/>
      <c r="BC3185" s="141"/>
    </row>
    <row r="3186">
      <c r="BB3186" s="122"/>
      <c r="BC3186" s="141"/>
    </row>
    <row r="3187">
      <c r="BB3187" s="122"/>
      <c r="BC3187" s="141"/>
    </row>
    <row r="3188">
      <c r="BB3188" s="122"/>
      <c r="BC3188" s="141"/>
    </row>
    <row r="3189">
      <c r="BB3189" s="122"/>
      <c r="BC3189" s="141"/>
    </row>
    <row r="3190">
      <c r="BB3190" s="122"/>
      <c r="BC3190" s="141"/>
    </row>
    <row r="3191">
      <c r="BB3191" s="122"/>
      <c r="BC3191" s="141"/>
    </row>
    <row r="3192">
      <c r="BB3192" s="122"/>
      <c r="BC3192" s="141"/>
    </row>
    <row r="3193">
      <c r="BB3193" s="122"/>
      <c r="BC3193" s="141"/>
    </row>
    <row r="3194">
      <c r="BB3194" s="122"/>
      <c r="BC3194" s="141"/>
    </row>
    <row r="3195">
      <c r="BB3195" s="122"/>
      <c r="BC3195" s="141"/>
    </row>
    <row r="3196">
      <c r="BB3196" s="122"/>
      <c r="BC3196" s="141"/>
    </row>
    <row r="3197">
      <c r="BB3197" s="122"/>
      <c r="BC3197" s="141"/>
    </row>
    <row r="3198">
      <c r="BB3198" s="122"/>
      <c r="BC3198" s="141"/>
    </row>
    <row r="3199">
      <c r="BB3199" s="122"/>
      <c r="BC3199" s="141"/>
    </row>
    <row r="3200">
      <c r="BB3200" s="122"/>
      <c r="BC3200" s="141"/>
    </row>
    <row r="3201">
      <c r="BB3201" s="122"/>
      <c r="BC3201" s="141"/>
    </row>
    <row r="3202">
      <c r="BB3202" s="122"/>
      <c r="BC3202" s="141"/>
    </row>
    <row r="3203">
      <c r="BB3203" s="122"/>
      <c r="BC3203" s="141"/>
    </row>
    <row r="3204">
      <c r="BB3204" s="122"/>
      <c r="BC3204" s="141"/>
    </row>
    <row r="3205">
      <c r="BB3205" s="122"/>
      <c r="BC3205" s="141"/>
    </row>
    <row r="3206">
      <c r="BB3206" s="122"/>
      <c r="BC3206" s="141"/>
    </row>
    <row r="3207">
      <c r="BB3207" s="122"/>
      <c r="BC3207" s="141"/>
    </row>
    <row r="3208">
      <c r="BB3208" s="122"/>
      <c r="BC3208" s="141"/>
    </row>
    <row r="3209">
      <c r="BB3209" s="122"/>
      <c r="BC3209" s="141"/>
    </row>
    <row r="3210">
      <c r="BB3210" s="122"/>
      <c r="BC3210" s="141"/>
    </row>
    <row r="3211">
      <c r="BB3211" s="122"/>
      <c r="BC3211" s="141"/>
    </row>
    <row r="3212">
      <c r="BB3212" s="122"/>
      <c r="BC3212" s="141"/>
    </row>
    <row r="3213">
      <c r="BB3213" s="122"/>
      <c r="BC3213" s="141"/>
    </row>
    <row r="3214">
      <c r="BB3214" s="122"/>
      <c r="BC3214" s="141"/>
    </row>
    <row r="3215">
      <c r="BB3215" s="122"/>
      <c r="BC3215" s="141"/>
    </row>
    <row r="3216">
      <c r="BB3216" s="122"/>
      <c r="BC3216" s="141"/>
    </row>
    <row r="3217">
      <c r="BB3217" s="122"/>
      <c r="BC3217" s="141"/>
    </row>
    <row r="3218">
      <c r="BB3218" s="122"/>
      <c r="BC3218" s="141"/>
    </row>
    <row r="3219">
      <c r="BB3219" s="122"/>
      <c r="BC3219" s="141"/>
    </row>
    <row r="3220">
      <c r="BB3220" s="122"/>
      <c r="BC3220" s="141"/>
    </row>
    <row r="3221">
      <c r="BB3221" s="122"/>
      <c r="BC3221" s="141"/>
    </row>
    <row r="3222">
      <c r="BB3222" s="122"/>
      <c r="BC3222" s="141"/>
    </row>
    <row r="3223">
      <c r="BB3223" s="122"/>
      <c r="BC3223" s="141"/>
    </row>
    <row r="3224">
      <c r="BB3224" s="122"/>
      <c r="BC3224" s="141"/>
    </row>
    <row r="3225">
      <c r="BB3225" s="122"/>
      <c r="BC3225" s="141"/>
    </row>
    <row r="3226">
      <c r="BB3226" s="122"/>
      <c r="BC3226" s="141"/>
    </row>
    <row r="3227">
      <c r="BB3227" s="122"/>
      <c r="BC3227" s="141"/>
    </row>
    <row r="3228">
      <c r="BB3228" s="122"/>
      <c r="BC3228" s="141"/>
    </row>
    <row r="3229">
      <c r="BB3229" s="122"/>
      <c r="BC3229" s="141"/>
    </row>
    <row r="3230">
      <c r="BB3230" s="122"/>
      <c r="BC3230" s="141"/>
    </row>
    <row r="3231">
      <c r="BB3231" s="122"/>
      <c r="BC3231" s="141"/>
    </row>
    <row r="3232">
      <c r="BB3232" s="122"/>
      <c r="BC3232" s="141"/>
    </row>
    <row r="3233">
      <c r="BB3233" s="122"/>
      <c r="BC3233" s="141"/>
    </row>
    <row r="3234">
      <c r="BB3234" s="122"/>
      <c r="BC3234" s="141"/>
    </row>
    <row r="3235">
      <c r="BB3235" s="122"/>
      <c r="BC3235" s="141"/>
    </row>
    <row r="3236">
      <c r="BB3236" s="122"/>
      <c r="BC3236" s="141"/>
    </row>
    <row r="3237">
      <c r="BB3237" s="122"/>
      <c r="BC3237" s="141"/>
    </row>
    <row r="3238">
      <c r="BB3238" s="122"/>
      <c r="BC3238" s="141"/>
    </row>
    <row r="3239">
      <c r="BB3239" s="122"/>
      <c r="BC3239" s="141"/>
    </row>
    <row r="3240">
      <c r="BB3240" s="122"/>
      <c r="BC3240" s="141"/>
    </row>
    <row r="3241">
      <c r="BB3241" s="122"/>
      <c r="BC3241" s="141"/>
    </row>
    <row r="3242">
      <c r="BB3242" s="122"/>
      <c r="BC3242" s="141"/>
    </row>
    <row r="3243">
      <c r="BB3243" s="122"/>
      <c r="BC3243" s="141"/>
    </row>
    <row r="3244">
      <c r="BB3244" s="122"/>
      <c r="BC3244" s="141"/>
    </row>
    <row r="3245">
      <c r="BB3245" s="122"/>
      <c r="BC3245" s="141"/>
    </row>
    <row r="3246">
      <c r="BB3246" s="122"/>
      <c r="BC3246" s="141"/>
    </row>
    <row r="3247">
      <c r="BB3247" s="122"/>
      <c r="BC3247" s="141"/>
    </row>
    <row r="3248">
      <c r="BB3248" s="122"/>
      <c r="BC3248" s="141"/>
    </row>
    <row r="3249">
      <c r="BB3249" s="122"/>
      <c r="BC3249" s="141"/>
    </row>
    <row r="3250">
      <c r="BB3250" s="122"/>
      <c r="BC3250" s="141"/>
    </row>
    <row r="3251">
      <c r="BB3251" s="122"/>
      <c r="BC3251" s="141"/>
    </row>
    <row r="3252">
      <c r="BB3252" s="122"/>
      <c r="BC3252" s="141"/>
    </row>
    <row r="3253">
      <c r="BB3253" s="122"/>
      <c r="BC3253" s="141"/>
    </row>
    <row r="3254">
      <c r="BB3254" s="122"/>
      <c r="BC3254" s="141"/>
    </row>
    <row r="3255">
      <c r="BB3255" s="122"/>
      <c r="BC3255" s="141"/>
    </row>
    <row r="3256">
      <c r="BB3256" s="122"/>
      <c r="BC3256" s="141"/>
    </row>
    <row r="3257">
      <c r="BB3257" s="122"/>
      <c r="BC3257" s="141"/>
    </row>
    <row r="3258">
      <c r="BB3258" s="122"/>
      <c r="BC3258" s="141"/>
    </row>
    <row r="3259">
      <c r="BB3259" s="122"/>
      <c r="BC3259" s="141"/>
    </row>
    <row r="3260">
      <c r="BB3260" s="122"/>
      <c r="BC3260" s="141"/>
    </row>
    <row r="3261">
      <c r="BB3261" s="122"/>
      <c r="BC3261" s="141"/>
    </row>
    <row r="3262">
      <c r="BB3262" s="122"/>
      <c r="BC3262" s="141"/>
    </row>
    <row r="3263">
      <c r="BB3263" s="122"/>
      <c r="BC3263" s="141"/>
    </row>
    <row r="3264">
      <c r="BB3264" s="122"/>
      <c r="BC3264" s="141"/>
    </row>
    <row r="3265">
      <c r="BB3265" s="122"/>
      <c r="BC3265" s="141"/>
    </row>
    <row r="3266">
      <c r="BB3266" s="122"/>
      <c r="BC3266" s="141"/>
    </row>
    <row r="3267">
      <c r="BB3267" s="122"/>
      <c r="BC3267" s="141"/>
    </row>
    <row r="3268">
      <c r="BB3268" s="122"/>
      <c r="BC3268" s="141"/>
    </row>
    <row r="3269">
      <c r="BB3269" s="122"/>
      <c r="BC3269" s="141"/>
    </row>
    <row r="3270">
      <c r="BB3270" s="122"/>
      <c r="BC3270" s="141"/>
    </row>
    <row r="3271">
      <c r="BB3271" s="122"/>
      <c r="BC3271" s="141"/>
    </row>
    <row r="3272">
      <c r="BB3272" s="122"/>
      <c r="BC3272" s="141"/>
    </row>
    <row r="3273">
      <c r="BB3273" s="122"/>
      <c r="BC3273" s="141"/>
    </row>
    <row r="3274">
      <c r="BB3274" s="122"/>
      <c r="BC3274" s="141"/>
    </row>
    <row r="3275">
      <c r="BB3275" s="122"/>
      <c r="BC3275" s="141"/>
    </row>
    <row r="3276">
      <c r="BB3276" s="122"/>
      <c r="BC3276" s="141"/>
    </row>
    <row r="3277">
      <c r="BB3277" s="122"/>
      <c r="BC3277" s="141"/>
    </row>
    <row r="3278">
      <c r="BB3278" s="122"/>
      <c r="BC3278" s="141"/>
    </row>
    <row r="3279">
      <c r="BB3279" s="122"/>
      <c r="BC3279" s="141"/>
    </row>
    <row r="3280">
      <c r="BB3280" s="122"/>
      <c r="BC3280" s="141"/>
    </row>
    <row r="3281">
      <c r="BB3281" s="122"/>
      <c r="BC3281" s="141"/>
    </row>
    <row r="3282">
      <c r="BB3282" s="122"/>
      <c r="BC3282" s="141"/>
    </row>
    <row r="3283">
      <c r="BB3283" s="122"/>
      <c r="BC3283" s="141"/>
    </row>
    <row r="3284">
      <c r="BB3284" s="122"/>
      <c r="BC3284" s="141"/>
    </row>
    <row r="3285">
      <c r="BB3285" s="122"/>
      <c r="BC3285" s="141"/>
    </row>
    <row r="3286">
      <c r="BB3286" s="122"/>
      <c r="BC3286" s="141"/>
    </row>
    <row r="3287">
      <c r="BB3287" s="122"/>
      <c r="BC3287" s="141"/>
    </row>
    <row r="3288">
      <c r="BB3288" s="122"/>
      <c r="BC3288" s="141"/>
    </row>
    <row r="3289">
      <c r="BB3289" s="122"/>
      <c r="BC3289" s="141"/>
    </row>
    <row r="3290">
      <c r="BB3290" s="122"/>
      <c r="BC3290" s="141"/>
    </row>
    <row r="3291">
      <c r="BB3291" s="122"/>
      <c r="BC3291" s="141"/>
    </row>
    <row r="3292">
      <c r="BB3292" s="122"/>
      <c r="BC3292" s="141"/>
    </row>
    <row r="3293">
      <c r="BB3293" s="122"/>
      <c r="BC3293" s="141"/>
    </row>
    <row r="3294">
      <c r="BB3294" s="122"/>
      <c r="BC3294" s="141"/>
    </row>
    <row r="3295">
      <c r="BB3295" s="122"/>
      <c r="BC3295" s="141"/>
    </row>
    <row r="3296">
      <c r="BB3296" s="122"/>
      <c r="BC3296" s="141"/>
    </row>
    <row r="3297">
      <c r="BB3297" s="122"/>
      <c r="BC3297" s="141"/>
    </row>
    <row r="3298">
      <c r="BB3298" s="122"/>
      <c r="BC3298" s="141"/>
    </row>
    <row r="3299">
      <c r="BB3299" s="122"/>
      <c r="BC3299" s="141"/>
    </row>
    <row r="3300">
      <c r="BB3300" s="122"/>
      <c r="BC3300" s="141"/>
    </row>
    <row r="3301">
      <c r="BB3301" s="122"/>
      <c r="BC3301" s="141"/>
    </row>
    <row r="3302">
      <c r="BB3302" s="122"/>
      <c r="BC3302" s="141"/>
    </row>
    <row r="3303">
      <c r="BB3303" s="122"/>
      <c r="BC3303" s="141"/>
    </row>
    <row r="3304">
      <c r="BB3304" s="122"/>
      <c r="BC3304" s="141"/>
    </row>
    <row r="3305">
      <c r="BB3305" s="122"/>
      <c r="BC3305" s="141"/>
    </row>
    <row r="3306">
      <c r="BB3306" s="122"/>
      <c r="BC3306" s="141"/>
    </row>
    <row r="3307">
      <c r="BB3307" s="122"/>
      <c r="BC3307" s="141"/>
    </row>
    <row r="3308">
      <c r="BB3308" s="122"/>
      <c r="BC3308" s="141"/>
    </row>
    <row r="3309">
      <c r="BB3309" s="122"/>
      <c r="BC3309" s="141"/>
    </row>
    <row r="3310">
      <c r="BB3310" s="122"/>
      <c r="BC3310" s="141"/>
    </row>
    <row r="3311">
      <c r="BB3311" s="122"/>
      <c r="BC3311" s="141"/>
    </row>
    <row r="3312">
      <c r="BB3312" s="122"/>
      <c r="BC3312" s="141"/>
    </row>
    <row r="3313">
      <c r="BB3313" s="122"/>
      <c r="BC3313" s="141"/>
    </row>
    <row r="3314">
      <c r="BB3314" s="122"/>
      <c r="BC3314" s="141"/>
    </row>
    <row r="3315">
      <c r="BB3315" s="122"/>
      <c r="BC3315" s="141"/>
    </row>
    <row r="3316">
      <c r="BB3316" s="122"/>
      <c r="BC3316" s="141"/>
    </row>
    <row r="3317">
      <c r="BB3317" s="122"/>
      <c r="BC3317" s="141"/>
    </row>
    <row r="3318">
      <c r="BB3318" s="122"/>
      <c r="BC3318" s="141"/>
    </row>
    <row r="3319">
      <c r="BB3319" s="122"/>
      <c r="BC3319" s="141"/>
    </row>
    <row r="3320">
      <c r="BB3320" s="122"/>
      <c r="BC3320" s="141"/>
    </row>
    <row r="3321">
      <c r="BB3321" s="122"/>
      <c r="BC3321" s="141"/>
    </row>
    <row r="3322">
      <c r="BB3322" s="122"/>
      <c r="BC3322" s="141"/>
    </row>
    <row r="3323">
      <c r="BB3323" s="122"/>
      <c r="BC3323" s="141"/>
    </row>
    <row r="3324">
      <c r="BB3324" s="122"/>
      <c r="BC3324" s="141"/>
    </row>
    <row r="3325">
      <c r="BB3325" s="122"/>
      <c r="BC3325" s="141"/>
    </row>
    <row r="3326">
      <c r="BB3326" s="122"/>
      <c r="BC3326" s="141"/>
    </row>
    <row r="3327">
      <c r="BB3327" s="122"/>
      <c r="BC3327" s="141"/>
    </row>
    <row r="3328">
      <c r="BB3328" s="122"/>
      <c r="BC3328" s="141"/>
    </row>
    <row r="3329">
      <c r="BB3329" s="122"/>
      <c r="BC3329" s="141"/>
    </row>
    <row r="3330">
      <c r="BB3330" s="122"/>
      <c r="BC3330" s="141"/>
    </row>
    <row r="3331">
      <c r="BB3331" s="122"/>
      <c r="BC3331" s="141"/>
    </row>
    <row r="3332">
      <c r="BB3332" s="122"/>
      <c r="BC3332" s="141"/>
    </row>
    <row r="3333">
      <c r="BB3333" s="122"/>
      <c r="BC3333" s="141"/>
    </row>
    <row r="3334">
      <c r="BB3334" s="122"/>
      <c r="BC3334" s="141"/>
    </row>
    <row r="3335">
      <c r="BB3335" s="122"/>
      <c r="BC3335" s="141"/>
    </row>
    <row r="3336">
      <c r="BB3336" s="122"/>
      <c r="BC3336" s="141"/>
    </row>
    <row r="3337">
      <c r="BB3337" s="122"/>
      <c r="BC3337" s="141"/>
    </row>
    <row r="3338">
      <c r="BB3338" s="122"/>
      <c r="BC3338" s="141"/>
    </row>
    <row r="3339">
      <c r="BB3339" s="122"/>
      <c r="BC3339" s="141"/>
    </row>
    <row r="3340">
      <c r="BB3340" s="122"/>
      <c r="BC3340" s="141"/>
    </row>
    <row r="3341">
      <c r="BB3341" s="122"/>
      <c r="BC3341" s="141"/>
    </row>
    <row r="3342">
      <c r="BB3342" s="122"/>
      <c r="BC3342" s="141"/>
    </row>
    <row r="3343">
      <c r="BB3343" s="122"/>
      <c r="BC3343" s="141"/>
    </row>
    <row r="3344">
      <c r="BB3344" s="122"/>
      <c r="BC3344" s="141"/>
    </row>
    <row r="3345">
      <c r="BB3345" s="122"/>
      <c r="BC3345" s="141"/>
    </row>
    <row r="3346">
      <c r="BB3346" s="122"/>
      <c r="BC3346" s="141"/>
    </row>
    <row r="3347">
      <c r="BB3347" s="122"/>
      <c r="BC3347" s="141"/>
    </row>
    <row r="3348">
      <c r="BB3348" s="122"/>
      <c r="BC3348" s="141"/>
    </row>
    <row r="3349">
      <c r="BB3349" s="122"/>
      <c r="BC3349" s="141"/>
    </row>
    <row r="3350">
      <c r="BB3350" s="122"/>
      <c r="BC3350" s="141"/>
    </row>
    <row r="3351">
      <c r="BB3351" s="122"/>
      <c r="BC3351" s="141"/>
    </row>
    <row r="3352">
      <c r="BB3352" s="122"/>
      <c r="BC3352" s="141"/>
    </row>
    <row r="3353">
      <c r="BB3353" s="122"/>
      <c r="BC3353" s="141"/>
    </row>
    <row r="3354">
      <c r="BB3354" s="122"/>
      <c r="BC3354" s="141"/>
    </row>
    <row r="3355">
      <c r="BB3355" s="122"/>
      <c r="BC3355" s="141"/>
    </row>
    <row r="3356">
      <c r="BB3356" s="122"/>
      <c r="BC3356" s="141"/>
    </row>
    <row r="3357">
      <c r="BB3357" s="122"/>
      <c r="BC3357" s="141"/>
    </row>
    <row r="3358">
      <c r="BB3358" s="122"/>
      <c r="BC3358" s="141"/>
    </row>
    <row r="3359">
      <c r="BB3359" s="122"/>
      <c r="BC3359" s="141"/>
    </row>
    <row r="3360">
      <c r="BB3360" s="122"/>
      <c r="BC3360" s="141"/>
    </row>
    <row r="3361">
      <c r="BB3361" s="122"/>
      <c r="BC3361" s="141"/>
    </row>
    <row r="3362">
      <c r="BB3362" s="122"/>
      <c r="BC3362" s="141"/>
    </row>
    <row r="3363">
      <c r="BB3363" s="122"/>
      <c r="BC3363" s="141"/>
    </row>
    <row r="3364">
      <c r="BB3364" s="122"/>
      <c r="BC3364" s="141"/>
    </row>
    <row r="3365">
      <c r="BB3365" s="122"/>
      <c r="BC3365" s="141"/>
    </row>
    <row r="3366">
      <c r="BB3366" s="122"/>
      <c r="BC3366" s="141"/>
    </row>
    <row r="3367">
      <c r="BB3367" s="122"/>
      <c r="BC3367" s="141"/>
    </row>
    <row r="3368">
      <c r="BB3368" s="122"/>
      <c r="BC3368" s="141"/>
    </row>
    <row r="3369">
      <c r="BB3369" s="122"/>
      <c r="BC3369" s="141"/>
    </row>
    <row r="3370">
      <c r="BB3370" s="122"/>
      <c r="BC3370" s="141"/>
    </row>
    <row r="3371">
      <c r="BB3371" s="122"/>
      <c r="BC3371" s="141"/>
    </row>
    <row r="3372">
      <c r="BB3372" s="122"/>
      <c r="BC3372" s="141"/>
    </row>
    <row r="3373">
      <c r="BB3373" s="122"/>
      <c r="BC3373" s="141"/>
    </row>
    <row r="3374">
      <c r="BB3374" s="122"/>
      <c r="BC3374" s="141"/>
    </row>
    <row r="3375">
      <c r="BB3375" s="122"/>
      <c r="BC3375" s="141"/>
    </row>
    <row r="3376">
      <c r="BB3376" s="122"/>
      <c r="BC3376" s="141"/>
    </row>
    <row r="3377">
      <c r="BB3377" s="122"/>
      <c r="BC3377" s="141"/>
    </row>
    <row r="3378">
      <c r="BB3378" s="122"/>
      <c r="BC3378" s="141"/>
    </row>
    <row r="3379">
      <c r="BB3379" s="122"/>
      <c r="BC3379" s="141"/>
    </row>
    <row r="3380">
      <c r="BB3380" s="122"/>
      <c r="BC3380" s="141"/>
    </row>
    <row r="3381">
      <c r="BB3381" s="122"/>
      <c r="BC3381" s="141"/>
    </row>
    <row r="3382">
      <c r="BB3382" s="122"/>
      <c r="BC3382" s="141"/>
    </row>
    <row r="3383">
      <c r="BB3383" s="122"/>
      <c r="BC3383" s="141"/>
    </row>
    <row r="3384">
      <c r="BB3384" s="122"/>
      <c r="BC3384" s="141"/>
    </row>
    <row r="3385">
      <c r="BB3385" s="122"/>
      <c r="BC3385" s="141"/>
    </row>
    <row r="3386">
      <c r="BB3386" s="122"/>
      <c r="BC3386" s="141"/>
    </row>
    <row r="3387">
      <c r="BB3387" s="122"/>
      <c r="BC3387" s="141"/>
    </row>
    <row r="3388">
      <c r="BB3388" s="122"/>
      <c r="BC3388" s="141"/>
    </row>
    <row r="3389">
      <c r="BB3389" s="122"/>
      <c r="BC3389" s="141"/>
    </row>
    <row r="3390">
      <c r="BB3390" s="122"/>
      <c r="BC3390" s="141"/>
    </row>
    <row r="3391">
      <c r="BB3391" s="122"/>
      <c r="BC3391" s="141"/>
    </row>
    <row r="3392">
      <c r="BB3392" s="122"/>
      <c r="BC3392" s="141"/>
    </row>
    <row r="3393">
      <c r="BB3393" s="122"/>
      <c r="BC3393" s="141"/>
    </row>
    <row r="3394">
      <c r="BB3394" s="122"/>
      <c r="BC3394" s="141"/>
    </row>
    <row r="3395">
      <c r="BB3395" s="122"/>
      <c r="BC3395" s="141"/>
    </row>
    <row r="3396">
      <c r="BB3396" s="122"/>
      <c r="BC3396" s="141"/>
    </row>
    <row r="3397">
      <c r="BB3397" s="122"/>
      <c r="BC3397" s="141"/>
    </row>
    <row r="3398">
      <c r="BB3398" s="122"/>
      <c r="BC3398" s="141"/>
    </row>
    <row r="3399">
      <c r="BB3399" s="122"/>
      <c r="BC3399" s="141"/>
    </row>
    <row r="3400">
      <c r="BB3400" s="122"/>
      <c r="BC3400" s="141"/>
    </row>
    <row r="3401">
      <c r="BB3401" s="122"/>
      <c r="BC3401" s="141"/>
    </row>
    <row r="3402">
      <c r="BB3402" s="122"/>
      <c r="BC3402" s="141"/>
    </row>
    <row r="3403">
      <c r="BB3403" s="122"/>
      <c r="BC3403" s="141"/>
    </row>
    <row r="3404">
      <c r="BB3404" s="122"/>
      <c r="BC3404" s="141"/>
    </row>
    <row r="3405">
      <c r="BB3405" s="122"/>
      <c r="BC3405" s="141"/>
    </row>
    <row r="3406">
      <c r="BB3406" s="122"/>
      <c r="BC3406" s="141"/>
    </row>
    <row r="3407">
      <c r="BB3407" s="122"/>
      <c r="BC3407" s="141"/>
    </row>
    <row r="3408">
      <c r="BB3408" s="122"/>
      <c r="BC3408" s="141"/>
    </row>
    <row r="3409">
      <c r="BB3409" s="122"/>
      <c r="BC3409" s="141"/>
    </row>
    <row r="3410">
      <c r="BB3410" s="122"/>
      <c r="BC3410" s="141"/>
    </row>
    <row r="3411">
      <c r="BB3411" s="122"/>
      <c r="BC3411" s="141"/>
    </row>
    <row r="3412">
      <c r="BB3412" s="122"/>
      <c r="BC3412" s="141"/>
    </row>
    <row r="3413">
      <c r="BB3413" s="122"/>
      <c r="BC3413" s="141"/>
    </row>
    <row r="3414">
      <c r="BB3414" s="122"/>
      <c r="BC3414" s="141"/>
    </row>
    <row r="3415">
      <c r="BB3415" s="122"/>
      <c r="BC3415" s="141"/>
    </row>
    <row r="3416">
      <c r="BB3416" s="122"/>
      <c r="BC3416" s="141"/>
    </row>
    <row r="3417">
      <c r="BB3417" s="122"/>
      <c r="BC3417" s="141"/>
    </row>
    <row r="3418">
      <c r="BB3418" s="122"/>
      <c r="BC3418" s="141"/>
    </row>
    <row r="3419">
      <c r="BB3419" s="122"/>
      <c r="BC3419" s="141"/>
    </row>
    <row r="3420">
      <c r="BB3420" s="122"/>
      <c r="BC3420" s="141"/>
    </row>
    <row r="3421">
      <c r="BB3421" s="122"/>
      <c r="BC3421" s="141"/>
    </row>
    <row r="3422">
      <c r="BB3422" s="122"/>
      <c r="BC3422" s="141"/>
    </row>
    <row r="3423">
      <c r="BB3423" s="122"/>
      <c r="BC3423" s="141"/>
    </row>
    <row r="3424">
      <c r="BB3424" s="122"/>
      <c r="BC3424" s="141"/>
    </row>
    <row r="3425">
      <c r="BB3425" s="122"/>
      <c r="BC3425" s="141"/>
    </row>
    <row r="3426">
      <c r="BB3426" s="122"/>
      <c r="BC3426" s="141"/>
    </row>
    <row r="3427">
      <c r="BB3427" s="122"/>
      <c r="BC3427" s="141"/>
    </row>
    <row r="3428">
      <c r="BB3428" s="122"/>
      <c r="BC3428" s="141"/>
    </row>
    <row r="3429">
      <c r="BB3429" s="122"/>
      <c r="BC3429" s="141"/>
    </row>
    <row r="3430">
      <c r="BB3430" s="122"/>
      <c r="BC3430" s="141"/>
    </row>
    <row r="3431">
      <c r="BB3431" s="122"/>
      <c r="BC3431" s="141"/>
    </row>
    <row r="3432">
      <c r="BB3432" s="122"/>
      <c r="BC3432" s="141"/>
    </row>
    <row r="3433">
      <c r="BB3433" s="122"/>
      <c r="BC3433" s="141"/>
    </row>
    <row r="3434">
      <c r="BB3434" s="122"/>
      <c r="BC3434" s="141"/>
    </row>
    <row r="3435">
      <c r="BB3435" s="122"/>
      <c r="BC3435" s="141"/>
    </row>
    <row r="3436">
      <c r="BB3436" s="122"/>
      <c r="BC3436" s="141"/>
    </row>
    <row r="3437">
      <c r="BB3437" s="122"/>
      <c r="BC3437" s="141"/>
    </row>
    <row r="3438">
      <c r="BB3438" s="122"/>
      <c r="BC3438" s="141"/>
    </row>
    <row r="3439">
      <c r="BB3439" s="122"/>
      <c r="BC3439" s="141"/>
    </row>
    <row r="3440">
      <c r="BB3440" s="122"/>
      <c r="BC3440" s="141"/>
    </row>
    <row r="3441">
      <c r="BB3441" s="122"/>
      <c r="BC3441" s="141"/>
    </row>
    <row r="3442">
      <c r="BB3442" s="122"/>
      <c r="BC3442" s="141"/>
    </row>
    <row r="3443">
      <c r="BB3443" s="122"/>
      <c r="BC3443" s="141"/>
    </row>
    <row r="3444">
      <c r="BB3444" s="122"/>
      <c r="BC3444" s="141"/>
    </row>
    <row r="3445">
      <c r="BB3445" s="122"/>
      <c r="BC3445" s="141"/>
    </row>
    <row r="3446">
      <c r="BB3446" s="122"/>
      <c r="BC3446" s="141"/>
    </row>
    <row r="3447">
      <c r="BB3447" s="122"/>
      <c r="BC3447" s="141"/>
    </row>
    <row r="3448">
      <c r="BB3448" s="122"/>
      <c r="BC3448" s="141"/>
    </row>
    <row r="3449">
      <c r="BB3449" s="122"/>
      <c r="BC3449" s="141"/>
    </row>
    <row r="3450">
      <c r="BB3450" s="122"/>
      <c r="BC3450" s="141"/>
    </row>
    <row r="3451">
      <c r="BB3451" s="122"/>
      <c r="BC3451" s="141"/>
    </row>
    <row r="3452">
      <c r="BB3452" s="122"/>
      <c r="BC3452" s="141"/>
    </row>
    <row r="3453">
      <c r="BB3453" s="122"/>
      <c r="BC3453" s="141"/>
    </row>
    <row r="3454">
      <c r="BB3454" s="122"/>
      <c r="BC3454" s="141"/>
    </row>
    <row r="3455">
      <c r="BB3455" s="122"/>
      <c r="BC3455" s="141"/>
    </row>
    <row r="3456">
      <c r="BB3456" s="122"/>
      <c r="BC3456" s="141"/>
    </row>
    <row r="3457">
      <c r="BB3457" s="122"/>
      <c r="BC3457" s="141"/>
    </row>
    <row r="3458">
      <c r="BB3458" s="122"/>
      <c r="BC3458" s="141"/>
    </row>
    <row r="3459">
      <c r="BB3459" s="122"/>
      <c r="BC3459" s="141"/>
    </row>
    <row r="3460">
      <c r="BB3460" s="122"/>
      <c r="BC3460" s="141"/>
    </row>
    <row r="3461">
      <c r="BB3461" s="122"/>
      <c r="BC3461" s="141"/>
    </row>
    <row r="3462">
      <c r="BB3462" s="122"/>
      <c r="BC3462" s="141"/>
    </row>
    <row r="3463">
      <c r="BB3463" s="122"/>
      <c r="BC3463" s="141"/>
    </row>
    <row r="3464">
      <c r="BB3464" s="122"/>
      <c r="BC3464" s="141"/>
    </row>
    <row r="3465">
      <c r="BB3465" s="122"/>
      <c r="BC3465" s="141"/>
    </row>
    <row r="3466">
      <c r="BB3466" s="122"/>
      <c r="BC3466" s="141"/>
    </row>
    <row r="3467">
      <c r="BB3467" s="122"/>
      <c r="BC3467" s="141"/>
    </row>
    <row r="3468">
      <c r="BB3468" s="122"/>
      <c r="BC3468" s="141"/>
    </row>
    <row r="3469">
      <c r="BB3469" s="122"/>
      <c r="BC3469" s="141"/>
    </row>
    <row r="3470">
      <c r="BB3470" s="122"/>
      <c r="BC3470" s="141"/>
    </row>
    <row r="3471">
      <c r="BB3471" s="122"/>
      <c r="BC3471" s="141"/>
    </row>
    <row r="3472">
      <c r="BB3472" s="122"/>
      <c r="BC3472" s="141"/>
    </row>
    <row r="3473">
      <c r="BB3473" s="122"/>
      <c r="BC3473" s="141"/>
    </row>
    <row r="3474">
      <c r="BB3474" s="122"/>
      <c r="BC3474" s="141"/>
    </row>
    <row r="3475">
      <c r="BB3475" s="122"/>
      <c r="BC3475" s="141"/>
    </row>
    <row r="3476">
      <c r="BB3476" s="122"/>
      <c r="BC3476" s="141"/>
    </row>
    <row r="3477">
      <c r="BB3477" s="122"/>
      <c r="BC3477" s="141"/>
    </row>
    <row r="3478">
      <c r="BB3478" s="122"/>
      <c r="BC3478" s="141"/>
    </row>
    <row r="3479">
      <c r="BB3479" s="122"/>
      <c r="BC3479" s="141"/>
    </row>
    <row r="3480">
      <c r="BB3480" s="122"/>
      <c r="BC3480" s="141"/>
    </row>
    <row r="3481">
      <c r="BB3481" s="122"/>
      <c r="BC3481" s="141"/>
    </row>
    <row r="3482">
      <c r="BB3482" s="122"/>
      <c r="BC3482" s="141"/>
    </row>
    <row r="3483">
      <c r="BB3483" s="122"/>
      <c r="BC3483" s="141"/>
    </row>
    <row r="3484">
      <c r="BB3484" s="122"/>
      <c r="BC3484" s="141"/>
    </row>
    <row r="3485">
      <c r="BB3485" s="122"/>
      <c r="BC3485" s="141"/>
    </row>
    <row r="3486">
      <c r="BB3486" s="122"/>
      <c r="BC3486" s="141"/>
    </row>
    <row r="3487">
      <c r="BB3487" s="122"/>
      <c r="BC3487" s="141"/>
    </row>
    <row r="3488">
      <c r="BB3488" s="122"/>
      <c r="BC3488" s="141"/>
    </row>
    <row r="3489">
      <c r="BB3489" s="122"/>
      <c r="BC3489" s="141"/>
    </row>
    <row r="3490">
      <c r="BB3490" s="122"/>
      <c r="BC3490" s="141"/>
    </row>
    <row r="3491">
      <c r="BB3491" s="122"/>
      <c r="BC3491" s="141"/>
    </row>
    <row r="3492">
      <c r="BB3492" s="122"/>
      <c r="BC3492" s="141"/>
    </row>
    <row r="3493">
      <c r="BB3493" s="122"/>
      <c r="BC3493" s="141"/>
    </row>
    <row r="3494">
      <c r="BB3494" s="122"/>
      <c r="BC3494" s="141"/>
    </row>
    <row r="3495">
      <c r="BB3495" s="122"/>
      <c r="BC3495" s="141"/>
    </row>
    <row r="3496">
      <c r="BB3496" s="122"/>
      <c r="BC3496" s="141"/>
    </row>
    <row r="3497">
      <c r="BB3497" s="122"/>
      <c r="BC3497" s="141"/>
    </row>
    <row r="3498">
      <c r="BB3498" s="122"/>
      <c r="BC3498" s="141"/>
    </row>
    <row r="3499">
      <c r="BB3499" s="122"/>
      <c r="BC3499" s="141"/>
    </row>
    <row r="3500">
      <c r="BB3500" s="122"/>
      <c r="BC3500" s="141"/>
    </row>
    <row r="3501">
      <c r="BB3501" s="122"/>
      <c r="BC3501" s="141"/>
    </row>
    <row r="3502">
      <c r="BB3502" s="122"/>
      <c r="BC3502" s="141"/>
    </row>
    <row r="3503">
      <c r="BB3503" s="122"/>
      <c r="BC3503" s="141"/>
    </row>
    <row r="3504">
      <c r="BB3504" s="122"/>
      <c r="BC3504" s="141"/>
    </row>
    <row r="3505">
      <c r="BB3505" s="122"/>
      <c r="BC3505" s="141"/>
    </row>
    <row r="3506">
      <c r="BB3506" s="122"/>
      <c r="BC3506" s="141"/>
    </row>
    <row r="3507">
      <c r="BB3507" s="122"/>
      <c r="BC3507" s="141"/>
    </row>
    <row r="3508">
      <c r="BB3508" s="122"/>
      <c r="BC3508" s="141"/>
    </row>
    <row r="3509">
      <c r="BB3509" s="122"/>
      <c r="BC3509" s="141"/>
    </row>
    <row r="3510">
      <c r="BB3510" s="122"/>
      <c r="BC3510" s="141"/>
    </row>
    <row r="3511">
      <c r="BB3511" s="122"/>
      <c r="BC3511" s="141"/>
    </row>
    <row r="3512">
      <c r="BB3512" s="122"/>
      <c r="BC3512" s="141"/>
    </row>
    <row r="3513">
      <c r="BB3513" s="122"/>
      <c r="BC3513" s="141"/>
    </row>
    <row r="3514">
      <c r="BB3514" s="122"/>
      <c r="BC3514" s="141"/>
    </row>
    <row r="3515">
      <c r="BB3515" s="122"/>
      <c r="BC3515" s="141"/>
    </row>
    <row r="3516">
      <c r="BB3516" s="122"/>
      <c r="BC3516" s="141"/>
    </row>
    <row r="3517">
      <c r="BB3517" s="122"/>
      <c r="BC3517" s="141"/>
    </row>
    <row r="3518">
      <c r="BB3518" s="122"/>
      <c r="BC3518" s="141"/>
    </row>
    <row r="3519">
      <c r="BB3519" s="122"/>
      <c r="BC3519" s="141"/>
    </row>
    <row r="3520">
      <c r="BB3520" s="122"/>
      <c r="BC3520" s="141"/>
    </row>
    <row r="3521">
      <c r="BB3521" s="122"/>
      <c r="BC3521" s="141"/>
    </row>
    <row r="3522">
      <c r="BB3522" s="122"/>
      <c r="BC3522" s="141"/>
    </row>
    <row r="3523">
      <c r="BB3523" s="122"/>
      <c r="BC3523" s="141"/>
    </row>
    <row r="3524">
      <c r="BB3524" s="122"/>
      <c r="BC3524" s="141"/>
    </row>
    <row r="3525">
      <c r="BB3525" s="122"/>
      <c r="BC3525" s="141"/>
    </row>
    <row r="3526">
      <c r="BB3526" s="122"/>
      <c r="BC3526" s="141"/>
    </row>
    <row r="3527">
      <c r="BB3527" s="122"/>
      <c r="BC3527" s="141"/>
    </row>
    <row r="3528">
      <c r="BB3528" s="122"/>
      <c r="BC3528" s="141"/>
    </row>
    <row r="3529">
      <c r="BB3529" s="122"/>
      <c r="BC3529" s="141"/>
    </row>
    <row r="3530">
      <c r="BB3530" s="122"/>
      <c r="BC3530" s="141"/>
    </row>
    <row r="3531">
      <c r="BB3531" s="122"/>
      <c r="BC3531" s="141"/>
    </row>
    <row r="3532">
      <c r="BB3532" s="122"/>
      <c r="BC3532" s="141"/>
    </row>
    <row r="3533">
      <c r="BB3533" s="122"/>
      <c r="BC3533" s="141"/>
    </row>
    <row r="3534">
      <c r="BB3534" s="122"/>
      <c r="BC3534" s="141"/>
    </row>
    <row r="3535">
      <c r="BB3535" s="122"/>
      <c r="BC3535" s="141"/>
    </row>
    <row r="3536">
      <c r="BB3536" s="122"/>
      <c r="BC3536" s="141"/>
    </row>
    <row r="3537">
      <c r="BB3537" s="122"/>
      <c r="BC3537" s="141"/>
    </row>
    <row r="3538">
      <c r="BB3538" s="122"/>
      <c r="BC3538" s="141"/>
    </row>
    <row r="3539">
      <c r="BB3539" s="122"/>
      <c r="BC3539" s="141"/>
    </row>
    <row r="3540">
      <c r="BB3540" s="122"/>
      <c r="BC3540" s="141"/>
    </row>
    <row r="3541">
      <c r="BB3541" s="122"/>
      <c r="BC3541" s="141"/>
    </row>
    <row r="3542">
      <c r="BB3542" s="122"/>
      <c r="BC3542" s="141"/>
    </row>
    <row r="3543">
      <c r="BB3543" s="122"/>
      <c r="BC3543" s="141"/>
    </row>
    <row r="3544">
      <c r="BB3544" s="122"/>
      <c r="BC3544" s="141"/>
    </row>
    <row r="3545">
      <c r="BB3545" s="122"/>
      <c r="BC3545" s="141"/>
    </row>
    <row r="3546">
      <c r="BB3546" s="122"/>
      <c r="BC3546" s="141"/>
    </row>
    <row r="3547">
      <c r="BB3547" s="122"/>
      <c r="BC3547" s="141"/>
    </row>
    <row r="3548">
      <c r="BB3548" s="122"/>
      <c r="BC3548" s="141"/>
    </row>
    <row r="3549">
      <c r="BB3549" s="122"/>
      <c r="BC3549" s="141"/>
    </row>
    <row r="3550">
      <c r="BB3550" s="122"/>
      <c r="BC3550" s="141"/>
    </row>
    <row r="3551">
      <c r="BB3551" s="122"/>
      <c r="BC3551" s="141"/>
    </row>
    <row r="3552">
      <c r="BB3552" s="122"/>
      <c r="BC3552" s="141"/>
    </row>
    <row r="3553">
      <c r="BB3553" s="122"/>
      <c r="BC3553" s="141"/>
    </row>
    <row r="3554">
      <c r="BB3554" s="122"/>
      <c r="BC3554" s="141"/>
    </row>
    <row r="3555">
      <c r="BB3555" s="122"/>
      <c r="BC3555" s="141"/>
    </row>
    <row r="3556">
      <c r="BB3556" s="122"/>
      <c r="BC3556" s="141"/>
    </row>
    <row r="3557">
      <c r="BB3557" s="122"/>
      <c r="BC3557" s="141"/>
    </row>
    <row r="3558">
      <c r="BB3558" s="122"/>
      <c r="BC3558" s="141"/>
    </row>
    <row r="3559">
      <c r="BB3559" s="122"/>
      <c r="BC3559" s="141"/>
    </row>
    <row r="3560">
      <c r="BB3560" s="122"/>
      <c r="BC3560" s="141"/>
    </row>
    <row r="3561">
      <c r="BB3561" s="122"/>
      <c r="BC3561" s="141"/>
    </row>
    <row r="3562">
      <c r="BB3562" s="122"/>
      <c r="BC3562" s="141"/>
    </row>
    <row r="3563">
      <c r="BB3563" s="122"/>
      <c r="BC3563" s="141"/>
    </row>
    <row r="3564">
      <c r="BB3564" s="122"/>
      <c r="BC3564" s="141"/>
    </row>
    <row r="3565">
      <c r="BB3565" s="122"/>
      <c r="BC3565" s="141"/>
    </row>
    <row r="3566">
      <c r="BB3566" s="122"/>
      <c r="BC3566" s="141"/>
    </row>
    <row r="3567">
      <c r="BB3567" s="122"/>
      <c r="BC3567" s="141"/>
    </row>
    <row r="3568">
      <c r="BB3568" s="122"/>
      <c r="BC3568" s="141"/>
    </row>
    <row r="3569">
      <c r="BB3569" s="122"/>
      <c r="BC3569" s="141"/>
    </row>
    <row r="3570">
      <c r="BB3570" s="122"/>
      <c r="BC3570" s="141"/>
    </row>
    <row r="3571">
      <c r="BB3571" s="122"/>
      <c r="BC3571" s="141"/>
    </row>
    <row r="3572">
      <c r="BB3572" s="122"/>
      <c r="BC3572" s="141"/>
    </row>
    <row r="3573">
      <c r="BB3573" s="122"/>
      <c r="BC3573" s="141"/>
    </row>
    <row r="3574">
      <c r="BB3574" s="122"/>
      <c r="BC3574" s="141"/>
    </row>
    <row r="3575">
      <c r="BB3575" s="122"/>
      <c r="BC3575" s="141"/>
    </row>
    <row r="3576">
      <c r="BB3576" s="122"/>
      <c r="BC3576" s="141"/>
    </row>
    <row r="3577">
      <c r="BB3577" s="122"/>
      <c r="BC3577" s="141"/>
    </row>
    <row r="3578">
      <c r="BB3578" s="122"/>
      <c r="BC3578" s="141"/>
    </row>
    <row r="3579">
      <c r="BB3579" s="122"/>
      <c r="BC3579" s="141"/>
    </row>
    <row r="3580">
      <c r="BB3580" s="122"/>
      <c r="BC3580" s="141"/>
    </row>
    <row r="3581">
      <c r="BB3581" s="122"/>
      <c r="BC3581" s="141"/>
    </row>
    <row r="3582">
      <c r="BB3582" s="122"/>
      <c r="BC3582" s="141"/>
    </row>
    <row r="3583">
      <c r="BB3583" s="122"/>
      <c r="BC3583" s="141"/>
    </row>
    <row r="3584">
      <c r="BB3584" s="122"/>
      <c r="BC3584" s="141"/>
    </row>
    <row r="3585">
      <c r="BB3585" s="122"/>
      <c r="BC3585" s="141"/>
    </row>
    <row r="3586">
      <c r="BB3586" s="122"/>
      <c r="BC3586" s="141"/>
    </row>
    <row r="3587">
      <c r="BB3587" s="122"/>
      <c r="BC3587" s="141"/>
    </row>
    <row r="3588">
      <c r="BB3588" s="122"/>
      <c r="BC3588" s="141"/>
    </row>
    <row r="3589">
      <c r="BB3589" s="122"/>
      <c r="BC3589" s="141"/>
    </row>
    <row r="3590">
      <c r="BB3590" s="122"/>
      <c r="BC3590" s="141"/>
    </row>
    <row r="3591">
      <c r="BB3591" s="122"/>
      <c r="BC3591" s="141"/>
    </row>
    <row r="3592">
      <c r="BB3592" s="122"/>
      <c r="BC3592" s="141"/>
    </row>
    <row r="3593">
      <c r="BB3593" s="122"/>
      <c r="BC3593" s="141"/>
    </row>
    <row r="3594">
      <c r="BB3594" s="122"/>
      <c r="BC3594" s="141"/>
    </row>
    <row r="3595">
      <c r="BB3595" s="122"/>
      <c r="BC3595" s="141"/>
    </row>
    <row r="3596">
      <c r="BB3596" s="122"/>
      <c r="BC3596" s="141"/>
    </row>
    <row r="3597">
      <c r="BB3597" s="122"/>
      <c r="BC3597" s="141"/>
    </row>
    <row r="3598">
      <c r="BB3598" s="122"/>
      <c r="BC3598" s="141"/>
    </row>
    <row r="3599">
      <c r="BB3599" s="122"/>
      <c r="BC3599" s="141"/>
    </row>
    <row r="3600">
      <c r="BB3600" s="122"/>
      <c r="BC3600" s="141"/>
    </row>
    <row r="3601">
      <c r="BB3601" s="122"/>
      <c r="BC3601" s="141"/>
    </row>
    <row r="3602">
      <c r="BB3602" s="122"/>
      <c r="BC3602" s="141"/>
    </row>
    <row r="3603">
      <c r="BB3603" s="122"/>
      <c r="BC3603" s="141"/>
    </row>
    <row r="3604">
      <c r="BB3604" s="122"/>
      <c r="BC3604" s="141"/>
    </row>
    <row r="3605">
      <c r="BB3605" s="122"/>
      <c r="BC3605" s="141"/>
    </row>
    <row r="3606">
      <c r="BB3606" s="122"/>
      <c r="BC3606" s="141"/>
    </row>
    <row r="3607">
      <c r="BB3607" s="122"/>
      <c r="BC3607" s="141"/>
    </row>
    <row r="3608">
      <c r="BB3608" s="122"/>
      <c r="BC3608" s="141"/>
    </row>
    <row r="3609">
      <c r="BB3609" s="122"/>
      <c r="BC3609" s="141"/>
    </row>
    <row r="3610">
      <c r="BB3610" s="122"/>
      <c r="BC3610" s="141"/>
    </row>
    <row r="3611">
      <c r="BB3611" s="122"/>
      <c r="BC3611" s="141"/>
    </row>
    <row r="3612">
      <c r="BB3612" s="122"/>
      <c r="BC3612" s="141"/>
    </row>
    <row r="3613">
      <c r="BB3613" s="122"/>
      <c r="BC3613" s="141"/>
    </row>
    <row r="3614">
      <c r="BB3614" s="122"/>
      <c r="BC3614" s="141"/>
    </row>
    <row r="3615">
      <c r="BB3615" s="122"/>
      <c r="BC3615" s="141"/>
    </row>
    <row r="3616">
      <c r="BB3616" s="122"/>
      <c r="BC3616" s="141"/>
    </row>
    <row r="3617">
      <c r="BB3617" s="122"/>
      <c r="BC3617" s="141"/>
    </row>
    <row r="3618">
      <c r="BB3618" s="122"/>
      <c r="BC3618" s="141"/>
    </row>
    <row r="3619">
      <c r="BB3619" s="122"/>
      <c r="BC3619" s="141"/>
    </row>
    <row r="3620">
      <c r="BB3620" s="122"/>
      <c r="BC3620" s="141"/>
    </row>
    <row r="3621">
      <c r="BB3621" s="122"/>
      <c r="BC3621" s="141"/>
    </row>
    <row r="3622">
      <c r="BB3622" s="122"/>
      <c r="BC3622" s="141"/>
    </row>
    <row r="3623">
      <c r="BB3623" s="122"/>
      <c r="BC3623" s="141"/>
    </row>
    <row r="3624">
      <c r="BB3624" s="122"/>
      <c r="BC3624" s="141"/>
    </row>
    <row r="3625">
      <c r="BB3625" s="122"/>
      <c r="BC3625" s="141"/>
    </row>
    <row r="3626">
      <c r="BB3626" s="122"/>
      <c r="BC3626" s="141"/>
    </row>
    <row r="3627">
      <c r="BB3627" s="122"/>
      <c r="BC3627" s="141"/>
    </row>
    <row r="3628">
      <c r="BB3628" s="122"/>
      <c r="BC3628" s="141"/>
    </row>
    <row r="3629">
      <c r="BB3629" s="122"/>
      <c r="BC3629" s="141"/>
    </row>
    <row r="3630">
      <c r="BB3630" s="122"/>
      <c r="BC3630" s="141"/>
    </row>
    <row r="3631">
      <c r="BB3631" s="122"/>
      <c r="BC3631" s="141"/>
    </row>
    <row r="3632">
      <c r="BB3632" s="122"/>
      <c r="BC3632" s="141"/>
    </row>
    <row r="3633">
      <c r="BB3633" s="122"/>
      <c r="BC3633" s="141"/>
    </row>
    <row r="3634">
      <c r="BB3634" s="122"/>
      <c r="BC3634" s="141"/>
    </row>
    <row r="3635">
      <c r="BB3635" s="122"/>
      <c r="BC3635" s="141"/>
    </row>
    <row r="3636">
      <c r="BB3636" s="122"/>
      <c r="BC3636" s="141"/>
    </row>
    <row r="3637">
      <c r="BB3637" s="122"/>
      <c r="BC3637" s="141"/>
    </row>
    <row r="3638">
      <c r="BB3638" s="122"/>
      <c r="BC3638" s="141"/>
    </row>
    <row r="3639">
      <c r="BB3639" s="122"/>
      <c r="BC3639" s="141"/>
    </row>
    <row r="3640">
      <c r="BB3640" s="122"/>
      <c r="BC3640" s="141"/>
    </row>
    <row r="3641">
      <c r="BB3641" s="122"/>
      <c r="BC3641" s="141"/>
    </row>
    <row r="3642">
      <c r="BB3642" s="122"/>
      <c r="BC3642" s="141"/>
    </row>
    <row r="3643">
      <c r="BB3643" s="122"/>
      <c r="BC3643" s="141"/>
    </row>
    <row r="3644">
      <c r="BB3644" s="122"/>
      <c r="BC3644" s="141"/>
    </row>
    <row r="3645">
      <c r="BB3645" s="122"/>
      <c r="BC3645" s="141"/>
    </row>
    <row r="3646">
      <c r="BB3646" s="122"/>
      <c r="BC3646" s="141"/>
    </row>
    <row r="3647">
      <c r="BB3647" s="122"/>
      <c r="BC3647" s="141"/>
    </row>
    <row r="3648">
      <c r="BB3648" s="122"/>
      <c r="BC3648" s="141"/>
    </row>
    <row r="3649">
      <c r="BB3649" s="122"/>
      <c r="BC3649" s="141"/>
    </row>
    <row r="3650">
      <c r="BB3650" s="122"/>
      <c r="BC3650" s="141"/>
    </row>
    <row r="3651">
      <c r="BB3651" s="122"/>
      <c r="BC3651" s="141"/>
    </row>
    <row r="3652">
      <c r="BB3652" s="122"/>
      <c r="BC3652" s="141"/>
    </row>
    <row r="3653">
      <c r="BB3653" s="122"/>
      <c r="BC3653" s="141"/>
    </row>
    <row r="3654">
      <c r="BB3654" s="122"/>
      <c r="BC3654" s="141"/>
    </row>
    <row r="3655">
      <c r="BB3655" s="122"/>
      <c r="BC3655" s="141"/>
    </row>
    <row r="3656">
      <c r="BB3656" s="122"/>
      <c r="BC3656" s="141"/>
    </row>
    <row r="3657">
      <c r="BB3657" s="122"/>
      <c r="BC3657" s="141"/>
    </row>
    <row r="3658">
      <c r="BB3658" s="122"/>
      <c r="BC3658" s="141"/>
    </row>
    <row r="3659">
      <c r="BB3659" s="122"/>
      <c r="BC3659" s="141"/>
    </row>
    <row r="3660">
      <c r="BB3660" s="122"/>
      <c r="BC3660" s="141"/>
    </row>
    <row r="3661">
      <c r="BB3661" s="122"/>
      <c r="BC3661" s="141"/>
    </row>
    <row r="3662">
      <c r="BB3662" s="122"/>
      <c r="BC3662" s="141"/>
    </row>
    <row r="3663">
      <c r="BB3663" s="122"/>
      <c r="BC3663" s="141"/>
    </row>
    <row r="3664">
      <c r="BB3664" s="122"/>
      <c r="BC3664" s="141"/>
    </row>
    <row r="3665">
      <c r="BB3665" s="122"/>
      <c r="BC3665" s="141"/>
    </row>
    <row r="3666">
      <c r="BB3666" s="122"/>
      <c r="BC3666" s="141"/>
    </row>
    <row r="3667">
      <c r="BB3667" s="122"/>
      <c r="BC3667" s="141"/>
    </row>
    <row r="3668">
      <c r="BB3668" s="122"/>
      <c r="BC3668" s="141"/>
    </row>
    <row r="3669">
      <c r="BB3669" s="122"/>
      <c r="BC3669" s="141"/>
    </row>
    <row r="3670">
      <c r="BB3670" s="122"/>
      <c r="BC3670" s="141"/>
    </row>
    <row r="3671">
      <c r="BB3671" s="122"/>
      <c r="BC3671" s="141"/>
    </row>
    <row r="3672">
      <c r="BB3672" s="122"/>
      <c r="BC3672" s="141"/>
    </row>
    <row r="3673">
      <c r="BB3673" s="122"/>
      <c r="BC3673" s="141"/>
    </row>
    <row r="3674">
      <c r="BB3674" s="122"/>
      <c r="BC3674" s="141"/>
    </row>
    <row r="3675">
      <c r="BB3675" s="122"/>
      <c r="BC3675" s="141"/>
    </row>
    <row r="3676">
      <c r="BB3676" s="122"/>
      <c r="BC3676" s="141"/>
    </row>
    <row r="3677">
      <c r="BB3677" s="122"/>
      <c r="BC3677" s="141"/>
    </row>
    <row r="3678">
      <c r="BB3678" s="122"/>
      <c r="BC3678" s="141"/>
    </row>
    <row r="3679">
      <c r="BB3679" s="122"/>
      <c r="BC3679" s="141"/>
    </row>
    <row r="3680">
      <c r="BB3680" s="122"/>
      <c r="BC3680" s="141"/>
    </row>
    <row r="3681">
      <c r="BB3681" s="122"/>
      <c r="BC3681" s="141"/>
    </row>
    <row r="3682">
      <c r="BB3682" s="122"/>
      <c r="BC3682" s="141"/>
    </row>
    <row r="3683">
      <c r="BB3683" s="122"/>
      <c r="BC3683" s="141"/>
    </row>
    <row r="3684">
      <c r="BB3684" s="122"/>
      <c r="BC3684" s="141"/>
    </row>
    <row r="3685">
      <c r="BB3685" s="122"/>
      <c r="BC3685" s="141"/>
    </row>
    <row r="3686">
      <c r="BB3686" s="122"/>
      <c r="BC3686" s="141"/>
    </row>
    <row r="3687">
      <c r="BB3687" s="122"/>
      <c r="BC3687" s="141"/>
    </row>
    <row r="3688">
      <c r="BB3688" s="122"/>
      <c r="BC3688" s="141"/>
    </row>
    <row r="3689">
      <c r="BB3689" s="122"/>
      <c r="BC3689" s="141"/>
    </row>
    <row r="3690">
      <c r="BB3690" s="122"/>
      <c r="BC3690" s="141"/>
    </row>
    <row r="3691">
      <c r="BB3691" s="122"/>
      <c r="BC3691" s="141"/>
    </row>
    <row r="3692">
      <c r="BB3692" s="122"/>
      <c r="BC3692" s="141"/>
    </row>
    <row r="3693">
      <c r="BB3693" s="122"/>
      <c r="BC3693" s="141"/>
    </row>
    <row r="3694">
      <c r="BB3694" s="122"/>
      <c r="BC3694" s="141"/>
    </row>
    <row r="3695">
      <c r="BB3695" s="122"/>
      <c r="BC3695" s="141"/>
    </row>
    <row r="3696">
      <c r="BB3696" s="122"/>
      <c r="BC3696" s="141"/>
    </row>
    <row r="3697">
      <c r="BB3697" s="122"/>
      <c r="BC3697" s="141"/>
    </row>
    <row r="3698">
      <c r="BB3698" s="122"/>
      <c r="BC3698" s="141"/>
    </row>
    <row r="3699">
      <c r="BB3699" s="122"/>
      <c r="BC3699" s="141"/>
    </row>
    <row r="3700">
      <c r="BB3700" s="122"/>
      <c r="BC3700" s="141"/>
    </row>
    <row r="3701">
      <c r="BB3701" s="122"/>
      <c r="BC3701" s="141"/>
    </row>
    <row r="3702">
      <c r="BB3702" s="122"/>
      <c r="BC3702" s="141"/>
    </row>
    <row r="3703">
      <c r="BB3703" s="122"/>
      <c r="BC3703" s="141"/>
    </row>
    <row r="3704">
      <c r="BB3704" s="122"/>
      <c r="BC3704" s="141"/>
    </row>
    <row r="3705">
      <c r="BB3705" s="122"/>
      <c r="BC3705" s="141"/>
    </row>
    <row r="3706">
      <c r="BB3706" s="122"/>
      <c r="BC3706" s="141"/>
    </row>
    <row r="3707">
      <c r="BB3707" s="122"/>
      <c r="BC3707" s="141"/>
    </row>
    <row r="3708">
      <c r="BB3708" s="122"/>
      <c r="BC3708" s="141"/>
    </row>
    <row r="3709">
      <c r="BB3709" s="122"/>
      <c r="BC3709" s="141"/>
    </row>
    <row r="3710">
      <c r="BB3710" s="122"/>
      <c r="BC3710" s="141"/>
    </row>
    <row r="3711">
      <c r="BB3711" s="122"/>
      <c r="BC3711" s="141"/>
    </row>
    <row r="3712">
      <c r="BB3712" s="122"/>
      <c r="BC3712" s="141"/>
    </row>
    <row r="3713">
      <c r="BB3713" s="122"/>
      <c r="BC3713" s="141"/>
    </row>
    <row r="3714">
      <c r="BB3714" s="122"/>
      <c r="BC3714" s="141"/>
    </row>
    <row r="3715">
      <c r="BB3715" s="122"/>
      <c r="BC3715" s="141"/>
    </row>
    <row r="3716">
      <c r="BB3716" s="122"/>
      <c r="BC3716" s="141"/>
    </row>
    <row r="3717">
      <c r="BB3717" s="122"/>
      <c r="BC3717" s="141"/>
    </row>
    <row r="3718">
      <c r="BB3718" s="122"/>
      <c r="BC3718" s="141"/>
    </row>
    <row r="3719">
      <c r="BB3719" s="122"/>
      <c r="BC3719" s="141"/>
    </row>
    <row r="3720">
      <c r="BB3720" s="122"/>
      <c r="BC3720" s="141"/>
    </row>
    <row r="3721">
      <c r="BB3721" s="122"/>
      <c r="BC3721" s="141"/>
    </row>
    <row r="3722">
      <c r="BB3722" s="122"/>
      <c r="BC3722" s="141"/>
    </row>
    <row r="3723">
      <c r="BB3723" s="122"/>
      <c r="BC3723" s="141"/>
    </row>
    <row r="3724">
      <c r="BB3724" s="122"/>
      <c r="BC3724" s="141"/>
    </row>
    <row r="3725">
      <c r="BB3725" s="122"/>
      <c r="BC3725" s="141"/>
    </row>
    <row r="3726">
      <c r="BB3726" s="122"/>
      <c r="BC3726" s="141"/>
    </row>
    <row r="3727">
      <c r="BB3727" s="122"/>
      <c r="BC3727" s="141"/>
    </row>
    <row r="3728">
      <c r="BB3728" s="122"/>
      <c r="BC3728" s="141"/>
    </row>
    <row r="3729">
      <c r="BB3729" s="122"/>
      <c r="BC3729" s="141"/>
    </row>
    <row r="3730">
      <c r="BB3730" s="122"/>
      <c r="BC3730" s="141"/>
    </row>
    <row r="3731">
      <c r="BB3731" s="122"/>
      <c r="BC3731" s="141"/>
    </row>
    <row r="3732">
      <c r="BB3732" s="122"/>
      <c r="BC3732" s="141"/>
    </row>
    <row r="3733">
      <c r="BB3733" s="122"/>
      <c r="BC3733" s="141"/>
    </row>
    <row r="3734">
      <c r="BB3734" s="122"/>
      <c r="BC3734" s="141"/>
    </row>
    <row r="3735">
      <c r="BB3735" s="122"/>
      <c r="BC3735" s="141"/>
    </row>
    <row r="3736">
      <c r="BB3736" s="122"/>
      <c r="BC3736" s="141"/>
    </row>
    <row r="3737">
      <c r="BB3737" s="122"/>
      <c r="BC3737" s="141"/>
    </row>
    <row r="3738">
      <c r="BB3738" s="122"/>
      <c r="BC3738" s="141"/>
    </row>
    <row r="3739">
      <c r="BB3739" s="122"/>
      <c r="BC3739" s="141"/>
    </row>
    <row r="3740">
      <c r="BB3740" s="122"/>
      <c r="BC3740" s="141"/>
    </row>
    <row r="3741">
      <c r="BB3741" s="122"/>
      <c r="BC3741" s="141"/>
    </row>
    <row r="3742">
      <c r="BB3742" s="122"/>
      <c r="BC3742" s="141"/>
    </row>
    <row r="3743">
      <c r="BB3743" s="122"/>
      <c r="BC3743" s="141"/>
    </row>
    <row r="3744">
      <c r="BB3744" s="122"/>
      <c r="BC3744" s="141"/>
    </row>
    <row r="3745">
      <c r="BB3745" s="122"/>
      <c r="BC3745" s="141"/>
    </row>
    <row r="3746">
      <c r="BB3746" s="122"/>
      <c r="BC3746" s="141"/>
    </row>
    <row r="3747">
      <c r="BB3747" s="122"/>
      <c r="BC3747" s="141"/>
    </row>
    <row r="3748">
      <c r="BB3748" s="122"/>
      <c r="BC3748" s="141"/>
    </row>
    <row r="3749">
      <c r="BB3749" s="122"/>
      <c r="BC3749" s="141"/>
    </row>
    <row r="3750">
      <c r="BB3750" s="122"/>
      <c r="BC3750" s="141"/>
    </row>
    <row r="3751">
      <c r="BB3751" s="122"/>
      <c r="BC3751" s="141"/>
    </row>
    <row r="3752">
      <c r="BB3752" s="122"/>
      <c r="BC3752" s="141"/>
    </row>
    <row r="3753">
      <c r="BB3753" s="122"/>
      <c r="BC3753" s="141"/>
    </row>
    <row r="3754">
      <c r="BB3754" s="122"/>
      <c r="BC3754" s="141"/>
    </row>
    <row r="3755">
      <c r="BB3755" s="122"/>
      <c r="BC3755" s="141"/>
    </row>
    <row r="3756">
      <c r="BB3756" s="122"/>
      <c r="BC3756" s="141"/>
    </row>
    <row r="3757">
      <c r="BB3757" s="122"/>
      <c r="BC3757" s="141"/>
    </row>
    <row r="3758">
      <c r="BB3758" s="122"/>
      <c r="BC3758" s="141"/>
    </row>
    <row r="3759">
      <c r="BB3759" s="122"/>
      <c r="BC3759" s="141"/>
    </row>
    <row r="3760">
      <c r="BB3760" s="122"/>
      <c r="BC3760" s="141"/>
    </row>
    <row r="3761">
      <c r="BB3761" s="122"/>
      <c r="BC3761" s="141"/>
    </row>
    <row r="3762">
      <c r="BB3762" s="122"/>
      <c r="BC3762" s="141"/>
    </row>
    <row r="3763">
      <c r="BB3763" s="122"/>
      <c r="BC3763" s="141"/>
    </row>
    <row r="3764">
      <c r="BB3764" s="122"/>
      <c r="BC3764" s="141"/>
    </row>
    <row r="3765">
      <c r="BB3765" s="122"/>
      <c r="BC3765" s="141"/>
    </row>
    <row r="3766">
      <c r="BB3766" s="122"/>
      <c r="BC3766" s="141"/>
    </row>
    <row r="3767">
      <c r="BB3767" s="122"/>
      <c r="BC3767" s="141"/>
    </row>
    <row r="3768">
      <c r="BB3768" s="122"/>
      <c r="BC3768" s="141"/>
    </row>
    <row r="3769">
      <c r="BB3769" s="122"/>
      <c r="BC3769" s="141"/>
    </row>
    <row r="3770">
      <c r="BB3770" s="122"/>
      <c r="BC3770" s="141"/>
    </row>
    <row r="3771">
      <c r="BB3771" s="122"/>
      <c r="BC3771" s="141"/>
    </row>
    <row r="3772">
      <c r="BB3772" s="122"/>
      <c r="BC3772" s="141"/>
    </row>
    <row r="3773">
      <c r="BB3773" s="122"/>
      <c r="BC3773" s="141"/>
    </row>
    <row r="3774">
      <c r="BB3774" s="122"/>
      <c r="BC3774" s="141"/>
    </row>
    <row r="3775">
      <c r="BB3775" s="122"/>
      <c r="BC3775" s="141"/>
    </row>
    <row r="3776">
      <c r="BB3776" s="122"/>
      <c r="BC3776" s="141"/>
    </row>
    <row r="3777">
      <c r="BB3777" s="122"/>
      <c r="BC3777" s="141"/>
    </row>
    <row r="3778">
      <c r="BB3778" s="122"/>
      <c r="BC3778" s="141"/>
    </row>
    <row r="3779">
      <c r="BB3779" s="122"/>
      <c r="BC3779" s="141"/>
    </row>
    <row r="3780">
      <c r="BB3780" s="122"/>
      <c r="BC3780" s="141"/>
    </row>
    <row r="3781">
      <c r="BB3781" s="122"/>
      <c r="BC3781" s="141"/>
    </row>
    <row r="3782">
      <c r="BB3782" s="122"/>
      <c r="BC3782" s="141"/>
    </row>
    <row r="3783">
      <c r="BB3783" s="122"/>
      <c r="BC3783" s="141"/>
    </row>
    <row r="3784">
      <c r="BB3784" s="122"/>
      <c r="BC3784" s="141"/>
    </row>
    <row r="3785">
      <c r="BB3785" s="122"/>
      <c r="BC3785" s="141"/>
    </row>
    <row r="3786">
      <c r="BB3786" s="122"/>
      <c r="BC3786" s="141"/>
    </row>
    <row r="3787">
      <c r="BB3787" s="122"/>
      <c r="BC3787" s="141"/>
    </row>
    <row r="3788">
      <c r="BB3788" s="122"/>
      <c r="BC3788" s="141"/>
    </row>
    <row r="3789">
      <c r="BB3789" s="122"/>
      <c r="BC3789" s="141"/>
    </row>
    <row r="3790">
      <c r="BB3790" s="122"/>
      <c r="BC3790" s="141"/>
    </row>
    <row r="3791">
      <c r="BB3791" s="122"/>
      <c r="BC3791" s="141"/>
    </row>
    <row r="3792">
      <c r="BB3792" s="122"/>
      <c r="BC3792" s="141"/>
    </row>
    <row r="3793">
      <c r="BB3793" s="122"/>
      <c r="BC3793" s="141"/>
    </row>
    <row r="3794">
      <c r="BB3794" s="122"/>
      <c r="BC3794" s="141"/>
    </row>
    <row r="3795">
      <c r="BB3795" s="122"/>
      <c r="BC3795" s="141"/>
    </row>
    <row r="3796">
      <c r="BB3796" s="122"/>
      <c r="BC3796" s="141"/>
    </row>
    <row r="3797">
      <c r="BB3797" s="122"/>
      <c r="BC3797" s="141"/>
    </row>
    <row r="3798">
      <c r="BB3798" s="122"/>
      <c r="BC3798" s="141"/>
    </row>
    <row r="3799">
      <c r="BB3799" s="122"/>
      <c r="BC3799" s="141"/>
    </row>
    <row r="3800">
      <c r="BB3800" s="122"/>
      <c r="BC3800" s="141"/>
    </row>
    <row r="3801">
      <c r="BB3801" s="122"/>
      <c r="BC3801" s="141"/>
    </row>
    <row r="3802">
      <c r="BB3802" s="122"/>
      <c r="BC3802" s="141"/>
    </row>
    <row r="3803">
      <c r="BB3803" s="122"/>
      <c r="BC3803" s="141"/>
    </row>
    <row r="3804">
      <c r="BB3804" s="122"/>
      <c r="BC3804" s="141"/>
    </row>
    <row r="3805">
      <c r="BB3805" s="122"/>
      <c r="BC3805" s="141"/>
    </row>
    <row r="3806">
      <c r="BB3806" s="122"/>
      <c r="BC3806" s="141"/>
    </row>
    <row r="3807">
      <c r="BB3807" s="122"/>
      <c r="BC3807" s="141"/>
    </row>
    <row r="3808">
      <c r="BB3808" s="122"/>
      <c r="BC3808" s="141"/>
    </row>
    <row r="3809">
      <c r="BB3809" s="122"/>
      <c r="BC3809" s="141"/>
    </row>
    <row r="3810">
      <c r="BB3810" s="122"/>
      <c r="BC3810" s="141"/>
    </row>
    <row r="3811">
      <c r="BB3811" s="122"/>
      <c r="BC3811" s="141"/>
    </row>
    <row r="3812">
      <c r="BB3812" s="122"/>
      <c r="BC3812" s="141"/>
    </row>
    <row r="3813">
      <c r="BB3813" s="122"/>
      <c r="BC3813" s="141"/>
    </row>
    <row r="3814">
      <c r="BB3814" s="122"/>
      <c r="BC3814" s="141"/>
    </row>
    <row r="3815">
      <c r="BB3815" s="122"/>
      <c r="BC3815" s="141"/>
    </row>
    <row r="3816">
      <c r="BB3816" s="122"/>
      <c r="BC3816" s="141"/>
    </row>
    <row r="3817">
      <c r="BB3817" s="122"/>
      <c r="BC3817" s="141"/>
    </row>
    <row r="3818">
      <c r="BB3818" s="122"/>
      <c r="BC3818" s="141"/>
    </row>
    <row r="3819">
      <c r="BB3819" s="122"/>
      <c r="BC3819" s="141"/>
    </row>
    <row r="3820">
      <c r="BB3820" s="122"/>
      <c r="BC3820" s="141"/>
    </row>
    <row r="3821">
      <c r="BB3821" s="122"/>
      <c r="BC3821" s="141"/>
    </row>
    <row r="3822">
      <c r="BB3822" s="122"/>
      <c r="BC3822" s="141"/>
    </row>
    <row r="3823">
      <c r="BB3823" s="122"/>
      <c r="BC3823" s="141"/>
    </row>
    <row r="3824">
      <c r="BB3824" s="122"/>
      <c r="BC3824" s="141"/>
    </row>
    <row r="3825">
      <c r="BB3825" s="122"/>
      <c r="BC3825" s="141"/>
    </row>
    <row r="3826">
      <c r="BB3826" s="122"/>
      <c r="BC3826" s="141"/>
    </row>
    <row r="3827">
      <c r="BB3827" s="122"/>
      <c r="BC3827" s="141"/>
    </row>
    <row r="3828">
      <c r="BB3828" s="122"/>
      <c r="BC3828" s="141"/>
    </row>
    <row r="3829">
      <c r="BB3829" s="122"/>
      <c r="BC3829" s="141"/>
    </row>
    <row r="3830">
      <c r="BB3830" s="122"/>
      <c r="BC3830" s="141"/>
    </row>
    <row r="3831">
      <c r="BB3831" s="122"/>
      <c r="BC3831" s="141"/>
    </row>
    <row r="3832">
      <c r="BB3832" s="122"/>
      <c r="BC3832" s="141"/>
    </row>
    <row r="3833">
      <c r="BB3833" s="122"/>
      <c r="BC3833" s="141"/>
    </row>
    <row r="3834">
      <c r="BB3834" s="122"/>
      <c r="BC3834" s="141"/>
    </row>
    <row r="3835">
      <c r="BB3835" s="122"/>
      <c r="BC3835" s="141"/>
    </row>
    <row r="3836">
      <c r="BB3836" s="122"/>
      <c r="BC3836" s="141"/>
    </row>
    <row r="3837">
      <c r="BB3837" s="122"/>
      <c r="BC3837" s="141"/>
    </row>
    <row r="3838">
      <c r="BB3838" s="122"/>
      <c r="BC3838" s="141"/>
    </row>
    <row r="3839">
      <c r="BB3839" s="122"/>
      <c r="BC3839" s="141"/>
    </row>
    <row r="3840">
      <c r="BB3840" s="122"/>
      <c r="BC3840" s="141"/>
    </row>
    <row r="3841">
      <c r="BB3841" s="122"/>
      <c r="BC3841" s="141"/>
    </row>
    <row r="3842">
      <c r="BB3842" s="122"/>
      <c r="BC3842" s="141"/>
    </row>
    <row r="3843">
      <c r="BB3843" s="122"/>
      <c r="BC3843" s="141"/>
    </row>
    <row r="3844">
      <c r="BB3844" s="122"/>
      <c r="BC3844" s="141"/>
    </row>
    <row r="3845">
      <c r="BB3845" s="122"/>
      <c r="BC3845" s="141"/>
    </row>
    <row r="3846">
      <c r="BB3846" s="122"/>
      <c r="BC3846" s="141"/>
    </row>
    <row r="3847">
      <c r="BB3847" s="122"/>
      <c r="BC3847" s="141"/>
    </row>
    <row r="3848">
      <c r="BB3848" s="122"/>
      <c r="BC3848" s="141"/>
    </row>
    <row r="3849">
      <c r="BB3849" s="122"/>
      <c r="BC3849" s="141"/>
    </row>
    <row r="3850">
      <c r="BB3850" s="122"/>
      <c r="BC3850" s="141"/>
    </row>
    <row r="3851">
      <c r="BB3851" s="122"/>
      <c r="BC3851" s="141"/>
    </row>
    <row r="3852">
      <c r="BB3852" s="122"/>
      <c r="BC3852" s="141"/>
    </row>
    <row r="3853">
      <c r="BB3853" s="122"/>
      <c r="BC3853" s="141"/>
    </row>
    <row r="3854">
      <c r="BB3854" s="122"/>
      <c r="BC3854" s="141"/>
    </row>
    <row r="3855">
      <c r="BB3855" s="122"/>
      <c r="BC3855" s="141"/>
    </row>
    <row r="3856">
      <c r="BB3856" s="122"/>
      <c r="BC3856" s="141"/>
    </row>
    <row r="3857">
      <c r="BB3857" s="122"/>
      <c r="BC3857" s="141"/>
    </row>
    <row r="3858">
      <c r="BB3858" s="122"/>
      <c r="BC3858" s="141"/>
    </row>
    <row r="3859">
      <c r="BB3859" s="122"/>
      <c r="BC3859" s="141"/>
    </row>
    <row r="3860">
      <c r="BB3860" s="122"/>
      <c r="BC3860" s="141"/>
    </row>
    <row r="3861">
      <c r="BB3861" s="122"/>
      <c r="BC3861" s="141"/>
    </row>
    <row r="3862">
      <c r="BB3862" s="122"/>
      <c r="BC3862" s="141"/>
    </row>
    <row r="3863">
      <c r="BB3863" s="122"/>
      <c r="BC3863" s="141"/>
    </row>
    <row r="3864">
      <c r="BB3864" s="122"/>
      <c r="BC3864" s="141"/>
    </row>
    <row r="3865">
      <c r="BB3865" s="122"/>
      <c r="BC3865" s="141"/>
    </row>
    <row r="3866">
      <c r="BB3866" s="122"/>
      <c r="BC3866" s="141"/>
    </row>
    <row r="3867">
      <c r="BB3867" s="122"/>
      <c r="BC3867" s="141"/>
    </row>
    <row r="3868">
      <c r="BB3868" s="122"/>
      <c r="BC3868" s="141"/>
    </row>
    <row r="3869">
      <c r="BB3869" s="122"/>
      <c r="BC3869" s="141"/>
    </row>
    <row r="3870">
      <c r="BB3870" s="122"/>
      <c r="BC3870" s="141"/>
    </row>
    <row r="3871">
      <c r="BB3871" s="122"/>
      <c r="BC3871" s="141"/>
    </row>
    <row r="3872">
      <c r="BB3872" s="122"/>
      <c r="BC3872" s="141"/>
    </row>
    <row r="3873">
      <c r="BB3873" s="122"/>
      <c r="BC3873" s="141"/>
    </row>
    <row r="3874">
      <c r="BB3874" s="122"/>
      <c r="BC3874" s="141"/>
    </row>
    <row r="3875">
      <c r="BB3875" s="122"/>
      <c r="BC3875" s="141"/>
    </row>
    <row r="3876">
      <c r="BB3876" s="122"/>
      <c r="BC3876" s="141"/>
    </row>
    <row r="3877">
      <c r="BB3877" s="122"/>
      <c r="BC3877" s="141"/>
    </row>
    <row r="3878">
      <c r="BB3878" s="122"/>
      <c r="BC3878" s="141"/>
    </row>
    <row r="3879">
      <c r="BB3879" s="122"/>
      <c r="BC3879" s="141"/>
    </row>
    <row r="3880">
      <c r="BB3880" s="122"/>
      <c r="BC3880" s="141"/>
    </row>
    <row r="3881">
      <c r="BB3881" s="122"/>
      <c r="BC3881" s="141"/>
    </row>
    <row r="3882">
      <c r="BB3882" s="122"/>
      <c r="BC3882" s="141"/>
    </row>
    <row r="3883">
      <c r="BB3883" s="122"/>
      <c r="BC3883" s="141"/>
    </row>
    <row r="3884">
      <c r="BB3884" s="122"/>
      <c r="BC3884" s="141"/>
    </row>
    <row r="3885">
      <c r="BB3885" s="122"/>
      <c r="BC3885" s="141"/>
    </row>
    <row r="3886">
      <c r="BB3886" s="122"/>
      <c r="BC3886" s="141"/>
    </row>
    <row r="3887">
      <c r="BB3887" s="122"/>
      <c r="BC3887" s="141"/>
    </row>
    <row r="3888">
      <c r="BB3888" s="122"/>
      <c r="BC3888" s="141"/>
    </row>
    <row r="3889">
      <c r="BB3889" s="122"/>
      <c r="BC3889" s="141"/>
    </row>
    <row r="3890">
      <c r="BB3890" s="122"/>
      <c r="BC3890" s="141"/>
    </row>
    <row r="3891">
      <c r="BB3891" s="122"/>
      <c r="BC3891" s="141"/>
    </row>
    <row r="3892">
      <c r="BB3892" s="122"/>
      <c r="BC3892" s="141"/>
    </row>
    <row r="3893">
      <c r="BB3893" s="122"/>
      <c r="BC3893" s="141"/>
    </row>
    <row r="3894">
      <c r="BB3894" s="122"/>
      <c r="BC3894" s="141"/>
    </row>
    <row r="3895">
      <c r="BB3895" s="122"/>
      <c r="BC3895" s="141"/>
    </row>
    <row r="3896">
      <c r="BB3896" s="122"/>
      <c r="BC3896" s="141"/>
    </row>
    <row r="3897">
      <c r="BB3897" s="122"/>
      <c r="BC3897" s="141"/>
    </row>
    <row r="3898">
      <c r="BB3898" s="122"/>
      <c r="BC3898" s="141"/>
    </row>
    <row r="3899">
      <c r="BB3899" s="122"/>
      <c r="BC3899" s="141"/>
    </row>
    <row r="3900">
      <c r="BB3900" s="122"/>
      <c r="BC3900" s="141"/>
    </row>
    <row r="3901">
      <c r="BB3901" s="122"/>
      <c r="BC3901" s="141"/>
    </row>
    <row r="3902">
      <c r="BB3902" s="122"/>
      <c r="BC3902" s="141"/>
    </row>
    <row r="3903">
      <c r="BB3903" s="122"/>
      <c r="BC3903" s="141"/>
    </row>
    <row r="3904">
      <c r="BB3904" s="122"/>
      <c r="BC3904" s="141"/>
    </row>
    <row r="3905">
      <c r="BB3905" s="122"/>
      <c r="BC3905" s="141"/>
    </row>
    <row r="3906">
      <c r="BB3906" s="122"/>
      <c r="BC3906" s="141"/>
    </row>
    <row r="3907">
      <c r="BB3907" s="122"/>
      <c r="BC3907" s="141"/>
    </row>
    <row r="3908">
      <c r="BB3908" s="122"/>
      <c r="BC3908" s="141"/>
    </row>
    <row r="3909">
      <c r="BB3909" s="122"/>
      <c r="BC3909" s="141"/>
    </row>
    <row r="3910">
      <c r="BB3910" s="122"/>
      <c r="BC3910" s="141"/>
    </row>
    <row r="3911">
      <c r="BB3911" s="122"/>
      <c r="BC3911" s="141"/>
    </row>
    <row r="3912">
      <c r="BB3912" s="122"/>
      <c r="BC3912" s="141"/>
    </row>
    <row r="3913">
      <c r="BB3913" s="122"/>
      <c r="BC3913" s="141"/>
    </row>
    <row r="3914">
      <c r="BB3914" s="122"/>
      <c r="BC3914" s="141"/>
    </row>
    <row r="3915">
      <c r="BB3915" s="122"/>
      <c r="BC3915" s="141"/>
    </row>
    <row r="3916">
      <c r="BB3916" s="122"/>
      <c r="BC3916" s="141"/>
    </row>
    <row r="3917">
      <c r="BB3917" s="122"/>
      <c r="BC3917" s="141"/>
    </row>
    <row r="3918">
      <c r="BB3918" s="122"/>
      <c r="BC3918" s="141"/>
    </row>
    <row r="3919">
      <c r="BB3919" s="122"/>
      <c r="BC3919" s="141"/>
    </row>
    <row r="3920">
      <c r="BB3920" s="122"/>
      <c r="BC3920" s="141"/>
    </row>
    <row r="3921">
      <c r="BB3921" s="122"/>
      <c r="BC3921" s="141"/>
    </row>
    <row r="3922">
      <c r="BB3922" s="122"/>
      <c r="BC3922" s="141"/>
    </row>
    <row r="3923">
      <c r="BB3923" s="122"/>
      <c r="BC3923" s="141"/>
    </row>
    <row r="3924">
      <c r="BB3924" s="122"/>
      <c r="BC3924" s="141"/>
    </row>
    <row r="3925">
      <c r="BB3925" s="122"/>
      <c r="BC3925" s="141"/>
    </row>
    <row r="3926">
      <c r="BB3926" s="122"/>
      <c r="BC3926" s="141"/>
    </row>
    <row r="3927">
      <c r="BB3927" s="122"/>
      <c r="BC3927" s="141"/>
    </row>
    <row r="3928">
      <c r="BB3928" s="122"/>
      <c r="BC3928" s="141"/>
    </row>
    <row r="3929">
      <c r="BB3929" s="122"/>
      <c r="BC3929" s="141"/>
    </row>
    <row r="3930">
      <c r="BB3930" s="122"/>
      <c r="BC3930" s="141"/>
    </row>
    <row r="3931">
      <c r="BB3931" s="122"/>
      <c r="BC3931" s="141"/>
    </row>
    <row r="3932">
      <c r="BB3932" s="122"/>
      <c r="BC3932" s="141"/>
    </row>
    <row r="3933">
      <c r="BB3933" s="122"/>
      <c r="BC3933" s="141"/>
    </row>
    <row r="3934">
      <c r="BB3934" s="122"/>
      <c r="BC3934" s="141"/>
    </row>
    <row r="3935">
      <c r="BB3935" s="122"/>
      <c r="BC3935" s="141"/>
    </row>
    <row r="3936">
      <c r="BB3936" s="122"/>
      <c r="BC3936" s="141"/>
    </row>
    <row r="3937">
      <c r="BB3937" s="122"/>
      <c r="BC3937" s="141"/>
    </row>
    <row r="3938">
      <c r="BB3938" s="122"/>
      <c r="BC3938" s="141"/>
    </row>
    <row r="3939">
      <c r="BB3939" s="122"/>
      <c r="BC3939" s="141"/>
    </row>
    <row r="3940">
      <c r="BB3940" s="122"/>
      <c r="BC3940" s="141"/>
    </row>
    <row r="3941">
      <c r="BB3941" s="122"/>
      <c r="BC3941" s="141"/>
    </row>
    <row r="3942">
      <c r="BB3942" s="122"/>
      <c r="BC3942" s="141"/>
    </row>
    <row r="3943">
      <c r="BB3943" s="122"/>
      <c r="BC3943" s="141"/>
    </row>
    <row r="3944">
      <c r="BB3944" s="122"/>
      <c r="BC3944" s="141"/>
    </row>
    <row r="3945">
      <c r="BB3945" s="122"/>
      <c r="BC3945" s="141"/>
    </row>
    <row r="3946">
      <c r="BB3946" s="122"/>
      <c r="BC3946" s="141"/>
    </row>
    <row r="3947">
      <c r="BB3947" s="122"/>
      <c r="BC3947" s="141"/>
    </row>
    <row r="3948">
      <c r="BB3948" s="122"/>
      <c r="BC3948" s="141"/>
    </row>
    <row r="3949">
      <c r="BB3949" s="122"/>
      <c r="BC3949" s="141"/>
    </row>
    <row r="3950">
      <c r="BB3950" s="122"/>
      <c r="BC3950" s="141"/>
    </row>
    <row r="3951">
      <c r="BB3951" s="122"/>
      <c r="BC3951" s="141"/>
    </row>
    <row r="3952">
      <c r="BB3952" s="122"/>
      <c r="BC3952" s="141"/>
    </row>
    <row r="3953">
      <c r="BB3953" s="122"/>
      <c r="BC3953" s="141"/>
    </row>
    <row r="3954">
      <c r="BB3954" s="122"/>
      <c r="BC3954" s="141"/>
    </row>
    <row r="3955">
      <c r="BB3955" s="122"/>
      <c r="BC3955" s="141"/>
    </row>
    <row r="3956">
      <c r="BB3956" s="122"/>
      <c r="BC3956" s="141"/>
    </row>
    <row r="3957">
      <c r="BB3957" s="122"/>
      <c r="BC3957" s="141"/>
    </row>
    <row r="3958">
      <c r="BB3958" s="122"/>
      <c r="BC3958" s="141"/>
    </row>
    <row r="3959">
      <c r="BB3959" s="122"/>
      <c r="BC3959" s="141"/>
    </row>
    <row r="3960">
      <c r="BB3960" s="122"/>
      <c r="BC3960" s="141"/>
    </row>
    <row r="3961">
      <c r="BB3961" s="122"/>
      <c r="BC3961" s="141"/>
    </row>
    <row r="3962">
      <c r="BB3962" s="122"/>
      <c r="BC3962" s="141"/>
    </row>
    <row r="3963">
      <c r="BB3963" s="122"/>
      <c r="BC3963" s="141"/>
    </row>
    <row r="3964">
      <c r="BB3964" s="122"/>
      <c r="BC3964" s="141"/>
    </row>
    <row r="3965">
      <c r="BB3965" s="122"/>
      <c r="BC3965" s="141"/>
    </row>
    <row r="3966">
      <c r="BB3966" s="122"/>
      <c r="BC3966" s="141"/>
    </row>
    <row r="3967">
      <c r="BB3967" s="122"/>
      <c r="BC3967" s="141"/>
    </row>
    <row r="3968">
      <c r="BB3968" s="122"/>
      <c r="BC3968" s="141"/>
    </row>
    <row r="3969">
      <c r="BB3969" s="122"/>
      <c r="BC3969" s="141"/>
    </row>
    <row r="3970">
      <c r="BB3970" s="122"/>
      <c r="BC3970" s="141"/>
    </row>
    <row r="3971">
      <c r="BB3971" s="122"/>
      <c r="BC3971" s="141"/>
    </row>
    <row r="3972">
      <c r="BB3972" s="122"/>
      <c r="BC3972" s="141"/>
    </row>
    <row r="3973">
      <c r="BB3973" s="122"/>
      <c r="BC3973" s="141"/>
    </row>
    <row r="3974">
      <c r="BB3974" s="122"/>
      <c r="BC3974" s="141"/>
    </row>
    <row r="3975">
      <c r="BB3975" s="122"/>
      <c r="BC3975" s="141"/>
    </row>
    <row r="3976">
      <c r="BB3976" s="122"/>
      <c r="BC3976" s="141"/>
    </row>
    <row r="3977">
      <c r="BB3977" s="122"/>
      <c r="BC3977" s="141"/>
    </row>
    <row r="3978">
      <c r="BB3978" s="122"/>
      <c r="BC3978" s="141"/>
    </row>
    <row r="3979">
      <c r="BB3979" s="122"/>
      <c r="BC3979" s="141"/>
    </row>
    <row r="3980">
      <c r="BB3980" s="122"/>
      <c r="BC3980" s="141"/>
    </row>
    <row r="3981">
      <c r="BB3981" s="122"/>
      <c r="BC3981" s="141"/>
    </row>
    <row r="3982">
      <c r="BB3982" s="122"/>
      <c r="BC3982" s="141"/>
    </row>
    <row r="3983">
      <c r="BB3983" s="122"/>
      <c r="BC3983" s="141"/>
    </row>
    <row r="3984">
      <c r="BB3984" s="122"/>
      <c r="BC3984" s="141"/>
    </row>
    <row r="3985">
      <c r="BB3985" s="122"/>
      <c r="BC3985" s="141"/>
    </row>
    <row r="3986">
      <c r="BB3986" s="122"/>
      <c r="BC3986" s="141"/>
    </row>
    <row r="3987">
      <c r="BB3987" s="122"/>
      <c r="BC3987" s="141"/>
    </row>
    <row r="3988">
      <c r="BB3988" s="122"/>
      <c r="BC3988" s="141"/>
    </row>
    <row r="3989">
      <c r="BB3989" s="122"/>
      <c r="BC3989" s="141"/>
    </row>
    <row r="3990">
      <c r="BB3990" s="122"/>
      <c r="BC3990" s="141"/>
    </row>
    <row r="3991">
      <c r="BB3991" s="122"/>
      <c r="BC3991" s="141"/>
    </row>
    <row r="3992">
      <c r="BB3992" s="122"/>
      <c r="BC3992" s="141"/>
    </row>
    <row r="3993">
      <c r="BB3993" s="122"/>
      <c r="BC3993" s="141"/>
    </row>
    <row r="3994">
      <c r="BB3994" s="122"/>
      <c r="BC3994" s="141"/>
    </row>
    <row r="3995">
      <c r="BB3995" s="122"/>
      <c r="BC3995" s="141"/>
    </row>
    <row r="3996">
      <c r="BB3996" s="122"/>
      <c r="BC3996" s="141"/>
    </row>
    <row r="3997">
      <c r="BB3997" s="122"/>
      <c r="BC3997" s="141"/>
    </row>
    <row r="3998">
      <c r="BB3998" s="122"/>
      <c r="BC3998" s="141"/>
    </row>
    <row r="3999">
      <c r="BB3999" s="122"/>
      <c r="BC3999" s="141"/>
    </row>
    <row r="4000">
      <c r="BB4000" s="122"/>
      <c r="BC4000" s="141"/>
    </row>
    <row r="4001">
      <c r="BB4001" s="122"/>
      <c r="BC4001" s="141"/>
    </row>
    <row r="4002">
      <c r="BB4002" s="122"/>
      <c r="BC4002" s="141"/>
    </row>
    <row r="4003">
      <c r="BB4003" s="122"/>
      <c r="BC4003" s="141"/>
    </row>
    <row r="4004">
      <c r="BB4004" s="122"/>
      <c r="BC4004" s="141"/>
    </row>
    <row r="4005">
      <c r="BB4005" s="122"/>
      <c r="BC4005" s="141"/>
    </row>
    <row r="4006">
      <c r="BB4006" s="122"/>
      <c r="BC4006" s="141"/>
    </row>
    <row r="4007">
      <c r="BB4007" s="122"/>
      <c r="BC4007" s="141"/>
    </row>
    <row r="4008">
      <c r="BB4008" s="122"/>
      <c r="BC4008" s="141"/>
    </row>
    <row r="4009">
      <c r="BB4009" s="122"/>
      <c r="BC4009" s="141"/>
    </row>
    <row r="4010">
      <c r="BB4010" s="122"/>
      <c r="BC4010" s="141"/>
    </row>
    <row r="4011">
      <c r="BB4011" s="122"/>
      <c r="BC4011" s="141"/>
    </row>
    <row r="4012">
      <c r="BB4012" s="122"/>
      <c r="BC4012" s="141"/>
    </row>
    <row r="4013">
      <c r="BB4013" s="122"/>
      <c r="BC4013" s="141"/>
    </row>
    <row r="4014">
      <c r="BB4014" s="122"/>
      <c r="BC4014" s="141"/>
    </row>
    <row r="4015">
      <c r="BB4015" s="122"/>
      <c r="BC4015" s="141"/>
    </row>
    <row r="4016">
      <c r="BB4016" s="122"/>
      <c r="BC4016" s="141"/>
    </row>
    <row r="4017">
      <c r="BB4017" s="122"/>
      <c r="BC4017" s="141"/>
    </row>
    <row r="4018">
      <c r="BB4018" s="122"/>
      <c r="BC4018" s="141"/>
    </row>
    <row r="4019">
      <c r="BB4019" s="122"/>
      <c r="BC4019" s="141"/>
    </row>
    <row r="4020">
      <c r="BB4020" s="122"/>
      <c r="BC4020" s="141"/>
    </row>
    <row r="4021">
      <c r="BB4021" s="122"/>
      <c r="BC4021" s="141"/>
    </row>
    <row r="4022">
      <c r="BB4022" s="122"/>
      <c r="BC4022" s="141"/>
    </row>
    <row r="4023">
      <c r="BB4023" s="122"/>
      <c r="BC4023" s="141"/>
    </row>
    <row r="4024">
      <c r="BB4024" s="122"/>
      <c r="BC4024" s="141"/>
    </row>
    <row r="4025">
      <c r="BB4025" s="122"/>
      <c r="BC4025" s="141"/>
    </row>
    <row r="4026">
      <c r="BB4026" s="122"/>
      <c r="BC4026" s="141"/>
    </row>
    <row r="4027">
      <c r="BB4027" s="122"/>
      <c r="BC4027" s="141"/>
    </row>
    <row r="4028">
      <c r="BB4028" s="122"/>
      <c r="BC4028" s="141"/>
    </row>
    <row r="4029">
      <c r="BB4029" s="122"/>
      <c r="BC4029" s="141"/>
    </row>
    <row r="4030">
      <c r="BB4030" s="122"/>
      <c r="BC4030" s="141"/>
    </row>
    <row r="4031">
      <c r="BB4031" s="122"/>
      <c r="BC4031" s="141"/>
    </row>
    <row r="4032">
      <c r="BB4032" s="122"/>
      <c r="BC4032" s="141"/>
    </row>
    <row r="4033">
      <c r="BB4033" s="122"/>
      <c r="BC4033" s="141"/>
    </row>
    <row r="4034">
      <c r="BB4034" s="122"/>
      <c r="BC4034" s="141"/>
    </row>
    <row r="4035">
      <c r="BB4035" s="122"/>
      <c r="BC4035" s="141"/>
    </row>
    <row r="4036">
      <c r="BB4036" s="122"/>
      <c r="BC4036" s="141"/>
    </row>
    <row r="4037">
      <c r="BB4037" s="122"/>
      <c r="BC4037" s="141"/>
    </row>
    <row r="4038">
      <c r="BB4038" s="122"/>
      <c r="BC4038" s="141"/>
    </row>
    <row r="4039">
      <c r="BB4039" s="122"/>
      <c r="BC4039" s="141"/>
    </row>
    <row r="4040">
      <c r="BB4040" s="122"/>
      <c r="BC4040" s="141"/>
    </row>
    <row r="4041">
      <c r="BB4041" s="122"/>
      <c r="BC4041" s="141"/>
    </row>
    <row r="4042">
      <c r="BB4042" s="122"/>
      <c r="BC4042" s="141"/>
    </row>
    <row r="4043">
      <c r="BB4043" s="122"/>
      <c r="BC4043" s="141"/>
    </row>
    <row r="4044">
      <c r="BB4044" s="122"/>
      <c r="BC4044" s="141"/>
    </row>
    <row r="4045">
      <c r="BB4045" s="122"/>
      <c r="BC4045" s="141"/>
    </row>
    <row r="4046">
      <c r="BB4046" s="122"/>
      <c r="BC4046" s="141"/>
    </row>
    <row r="4047">
      <c r="BB4047" s="122"/>
      <c r="BC4047" s="141"/>
    </row>
    <row r="4048">
      <c r="BB4048" s="122"/>
      <c r="BC4048" s="141"/>
    </row>
    <row r="4049">
      <c r="BB4049" s="122"/>
      <c r="BC4049" s="141"/>
    </row>
    <row r="4050">
      <c r="BB4050" s="122"/>
      <c r="BC4050" s="141"/>
    </row>
    <row r="4051">
      <c r="BB4051" s="122"/>
      <c r="BC4051" s="141"/>
    </row>
    <row r="4052">
      <c r="BB4052" s="122"/>
      <c r="BC4052" s="141"/>
    </row>
    <row r="4053">
      <c r="BB4053" s="122"/>
      <c r="BC4053" s="141"/>
    </row>
    <row r="4054">
      <c r="BB4054" s="122"/>
      <c r="BC4054" s="141"/>
    </row>
    <row r="4055">
      <c r="BB4055" s="122"/>
      <c r="BC4055" s="141"/>
    </row>
    <row r="4056">
      <c r="BB4056" s="122"/>
      <c r="BC4056" s="141"/>
    </row>
    <row r="4057">
      <c r="BB4057" s="122"/>
      <c r="BC4057" s="141"/>
    </row>
    <row r="4058">
      <c r="BB4058" s="122"/>
      <c r="BC4058" s="141"/>
    </row>
    <row r="4059">
      <c r="BB4059" s="122"/>
      <c r="BC4059" s="141"/>
    </row>
    <row r="4060">
      <c r="BB4060" s="122"/>
      <c r="BC4060" s="141"/>
    </row>
    <row r="4061">
      <c r="BB4061" s="122"/>
      <c r="BC4061" s="141"/>
    </row>
    <row r="4062">
      <c r="BB4062" s="122"/>
      <c r="BC4062" s="141"/>
    </row>
    <row r="4063">
      <c r="BB4063" s="122"/>
      <c r="BC4063" s="141"/>
    </row>
    <row r="4064">
      <c r="BB4064" s="122"/>
      <c r="BC4064" s="141"/>
    </row>
    <row r="4065">
      <c r="BB4065" s="122"/>
      <c r="BC4065" s="141"/>
    </row>
    <row r="4066">
      <c r="BB4066" s="122"/>
      <c r="BC4066" s="141"/>
    </row>
    <row r="4067">
      <c r="BB4067" s="122"/>
      <c r="BC4067" s="141"/>
    </row>
    <row r="4068">
      <c r="BB4068" s="122"/>
      <c r="BC4068" s="141"/>
    </row>
    <row r="4069">
      <c r="BB4069" s="122"/>
      <c r="BC4069" s="141"/>
    </row>
    <row r="4070">
      <c r="BB4070" s="122"/>
      <c r="BC4070" s="141"/>
    </row>
    <row r="4071">
      <c r="BB4071" s="122"/>
      <c r="BC4071" s="141"/>
    </row>
    <row r="4072">
      <c r="BB4072" s="122"/>
      <c r="BC4072" s="141"/>
    </row>
    <row r="4073">
      <c r="BB4073" s="122"/>
      <c r="BC4073" s="141"/>
    </row>
    <row r="4074">
      <c r="BB4074" s="122"/>
      <c r="BC4074" s="141"/>
    </row>
    <row r="4075">
      <c r="BB4075" s="122"/>
      <c r="BC4075" s="141"/>
    </row>
    <row r="4076">
      <c r="BB4076" s="122"/>
      <c r="BC4076" s="141"/>
    </row>
    <row r="4077">
      <c r="BB4077" s="122"/>
      <c r="BC4077" s="141"/>
    </row>
    <row r="4078">
      <c r="BB4078" s="122"/>
      <c r="BC4078" s="141"/>
    </row>
    <row r="4079">
      <c r="BB4079" s="122"/>
      <c r="BC4079" s="141"/>
    </row>
    <row r="4080">
      <c r="BB4080" s="122"/>
      <c r="BC4080" s="141"/>
    </row>
    <row r="4081">
      <c r="BB4081" s="122"/>
      <c r="BC4081" s="141"/>
    </row>
    <row r="4082">
      <c r="BB4082" s="122"/>
      <c r="BC4082" s="141"/>
    </row>
    <row r="4083">
      <c r="BB4083" s="122"/>
      <c r="BC4083" s="141"/>
    </row>
    <row r="4084">
      <c r="BB4084" s="122"/>
      <c r="BC4084" s="141"/>
    </row>
    <row r="4085">
      <c r="BB4085" s="122"/>
      <c r="BC4085" s="141"/>
    </row>
    <row r="4086">
      <c r="BB4086" s="122"/>
      <c r="BC4086" s="141"/>
    </row>
    <row r="4087">
      <c r="BB4087" s="122"/>
      <c r="BC4087" s="141"/>
    </row>
    <row r="4088">
      <c r="BB4088" s="122"/>
      <c r="BC4088" s="141"/>
    </row>
    <row r="4089">
      <c r="BB4089" s="122"/>
      <c r="BC4089" s="141"/>
    </row>
    <row r="4090">
      <c r="BB4090" s="122"/>
      <c r="BC4090" s="141"/>
    </row>
    <row r="4091">
      <c r="BB4091" s="122"/>
      <c r="BC4091" s="141"/>
    </row>
    <row r="4092">
      <c r="BB4092" s="122"/>
      <c r="BC4092" s="141"/>
    </row>
    <row r="4093">
      <c r="BB4093" s="122"/>
      <c r="BC4093" s="141"/>
    </row>
    <row r="4094">
      <c r="BB4094" s="122"/>
      <c r="BC4094" s="141"/>
    </row>
    <row r="4095">
      <c r="BB4095" s="122"/>
      <c r="BC4095" s="141"/>
    </row>
    <row r="4096">
      <c r="BB4096" s="122"/>
      <c r="BC4096" s="141"/>
    </row>
    <row r="4097">
      <c r="BB4097" s="122"/>
      <c r="BC4097" s="141"/>
    </row>
    <row r="4098">
      <c r="BB4098" s="122"/>
      <c r="BC4098" s="141"/>
    </row>
    <row r="4099">
      <c r="BB4099" s="122"/>
      <c r="BC4099" s="141"/>
    </row>
    <row r="4100">
      <c r="BB4100" s="122"/>
      <c r="BC4100" s="141"/>
    </row>
    <row r="4101">
      <c r="BB4101" s="122"/>
      <c r="BC4101" s="141"/>
    </row>
    <row r="4102">
      <c r="BB4102" s="122"/>
      <c r="BC4102" s="141"/>
    </row>
    <row r="4103">
      <c r="BB4103" s="122"/>
      <c r="BC4103" s="141"/>
    </row>
    <row r="4104">
      <c r="BB4104" s="122"/>
      <c r="BC4104" s="141"/>
    </row>
    <row r="4105">
      <c r="BB4105" s="122"/>
      <c r="BC4105" s="141"/>
    </row>
    <row r="4106">
      <c r="BB4106" s="122"/>
      <c r="BC4106" s="141"/>
    </row>
    <row r="4107">
      <c r="BB4107" s="122"/>
      <c r="BC4107" s="141"/>
    </row>
    <row r="4108">
      <c r="BB4108" s="122"/>
      <c r="BC4108" s="141"/>
    </row>
    <row r="4109">
      <c r="BB4109" s="122"/>
      <c r="BC4109" s="141"/>
    </row>
    <row r="4110">
      <c r="BB4110" s="122"/>
      <c r="BC4110" s="141"/>
    </row>
    <row r="4111">
      <c r="BB4111" s="122"/>
      <c r="BC4111" s="141"/>
    </row>
    <row r="4112">
      <c r="BB4112" s="122"/>
      <c r="BC4112" s="141"/>
    </row>
    <row r="4113">
      <c r="BB4113" s="122"/>
      <c r="BC4113" s="141"/>
    </row>
    <row r="4114">
      <c r="BB4114" s="122"/>
      <c r="BC4114" s="141"/>
    </row>
    <row r="4115">
      <c r="BB4115" s="122"/>
      <c r="BC4115" s="141"/>
    </row>
    <row r="4116">
      <c r="BB4116" s="122"/>
      <c r="BC4116" s="141"/>
    </row>
    <row r="4117">
      <c r="BB4117" s="122"/>
      <c r="BC4117" s="141"/>
    </row>
    <row r="4118">
      <c r="BB4118" s="122"/>
      <c r="BC4118" s="141"/>
    </row>
    <row r="4119">
      <c r="BB4119" s="122"/>
      <c r="BC4119" s="141"/>
    </row>
    <row r="4120">
      <c r="BB4120" s="122"/>
      <c r="BC4120" s="141"/>
    </row>
    <row r="4121">
      <c r="BB4121" s="122"/>
      <c r="BC4121" s="141"/>
    </row>
    <row r="4122">
      <c r="BB4122" s="122"/>
      <c r="BC4122" s="141"/>
    </row>
    <row r="4123">
      <c r="BB4123" s="122"/>
      <c r="BC4123" s="141"/>
    </row>
    <row r="4124">
      <c r="BB4124" s="122"/>
      <c r="BC4124" s="141"/>
    </row>
    <row r="4125">
      <c r="BB4125" s="122"/>
      <c r="BC4125" s="141"/>
    </row>
    <row r="4126">
      <c r="BB4126" s="122"/>
      <c r="BC4126" s="141"/>
    </row>
    <row r="4127">
      <c r="BB4127" s="122"/>
      <c r="BC4127" s="141"/>
    </row>
    <row r="4128">
      <c r="BB4128" s="122"/>
      <c r="BC4128" s="141"/>
    </row>
    <row r="4129">
      <c r="BB4129" s="122"/>
      <c r="BC4129" s="141"/>
    </row>
    <row r="4130">
      <c r="BB4130" s="122"/>
      <c r="BC4130" s="141"/>
    </row>
    <row r="4131">
      <c r="BB4131" s="122"/>
      <c r="BC4131" s="141"/>
    </row>
    <row r="4132">
      <c r="BB4132" s="122"/>
      <c r="BC4132" s="141"/>
    </row>
    <row r="4133">
      <c r="BB4133" s="122"/>
      <c r="BC4133" s="141"/>
    </row>
    <row r="4134">
      <c r="BB4134" s="122"/>
      <c r="BC4134" s="141"/>
    </row>
    <row r="4135">
      <c r="BB4135" s="122"/>
      <c r="BC4135" s="141"/>
    </row>
    <row r="4136">
      <c r="BB4136" s="122"/>
      <c r="BC4136" s="141"/>
    </row>
    <row r="4137">
      <c r="BB4137" s="122"/>
      <c r="BC4137" s="141"/>
    </row>
    <row r="4138">
      <c r="BB4138" s="122"/>
      <c r="BC4138" s="141"/>
    </row>
    <row r="4139">
      <c r="BB4139" s="122"/>
      <c r="BC4139" s="141"/>
    </row>
    <row r="4140">
      <c r="BB4140" s="122"/>
      <c r="BC4140" s="141"/>
    </row>
    <row r="4141">
      <c r="BB4141" s="122"/>
      <c r="BC4141" s="141"/>
    </row>
    <row r="4142">
      <c r="BB4142" s="122"/>
      <c r="BC4142" s="141"/>
    </row>
    <row r="4143">
      <c r="BB4143" s="122"/>
      <c r="BC4143" s="141"/>
    </row>
    <row r="4144">
      <c r="BB4144" s="122"/>
      <c r="BC4144" s="141"/>
    </row>
    <row r="4145">
      <c r="BB4145" s="122"/>
      <c r="BC4145" s="141"/>
    </row>
    <row r="4146">
      <c r="BB4146" s="122"/>
      <c r="BC4146" s="141"/>
    </row>
    <row r="4147">
      <c r="BB4147" s="122"/>
      <c r="BC4147" s="141"/>
    </row>
    <row r="4148">
      <c r="BB4148" s="122"/>
      <c r="BC4148" s="141"/>
    </row>
    <row r="4149">
      <c r="BB4149" s="122"/>
      <c r="BC4149" s="141"/>
    </row>
    <row r="4150">
      <c r="BB4150" s="122"/>
      <c r="BC4150" s="141"/>
    </row>
    <row r="4151">
      <c r="BB4151" s="122"/>
      <c r="BC4151" s="141"/>
    </row>
    <row r="4152">
      <c r="BB4152" s="122"/>
      <c r="BC4152" s="141"/>
    </row>
    <row r="4153">
      <c r="BB4153" s="122"/>
      <c r="BC4153" s="141"/>
    </row>
    <row r="4154">
      <c r="BB4154" s="122"/>
      <c r="BC4154" s="141"/>
    </row>
    <row r="4155">
      <c r="BB4155" s="122"/>
      <c r="BC4155" s="141"/>
    </row>
    <row r="4156">
      <c r="BB4156" s="122"/>
      <c r="BC4156" s="141"/>
    </row>
    <row r="4157">
      <c r="BB4157" s="122"/>
      <c r="BC4157" s="141"/>
    </row>
    <row r="4158">
      <c r="BB4158" s="122"/>
      <c r="BC4158" s="141"/>
    </row>
    <row r="4159">
      <c r="BB4159" s="122"/>
      <c r="BC4159" s="141"/>
    </row>
    <row r="4160">
      <c r="BB4160" s="122"/>
      <c r="BC4160" s="141"/>
    </row>
    <row r="4161">
      <c r="BB4161" s="122"/>
      <c r="BC4161" s="141"/>
    </row>
    <row r="4162">
      <c r="BB4162" s="122"/>
      <c r="BC4162" s="141"/>
    </row>
    <row r="4163">
      <c r="BB4163" s="122"/>
      <c r="BC4163" s="141"/>
    </row>
    <row r="4164">
      <c r="BB4164" s="122"/>
      <c r="BC4164" s="141"/>
    </row>
    <row r="4165">
      <c r="BB4165" s="122"/>
      <c r="BC4165" s="141"/>
    </row>
    <row r="4166">
      <c r="BB4166" s="122"/>
      <c r="BC4166" s="141"/>
    </row>
    <row r="4167">
      <c r="BB4167" s="122"/>
      <c r="BC4167" s="141"/>
    </row>
    <row r="4168">
      <c r="BB4168" s="122"/>
      <c r="BC4168" s="141"/>
    </row>
    <row r="4169">
      <c r="BB4169" s="122"/>
      <c r="BC4169" s="141"/>
    </row>
    <row r="4170">
      <c r="BB4170" s="122"/>
      <c r="BC4170" s="141"/>
    </row>
    <row r="4171">
      <c r="BB4171" s="122"/>
      <c r="BC4171" s="141"/>
    </row>
    <row r="4172">
      <c r="BB4172" s="122"/>
      <c r="BC4172" s="141"/>
    </row>
    <row r="4173">
      <c r="BB4173" s="122"/>
      <c r="BC4173" s="141"/>
    </row>
    <row r="4174">
      <c r="BB4174" s="122"/>
      <c r="BC4174" s="141"/>
    </row>
    <row r="4175">
      <c r="BB4175" s="122"/>
      <c r="BC4175" s="141"/>
    </row>
    <row r="4176">
      <c r="BB4176" s="122"/>
      <c r="BC4176" s="141"/>
    </row>
    <row r="4177">
      <c r="BB4177" s="122"/>
      <c r="BC4177" s="141"/>
    </row>
    <row r="4178">
      <c r="BB4178" s="122"/>
      <c r="BC4178" s="141"/>
    </row>
    <row r="4179">
      <c r="BB4179" s="122"/>
      <c r="BC4179" s="141"/>
    </row>
    <row r="4180">
      <c r="BB4180" s="122"/>
      <c r="BC4180" s="141"/>
    </row>
    <row r="4181">
      <c r="BB4181" s="122"/>
      <c r="BC4181" s="141"/>
    </row>
    <row r="4182">
      <c r="BB4182" s="122"/>
      <c r="BC4182" s="141"/>
    </row>
    <row r="4183">
      <c r="BB4183" s="122"/>
      <c r="BC4183" s="141"/>
    </row>
    <row r="4184">
      <c r="BB4184" s="122"/>
      <c r="BC4184" s="141"/>
    </row>
    <row r="4185">
      <c r="BB4185" s="122"/>
      <c r="BC4185" s="141"/>
    </row>
    <row r="4186">
      <c r="BB4186" s="122"/>
      <c r="BC4186" s="141"/>
    </row>
    <row r="4187">
      <c r="BB4187" s="122"/>
      <c r="BC4187" s="141"/>
    </row>
    <row r="4188">
      <c r="BB4188" s="122"/>
      <c r="BC4188" s="141"/>
    </row>
    <row r="4189">
      <c r="BB4189" s="122"/>
      <c r="BC4189" s="141"/>
    </row>
    <row r="4190">
      <c r="BB4190" s="122"/>
      <c r="BC4190" s="141"/>
    </row>
    <row r="4191">
      <c r="BB4191" s="122"/>
      <c r="BC4191" s="141"/>
    </row>
    <row r="4192">
      <c r="BB4192" s="122"/>
      <c r="BC4192" s="141"/>
    </row>
    <row r="4193">
      <c r="BB4193" s="122"/>
      <c r="BC4193" s="141"/>
    </row>
    <row r="4194">
      <c r="BB4194" s="122"/>
      <c r="BC4194" s="141"/>
    </row>
    <row r="4195">
      <c r="BB4195" s="122"/>
      <c r="BC4195" s="141"/>
    </row>
    <row r="4196">
      <c r="BB4196" s="122"/>
      <c r="BC4196" s="141"/>
    </row>
    <row r="4197">
      <c r="BB4197" s="122"/>
      <c r="BC4197" s="141"/>
    </row>
    <row r="4198">
      <c r="BB4198" s="122"/>
      <c r="BC4198" s="141"/>
    </row>
    <row r="4199">
      <c r="BB4199" s="122"/>
      <c r="BC4199" s="141"/>
    </row>
    <row r="4200">
      <c r="BB4200" s="122"/>
      <c r="BC4200" s="141"/>
    </row>
    <row r="4201">
      <c r="BB4201" s="122"/>
      <c r="BC4201" s="141"/>
    </row>
    <row r="4202">
      <c r="BB4202" s="122"/>
      <c r="BC4202" s="141"/>
    </row>
    <row r="4203">
      <c r="BB4203" s="122"/>
      <c r="BC4203" s="141"/>
    </row>
    <row r="4204">
      <c r="BB4204" s="122"/>
      <c r="BC4204" s="141"/>
    </row>
    <row r="4205">
      <c r="BB4205" s="122"/>
      <c r="BC4205" s="141"/>
    </row>
    <row r="4206">
      <c r="BB4206" s="122"/>
      <c r="BC4206" s="141"/>
    </row>
    <row r="4207">
      <c r="BB4207" s="122"/>
      <c r="BC4207" s="141"/>
    </row>
    <row r="4208">
      <c r="BB4208" s="122"/>
      <c r="BC4208" s="141"/>
    </row>
    <row r="4209">
      <c r="BB4209" s="122"/>
      <c r="BC4209" s="141"/>
    </row>
    <row r="4210">
      <c r="BB4210" s="122"/>
      <c r="BC4210" s="141"/>
    </row>
    <row r="4211">
      <c r="BB4211" s="122"/>
      <c r="BC4211" s="141"/>
    </row>
    <row r="4212">
      <c r="BB4212" s="122"/>
      <c r="BC4212" s="141"/>
    </row>
    <row r="4213">
      <c r="BB4213" s="122"/>
      <c r="BC4213" s="141"/>
    </row>
    <row r="4214">
      <c r="BB4214" s="122"/>
      <c r="BC4214" s="141"/>
    </row>
    <row r="4215">
      <c r="BB4215" s="122"/>
      <c r="BC4215" s="141"/>
    </row>
    <row r="4216">
      <c r="BB4216" s="122"/>
      <c r="BC4216" s="141"/>
    </row>
    <row r="4217">
      <c r="BB4217" s="122"/>
      <c r="BC4217" s="141"/>
    </row>
    <row r="4218">
      <c r="BB4218" s="122"/>
      <c r="BC4218" s="141"/>
    </row>
    <row r="4219">
      <c r="BB4219" s="122"/>
      <c r="BC4219" s="141"/>
    </row>
    <row r="4220">
      <c r="BB4220" s="122"/>
      <c r="BC4220" s="141"/>
    </row>
    <row r="4221">
      <c r="BB4221" s="122"/>
      <c r="BC4221" s="141"/>
    </row>
    <row r="4222">
      <c r="BB4222" s="122"/>
      <c r="BC4222" s="141"/>
    </row>
    <row r="4223">
      <c r="BB4223" s="122"/>
      <c r="BC4223" s="141"/>
    </row>
    <row r="4224">
      <c r="BB4224" s="122"/>
      <c r="BC4224" s="141"/>
    </row>
    <row r="4225">
      <c r="BB4225" s="122"/>
      <c r="BC4225" s="141"/>
    </row>
    <row r="4226">
      <c r="BB4226" s="122"/>
      <c r="BC4226" s="141"/>
    </row>
    <row r="4227">
      <c r="BB4227" s="122"/>
      <c r="BC4227" s="141"/>
    </row>
    <row r="4228">
      <c r="BB4228" s="122"/>
      <c r="BC4228" s="141"/>
    </row>
    <row r="4229">
      <c r="BB4229" s="122"/>
      <c r="BC4229" s="141"/>
    </row>
    <row r="4230">
      <c r="BB4230" s="122"/>
      <c r="BC4230" s="141"/>
    </row>
    <row r="4231">
      <c r="BB4231" s="122"/>
      <c r="BC4231" s="141"/>
    </row>
    <row r="4232">
      <c r="BB4232" s="122"/>
      <c r="BC4232" s="141"/>
    </row>
    <row r="4233">
      <c r="BB4233" s="122"/>
      <c r="BC4233" s="141"/>
    </row>
    <row r="4234">
      <c r="BB4234" s="122"/>
      <c r="BC4234" s="141"/>
    </row>
    <row r="4235">
      <c r="BB4235" s="122"/>
      <c r="BC4235" s="141"/>
    </row>
    <row r="4236">
      <c r="BB4236" s="122"/>
      <c r="BC4236" s="141"/>
    </row>
    <row r="4237">
      <c r="BB4237" s="122"/>
      <c r="BC4237" s="141"/>
    </row>
    <row r="4238">
      <c r="BB4238" s="122"/>
      <c r="BC4238" s="141"/>
    </row>
    <row r="4239">
      <c r="BB4239" s="122"/>
      <c r="BC4239" s="141"/>
    </row>
    <row r="4240">
      <c r="BB4240" s="122"/>
      <c r="BC4240" s="141"/>
    </row>
    <row r="4241">
      <c r="BB4241" s="122"/>
      <c r="BC4241" s="141"/>
    </row>
    <row r="4242">
      <c r="BB4242" s="122"/>
      <c r="BC4242" s="141"/>
    </row>
    <row r="4243">
      <c r="BB4243" s="122"/>
      <c r="BC4243" s="141"/>
    </row>
    <row r="4244">
      <c r="BB4244" s="122"/>
      <c r="BC4244" s="141"/>
    </row>
    <row r="4245">
      <c r="BB4245" s="122"/>
      <c r="BC4245" s="141"/>
    </row>
    <row r="4246">
      <c r="BB4246" s="122"/>
      <c r="BC4246" s="141"/>
    </row>
    <row r="4247">
      <c r="BB4247" s="122"/>
      <c r="BC4247" s="141"/>
    </row>
    <row r="4248">
      <c r="BB4248" s="122"/>
      <c r="BC4248" s="141"/>
    </row>
    <row r="4249">
      <c r="BB4249" s="122"/>
      <c r="BC4249" s="141"/>
    </row>
    <row r="4250">
      <c r="BB4250" s="122"/>
      <c r="BC4250" s="141"/>
    </row>
    <row r="4251">
      <c r="BB4251" s="122"/>
      <c r="BC4251" s="141"/>
    </row>
    <row r="4252">
      <c r="BB4252" s="122"/>
      <c r="BC4252" s="141"/>
    </row>
    <row r="4253">
      <c r="BB4253" s="122"/>
      <c r="BC4253" s="141"/>
    </row>
    <row r="4254">
      <c r="BB4254" s="122"/>
      <c r="BC4254" s="141"/>
    </row>
    <row r="4255">
      <c r="BB4255" s="122"/>
      <c r="BC4255" s="141"/>
    </row>
    <row r="4256">
      <c r="BB4256" s="122"/>
      <c r="BC4256" s="141"/>
    </row>
    <row r="4257">
      <c r="BB4257" s="122"/>
      <c r="BC4257" s="141"/>
    </row>
    <row r="4258">
      <c r="BB4258" s="122"/>
      <c r="BC4258" s="141"/>
    </row>
    <row r="4259">
      <c r="BB4259" s="122"/>
      <c r="BC4259" s="141"/>
    </row>
    <row r="4260">
      <c r="BB4260" s="122"/>
      <c r="BC4260" s="141"/>
    </row>
    <row r="4261">
      <c r="BB4261" s="122"/>
      <c r="BC4261" s="141"/>
    </row>
    <row r="4262">
      <c r="BB4262" s="122"/>
      <c r="BC4262" s="141"/>
    </row>
    <row r="4263">
      <c r="BB4263" s="122"/>
      <c r="BC4263" s="141"/>
    </row>
    <row r="4264">
      <c r="BB4264" s="122"/>
      <c r="BC4264" s="141"/>
    </row>
    <row r="4265">
      <c r="BB4265" s="122"/>
      <c r="BC4265" s="141"/>
    </row>
    <row r="4266">
      <c r="BB4266" s="122"/>
      <c r="BC4266" s="141"/>
    </row>
    <row r="4267">
      <c r="BB4267" s="122"/>
      <c r="BC4267" s="141"/>
    </row>
    <row r="4268">
      <c r="BB4268" s="122"/>
      <c r="BC4268" s="141"/>
    </row>
    <row r="4269">
      <c r="BB4269" s="122"/>
      <c r="BC4269" s="141"/>
    </row>
    <row r="4270">
      <c r="BB4270" s="122"/>
      <c r="BC4270" s="141"/>
    </row>
    <row r="4271">
      <c r="BB4271" s="122"/>
      <c r="BC4271" s="141"/>
    </row>
    <row r="4272">
      <c r="BB4272" s="122"/>
      <c r="BC4272" s="141"/>
    </row>
    <row r="4273">
      <c r="BB4273" s="122"/>
      <c r="BC4273" s="141"/>
    </row>
    <row r="4274">
      <c r="BB4274" s="122"/>
      <c r="BC4274" s="141"/>
    </row>
    <row r="4275">
      <c r="BB4275" s="122"/>
      <c r="BC4275" s="141"/>
    </row>
    <row r="4276">
      <c r="BB4276" s="122"/>
      <c r="BC4276" s="141"/>
    </row>
    <row r="4277">
      <c r="BB4277" s="122"/>
      <c r="BC4277" s="141"/>
    </row>
    <row r="4278">
      <c r="BB4278" s="122"/>
      <c r="BC4278" s="141"/>
    </row>
    <row r="4279">
      <c r="BB4279" s="122"/>
      <c r="BC4279" s="141"/>
    </row>
    <row r="4280">
      <c r="BB4280" s="122"/>
      <c r="BC4280" s="141"/>
    </row>
    <row r="4281">
      <c r="BB4281" s="122"/>
      <c r="BC4281" s="141"/>
    </row>
    <row r="4282">
      <c r="BB4282" s="122"/>
      <c r="BC4282" s="141"/>
    </row>
    <row r="4283">
      <c r="BB4283" s="122"/>
      <c r="BC4283" s="141"/>
    </row>
    <row r="4284">
      <c r="BB4284" s="122"/>
      <c r="BC4284" s="141"/>
    </row>
    <row r="4285">
      <c r="BB4285" s="122"/>
      <c r="BC4285" s="141"/>
    </row>
    <row r="4286">
      <c r="BB4286" s="122"/>
      <c r="BC4286" s="141"/>
    </row>
    <row r="4287">
      <c r="BB4287" s="122"/>
      <c r="BC4287" s="141"/>
    </row>
    <row r="4288">
      <c r="BB4288" s="122"/>
      <c r="BC4288" s="141"/>
    </row>
    <row r="4289">
      <c r="BB4289" s="122"/>
      <c r="BC4289" s="141"/>
    </row>
    <row r="4290">
      <c r="BB4290" s="122"/>
      <c r="BC4290" s="141"/>
    </row>
    <row r="4291">
      <c r="BB4291" s="122"/>
      <c r="BC4291" s="141"/>
    </row>
    <row r="4292">
      <c r="BB4292" s="122"/>
      <c r="BC4292" s="141"/>
    </row>
    <row r="4293">
      <c r="BB4293" s="122"/>
      <c r="BC4293" s="141"/>
    </row>
    <row r="4294">
      <c r="BB4294" s="122"/>
      <c r="BC4294" s="141"/>
    </row>
    <row r="4295">
      <c r="BB4295" s="122"/>
      <c r="BC4295" s="141"/>
    </row>
    <row r="4296">
      <c r="BB4296" s="122"/>
      <c r="BC4296" s="141"/>
    </row>
    <row r="4297">
      <c r="BB4297" s="122"/>
      <c r="BC4297" s="141"/>
    </row>
    <row r="4298">
      <c r="BB4298" s="122"/>
      <c r="BC4298" s="141"/>
    </row>
    <row r="4299">
      <c r="BB4299" s="122"/>
      <c r="BC4299" s="141"/>
    </row>
    <row r="4300">
      <c r="BB4300" s="122"/>
      <c r="BC4300" s="141"/>
    </row>
    <row r="4301">
      <c r="BB4301" s="122"/>
      <c r="BC4301" s="141"/>
    </row>
    <row r="4302">
      <c r="BB4302" s="122"/>
      <c r="BC4302" s="141"/>
    </row>
    <row r="4303">
      <c r="BB4303" s="122"/>
      <c r="BC4303" s="141"/>
    </row>
    <row r="4304">
      <c r="BB4304" s="122"/>
      <c r="BC4304" s="141"/>
    </row>
    <row r="4305">
      <c r="BB4305" s="122"/>
      <c r="BC4305" s="141"/>
    </row>
    <row r="4306">
      <c r="BB4306" s="122"/>
      <c r="BC4306" s="141"/>
    </row>
    <row r="4307">
      <c r="BB4307" s="122"/>
      <c r="BC4307" s="141"/>
    </row>
    <row r="4308">
      <c r="BB4308" s="122"/>
      <c r="BC4308" s="141"/>
    </row>
    <row r="4309">
      <c r="BB4309" s="122"/>
      <c r="BC4309" s="141"/>
    </row>
    <row r="4310">
      <c r="BB4310" s="122"/>
      <c r="BC4310" s="141"/>
    </row>
    <row r="4311">
      <c r="BB4311" s="122"/>
      <c r="BC4311" s="141"/>
    </row>
    <row r="4312">
      <c r="BB4312" s="122"/>
      <c r="BC4312" s="141"/>
    </row>
    <row r="4313">
      <c r="BB4313" s="122"/>
      <c r="BC4313" s="141"/>
    </row>
    <row r="4314">
      <c r="BB4314" s="122"/>
      <c r="BC4314" s="141"/>
    </row>
    <row r="4315">
      <c r="BB4315" s="122"/>
      <c r="BC4315" s="141"/>
    </row>
    <row r="4316">
      <c r="BB4316" s="122"/>
      <c r="BC4316" s="141"/>
    </row>
    <row r="4317">
      <c r="BB4317" s="122"/>
      <c r="BC4317" s="141"/>
    </row>
    <row r="4318">
      <c r="BB4318" s="122"/>
      <c r="BC4318" s="141"/>
    </row>
    <row r="4319">
      <c r="BB4319" s="122"/>
      <c r="BC4319" s="141"/>
    </row>
    <row r="4320">
      <c r="BB4320" s="122"/>
      <c r="BC4320" s="141"/>
    </row>
    <row r="4321">
      <c r="BB4321" s="122"/>
      <c r="BC4321" s="141"/>
    </row>
    <row r="4322">
      <c r="BB4322" s="122"/>
      <c r="BC4322" s="141"/>
    </row>
    <row r="4323">
      <c r="BB4323" s="122"/>
      <c r="BC4323" s="141"/>
    </row>
    <row r="4324">
      <c r="BB4324" s="122"/>
      <c r="BC4324" s="141"/>
    </row>
    <row r="4325">
      <c r="BB4325" s="122"/>
      <c r="BC4325" s="141"/>
    </row>
    <row r="4326">
      <c r="BB4326" s="122"/>
      <c r="BC4326" s="141"/>
    </row>
    <row r="4327">
      <c r="BB4327" s="122"/>
      <c r="BC4327" s="141"/>
    </row>
    <row r="4328">
      <c r="BB4328" s="122"/>
      <c r="BC4328" s="141"/>
    </row>
    <row r="4329">
      <c r="BB4329" s="122"/>
      <c r="BC4329" s="141"/>
    </row>
    <row r="4330">
      <c r="BB4330" s="122"/>
      <c r="BC4330" s="141"/>
    </row>
    <row r="4331">
      <c r="BB4331" s="122"/>
      <c r="BC4331" s="141"/>
    </row>
    <row r="4332">
      <c r="BB4332" s="122"/>
      <c r="BC4332" s="141"/>
    </row>
    <row r="4333">
      <c r="BB4333" s="122"/>
      <c r="BC4333" s="141"/>
    </row>
    <row r="4334">
      <c r="BB4334" s="122"/>
      <c r="BC4334" s="141"/>
    </row>
    <row r="4335">
      <c r="BB4335" s="122"/>
      <c r="BC4335" s="141"/>
    </row>
    <row r="4336">
      <c r="BB4336" s="122"/>
      <c r="BC4336" s="141"/>
    </row>
    <row r="4337">
      <c r="BB4337" s="122"/>
      <c r="BC4337" s="141"/>
    </row>
    <row r="4338">
      <c r="BB4338" s="122"/>
      <c r="BC4338" s="141"/>
    </row>
    <row r="4339">
      <c r="BB4339" s="122"/>
      <c r="BC4339" s="141"/>
    </row>
    <row r="4340">
      <c r="BB4340" s="122"/>
      <c r="BC4340" s="141"/>
    </row>
    <row r="4341">
      <c r="BB4341" s="122"/>
      <c r="BC4341" s="141"/>
    </row>
    <row r="4342">
      <c r="BB4342" s="122"/>
      <c r="BC4342" s="141"/>
    </row>
    <row r="4343">
      <c r="BB4343" s="122"/>
      <c r="BC4343" s="141"/>
    </row>
    <row r="4344">
      <c r="BB4344" s="122"/>
      <c r="BC4344" s="141"/>
    </row>
    <row r="4345">
      <c r="BB4345" s="122"/>
      <c r="BC4345" s="141"/>
    </row>
    <row r="4346">
      <c r="BB4346" s="122"/>
      <c r="BC4346" s="141"/>
    </row>
    <row r="4347">
      <c r="BB4347" s="122"/>
      <c r="BC4347" s="141"/>
    </row>
    <row r="4348">
      <c r="BB4348" s="122"/>
      <c r="BC4348" s="141"/>
    </row>
    <row r="4349">
      <c r="BB4349" s="122"/>
      <c r="BC4349" s="141"/>
    </row>
    <row r="4350">
      <c r="BB4350" s="122"/>
      <c r="BC4350" s="141"/>
    </row>
    <row r="4351">
      <c r="BB4351" s="122"/>
      <c r="BC4351" s="141"/>
    </row>
    <row r="4352">
      <c r="BB4352" s="122"/>
      <c r="BC4352" s="141"/>
    </row>
    <row r="4353">
      <c r="BB4353" s="122"/>
      <c r="BC4353" s="141"/>
    </row>
    <row r="4354">
      <c r="BB4354" s="122"/>
      <c r="BC4354" s="141"/>
    </row>
    <row r="4355">
      <c r="BB4355" s="122"/>
      <c r="BC4355" s="141"/>
    </row>
    <row r="4356">
      <c r="BB4356" s="122"/>
      <c r="BC4356" s="141"/>
    </row>
    <row r="4357">
      <c r="BB4357" s="122"/>
      <c r="BC4357" s="141"/>
    </row>
    <row r="4358">
      <c r="BB4358" s="122"/>
      <c r="BC4358" s="141"/>
    </row>
    <row r="4359">
      <c r="BB4359" s="122"/>
      <c r="BC4359" s="141"/>
    </row>
    <row r="4360">
      <c r="BB4360" s="122"/>
      <c r="BC4360" s="141"/>
    </row>
    <row r="4361">
      <c r="BB4361" s="122"/>
      <c r="BC4361" s="141"/>
    </row>
    <row r="4362">
      <c r="BB4362" s="122"/>
      <c r="BC4362" s="141"/>
    </row>
    <row r="4363">
      <c r="BB4363" s="122"/>
      <c r="BC4363" s="141"/>
    </row>
    <row r="4364">
      <c r="BB4364" s="122"/>
      <c r="BC4364" s="141"/>
    </row>
    <row r="4365">
      <c r="BB4365" s="122"/>
      <c r="BC4365" s="141"/>
    </row>
    <row r="4366">
      <c r="BB4366" s="122"/>
      <c r="BC4366" s="141"/>
    </row>
    <row r="4367">
      <c r="BB4367" s="122"/>
      <c r="BC4367" s="141"/>
    </row>
    <row r="4368">
      <c r="BB4368" s="122"/>
      <c r="BC4368" s="141"/>
    </row>
    <row r="4369">
      <c r="BB4369" s="122"/>
      <c r="BC4369" s="141"/>
    </row>
    <row r="4370">
      <c r="BB4370" s="122"/>
      <c r="BC4370" s="141"/>
    </row>
    <row r="4371">
      <c r="BB4371" s="122"/>
      <c r="BC4371" s="141"/>
    </row>
    <row r="4372">
      <c r="BB4372" s="122"/>
      <c r="BC4372" s="141"/>
    </row>
    <row r="4373">
      <c r="BB4373" s="122"/>
      <c r="BC4373" s="141"/>
    </row>
    <row r="4374">
      <c r="BB4374" s="122"/>
      <c r="BC4374" s="141"/>
    </row>
    <row r="4375">
      <c r="BB4375" s="122"/>
      <c r="BC4375" s="141"/>
    </row>
    <row r="4376">
      <c r="BB4376" s="122"/>
      <c r="BC4376" s="141"/>
    </row>
    <row r="4377">
      <c r="BB4377" s="122"/>
      <c r="BC4377" s="141"/>
    </row>
    <row r="4378">
      <c r="BB4378" s="122"/>
      <c r="BC4378" s="141"/>
    </row>
    <row r="4379">
      <c r="BB4379" s="122"/>
      <c r="BC4379" s="141"/>
    </row>
    <row r="4380">
      <c r="BB4380" s="122"/>
      <c r="BC4380" s="141"/>
    </row>
    <row r="4381">
      <c r="BB4381" s="122"/>
      <c r="BC4381" s="141"/>
    </row>
    <row r="4382">
      <c r="BB4382" s="122"/>
      <c r="BC4382" s="141"/>
    </row>
    <row r="4383">
      <c r="BB4383" s="122"/>
      <c r="BC4383" s="141"/>
    </row>
    <row r="4384">
      <c r="BB4384" s="122"/>
      <c r="BC4384" s="141"/>
    </row>
    <row r="4385">
      <c r="BB4385" s="122"/>
      <c r="BC4385" s="141"/>
    </row>
    <row r="4386">
      <c r="BB4386" s="122"/>
      <c r="BC4386" s="141"/>
    </row>
    <row r="4387">
      <c r="BB4387" s="122"/>
      <c r="BC4387" s="141"/>
    </row>
    <row r="4388">
      <c r="BB4388" s="122"/>
      <c r="BC4388" s="141"/>
    </row>
    <row r="4389">
      <c r="BB4389" s="122"/>
      <c r="BC4389" s="141"/>
    </row>
    <row r="4390">
      <c r="BB4390" s="122"/>
      <c r="BC4390" s="141"/>
    </row>
    <row r="4391">
      <c r="BB4391" s="122"/>
      <c r="BC4391" s="141"/>
    </row>
    <row r="4392">
      <c r="BB4392" s="122"/>
      <c r="BC4392" s="141"/>
    </row>
    <row r="4393">
      <c r="BB4393" s="122"/>
      <c r="BC4393" s="141"/>
    </row>
    <row r="4394">
      <c r="BB4394" s="122"/>
      <c r="BC4394" s="141"/>
    </row>
    <row r="4395">
      <c r="BB4395" s="122"/>
      <c r="BC4395" s="141"/>
    </row>
    <row r="4396">
      <c r="BB4396" s="122"/>
      <c r="BC4396" s="141"/>
    </row>
    <row r="4397">
      <c r="BB4397" s="122"/>
      <c r="BC4397" s="141"/>
    </row>
    <row r="4398">
      <c r="BB4398" s="122"/>
      <c r="BC4398" s="141"/>
    </row>
    <row r="4399">
      <c r="BB4399" s="122"/>
      <c r="BC4399" s="141"/>
    </row>
    <row r="4400">
      <c r="BB4400" s="122"/>
      <c r="BC4400" s="141"/>
    </row>
    <row r="4401">
      <c r="BB4401" s="122"/>
      <c r="BC4401" s="141"/>
    </row>
    <row r="4402">
      <c r="BB4402" s="122"/>
      <c r="BC4402" s="141"/>
    </row>
    <row r="4403">
      <c r="BB4403" s="122"/>
      <c r="BC4403" s="141"/>
    </row>
    <row r="4404">
      <c r="BB4404" s="122"/>
      <c r="BC4404" s="141"/>
    </row>
    <row r="4405">
      <c r="BB4405" s="122"/>
      <c r="BC4405" s="141"/>
    </row>
    <row r="4406">
      <c r="BB4406" s="122"/>
      <c r="BC4406" s="141"/>
    </row>
    <row r="4407">
      <c r="BB4407" s="122"/>
      <c r="BC4407" s="141"/>
    </row>
    <row r="4408">
      <c r="BB4408" s="122"/>
      <c r="BC4408" s="141"/>
    </row>
    <row r="4409">
      <c r="BB4409" s="122"/>
      <c r="BC4409" s="141"/>
    </row>
    <row r="4410">
      <c r="BB4410" s="122"/>
      <c r="BC4410" s="141"/>
    </row>
    <row r="4411">
      <c r="BB4411" s="122"/>
      <c r="BC4411" s="141"/>
    </row>
    <row r="4412">
      <c r="BB4412" s="122"/>
      <c r="BC4412" s="141"/>
    </row>
    <row r="4413">
      <c r="BB4413" s="122"/>
      <c r="BC4413" s="141"/>
    </row>
    <row r="4414">
      <c r="BB4414" s="122"/>
      <c r="BC4414" s="141"/>
    </row>
    <row r="4415">
      <c r="BB4415" s="122"/>
      <c r="BC4415" s="141"/>
    </row>
    <row r="4416">
      <c r="BB4416" s="122"/>
      <c r="BC4416" s="141"/>
    </row>
    <row r="4417">
      <c r="BB4417" s="122"/>
      <c r="BC4417" s="141"/>
    </row>
    <row r="4418">
      <c r="BB4418" s="122"/>
      <c r="BC4418" s="141"/>
    </row>
    <row r="4419">
      <c r="BB4419" s="122"/>
      <c r="BC4419" s="141"/>
    </row>
    <row r="4420">
      <c r="BB4420" s="122"/>
      <c r="BC4420" s="141"/>
    </row>
    <row r="4421">
      <c r="BB4421" s="122"/>
      <c r="BC4421" s="141"/>
    </row>
    <row r="4422">
      <c r="BB4422" s="122"/>
      <c r="BC4422" s="141"/>
    </row>
    <row r="4423">
      <c r="BB4423" s="122"/>
      <c r="BC4423" s="141"/>
    </row>
    <row r="4424">
      <c r="BB4424" s="122"/>
      <c r="BC4424" s="141"/>
    </row>
    <row r="4425">
      <c r="BB4425" s="122"/>
      <c r="BC4425" s="141"/>
    </row>
    <row r="4426">
      <c r="BB4426" s="122"/>
      <c r="BC4426" s="141"/>
    </row>
    <row r="4427">
      <c r="BB4427" s="122"/>
      <c r="BC4427" s="141"/>
    </row>
    <row r="4428">
      <c r="BB4428" s="122"/>
      <c r="BC4428" s="141"/>
    </row>
    <row r="4429">
      <c r="BB4429" s="122"/>
      <c r="BC4429" s="141"/>
    </row>
    <row r="4430">
      <c r="BB4430" s="122"/>
      <c r="BC4430" s="141"/>
    </row>
    <row r="4431">
      <c r="BB4431" s="122"/>
      <c r="BC4431" s="141"/>
    </row>
    <row r="4432">
      <c r="BB4432" s="122"/>
      <c r="BC4432" s="141"/>
    </row>
    <row r="4433">
      <c r="BB4433" s="122"/>
      <c r="BC4433" s="141"/>
    </row>
    <row r="4434">
      <c r="BB4434" s="122"/>
      <c r="BC4434" s="141"/>
    </row>
    <row r="4435">
      <c r="BB4435" s="122"/>
      <c r="BC4435" s="141"/>
    </row>
    <row r="4436">
      <c r="BB4436" s="122"/>
      <c r="BC4436" s="141"/>
    </row>
    <row r="4437">
      <c r="BB4437" s="122"/>
      <c r="BC4437" s="141"/>
    </row>
    <row r="4438">
      <c r="BB4438" s="122"/>
      <c r="BC4438" s="141"/>
    </row>
    <row r="4439">
      <c r="BB4439" s="122"/>
      <c r="BC4439" s="141"/>
    </row>
    <row r="4440">
      <c r="BB4440" s="122"/>
      <c r="BC4440" s="141"/>
    </row>
    <row r="4441">
      <c r="BB4441" s="122"/>
      <c r="BC4441" s="141"/>
    </row>
    <row r="4442">
      <c r="BB4442" s="122"/>
      <c r="BC4442" s="141"/>
    </row>
    <row r="4443">
      <c r="BB4443" s="122"/>
      <c r="BC4443" s="141"/>
    </row>
    <row r="4444">
      <c r="BB4444" s="122"/>
      <c r="BC4444" s="141"/>
    </row>
    <row r="4445">
      <c r="BB4445" s="122"/>
      <c r="BC4445" s="141"/>
    </row>
    <row r="4446">
      <c r="BB4446" s="122"/>
      <c r="BC4446" s="141"/>
    </row>
    <row r="4447">
      <c r="BB4447" s="122"/>
      <c r="BC4447" s="141"/>
    </row>
    <row r="4448">
      <c r="BB4448" s="122"/>
      <c r="BC4448" s="141"/>
    </row>
    <row r="4449">
      <c r="BB4449" s="122"/>
      <c r="BC4449" s="141"/>
    </row>
    <row r="4450">
      <c r="BB4450" s="122"/>
      <c r="BC4450" s="141"/>
    </row>
    <row r="4451">
      <c r="BB4451" s="122"/>
      <c r="BC4451" s="141"/>
    </row>
    <row r="4452">
      <c r="BB4452" s="122"/>
      <c r="BC4452" s="141"/>
    </row>
    <row r="4453">
      <c r="BB4453" s="122"/>
      <c r="BC4453" s="141"/>
    </row>
    <row r="4454">
      <c r="BB4454" s="122"/>
      <c r="BC4454" s="141"/>
    </row>
    <row r="4455">
      <c r="BB4455" s="122"/>
      <c r="BC4455" s="141"/>
    </row>
    <row r="4456">
      <c r="BB4456" s="122"/>
      <c r="BC4456" s="141"/>
    </row>
    <row r="4457">
      <c r="BB4457" s="122"/>
      <c r="BC4457" s="141"/>
    </row>
    <row r="4458">
      <c r="BB4458" s="122"/>
      <c r="BC4458" s="141"/>
    </row>
    <row r="4459">
      <c r="BB4459" s="122"/>
      <c r="BC4459" s="141"/>
    </row>
    <row r="4460">
      <c r="BB4460" s="122"/>
      <c r="BC4460" s="141"/>
    </row>
    <row r="4461">
      <c r="BB4461" s="122"/>
      <c r="BC4461" s="141"/>
    </row>
    <row r="4462">
      <c r="BB4462" s="122"/>
      <c r="BC4462" s="141"/>
    </row>
    <row r="4463">
      <c r="BB4463" s="122"/>
      <c r="BC4463" s="141"/>
    </row>
    <row r="4464">
      <c r="BB4464" s="122"/>
      <c r="BC4464" s="141"/>
    </row>
    <row r="4465">
      <c r="BB4465" s="122"/>
      <c r="BC4465" s="141"/>
    </row>
    <row r="4466">
      <c r="BB4466" s="122"/>
      <c r="BC4466" s="141"/>
    </row>
    <row r="4467">
      <c r="BB4467" s="122"/>
      <c r="BC4467" s="141"/>
    </row>
    <row r="4468">
      <c r="BB4468" s="122"/>
      <c r="BC4468" s="141"/>
    </row>
    <row r="4469">
      <c r="BB4469" s="122"/>
      <c r="BC4469" s="141"/>
    </row>
    <row r="4470">
      <c r="BB4470" s="122"/>
      <c r="BC4470" s="141"/>
    </row>
    <row r="4471">
      <c r="BB4471" s="122"/>
      <c r="BC4471" s="141"/>
    </row>
    <row r="4472">
      <c r="BB4472" s="122"/>
      <c r="BC4472" s="141"/>
    </row>
    <row r="4473">
      <c r="BB4473" s="122"/>
      <c r="BC4473" s="141"/>
    </row>
    <row r="4474">
      <c r="BB4474" s="122"/>
      <c r="BC4474" s="141"/>
    </row>
    <row r="4475">
      <c r="BB4475" s="122"/>
      <c r="BC4475" s="141"/>
    </row>
    <row r="4476">
      <c r="BB4476" s="122"/>
      <c r="BC4476" s="141"/>
    </row>
    <row r="4477">
      <c r="BB4477" s="122"/>
      <c r="BC4477" s="141"/>
    </row>
    <row r="4478">
      <c r="BB4478" s="122"/>
      <c r="BC4478" s="141"/>
    </row>
    <row r="4479">
      <c r="BB4479" s="122"/>
      <c r="BC4479" s="141"/>
    </row>
    <row r="4480">
      <c r="BB4480" s="122"/>
      <c r="BC4480" s="141"/>
    </row>
    <row r="4481">
      <c r="BB4481" s="122"/>
      <c r="BC4481" s="141"/>
    </row>
    <row r="4482">
      <c r="BB4482" s="122"/>
      <c r="BC4482" s="141"/>
    </row>
    <row r="4483">
      <c r="BB4483" s="122"/>
      <c r="BC4483" s="141"/>
    </row>
    <row r="4484">
      <c r="BB4484" s="122"/>
      <c r="BC4484" s="141"/>
    </row>
    <row r="4485">
      <c r="BB4485" s="122"/>
      <c r="BC4485" s="141"/>
    </row>
    <row r="4486">
      <c r="BB4486" s="122"/>
      <c r="BC4486" s="141"/>
    </row>
    <row r="4487">
      <c r="BB4487" s="122"/>
      <c r="BC4487" s="141"/>
    </row>
    <row r="4488">
      <c r="BB4488" s="122"/>
      <c r="BC4488" s="141"/>
    </row>
    <row r="4489">
      <c r="BB4489" s="122"/>
      <c r="BC4489" s="141"/>
    </row>
    <row r="4490">
      <c r="BB4490" s="122"/>
      <c r="BC4490" s="141"/>
    </row>
    <row r="4491">
      <c r="BB4491" s="122"/>
      <c r="BC4491" s="141"/>
    </row>
    <row r="4492">
      <c r="BB4492" s="122"/>
      <c r="BC4492" s="141"/>
    </row>
    <row r="4493">
      <c r="BB4493" s="122"/>
      <c r="BC4493" s="141"/>
    </row>
    <row r="4494">
      <c r="BB4494" s="122"/>
      <c r="BC4494" s="141"/>
    </row>
    <row r="4495">
      <c r="BB4495" s="122"/>
      <c r="BC4495" s="141"/>
    </row>
    <row r="4496">
      <c r="BB4496" s="122"/>
      <c r="BC4496" s="141"/>
    </row>
    <row r="4497">
      <c r="BB4497" s="122"/>
      <c r="BC4497" s="141"/>
    </row>
    <row r="4498">
      <c r="BB4498" s="122"/>
      <c r="BC4498" s="141"/>
    </row>
    <row r="4499">
      <c r="BB4499" s="122"/>
      <c r="BC4499" s="141"/>
    </row>
    <row r="4500">
      <c r="BB4500" s="122"/>
      <c r="BC4500" s="141"/>
    </row>
    <row r="4501">
      <c r="BB4501" s="122"/>
      <c r="BC4501" s="141"/>
    </row>
    <row r="4502">
      <c r="BB4502" s="122"/>
      <c r="BC4502" s="141"/>
    </row>
    <row r="4503">
      <c r="BB4503" s="122"/>
      <c r="BC4503" s="141"/>
    </row>
    <row r="4504">
      <c r="BB4504" s="122"/>
      <c r="BC4504" s="141"/>
    </row>
    <row r="4505">
      <c r="BB4505" s="122"/>
      <c r="BC4505" s="141"/>
    </row>
    <row r="4506">
      <c r="BB4506" s="122"/>
      <c r="BC4506" s="141"/>
    </row>
    <row r="4507">
      <c r="BB4507" s="122"/>
      <c r="BC4507" s="141"/>
    </row>
    <row r="4508">
      <c r="BB4508" s="122"/>
      <c r="BC4508" s="141"/>
    </row>
    <row r="4509">
      <c r="BB4509" s="122"/>
      <c r="BC4509" s="141"/>
    </row>
    <row r="4510">
      <c r="BB4510" s="122"/>
      <c r="BC4510" s="141"/>
    </row>
    <row r="4511">
      <c r="BB4511" s="122"/>
      <c r="BC4511" s="141"/>
    </row>
    <row r="4512">
      <c r="BB4512" s="122"/>
      <c r="BC4512" s="141"/>
    </row>
    <row r="4513">
      <c r="BB4513" s="122"/>
      <c r="BC4513" s="141"/>
    </row>
    <row r="4514">
      <c r="BB4514" s="122"/>
      <c r="BC4514" s="141"/>
    </row>
    <row r="4515">
      <c r="BB4515" s="122"/>
      <c r="BC4515" s="141"/>
    </row>
    <row r="4516">
      <c r="BB4516" s="122"/>
      <c r="BC4516" s="141"/>
    </row>
    <row r="4517">
      <c r="BB4517" s="122"/>
      <c r="BC4517" s="141"/>
    </row>
    <row r="4518">
      <c r="BB4518" s="122"/>
      <c r="BC4518" s="141"/>
    </row>
    <row r="4519">
      <c r="BB4519" s="122"/>
      <c r="BC4519" s="141"/>
    </row>
    <row r="4520">
      <c r="BB4520" s="122"/>
      <c r="BC4520" s="141"/>
    </row>
    <row r="4521">
      <c r="BB4521" s="122"/>
      <c r="BC4521" s="141"/>
    </row>
    <row r="4522">
      <c r="BB4522" s="122"/>
      <c r="BC4522" s="141"/>
    </row>
    <row r="4523">
      <c r="BB4523" s="122"/>
      <c r="BC4523" s="141"/>
    </row>
    <row r="4524">
      <c r="BB4524" s="122"/>
      <c r="BC4524" s="141"/>
    </row>
    <row r="4525">
      <c r="BB4525" s="122"/>
      <c r="BC4525" s="141"/>
    </row>
    <row r="4526">
      <c r="BB4526" s="122"/>
      <c r="BC4526" s="141"/>
    </row>
    <row r="4527">
      <c r="BB4527" s="122"/>
      <c r="BC4527" s="141"/>
    </row>
    <row r="4528">
      <c r="BB4528" s="122"/>
      <c r="BC4528" s="141"/>
    </row>
    <row r="4529">
      <c r="BB4529" s="122"/>
      <c r="BC4529" s="141"/>
    </row>
    <row r="4530">
      <c r="BB4530" s="122"/>
      <c r="BC4530" s="141"/>
    </row>
    <row r="4531">
      <c r="BB4531" s="122"/>
      <c r="BC4531" s="141"/>
    </row>
    <row r="4532">
      <c r="BB4532" s="122"/>
      <c r="BC4532" s="141"/>
    </row>
    <row r="4533">
      <c r="BB4533" s="122"/>
      <c r="BC4533" s="141"/>
    </row>
    <row r="4534">
      <c r="BB4534" s="122"/>
      <c r="BC4534" s="141"/>
    </row>
    <row r="4535">
      <c r="BB4535" s="122"/>
      <c r="BC4535" s="141"/>
    </row>
    <row r="4536">
      <c r="BB4536" s="122"/>
      <c r="BC4536" s="141"/>
    </row>
    <row r="4537">
      <c r="BB4537" s="122"/>
      <c r="BC4537" s="141"/>
    </row>
    <row r="4538">
      <c r="BB4538" s="122"/>
      <c r="BC4538" s="141"/>
    </row>
    <row r="4539">
      <c r="BB4539" s="122"/>
      <c r="BC4539" s="141"/>
    </row>
    <row r="4540">
      <c r="BB4540" s="122"/>
      <c r="BC4540" s="141"/>
    </row>
    <row r="4541">
      <c r="BB4541" s="122"/>
      <c r="BC4541" s="141"/>
    </row>
    <row r="4542">
      <c r="BB4542" s="122"/>
      <c r="BC4542" s="141"/>
    </row>
    <row r="4543">
      <c r="BB4543" s="122"/>
      <c r="BC4543" s="141"/>
    </row>
    <row r="4544">
      <c r="BB4544" s="122"/>
      <c r="BC4544" s="141"/>
    </row>
    <row r="4545">
      <c r="BB4545" s="122"/>
      <c r="BC4545" s="141"/>
    </row>
    <row r="4546">
      <c r="BB4546" s="122"/>
      <c r="BC4546" s="141"/>
    </row>
    <row r="4547">
      <c r="BB4547" s="122"/>
      <c r="BC4547" s="141"/>
    </row>
    <row r="4548">
      <c r="BB4548" s="122"/>
      <c r="BC4548" s="141"/>
    </row>
    <row r="4549">
      <c r="BB4549" s="122"/>
      <c r="BC4549" s="141"/>
    </row>
    <row r="4550">
      <c r="BB4550" s="122"/>
      <c r="BC4550" s="141"/>
    </row>
    <row r="4551">
      <c r="BB4551" s="122"/>
      <c r="BC4551" s="141"/>
    </row>
    <row r="4552">
      <c r="BB4552" s="122"/>
      <c r="BC4552" s="141"/>
    </row>
    <row r="4553">
      <c r="BB4553" s="122"/>
      <c r="BC4553" s="141"/>
    </row>
    <row r="4554">
      <c r="BB4554" s="122"/>
      <c r="BC4554" s="141"/>
    </row>
    <row r="4555">
      <c r="BB4555" s="122"/>
      <c r="BC4555" s="141"/>
    </row>
    <row r="4556">
      <c r="BB4556" s="122"/>
      <c r="BC4556" s="141"/>
    </row>
    <row r="4557">
      <c r="BB4557" s="122"/>
      <c r="BC4557" s="141"/>
    </row>
    <row r="4558">
      <c r="BB4558" s="122"/>
      <c r="BC4558" s="141"/>
    </row>
    <row r="4559">
      <c r="BB4559" s="122"/>
      <c r="BC4559" s="141"/>
    </row>
    <row r="4560">
      <c r="BB4560" s="122"/>
      <c r="BC4560" s="141"/>
    </row>
    <row r="4561">
      <c r="BB4561" s="122"/>
      <c r="BC4561" s="141"/>
    </row>
    <row r="4562">
      <c r="BB4562" s="122"/>
      <c r="BC4562" s="141"/>
    </row>
    <row r="4563">
      <c r="BB4563" s="122"/>
      <c r="BC4563" s="141"/>
    </row>
    <row r="4564">
      <c r="BB4564" s="122"/>
      <c r="BC4564" s="141"/>
    </row>
    <row r="4565">
      <c r="BB4565" s="122"/>
      <c r="BC4565" s="141"/>
    </row>
    <row r="4566">
      <c r="BB4566" s="122"/>
      <c r="BC4566" s="141"/>
    </row>
    <row r="4567">
      <c r="BB4567" s="122"/>
      <c r="BC4567" s="141"/>
    </row>
    <row r="4568">
      <c r="BB4568" s="122"/>
      <c r="BC4568" s="141"/>
    </row>
    <row r="4569">
      <c r="BB4569" s="122"/>
      <c r="BC4569" s="141"/>
    </row>
    <row r="4570">
      <c r="BB4570" s="122"/>
      <c r="BC4570" s="141"/>
    </row>
    <row r="4571">
      <c r="BB4571" s="122"/>
      <c r="BC4571" s="141"/>
    </row>
    <row r="4572">
      <c r="BB4572" s="122"/>
      <c r="BC4572" s="141"/>
    </row>
    <row r="4573">
      <c r="BB4573" s="122"/>
      <c r="BC4573" s="141"/>
    </row>
    <row r="4574">
      <c r="BB4574" s="122"/>
      <c r="BC4574" s="141"/>
    </row>
    <row r="4575">
      <c r="BB4575" s="122"/>
      <c r="BC4575" s="141"/>
    </row>
    <row r="4576">
      <c r="BB4576" s="122"/>
      <c r="BC4576" s="141"/>
    </row>
    <row r="4577">
      <c r="BB4577" s="122"/>
      <c r="BC4577" s="141"/>
    </row>
    <row r="4578">
      <c r="BB4578" s="122"/>
      <c r="BC4578" s="141"/>
    </row>
    <row r="4579">
      <c r="BB4579" s="122"/>
      <c r="BC4579" s="141"/>
    </row>
    <row r="4580">
      <c r="BB4580" s="122"/>
      <c r="BC4580" s="141"/>
    </row>
    <row r="4581">
      <c r="BB4581" s="122"/>
      <c r="BC4581" s="141"/>
    </row>
    <row r="4582">
      <c r="BB4582" s="122"/>
      <c r="BC4582" s="141"/>
    </row>
    <row r="4583">
      <c r="BB4583" s="122"/>
      <c r="BC4583" s="141"/>
    </row>
    <row r="4584">
      <c r="BB4584" s="122"/>
      <c r="BC4584" s="141"/>
    </row>
    <row r="4585">
      <c r="BB4585" s="122"/>
      <c r="BC4585" s="141"/>
    </row>
    <row r="4586">
      <c r="BB4586" s="122"/>
      <c r="BC4586" s="141"/>
    </row>
    <row r="4587">
      <c r="BB4587" s="122"/>
      <c r="BC4587" s="141"/>
    </row>
    <row r="4588">
      <c r="BB4588" s="122"/>
      <c r="BC4588" s="141"/>
    </row>
    <row r="4589">
      <c r="BB4589" s="122"/>
      <c r="BC4589" s="141"/>
    </row>
    <row r="4590">
      <c r="BB4590" s="122"/>
      <c r="BC4590" s="141"/>
    </row>
    <row r="4591">
      <c r="BB4591" s="122"/>
      <c r="BC4591" s="141"/>
    </row>
    <row r="4592">
      <c r="BB4592" s="122"/>
      <c r="BC4592" s="141"/>
    </row>
    <row r="4593">
      <c r="BB4593" s="122"/>
      <c r="BC4593" s="141"/>
    </row>
    <row r="4594">
      <c r="BB4594" s="122"/>
      <c r="BC4594" s="141"/>
    </row>
    <row r="4595">
      <c r="BB4595" s="122"/>
      <c r="BC4595" s="141"/>
    </row>
    <row r="4596">
      <c r="BB4596" s="122"/>
      <c r="BC4596" s="141"/>
    </row>
    <row r="4597">
      <c r="BB4597" s="122"/>
      <c r="BC4597" s="141"/>
    </row>
    <row r="4598">
      <c r="BB4598" s="122"/>
      <c r="BC4598" s="141"/>
    </row>
    <row r="4599">
      <c r="BB4599" s="122"/>
      <c r="BC4599" s="141"/>
    </row>
    <row r="4600">
      <c r="BB4600" s="122"/>
      <c r="BC4600" s="141"/>
    </row>
    <row r="4601">
      <c r="BB4601" s="122"/>
      <c r="BC4601" s="141"/>
    </row>
    <row r="4602">
      <c r="BB4602" s="122"/>
      <c r="BC4602" s="141"/>
    </row>
    <row r="4603">
      <c r="BB4603" s="122"/>
      <c r="BC4603" s="141"/>
    </row>
    <row r="4604">
      <c r="BB4604" s="122"/>
      <c r="BC4604" s="141"/>
    </row>
    <row r="4605">
      <c r="BB4605" s="122"/>
      <c r="BC4605" s="141"/>
    </row>
    <row r="4606">
      <c r="BB4606" s="122"/>
      <c r="BC4606" s="141"/>
    </row>
    <row r="4607">
      <c r="BB4607" s="122"/>
      <c r="BC4607" s="141"/>
    </row>
    <row r="4608">
      <c r="BB4608" s="122"/>
      <c r="BC4608" s="141"/>
    </row>
    <row r="4609">
      <c r="BB4609" s="122"/>
      <c r="BC4609" s="141"/>
    </row>
    <row r="4610">
      <c r="BB4610" s="122"/>
      <c r="BC4610" s="141"/>
    </row>
    <row r="4611">
      <c r="BB4611" s="122"/>
      <c r="BC4611" s="141"/>
    </row>
    <row r="4612">
      <c r="BB4612" s="122"/>
      <c r="BC4612" s="141"/>
    </row>
    <row r="4613">
      <c r="BB4613" s="122"/>
      <c r="BC4613" s="141"/>
    </row>
    <row r="4614">
      <c r="BB4614" s="122"/>
      <c r="BC4614" s="141"/>
    </row>
    <row r="4615">
      <c r="BB4615" s="122"/>
      <c r="BC4615" s="141"/>
    </row>
    <row r="4616">
      <c r="BB4616" s="122"/>
      <c r="BC4616" s="141"/>
    </row>
    <row r="4617">
      <c r="BB4617" s="122"/>
      <c r="BC4617" s="141"/>
    </row>
    <row r="4618">
      <c r="BB4618" s="122"/>
      <c r="BC4618" s="141"/>
    </row>
    <row r="4619">
      <c r="BB4619" s="122"/>
      <c r="BC4619" s="141"/>
    </row>
    <row r="4620">
      <c r="BB4620" s="122"/>
      <c r="BC4620" s="141"/>
    </row>
    <row r="4621">
      <c r="BB4621" s="122"/>
      <c r="BC4621" s="141"/>
    </row>
    <row r="4622">
      <c r="BB4622" s="122"/>
      <c r="BC4622" s="141"/>
    </row>
    <row r="4623">
      <c r="BB4623" s="122"/>
      <c r="BC4623" s="141"/>
    </row>
    <row r="4624">
      <c r="BB4624" s="122"/>
      <c r="BC4624" s="141"/>
    </row>
    <row r="4625">
      <c r="BB4625" s="122"/>
      <c r="BC4625" s="141"/>
    </row>
    <row r="4626">
      <c r="BB4626" s="122"/>
      <c r="BC4626" s="141"/>
    </row>
    <row r="4627">
      <c r="BB4627" s="122"/>
      <c r="BC4627" s="141"/>
    </row>
    <row r="4628">
      <c r="BB4628" s="122"/>
      <c r="BC4628" s="141"/>
    </row>
    <row r="4629">
      <c r="BB4629" s="122"/>
      <c r="BC4629" s="141"/>
    </row>
    <row r="4630">
      <c r="BB4630" s="122"/>
      <c r="BC4630" s="141"/>
    </row>
    <row r="4631">
      <c r="BB4631" s="122"/>
      <c r="BC4631" s="141"/>
    </row>
    <row r="4632">
      <c r="BB4632" s="122"/>
      <c r="BC4632" s="141"/>
    </row>
    <row r="4633">
      <c r="BB4633" s="122"/>
      <c r="BC4633" s="141"/>
    </row>
    <row r="4634">
      <c r="BB4634" s="122"/>
      <c r="BC4634" s="141"/>
    </row>
    <row r="4635">
      <c r="BB4635" s="122"/>
      <c r="BC4635" s="141"/>
    </row>
    <row r="4636">
      <c r="BB4636" s="122"/>
      <c r="BC4636" s="141"/>
    </row>
    <row r="4637">
      <c r="BB4637" s="122"/>
      <c r="BC4637" s="141"/>
    </row>
    <row r="4638">
      <c r="BB4638" s="122"/>
      <c r="BC4638" s="141"/>
    </row>
    <row r="4639">
      <c r="BB4639" s="122"/>
      <c r="BC4639" s="141"/>
    </row>
    <row r="4640">
      <c r="BB4640" s="122"/>
      <c r="BC4640" s="141"/>
    </row>
    <row r="4641">
      <c r="BB4641" s="122"/>
      <c r="BC4641" s="141"/>
    </row>
    <row r="4642">
      <c r="BB4642" s="122"/>
      <c r="BC4642" s="141"/>
    </row>
    <row r="4643">
      <c r="BB4643" s="122"/>
      <c r="BC4643" s="141"/>
    </row>
    <row r="4644">
      <c r="BB4644" s="122"/>
      <c r="BC4644" s="141"/>
    </row>
    <row r="4645">
      <c r="BB4645" s="122"/>
      <c r="BC4645" s="141"/>
    </row>
    <row r="4646">
      <c r="BB4646" s="122"/>
      <c r="BC4646" s="141"/>
    </row>
    <row r="4647">
      <c r="BB4647" s="122"/>
      <c r="BC4647" s="141"/>
    </row>
    <row r="4648">
      <c r="BB4648" s="122"/>
      <c r="BC4648" s="141"/>
    </row>
    <row r="4649">
      <c r="BB4649" s="122"/>
      <c r="BC4649" s="141"/>
    </row>
    <row r="4650">
      <c r="BB4650" s="122"/>
      <c r="BC4650" s="141"/>
    </row>
    <row r="4651">
      <c r="BB4651" s="122"/>
      <c r="BC4651" s="141"/>
    </row>
    <row r="4652">
      <c r="BB4652" s="122"/>
      <c r="BC4652" s="141"/>
    </row>
    <row r="4653">
      <c r="BB4653" s="122"/>
      <c r="BC4653" s="141"/>
    </row>
    <row r="4654">
      <c r="BB4654" s="122"/>
      <c r="BC4654" s="141"/>
    </row>
    <row r="4655">
      <c r="BB4655" s="122"/>
      <c r="BC4655" s="141"/>
    </row>
    <row r="4656">
      <c r="BB4656" s="122"/>
      <c r="BC4656" s="141"/>
    </row>
    <row r="4657">
      <c r="BB4657" s="122"/>
      <c r="BC4657" s="141"/>
    </row>
    <row r="4658">
      <c r="BB4658" s="122"/>
      <c r="BC4658" s="141"/>
    </row>
    <row r="4659">
      <c r="BB4659" s="122"/>
      <c r="BC4659" s="141"/>
    </row>
    <row r="4660">
      <c r="BB4660" s="122"/>
      <c r="BC4660" s="141"/>
    </row>
    <row r="4661">
      <c r="BB4661" s="122"/>
      <c r="BC4661" s="141"/>
    </row>
    <row r="4662">
      <c r="BB4662" s="122"/>
      <c r="BC4662" s="141"/>
    </row>
    <row r="4663">
      <c r="BB4663" s="122"/>
      <c r="BC4663" s="141"/>
    </row>
    <row r="4664">
      <c r="BB4664" s="122"/>
      <c r="BC4664" s="141"/>
    </row>
    <row r="4665">
      <c r="BB4665" s="122"/>
      <c r="BC4665" s="141"/>
    </row>
    <row r="4666">
      <c r="BB4666" s="122"/>
      <c r="BC4666" s="141"/>
    </row>
    <row r="4667">
      <c r="BB4667" s="122"/>
      <c r="BC4667" s="141"/>
    </row>
    <row r="4668">
      <c r="BB4668" s="122"/>
      <c r="BC4668" s="141"/>
    </row>
    <row r="4669">
      <c r="BB4669" s="122"/>
      <c r="BC4669" s="141"/>
    </row>
    <row r="4670">
      <c r="BB4670" s="122"/>
      <c r="BC4670" s="141"/>
    </row>
    <row r="4671">
      <c r="BB4671" s="122"/>
      <c r="BC4671" s="141"/>
    </row>
    <row r="4672">
      <c r="BB4672" s="122"/>
      <c r="BC4672" s="141"/>
    </row>
    <row r="4673">
      <c r="BB4673" s="122"/>
      <c r="BC4673" s="141"/>
    </row>
    <row r="4674">
      <c r="BB4674" s="122"/>
      <c r="BC4674" s="141"/>
    </row>
    <row r="4675">
      <c r="BB4675" s="122"/>
      <c r="BC4675" s="141"/>
    </row>
    <row r="4676">
      <c r="BB4676" s="122"/>
      <c r="BC4676" s="141"/>
    </row>
    <row r="4677">
      <c r="BB4677" s="122"/>
      <c r="BC4677" s="141"/>
    </row>
    <row r="4678">
      <c r="BB4678" s="122"/>
      <c r="BC4678" s="141"/>
    </row>
    <row r="4679">
      <c r="BB4679" s="122"/>
      <c r="BC4679" s="141"/>
    </row>
    <row r="4680">
      <c r="BB4680" s="122"/>
      <c r="BC4680" s="141"/>
    </row>
    <row r="4681">
      <c r="BB4681" s="122"/>
      <c r="BC4681" s="141"/>
    </row>
    <row r="4682">
      <c r="BB4682" s="122"/>
      <c r="BC4682" s="141"/>
    </row>
    <row r="4683">
      <c r="BB4683" s="122"/>
      <c r="BC4683" s="141"/>
    </row>
    <row r="4684">
      <c r="BB4684" s="122"/>
      <c r="BC4684" s="141"/>
    </row>
    <row r="4685">
      <c r="BB4685" s="122"/>
      <c r="BC4685" s="141"/>
    </row>
    <row r="4686">
      <c r="BB4686" s="122"/>
      <c r="BC4686" s="141"/>
    </row>
    <row r="4687">
      <c r="BB4687" s="122"/>
      <c r="BC4687" s="141"/>
    </row>
    <row r="4688">
      <c r="BB4688" s="122"/>
      <c r="BC4688" s="141"/>
    </row>
    <row r="4689">
      <c r="BB4689" s="122"/>
      <c r="BC4689" s="141"/>
    </row>
    <row r="4690">
      <c r="BB4690" s="122"/>
      <c r="BC4690" s="141"/>
    </row>
    <row r="4691">
      <c r="BB4691" s="122"/>
      <c r="BC4691" s="141"/>
    </row>
    <row r="4692">
      <c r="BB4692" s="122"/>
      <c r="BC4692" s="141"/>
    </row>
    <row r="4693">
      <c r="BB4693" s="122"/>
      <c r="BC4693" s="141"/>
    </row>
    <row r="4694">
      <c r="BB4694" s="122"/>
      <c r="BC4694" s="141"/>
    </row>
    <row r="4695">
      <c r="BB4695" s="122"/>
      <c r="BC4695" s="141"/>
    </row>
    <row r="4696">
      <c r="BB4696" s="122"/>
      <c r="BC4696" s="141"/>
    </row>
    <row r="4697">
      <c r="BB4697" s="122"/>
      <c r="BC4697" s="141"/>
    </row>
    <row r="4698">
      <c r="BB4698" s="122"/>
      <c r="BC4698" s="141"/>
    </row>
    <row r="4699">
      <c r="BB4699" s="122"/>
      <c r="BC4699" s="141"/>
    </row>
    <row r="4700">
      <c r="BB4700" s="122"/>
      <c r="BC4700" s="141"/>
    </row>
    <row r="4701">
      <c r="BB4701" s="122"/>
      <c r="BC4701" s="141"/>
    </row>
    <row r="4702">
      <c r="BB4702" s="122"/>
      <c r="BC4702" s="141"/>
    </row>
    <row r="4703">
      <c r="BB4703" s="122"/>
      <c r="BC4703" s="141"/>
    </row>
    <row r="4704">
      <c r="BB4704" s="122"/>
      <c r="BC4704" s="141"/>
    </row>
    <row r="4705">
      <c r="BB4705" s="122"/>
      <c r="BC4705" s="141"/>
    </row>
    <row r="4706">
      <c r="BB4706" s="122"/>
      <c r="BC4706" s="141"/>
    </row>
    <row r="4707">
      <c r="BB4707" s="122"/>
      <c r="BC4707" s="141"/>
    </row>
    <row r="4708">
      <c r="BB4708" s="122"/>
      <c r="BC4708" s="141"/>
    </row>
    <row r="4709">
      <c r="BB4709" s="122"/>
      <c r="BC4709" s="141"/>
    </row>
    <row r="4710">
      <c r="BB4710" s="122"/>
      <c r="BC4710" s="141"/>
    </row>
    <row r="4711">
      <c r="BB4711" s="122"/>
      <c r="BC4711" s="141"/>
    </row>
    <row r="4712">
      <c r="BB4712" s="122"/>
      <c r="BC4712" s="141"/>
    </row>
    <row r="4713">
      <c r="BB4713" s="122"/>
      <c r="BC4713" s="141"/>
    </row>
    <row r="4714">
      <c r="BB4714" s="122"/>
      <c r="BC4714" s="141"/>
    </row>
    <row r="4715">
      <c r="BB4715" s="122"/>
      <c r="BC4715" s="141"/>
    </row>
    <row r="4716">
      <c r="BB4716" s="122"/>
      <c r="BC4716" s="141"/>
    </row>
    <row r="4717">
      <c r="BB4717" s="122"/>
      <c r="BC4717" s="141"/>
    </row>
    <row r="4718">
      <c r="BB4718" s="122"/>
      <c r="BC4718" s="141"/>
    </row>
    <row r="4719">
      <c r="BB4719" s="122"/>
      <c r="BC4719" s="141"/>
    </row>
    <row r="4720">
      <c r="BB4720" s="122"/>
      <c r="BC4720" s="141"/>
    </row>
    <row r="4721">
      <c r="BB4721" s="122"/>
      <c r="BC4721" s="141"/>
    </row>
    <row r="4722">
      <c r="BB4722" s="122"/>
      <c r="BC4722" s="141"/>
    </row>
    <row r="4723">
      <c r="BB4723" s="122"/>
      <c r="BC4723" s="141"/>
    </row>
    <row r="4724">
      <c r="BB4724" s="122"/>
      <c r="BC4724" s="141"/>
    </row>
    <row r="4725">
      <c r="BB4725" s="122"/>
      <c r="BC4725" s="141"/>
    </row>
    <row r="4726">
      <c r="BB4726" s="122"/>
      <c r="BC4726" s="141"/>
    </row>
    <row r="4727">
      <c r="BB4727" s="122"/>
      <c r="BC4727" s="141"/>
    </row>
    <row r="4728">
      <c r="BB4728" s="122"/>
      <c r="BC4728" s="141"/>
    </row>
    <row r="4729">
      <c r="BB4729" s="122"/>
      <c r="BC4729" s="141"/>
    </row>
    <row r="4730">
      <c r="BB4730" s="122"/>
      <c r="BC4730" s="141"/>
    </row>
    <row r="4731">
      <c r="BB4731" s="122"/>
      <c r="BC4731" s="141"/>
    </row>
    <row r="4732">
      <c r="BB4732" s="122"/>
      <c r="BC4732" s="141"/>
    </row>
    <row r="4733">
      <c r="BB4733" s="122"/>
      <c r="BC4733" s="141"/>
    </row>
    <row r="4734">
      <c r="BB4734" s="122"/>
      <c r="BC4734" s="141"/>
    </row>
    <row r="4735">
      <c r="BB4735" s="122"/>
      <c r="BC4735" s="141"/>
    </row>
    <row r="4736">
      <c r="BB4736" s="122"/>
      <c r="BC4736" s="141"/>
    </row>
    <row r="4737">
      <c r="BB4737" s="122"/>
      <c r="BC4737" s="141"/>
    </row>
    <row r="4738">
      <c r="BB4738" s="122"/>
      <c r="BC4738" s="141"/>
    </row>
    <row r="4739">
      <c r="BB4739" s="122"/>
      <c r="BC4739" s="141"/>
    </row>
    <row r="4740">
      <c r="BB4740" s="122"/>
      <c r="BC4740" s="141"/>
    </row>
    <row r="4741">
      <c r="BB4741" s="122"/>
      <c r="BC4741" s="141"/>
    </row>
    <row r="4742">
      <c r="BB4742" s="122"/>
      <c r="BC4742" s="141"/>
    </row>
    <row r="4743">
      <c r="BB4743" s="122"/>
      <c r="BC4743" s="141"/>
    </row>
    <row r="4744">
      <c r="BB4744" s="122"/>
      <c r="BC4744" s="141"/>
    </row>
    <row r="4745">
      <c r="BB4745" s="122"/>
      <c r="BC4745" s="141"/>
    </row>
    <row r="4746">
      <c r="BB4746" s="122"/>
      <c r="BC4746" s="141"/>
    </row>
    <row r="4747">
      <c r="BB4747" s="122"/>
      <c r="BC4747" s="141"/>
    </row>
    <row r="4748">
      <c r="BB4748" s="122"/>
      <c r="BC4748" s="141"/>
    </row>
    <row r="4749">
      <c r="BB4749" s="122"/>
      <c r="BC4749" s="141"/>
    </row>
    <row r="4750">
      <c r="BB4750" s="122"/>
      <c r="BC4750" s="141"/>
    </row>
    <row r="4751">
      <c r="BB4751" s="122"/>
      <c r="BC4751" s="141"/>
    </row>
    <row r="4752">
      <c r="BB4752" s="122"/>
      <c r="BC4752" s="141"/>
    </row>
    <row r="4753">
      <c r="BB4753" s="122"/>
      <c r="BC4753" s="141"/>
    </row>
    <row r="4754">
      <c r="BB4754" s="122"/>
      <c r="BC4754" s="141"/>
    </row>
    <row r="4755">
      <c r="BB4755" s="122"/>
      <c r="BC4755" s="141"/>
    </row>
    <row r="4756">
      <c r="BB4756" s="122"/>
      <c r="BC4756" s="141"/>
    </row>
    <row r="4757">
      <c r="BB4757" s="122"/>
      <c r="BC4757" s="141"/>
    </row>
    <row r="4758">
      <c r="BB4758" s="122"/>
      <c r="BC4758" s="141"/>
    </row>
    <row r="4759">
      <c r="BB4759" s="122"/>
      <c r="BC4759" s="141"/>
    </row>
    <row r="4760">
      <c r="BB4760" s="122"/>
      <c r="BC4760" s="141"/>
    </row>
    <row r="4761">
      <c r="BB4761" s="122"/>
      <c r="BC4761" s="141"/>
    </row>
    <row r="4762">
      <c r="BB4762" s="122"/>
      <c r="BC4762" s="141"/>
    </row>
    <row r="4763">
      <c r="BB4763" s="122"/>
      <c r="BC4763" s="141"/>
    </row>
    <row r="4764">
      <c r="BB4764" s="122"/>
      <c r="BC4764" s="141"/>
    </row>
    <row r="4765">
      <c r="BB4765" s="122"/>
      <c r="BC4765" s="141"/>
    </row>
    <row r="4766">
      <c r="BB4766" s="122"/>
      <c r="BC4766" s="141"/>
    </row>
    <row r="4767">
      <c r="BB4767" s="122"/>
      <c r="BC4767" s="141"/>
    </row>
    <row r="4768">
      <c r="BB4768" s="122"/>
      <c r="BC4768" s="141"/>
    </row>
    <row r="4769">
      <c r="BB4769" s="122"/>
      <c r="BC4769" s="141"/>
    </row>
    <row r="4770">
      <c r="BB4770" s="122"/>
      <c r="BC4770" s="141"/>
    </row>
    <row r="4771">
      <c r="BB4771" s="122"/>
      <c r="BC4771" s="141"/>
    </row>
    <row r="4772">
      <c r="BB4772" s="122"/>
      <c r="BC4772" s="141"/>
    </row>
    <row r="4773">
      <c r="BB4773" s="122"/>
      <c r="BC4773" s="141"/>
    </row>
    <row r="4774">
      <c r="BB4774" s="122"/>
      <c r="BC4774" s="141"/>
    </row>
    <row r="4775">
      <c r="BB4775" s="122"/>
      <c r="BC4775" s="141"/>
    </row>
    <row r="4776">
      <c r="BB4776" s="122"/>
      <c r="BC4776" s="141"/>
    </row>
    <row r="4777">
      <c r="BB4777" s="122"/>
      <c r="BC4777" s="141"/>
    </row>
    <row r="4778">
      <c r="BB4778" s="122"/>
      <c r="BC4778" s="141"/>
    </row>
    <row r="4779">
      <c r="BB4779" s="122"/>
      <c r="BC4779" s="141"/>
    </row>
    <row r="4780">
      <c r="BB4780" s="122"/>
      <c r="BC4780" s="141"/>
    </row>
    <row r="4781">
      <c r="BB4781" s="122"/>
      <c r="BC4781" s="141"/>
    </row>
    <row r="4782">
      <c r="BB4782" s="122"/>
      <c r="BC4782" s="141"/>
    </row>
    <row r="4783">
      <c r="BB4783" s="122"/>
      <c r="BC4783" s="141"/>
    </row>
    <row r="4784">
      <c r="BB4784" s="122"/>
      <c r="BC4784" s="141"/>
    </row>
    <row r="4785">
      <c r="BB4785" s="122"/>
      <c r="BC4785" s="141"/>
    </row>
    <row r="4786">
      <c r="BB4786" s="122"/>
      <c r="BC4786" s="141"/>
    </row>
    <row r="4787">
      <c r="BB4787" s="122"/>
      <c r="BC4787" s="141"/>
    </row>
    <row r="4788">
      <c r="BB4788" s="122"/>
      <c r="BC4788" s="141"/>
    </row>
    <row r="4789">
      <c r="BB4789" s="122"/>
      <c r="BC4789" s="141"/>
    </row>
    <row r="4790">
      <c r="BB4790" s="122"/>
      <c r="BC4790" s="141"/>
    </row>
    <row r="4791">
      <c r="BB4791" s="122"/>
      <c r="BC4791" s="141"/>
    </row>
    <row r="4792">
      <c r="BB4792" s="122"/>
      <c r="BC4792" s="141"/>
    </row>
    <row r="4793">
      <c r="BB4793" s="122"/>
      <c r="BC4793" s="141"/>
    </row>
    <row r="4794">
      <c r="BB4794" s="122"/>
      <c r="BC4794" s="141"/>
    </row>
    <row r="4795">
      <c r="BB4795" s="122"/>
      <c r="BC4795" s="141"/>
    </row>
    <row r="4796">
      <c r="BB4796" s="122"/>
      <c r="BC4796" s="141"/>
    </row>
    <row r="4797">
      <c r="BB4797" s="122"/>
      <c r="BC4797" s="141"/>
    </row>
    <row r="4798">
      <c r="BB4798" s="122"/>
      <c r="BC4798" s="141"/>
    </row>
    <row r="4799">
      <c r="BB4799" s="122"/>
      <c r="BC4799" s="141"/>
    </row>
    <row r="4800">
      <c r="BB4800" s="122"/>
      <c r="BC4800" s="141"/>
    </row>
    <row r="4801">
      <c r="BB4801" s="122"/>
      <c r="BC4801" s="141"/>
    </row>
    <row r="4802">
      <c r="BB4802" s="122"/>
      <c r="BC4802" s="141"/>
    </row>
    <row r="4803">
      <c r="BB4803" s="122"/>
      <c r="BC4803" s="141"/>
    </row>
    <row r="4804">
      <c r="BB4804" s="122"/>
      <c r="BC4804" s="141"/>
    </row>
    <row r="4805">
      <c r="BB4805" s="122"/>
      <c r="BC4805" s="141"/>
    </row>
    <row r="4806">
      <c r="BB4806" s="122"/>
      <c r="BC4806" s="141"/>
    </row>
    <row r="4807">
      <c r="BB4807" s="122"/>
      <c r="BC4807" s="141"/>
    </row>
    <row r="4808">
      <c r="BB4808" s="122"/>
      <c r="BC4808" s="141"/>
    </row>
    <row r="4809">
      <c r="BB4809" s="122"/>
      <c r="BC4809" s="141"/>
    </row>
    <row r="4810">
      <c r="BB4810" s="122"/>
      <c r="BC4810" s="141"/>
    </row>
    <row r="4811">
      <c r="BB4811" s="122"/>
      <c r="BC4811" s="141"/>
    </row>
    <row r="4812">
      <c r="BB4812" s="122"/>
      <c r="BC4812" s="141"/>
    </row>
    <row r="4813">
      <c r="BB4813" s="122"/>
      <c r="BC4813" s="141"/>
    </row>
    <row r="4814">
      <c r="BB4814" s="122"/>
      <c r="BC4814" s="141"/>
    </row>
    <row r="4815">
      <c r="BB4815" s="122"/>
      <c r="BC4815" s="141"/>
    </row>
    <row r="4816">
      <c r="BB4816" s="122"/>
      <c r="BC4816" s="141"/>
    </row>
    <row r="4817">
      <c r="BB4817" s="122"/>
      <c r="BC4817" s="141"/>
    </row>
    <row r="4818">
      <c r="BB4818" s="122"/>
      <c r="BC4818" s="141"/>
    </row>
    <row r="4819">
      <c r="BB4819" s="122"/>
      <c r="BC4819" s="141"/>
    </row>
    <row r="4820">
      <c r="BB4820" s="122"/>
      <c r="BC4820" s="141"/>
    </row>
    <row r="4821">
      <c r="BB4821" s="122"/>
      <c r="BC4821" s="141"/>
    </row>
    <row r="4822">
      <c r="BB4822" s="122"/>
      <c r="BC4822" s="141"/>
    </row>
    <row r="4823">
      <c r="BB4823" s="122"/>
      <c r="BC4823" s="141"/>
    </row>
    <row r="4824">
      <c r="BB4824" s="122"/>
      <c r="BC4824" s="141"/>
    </row>
    <row r="4825">
      <c r="BB4825" s="122"/>
      <c r="BC4825" s="141"/>
    </row>
    <row r="4826">
      <c r="BB4826" s="122"/>
      <c r="BC4826" s="141"/>
    </row>
    <row r="4827">
      <c r="BB4827" s="122"/>
      <c r="BC4827" s="141"/>
    </row>
    <row r="4828">
      <c r="BB4828" s="122"/>
      <c r="BC4828" s="141"/>
    </row>
    <row r="4829">
      <c r="BB4829" s="122"/>
      <c r="BC4829" s="141"/>
    </row>
    <row r="4830">
      <c r="BB4830" s="122"/>
      <c r="BC4830" s="141"/>
    </row>
    <row r="4831">
      <c r="BB4831" s="122"/>
      <c r="BC4831" s="141"/>
    </row>
    <row r="4832">
      <c r="BB4832" s="122"/>
      <c r="BC4832" s="141"/>
    </row>
    <row r="4833">
      <c r="BB4833" s="122"/>
      <c r="BC4833" s="141"/>
    </row>
    <row r="4834">
      <c r="BB4834" s="122"/>
      <c r="BC4834" s="141"/>
    </row>
    <row r="4835">
      <c r="BB4835" s="122"/>
      <c r="BC4835" s="141"/>
    </row>
    <row r="4836">
      <c r="BB4836" s="122"/>
      <c r="BC4836" s="141"/>
    </row>
    <row r="4837">
      <c r="BB4837" s="122"/>
      <c r="BC4837" s="141"/>
    </row>
    <row r="4838">
      <c r="BB4838" s="122"/>
      <c r="BC4838" s="141"/>
    </row>
    <row r="4839">
      <c r="BB4839" s="122"/>
      <c r="BC4839" s="141"/>
    </row>
    <row r="4840">
      <c r="BB4840" s="122"/>
      <c r="BC4840" s="141"/>
    </row>
    <row r="4841">
      <c r="BB4841" s="122"/>
      <c r="BC4841" s="141"/>
    </row>
    <row r="4842">
      <c r="BB4842" s="122"/>
      <c r="BC4842" s="141"/>
    </row>
    <row r="4843">
      <c r="BB4843" s="122"/>
      <c r="BC4843" s="141"/>
    </row>
    <row r="4844">
      <c r="BB4844" s="122"/>
      <c r="BC4844" s="141"/>
    </row>
    <row r="4845">
      <c r="BB4845" s="122"/>
      <c r="BC4845" s="141"/>
    </row>
    <row r="4846">
      <c r="BB4846" s="122"/>
      <c r="BC4846" s="141"/>
    </row>
    <row r="4847">
      <c r="BB4847" s="122"/>
      <c r="BC4847" s="141"/>
    </row>
    <row r="4848">
      <c r="BB4848" s="122"/>
      <c r="BC4848" s="141"/>
    </row>
    <row r="4849">
      <c r="BB4849" s="122"/>
      <c r="BC4849" s="141"/>
    </row>
    <row r="4850">
      <c r="BB4850" s="122"/>
      <c r="BC4850" s="141"/>
    </row>
    <row r="4851">
      <c r="BB4851" s="122"/>
      <c r="BC4851" s="141"/>
    </row>
    <row r="4852">
      <c r="BB4852" s="122"/>
      <c r="BC4852" s="141"/>
    </row>
    <row r="4853">
      <c r="BB4853" s="122"/>
      <c r="BC4853" s="141"/>
    </row>
    <row r="4854">
      <c r="BB4854" s="122"/>
      <c r="BC4854" s="141"/>
    </row>
    <row r="4855">
      <c r="BB4855" s="122"/>
      <c r="BC4855" s="141"/>
    </row>
    <row r="4856">
      <c r="BB4856" s="122"/>
      <c r="BC4856" s="141"/>
    </row>
    <row r="4857">
      <c r="BB4857" s="122"/>
      <c r="BC4857" s="141"/>
    </row>
    <row r="4858">
      <c r="BB4858" s="122"/>
      <c r="BC4858" s="141"/>
    </row>
    <row r="4859">
      <c r="BB4859" s="122"/>
      <c r="BC4859" s="141"/>
    </row>
    <row r="4860">
      <c r="BB4860" s="122"/>
      <c r="BC4860" s="141"/>
    </row>
    <row r="4861">
      <c r="BB4861" s="122"/>
      <c r="BC4861" s="141"/>
    </row>
    <row r="4862">
      <c r="BB4862" s="122"/>
      <c r="BC4862" s="141"/>
    </row>
    <row r="4863">
      <c r="BB4863" s="122"/>
      <c r="BC4863" s="141"/>
    </row>
    <row r="4864">
      <c r="BB4864" s="122"/>
      <c r="BC4864" s="141"/>
    </row>
    <row r="4865">
      <c r="BB4865" s="122"/>
      <c r="BC4865" s="141"/>
    </row>
    <row r="4866">
      <c r="BB4866" s="122"/>
      <c r="BC4866" s="141"/>
    </row>
    <row r="4867">
      <c r="BB4867" s="122"/>
      <c r="BC4867" s="141"/>
    </row>
    <row r="4868">
      <c r="BB4868" s="122"/>
      <c r="BC4868" s="141"/>
    </row>
    <row r="4869">
      <c r="BB4869" s="122"/>
      <c r="BC4869" s="141"/>
    </row>
    <row r="4870">
      <c r="BB4870" s="122"/>
      <c r="BC4870" s="141"/>
    </row>
    <row r="4871">
      <c r="BB4871" s="122"/>
      <c r="BC4871" s="141"/>
    </row>
    <row r="4872">
      <c r="BB4872" s="122"/>
      <c r="BC4872" s="141"/>
    </row>
    <row r="4873">
      <c r="BB4873" s="122"/>
      <c r="BC4873" s="141"/>
    </row>
    <row r="4874">
      <c r="BB4874" s="122"/>
      <c r="BC4874" s="141"/>
    </row>
    <row r="4875">
      <c r="BB4875" s="122"/>
      <c r="BC4875" s="141"/>
    </row>
    <row r="4876">
      <c r="BB4876" s="122"/>
      <c r="BC4876" s="141"/>
    </row>
    <row r="4877">
      <c r="BB4877" s="122"/>
      <c r="BC4877" s="141"/>
    </row>
    <row r="4878">
      <c r="BB4878" s="122"/>
      <c r="BC4878" s="141"/>
    </row>
    <row r="4879">
      <c r="BB4879" s="122"/>
      <c r="BC4879" s="141"/>
    </row>
    <row r="4880">
      <c r="BB4880" s="122"/>
      <c r="BC4880" s="141"/>
    </row>
    <row r="4881">
      <c r="BB4881" s="122"/>
      <c r="BC4881" s="141"/>
    </row>
    <row r="4882">
      <c r="BB4882" s="122"/>
      <c r="BC4882" s="141"/>
    </row>
    <row r="4883">
      <c r="BB4883" s="122"/>
      <c r="BC4883" s="141"/>
    </row>
    <row r="4884">
      <c r="BB4884" s="122"/>
      <c r="BC4884" s="141"/>
    </row>
    <row r="4885">
      <c r="BB4885" s="122"/>
      <c r="BC4885" s="141"/>
    </row>
    <row r="4886">
      <c r="BB4886" s="122"/>
      <c r="BC4886" s="141"/>
    </row>
    <row r="4887">
      <c r="BB4887" s="122"/>
      <c r="BC4887" s="141"/>
    </row>
    <row r="4888">
      <c r="BB4888" s="122"/>
      <c r="BC4888" s="141"/>
    </row>
    <row r="4889">
      <c r="BB4889" s="122"/>
      <c r="BC4889" s="141"/>
    </row>
    <row r="4890">
      <c r="BB4890" s="122"/>
      <c r="BC4890" s="141"/>
    </row>
    <row r="4891">
      <c r="BB4891" s="122"/>
      <c r="BC4891" s="141"/>
    </row>
    <row r="4892">
      <c r="BB4892" s="122"/>
      <c r="BC4892" s="141"/>
    </row>
    <row r="4893">
      <c r="BB4893" s="122"/>
      <c r="BC4893" s="141"/>
    </row>
    <row r="4894">
      <c r="BB4894" s="122"/>
      <c r="BC4894" s="141"/>
    </row>
    <row r="4895">
      <c r="BB4895" s="122"/>
      <c r="BC4895" s="141"/>
    </row>
    <row r="4896">
      <c r="BB4896" s="122"/>
      <c r="BC4896" s="141"/>
    </row>
    <row r="4897">
      <c r="BB4897" s="122"/>
      <c r="BC4897" s="141"/>
    </row>
    <row r="4898">
      <c r="BB4898" s="122"/>
      <c r="BC4898" s="141"/>
    </row>
    <row r="4899">
      <c r="BB4899" s="122"/>
      <c r="BC4899" s="141"/>
    </row>
    <row r="4900">
      <c r="BB4900" s="122"/>
      <c r="BC4900" s="141"/>
    </row>
    <row r="4901">
      <c r="BB4901" s="122"/>
      <c r="BC4901" s="141"/>
    </row>
    <row r="4902">
      <c r="BB4902" s="122"/>
      <c r="BC4902" s="141"/>
    </row>
    <row r="4903">
      <c r="BB4903" s="122"/>
      <c r="BC4903" s="141"/>
    </row>
    <row r="4904">
      <c r="BB4904" s="122"/>
      <c r="BC4904" s="141"/>
    </row>
    <row r="4905">
      <c r="BB4905" s="122"/>
      <c r="BC4905" s="141"/>
    </row>
    <row r="4906">
      <c r="BB4906" s="122"/>
      <c r="BC4906" s="141"/>
    </row>
    <row r="4907">
      <c r="BB4907" s="122"/>
      <c r="BC4907" s="141"/>
    </row>
    <row r="4908">
      <c r="BB4908" s="122"/>
      <c r="BC4908" s="141"/>
    </row>
    <row r="4909">
      <c r="BB4909" s="122"/>
      <c r="BC4909" s="141"/>
    </row>
    <row r="4910">
      <c r="BB4910" s="122"/>
      <c r="BC4910" s="141"/>
    </row>
    <row r="4911">
      <c r="BB4911" s="122"/>
      <c r="BC4911" s="141"/>
    </row>
    <row r="4912">
      <c r="BB4912" s="122"/>
      <c r="BC4912" s="141"/>
    </row>
    <row r="4913">
      <c r="BB4913" s="122"/>
      <c r="BC4913" s="141"/>
    </row>
    <row r="4914">
      <c r="BB4914" s="122"/>
      <c r="BC4914" s="141"/>
    </row>
    <row r="4915">
      <c r="BB4915" s="122"/>
      <c r="BC4915" s="141"/>
    </row>
    <row r="4916">
      <c r="BB4916" s="122"/>
      <c r="BC4916" s="141"/>
    </row>
    <row r="4917">
      <c r="BB4917" s="122"/>
      <c r="BC4917" s="141"/>
    </row>
    <row r="4918">
      <c r="BB4918" s="122"/>
      <c r="BC4918" s="141"/>
    </row>
    <row r="4919">
      <c r="BB4919" s="122"/>
      <c r="BC4919" s="141"/>
    </row>
    <row r="4920">
      <c r="BB4920" s="122"/>
      <c r="BC4920" s="141"/>
    </row>
    <row r="4921">
      <c r="BB4921" s="122"/>
      <c r="BC4921" s="141"/>
    </row>
    <row r="4922">
      <c r="BB4922" s="122"/>
      <c r="BC4922" s="141"/>
    </row>
    <row r="4923">
      <c r="BB4923" s="122"/>
      <c r="BC4923" s="141"/>
    </row>
    <row r="4924">
      <c r="BB4924" s="122"/>
      <c r="BC4924" s="141"/>
    </row>
    <row r="4925">
      <c r="BB4925" s="122"/>
      <c r="BC4925" s="141"/>
    </row>
    <row r="4926">
      <c r="BB4926" s="122"/>
      <c r="BC4926" s="141"/>
    </row>
    <row r="4927">
      <c r="BB4927" s="122"/>
      <c r="BC4927" s="141"/>
    </row>
    <row r="4928">
      <c r="BB4928" s="122"/>
      <c r="BC4928" s="141"/>
    </row>
    <row r="4929">
      <c r="BB4929" s="122"/>
      <c r="BC4929" s="141"/>
    </row>
    <row r="4930">
      <c r="BB4930" s="122"/>
      <c r="BC4930" s="141"/>
    </row>
    <row r="4931">
      <c r="BB4931" s="122"/>
      <c r="BC4931" s="141"/>
    </row>
    <row r="4932">
      <c r="BB4932" s="122"/>
      <c r="BC4932" s="141"/>
    </row>
    <row r="4933">
      <c r="BB4933" s="122"/>
      <c r="BC4933" s="141"/>
    </row>
    <row r="4934">
      <c r="BB4934" s="122"/>
      <c r="BC4934" s="141"/>
    </row>
    <row r="4935">
      <c r="BB4935" s="122"/>
      <c r="BC4935" s="141"/>
    </row>
    <row r="4936">
      <c r="BB4936" s="122"/>
      <c r="BC4936" s="141"/>
    </row>
    <row r="4937">
      <c r="BB4937" s="122"/>
      <c r="BC4937" s="141"/>
    </row>
    <row r="4938">
      <c r="BB4938" s="122"/>
      <c r="BC4938" s="141"/>
    </row>
    <row r="4939">
      <c r="BB4939" s="122"/>
      <c r="BC4939" s="141"/>
    </row>
    <row r="4940">
      <c r="BB4940" s="122"/>
      <c r="BC4940" s="141"/>
    </row>
    <row r="4941">
      <c r="BB4941" s="122"/>
      <c r="BC4941" s="141"/>
    </row>
    <row r="4942">
      <c r="BB4942" s="122"/>
      <c r="BC4942" s="141"/>
    </row>
    <row r="4943">
      <c r="BB4943" s="122"/>
      <c r="BC4943" s="141"/>
    </row>
    <row r="4944">
      <c r="BB4944" s="122"/>
      <c r="BC4944" s="141"/>
    </row>
    <row r="4945">
      <c r="BB4945" s="122"/>
      <c r="BC4945" s="141"/>
    </row>
    <row r="4946">
      <c r="BB4946" s="122"/>
      <c r="BC4946" s="141"/>
    </row>
    <row r="4947">
      <c r="BB4947" s="122"/>
      <c r="BC4947" s="141"/>
    </row>
    <row r="4948">
      <c r="BB4948" s="122"/>
      <c r="BC4948" s="141"/>
    </row>
    <row r="4949">
      <c r="BB4949" s="122"/>
      <c r="BC4949" s="141"/>
    </row>
    <row r="4950">
      <c r="BB4950" s="122"/>
      <c r="BC4950" s="141"/>
    </row>
    <row r="4951">
      <c r="BB4951" s="122"/>
      <c r="BC4951" s="141"/>
    </row>
    <row r="4952">
      <c r="BB4952" s="122"/>
      <c r="BC4952" s="141"/>
    </row>
    <row r="4953">
      <c r="BB4953" s="122"/>
      <c r="BC4953" s="141"/>
    </row>
    <row r="4954">
      <c r="BB4954" s="122"/>
      <c r="BC4954" s="141"/>
    </row>
    <row r="4955">
      <c r="BB4955" s="122"/>
      <c r="BC4955" s="141"/>
    </row>
    <row r="4956">
      <c r="BB4956" s="122"/>
      <c r="BC4956" s="141"/>
    </row>
    <row r="4957">
      <c r="BB4957" s="122"/>
      <c r="BC4957" s="141"/>
    </row>
    <row r="4958">
      <c r="BB4958" s="122"/>
      <c r="BC4958" s="141"/>
    </row>
    <row r="4959">
      <c r="BB4959" s="122"/>
      <c r="BC4959" s="141"/>
    </row>
    <row r="4960">
      <c r="BB4960" s="122"/>
      <c r="BC4960" s="141"/>
    </row>
    <row r="4961">
      <c r="BB4961" s="122"/>
      <c r="BC4961" s="141"/>
    </row>
    <row r="4962">
      <c r="BB4962" s="122"/>
      <c r="BC4962" s="141"/>
    </row>
    <row r="4963">
      <c r="BB4963" s="122"/>
      <c r="BC4963" s="141"/>
    </row>
    <row r="4964">
      <c r="BB4964" s="122"/>
      <c r="BC4964" s="141"/>
    </row>
    <row r="4965">
      <c r="BB4965" s="122"/>
      <c r="BC4965" s="141"/>
    </row>
    <row r="4966">
      <c r="BB4966" s="122"/>
      <c r="BC4966" s="141"/>
    </row>
    <row r="4967">
      <c r="BB4967" s="122"/>
      <c r="BC4967" s="141"/>
    </row>
    <row r="4968">
      <c r="BB4968" s="122"/>
      <c r="BC4968" s="141"/>
    </row>
    <row r="4969">
      <c r="BB4969" s="122"/>
      <c r="BC4969" s="141"/>
    </row>
    <row r="4970">
      <c r="BB4970" s="122"/>
      <c r="BC4970" s="141"/>
    </row>
    <row r="4971">
      <c r="BB4971" s="122"/>
      <c r="BC4971" s="141"/>
    </row>
    <row r="4972">
      <c r="BB4972" s="122"/>
      <c r="BC4972" s="141"/>
    </row>
    <row r="4973">
      <c r="BB4973" s="122"/>
      <c r="BC4973" s="141"/>
    </row>
    <row r="4974">
      <c r="BB4974" s="122"/>
      <c r="BC4974" s="141"/>
    </row>
    <row r="4975">
      <c r="BB4975" s="122"/>
      <c r="BC4975" s="141"/>
    </row>
    <row r="4976">
      <c r="BB4976" s="122"/>
      <c r="BC4976" s="141"/>
    </row>
    <row r="4977">
      <c r="BB4977" s="122"/>
      <c r="BC4977" s="141"/>
    </row>
    <row r="4978">
      <c r="BB4978" s="122"/>
      <c r="BC4978" s="141"/>
    </row>
    <row r="4979">
      <c r="BB4979" s="122"/>
      <c r="BC4979" s="141"/>
    </row>
    <row r="4980">
      <c r="BB4980" s="122"/>
      <c r="BC4980" s="141"/>
    </row>
    <row r="4981">
      <c r="BB4981" s="122"/>
      <c r="BC4981" s="141"/>
    </row>
    <row r="4982">
      <c r="BB4982" s="122"/>
      <c r="BC4982" s="141"/>
    </row>
    <row r="4983">
      <c r="BB4983" s="122"/>
      <c r="BC4983" s="141"/>
    </row>
    <row r="4984">
      <c r="BB4984" s="122"/>
      <c r="BC4984" s="141"/>
    </row>
    <row r="4985">
      <c r="BB4985" s="122"/>
      <c r="BC4985" s="141"/>
    </row>
    <row r="4986">
      <c r="BB4986" s="122"/>
      <c r="BC4986" s="141"/>
    </row>
    <row r="4987">
      <c r="BB4987" s="122"/>
      <c r="BC4987" s="141"/>
    </row>
    <row r="4988">
      <c r="BB4988" s="122"/>
      <c r="BC4988" s="141"/>
    </row>
    <row r="4989">
      <c r="BB4989" s="122"/>
      <c r="BC4989" s="141"/>
    </row>
    <row r="4990">
      <c r="BB4990" s="122"/>
      <c r="BC4990" s="141"/>
    </row>
    <row r="4991">
      <c r="BB4991" s="122"/>
      <c r="BC4991" s="141"/>
    </row>
    <row r="4992">
      <c r="BB4992" s="122"/>
      <c r="BC4992" s="141"/>
    </row>
    <row r="4993">
      <c r="BB4993" s="122"/>
      <c r="BC4993" s="141"/>
    </row>
    <row r="4994">
      <c r="BB4994" s="122"/>
      <c r="BC4994" s="141"/>
    </row>
    <row r="4995">
      <c r="BB4995" s="122"/>
      <c r="BC4995" s="141"/>
    </row>
    <row r="4996">
      <c r="BB4996" s="122"/>
      <c r="BC4996" s="141"/>
    </row>
    <row r="4997">
      <c r="BB4997" s="122"/>
      <c r="BC4997" s="141"/>
    </row>
    <row r="4998">
      <c r="BB4998" s="122"/>
      <c r="BC4998" s="141"/>
    </row>
    <row r="4999">
      <c r="BB4999" s="122"/>
      <c r="BC4999" s="141"/>
    </row>
    <row r="5000">
      <c r="BB5000" s="122"/>
      <c r="BC5000" s="141"/>
    </row>
    <row r="5001">
      <c r="BB5001" s="122"/>
      <c r="BC5001" s="141"/>
    </row>
    <row r="5002">
      <c r="BB5002" s="122"/>
      <c r="BC5002" s="141"/>
    </row>
    <row r="5003">
      <c r="BB5003" s="122"/>
      <c r="BC5003" s="141"/>
    </row>
    <row r="5004">
      <c r="BB5004" s="122"/>
      <c r="BC5004" s="141"/>
    </row>
    <row r="5005">
      <c r="BB5005" s="122"/>
      <c r="BC5005" s="141"/>
    </row>
    <row r="5006">
      <c r="BB5006" s="122"/>
      <c r="BC5006" s="141"/>
    </row>
    <row r="5007">
      <c r="BB5007" s="122"/>
      <c r="BC5007" s="141"/>
    </row>
    <row r="5008">
      <c r="BB5008" s="122"/>
      <c r="BC5008" s="141"/>
    </row>
    <row r="5009">
      <c r="BB5009" s="122"/>
      <c r="BC5009" s="141"/>
    </row>
    <row r="5010">
      <c r="BB5010" s="122"/>
      <c r="BC5010" s="141"/>
    </row>
    <row r="5011">
      <c r="BB5011" s="122"/>
      <c r="BC5011" s="141"/>
    </row>
    <row r="5012">
      <c r="BB5012" s="122"/>
      <c r="BC5012" s="141"/>
    </row>
    <row r="5013">
      <c r="BB5013" s="122"/>
      <c r="BC5013" s="141"/>
    </row>
    <row r="5014">
      <c r="BB5014" s="122"/>
      <c r="BC5014" s="141"/>
    </row>
    <row r="5015">
      <c r="BB5015" s="122"/>
      <c r="BC5015" s="141"/>
    </row>
    <row r="5016">
      <c r="BB5016" s="122"/>
      <c r="BC5016" s="141"/>
    </row>
    <row r="5017">
      <c r="BB5017" s="122"/>
      <c r="BC5017" s="141"/>
    </row>
    <row r="5018">
      <c r="BB5018" s="122"/>
      <c r="BC5018" s="141"/>
    </row>
    <row r="5019">
      <c r="BB5019" s="122"/>
      <c r="BC5019" s="141"/>
    </row>
    <row r="5020">
      <c r="BB5020" s="122"/>
      <c r="BC5020" s="141"/>
    </row>
    <row r="5021">
      <c r="BB5021" s="122"/>
      <c r="BC5021" s="141"/>
    </row>
    <row r="5022">
      <c r="BB5022" s="122"/>
      <c r="BC5022" s="141"/>
    </row>
    <row r="5023">
      <c r="BB5023" s="122"/>
      <c r="BC5023" s="141"/>
    </row>
    <row r="5024">
      <c r="BB5024" s="122"/>
      <c r="BC5024" s="141"/>
    </row>
    <row r="5025">
      <c r="BB5025" s="122"/>
      <c r="BC5025" s="141"/>
    </row>
    <row r="5026">
      <c r="BB5026" s="122"/>
      <c r="BC5026" s="141"/>
    </row>
    <row r="5027">
      <c r="BB5027" s="122"/>
      <c r="BC5027" s="141"/>
    </row>
    <row r="5028">
      <c r="BB5028" s="122"/>
      <c r="BC5028" s="141"/>
    </row>
    <row r="5029">
      <c r="BB5029" s="122"/>
      <c r="BC5029" s="141"/>
    </row>
    <row r="5030">
      <c r="BB5030" s="122"/>
      <c r="BC5030" s="141"/>
    </row>
    <row r="5031">
      <c r="BB5031" s="122"/>
      <c r="BC5031" s="141"/>
    </row>
    <row r="5032">
      <c r="BB5032" s="122"/>
      <c r="BC5032" s="141"/>
    </row>
    <row r="5033">
      <c r="BB5033" s="122"/>
      <c r="BC5033" s="141"/>
    </row>
    <row r="5034">
      <c r="BB5034" s="122"/>
      <c r="BC5034" s="141"/>
    </row>
    <row r="5035">
      <c r="BB5035" s="122"/>
      <c r="BC5035" s="141"/>
    </row>
    <row r="5036">
      <c r="BB5036" s="122"/>
      <c r="BC5036" s="141"/>
    </row>
    <row r="5037">
      <c r="BB5037" s="122"/>
      <c r="BC5037" s="141"/>
    </row>
    <row r="5038">
      <c r="BB5038" s="122"/>
      <c r="BC5038" s="141"/>
    </row>
    <row r="5039">
      <c r="BB5039" s="122"/>
      <c r="BC5039" s="141"/>
    </row>
    <row r="5040">
      <c r="BB5040" s="122"/>
      <c r="BC5040" s="141"/>
    </row>
    <row r="5041">
      <c r="BB5041" s="122"/>
      <c r="BC5041" s="141"/>
    </row>
    <row r="5042">
      <c r="BB5042" s="122"/>
      <c r="BC5042" s="141"/>
    </row>
    <row r="5043">
      <c r="BB5043" s="122"/>
      <c r="BC5043" s="141"/>
    </row>
    <row r="5044">
      <c r="BB5044" s="122"/>
      <c r="BC5044" s="141"/>
    </row>
    <row r="5045">
      <c r="BB5045" s="122"/>
      <c r="BC5045" s="141"/>
    </row>
    <row r="5046">
      <c r="BB5046" s="122"/>
      <c r="BC5046" s="141"/>
    </row>
    <row r="5047">
      <c r="BB5047" s="122"/>
      <c r="BC5047" s="141"/>
    </row>
    <row r="5048">
      <c r="BB5048" s="122"/>
      <c r="BC5048" s="141"/>
    </row>
    <row r="5049">
      <c r="BB5049" s="122"/>
      <c r="BC5049" s="141"/>
    </row>
    <row r="5050">
      <c r="BB5050" s="122"/>
      <c r="BC5050" s="141"/>
    </row>
    <row r="5051">
      <c r="BB5051" s="122"/>
      <c r="BC5051" s="141"/>
    </row>
    <row r="5052">
      <c r="BB5052" s="122"/>
      <c r="BC5052" s="141"/>
    </row>
    <row r="5053">
      <c r="BB5053" s="122"/>
      <c r="BC5053" s="141"/>
    </row>
    <row r="5054">
      <c r="BB5054" s="122"/>
      <c r="BC5054" s="141"/>
    </row>
    <row r="5055">
      <c r="BB5055" s="122"/>
      <c r="BC5055" s="141"/>
    </row>
    <row r="5056">
      <c r="BB5056" s="122"/>
      <c r="BC5056" s="141"/>
    </row>
    <row r="5057">
      <c r="BB5057" s="122"/>
      <c r="BC5057" s="141"/>
    </row>
    <row r="5058">
      <c r="BB5058" s="122"/>
      <c r="BC5058" s="141"/>
    </row>
    <row r="5059">
      <c r="BB5059" s="122"/>
      <c r="BC5059" s="141"/>
    </row>
    <row r="5060">
      <c r="BB5060" s="122"/>
      <c r="BC5060" s="141"/>
    </row>
    <row r="5061">
      <c r="BB5061" s="122"/>
      <c r="BC5061" s="141"/>
    </row>
    <row r="5062">
      <c r="BB5062" s="122"/>
      <c r="BC5062" s="141"/>
    </row>
    <row r="5063">
      <c r="BB5063" s="122"/>
      <c r="BC5063" s="141"/>
    </row>
    <row r="5064">
      <c r="BB5064" s="122"/>
      <c r="BC5064" s="141"/>
    </row>
    <row r="5065">
      <c r="BB5065" s="122"/>
      <c r="BC5065" s="141"/>
    </row>
    <row r="5066">
      <c r="BB5066" s="122"/>
      <c r="BC5066" s="141"/>
    </row>
    <row r="5067">
      <c r="BB5067" s="122"/>
      <c r="BC5067" s="141"/>
    </row>
    <row r="5068">
      <c r="BB5068" s="122"/>
      <c r="BC5068" s="141"/>
    </row>
    <row r="5069">
      <c r="BB5069" s="122"/>
      <c r="BC5069" s="141"/>
    </row>
    <row r="5070">
      <c r="BB5070" s="122"/>
      <c r="BC5070" s="141"/>
    </row>
    <row r="5071">
      <c r="BB5071" s="122"/>
      <c r="BC5071" s="141"/>
    </row>
    <row r="5072">
      <c r="BB5072" s="122"/>
      <c r="BC5072" s="141"/>
    </row>
    <row r="5073">
      <c r="BB5073" s="122"/>
      <c r="BC5073" s="141"/>
    </row>
    <row r="5074">
      <c r="BB5074" s="122"/>
      <c r="BC5074" s="141"/>
    </row>
    <row r="5075">
      <c r="BB5075" s="122"/>
      <c r="BC5075" s="141"/>
    </row>
    <row r="5076">
      <c r="BB5076" s="122"/>
      <c r="BC5076" s="141"/>
    </row>
    <row r="5077">
      <c r="BB5077" s="122"/>
      <c r="BC5077" s="141"/>
    </row>
    <row r="5078">
      <c r="BB5078" s="122"/>
      <c r="BC5078" s="141"/>
    </row>
    <row r="5079">
      <c r="BB5079" s="122"/>
      <c r="BC5079" s="141"/>
    </row>
    <row r="5080">
      <c r="BB5080" s="122"/>
      <c r="BC5080" s="141"/>
    </row>
    <row r="5081">
      <c r="BB5081" s="122"/>
      <c r="BC5081" s="141"/>
    </row>
    <row r="5082">
      <c r="BB5082" s="122"/>
      <c r="BC5082" s="141"/>
    </row>
    <row r="5083">
      <c r="BB5083" s="122"/>
      <c r="BC5083" s="141"/>
    </row>
    <row r="5084">
      <c r="BB5084" s="122"/>
      <c r="BC5084" s="141"/>
    </row>
    <row r="5085">
      <c r="BB5085" s="122"/>
      <c r="BC5085" s="141"/>
    </row>
    <row r="5086">
      <c r="BB5086" s="122"/>
      <c r="BC5086" s="141"/>
    </row>
    <row r="5087">
      <c r="BB5087" s="122"/>
      <c r="BC5087" s="141"/>
    </row>
    <row r="5088">
      <c r="BB5088" s="122"/>
      <c r="BC5088" s="141"/>
    </row>
    <row r="5089">
      <c r="BB5089" s="122"/>
      <c r="BC5089" s="141"/>
    </row>
    <row r="5090">
      <c r="BB5090" s="122"/>
      <c r="BC5090" s="141"/>
    </row>
    <row r="5091">
      <c r="BB5091" s="122"/>
      <c r="BC5091" s="141"/>
    </row>
    <row r="5092">
      <c r="BB5092" s="122"/>
      <c r="BC5092" s="141"/>
    </row>
    <row r="5093">
      <c r="BB5093" s="122"/>
      <c r="BC5093" s="141"/>
    </row>
    <row r="5094">
      <c r="BB5094" s="122"/>
      <c r="BC5094" s="141"/>
    </row>
    <row r="5095">
      <c r="BB5095" s="122"/>
      <c r="BC5095" s="141"/>
    </row>
    <row r="5096">
      <c r="BB5096" s="122"/>
      <c r="BC5096" s="141"/>
    </row>
    <row r="5097">
      <c r="BB5097" s="122"/>
      <c r="BC5097" s="141"/>
    </row>
    <row r="5098">
      <c r="BB5098" s="122"/>
      <c r="BC5098" s="141"/>
    </row>
    <row r="5099">
      <c r="BB5099" s="122"/>
      <c r="BC5099" s="141"/>
    </row>
    <row r="5100">
      <c r="BB5100" s="122"/>
      <c r="BC5100" s="141"/>
    </row>
    <row r="5101">
      <c r="BB5101" s="122"/>
      <c r="BC5101" s="141"/>
    </row>
    <row r="5102">
      <c r="BB5102" s="122"/>
      <c r="BC5102" s="141"/>
    </row>
    <row r="5103">
      <c r="BB5103" s="122"/>
      <c r="BC5103" s="141"/>
    </row>
    <row r="5104">
      <c r="BB5104" s="122"/>
      <c r="BC5104" s="141"/>
    </row>
    <row r="5105">
      <c r="BB5105" s="122"/>
      <c r="BC5105" s="141"/>
    </row>
    <row r="5106">
      <c r="BB5106" s="122"/>
      <c r="BC5106" s="141"/>
    </row>
    <row r="5107">
      <c r="BB5107" s="122"/>
      <c r="BC5107" s="141"/>
    </row>
    <row r="5108">
      <c r="BB5108" s="122"/>
      <c r="BC5108" s="141"/>
    </row>
    <row r="5109">
      <c r="BB5109" s="122"/>
      <c r="BC5109" s="141"/>
    </row>
    <row r="5110">
      <c r="BB5110" s="122"/>
      <c r="BC5110" s="141"/>
    </row>
    <row r="5111">
      <c r="BB5111" s="122"/>
      <c r="BC5111" s="141"/>
    </row>
    <row r="5112">
      <c r="BB5112" s="122"/>
      <c r="BC5112" s="141"/>
    </row>
    <row r="5113">
      <c r="BB5113" s="122"/>
      <c r="BC5113" s="141"/>
    </row>
    <row r="5114">
      <c r="BB5114" s="122"/>
      <c r="BC5114" s="141"/>
    </row>
    <row r="5115">
      <c r="BB5115" s="122"/>
      <c r="BC5115" s="141"/>
    </row>
    <row r="5116">
      <c r="BB5116" s="122"/>
      <c r="BC5116" s="141"/>
    </row>
    <row r="5117">
      <c r="BB5117" s="122"/>
      <c r="BC5117" s="141"/>
    </row>
    <row r="5118">
      <c r="BB5118" s="122"/>
      <c r="BC5118" s="141"/>
    </row>
    <row r="5119">
      <c r="BB5119" s="122"/>
      <c r="BC5119" s="141"/>
    </row>
    <row r="5120">
      <c r="BB5120" s="122"/>
      <c r="BC5120" s="141"/>
    </row>
    <row r="5121">
      <c r="BB5121" s="122"/>
      <c r="BC5121" s="141"/>
    </row>
    <row r="5122">
      <c r="BB5122" s="122"/>
      <c r="BC5122" s="141"/>
    </row>
    <row r="5123">
      <c r="BB5123" s="122"/>
      <c r="BC5123" s="141"/>
    </row>
    <row r="5124">
      <c r="BB5124" s="122"/>
      <c r="BC5124" s="141"/>
    </row>
    <row r="5125">
      <c r="BB5125" s="122"/>
      <c r="BC5125" s="141"/>
    </row>
    <row r="5126">
      <c r="BB5126" s="122"/>
      <c r="BC5126" s="141"/>
    </row>
    <row r="5127">
      <c r="BB5127" s="122"/>
      <c r="BC5127" s="141"/>
    </row>
    <row r="5128">
      <c r="BB5128" s="122"/>
      <c r="BC5128" s="141"/>
    </row>
    <row r="5129">
      <c r="BB5129" s="122"/>
      <c r="BC5129" s="141"/>
    </row>
    <row r="5130">
      <c r="BB5130" s="122"/>
      <c r="BC5130" s="141"/>
    </row>
    <row r="5131">
      <c r="BB5131" s="122"/>
      <c r="BC5131" s="141"/>
    </row>
    <row r="5132">
      <c r="BB5132" s="122"/>
      <c r="BC5132" s="141"/>
    </row>
    <row r="5133">
      <c r="BB5133" s="122"/>
      <c r="BC5133" s="141"/>
    </row>
    <row r="5134">
      <c r="BB5134" s="122"/>
      <c r="BC5134" s="141"/>
    </row>
    <row r="5135">
      <c r="BB5135" s="122"/>
      <c r="BC5135" s="141"/>
    </row>
    <row r="5136">
      <c r="BB5136" s="122"/>
      <c r="BC5136" s="141"/>
    </row>
    <row r="5137">
      <c r="BB5137" s="122"/>
      <c r="BC5137" s="141"/>
    </row>
    <row r="5138">
      <c r="BB5138" s="122"/>
      <c r="BC5138" s="141"/>
    </row>
    <row r="5139">
      <c r="BB5139" s="122"/>
      <c r="BC5139" s="141"/>
    </row>
    <row r="5140">
      <c r="BB5140" s="122"/>
      <c r="BC5140" s="141"/>
    </row>
    <row r="5141">
      <c r="BB5141" s="122"/>
      <c r="BC5141" s="141"/>
    </row>
    <row r="5142">
      <c r="BB5142" s="122"/>
      <c r="BC5142" s="141"/>
    </row>
    <row r="5143">
      <c r="BB5143" s="122"/>
      <c r="BC5143" s="141"/>
    </row>
    <row r="5144">
      <c r="BB5144" s="122"/>
      <c r="BC5144" s="141"/>
    </row>
    <row r="5145">
      <c r="BB5145" s="122"/>
      <c r="BC5145" s="141"/>
    </row>
    <row r="5146">
      <c r="BB5146" s="122"/>
      <c r="BC5146" s="141"/>
    </row>
    <row r="5147">
      <c r="BB5147" s="122"/>
      <c r="BC5147" s="141"/>
    </row>
    <row r="5148">
      <c r="BB5148" s="122"/>
      <c r="BC5148" s="141"/>
    </row>
    <row r="5149">
      <c r="BB5149" s="122"/>
      <c r="BC5149" s="141"/>
    </row>
    <row r="5150">
      <c r="BB5150" s="122"/>
      <c r="BC5150" s="141"/>
    </row>
    <row r="5151">
      <c r="BB5151" s="122"/>
      <c r="BC5151" s="141"/>
    </row>
    <row r="5152">
      <c r="BB5152" s="122"/>
      <c r="BC5152" s="141"/>
    </row>
    <row r="5153">
      <c r="BB5153" s="122"/>
      <c r="BC5153" s="141"/>
    </row>
    <row r="5154">
      <c r="BB5154" s="122"/>
      <c r="BC5154" s="141"/>
    </row>
    <row r="5155">
      <c r="BB5155" s="122"/>
      <c r="BC5155" s="141"/>
    </row>
    <row r="5156">
      <c r="BB5156" s="122"/>
      <c r="BC5156" s="141"/>
    </row>
    <row r="5157">
      <c r="BB5157" s="122"/>
      <c r="BC5157" s="141"/>
    </row>
    <row r="5158">
      <c r="BB5158" s="122"/>
      <c r="BC5158" s="141"/>
    </row>
    <row r="5159">
      <c r="BB5159" s="122"/>
      <c r="BC5159" s="141"/>
    </row>
    <row r="5160">
      <c r="BB5160" s="122"/>
      <c r="BC5160" s="141"/>
    </row>
    <row r="5161">
      <c r="BB5161" s="122"/>
      <c r="BC5161" s="141"/>
    </row>
    <row r="5162">
      <c r="BB5162" s="122"/>
      <c r="BC5162" s="141"/>
    </row>
    <row r="5163">
      <c r="BB5163" s="122"/>
      <c r="BC5163" s="141"/>
    </row>
    <row r="5164">
      <c r="BB5164" s="122"/>
      <c r="BC5164" s="141"/>
    </row>
    <row r="5165">
      <c r="BB5165" s="122"/>
      <c r="BC5165" s="141"/>
    </row>
    <row r="5166">
      <c r="BB5166" s="122"/>
      <c r="BC5166" s="141"/>
    </row>
    <row r="5167">
      <c r="BB5167" s="122"/>
      <c r="BC5167" s="141"/>
    </row>
    <row r="5168">
      <c r="BB5168" s="122"/>
      <c r="BC5168" s="141"/>
    </row>
    <row r="5169">
      <c r="BB5169" s="122"/>
      <c r="BC5169" s="141"/>
    </row>
    <row r="5170">
      <c r="BB5170" s="122"/>
      <c r="BC5170" s="141"/>
    </row>
    <row r="5171">
      <c r="BB5171" s="122"/>
      <c r="BC5171" s="141"/>
    </row>
    <row r="5172">
      <c r="BB5172" s="122"/>
      <c r="BC5172" s="141"/>
    </row>
    <row r="5173">
      <c r="BB5173" s="122"/>
      <c r="BC5173" s="141"/>
    </row>
    <row r="5174">
      <c r="BB5174" s="122"/>
      <c r="BC5174" s="141"/>
    </row>
    <row r="5175">
      <c r="BB5175" s="122"/>
      <c r="BC5175" s="141"/>
    </row>
    <row r="5176">
      <c r="BB5176" s="122"/>
      <c r="BC5176" s="141"/>
    </row>
    <row r="5177">
      <c r="BB5177" s="122"/>
      <c r="BC5177" s="141"/>
    </row>
    <row r="5178">
      <c r="BB5178" s="122"/>
      <c r="BC5178" s="141"/>
    </row>
    <row r="5179">
      <c r="BB5179" s="122"/>
      <c r="BC5179" s="141"/>
    </row>
    <row r="5180">
      <c r="BB5180" s="122"/>
      <c r="BC5180" s="141"/>
    </row>
    <row r="5181">
      <c r="BB5181" s="122"/>
      <c r="BC5181" s="141"/>
    </row>
    <row r="5182">
      <c r="BB5182" s="122"/>
      <c r="BC5182" s="141"/>
    </row>
    <row r="5183">
      <c r="BB5183" s="122"/>
      <c r="BC5183" s="141"/>
    </row>
    <row r="5184">
      <c r="BB5184" s="122"/>
      <c r="BC5184" s="141"/>
    </row>
    <row r="5185">
      <c r="BB5185" s="122"/>
      <c r="BC5185" s="141"/>
    </row>
    <row r="5186">
      <c r="BB5186" s="122"/>
      <c r="BC5186" s="141"/>
    </row>
    <row r="5187">
      <c r="BB5187" s="122"/>
      <c r="BC5187" s="141"/>
    </row>
    <row r="5188">
      <c r="BB5188" s="122"/>
      <c r="BC5188" s="141"/>
    </row>
    <row r="5189">
      <c r="BB5189" s="122"/>
      <c r="BC5189" s="141"/>
    </row>
    <row r="5190">
      <c r="BB5190" s="122"/>
      <c r="BC5190" s="141"/>
    </row>
    <row r="5191">
      <c r="BB5191" s="122"/>
      <c r="BC5191" s="141"/>
    </row>
    <row r="5192">
      <c r="BB5192" s="122"/>
      <c r="BC5192" s="141"/>
    </row>
    <row r="5193">
      <c r="BB5193" s="122"/>
      <c r="BC5193" s="141"/>
    </row>
    <row r="5194">
      <c r="BB5194" s="122"/>
      <c r="BC5194" s="141"/>
    </row>
    <row r="5195">
      <c r="BB5195" s="122"/>
      <c r="BC5195" s="141"/>
    </row>
    <row r="5196">
      <c r="BB5196" s="122"/>
      <c r="BC5196" s="141"/>
    </row>
    <row r="5197">
      <c r="BB5197" s="122"/>
      <c r="BC5197" s="141"/>
    </row>
    <row r="5198">
      <c r="BB5198" s="122"/>
      <c r="BC5198" s="141"/>
    </row>
    <row r="5199">
      <c r="BB5199" s="122"/>
      <c r="BC5199" s="141"/>
    </row>
    <row r="5200">
      <c r="BB5200" s="122"/>
      <c r="BC5200" s="141"/>
    </row>
    <row r="5201">
      <c r="BB5201" s="122"/>
      <c r="BC5201" s="141"/>
    </row>
    <row r="5202">
      <c r="BB5202" s="122"/>
      <c r="BC5202" s="141"/>
    </row>
    <row r="5203">
      <c r="BB5203" s="122"/>
      <c r="BC5203" s="141"/>
    </row>
    <row r="5204">
      <c r="BB5204" s="122"/>
      <c r="BC5204" s="141"/>
    </row>
    <row r="5205">
      <c r="BB5205" s="122"/>
      <c r="BC5205" s="141"/>
    </row>
    <row r="5206">
      <c r="BB5206" s="122"/>
      <c r="BC5206" s="141"/>
    </row>
    <row r="5207">
      <c r="BB5207" s="122"/>
      <c r="BC5207" s="141"/>
    </row>
    <row r="5208">
      <c r="BB5208" s="122"/>
      <c r="BC5208" s="141"/>
    </row>
    <row r="5209">
      <c r="BB5209" s="122"/>
      <c r="BC5209" s="141"/>
    </row>
    <row r="5210">
      <c r="BB5210" s="122"/>
      <c r="BC5210" s="141"/>
    </row>
    <row r="5211">
      <c r="BB5211" s="122"/>
      <c r="BC5211" s="141"/>
    </row>
    <row r="5212">
      <c r="BB5212" s="122"/>
      <c r="BC5212" s="141"/>
    </row>
    <row r="5213">
      <c r="BB5213" s="122"/>
      <c r="BC5213" s="141"/>
    </row>
    <row r="5214">
      <c r="BB5214" s="122"/>
      <c r="BC5214" s="141"/>
    </row>
    <row r="5215">
      <c r="BB5215" s="122"/>
      <c r="BC5215" s="141"/>
    </row>
    <row r="5216">
      <c r="BB5216" s="122"/>
      <c r="BC5216" s="141"/>
    </row>
    <row r="5217">
      <c r="BB5217" s="122"/>
      <c r="BC5217" s="141"/>
    </row>
    <row r="5218">
      <c r="BB5218" s="122"/>
      <c r="BC5218" s="141"/>
    </row>
    <row r="5219">
      <c r="BB5219" s="122"/>
      <c r="BC5219" s="141"/>
    </row>
    <row r="5220">
      <c r="BB5220" s="122"/>
      <c r="BC5220" s="141"/>
    </row>
    <row r="5221">
      <c r="BB5221" s="122"/>
      <c r="BC5221" s="141"/>
    </row>
    <row r="5222">
      <c r="BB5222" s="122"/>
      <c r="BC5222" s="141"/>
    </row>
    <row r="5223">
      <c r="BB5223" s="122"/>
      <c r="BC5223" s="141"/>
    </row>
    <row r="5224">
      <c r="BB5224" s="122"/>
      <c r="BC5224" s="141"/>
    </row>
    <row r="5225">
      <c r="BB5225" s="122"/>
      <c r="BC5225" s="141"/>
    </row>
    <row r="5226">
      <c r="BB5226" s="122"/>
      <c r="BC5226" s="141"/>
    </row>
    <row r="5227">
      <c r="BB5227" s="122"/>
      <c r="BC5227" s="141"/>
    </row>
    <row r="5228">
      <c r="BB5228" s="122"/>
      <c r="BC5228" s="141"/>
    </row>
    <row r="5229">
      <c r="BB5229" s="122"/>
      <c r="BC5229" s="141"/>
    </row>
    <row r="5230">
      <c r="BB5230" s="122"/>
      <c r="BC5230" s="141"/>
    </row>
    <row r="5231">
      <c r="BB5231" s="122"/>
      <c r="BC5231" s="141"/>
    </row>
    <row r="5232">
      <c r="BB5232" s="122"/>
      <c r="BC5232" s="141"/>
    </row>
    <row r="5233">
      <c r="BB5233" s="122"/>
      <c r="BC5233" s="141"/>
    </row>
    <row r="5234">
      <c r="BB5234" s="122"/>
      <c r="BC5234" s="141"/>
    </row>
    <row r="5235">
      <c r="BB5235" s="122"/>
      <c r="BC5235" s="141"/>
    </row>
    <row r="5236">
      <c r="BB5236" s="122"/>
      <c r="BC5236" s="141"/>
    </row>
    <row r="5237">
      <c r="BB5237" s="122"/>
      <c r="BC5237" s="141"/>
    </row>
    <row r="5238">
      <c r="BB5238" s="122"/>
      <c r="BC5238" s="141"/>
    </row>
    <row r="5239">
      <c r="BB5239" s="122"/>
      <c r="BC5239" s="141"/>
    </row>
    <row r="5240">
      <c r="BB5240" s="122"/>
      <c r="BC5240" s="141"/>
    </row>
    <row r="5241">
      <c r="BB5241" s="122"/>
      <c r="BC5241" s="141"/>
    </row>
    <row r="5242">
      <c r="BB5242" s="122"/>
      <c r="BC5242" s="141"/>
    </row>
    <row r="5243">
      <c r="BB5243" s="122"/>
      <c r="BC5243" s="141"/>
    </row>
    <row r="5244">
      <c r="BB5244" s="122"/>
      <c r="BC5244" s="141"/>
    </row>
    <row r="5245">
      <c r="BB5245" s="122"/>
      <c r="BC5245" s="141"/>
    </row>
    <row r="5246">
      <c r="BB5246" s="122"/>
      <c r="BC5246" s="141"/>
    </row>
    <row r="5247">
      <c r="BB5247" s="122"/>
      <c r="BC5247" s="141"/>
    </row>
    <row r="5248">
      <c r="BB5248" s="122"/>
      <c r="BC5248" s="141"/>
    </row>
    <row r="5249">
      <c r="BB5249" s="122"/>
      <c r="BC5249" s="141"/>
    </row>
    <row r="5250">
      <c r="BB5250" s="122"/>
      <c r="BC5250" s="141"/>
    </row>
    <row r="5251">
      <c r="BB5251" s="122"/>
      <c r="BC5251" s="141"/>
    </row>
    <row r="5252">
      <c r="BB5252" s="122"/>
      <c r="BC5252" s="141"/>
    </row>
    <row r="5253">
      <c r="BB5253" s="122"/>
      <c r="BC5253" s="141"/>
    </row>
    <row r="5254">
      <c r="BB5254" s="122"/>
      <c r="BC5254" s="141"/>
    </row>
    <row r="5255">
      <c r="BB5255" s="122"/>
      <c r="BC5255" s="141"/>
    </row>
    <row r="5256">
      <c r="BB5256" s="122"/>
      <c r="BC5256" s="141"/>
    </row>
    <row r="5257">
      <c r="BB5257" s="122"/>
      <c r="BC5257" s="141"/>
    </row>
    <row r="5258">
      <c r="BB5258" s="122"/>
      <c r="BC5258" s="141"/>
    </row>
    <row r="5259">
      <c r="BB5259" s="122"/>
      <c r="BC5259" s="141"/>
    </row>
    <row r="5260">
      <c r="BB5260" s="122"/>
      <c r="BC5260" s="141"/>
    </row>
    <row r="5261">
      <c r="BB5261" s="122"/>
      <c r="BC5261" s="141"/>
    </row>
    <row r="5262">
      <c r="BB5262" s="122"/>
      <c r="BC5262" s="141"/>
    </row>
    <row r="5263">
      <c r="BB5263" s="122"/>
      <c r="BC5263" s="141"/>
    </row>
    <row r="5264">
      <c r="BB5264" s="122"/>
      <c r="BC5264" s="141"/>
    </row>
    <row r="5265">
      <c r="BB5265" s="122"/>
      <c r="BC5265" s="141"/>
    </row>
    <row r="5266">
      <c r="BB5266" s="122"/>
      <c r="BC5266" s="141"/>
    </row>
    <row r="5267">
      <c r="BB5267" s="122"/>
      <c r="BC5267" s="141"/>
    </row>
    <row r="5268">
      <c r="BB5268" s="122"/>
      <c r="BC5268" s="141"/>
    </row>
    <row r="5269">
      <c r="BB5269" s="122"/>
      <c r="BC5269" s="141"/>
    </row>
    <row r="5270">
      <c r="BB5270" s="122"/>
      <c r="BC5270" s="141"/>
    </row>
    <row r="5271">
      <c r="BB5271" s="122"/>
      <c r="BC5271" s="141"/>
    </row>
    <row r="5272">
      <c r="BB5272" s="122"/>
      <c r="BC5272" s="141"/>
    </row>
    <row r="5273">
      <c r="BB5273" s="122"/>
      <c r="BC5273" s="141"/>
    </row>
    <row r="5274">
      <c r="BB5274" s="122"/>
      <c r="BC5274" s="141"/>
    </row>
    <row r="5275">
      <c r="BB5275" s="122"/>
      <c r="BC5275" s="141"/>
    </row>
    <row r="5276">
      <c r="BB5276" s="122"/>
      <c r="BC5276" s="141"/>
    </row>
    <row r="5277">
      <c r="BB5277" s="122"/>
      <c r="BC5277" s="141"/>
    </row>
    <row r="5278">
      <c r="BB5278" s="122"/>
      <c r="BC5278" s="141"/>
    </row>
    <row r="5279">
      <c r="BB5279" s="122"/>
      <c r="BC5279" s="141"/>
    </row>
    <row r="5280">
      <c r="BB5280" s="122"/>
      <c r="BC5280" s="141"/>
    </row>
    <row r="5281">
      <c r="BB5281" s="122"/>
      <c r="BC5281" s="141"/>
    </row>
    <row r="5282">
      <c r="BB5282" s="122"/>
      <c r="BC5282" s="141"/>
    </row>
    <row r="5283">
      <c r="BB5283" s="122"/>
      <c r="BC5283" s="141"/>
    </row>
    <row r="5284">
      <c r="BB5284" s="122"/>
      <c r="BC5284" s="141"/>
    </row>
    <row r="5285">
      <c r="BB5285" s="122"/>
      <c r="BC5285" s="141"/>
    </row>
    <row r="5286">
      <c r="BB5286" s="122"/>
      <c r="BC5286" s="141"/>
    </row>
    <row r="5287">
      <c r="BB5287" s="122"/>
      <c r="BC5287" s="141"/>
    </row>
    <row r="5288">
      <c r="BB5288" s="122"/>
      <c r="BC5288" s="141"/>
    </row>
    <row r="5289">
      <c r="BB5289" s="122"/>
      <c r="BC5289" s="141"/>
    </row>
    <row r="5290">
      <c r="BB5290" s="122"/>
      <c r="BC5290" s="141"/>
    </row>
    <row r="5291">
      <c r="BB5291" s="122"/>
      <c r="BC5291" s="141"/>
    </row>
    <row r="5292">
      <c r="BB5292" s="122"/>
      <c r="BC5292" s="141"/>
    </row>
    <row r="5293">
      <c r="BB5293" s="122"/>
      <c r="BC5293" s="141"/>
    </row>
    <row r="5294">
      <c r="BB5294" s="122"/>
      <c r="BC5294" s="141"/>
    </row>
    <row r="5295">
      <c r="BB5295" s="122"/>
      <c r="BC5295" s="141"/>
    </row>
    <row r="5296">
      <c r="BB5296" s="122"/>
      <c r="BC5296" s="141"/>
    </row>
    <row r="5297">
      <c r="BB5297" s="122"/>
      <c r="BC5297" s="141"/>
    </row>
    <row r="5298">
      <c r="BB5298" s="122"/>
      <c r="BC5298" s="141"/>
    </row>
    <row r="5299">
      <c r="BB5299" s="122"/>
      <c r="BC5299" s="141"/>
    </row>
    <row r="5300">
      <c r="BB5300" s="122"/>
      <c r="BC5300" s="141"/>
    </row>
    <row r="5301">
      <c r="BB5301" s="122"/>
      <c r="BC5301" s="141"/>
    </row>
    <row r="5302">
      <c r="BB5302" s="122"/>
      <c r="BC5302" s="141"/>
    </row>
    <row r="5303">
      <c r="BB5303" s="122"/>
      <c r="BC5303" s="141"/>
    </row>
    <row r="5304">
      <c r="BB5304" s="122"/>
      <c r="BC5304" s="141"/>
    </row>
    <row r="5305">
      <c r="BB5305" s="122"/>
      <c r="BC5305" s="141"/>
    </row>
    <row r="5306">
      <c r="BB5306" s="122"/>
      <c r="BC5306" s="141"/>
    </row>
    <row r="5307">
      <c r="BB5307" s="122"/>
      <c r="BC5307" s="141"/>
    </row>
    <row r="5308">
      <c r="BB5308" s="122"/>
      <c r="BC5308" s="141"/>
    </row>
    <row r="5309">
      <c r="BB5309" s="122"/>
      <c r="BC5309" s="141"/>
    </row>
    <row r="5310">
      <c r="BB5310" s="122"/>
      <c r="BC5310" s="141"/>
    </row>
    <row r="5311">
      <c r="BB5311" s="122"/>
      <c r="BC5311" s="141"/>
    </row>
    <row r="5312">
      <c r="BB5312" s="122"/>
      <c r="BC5312" s="141"/>
    </row>
    <row r="5313">
      <c r="BB5313" s="122"/>
      <c r="BC5313" s="141"/>
    </row>
    <row r="5314">
      <c r="BB5314" s="122"/>
      <c r="BC5314" s="141"/>
    </row>
    <row r="5315">
      <c r="BB5315" s="122"/>
      <c r="BC5315" s="141"/>
    </row>
    <row r="5316">
      <c r="BB5316" s="122"/>
      <c r="BC5316" s="141"/>
    </row>
    <row r="5317">
      <c r="BB5317" s="122"/>
      <c r="BC5317" s="141"/>
    </row>
    <row r="5318">
      <c r="BB5318" s="122"/>
      <c r="BC5318" s="141"/>
    </row>
    <row r="5319">
      <c r="BB5319" s="122"/>
      <c r="BC5319" s="141"/>
    </row>
    <row r="5320">
      <c r="BB5320" s="122"/>
      <c r="BC5320" s="141"/>
    </row>
    <row r="5321">
      <c r="BB5321" s="122"/>
      <c r="BC5321" s="141"/>
    </row>
    <row r="5322">
      <c r="BB5322" s="122"/>
      <c r="BC5322" s="141"/>
    </row>
    <row r="5323">
      <c r="BB5323" s="122"/>
      <c r="BC5323" s="141"/>
    </row>
    <row r="5324">
      <c r="BB5324" s="122"/>
      <c r="BC5324" s="141"/>
    </row>
    <row r="5325">
      <c r="BB5325" s="122"/>
      <c r="BC5325" s="141"/>
    </row>
    <row r="5326">
      <c r="BB5326" s="122"/>
      <c r="BC5326" s="141"/>
    </row>
    <row r="5327">
      <c r="BB5327" s="122"/>
      <c r="BC5327" s="141"/>
    </row>
    <row r="5328">
      <c r="BB5328" s="122"/>
      <c r="BC5328" s="141"/>
    </row>
    <row r="5329">
      <c r="BB5329" s="122"/>
      <c r="BC5329" s="141"/>
    </row>
    <row r="5330">
      <c r="BB5330" s="122"/>
      <c r="BC5330" s="141"/>
    </row>
    <row r="5331">
      <c r="BB5331" s="122"/>
      <c r="BC5331" s="141"/>
    </row>
    <row r="5332">
      <c r="BB5332" s="122"/>
      <c r="BC5332" s="141"/>
    </row>
    <row r="5333">
      <c r="BB5333" s="122"/>
      <c r="BC5333" s="141"/>
    </row>
    <row r="5334">
      <c r="BB5334" s="122"/>
      <c r="BC5334" s="141"/>
    </row>
    <row r="5335">
      <c r="BB5335" s="122"/>
      <c r="BC5335" s="141"/>
    </row>
    <row r="5336">
      <c r="BB5336" s="122"/>
      <c r="BC5336" s="141"/>
    </row>
    <row r="5337">
      <c r="BB5337" s="122"/>
      <c r="BC5337" s="141"/>
    </row>
    <row r="5338">
      <c r="BB5338" s="122"/>
      <c r="BC5338" s="141"/>
    </row>
    <row r="5339">
      <c r="BB5339" s="122"/>
      <c r="BC5339" s="141"/>
    </row>
    <row r="5340">
      <c r="BB5340" s="122"/>
      <c r="BC5340" s="141"/>
    </row>
    <row r="5341">
      <c r="BB5341" s="122"/>
      <c r="BC5341" s="141"/>
    </row>
    <row r="5342">
      <c r="BB5342" s="122"/>
      <c r="BC5342" s="141"/>
    </row>
    <row r="5343">
      <c r="BB5343" s="122"/>
      <c r="BC5343" s="141"/>
    </row>
    <row r="5344">
      <c r="BB5344" s="122"/>
      <c r="BC5344" s="141"/>
    </row>
    <row r="5345">
      <c r="BB5345" s="122"/>
      <c r="BC5345" s="141"/>
    </row>
    <row r="5346">
      <c r="BB5346" s="122"/>
      <c r="BC5346" s="141"/>
    </row>
    <row r="5347">
      <c r="BB5347" s="122"/>
      <c r="BC5347" s="141"/>
    </row>
    <row r="5348">
      <c r="BB5348" s="122"/>
      <c r="BC5348" s="141"/>
    </row>
    <row r="5349">
      <c r="BB5349" s="122"/>
      <c r="BC5349" s="141"/>
    </row>
    <row r="5350">
      <c r="BB5350" s="122"/>
      <c r="BC5350" s="141"/>
    </row>
    <row r="5351">
      <c r="BB5351" s="122"/>
      <c r="BC5351" s="141"/>
    </row>
    <row r="5352">
      <c r="BB5352" s="122"/>
      <c r="BC5352" s="141"/>
    </row>
    <row r="5353">
      <c r="BB5353" s="122"/>
      <c r="BC5353" s="141"/>
    </row>
    <row r="5354">
      <c r="BB5354" s="122"/>
      <c r="BC5354" s="141"/>
    </row>
    <row r="5355">
      <c r="BB5355" s="122"/>
      <c r="BC5355" s="141"/>
    </row>
    <row r="5356">
      <c r="BB5356" s="122"/>
      <c r="BC5356" s="141"/>
    </row>
    <row r="5357">
      <c r="BB5357" s="122"/>
      <c r="BC5357" s="141"/>
    </row>
    <row r="5358">
      <c r="BB5358" s="122"/>
      <c r="BC5358" s="141"/>
    </row>
    <row r="5359">
      <c r="BB5359" s="122"/>
      <c r="BC5359" s="141"/>
    </row>
    <row r="5360">
      <c r="BB5360" s="122"/>
      <c r="BC5360" s="141"/>
    </row>
    <row r="5361">
      <c r="BB5361" s="122"/>
      <c r="BC5361" s="141"/>
    </row>
    <row r="5362">
      <c r="BB5362" s="122"/>
      <c r="BC5362" s="141"/>
    </row>
    <row r="5363">
      <c r="BB5363" s="122"/>
      <c r="BC5363" s="141"/>
    </row>
    <row r="5364">
      <c r="BB5364" s="122"/>
      <c r="BC5364" s="141"/>
    </row>
    <row r="5365">
      <c r="BB5365" s="122"/>
      <c r="BC5365" s="141"/>
    </row>
    <row r="5366">
      <c r="BB5366" s="122"/>
      <c r="BC5366" s="141"/>
    </row>
    <row r="5367">
      <c r="BB5367" s="122"/>
      <c r="BC5367" s="141"/>
    </row>
    <row r="5368">
      <c r="BB5368" s="122"/>
      <c r="BC5368" s="141"/>
    </row>
    <row r="5369">
      <c r="BB5369" s="122"/>
      <c r="BC5369" s="141"/>
    </row>
    <row r="5370">
      <c r="BB5370" s="122"/>
      <c r="BC5370" s="141"/>
    </row>
    <row r="5371">
      <c r="BB5371" s="122"/>
      <c r="BC5371" s="141"/>
    </row>
    <row r="5372">
      <c r="BB5372" s="122"/>
      <c r="BC5372" s="141"/>
    </row>
    <row r="5373">
      <c r="BB5373" s="122"/>
      <c r="BC5373" s="141"/>
    </row>
    <row r="5374">
      <c r="BB5374" s="122"/>
      <c r="BC5374" s="141"/>
    </row>
    <row r="5375">
      <c r="BB5375" s="122"/>
      <c r="BC5375" s="141"/>
    </row>
    <row r="5376">
      <c r="BB5376" s="122"/>
      <c r="BC5376" s="141"/>
    </row>
    <row r="5377">
      <c r="BB5377" s="122"/>
      <c r="BC5377" s="141"/>
    </row>
    <row r="5378">
      <c r="BB5378" s="122"/>
      <c r="BC5378" s="141"/>
    </row>
    <row r="5379">
      <c r="BB5379" s="122"/>
      <c r="BC5379" s="141"/>
    </row>
    <row r="5380">
      <c r="BB5380" s="122"/>
      <c r="BC5380" s="141"/>
    </row>
    <row r="5381">
      <c r="BB5381" s="122"/>
      <c r="BC5381" s="141"/>
    </row>
    <row r="5382">
      <c r="BB5382" s="122"/>
      <c r="BC5382" s="141"/>
    </row>
    <row r="5383">
      <c r="BB5383" s="122"/>
      <c r="BC5383" s="141"/>
    </row>
    <row r="5384">
      <c r="BB5384" s="122"/>
      <c r="BC5384" s="141"/>
    </row>
    <row r="5385">
      <c r="BB5385" s="122"/>
      <c r="BC5385" s="141"/>
    </row>
    <row r="5386">
      <c r="BB5386" s="122"/>
      <c r="BC5386" s="141"/>
    </row>
    <row r="5387">
      <c r="BB5387" s="122"/>
      <c r="BC5387" s="141"/>
    </row>
    <row r="5388">
      <c r="BB5388" s="122"/>
      <c r="BC5388" s="141"/>
    </row>
    <row r="5389">
      <c r="BB5389" s="122"/>
      <c r="BC5389" s="141"/>
    </row>
    <row r="5390">
      <c r="BB5390" s="122"/>
      <c r="BC5390" s="141"/>
    </row>
    <row r="5391">
      <c r="BB5391" s="122"/>
      <c r="BC5391" s="141"/>
    </row>
    <row r="5392">
      <c r="BB5392" s="122"/>
      <c r="BC5392" s="141"/>
    </row>
    <row r="5393">
      <c r="BB5393" s="122"/>
      <c r="BC5393" s="141"/>
    </row>
    <row r="5394">
      <c r="BB5394" s="122"/>
      <c r="BC5394" s="141"/>
    </row>
    <row r="5395">
      <c r="BB5395" s="122"/>
      <c r="BC5395" s="141"/>
    </row>
    <row r="5396">
      <c r="BB5396" s="122"/>
      <c r="BC5396" s="141"/>
    </row>
    <row r="5397">
      <c r="BB5397" s="122"/>
      <c r="BC5397" s="141"/>
    </row>
    <row r="5398">
      <c r="BB5398" s="122"/>
      <c r="BC5398" s="141"/>
    </row>
    <row r="5399">
      <c r="BB5399" s="122"/>
      <c r="BC5399" s="141"/>
    </row>
    <row r="5400">
      <c r="BB5400" s="122"/>
      <c r="BC5400" s="141"/>
    </row>
    <row r="5401">
      <c r="BB5401" s="122"/>
      <c r="BC5401" s="141"/>
    </row>
    <row r="5402">
      <c r="BB5402" s="122"/>
      <c r="BC5402" s="141"/>
    </row>
    <row r="5403">
      <c r="BB5403" s="122"/>
      <c r="BC5403" s="141"/>
    </row>
    <row r="5404">
      <c r="BB5404" s="122"/>
      <c r="BC5404" s="141"/>
    </row>
    <row r="5405">
      <c r="BB5405" s="122"/>
      <c r="BC5405" s="141"/>
    </row>
    <row r="5406">
      <c r="BB5406" s="122"/>
      <c r="BC5406" s="141"/>
    </row>
    <row r="5407">
      <c r="BB5407" s="122"/>
      <c r="BC5407" s="141"/>
    </row>
    <row r="5408">
      <c r="BB5408" s="122"/>
      <c r="BC5408" s="141"/>
    </row>
    <row r="5409">
      <c r="BB5409" s="122"/>
      <c r="BC5409" s="141"/>
    </row>
    <row r="5410">
      <c r="BB5410" s="122"/>
      <c r="BC5410" s="141"/>
    </row>
    <row r="5411">
      <c r="BB5411" s="122"/>
      <c r="BC5411" s="141"/>
    </row>
    <row r="5412">
      <c r="BB5412" s="122"/>
      <c r="BC5412" s="141"/>
    </row>
    <row r="5413">
      <c r="BB5413" s="122"/>
      <c r="BC5413" s="141"/>
    </row>
    <row r="5414">
      <c r="BB5414" s="122"/>
      <c r="BC5414" s="141"/>
    </row>
    <row r="5415">
      <c r="BB5415" s="122"/>
      <c r="BC5415" s="141"/>
    </row>
    <row r="5416">
      <c r="BB5416" s="122"/>
      <c r="BC5416" s="141"/>
    </row>
    <row r="5417">
      <c r="BB5417" s="122"/>
      <c r="BC5417" s="141"/>
    </row>
    <row r="5418">
      <c r="BB5418" s="122"/>
      <c r="BC5418" s="141"/>
    </row>
    <row r="5419">
      <c r="BB5419" s="122"/>
      <c r="BC5419" s="141"/>
    </row>
    <row r="5420">
      <c r="BB5420" s="122"/>
      <c r="BC5420" s="141"/>
    </row>
    <row r="5421">
      <c r="BB5421" s="122"/>
      <c r="BC5421" s="141"/>
    </row>
    <row r="5422">
      <c r="BB5422" s="122"/>
      <c r="BC5422" s="141"/>
    </row>
    <row r="5423">
      <c r="BB5423" s="122"/>
      <c r="BC5423" s="141"/>
    </row>
    <row r="5424">
      <c r="BB5424" s="122"/>
      <c r="BC5424" s="141"/>
    </row>
    <row r="5425">
      <c r="BB5425" s="122"/>
      <c r="BC5425" s="141"/>
    </row>
    <row r="5426">
      <c r="BB5426" s="122"/>
      <c r="BC5426" s="141"/>
    </row>
    <row r="5427">
      <c r="BB5427" s="122"/>
      <c r="BC5427" s="141"/>
    </row>
    <row r="5428">
      <c r="BB5428" s="122"/>
      <c r="BC5428" s="141"/>
    </row>
    <row r="5429">
      <c r="BB5429" s="122"/>
      <c r="BC5429" s="141"/>
    </row>
    <row r="5430">
      <c r="BB5430" s="122"/>
      <c r="BC5430" s="141"/>
    </row>
    <row r="5431">
      <c r="BB5431" s="122"/>
      <c r="BC5431" s="141"/>
    </row>
    <row r="5432">
      <c r="BB5432" s="122"/>
      <c r="BC5432" s="141"/>
    </row>
    <row r="5433">
      <c r="BB5433" s="122"/>
      <c r="BC5433" s="141"/>
    </row>
    <row r="5434">
      <c r="BB5434" s="122"/>
      <c r="BC5434" s="141"/>
    </row>
    <row r="5435">
      <c r="BB5435" s="122"/>
      <c r="BC5435" s="141"/>
    </row>
    <row r="5436">
      <c r="BB5436" s="122"/>
      <c r="BC5436" s="141"/>
    </row>
    <row r="5437">
      <c r="BB5437" s="122"/>
      <c r="BC5437" s="141"/>
    </row>
    <row r="5438">
      <c r="BB5438" s="122"/>
      <c r="BC5438" s="141"/>
    </row>
    <row r="5439">
      <c r="BB5439" s="122"/>
      <c r="BC5439" s="141"/>
    </row>
    <row r="5440">
      <c r="BB5440" s="122"/>
      <c r="BC5440" s="141"/>
    </row>
    <row r="5441">
      <c r="BB5441" s="122"/>
      <c r="BC5441" s="141"/>
    </row>
    <row r="5442">
      <c r="BB5442" s="122"/>
      <c r="BC5442" s="141"/>
    </row>
    <row r="5443">
      <c r="BB5443" s="122"/>
      <c r="BC5443" s="141"/>
    </row>
    <row r="5444">
      <c r="BB5444" s="122"/>
      <c r="BC5444" s="141"/>
    </row>
    <row r="5445">
      <c r="BB5445" s="122"/>
      <c r="BC5445" s="141"/>
    </row>
    <row r="5446">
      <c r="BB5446" s="122"/>
      <c r="BC5446" s="141"/>
    </row>
    <row r="5447">
      <c r="BB5447" s="122"/>
      <c r="BC5447" s="141"/>
    </row>
    <row r="5448">
      <c r="BB5448" s="122"/>
      <c r="BC5448" s="141"/>
    </row>
    <row r="5449">
      <c r="BB5449" s="122"/>
      <c r="BC5449" s="141"/>
    </row>
    <row r="5450">
      <c r="BB5450" s="122"/>
      <c r="BC5450" s="141"/>
    </row>
    <row r="5451">
      <c r="BB5451" s="122"/>
      <c r="BC5451" s="141"/>
    </row>
    <row r="5452">
      <c r="BB5452" s="122"/>
      <c r="BC5452" s="141"/>
    </row>
    <row r="5453">
      <c r="BB5453" s="122"/>
      <c r="BC5453" s="141"/>
    </row>
    <row r="5454">
      <c r="BB5454" s="122"/>
      <c r="BC5454" s="141"/>
    </row>
    <row r="5455">
      <c r="BB5455" s="122"/>
      <c r="BC5455" s="141"/>
    </row>
    <row r="5456">
      <c r="BB5456" s="122"/>
      <c r="BC5456" s="141"/>
    </row>
    <row r="5457">
      <c r="BB5457" s="122"/>
      <c r="BC5457" s="141"/>
    </row>
    <row r="5458">
      <c r="BB5458" s="122"/>
      <c r="BC5458" s="141"/>
    </row>
    <row r="5459">
      <c r="BB5459" s="122"/>
      <c r="BC5459" s="141"/>
    </row>
    <row r="5460">
      <c r="BB5460" s="122"/>
      <c r="BC5460" s="141"/>
    </row>
    <row r="5461">
      <c r="BB5461" s="122"/>
      <c r="BC5461" s="141"/>
    </row>
    <row r="5462">
      <c r="BB5462" s="122"/>
      <c r="BC5462" s="141"/>
    </row>
    <row r="5463">
      <c r="BB5463" s="122"/>
      <c r="BC5463" s="141"/>
    </row>
    <row r="5464">
      <c r="BB5464" s="122"/>
      <c r="BC5464" s="141"/>
    </row>
    <row r="5465">
      <c r="BB5465" s="122"/>
      <c r="BC5465" s="141"/>
    </row>
    <row r="5466">
      <c r="BB5466" s="122"/>
      <c r="BC5466" s="141"/>
    </row>
    <row r="5467">
      <c r="BB5467" s="122"/>
      <c r="BC5467" s="141"/>
    </row>
    <row r="5468">
      <c r="BB5468" s="122"/>
      <c r="BC5468" s="141"/>
    </row>
    <row r="5469">
      <c r="BB5469" s="122"/>
      <c r="BC5469" s="141"/>
    </row>
    <row r="5470">
      <c r="BB5470" s="122"/>
      <c r="BC5470" s="141"/>
    </row>
    <row r="5471">
      <c r="BB5471" s="122"/>
      <c r="BC5471" s="141"/>
    </row>
    <row r="5472">
      <c r="BB5472" s="122"/>
      <c r="BC5472" s="141"/>
    </row>
    <row r="5473">
      <c r="BB5473" s="122"/>
      <c r="BC5473" s="141"/>
    </row>
    <row r="5474">
      <c r="BB5474" s="122"/>
      <c r="BC5474" s="141"/>
    </row>
    <row r="5475">
      <c r="BB5475" s="122"/>
      <c r="BC5475" s="141"/>
    </row>
    <row r="5476">
      <c r="BB5476" s="122"/>
      <c r="BC5476" s="141"/>
    </row>
    <row r="5477">
      <c r="BB5477" s="122"/>
      <c r="BC5477" s="141"/>
    </row>
    <row r="5478">
      <c r="BB5478" s="122"/>
      <c r="BC5478" s="141"/>
    </row>
    <row r="5479">
      <c r="BB5479" s="122"/>
      <c r="BC5479" s="141"/>
    </row>
    <row r="5480">
      <c r="BB5480" s="122"/>
      <c r="BC5480" s="141"/>
    </row>
    <row r="5481">
      <c r="BB5481" s="122"/>
      <c r="BC5481" s="141"/>
    </row>
    <row r="5482">
      <c r="BB5482" s="122"/>
      <c r="BC5482" s="141"/>
    </row>
    <row r="5483">
      <c r="BB5483" s="122"/>
      <c r="BC5483" s="141"/>
    </row>
    <row r="5484">
      <c r="BB5484" s="122"/>
      <c r="BC5484" s="141"/>
    </row>
    <row r="5485">
      <c r="BB5485" s="122"/>
      <c r="BC5485" s="141"/>
    </row>
    <row r="5486">
      <c r="BB5486" s="122"/>
      <c r="BC5486" s="141"/>
    </row>
    <row r="5487">
      <c r="BB5487" s="122"/>
      <c r="BC5487" s="141"/>
    </row>
    <row r="5488">
      <c r="BB5488" s="122"/>
      <c r="BC5488" s="141"/>
    </row>
    <row r="5489">
      <c r="BB5489" s="122"/>
      <c r="BC5489" s="141"/>
    </row>
    <row r="5490">
      <c r="BB5490" s="122"/>
      <c r="BC5490" s="141"/>
    </row>
    <row r="5491">
      <c r="BB5491" s="122"/>
      <c r="BC5491" s="141"/>
    </row>
    <row r="5492">
      <c r="BB5492" s="122"/>
      <c r="BC5492" s="141"/>
    </row>
    <row r="5493">
      <c r="BB5493" s="122"/>
      <c r="BC5493" s="141"/>
    </row>
    <row r="5494">
      <c r="BB5494" s="122"/>
      <c r="BC5494" s="141"/>
    </row>
    <row r="5495">
      <c r="BB5495" s="122"/>
      <c r="BC5495" s="141"/>
    </row>
    <row r="5496">
      <c r="BB5496" s="122"/>
      <c r="BC5496" s="141"/>
    </row>
    <row r="5497">
      <c r="BB5497" s="122"/>
      <c r="BC5497" s="141"/>
    </row>
    <row r="5498">
      <c r="BB5498" s="122"/>
      <c r="BC5498" s="141"/>
    </row>
    <row r="5499">
      <c r="BB5499" s="122"/>
      <c r="BC5499" s="141"/>
    </row>
    <row r="5500">
      <c r="BB5500" s="122"/>
      <c r="BC5500" s="141"/>
    </row>
    <row r="5501">
      <c r="BB5501" s="122"/>
      <c r="BC5501" s="141"/>
    </row>
    <row r="5502">
      <c r="BB5502" s="122"/>
      <c r="BC5502" s="141"/>
    </row>
    <row r="5503">
      <c r="BB5503" s="122"/>
      <c r="BC5503" s="141"/>
    </row>
    <row r="5504">
      <c r="BB5504" s="122"/>
      <c r="BC5504" s="141"/>
    </row>
    <row r="5505">
      <c r="BB5505" s="122"/>
      <c r="BC5505" s="141"/>
    </row>
    <row r="5506">
      <c r="BB5506" s="122"/>
      <c r="BC5506" s="141"/>
    </row>
    <row r="5507">
      <c r="BB5507" s="122"/>
      <c r="BC5507" s="141"/>
    </row>
    <row r="5508">
      <c r="BB5508" s="122"/>
      <c r="BC5508" s="141"/>
    </row>
    <row r="5509">
      <c r="BB5509" s="122"/>
      <c r="BC5509" s="141"/>
    </row>
    <row r="5510">
      <c r="BB5510" s="122"/>
      <c r="BC5510" s="141"/>
    </row>
    <row r="5511">
      <c r="BB5511" s="122"/>
      <c r="BC5511" s="141"/>
    </row>
    <row r="5512">
      <c r="BB5512" s="122"/>
      <c r="BC5512" s="141"/>
    </row>
    <row r="5513">
      <c r="BB5513" s="122"/>
      <c r="BC5513" s="141"/>
    </row>
    <row r="5514">
      <c r="BB5514" s="122"/>
      <c r="BC5514" s="141"/>
    </row>
    <row r="5515">
      <c r="BB5515" s="122"/>
      <c r="BC5515" s="141"/>
    </row>
    <row r="5516">
      <c r="BB5516" s="122"/>
      <c r="BC5516" s="141"/>
    </row>
    <row r="5517">
      <c r="BB5517" s="122"/>
      <c r="BC5517" s="141"/>
    </row>
    <row r="5518">
      <c r="BB5518" s="122"/>
      <c r="BC5518" s="141"/>
    </row>
    <row r="5519">
      <c r="BB5519" s="122"/>
      <c r="BC5519" s="141"/>
    </row>
    <row r="5520">
      <c r="BB5520" s="122"/>
      <c r="BC5520" s="141"/>
    </row>
    <row r="5521">
      <c r="BB5521" s="122"/>
      <c r="BC5521" s="141"/>
    </row>
    <row r="5522">
      <c r="BB5522" s="122"/>
      <c r="BC5522" s="141"/>
    </row>
    <row r="5523">
      <c r="BB5523" s="122"/>
      <c r="BC5523" s="141"/>
    </row>
    <row r="5524">
      <c r="BB5524" s="122"/>
      <c r="BC5524" s="141"/>
    </row>
    <row r="5525">
      <c r="BB5525" s="122"/>
      <c r="BC5525" s="141"/>
    </row>
    <row r="5526">
      <c r="BB5526" s="122"/>
      <c r="BC5526" s="141"/>
    </row>
    <row r="5527">
      <c r="BB5527" s="122"/>
      <c r="BC5527" s="141"/>
    </row>
    <row r="5528">
      <c r="BB5528" s="122"/>
      <c r="BC5528" s="141"/>
    </row>
    <row r="5529">
      <c r="BB5529" s="122"/>
      <c r="BC5529" s="141"/>
    </row>
    <row r="5530">
      <c r="BB5530" s="122"/>
      <c r="BC5530" s="141"/>
    </row>
    <row r="5531">
      <c r="BB5531" s="122"/>
      <c r="BC5531" s="141"/>
    </row>
    <row r="5532">
      <c r="BB5532" s="122"/>
      <c r="BC5532" s="141"/>
    </row>
    <row r="5533">
      <c r="BB5533" s="122"/>
      <c r="BC5533" s="141"/>
    </row>
    <row r="5534">
      <c r="BB5534" s="122"/>
      <c r="BC5534" s="141"/>
    </row>
    <row r="5535">
      <c r="BB5535" s="122"/>
      <c r="BC5535" s="141"/>
    </row>
    <row r="5536">
      <c r="BB5536" s="122"/>
      <c r="BC5536" s="141"/>
    </row>
    <row r="5537">
      <c r="BB5537" s="122"/>
      <c r="BC5537" s="141"/>
    </row>
    <row r="5538">
      <c r="BB5538" s="122"/>
      <c r="BC5538" s="141"/>
    </row>
    <row r="5539">
      <c r="BB5539" s="122"/>
      <c r="BC5539" s="141"/>
    </row>
    <row r="5540">
      <c r="BB5540" s="122"/>
      <c r="BC5540" s="141"/>
    </row>
    <row r="5541">
      <c r="BB5541" s="122"/>
      <c r="BC5541" s="141"/>
    </row>
    <row r="5542">
      <c r="BB5542" s="122"/>
      <c r="BC5542" s="141"/>
    </row>
    <row r="5543">
      <c r="BB5543" s="122"/>
      <c r="BC5543" s="141"/>
    </row>
    <row r="5544">
      <c r="BB5544" s="122"/>
      <c r="BC5544" s="141"/>
    </row>
    <row r="5545">
      <c r="BB5545" s="122"/>
      <c r="BC5545" s="141"/>
    </row>
    <row r="5546">
      <c r="BB5546" s="122"/>
      <c r="BC5546" s="141"/>
    </row>
    <row r="5547">
      <c r="BB5547" s="122"/>
      <c r="BC5547" s="141"/>
    </row>
    <row r="5548">
      <c r="BB5548" s="122"/>
      <c r="BC5548" s="141"/>
    </row>
    <row r="5549">
      <c r="BB5549" s="122"/>
      <c r="BC5549" s="141"/>
    </row>
    <row r="5550">
      <c r="BB5550" s="122"/>
      <c r="BC5550" s="141"/>
    </row>
    <row r="5551">
      <c r="BB5551" s="122"/>
      <c r="BC5551" s="141"/>
    </row>
    <row r="5552">
      <c r="BB5552" s="122"/>
      <c r="BC5552" s="141"/>
    </row>
    <row r="5553">
      <c r="BB5553" s="122"/>
      <c r="BC5553" s="141"/>
    </row>
    <row r="5554">
      <c r="BB5554" s="122"/>
      <c r="BC5554" s="141"/>
    </row>
    <row r="5555">
      <c r="BB5555" s="122"/>
      <c r="BC5555" s="141"/>
    </row>
    <row r="5556">
      <c r="BB5556" s="122"/>
      <c r="BC5556" s="141"/>
    </row>
    <row r="5557">
      <c r="BB5557" s="122"/>
      <c r="BC5557" s="141"/>
    </row>
    <row r="5558">
      <c r="BB5558" s="122"/>
      <c r="BC5558" s="141"/>
    </row>
    <row r="5559">
      <c r="BB5559" s="122"/>
      <c r="BC5559" s="141"/>
    </row>
    <row r="5560">
      <c r="BB5560" s="122"/>
      <c r="BC5560" s="141"/>
    </row>
    <row r="5561">
      <c r="BB5561" s="122"/>
      <c r="BC5561" s="141"/>
    </row>
    <row r="5562">
      <c r="BB5562" s="122"/>
      <c r="BC5562" s="141"/>
    </row>
    <row r="5563">
      <c r="BB5563" s="122"/>
      <c r="BC5563" s="141"/>
    </row>
    <row r="5564">
      <c r="BB5564" s="122"/>
      <c r="BC5564" s="141"/>
    </row>
    <row r="5565">
      <c r="BB5565" s="122"/>
      <c r="BC5565" s="141"/>
    </row>
    <row r="5566">
      <c r="BB5566" s="122"/>
      <c r="BC5566" s="141"/>
    </row>
    <row r="5567">
      <c r="BB5567" s="122"/>
      <c r="BC5567" s="141"/>
    </row>
    <row r="5568">
      <c r="BB5568" s="122"/>
      <c r="BC5568" s="141"/>
    </row>
    <row r="5569">
      <c r="BB5569" s="122"/>
      <c r="BC5569" s="141"/>
    </row>
    <row r="5570">
      <c r="BB5570" s="122"/>
      <c r="BC5570" s="141"/>
    </row>
    <row r="5571">
      <c r="BB5571" s="122"/>
      <c r="BC5571" s="141"/>
    </row>
    <row r="5572">
      <c r="BB5572" s="122"/>
      <c r="BC5572" s="141"/>
    </row>
    <row r="5573">
      <c r="BB5573" s="122"/>
      <c r="BC5573" s="141"/>
    </row>
    <row r="5574">
      <c r="BB5574" s="122"/>
      <c r="BC5574" s="141"/>
    </row>
    <row r="5575">
      <c r="BB5575" s="122"/>
      <c r="BC5575" s="141"/>
    </row>
    <row r="5576">
      <c r="BB5576" s="122"/>
      <c r="BC5576" s="141"/>
    </row>
    <row r="5577">
      <c r="BB5577" s="122"/>
      <c r="BC5577" s="141"/>
    </row>
    <row r="5578">
      <c r="BB5578" s="122"/>
      <c r="BC5578" s="141"/>
    </row>
    <row r="5579">
      <c r="BB5579" s="122"/>
      <c r="BC5579" s="141"/>
    </row>
    <row r="5580">
      <c r="BB5580" s="122"/>
      <c r="BC5580" s="141"/>
    </row>
    <row r="5581">
      <c r="BB5581" s="122"/>
      <c r="BC5581" s="141"/>
    </row>
    <row r="5582">
      <c r="BB5582" s="122"/>
      <c r="BC5582" s="141"/>
    </row>
    <row r="5583">
      <c r="BB5583" s="122"/>
      <c r="BC5583" s="141"/>
    </row>
    <row r="5584">
      <c r="BB5584" s="122"/>
      <c r="BC5584" s="141"/>
    </row>
    <row r="5585">
      <c r="BB5585" s="122"/>
      <c r="BC5585" s="141"/>
    </row>
    <row r="5586">
      <c r="BB5586" s="122"/>
      <c r="BC5586" s="141"/>
    </row>
    <row r="5587">
      <c r="BB5587" s="122"/>
      <c r="BC5587" s="141"/>
    </row>
    <row r="5588">
      <c r="BB5588" s="122"/>
      <c r="BC5588" s="141"/>
    </row>
    <row r="5589">
      <c r="BB5589" s="122"/>
      <c r="BC5589" s="141"/>
    </row>
    <row r="5590">
      <c r="BB5590" s="122"/>
      <c r="BC5590" s="141"/>
    </row>
    <row r="5591">
      <c r="BB5591" s="122"/>
      <c r="BC5591" s="141"/>
    </row>
    <row r="5592">
      <c r="BB5592" s="122"/>
      <c r="BC5592" s="141"/>
    </row>
    <row r="5593">
      <c r="BB5593" s="122"/>
      <c r="BC5593" s="141"/>
    </row>
    <row r="5594">
      <c r="BB5594" s="122"/>
      <c r="BC5594" s="141"/>
    </row>
    <row r="5595">
      <c r="BB5595" s="122"/>
      <c r="BC5595" s="141"/>
    </row>
    <row r="5596">
      <c r="BB5596" s="122"/>
      <c r="BC5596" s="141"/>
    </row>
    <row r="5597">
      <c r="BB5597" s="122"/>
      <c r="BC5597" s="141"/>
    </row>
    <row r="5598">
      <c r="BB5598" s="122"/>
      <c r="BC5598" s="141"/>
    </row>
    <row r="5599">
      <c r="BB5599" s="122"/>
      <c r="BC5599" s="141"/>
    </row>
    <row r="5600">
      <c r="BB5600" s="122"/>
      <c r="BC5600" s="141"/>
    </row>
    <row r="5601">
      <c r="BB5601" s="122"/>
      <c r="BC5601" s="141"/>
    </row>
    <row r="5602">
      <c r="BB5602" s="122"/>
      <c r="BC5602" s="141"/>
    </row>
    <row r="5603">
      <c r="BB5603" s="122"/>
      <c r="BC5603" s="141"/>
    </row>
    <row r="5604">
      <c r="BB5604" s="122"/>
      <c r="BC5604" s="141"/>
    </row>
    <row r="5605">
      <c r="BB5605" s="122"/>
      <c r="BC5605" s="141"/>
    </row>
    <row r="5606">
      <c r="BB5606" s="122"/>
      <c r="BC5606" s="141"/>
    </row>
    <row r="5607">
      <c r="BB5607" s="122"/>
      <c r="BC5607" s="141"/>
    </row>
    <row r="5608">
      <c r="BB5608" s="122"/>
      <c r="BC5608" s="141"/>
    </row>
    <row r="5609">
      <c r="BB5609" s="122"/>
      <c r="BC5609" s="141"/>
    </row>
    <row r="5610">
      <c r="BB5610" s="122"/>
      <c r="BC5610" s="141"/>
    </row>
    <row r="5611">
      <c r="BB5611" s="122"/>
      <c r="BC5611" s="141"/>
    </row>
    <row r="5612">
      <c r="BB5612" s="122"/>
      <c r="BC5612" s="141"/>
    </row>
    <row r="5613">
      <c r="BB5613" s="122"/>
      <c r="BC5613" s="141"/>
    </row>
    <row r="5614">
      <c r="BB5614" s="122"/>
      <c r="BC5614" s="141"/>
    </row>
    <row r="5615">
      <c r="BB5615" s="122"/>
      <c r="BC5615" s="141"/>
    </row>
    <row r="5616">
      <c r="BB5616" s="122"/>
      <c r="BC5616" s="141"/>
    </row>
    <row r="5617">
      <c r="BB5617" s="122"/>
      <c r="BC5617" s="141"/>
    </row>
    <row r="5618">
      <c r="BB5618" s="122"/>
      <c r="BC5618" s="141"/>
    </row>
    <row r="5619">
      <c r="BB5619" s="122"/>
      <c r="BC5619" s="141"/>
    </row>
    <row r="5620">
      <c r="BB5620" s="122"/>
      <c r="BC5620" s="141"/>
    </row>
    <row r="5621">
      <c r="BB5621" s="122"/>
      <c r="BC5621" s="141"/>
    </row>
    <row r="5622">
      <c r="BB5622" s="122"/>
      <c r="BC5622" s="141"/>
    </row>
    <row r="5623">
      <c r="BB5623" s="122"/>
      <c r="BC5623" s="141"/>
    </row>
    <row r="5624">
      <c r="BB5624" s="122"/>
      <c r="BC5624" s="141"/>
    </row>
    <row r="5625">
      <c r="BB5625" s="122"/>
      <c r="BC5625" s="141"/>
    </row>
    <row r="5626">
      <c r="BB5626" s="122"/>
      <c r="BC5626" s="141"/>
    </row>
    <row r="5627">
      <c r="BB5627" s="122"/>
      <c r="BC5627" s="141"/>
    </row>
    <row r="5628">
      <c r="BB5628" s="122"/>
      <c r="BC5628" s="141"/>
    </row>
    <row r="5629">
      <c r="BB5629" s="122"/>
      <c r="BC5629" s="141"/>
    </row>
    <row r="5630">
      <c r="BB5630" s="122"/>
      <c r="BC5630" s="141"/>
    </row>
    <row r="5631">
      <c r="BB5631" s="122"/>
      <c r="BC5631" s="141"/>
    </row>
    <row r="5632">
      <c r="BB5632" s="122"/>
      <c r="BC5632" s="141"/>
    </row>
    <row r="5633">
      <c r="BB5633" s="122"/>
      <c r="BC5633" s="141"/>
    </row>
    <row r="5634">
      <c r="BB5634" s="122"/>
      <c r="BC5634" s="141"/>
    </row>
    <row r="5635">
      <c r="BB5635" s="122"/>
      <c r="BC5635" s="141"/>
    </row>
    <row r="5636">
      <c r="BB5636" s="122"/>
      <c r="BC5636" s="141"/>
    </row>
    <row r="5637">
      <c r="BB5637" s="122"/>
      <c r="BC5637" s="141"/>
    </row>
    <row r="5638">
      <c r="BB5638" s="122"/>
      <c r="BC5638" s="141"/>
    </row>
    <row r="5639">
      <c r="BB5639" s="122"/>
      <c r="BC5639" s="141"/>
    </row>
    <row r="5640">
      <c r="BB5640" s="122"/>
      <c r="BC5640" s="141"/>
    </row>
    <row r="5641">
      <c r="BB5641" s="122"/>
      <c r="BC5641" s="141"/>
    </row>
    <row r="5642">
      <c r="BB5642" s="122"/>
      <c r="BC5642" s="141"/>
    </row>
    <row r="5643">
      <c r="BB5643" s="122"/>
      <c r="BC5643" s="141"/>
    </row>
    <row r="5644">
      <c r="BB5644" s="122"/>
      <c r="BC5644" s="141"/>
    </row>
    <row r="5645">
      <c r="BB5645" s="122"/>
      <c r="BC5645" s="141"/>
    </row>
    <row r="5646">
      <c r="BB5646" s="122"/>
      <c r="BC5646" s="141"/>
    </row>
    <row r="5647">
      <c r="BB5647" s="122"/>
      <c r="BC5647" s="141"/>
    </row>
    <row r="5648">
      <c r="BB5648" s="122"/>
      <c r="BC5648" s="141"/>
    </row>
    <row r="5649">
      <c r="BB5649" s="122"/>
      <c r="BC5649" s="141"/>
    </row>
    <row r="5650">
      <c r="BB5650" s="122"/>
      <c r="BC5650" s="141"/>
    </row>
    <row r="5651">
      <c r="BB5651" s="122"/>
      <c r="BC5651" s="141"/>
    </row>
    <row r="5652">
      <c r="BB5652" s="122"/>
      <c r="BC5652" s="141"/>
    </row>
    <row r="5653">
      <c r="BB5653" s="122"/>
      <c r="BC5653" s="141"/>
    </row>
    <row r="5654">
      <c r="BB5654" s="122"/>
      <c r="BC5654" s="141"/>
    </row>
    <row r="5655">
      <c r="BB5655" s="122"/>
      <c r="BC5655" s="141"/>
    </row>
    <row r="5656">
      <c r="BB5656" s="122"/>
      <c r="BC5656" s="141"/>
    </row>
    <row r="5657">
      <c r="BB5657" s="122"/>
      <c r="BC5657" s="141"/>
    </row>
    <row r="5658">
      <c r="BB5658" s="122"/>
      <c r="BC5658" s="141"/>
    </row>
    <row r="5659">
      <c r="BB5659" s="122"/>
      <c r="BC5659" s="141"/>
    </row>
    <row r="5660">
      <c r="BB5660" s="122"/>
      <c r="BC5660" s="141"/>
    </row>
    <row r="5661">
      <c r="BB5661" s="122"/>
      <c r="BC5661" s="141"/>
    </row>
    <row r="5662">
      <c r="BB5662" s="122"/>
      <c r="BC5662" s="141"/>
    </row>
    <row r="5663">
      <c r="BB5663" s="122"/>
      <c r="BC5663" s="141"/>
    </row>
    <row r="5664">
      <c r="BB5664" s="122"/>
      <c r="BC5664" s="141"/>
    </row>
    <row r="5665">
      <c r="BB5665" s="122"/>
      <c r="BC5665" s="141"/>
    </row>
    <row r="5666">
      <c r="BB5666" s="122"/>
      <c r="BC5666" s="141"/>
    </row>
    <row r="5667">
      <c r="BB5667" s="122"/>
      <c r="BC5667" s="141"/>
    </row>
    <row r="5668">
      <c r="BB5668" s="122"/>
      <c r="BC5668" s="141"/>
    </row>
    <row r="5669">
      <c r="BB5669" s="122"/>
      <c r="BC5669" s="141"/>
    </row>
    <row r="5670">
      <c r="BB5670" s="122"/>
      <c r="BC5670" s="141"/>
    </row>
    <row r="5671">
      <c r="BB5671" s="122"/>
      <c r="BC5671" s="141"/>
    </row>
    <row r="5672">
      <c r="BB5672" s="122"/>
      <c r="BC5672" s="141"/>
    </row>
    <row r="5673">
      <c r="BB5673" s="122"/>
      <c r="BC5673" s="141"/>
    </row>
    <row r="5674">
      <c r="BB5674" s="122"/>
      <c r="BC5674" s="141"/>
    </row>
    <row r="5675">
      <c r="BB5675" s="122"/>
      <c r="BC5675" s="141"/>
    </row>
    <row r="5676">
      <c r="BB5676" s="122"/>
      <c r="BC5676" s="141"/>
    </row>
    <row r="5677">
      <c r="BB5677" s="122"/>
      <c r="BC5677" s="141"/>
    </row>
    <row r="5678">
      <c r="BB5678" s="122"/>
      <c r="BC5678" s="141"/>
    </row>
    <row r="5679">
      <c r="BB5679" s="122"/>
      <c r="BC5679" s="141"/>
    </row>
    <row r="5680">
      <c r="BB5680" s="122"/>
      <c r="BC5680" s="141"/>
    </row>
    <row r="5681">
      <c r="BB5681" s="122"/>
      <c r="BC5681" s="141"/>
    </row>
    <row r="5682">
      <c r="BB5682" s="122"/>
      <c r="BC5682" s="141"/>
    </row>
    <row r="5683">
      <c r="BB5683" s="122"/>
      <c r="BC5683" s="141"/>
    </row>
    <row r="5684">
      <c r="BB5684" s="122"/>
      <c r="BC5684" s="141"/>
    </row>
    <row r="5685">
      <c r="BB5685" s="122"/>
      <c r="BC5685" s="141"/>
    </row>
    <row r="5686">
      <c r="BB5686" s="122"/>
      <c r="BC5686" s="141"/>
    </row>
    <row r="5687">
      <c r="BB5687" s="122"/>
      <c r="BC5687" s="141"/>
    </row>
    <row r="5688">
      <c r="BB5688" s="122"/>
      <c r="BC5688" s="141"/>
    </row>
    <row r="5689">
      <c r="BB5689" s="122"/>
      <c r="BC5689" s="141"/>
    </row>
    <row r="5690">
      <c r="BB5690" s="122"/>
      <c r="BC5690" s="141"/>
    </row>
    <row r="5691">
      <c r="BB5691" s="122"/>
      <c r="BC5691" s="141"/>
    </row>
    <row r="5692">
      <c r="BB5692" s="122"/>
      <c r="BC5692" s="141"/>
    </row>
    <row r="5693">
      <c r="BB5693" s="122"/>
      <c r="BC5693" s="141"/>
    </row>
    <row r="5694">
      <c r="BB5694" s="122"/>
      <c r="BC5694" s="141"/>
    </row>
    <row r="5695">
      <c r="BB5695" s="122"/>
      <c r="BC5695" s="141"/>
    </row>
    <row r="5696">
      <c r="BB5696" s="122"/>
      <c r="BC5696" s="141"/>
    </row>
    <row r="5697">
      <c r="BB5697" s="122"/>
      <c r="BC5697" s="141"/>
    </row>
    <row r="5698">
      <c r="BB5698" s="122"/>
      <c r="BC5698" s="141"/>
    </row>
    <row r="5699">
      <c r="BB5699" s="122"/>
      <c r="BC5699" s="141"/>
    </row>
    <row r="5700">
      <c r="BB5700" s="122"/>
      <c r="BC5700" s="141"/>
    </row>
    <row r="5701">
      <c r="BB5701" s="122"/>
      <c r="BC5701" s="141"/>
    </row>
    <row r="5702">
      <c r="BB5702" s="122"/>
      <c r="BC5702" s="141"/>
    </row>
    <row r="5703">
      <c r="BB5703" s="122"/>
      <c r="BC5703" s="141"/>
    </row>
    <row r="5704">
      <c r="BB5704" s="122"/>
      <c r="BC5704" s="141"/>
    </row>
    <row r="5705">
      <c r="BB5705" s="122"/>
      <c r="BC5705" s="141"/>
    </row>
    <row r="5706">
      <c r="BB5706" s="122"/>
      <c r="BC5706" s="141"/>
    </row>
    <row r="5707">
      <c r="BB5707" s="122"/>
      <c r="BC5707" s="141"/>
    </row>
    <row r="5708">
      <c r="BB5708" s="122"/>
      <c r="BC5708" s="141"/>
    </row>
    <row r="5709">
      <c r="BB5709" s="122"/>
      <c r="BC5709" s="141"/>
    </row>
    <row r="5710">
      <c r="BB5710" s="122"/>
      <c r="BC5710" s="141"/>
    </row>
    <row r="5711">
      <c r="BB5711" s="122"/>
      <c r="BC5711" s="141"/>
    </row>
    <row r="5712">
      <c r="BB5712" s="122"/>
      <c r="BC5712" s="141"/>
    </row>
    <row r="5713">
      <c r="BB5713" s="122"/>
      <c r="BC5713" s="141"/>
    </row>
    <row r="5714">
      <c r="BB5714" s="122"/>
      <c r="BC5714" s="141"/>
    </row>
    <row r="5715">
      <c r="BB5715" s="122"/>
      <c r="BC5715" s="141"/>
    </row>
    <row r="5716">
      <c r="BB5716" s="122"/>
      <c r="BC5716" s="141"/>
    </row>
    <row r="5717">
      <c r="BB5717" s="122"/>
      <c r="BC5717" s="141"/>
    </row>
    <row r="5718">
      <c r="BB5718" s="122"/>
      <c r="BC5718" s="141"/>
    </row>
    <row r="5719">
      <c r="BB5719" s="122"/>
      <c r="BC5719" s="141"/>
    </row>
    <row r="5720">
      <c r="BB5720" s="122"/>
      <c r="BC5720" s="141"/>
    </row>
    <row r="5721">
      <c r="BB5721" s="122"/>
      <c r="BC5721" s="141"/>
    </row>
    <row r="5722">
      <c r="BB5722" s="122"/>
      <c r="BC5722" s="141"/>
    </row>
    <row r="5723">
      <c r="BB5723" s="122"/>
      <c r="BC5723" s="141"/>
    </row>
    <row r="5724">
      <c r="BB5724" s="122"/>
      <c r="BC5724" s="141"/>
    </row>
    <row r="5725">
      <c r="BB5725" s="122"/>
      <c r="BC5725" s="141"/>
    </row>
    <row r="5726">
      <c r="BB5726" s="122"/>
      <c r="BC5726" s="141"/>
    </row>
    <row r="5727">
      <c r="BB5727" s="122"/>
      <c r="BC5727" s="141"/>
    </row>
    <row r="5728">
      <c r="BB5728" s="122"/>
      <c r="BC5728" s="141"/>
    </row>
    <row r="5729">
      <c r="BB5729" s="122"/>
      <c r="BC5729" s="141"/>
    </row>
    <row r="5730">
      <c r="BB5730" s="122"/>
      <c r="BC5730" s="141"/>
    </row>
    <row r="5731">
      <c r="BB5731" s="122"/>
      <c r="BC5731" s="141"/>
    </row>
    <row r="5732">
      <c r="BB5732" s="122"/>
      <c r="BC5732" s="141"/>
    </row>
    <row r="5733">
      <c r="BB5733" s="122"/>
      <c r="BC5733" s="141"/>
    </row>
    <row r="5734">
      <c r="BB5734" s="122"/>
      <c r="BC5734" s="141"/>
    </row>
    <row r="5735">
      <c r="BB5735" s="122"/>
      <c r="BC5735" s="141"/>
    </row>
    <row r="5736">
      <c r="BB5736" s="122"/>
      <c r="BC5736" s="141"/>
    </row>
    <row r="5737">
      <c r="BB5737" s="122"/>
      <c r="BC5737" s="141"/>
    </row>
    <row r="5738">
      <c r="BB5738" s="122"/>
      <c r="BC5738" s="141"/>
    </row>
    <row r="5739">
      <c r="BB5739" s="122"/>
      <c r="BC5739" s="141"/>
    </row>
    <row r="5740">
      <c r="BB5740" s="122"/>
      <c r="BC5740" s="141"/>
    </row>
    <row r="5741">
      <c r="BB5741" s="122"/>
      <c r="BC5741" s="141"/>
    </row>
    <row r="5742">
      <c r="BB5742" s="122"/>
      <c r="BC5742" s="141"/>
    </row>
    <row r="5743">
      <c r="BB5743" s="122"/>
      <c r="BC5743" s="141"/>
    </row>
    <row r="5744">
      <c r="BB5744" s="122"/>
      <c r="BC5744" s="141"/>
    </row>
    <row r="5745">
      <c r="BB5745" s="122"/>
      <c r="BC5745" s="141"/>
    </row>
    <row r="5746">
      <c r="BB5746" s="122"/>
      <c r="BC5746" s="141"/>
    </row>
    <row r="5747">
      <c r="BB5747" s="122"/>
      <c r="BC5747" s="141"/>
    </row>
    <row r="5748">
      <c r="BB5748" s="122"/>
      <c r="BC5748" s="141"/>
    </row>
    <row r="5749">
      <c r="BB5749" s="122"/>
      <c r="BC5749" s="141"/>
    </row>
    <row r="5750">
      <c r="BB5750" s="122"/>
      <c r="BC5750" s="141"/>
    </row>
    <row r="5751">
      <c r="BB5751" s="122"/>
      <c r="BC5751" s="141"/>
    </row>
    <row r="5752">
      <c r="BB5752" s="122"/>
      <c r="BC5752" s="141"/>
    </row>
    <row r="5753">
      <c r="BB5753" s="122"/>
      <c r="BC5753" s="141"/>
    </row>
    <row r="5754">
      <c r="BB5754" s="122"/>
      <c r="BC5754" s="141"/>
    </row>
    <row r="5755">
      <c r="BB5755" s="122"/>
      <c r="BC5755" s="141"/>
    </row>
    <row r="5756">
      <c r="BB5756" s="122"/>
      <c r="BC5756" s="141"/>
    </row>
    <row r="5757">
      <c r="BB5757" s="122"/>
      <c r="BC5757" s="141"/>
    </row>
    <row r="5758">
      <c r="BB5758" s="122"/>
      <c r="BC5758" s="141"/>
    </row>
    <row r="5759">
      <c r="BB5759" s="122"/>
      <c r="BC5759" s="141"/>
    </row>
    <row r="5760">
      <c r="BB5760" s="122"/>
      <c r="BC5760" s="141"/>
    </row>
    <row r="5761">
      <c r="BB5761" s="122"/>
      <c r="BC5761" s="141"/>
    </row>
    <row r="5762">
      <c r="BB5762" s="122"/>
      <c r="BC5762" s="141"/>
    </row>
    <row r="5763">
      <c r="BB5763" s="122"/>
      <c r="BC5763" s="141"/>
    </row>
    <row r="5764">
      <c r="BB5764" s="122"/>
      <c r="BC5764" s="141"/>
    </row>
    <row r="5765">
      <c r="BB5765" s="122"/>
      <c r="BC5765" s="141"/>
    </row>
    <row r="5766">
      <c r="BB5766" s="122"/>
      <c r="BC5766" s="141"/>
    </row>
    <row r="5767">
      <c r="BB5767" s="122"/>
      <c r="BC5767" s="141"/>
    </row>
    <row r="5768">
      <c r="BB5768" s="122"/>
      <c r="BC5768" s="141"/>
    </row>
    <row r="5769">
      <c r="BB5769" s="122"/>
      <c r="BC5769" s="141"/>
    </row>
    <row r="5770">
      <c r="BB5770" s="122"/>
      <c r="BC5770" s="141"/>
    </row>
    <row r="5771">
      <c r="BB5771" s="122"/>
      <c r="BC5771" s="141"/>
    </row>
    <row r="5772">
      <c r="BB5772" s="122"/>
      <c r="BC5772" s="141"/>
    </row>
    <row r="5773">
      <c r="BB5773" s="122"/>
      <c r="BC5773" s="141"/>
    </row>
    <row r="5774">
      <c r="BB5774" s="122"/>
      <c r="BC5774" s="141"/>
    </row>
    <row r="5775">
      <c r="BB5775" s="122"/>
      <c r="BC5775" s="141"/>
    </row>
    <row r="5776">
      <c r="BB5776" s="122"/>
      <c r="BC5776" s="141"/>
    </row>
    <row r="5777">
      <c r="BB5777" s="122"/>
      <c r="BC5777" s="141"/>
    </row>
    <row r="5778">
      <c r="BB5778" s="122"/>
      <c r="BC5778" s="141"/>
    </row>
    <row r="5779">
      <c r="BB5779" s="122"/>
      <c r="BC5779" s="141"/>
    </row>
    <row r="5780">
      <c r="BB5780" s="122"/>
      <c r="BC5780" s="141"/>
    </row>
    <row r="5781">
      <c r="BB5781" s="122"/>
      <c r="BC5781" s="141"/>
    </row>
    <row r="5782">
      <c r="BB5782" s="122"/>
      <c r="BC5782" s="141"/>
    </row>
    <row r="5783">
      <c r="BB5783" s="122"/>
      <c r="BC5783" s="141"/>
    </row>
    <row r="5784">
      <c r="BB5784" s="122"/>
      <c r="BC5784" s="141"/>
    </row>
    <row r="5785">
      <c r="BB5785" s="122"/>
      <c r="BC5785" s="141"/>
    </row>
    <row r="5786">
      <c r="BB5786" s="122"/>
      <c r="BC5786" s="141"/>
    </row>
    <row r="5787">
      <c r="BB5787" s="122"/>
      <c r="BC5787" s="141"/>
    </row>
    <row r="5788">
      <c r="BB5788" s="122"/>
      <c r="BC5788" s="141"/>
    </row>
    <row r="5789">
      <c r="BB5789" s="122"/>
      <c r="BC5789" s="141"/>
    </row>
    <row r="5790">
      <c r="BB5790" s="122"/>
      <c r="BC5790" s="141"/>
    </row>
    <row r="5791">
      <c r="BB5791" s="122"/>
      <c r="BC5791" s="141"/>
    </row>
    <row r="5792">
      <c r="BB5792" s="122"/>
      <c r="BC5792" s="141"/>
    </row>
    <row r="5793">
      <c r="BB5793" s="122"/>
      <c r="BC5793" s="141"/>
    </row>
    <row r="5794">
      <c r="BB5794" s="122"/>
      <c r="BC5794" s="141"/>
    </row>
    <row r="5795">
      <c r="BB5795" s="122"/>
      <c r="BC5795" s="141"/>
    </row>
    <row r="5796">
      <c r="BB5796" s="122"/>
      <c r="BC5796" s="141"/>
    </row>
    <row r="5797">
      <c r="BB5797" s="122"/>
      <c r="BC5797" s="141"/>
    </row>
    <row r="5798">
      <c r="BB5798" s="122"/>
      <c r="BC5798" s="141"/>
    </row>
    <row r="5799">
      <c r="BB5799" s="122"/>
      <c r="BC5799" s="141"/>
    </row>
    <row r="5800">
      <c r="BB5800" s="122"/>
      <c r="BC5800" s="141"/>
    </row>
    <row r="5801">
      <c r="BB5801" s="122"/>
      <c r="BC5801" s="141"/>
    </row>
    <row r="5802">
      <c r="BB5802" s="122"/>
      <c r="BC5802" s="141"/>
    </row>
    <row r="5803">
      <c r="BB5803" s="122"/>
      <c r="BC5803" s="141"/>
    </row>
    <row r="5804">
      <c r="BB5804" s="122"/>
      <c r="BC5804" s="141"/>
    </row>
    <row r="5805">
      <c r="BB5805" s="122"/>
      <c r="BC5805" s="141"/>
    </row>
    <row r="5806">
      <c r="BB5806" s="122"/>
      <c r="BC5806" s="141"/>
    </row>
    <row r="5807">
      <c r="BB5807" s="122"/>
      <c r="BC5807" s="141"/>
    </row>
    <row r="5808">
      <c r="BB5808" s="122"/>
      <c r="BC5808" s="141"/>
    </row>
    <row r="5809">
      <c r="BB5809" s="122"/>
      <c r="BC5809" s="141"/>
    </row>
    <row r="5810">
      <c r="BB5810" s="122"/>
      <c r="BC5810" s="141"/>
    </row>
    <row r="5811">
      <c r="BB5811" s="122"/>
      <c r="BC5811" s="141"/>
    </row>
    <row r="5812">
      <c r="BB5812" s="122"/>
      <c r="BC5812" s="141"/>
    </row>
    <row r="5813">
      <c r="BB5813" s="122"/>
      <c r="BC5813" s="141"/>
    </row>
    <row r="5814">
      <c r="BB5814" s="122"/>
      <c r="BC5814" s="141"/>
    </row>
    <row r="5815">
      <c r="BB5815" s="122"/>
      <c r="BC5815" s="141"/>
    </row>
    <row r="5816">
      <c r="BB5816" s="122"/>
      <c r="BC5816" s="141"/>
    </row>
    <row r="5817">
      <c r="BB5817" s="122"/>
      <c r="BC5817" s="141"/>
    </row>
    <row r="5818">
      <c r="BB5818" s="122"/>
      <c r="BC5818" s="141"/>
    </row>
    <row r="5819">
      <c r="BB5819" s="122"/>
      <c r="BC5819" s="141"/>
    </row>
    <row r="5820">
      <c r="BB5820" s="122"/>
      <c r="BC5820" s="141"/>
    </row>
    <row r="5821">
      <c r="BB5821" s="122"/>
      <c r="BC5821" s="141"/>
    </row>
    <row r="5822">
      <c r="BB5822" s="122"/>
      <c r="BC5822" s="141"/>
    </row>
    <row r="5823">
      <c r="BB5823" s="122"/>
      <c r="BC5823" s="141"/>
    </row>
    <row r="5824">
      <c r="BB5824" s="122"/>
      <c r="BC5824" s="141"/>
    </row>
    <row r="5825">
      <c r="BB5825" s="122"/>
      <c r="BC5825" s="141"/>
    </row>
    <row r="5826">
      <c r="BB5826" s="122"/>
      <c r="BC5826" s="141"/>
    </row>
    <row r="5827">
      <c r="BB5827" s="122"/>
      <c r="BC5827" s="141"/>
    </row>
    <row r="5828">
      <c r="BB5828" s="122"/>
      <c r="BC5828" s="141"/>
    </row>
    <row r="5829">
      <c r="BB5829" s="122"/>
      <c r="BC5829" s="141"/>
    </row>
    <row r="5830">
      <c r="BB5830" s="122"/>
      <c r="BC5830" s="141"/>
    </row>
    <row r="5831">
      <c r="BB5831" s="122"/>
      <c r="BC5831" s="141"/>
    </row>
    <row r="5832">
      <c r="BB5832" s="122"/>
      <c r="BC5832" s="141"/>
    </row>
    <row r="5833">
      <c r="BB5833" s="122"/>
      <c r="BC5833" s="141"/>
    </row>
    <row r="5834">
      <c r="BB5834" s="122"/>
      <c r="BC5834" s="141"/>
    </row>
    <row r="5835">
      <c r="BB5835" s="122"/>
      <c r="BC5835" s="141"/>
    </row>
    <row r="5836">
      <c r="BB5836" s="122"/>
      <c r="BC5836" s="141"/>
    </row>
    <row r="5837">
      <c r="BB5837" s="122"/>
      <c r="BC5837" s="141"/>
    </row>
    <row r="5838">
      <c r="BB5838" s="122"/>
      <c r="BC5838" s="141"/>
    </row>
    <row r="5839">
      <c r="BB5839" s="122"/>
      <c r="BC5839" s="141"/>
    </row>
    <row r="5840">
      <c r="BB5840" s="122"/>
      <c r="BC5840" s="141"/>
    </row>
    <row r="5841">
      <c r="BB5841" s="122"/>
      <c r="BC5841" s="141"/>
    </row>
    <row r="5842">
      <c r="BB5842" s="122"/>
      <c r="BC5842" s="141"/>
    </row>
    <row r="5843">
      <c r="BB5843" s="122"/>
      <c r="BC5843" s="141"/>
    </row>
    <row r="5844">
      <c r="BB5844" s="122"/>
      <c r="BC5844" s="141"/>
    </row>
    <row r="5845">
      <c r="BB5845" s="122"/>
      <c r="BC5845" s="141"/>
    </row>
    <row r="5846">
      <c r="BB5846" s="122"/>
      <c r="BC5846" s="141"/>
    </row>
    <row r="5847">
      <c r="BB5847" s="122"/>
      <c r="BC5847" s="141"/>
    </row>
    <row r="5848">
      <c r="BB5848" s="122"/>
      <c r="BC5848" s="141"/>
    </row>
    <row r="5849">
      <c r="BB5849" s="122"/>
      <c r="BC5849" s="141"/>
    </row>
    <row r="5850">
      <c r="BB5850" s="122"/>
      <c r="BC5850" s="141"/>
    </row>
    <row r="5851">
      <c r="BB5851" s="122"/>
      <c r="BC5851" s="141"/>
    </row>
    <row r="5852">
      <c r="BB5852" s="122"/>
      <c r="BC5852" s="141"/>
    </row>
    <row r="5853">
      <c r="BB5853" s="122"/>
      <c r="BC5853" s="141"/>
    </row>
    <row r="5854">
      <c r="BB5854" s="122"/>
      <c r="BC5854" s="141"/>
    </row>
    <row r="5855">
      <c r="BB5855" s="122"/>
      <c r="BC5855" s="141"/>
    </row>
    <row r="5856">
      <c r="BB5856" s="122"/>
      <c r="BC5856" s="141"/>
    </row>
    <row r="5857">
      <c r="BB5857" s="122"/>
      <c r="BC5857" s="141"/>
    </row>
    <row r="5858">
      <c r="BB5858" s="122"/>
      <c r="BC5858" s="141"/>
    </row>
    <row r="5859">
      <c r="BB5859" s="122"/>
      <c r="BC5859" s="141"/>
    </row>
    <row r="5860">
      <c r="BB5860" s="122"/>
      <c r="BC5860" s="141"/>
    </row>
    <row r="5861">
      <c r="BB5861" s="122"/>
      <c r="BC5861" s="141"/>
    </row>
    <row r="5862">
      <c r="BB5862" s="122"/>
      <c r="BC5862" s="141"/>
    </row>
    <row r="5863">
      <c r="BB5863" s="122"/>
      <c r="BC5863" s="141"/>
    </row>
    <row r="5864">
      <c r="BB5864" s="122"/>
      <c r="BC5864" s="141"/>
    </row>
    <row r="5865">
      <c r="BB5865" s="122"/>
      <c r="BC5865" s="141"/>
    </row>
    <row r="5866">
      <c r="BB5866" s="122"/>
      <c r="BC5866" s="141"/>
    </row>
    <row r="5867">
      <c r="BB5867" s="122"/>
      <c r="BC5867" s="141"/>
    </row>
    <row r="5868">
      <c r="BB5868" s="122"/>
      <c r="BC5868" s="141"/>
    </row>
    <row r="5869">
      <c r="BB5869" s="122"/>
      <c r="BC5869" s="141"/>
    </row>
    <row r="5870">
      <c r="BB5870" s="122"/>
      <c r="BC5870" s="141"/>
    </row>
    <row r="5871">
      <c r="BB5871" s="122"/>
      <c r="BC5871" s="141"/>
    </row>
    <row r="5872">
      <c r="BB5872" s="122"/>
      <c r="BC5872" s="141"/>
    </row>
    <row r="5873">
      <c r="BB5873" s="122"/>
      <c r="BC5873" s="141"/>
    </row>
    <row r="5874">
      <c r="BB5874" s="122"/>
      <c r="BC5874" s="141"/>
    </row>
    <row r="5875">
      <c r="BB5875" s="122"/>
      <c r="BC5875" s="141"/>
    </row>
    <row r="5876">
      <c r="BB5876" s="122"/>
      <c r="BC5876" s="141"/>
    </row>
    <row r="5877">
      <c r="BB5877" s="122"/>
      <c r="BC5877" s="141"/>
    </row>
    <row r="5878">
      <c r="BB5878" s="122"/>
      <c r="BC5878" s="141"/>
    </row>
    <row r="5879">
      <c r="BB5879" s="122"/>
      <c r="BC5879" s="141"/>
    </row>
    <row r="5880">
      <c r="BB5880" s="122"/>
      <c r="BC5880" s="141"/>
    </row>
    <row r="5881">
      <c r="BB5881" s="122"/>
      <c r="BC5881" s="141"/>
    </row>
    <row r="5882">
      <c r="BB5882" s="122"/>
      <c r="BC5882" s="141"/>
    </row>
    <row r="5883">
      <c r="BB5883" s="122"/>
      <c r="BC5883" s="141"/>
    </row>
    <row r="5884">
      <c r="BB5884" s="122"/>
      <c r="BC5884" s="141"/>
    </row>
    <row r="5885">
      <c r="BB5885" s="122"/>
      <c r="BC5885" s="141"/>
    </row>
    <row r="5886">
      <c r="BB5886" s="122"/>
      <c r="BC5886" s="141"/>
    </row>
    <row r="5887">
      <c r="BB5887" s="122"/>
      <c r="BC5887" s="141"/>
    </row>
    <row r="5888">
      <c r="BB5888" s="122"/>
      <c r="BC5888" s="141"/>
    </row>
    <row r="5889">
      <c r="BB5889" s="122"/>
      <c r="BC5889" s="141"/>
    </row>
    <row r="5890">
      <c r="BB5890" s="122"/>
      <c r="BC5890" s="141"/>
    </row>
    <row r="5891">
      <c r="BB5891" s="122"/>
      <c r="BC5891" s="141"/>
    </row>
    <row r="5892">
      <c r="BB5892" s="122"/>
      <c r="BC5892" s="141"/>
    </row>
    <row r="5893">
      <c r="BB5893" s="122"/>
      <c r="BC5893" s="141"/>
    </row>
    <row r="5894">
      <c r="BB5894" s="122"/>
      <c r="BC5894" s="141"/>
    </row>
    <row r="5895">
      <c r="BB5895" s="122"/>
      <c r="BC5895" s="141"/>
    </row>
    <row r="5896">
      <c r="BB5896" s="122"/>
      <c r="BC5896" s="141"/>
    </row>
    <row r="5897">
      <c r="BB5897" s="122"/>
      <c r="BC5897" s="141"/>
    </row>
    <row r="5898">
      <c r="BB5898" s="122"/>
      <c r="BC5898" s="141"/>
    </row>
    <row r="5899">
      <c r="BB5899" s="122"/>
      <c r="BC5899" s="141"/>
    </row>
    <row r="5900">
      <c r="BB5900" s="122"/>
      <c r="BC5900" s="141"/>
    </row>
    <row r="5901">
      <c r="BB5901" s="122"/>
      <c r="BC5901" s="141"/>
    </row>
    <row r="5902">
      <c r="BB5902" s="122"/>
      <c r="BC5902" s="141"/>
    </row>
    <row r="5903">
      <c r="BB5903" s="122"/>
      <c r="BC5903" s="141"/>
    </row>
    <row r="5904">
      <c r="BB5904" s="122"/>
      <c r="BC5904" s="141"/>
    </row>
    <row r="5905">
      <c r="BB5905" s="122"/>
      <c r="BC5905" s="141"/>
    </row>
    <row r="5906">
      <c r="BB5906" s="122"/>
      <c r="BC5906" s="141"/>
    </row>
    <row r="5907">
      <c r="BB5907" s="122"/>
      <c r="BC5907" s="141"/>
    </row>
    <row r="5908">
      <c r="BB5908" s="122"/>
      <c r="BC5908" s="141"/>
    </row>
    <row r="5909">
      <c r="BB5909" s="122"/>
      <c r="BC5909" s="141"/>
    </row>
    <row r="5910">
      <c r="BB5910" s="122"/>
      <c r="BC5910" s="141"/>
    </row>
    <row r="5911">
      <c r="BB5911" s="122"/>
      <c r="BC5911" s="141"/>
    </row>
    <row r="5912">
      <c r="BB5912" s="122"/>
      <c r="BC5912" s="141"/>
    </row>
    <row r="5913">
      <c r="BB5913" s="122"/>
      <c r="BC5913" s="141"/>
    </row>
    <row r="5914">
      <c r="BB5914" s="122"/>
      <c r="BC5914" s="141"/>
    </row>
    <row r="5915">
      <c r="BB5915" s="122"/>
      <c r="BC5915" s="141"/>
    </row>
    <row r="5916">
      <c r="BB5916" s="122"/>
      <c r="BC5916" s="141"/>
    </row>
    <row r="5917">
      <c r="BB5917" s="122"/>
      <c r="BC5917" s="141"/>
    </row>
    <row r="5918">
      <c r="BB5918" s="122"/>
      <c r="BC5918" s="141"/>
    </row>
    <row r="5919">
      <c r="BB5919" s="122"/>
      <c r="BC5919" s="141"/>
    </row>
    <row r="5920">
      <c r="BB5920" s="122"/>
      <c r="BC5920" s="141"/>
    </row>
    <row r="5921">
      <c r="BB5921" s="122"/>
      <c r="BC5921" s="141"/>
    </row>
    <row r="5922">
      <c r="BB5922" s="122"/>
      <c r="BC5922" s="141"/>
    </row>
    <row r="5923">
      <c r="BB5923" s="122"/>
      <c r="BC5923" s="141"/>
    </row>
    <row r="5924">
      <c r="BB5924" s="122"/>
      <c r="BC5924" s="141"/>
    </row>
    <row r="5925">
      <c r="BB5925" s="122"/>
      <c r="BC5925" s="141"/>
    </row>
    <row r="5926">
      <c r="BB5926" s="122"/>
      <c r="BC5926" s="141"/>
    </row>
    <row r="5927">
      <c r="BB5927" s="122"/>
      <c r="BC5927" s="141"/>
    </row>
    <row r="5928">
      <c r="BB5928" s="122"/>
      <c r="BC5928" s="141"/>
    </row>
    <row r="5929">
      <c r="BB5929" s="122"/>
      <c r="BC5929" s="141"/>
    </row>
    <row r="5930">
      <c r="BB5930" s="122"/>
      <c r="BC5930" s="141"/>
    </row>
    <row r="5931">
      <c r="BB5931" s="122"/>
      <c r="BC5931" s="141"/>
    </row>
    <row r="5932">
      <c r="BB5932" s="122"/>
      <c r="BC5932" s="141"/>
    </row>
    <row r="5933">
      <c r="BB5933" s="122"/>
      <c r="BC5933" s="141"/>
    </row>
    <row r="5934">
      <c r="BB5934" s="122"/>
      <c r="BC5934" s="141"/>
    </row>
    <row r="5935">
      <c r="BB5935" s="122"/>
      <c r="BC5935" s="141"/>
    </row>
    <row r="5936">
      <c r="BB5936" s="122"/>
      <c r="BC5936" s="141"/>
    </row>
    <row r="5937">
      <c r="BB5937" s="122"/>
      <c r="BC5937" s="141"/>
    </row>
    <row r="5938">
      <c r="BB5938" s="122"/>
      <c r="BC5938" s="141"/>
    </row>
    <row r="5939">
      <c r="BB5939" s="122"/>
      <c r="BC5939" s="141"/>
    </row>
    <row r="5940">
      <c r="BB5940" s="122"/>
      <c r="BC5940" s="141"/>
    </row>
    <row r="5941">
      <c r="BB5941" s="122"/>
      <c r="BC5941" s="141"/>
    </row>
    <row r="5942">
      <c r="BB5942" s="122"/>
      <c r="BC5942" s="141"/>
    </row>
    <row r="5943">
      <c r="BB5943" s="122"/>
      <c r="BC5943" s="141"/>
    </row>
    <row r="5944">
      <c r="BB5944" s="122"/>
      <c r="BC5944" s="141"/>
    </row>
    <row r="5945">
      <c r="BB5945" s="122"/>
      <c r="BC5945" s="141"/>
    </row>
    <row r="5946">
      <c r="BB5946" s="122"/>
      <c r="BC5946" s="141"/>
    </row>
    <row r="5947">
      <c r="BB5947" s="122"/>
      <c r="BC5947" s="141"/>
    </row>
    <row r="5948">
      <c r="BB5948" s="122"/>
      <c r="BC5948" s="141"/>
    </row>
    <row r="5949">
      <c r="BB5949" s="122"/>
      <c r="BC5949" s="141"/>
    </row>
    <row r="5950">
      <c r="BB5950" s="122"/>
      <c r="BC5950" s="141"/>
    </row>
    <row r="5951">
      <c r="BB5951" s="122"/>
      <c r="BC5951" s="141"/>
    </row>
    <row r="5952">
      <c r="BB5952" s="122"/>
      <c r="BC5952" s="141"/>
    </row>
    <row r="5953">
      <c r="BB5953" s="122"/>
      <c r="BC5953" s="141"/>
    </row>
    <row r="5954">
      <c r="BB5954" s="122"/>
      <c r="BC5954" s="141"/>
    </row>
    <row r="5955">
      <c r="BB5955" s="122"/>
      <c r="BC5955" s="141"/>
    </row>
    <row r="5956">
      <c r="BB5956" s="122"/>
      <c r="BC5956" s="141"/>
    </row>
    <row r="5957">
      <c r="BB5957" s="122"/>
      <c r="BC5957" s="141"/>
    </row>
    <row r="5958">
      <c r="BB5958" s="122"/>
      <c r="BC5958" s="141"/>
    </row>
    <row r="5959">
      <c r="BB5959" s="122"/>
      <c r="BC5959" s="141"/>
    </row>
    <row r="5960">
      <c r="BB5960" s="122"/>
      <c r="BC5960" s="141"/>
    </row>
    <row r="5961">
      <c r="BB5961" s="122"/>
      <c r="BC5961" s="141"/>
    </row>
    <row r="5962">
      <c r="BB5962" s="122"/>
      <c r="BC5962" s="141"/>
    </row>
    <row r="5963">
      <c r="BB5963" s="122"/>
      <c r="BC5963" s="141"/>
    </row>
    <row r="5964">
      <c r="BB5964" s="122"/>
      <c r="BC5964" s="141"/>
    </row>
    <row r="5965">
      <c r="BB5965" s="122"/>
      <c r="BC5965" s="141"/>
    </row>
    <row r="5966">
      <c r="BB5966" s="122"/>
      <c r="BC5966" s="141"/>
    </row>
    <row r="5967">
      <c r="BB5967" s="122"/>
      <c r="BC5967" s="141"/>
    </row>
    <row r="5968">
      <c r="BB5968" s="122"/>
      <c r="BC5968" s="141"/>
    </row>
    <row r="5969">
      <c r="BB5969" s="122"/>
      <c r="BC5969" s="141"/>
    </row>
    <row r="5970">
      <c r="BB5970" s="122"/>
      <c r="BC5970" s="141"/>
    </row>
    <row r="5971">
      <c r="BB5971" s="122"/>
      <c r="BC5971" s="141"/>
    </row>
    <row r="5972">
      <c r="BB5972" s="122"/>
      <c r="BC5972" s="141"/>
    </row>
    <row r="5973">
      <c r="BB5973" s="122"/>
      <c r="BC5973" s="141"/>
    </row>
    <row r="5974">
      <c r="BB5974" s="122"/>
      <c r="BC5974" s="141"/>
    </row>
    <row r="5975">
      <c r="BB5975" s="122"/>
      <c r="BC5975" s="141"/>
    </row>
    <row r="5976">
      <c r="BB5976" s="122"/>
      <c r="BC5976" s="141"/>
    </row>
    <row r="5977">
      <c r="BB5977" s="122"/>
      <c r="BC5977" s="141"/>
    </row>
    <row r="5978">
      <c r="BB5978" s="122"/>
      <c r="BC5978" s="141"/>
    </row>
    <row r="5979">
      <c r="BB5979" s="122"/>
      <c r="BC5979" s="141"/>
    </row>
    <row r="5980">
      <c r="BB5980" s="122"/>
      <c r="BC5980" s="141"/>
    </row>
    <row r="5981">
      <c r="BB5981" s="122"/>
      <c r="BC5981" s="141"/>
    </row>
    <row r="5982">
      <c r="BB5982" s="122"/>
      <c r="BC5982" s="141"/>
    </row>
    <row r="5983">
      <c r="BB5983" s="122"/>
      <c r="BC5983" s="141"/>
    </row>
    <row r="5984">
      <c r="BB5984" s="122"/>
      <c r="BC5984" s="141"/>
    </row>
    <row r="5985">
      <c r="BB5985" s="122"/>
      <c r="BC5985" s="141"/>
    </row>
    <row r="5986">
      <c r="BB5986" s="122"/>
      <c r="BC5986" s="141"/>
    </row>
    <row r="5987">
      <c r="BB5987" s="122"/>
      <c r="BC5987" s="141"/>
    </row>
    <row r="5988">
      <c r="BB5988" s="122"/>
      <c r="BC5988" s="141"/>
    </row>
    <row r="5989">
      <c r="BB5989" s="122"/>
      <c r="BC5989" s="141"/>
    </row>
    <row r="5990">
      <c r="BB5990" s="122"/>
      <c r="BC5990" s="141"/>
    </row>
    <row r="5991">
      <c r="BB5991" s="122"/>
      <c r="BC5991" s="141"/>
    </row>
    <row r="5992">
      <c r="BB5992" s="122"/>
      <c r="BC5992" s="141"/>
    </row>
    <row r="5993">
      <c r="BB5993" s="122"/>
      <c r="BC5993" s="141"/>
    </row>
    <row r="5994">
      <c r="BB5994" s="122"/>
      <c r="BC5994" s="141"/>
    </row>
    <row r="5995">
      <c r="BB5995" s="122"/>
      <c r="BC5995" s="141"/>
    </row>
    <row r="5996">
      <c r="BB5996" s="122"/>
      <c r="BC5996" s="141"/>
    </row>
    <row r="5997">
      <c r="BB5997" s="122"/>
      <c r="BC5997" s="141"/>
    </row>
    <row r="5998">
      <c r="BB5998" s="122"/>
      <c r="BC5998" s="141"/>
    </row>
    <row r="5999">
      <c r="BB5999" s="122"/>
      <c r="BC5999" s="141"/>
    </row>
    <row r="6000">
      <c r="BB6000" s="122"/>
      <c r="BC6000" s="141"/>
    </row>
    <row r="6001">
      <c r="BB6001" s="122"/>
      <c r="BC6001" s="141"/>
    </row>
    <row r="6002">
      <c r="BB6002" s="122"/>
      <c r="BC6002" s="141"/>
    </row>
    <row r="6003">
      <c r="BB6003" s="122"/>
      <c r="BC6003" s="141"/>
    </row>
    <row r="6004">
      <c r="BB6004" s="122"/>
      <c r="BC6004" s="141"/>
    </row>
    <row r="6005">
      <c r="BB6005" s="122"/>
      <c r="BC6005" s="141"/>
    </row>
    <row r="6006">
      <c r="BB6006" s="122"/>
      <c r="BC6006" s="141"/>
    </row>
    <row r="6007">
      <c r="BB6007" s="122"/>
      <c r="BC6007" s="141"/>
    </row>
    <row r="6008">
      <c r="BB6008" s="122"/>
      <c r="BC6008" s="141"/>
    </row>
    <row r="6009">
      <c r="BB6009" s="122"/>
      <c r="BC6009" s="141"/>
    </row>
    <row r="6010">
      <c r="BB6010" s="122"/>
      <c r="BC6010" s="141"/>
    </row>
    <row r="6011">
      <c r="BB6011" s="122"/>
      <c r="BC6011" s="141"/>
    </row>
    <row r="6012">
      <c r="BB6012" s="122"/>
      <c r="BC6012" s="141"/>
    </row>
    <row r="6013">
      <c r="BB6013" s="122"/>
      <c r="BC6013" s="141"/>
    </row>
    <row r="6014">
      <c r="BB6014" s="122"/>
      <c r="BC6014" s="141"/>
    </row>
    <row r="6015">
      <c r="BB6015" s="122"/>
      <c r="BC6015" s="141"/>
    </row>
    <row r="6016">
      <c r="BB6016" s="122"/>
      <c r="BC6016" s="141"/>
    </row>
    <row r="6017">
      <c r="BB6017" s="122"/>
      <c r="BC6017" s="141"/>
    </row>
    <row r="6018">
      <c r="BB6018" s="122"/>
      <c r="BC6018" s="141"/>
    </row>
    <row r="6019">
      <c r="BB6019" s="122"/>
      <c r="BC6019" s="141"/>
    </row>
    <row r="6020">
      <c r="BB6020" s="122"/>
      <c r="BC6020" s="141"/>
    </row>
    <row r="6021">
      <c r="BB6021" s="122"/>
      <c r="BC6021" s="141"/>
    </row>
    <row r="6022">
      <c r="BB6022" s="122"/>
      <c r="BC6022" s="141"/>
    </row>
    <row r="6023">
      <c r="BB6023" s="122"/>
      <c r="BC6023" s="141"/>
    </row>
    <row r="6024">
      <c r="BB6024" s="122"/>
      <c r="BC6024" s="141"/>
    </row>
    <row r="6025">
      <c r="BB6025" s="122"/>
      <c r="BC6025" s="141"/>
    </row>
    <row r="6026">
      <c r="BB6026" s="122"/>
      <c r="BC6026" s="141"/>
    </row>
    <row r="6027">
      <c r="BB6027" s="122"/>
      <c r="BC6027" s="141"/>
    </row>
    <row r="6028">
      <c r="BB6028" s="122"/>
      <c r="BC6028" s="141"/>
    </row>
    <row r="6029">
      <c r="BB6029" s="122"/>
      <c r="BC6029" s="141"/>
    </row>
    <row r="6030">
      <c r="BB6030" s="122"/>
      <c r="BC6030" s="141"/>
    </row>
    <row r="6031">
      <c r="BB6031" s="122"/>
      <c r="BC6031" s="141"/>
    </row>
    <row r="6032">
      <c r="BB6032" s="122"/>
      <c r="BC6032" s="141"/>
    </row>
    <row r="6033">
      <c r="BB6033" s="122"/>
      <c r="BC6033" s="141"/>
    </row>
    <row r="6034">
      <c r="BB6034" s="122"/>
      <c r="BC6034" s="141"/>
    </row>
    <row r="6035">
      <c r="BB6035" s="122"/>
      <c r="BC6035" s="141"/>
    </row>
    <row r="6036">
      <c r="BB6036" s="122"/>
      <c r="BC6036" s="141"/>
    </row>
    <row r="6037">
      <c r="BB6037" s="122"/>
      <c r="BC6037" s="141"/>
    </row>
    <row r="6038">
      <c r="BB6038" s="122"/>
      <c r="BC6038" s="141"/>
    </row>
    <row r="6039">
      <c r="BB6039" s="122"/>
      <c r="BC6039" s="141"/>
    </row>
    <row r="6040">
      <c r="BB6040" s="122"/>
      <c r="BC6040" s="141"/>
    </row>
    <row r="6041">
      <c r="BB6041" s="122"/>
      <c r="BC6041" s="141"/>
    </row>
    <row r="6042">
      <c r="BB6042" s="122"/>
      <c r="BC6042" s="141"/>
    </row>
    <row r="6043">
      <c r="BB6043" s="122"/>
      <c r="BC6043" s="141"/>
    </row>
    <row r="6044">
      <c r="BB6044" s="122"/>
      <c r="BC6044" s="141"/>
    </row>
    <row r="6045">
      <c r="BB6045" s="122"/>
      <c r="BC6045" s="141"/>
    </row>
    <row r="6046">
      <c r="BB6046" s="122"/>
      <c r="BC6046" s="141"/>
    </row>
    <row r="6047">
      <c r="BB6047" s="122"/>
      <c r="BC6047" s="141"/>
    </row>
    <row r="6048">
      <c r="BB6048" s="122"/>
      <c r="BC6048" s="141"/>
    </row>
    <row r="6049">
      <c r="BB6049" s="122"/>
      <c r="BC6049" s="141"/>
    </row>
    <row r="6050">
      <c r="BB6050" s="122"/>
      <c r="BC6050" s="141"/>
    </row>
    <row r="6051">
      <c r="BB6051" s="122"/>
      <c r="BC6051" s="141"/>
    </row>
    <row r="6052">
      <c r="BB6052" s="122"/>
      <c r="BC6052" s="141"/>
    </row>
    <row r="6053">
      <c r="BB6053" s="122"/>
      <c r="BC6053" s="141"/>
    </row>
    <row r="6054">
      <c r="BB6054" s="122"/>
      <c r="BC6054" s="141"/>
    </row>
    <row r="6055">
      <c r="BB6055" s="122"/>
      <c r="BC6055" s="141"/>
    </row>
    <row r="6056">
      <c r="BB6056" s="122"/>
      <c r="BC6056" s="141"/>
    </row>
    <row r="6057">
      <c r="BB6057" s="122"/>
      <c r="BC6057" s="141"/>
    </row>
    <row r="6058">
      <c r="BB6058" s="122"/>
      <c r="BC6058" s="141"/>
    </row>
    <row r="6059">
      <c r="BB6059" s="122"/>
      <c r="BC6059" s="141"/>
    </row>
    <row r="6060">
      <c r="BB6060" s="122"/>
      <c r="BC6060" s="141"/>
    </row>
    <row r="6061">
      <c r="BB6061" s="122"/>
      <c r="BC6061" s="141"/>
    </row>
    <row r="6062">
      <c r="BB6062" s="122"/>
      <c r="BC6062" s="141"/>
    </row>
    <row r="6063">
      <c r="BB6063" s="122"/>
      <c r="BC6063" s="141"/>
    </row>
    <row r="6064">
      <c r="BB6064" s="122"/>
      <c r="BC6064" s="141"/>
    </row>
    <row r="6065">
      <c r="BB6065" s="122"/>
      <c r="BC6065" s="141"/>
    </row>
    <row r="6066">
      <c r="BB6066" s="122"/>
      <c r="BC6066" s="141"/>
    </row>
    <row r="6067">
      <c r="BB6067" s="122"/>
      <c r="BC6067" s="141"/>
    </row>
    <row r="6068">
      <c r="BB6068" s="122"/>
      <c r="BC6068" s="141"/>
    </row>
    <row r="6069">
      <c r="BB6069" s="122"/>
      <c r="BC6069" s="141"/>
    </row>
    <row r="6070">
      <c r="BB6070" s="122"/>
      <c r="BC6070" s="141"/>
    </row>
    <row r="6071">
      <c r="BB6071" s="122"/>
      <c r="BC6071" s="141"/>
    </row>
    <row r="6072">
      <c r="BB6072" s="122"/>
      <c r="BC6072" s="141"/>
    </row>
    <row r="6073">
      <c r="BB6073" s="122"/>
      <c r="BC6073" s="141"/>
    </row>
    <row r="6074">
      <c r="BB6074" s="122"/>
      <c r="BC6074" s="141"/>
    </row>
    <row r="6075">
      <c r="BB6075" s="122"/>
      <c r="BC6075" s="141"/>
    </row>
    <row r="6076">
      <c r="BB6076" s="122"/>
      <c r="BC6076" s="141"/>
    </row>
    <row r="6077">
      <c r="BB6077" s="122"/>
      <c r="BC6077" s="141"/>
    </row>
    <row r="6078">
      <c r="BB6078" s="122"/>
      <c r="BC6078" s="141"/>
    </row>
    <row r="6079">
      <c r="BB6079" s="122"/>
      <c r="BC6079" s="141"/>
    </row>
    <row r="6080">
      <c r="BB6080" s="122"/>
      <c r="BC6080" s="141"/>
    </row>
    <row r="6081">
      <c r="BB6081" s="122"/>
      <c r="BC6081" s="141"/>
    </row>
    <row r="6082">
      <c r="BB6082" s="122"/>
      <c r="BC6082" s="141"/>
    </row>
    <row r="6083">
      <c r="BB6083" s="122"/>
      <c r="BC6083" s="141"/>
    </row>
    <row r="6084">
      <c r="BB6084" s="122"/>
      <c r="BC6084" s="141"/>
    </row>
    <row r="6085">
      <c r="BB6085" s="122"/>
      <c r="BC6085" s="141"/>
    </row>
    <row r="6086">
      <c r="BB6086" s="122"/>
      <c r="BC6086" s="141"/>
    </row>
    <row r="6087">
      <c r="BB6087" s="122"/>
      <c r="BC6087" s="141"/>
    </row>
    <row r="6088">
      <c r="BB6088" s="122"/>
      <c r="BC6088" s="141"/>
    </row>
    <row r="6089">
      <c r="BB6089" s="122"/>
      <c r="BC6089" s="141"/>
    </row>
    <row r="6090">
      <c r="BB6090" s="122"/>
      <c r="BC6090" s="141"/>
    </row>
    <row r="6091">
      <c r="BB6091" s="122"/>
      <c r="BC6091" s="141"/>
    </row>
    <row r="6092">
      <c r="BB6092" s="122"/>
      <c r="BC6092" s="141"/>
    </row>
    <row r="6093">
      <c r="BB6093" s="122"/>
      <c r="BC6093" s="141"/>
    </row>
    <row r="6094">
      <c r="BB6094" s="122"/>
      <c r="BC6094" s="141"/>
    </row>
    <row r="6095">
      <c r="BB6095" s="122"/>
      <c r="BC6095" s="141"/>
    </row>
    <row r="6096">
      <c r="BB6096" s="122"/>
      <c r="BC6096" s="141"/>
    </row>
    <row r="6097">
      <c r="BB6097" s="122"/>
      <c r="BC6097" s="141"/>
    </row>
    <row r="6098">
      <c r="BB6098" s="122"/>
      <c r="BC6098" s="141"/>
    </row>
    <row r="6099">
      <c r="BB6099" s="122"/>
      <c r="BC6099" s="141"/>
    </row>
    <row r="6100">
      <c r="BB6100" s="122"/>
      <c r="BC6100" s="141"/>
    </row>
    <row r="6101">
      <c r="BB6101" s="122"/>
      <c r="BC6101" s="141"/>
    </row>
    <row r="6102">
      <c r="BB6102" s="122"/>
      <c r="BC6102" s="141"/>
    </row>
    <row r="6103">
      <c r="BB6103" s="122"/>
      <c r="BC6103" s="141"/>
    </row>
    <row r="6104">
      <c r="BB6104" s="122"/>
      <c r="BC6104" s="141"/>
    </row>
    <row r="6105">
      <c r="BB6105" s="122"/>
      <c r="BC6105" s="141"/>
    </row>
    <row r="6106">
      <c r="BB6106" s="122"/>
      <c r="BC6106" s="141"/>
    </row>
    <row r="6107">
      <c r="BB6107" s="122"/>
      <c r="BC6107" s="141"/>
    </row>
    <row r="6108">
      <c r="BB6108" s="122"/>
      <c r="BC6108" s="141"/>
    </row>
    <row r="6109">
      <c r="BB6109" s="122"/>
      <c r="BC6109" s="141"/>
    </row>
    <row r="6110">
      <c r="BB6110" s="122"/>
      <c r="BC6110" s="141"/>
    </row>
    <row r="6111">
      <c r="BB6111" s="122"/>
      <c r="BC6111" s="141"/>
    </row>
    <row r="6112">
      <c r="BB6112" s="122"/>
      <c r="BC6112" s="141"/>
    </row>
    <row r="6113">
      <c r="BB6113" s="122"/>
      <c r="BC6113" s="141"/>
    </row>
    <row r="6114">
      <c r="BB6114" s="122"/>
      <c r="BC6114" s="141"/>
    </row>
    <row r="6115">
      <c r="BB6115" s="122"/>
      <c r="BC6115" s="141"/>
    </row>
    <row r="6116">
      <c r="BB6116" s="122"/>
      <c r="BC6116" s="141"/>
    </row>
    <row r="6117">
      <c r="BB6117" s="122"/>
      <c r="BC6117" s="141"/>
    </row>
    <row r="6118">
      <c r="BB6118" s="122"/>
      <c r="BC6118" s="141"/>
    </row>
    <row r="6119">
      <c r="BB6119" s="122"/>
      <c r="BC6119" s="141"/>
    </row>
    <row r="6120">
      <c r="BB6120" s="122"/>
      <c r="BC6120" s="141"/>
    </row>
    <row r="6121">
      <c r="BB6121" s="122"/>
      <c r="BC6121" s="141"/>
    </row>
    <row r="6122">
      <c r="BB6122" s="122"/>
      <c r="BC6122" s="141"/>
    </row>
    <row r="6123">
      <c r="BB6123" s="122"/>
      <c r="BC6123" s="141"/>
    </row>
    <row r="6124">
      <c r="BB6124" s="122"/>
      <c r="BC6124" s="141"/>
    </row>
    <row r="6125">
      <c r="BB6125" s="122"/>
      <c r="BC6125" s="141"/>
    </row>
    <row r="6126">
      <c r="BB6126" s="122"/>
      <c r="BC6126" s="141"/>
    </row>
    <row r="6127">
      <c r="BB6127" s="122"/>
      <c r="BC6127" s="141"/>
    </row>
    <row r="6128">
      <c r="BB6128" s="122"/>
      <c r="BC6128" s="141"/>
    </row>
    <row r="6129">
      <c r="BB6129" s="122"/>
      <c r="BC6129" s="141"/>
    </row>
    <row r="6130">
      <c r="BB6130" s="122"/>
      <c r="BC6130" s="141"/>
    </row>
    <row r="6131">
      <c r="BB6131" s="122"/>
      <c r="BC6131" s="141"/>
    </row>
    <row r="6132">
      <c r="BB6132" s="122"/>
      <c r="BC6132" s="141"/>
    </row>
    <row r="6133">
      <c r="BB6133" s="122"/>
      <c r="BC6133" s="141"/>
    </row>
    <row r="6134">
      <c r="BB6134" s="122"/>
      <c r="BC6134" s="141"/>
    </row>
    <row r="6135">
      <c r="BB6135" s="122"/>
      <c r="BC6135" s="141"/>
    </row>
    <row r="6136">
      <c r="BB6136" s="122"/>
      <c r="BC6136" s="141"/>
    </row>
    <row r="6137">
      <c r="BB6137" s="122"/>
      <c r="BC6137" s="141"/>
    </row>
    <row r="6138">
      <c r="BB6138" s="122"/>
      <c r="BC6138" s="141"/>
    </row>
    <row r="6139">
      <c r="BB6139" s="122"/>
      <c r="BC6139" s="141"/>
    </row>
    <row r="6140">
      <c r="BB6140" s="122"/>
      <c r="BC6140" s="141"/>
    </row>
    <row r="6141">
      <c r="BB6141" s="122"/>
      <c r="BC6141" s="141"/>
    </row>
    <row r="6142">
      <c r="BB6142" s="122"/>
      <c r="BC6142" s="141"/>
    </row>
    <row r="6143">
      <c r="BB6143" s="122"/>
      <c r="BC6143" s="141"/>
    </row>
    <row r="6144">
      <c r="BB6144" s="122"/>
      <c r="BC6144" s="141"/>
    </row>
    <row r="6145">
      <c r="BB6145" s="122"/>
      <c r="BC6145" s="141"/>
    </row>
    <row r="6146">
      <c r="BB6146" s="122"/>
      <c r="BC6146" s="141"/>
    </row>
    <row r="6147">
      <c r="BB6147" s="122"/>
      <c r="BC6147" s="141"/>
    </row>
    <row r="6148">
      <c r="BB6148" s="122"/>
      <c r="BC6148" s="141"/>
    </row>
    <row r="6149">
      <c r="BB6149" s="122"/>
      <c r="BC6149" s="141"/>
    </row>
    <row r="6150">
      <c r="BB6150" s="122"/>
      <c r="BC6150" s="141"/>
    </row>
    <row r="6151">
      <c r="BB6151" s="122"/>
      <c r="BC6151" s="141"/>
    </row>
    <row r="6152">
      <c r="BB6152" s="122"/>
      <c r="BC6152" s="141"/>
    </row>
    <row r="6153">
      <c r="BB6153" s="122"/>
      <c r="BC6153" s="141"/>
    </row>
    <row r="6154">
      <c r="BB6154" s="122"/>
      <c r="BC6154" s="141"/>
    </row>
    <row r="6155">
      <c r="BB6155" s="122"/>
      <c r="BC6155" s="141"/>
    </row>
    <row r="6156">
      <c r="BB6156" s="122"/>
      <c r="BC6156" s="141"/>
    </row>
    <row r="6157">
      <c r="BB6157" s="122"/>
      <c r="BC6157" s="141"/>
    </row>
    <row r="6158">
      <c r="BB6158" s="122"/>
      <c r="BC6158" s="141"/>
    </row>
    <row r="6159">
      <c r="BB6159" s="122"/>
      <c r="BC6159" s="141"/>
    </row>
    <row r="6160">
      <c r="BB6160" s="122"/>
      <c r="BC6160" s="141"/>
    </row>
    <row r="6161">
      <c r="BB6161" s="122"/>
      <c r="BC6161" s="141"/>
    </row>
    <row r="6162">
      <c r="BB6162" s="122"/>
      <c r="BC6162" s="141"/>
    </row>
    <row r="6163">
      <c r="BB6163" s="122"/>
      <c r="BC6163" s="141"/>
    </row>
    <row r="6164">
      <c r="BB6164" s="122"/>
      <c r="BC6164" s="141"/>
    </row>
    <row r="6165">
      <c r="BB6165" s="122"/>
      <c r="BC6165" s="141"/>
    </row>
    <row r="6166">
      <c r="BB6166" s="122"/>
      <c r="BC6166" s="141"/>
    </row>
    <row r="6167">
      <c r="BB6167" s="122"/>
      <c r="BC6167" s="141"/>
    </row>
    <row r="6168">
      <c r="BB6168" s="122"/>
      <c r="BC6168" s="141"/>
    </row>
    <row r="6169">
      <c r="BB6169" s="122"/>
      <c r="BC6169" s="141"/>
    </row>
    <row r="6170">
      <c r="BB6170" s="122"/>
      <c r="BC6170" s="141"/>
    </row>
    <row r="6171">
      <c r="BB6171" s="122"/>
      <c r="BC6171" s="141"/>
    </row>
    <row r="6172">
      <c r="BB6172" s="122"/>
      <c r="BC6172" s="141"/>
    </row>
    <row r="6173">
      <c r="BB6173" s="122"/>
      <c r="BC6173" s="141"/>
    </row>
    <row r="6174">
      <c r="BB6174" s="122"/>
      <c r="BC6174" s="141"/>
    </row>
    <row r="6175">
      <c r="BB6175" s="122"/>
      <c r="BC6175" s="141"/>
    </row>
    <row r="6176">
      <c r="BB6176" s="122"/>
      <c r="BC6176" s="141"/>
    </row>
    <row r="6177">
      <c r="BB6177" s="122"/>
      <c r="BC6177" s="141"/>
    </row>
    <row r="6178">
      <c r="BB6178" s="122"/>
      <c r="BC6178" s="141"/>
    </row>
    <row r="6179">
      <c r="BB6179" s="122"/>
      <c r="BC6179" s="141"/>
    </row>
    <row r="6180">
      <c r="BB6180" s="122"/>
      <c r="BC6180" s="141"/>
    </row>
    <row r="6181">
      <c r="BB6181" s="122"/>
      <c r="BC6181" s="141"/>
    </row>
    <row r="6182">
      <c r="BB6182" s="122"/>
      <c r="BC6182" s="141"/>
    </row>
    <row r="6183">
      <c r="BB6183" s="122"/>
      <c r="BC6183" s="141"/>
    </row>
    <row r="6184">
      <c r="BB6184" s="122"/>
      <c r="BC6184" s="141"/>
    </row>
    <row r="6185">
      <c r="BB6185" s="122"/>
      <c r="BC6185" s="141"/>
    </row>
    <row r="6186">
      <c r="BB6186" s="122"/>
      <c r="BC6186" s="141"/>
    </row>
    <row r="6187">
      <c r="BB6187" s="122"/>
      <c r="BC6187" s="141"/>
    </row>
    <row r="6188">
      <c r="BB6188" s="122"/>
      <c r="BC6188" s="141"/>
    </row>
    <row r="6189">
      <c r="BB6189" s="122"/>
      <c r="BC6189" s="141"/>
    </row>
    <row r="6190">
      <c r="BB6190" s="122"/>
      <c r="BC6190" s="141"/>
    </row>
    <row r="6191">
      <c r="BB6191" s="122"/>
      <c r="BC6191" s="141"/>
    </row>
    <row r="6192">
      <c r="BB6192" s="122"/>
      <c r="BC6192" s="141"/>
    </row>
    <row r="6193">
      <c r="BB6193" s="122"/>
      <c r="BC6193" s="141"/>
    </row>
    <row r="6194">
      <c r="BB6194" s="122"/>
      <c r="BC6194" s="141"/>
    </row>
    <row r="6195">
      <c r="BB6195" s="122"/>
      <c r="BC6195" s="141"/>
    </row>
    <row r="6196">
      <c r="BB6196" s="122"/>
      <c r="BC6196" s="141"/>
    </row>
    <row r="6197">
      <c r="BB6197" s="122"/>
      <c r="BC6197" s="141"/>
    </row>
    <row r="6198">
      <c r="BB6198" s="122"/>
      <c r="BC6198" s="141"/>
    </row>
    <row r="6199">
      <c r="BB6199" s="122"/>
      <c r="BC6199" s="141"/>
    </row>
    <row r="6200">
      <c r="BB6200" s="122"/>
      <c r="BC6200" s="141"/>
    </row>
    <row r="6201">
      <c r="BB6201" s="122"/>
      <c r="BC6201" s="141"/>
    </row>
    <row r="6202">
      <c r="BB6202" s="122"/>
      <c r="BC6202" s="141"/>
    </row>
    <row r="6203">
      <c r="BB6203" s="122"/>
      <c r="BC6203" s="141"/>
    </row>
    <row r="6204">
      <c r="BB6204" s="122"/>
      <c r="BC6204" s="141"/>
    </row>
    <row r="6205">
      <c r="BB6205" s="122"/>
      <c r="BC6205" s="141"/>
    </row>
    <row r="6206">
      <c r="BB6206" s="122"/>
      <c r="BC6206" s="141"/>
    </row>
    <row r="6207">
      <c r="BB6207" s="122"/>
      <c r="BC6207" s="141"/>
    </row>
    <row r="6208">
      <c r="BB6208" s="122"/>
      <c r="BC6208" s="141"/>
    </row>
    <row r="6209">
      <c r="BB6209" s="122"/>
      <c r="BC6209" s="141"/>
    </row>
    <row r="6210">
      <c r="BB6210" s="122"/>
      <c r="BC6210" s="141"/>
    </row>
    <row r="6211">
      <c r="BB6211" s="122"/>
      <c r="BC6211" s="141"/>
    </row>
    <row r="6212">
      <c r="BB6212" s="122"/>
      <c r="BC6212" s="141"/>
    </row>
    <row r="6213">
      <c r="BB6213" s="122"/>
      <c r="BC6213" s="141"/>
    </row>
    <row r="6214">
      <c r="BB6214" s="122"/>
      <c r="BC6214" s="141"/>
    </row>
    <row r="6215">
      <c r="BB6215" s="122"/>
      <c r="BC6215" s="141"/>
    </row>
    <row r="6216">
      <c r="BB6216" s="122"/>
      <c r="BC6216" s="141"/>
    </row>
    <row r="6217">
      <c r="BB6217" s="122"/>
      <c r="BC6217" s="141"/>
    </row>
    <row r="6218">
      <c r="BB6218" s="122"/>
      <c r="BC6218" s="141"/>
    </row>
    <row r="6219">
      <c r="BB6219" s="122"/>
      <c r="BC6219" s="141"/>
    </row>
    <row r="6220">
      <c r="BB6220" s="122"/>
      <c r="BC6220" s="141"/>
    </row>
    <row r="6221">
      <c r="BB6221" s="122"/>
      <c r="BC6221" s="141"/>
    </row>
    <row r="6222">
      <c r="BB6222" s="122"/>
      <c r="BC6222" s="141"/>
    </row>
    <row r="6223">
      <c r="BB6223" s="122"/>
      <c r="BC6223" s="141"/>
    </row>
    <row r="6224">
      <c r="BB6224" s="122"/>
      <c r="BC6224" s="141"/>
    </row>
    <row r="6225">
      <c r="BB6225" s="122"/>
      <c r="BC6225" s="141"/>
    </row>
    <row r="6226">
      <c r="BB6226" s="122"/>
      <c r="BC6226" s="141"/>
    </row>
    <row r="6227">
      <c r="BB6227" s="122"/>
      <c r="BC6227" s="141"/>
    </row>
    <row r="6228">
      <c r="BB6228" s="122"/>
      <c r="BC6228" s="141"/>
    </row>
    <row r="6229">
      <c r="BB6229" s="122"/>
      <c r="BC6229" s="141"/>
    </row>
    <row r="6230">
      <c r="BB6230" s="122"/>
      <c r="BC6230" s="141"/>
    </row>
    <row r="6231">
      <c r="BB6231" s="122"/>
      <c r="BC6231" s="141"/>
    </row>
    <row r="6232">
      <c r="BB6232" s="122"/>
      <c r="BC6232" s="141"/>
    </row>
    <row r="6233">
      <c r="BB6233" s="122"/>
      <c r="BC6233" s="141"/>
    </row>
    <row r="6234">
      <c r="BB6234" s="122"/>
      <c r="BC6234" s="141"/>
    </row>
    <row r="6235">
      <c r="BB6235" s="122"/>
      <c r="BC6235" s="141"/>
    </row>
    <row r="6236">
      <c r="BB6236" s="122"/>
      <c r="BC6236" s="141"/>
    </row>
    <row r="6237">
      <c r="BB6237" s="122"/>
      <c r="BC6237" s="141"/>
    </row>
    <row r="6238">
      <c r="BB6238" s="122"/>
      <c r="BC6238" s="141"/>
    </row>
    <row r="6239">
      <c r="BB6239" s="122"/>
      <c r="BC6239" s="141"/>
    </row>
    <row r="6240">
      <c r="BB6240" s="122"/>
      <c r="BC6240" s="141"/>
    </row>
    <row r="6241">
      <c r="BB6241" s="122"/>
      <c r="BC6241" s="141"/>
    </row>
    <row r="6242">
      <c r="BB6242" s="122"/>
      <c r="BC6242" s="141"/>
    </row>
    <row r="6243">
      <c r="BB6243" s="122"/>
      <c r="BC6243" s="141"/>
    </row>
    <row r="6244">
      <c r="BB6244" s="122"/>
      <c r="BC6244" s="141"/>
    </row>
    <row r="6245">
      <c r="BB6245" s="122"/>
      <c r="BC6245" s="141"/>
    </row>
    <row r="6246">
      <c r="BB6246" s="122"/>
      <c r="BC6246" s="141"/>
    </row>
    <row r="6247">
      <c r="BB6247" s="122"/>
      <c r="BC6247" s="141"/>
    </row>
    <row r="6248">
      <c r="BB6248" s="122"/>
      <c r="BC6248" s="141"/>
    </row>
    <row r="6249">
      <c r="BB6249" s="122"/>
      <c r="BC6249" s="141"/>
    </row>
    <row r="6250">
      <c r="BB6250" s="122"/>
      <c r="BC6250" s="141"/>
    </row>
    <row r="6251">
      <c r="BB6251" s="122"/>
      <c r="BC6251" s="141"/>
    </row>
    <row r="6252">
      <c r="BB6252" s="122"/>
      <c r="BC6252" s="141"/>
    </row>
    <row r="6253">
      <c r="BB6253" s="122"/>
      <c r="BC6253" s="141"/>
    </row>
    <row r="6254">
      <c r="BB6254" s="122"/>
      <c r="BC6254" s="141"/>
    </row>
    <row r="6255">
      <c r="BB6255" s="122"/>
      <c r="BC6255" s="141"/>
    </row>
    <row r="6256">
      <c r="BB6256" s="122"/>
      <c r="BC6256" s="141"/>
    </row>
    <row r="6257">
      <c r="BB6257" s="122"/>
      <c r="BC6257" s="141"/>
    </row>
    <row r="6258">
      <c r="BB6258" s="122"/>
      <c r="BC6258" s="141"/>
    </row>
    <row r="6259">
      <c r="BB6259" s="122"/>
      <c r="BC6259" s="141"/>
    </row>
    <row r="6260">
      <c r="BB6260" s="122"/>
      <c r="BC6260" s="141"/>
    </row>
    <row r="6261">
      <c r="BB6261" s="122"/>
      <c r="BC6261" s="141"/>
    </row>
    <row r="6262">
      <c r="BB6262" s="122"/>
      <c r="BC6262" s="141"/>
    </row>
    <row r="6263">
      <c r="BB6263" s="122"/>
      <c r="BC6263" s="141"/>
    </row>
    <row r="6264">
      <c r="BB6264" s="122"/>
      <c r="BC6264" s="141"/>
    </row>
    <row r="6265">
      <c r="BB6265" s="122"/>
      <c r="BC6265" s="141"/>
    </row>
    <row r="6266">
      <c r="BB6266" s="122"/>
      <c r="BC6266" s="141"/>
    </row>
    <row r="6267">
      <c r="BB6267" s="122"/>
      <c r="BC6267" s="141"/>
    </row>
    <row r="6268">
      <c r="BB6268" s="122"/>
      <c r="BC6268" s="141"/>
    </row>
    <row r="6269">
      <c r="BB6269" s="122"/>
      <c r="BC6269" s="141"/>
    </row>
    <row r="6270">
      <c r="BB6270" s="122"/>
      <c r="BC6270" s="141"/>
    </row>
    <row r="6271">
      <c r="BB6271" s="122"/>
      <c r="BC6271" s="141"/>
    </row>
    <row r="6272">
      <c r="BB6272" s="122"/>
      <c r="BC6272" s="141"/>
    </row>
    <row r="6273">
      <c r="BB6273" s="122"/>
      <c r="BC6273" s="141"/>
    </row>
    <row r="6274">
      <c r="BB6274" s="122"/>
      <c r="BC6274" s="141"/>
    </row>
    <row r="6275">
      <c r="BB6275" s="122"/>
      <c r="BC6275" s="141"/>
    </row>
    <row r="6276">
      <c r="BB6276" s="122"/>
      <c r="BC6276" s="141"/>
    </row>
    <row r="6277">
      <c r="BB6277" s="122"/>
      <c r="BC6277" s="141"/>
    </row>
    <row r="6278">
      <c r="BB6278" s="122"/>
      <c r="BC6278" s="141"/>
    </row>
    <row r="6279">
      <c r="BB6279" s="122"/>
      <c r="BC6279" s="141"/>
    </row>
    <row r="6280">
      <c r="BB6280" s="122"/>
      <c r="BC6280" s="141"/>
    </row>
    <row r="6281">
      <c r="BB6281" s="122"/>
      <c r="BC6281" s="141"/>
    </row>
    <row r="6282">
      <c r="BB6282" s="122"/>
      <c r="BC6282" s="141"/>
    </row>
    <row r="6283">
      <c r="BB6283" s="122"/>
      <c r="BC6283" s="141"/>
    </row>
    <row r="6284">
      <c r="BB6284" s="122"/>
      <c r="BC6284" s="141"/>
    </row>
    <row r="6285">
      <c r="BB6285" s="122"/>
      <c r="BC6285" s="141"/>
    </row>
    <row r="6286">
      <c r="BB6286" s="122"/>
      <c r="BC6286" s="141"/>
    </row>
    <row r="6287">
      <c r="BB6287" s="122"/>
      <c r="BC6287" s="141"/>
    </row>
    <row r="6288">
      <c r="BB6288" s="122"/>
      <c r="BC6288" s="141"/>
    </row>
    <row r="6289">
      <c r="BB6289" s="122"/>
      <c r="BC6289" s="141"/>
    </row>
    <row r="6290">
      <c r="BB6290" s="122"/>
      <c r="BC6290" s="141"/>
    </row>
    <row r="6291">
      <c r="BB6291" s="122"/>
      <c r="BC6291" s="141"/>
    </row>
    <row r="6292">
      <c r="BB6292" s="122"/>
      <c r="BC6292" s="141"/>
    </row>
    <row r="6293">
      <c r="BB6293" s="122"/>
      <c r="BC6293" s="141"/>
    </row>
    <row r="6294">
      <c r="BB6294" s="122"/>
      <c r="BC6294" s="141"/>
    </row>
    <row r="6295">
      <c r="BB6295" s="122"/>
      <c r="BC6295" s="141"/>
    </row>
    <row r="6296">
      <c r="BB6296" s="122"/>
      <c r="BC6296" s="141"/>
    </row>
    <row r="6297">
      <c r="BB6297" s="122"/>
      <c r="BC6297" s="141"/>
    </row>
    <row r="6298">
      <c r="BB6298" s="122"/>
      <c r="BC6298" s="141"/>
    </row>
    <row r="6299">
      <c r="BB6299" s="122"/>
      <c r="BC6299" s="141"/>
    </row>
    <row r="6300">
      <c r="BB6300" s="122"/>
      <c r="BC6300" s="141"/>
    </row>
    <row r="6301">
      <c r="BB6301" s="122"/>
      <c r="BC6301" s="141"/>
    </row>
    <row r="6302">
      <c r="BB6302" s="122"/>
      <c r="BC6302" s="141"/>
    </row>
    <row r="6303">
      <c r="BB6303" s="122"/>
      <c r="BC6303" s="141"/>
    </row>
    <row r="6304">
      <c r="BB6304" s="122"/>
      <c r="BC6304" s="141"/>
    </row>
    <row r="6305">
      <c r="BB6305" s="122"/>
      <c r="BC6305" s="141"/>
    </row>
    <row r="6306">
      <c r="BB6306" s="122"/>
      <c r="BC6306" s="141"/>
    </row>
    <row r="6307">
      <c r="BB6307" s="122"/>
      <c r="BC6307" s="141"/>
    </row>
    <row r="6308">
      <c r="BB6308" s="122"/>
      <c r="BC6308" s="141"/>
    </row>
    <row r="6309">
      <c r="BB6309" s="122"/>
      <c r="BC6309" s="141"/>
    </row>
    <row r="6310">
      <c r="BB6310" s="122"/>
      <c r="BC6310" s="141"/>
    </row>
    <row r="6311">
      <c r="BB6311" s="122"/>
      <c r="BC6311" s="141"/>
    </row>
    <row r="6312">
      <c r="BB6312" s="122"/>
      <c r="BC6312" s="141"/>
    </row>
    <row r="6313">
      <c r="BB6313" s="122"/>
      <c r="BC6313" s="141"/>
    </row>
    <row r="6314">
      <c r="BB6314" s="122"/>
      <c r="BC6314" s="141"/>
    </row>
    <row r="6315">
      <c r="BB6315" s="122"/>
      <c r="BC6315" s="141"/>
    </row>
    <row r="6316">
      <c r="BB6316" s="122"/>
      <c r="BC6316" s="141"/>
    </row>
    <row r="6317">
      <c r="BB6317" s="122"/>
      <c r="BC6317" s="141"/>
    </row>
    <row r="6318">
      <c r="BB6318" s="122"/>
      <c r="BC6318" s="141"/>
    </row>
    <row r="6319">
      <c r="BB6319" s="122"/>
      <c r="BC6319" s="141"/>
    </row>
    <row r="6320">
      <c r="BB6320" s="122"/>
      <c r="BC6320" s="141"/>
    </row>
    <row r="6321">
      <c r="BB6321" s="122"/>
      <c r="BC6321" s="141"/>
    </row>
    <row r="6322">
      <c r="BB6322" s="122"/>
      <c r="BC6322" s="141"/>
    </row>
    <row r="6323">
      <c r="BB6323" s="122"/>
      <c r="BC6323" s="141"/>
    </row>
    <row r="6324">
      <c r="BB6324" s="122"/>
      <c r="BC6324" s="141"/>
    </row>
    <row r="6325">
      <c r="BB6325" s="122"/>
      <c r="BC6325" s="141"/>
    </row>
    <row r="6326">
      <c r="BB6326" s="122"/>
      <c r="BC6326" s="141"/>
    </row>
    <row r="6327">
      <c r="BB6327" s="122"/>
      <c r="BC6327" s="141"/>
    </row>
    <row r="6328">
      <c r="BB6328" s="122"/>
      <c r="BC6328" s="141"/>
    </row>
    <row r="6329">
      <c r="BB6329" s="122"/>
      <c r="BC6329" s="141"/>
    </row>
    <row r="6330">
      <c r="BB6330" s="122"/>
      <c r="BC6330" s="141"/>
    </row>
    <row r="6331">
      <c r="BB6331" s="122"/>
      <c r="BC6331" s="141"/>
    </row>
    <row r="6332">
      <c r="BB6332" s="122"/>
      <c r="BC6332" s="141"/>
    </row>
    <row r="6333">
      <c r="BB6333" s="122"/>
      <c r="BC6333" s="141"/>
    </row>
    <row r="6334">
      <c r="BB6334" s="122"/>
      <c r="BC6334" s="141"/>
    </row>
    <row r="6335">
      <c r="BB6335" s="122"/>
      <c r="BC6335" s="141"/>
    </row>
    <row r="6336">
      <c r="BB6336" s="122"/>
      <c r="BC6336" s="141"/>
    </row>
    <row r="6337">
      <c r="BB6337" s="122"/>
      <c r="BC6337" s="141"/>
    </row>
    <row r="6338">
      <c r="BB6338" s="122"/>
      <c r="BC6338" s="141"/>
    </row>
    <row r="6339">
      <c r="BB6339" s="122"/>
      <c r="BC6339" s="141"/>
    </row>
    <row r="6340">
      <c r="BB6340" s="122"/>
      <c r="BC6340" s="141"/>
    </row>
    <row r="6341">
      <c r="BB6341" s="122"/>
      <c r="BC6341" s="141"/>
    </row>
    <row r="6342">
      <c r="BB6342" s="122"/>
      <c r="BC6342" s="141"/>
    </row>
    <row r="6343">
      <c r="BB6343" s="122"/>
      <c r="BC6343" s="141"/>
    </row>
    <row r="6344">
      <c r="BB6344" s="122"/>
      <c r="BC6344" s="141"/>
    </row>
    <row r="6345">
      <c r="BB6345" s="122"/>
      <c r="BC6345" s="141"/>
    </row>
    <row r="6346">
      <c r="BB6346" s="122"/>
      <c r="BC6346" s="141"/>
    </row>
    <row r="6347">
      <c r="BB6347" s="122"/>
      <c r="BC6347" s="141"/>
    </row>
    <row r="6348">
      <c r="BB6348" s="122"/>
      <c r="BC6348" s="141"/>
    </row>
    <row r="6349">
      <c r="BB6349" s="122"/>
      <c r="BC6349" s="141"/>
    </row>
    <row r="6350">
      <c r="BB6350" s="122"/>
      <c r="BC6350" s="141"/>
    </row>
    <row r="6351">
      <c r="BB6351" s="122"/>
      <c r="BC6351" s="141"/>
    </row>
    <row r="6352">
      <c r="BB6352" s="122"/>
      <c r="BC6352" s="141"/>
    </row>
    <row r="6353">
      <c r="BB6353" s="122"/>
      <c r="BC6353" s="141"/>
    </row>
    <row r="6354">
      <c r="BB6354" s="122"/>
      <c r="BC6354" s="141"/>
    </row>
    <row r="6355">
      <c r="BB6355" s="122"/>
      <c r="BC6355" s="141"/>
    </row>
    <row r="6356">
      <c r="BB6356" s="122"/>
      <c r="BC6356" s="141"/>
    </row>
    <row r="6357">
      <c r="BB6357" s="122"/>
      <c r="BC6357" s="141"/>
    </row>
    <row r="6358">
      <c r="BB6358" s="122"/>
      <c r="BC6358" s="141"/>
    </row>
    <row r="6359">
      <c r="BB6359" s="122"/>
      <c r="BC6359" s="141"/>
    </row>
    <row r="6360">
      <c r="BB6360" s="122"/>
      <c r="BC6360" s="141"/>
    </row>
    <row r="6361">
      <c r="BB6361" s="122"/>
      <c r="BC6361" s="141"/>
    </row>
    <row r="6362">
      <c r="BB6362" s="122"/>
      <c r="BC6362" s="141"/>
    </row>
    <row r="6363">
      <c r="BB6363" s="122"/>
      <c r="BC6363" s="141"/>
    </row>
    <row r="6364">
      <c r="BB6364" s="122"/>
      <c r="BC6364" s="141"/>
    </row>
    <row r="6365">
      <c r="BB6365" s="122"/>
      <c r="BC6365" s="141"/>
    </row>
    <row r="6366">
      <c r="BB6366" s="122"/>
      <c r="BC6366" s="141"/>
    </row>
    <row r="6367">
      <c r="BB6367" s="122"/>
      <c r="BC6367" s="141"/>
    </row>
    <row r="6368">
      <c r="BB6368" s="122"/>
      <c r="BC6368" s="141"/>
    </row>
    <row r="6369">
      <c r="BB6369" s="122"/>
      <c r="BC6369" s="141"/>
    </row>
    <row r="6370">
      <c r="BB6370" s="122"/>
      <c r="BC6370" s="141"/>
    </row>
    <row r="6371">
      <c r="BB6371" s="122"/>
      <c r="BC6371" s="141"/>
    </row>
    <row r="6372">
      <c r="BB6372" s="122"/>
      <c r="BC6372" s="141"/>
    </row>
    <row r="6373">
      <c r="BB6373" s="122"/>
      <c r="BC6373" s="141"/>
    </row>
    <row r="6374">
      <c r="BB6374" s="122"/>
      <c r="BC6374" s="141"/>
    </row>
    <row r="6375">
      <c r="BB6375" s="122"/>
      <c r="BC6375" s="141"/>
    </row>
    <row r="6376">
      <c r="BB6376" s="122"/>
      <c r="BC6376" s="141"/>
    </row>
    <row r="6377">
      <c r="BB6377" s="122"/>
      <c r="BC6377" s="141"/>
    </row>
    <row r="6378">
      <c r="BB6378" s="122"/>
      <c r="BC6378" s="141"/>
    </row>
    <row r="6379">
      <c r="BB6379" s="122"/>
      <c r="BC6379" s="141"/>
    </row>
    <row r="6380">
      <c r="BB6380" s="122"/>
      <c r="BC6380" s="141"/>
    </row>
    <row r="6381">
      <c r="BB6381" s="122"/>
      <c r="BC6381" s="141"/>
    </row>
    <row r="6382">
      <c r="BB6382" s="122"/>
      <c r="BC6382" s="141"/>
    </row>
    <row r="6383">
      <c r="BB6383" s="122"/>
      <c r="BC6383" s="141"/>
    </row>
    <row r="6384">
      <c r="BB6384" s="122"/>
      <c r="BC6384" s="141"/>
    </row>
    <row r="6385">
      <c r="BB6385" s="122"/>
      <c r="BC6385" s="141"/>
    </row>
    <row r="6386">
      <c r="BB6386" s="122"/>
      <c r="BC6386" s="141"/>
    </row>
    <row r="6387">
      <c r="BB6387" s="122"/>
      <c r="BC6387" s="141"/>
    </row>
    <row r="6388">
      <c r="BB6388" s="122"/>
      <c r="BC6388" s="141"/>
    </row>
    <row r="6389">
      <c r="BB6389" s="122"/>
      <c r="BC6389" s="141"/>
    </row>
    <row r="6390">
      <c r="BB6390" s="122"/>
      <c r="BC6390" s="141"/>
    </row>
    <row r="6391">
      <c r="BB6391" s="122"/>
      <c r="BC6391" s="141"/>
    </row>
    <row r="6392">
      <c r="BB6392" s="122"/>
      <c r="BC6392" s="141"/>
    </row>
    <row r="6393">
      <c r="BB6393" s="122"/>
      <c r="BC6393" s="141"/>
    </row>
    <row r="6394">
      <c r="BB6394" s="122"/>
      <c r="BC6394" s="141"/>
    </row>
    <row r="6395">
      <c r="BB6395" s="122"/>
      <c r="BC6395" s="141"/>
    </row>
    <row r="6396">
      <c r="BB6396" s="122"/>
      <c r="BC6396" s="141"/>
    </row>
    <row r="6397">
      <c r="BB6397" s="122"/>
      <c r="BC6397" s="141"/>
    </row>
    <row r="6398">
      <c r="BB6398" s="122"/>
      <c r="BC6398" s="141"/>
    </row>
    <row r="6399">
      <c r="BB6399" s="122"/>
      <c r="BC6399" s="141"/>
    </row>
    <row r="6400">
      <c r="BB6400" s="122"/>
      <c r="BC6400" s="141"/>
    </row>
    <row r="6401">
      <c r="BB6401" s="122"/>
      <c r="BC6401" s="141"/>
    </row>
    <row r="6402">
      <c r="BB6402" s="122"/>
      <c r="BC6402" s="141"/>
    </row>
    <row r="6403">
      <c r="BB6403" s="122"/>
      <c r="BC6403" s="141"/>
    </row>
    <row r="6404">
      <c r="BB6404" s="122"/>
      <c r="BC6404" s="141"/>
    </row>
    <row r="6405">
      <c r="BB6405" s="122"/>
      <c r="BC6405" s="141"/>
    </row>
    <row r="6406">
      <c r="BB6406" s="122"/>
      <c r="BC6406" s="141"/>
    </row>
    <row r="6407">
      <c r="BB6407" s="122"/>
      <c r="BC6407" s="141"/>
    </row>
    <row r="6408">
      <c r="BB6408" s="122"/>
      <c r="BC6408" s="141"/>
    </row>
    <row r="6409">
      <c r="BB6409" s="122"/>
      <c r="BC6409" s="141"/>
    </row>
    <row r="6410">
      <c r="BB6410" s="122"/>
      <c r="BC6410" s="141"/>
    </row>
    <row r="6411">
      <c r="BB6411" s="122"/>
      <c r="BC6411" s="141"/>
    </row>
    <row r="6412">
      <c r="BB6412" s="122"/>
      <c r="BC6412" s="141"/>
    </row>
    <row r="6413">
      <c r="BB6413" s="122"/>
      <c r="BC6413" s="141"/>
    </row>
    <row r="6414">
      <c r="BB6414" s="122"/>
      <c r="BC6414" s="141"/>
    </row>
    <row r="6415">
      <c r="BB6415" s="122"/>
      <c r="BC6415" s="141"/>
    </row>
    <row r="6416">
      <c r="BB6416" s="122"/>
      <c r="BC6416" s="141"/>
    </row>
    <row r="6417">
      <c r="BB6417" s="122"/>
      <c r="BC6417" s="141"/>
    </row>
    <row r="6418">
      <c r="BB6418" s="122"/>
      <c r="BC6418" s="141"/>
    </row>
    <row r="6419">
      <c r="BB6419" s="122"/>
      <c r="BC6419" s="141"/>
    </row>
    <row r="6420">
      <c r="BB6420" s="122"/>
      <c r="BC6420" s="141"/>
    </row>
    <row r="6421">
      <c r="BB6421" s="122"/>
      <c r="BC6421" s="141"/>
    </row>
    <row r="6422">
      <c r="BB6422" s="122"/>
      <c r="BC6422" s="141"/>
    </row>
    <row r="6423">
      <c r="BB6423" s="122"/>
      <c r="BC6423" s="141"/>
    </row>
    <row r="6424">
      <c r="BB6424" s="122"/>
      <c r="BC6424" s="141"/>
    </row>
    <row r="6425">
      <c r="BB6425" s="122"/>
      <c r="BC6425" s="141"/>
    </row>
    <row r="6426">
      <c r="BB6426" s="122"/>
      <c r="BC6426" s="141"/>
    </row>
    <row r="6427">
      <c r="BB6427" s="122"/>
      <c r="BC6427" s="141"/>
    </row>
    <row r="6428">
      <c r="BB6428" s="122"/>
      <c r="BC6428" s="141"/>
    </row>
    <row r="6429">
      <c r="BB6429" s="122"/>
      <c r="BC6429" s="141"/>
    </row>
    <row r="6430">
      <c r="BB6430" s="122"/>
      <c r="BC6430" s="141"/>
    </row>
    <row r="6431">
      <c r="BB6431" s="122"/>
      <c r="BC6431" s="141"/>
    </row>
    <row r="6432">
      <c r="BB6432" s="122"/>
      <c r="BC6432" s="141"/>
    </row>
    <row r="6433">
      <c r="BB6433" s="122"/>
      <c r="BC6433" s="141"/>
    </row>
    <row r="6434">
      <c r="BB6434" s="122"/>
      <c r="BC6434" s="141"/>
    </row>
    <row r="6435">
      <c r="BB6435" s="122"/>
      <c r="BC6435" s="141"/>
    </row>
    <row r="6436">
      <c r="BB6436" s="122"/>
      <c r="BC6436" s="141"/>
    </row>
    <row r="6437">
      <c r="BB6437" s="122"/>
      <c r="BC6437" s="141"/>
    </row>
    <row r="6438">
      <c r="BB6438" s="122"/>
      <c r="BC6438" s="141"/>
    </row>
    <row r="6439">
      <c r="BB6439" s="122"/>
      <c r="BC6439" s="141"/>
    </row>
    <row r="6440">
      <c r="BB6440" s="122"/>
      <c r="BC6440" s="141"/>
    </row>
    <row r="6441">
      <c r="BB6441" s="122"/>
      <c r="BC6441" s="141"/>
    </row>
    <row r="6442">
      <c r="BB6442" s="122"/>
      <c r="BC6442" s="141"/>
    </row>
    <row r="6443">
      <c r="BB6443" s="122"/>
      <c r="BC6443" s="141"/>
    </row>
    <row r="6444">
      <c r="BB6444" s="122"/>
      <c r="BC6444" s="141"/>
    </row>
    <row r="6445">
      <c r="BB6445" s="122"/>
      <c r="BC6445" s="141"/>
    </row>
    <row r="6446">
      <c r="BB6446" s="122"/>
      <c r="BC6446" s="141"/>
    </row>
    <row r="6447">
      <c r="BB6447" s="122"/>
      <c r="BC6447" s="141"/>
    </row>
    <row r="6448">
      <c r="BB6448" s="122"/>
      <c r="BC6448" s="141"/>
    </row>
    <row r="6449">
      <c r="BB6449" s="122"/>
      <c r="BC6449" s="141"/>
    </row>
    <row r="6450">
      <c r="BB6450" s="122"/>
      <c r="BC6450" s="141"/>
    </row>
    <row r="6451">
      <c r="BB6451" s="122"/>
      <c r="BC6451" s="141"/>
    </row>
    <row r="6452">
      <c r="BB6452" s="122"/>
      <c r="BC6452" s="141"/>
    </row>
    <row r="6453">
      <c r="BB6453" s="122"/>
      <c r="BC6453" s="141"/>
    </row>
    <row r="6454">
      <c r="BB6454" s="122"/>
      <c r="BC6454" s="141"/>
    </row>
    <row r="6455">
      <c r="BB6455" s="122"/>
      <c r="BC6455" s="141"/>
    </row>
    <row r="6456">
      <c r="BB6456" s="122"/>
      <c r="BC6456" s="141"/>
    </row>
    <row r="6457">
      <c r="BB6457" s="122"/>
      <c r="BC6457" s="141"/>
    </row>
    <row r="6458">
      <c r="BB6458" s="122"/>
      <c r="BC6458" s="141"/>
    </row>
    <row r="6459">
      <c r="BB6459" s="122"/>
      <c r="BC6459" s="141"/>
    </row>
    <row r="6460">
      <c r="BB6460" s="122"/>
      <c r="BC6460" s="141"/>
    </row>
    <row r="6461">
      <c r="BB6461" s="122"/>
      <c r="BC6461" s="141"/>
    </row>
    <row r="6462">
      <c r="BB6462" s="122"/>
      <c r="BC6462" s="141"/>
    </row>
    <row r="6463">
      <c r="BB6463" s="122"/>
      <c r="BC6463" s="141"/>
    </row>
    <row r="6464">
      <c r="BB6464" s="122"/>
      <c r="BC6464" s="141"/>
    </row>
    <row r="6465">
      <c r="BB6465" s="122"/>
      <c r="BC6465" s="141"/>
    </row>
    <row r="6466">
      <c r="BB6466" s="122"/>
      <c r="BC6466" s="141"/>
    </row>
    <row r="6467">
      <c r="BB6467" s="122"/>
      <c r="BC6467" s="141"/>
    </row>
    <row r="6468">
      <c r="BB6468" s="122"/>
      <c r="BC6468" s="141"/>
    </row>
    <row r="6469">
      <c r="BB6469" s="122"/>
      <c r="BC6469" s="141"/>
    </row>
    <row r="6470">
      <c r="BB6470" s="122"/>
      <c r="BC6470" s="141"/>
    </row>
    <row r="6471">
      <c r="BB6471" s="122"/>
      <c r="BC6471" s="141"/>
    </row>
    <row r="6472">
      <c r="BB6472" s="122"/>
      <c r="BC6472" s="141"/>
    </row>
    <row r="6473">
      <c r="BB6473" s="122"/>
      <c r="BC6473" s="141"/>
    </row>
    <row r="6474">
      <c r="BB6474" s="122"/>
      <c r="BC6474" s="141"/>
    </row>
    <row r="6475">
      <c r="BB6475" s="122"/>
      <c r="BC6475" s="141"/>
    </row>
    <row r="6476">
      <c r="BB6476" s="122"/>
      <c r="BC6476" s="141"/>
    </row>
    <row r="6477">
      <c r="BB6477" s="122"/>
      <c r="BC6477" s="141"/>
    </row>
    <row r="6478">
      <c r="BB6478" s="122"/>
      <c r="BC6478" s="141"/>
    </row>
    <row r="6479">
      <c r="BB6479" s="122"/>
      <c r="BC6479" s="141"/>
    </row>
    <row r="6480">
      <c r="BB6480" s="122"/>
      <c r="BC6480" s="141"/>
    </row>
    <row r="6481">
      <c r="BB6481" s="122"/>
      <c r="BC6481" s="141"/>
    </row>
    <row r="6482">
      <c r="BB6482" s="122"/>
      <c r="BC6482" s="141"/>
    </row>
    <row r="6483">
      <c r="BB6483" s="122"/>
      <c r="BC6483" s="141"/>
    </row>
    <row r="6484">
      <c r="BB6484" s="122"/>
      <c r="BC6484" s="141"/>
    </row>
    <row r="6485">
      <c r="BB6485" s="122"/>
      <c r="BC6485" s="141"/>
    </row>
    <row r="6486">
      <c r="BB6486" s="122"/>
      <c r="BC6486" s="141"/>
    </row>
    <row r="6487">
      <c r="BB6487" s="122"/>
      <c r="BC6487" s="141"/>
    </row>
    <row r="6488">
      <c r="BB6488" s="122"/>
      <c r="BC6488" s="141"/>
    </row>
    <row r="6489">
      <c r="BB6489" s="122"/>
      <c r="BC6489" s="141"/>
    </row>
    <row r="6490">
      <c r="BB6490" s="122"/>
      <c r="BC6490" s="141"/>
    </row>
    <row r="6491">
      <c r="BB6491" s="122"/>
      <c r="BC6491" s="141"/>
    </row>
    <row r="6492">
      <c r="BB6492" s="122"/>
      <c r="BC6492" s="141"/>
    </row>
    <row r="6493">
      <c r="BB6493" s="122"/>
      <c r="BC6493" s="141"/>
    </row>
    <row r="6494">
      <c r="BB6494" s="122"/>
      <c r="BC6494" s="141"/>
    </row>
    <row r="6495">
      <c r="BB6495" s="122"/>
      <c r="BC6495" s="141"/>
    </row>
    <row r="6496">
      <c r="BB6496" s="122"/>
      <c r="BC6496" s="141"/>
    </row>
    <row r="6497">
      <c r="BB6497" s="122"/>
      <c r="BC6497" s="141"/>
    </row>
    <row r="6498">
      <c r="BB6498" s="122"/>
      <c r="BC6498" s="141"/>
    </row>
    <row r="6499">
      <c r="BB6499" s="122"/>
      <c r="BC6499" s="141"/>
    </row>
    <row r="6500">
      <c r="BB6500" s="122"/>
      <c r="BC6500" s="141"/>
    </row>
    <row r="6501">
      <c r="BB6501" s="122"/>
      <c r="BC6501" s="141"/>
    </row>
    <row r="6502">
      <c r="BB6502" s="122"/>
      <c r="BC6502" s="141"/>
    </row>
    <row r="6503">
      <c r="BB6503" s="122"/>
      <c r="BC6503" s="141"/>
    </row>
    <row r="6504">
      <c r="BB6504" s="122"/>
      <c r="BC6504" s="141"/>
    </row>
    <row r="6505">
      <c r="BB6505" s="122"/>
      <c r="BC6505" s="141"/>
    </row>
    <row r="6506">
      <c r="BB6506" s="122"/>
      <c r="BC6506" s="141"/>
    </row>
    <row r="6507">
      <c r="BB6507" s="122"/>
      <c r="BC6507" s="141"/>
    </row>
    <row r="6508">
      <c r="BB6508" s="122"/>
      <c r="BC6508" s="141"/>
    </row>
    <row r="6509">
      <c r="BB6509" s="122"/>
      <c r="BC6509" s="141"/>
    </row>
    <row r="6510">
      <c r="BB6510" s="122"/>
      <c r="BC6510" s="141"/>
    </row>
    <row r="6511">
      <c r="BB6511" s="122"/>
      <c r="BC6511" s="141"/>
    </row>
    <row r="6512">
      <c r="BB6512" s="122"/>
      <c r="BC6512" s="141"/>
    </row>
    <row r="6513">
      <c r="BB6513" s="122"/>
      <c r="BC6513" s="141"/>
    </row>
    <row r="6514">
      <c r="BB6514" s="122"/>
      <c r="BC6514" s="141"/>
    </row>
    <row r="6515">
      <c r="BB6515" s="122"/>
      <c r="BC6515" s="141"/>
    </row>
    <row r="6516">
      <c r="BB6516" s="122"/>
      <c r="BC6516" s="141"/>
    </row>
    <row r="6517">
      <c r="BB6517" s="122"/>
      <c r="BC6517" s="141"/>
    </row>
    <row r="6518">
      <c r="BB6518" s="122"/>
      <c r="BC6518" s="141"/>
    </row>
    <row r="6519">
      <c r="BB6519" s="122"/>
      <c r="BC6519" s="141"/>
    </row>
    <row r="6520">
      <c r="BB6520" s="122"/>
      <c r="BC6520" s="141"/>
    </row>
    <row r="6521">
      <c r="BB6521" s="122"/>
      <c r="BC6521" s="141"/>
    </row>
    <row r="6522">
      <c r="BB6522" s="122"/>
      <c r="BC6522" s="141"/>
    </row>
    <row r="6523">
      <c r="BB6523" s="122"/>
      <c r="BC6523" s="141"/>
    </row>
    <row r="6524">
      <c r="BB6524" s="122"/>
      <c r="BC6524" s="141"/>
    </row>
    <row r="6525">
      <c r="BB6525" s="122"/>
      <c r="BC6525" s="141"/>
    </row>
    <row r="6526">
      <c r="BB6526" s="122"/>
      <c r="BC6526" s="141"/>
    </row>
    <row r="6527">
      <c r="BB6527" s="122"/>
      <c r="BC6527" s="141"/>
    </row>
    <row r="6528">
      <c r="BB6528" s="122"/>
      <c r="BC6528" s="141"/>
    </row>
    <row r="6529">
      <c r="BB6529" s="122"/>
      <c r="BC6529" s="141"/>
    </row>
    <row r="6530">
      <c r="BB6530" s="122"/>
      <c r="BC6530" s="141"/>
    </row>
    <row r="6531">
      <c r="BB6531" s="122"/>
      <c r="BC6531" s="141"/>
    </row>
    <row r="6532">
      <c r="BB6532" s="122"/>
      <c r="BC6532" s="141"/>
    </row>
    <row r="6533">
      <c r="BB6533" s="122"/>
      <c r="BC6533" s="141"/>
    </row>
    <row r="6534">
      <c r="BB6534" s="122"/>
      <c r="BC6534" s="141"/>
    </row>
    <row r="6535">
      <c r="BB6535" s="122"/>
      <c r="BC6535" s="141"/>
    </row>
    <row r="6536">
      <c r="BB6536" s="122"/>
      <c r="BC6536" s="141"/>
    </row>
    <row r="6537">
      <c r="BB6537" s="122"/>
      <c r="BC6537" s="141"/>
    </row>
    <row r="6538">
      <c r="BB6538" s="122"/>
      <c r="BC6538" s="141"/>
    </row>
    <row r="6539">
      <c r="BB6539" s="122"/>
      <c r="BC6539" s="141"/>
    </row>
    <row r="6540">
      <c r="BB6540" s="122"/>
      <c r="BC6540" s="141"/>
    </row>
    <row r="6541">
      <c r="BB6541" s="122"/>
      <c r="BC6541" s="141"/>
    </row>
    <row r="6542">
      <c r="BB6542" s="122"/>
      <c r="BC6542" s="141"/>
    </row>
    <row r="6543">
      <c r="BB6543" s="122"/>
      <c r="BC6543" s="141"/>
    </row>
    <row r="6544">
      <c r="BB6544" s="122"/>
      <c r="BC6544" s="141"/>
    </row>
    <row r="6545">
      <c r="BB6545" s="122"/>
      <c r="BC6545" s="141"/>
    </row>
    <row r="6546">
      <c r="BB6546" s="122"/>
      <c r="BC6546" s="141"/>
    </row>
    <row r="6547">
      <c r="BB6547" s="122"/>
      <c r="BC6547" s="141"/>
    </row>
    <row r="6548">
      <c r="BB6548" s="122"/>
      <c r="BC6548" s="141"/>
    </row>
    <row r="6549">
      <c r="BB6549" s="122"/>
      <c r="BC6549" s="141"/>
    </row>
    <row r="6550">
      <c r="BB6550" s="122"/>
      <c r="BC6550" s="141"/>
    </row>
    <row r="6551">
      <c r="BB6551" s="122"/>
      <c r="BC6551" s="141"/>
    </row>
    <row r="6552">
      <c r="BB6552" s="122"/>
      <c r="BC6552" s="141"/>
    </row>
    <row r="6553">
      <c r="BB6553" s="122"/>
      <c r="BC6553" s="141"/>
    </row>
    <row r="6554">
      <c r="BB6554" s="122"/>
      <c r="BC6554" s="141"/>
    </row>
    <row r="6555">
      <c r="BB6555" s="122"/>
      <c r="BC6555" s="141"/>
    </row>
    <row r="6556">
      <c r="BB6556" s="122"/>
      <c r="BC6556" s="141"/>
    </row>
    <row r="6557">
      <c r="BB6557" s="122"/>
      <c r="BC6557" s="141"/>
    </row>
    <row r="6558">
      <c r="BB6558" s="122"/>
      <c r="BC6558" s="141"/>
    </row>
    <row r="6559">
      <c r="BB6559" s="122"/>
      <c r="BC6559" s="141"/>
    </row>
    <row r="6560">
      <c r="BB6560" s="122"/>
      <c r="BC6560" s="141"/>
    </row>
    <row r="6561">
      <c r="BB6561" s="122"/>
      <c r="BC6561" s="141"/>
    </row>
    <row r="6562">
      <c r="BB6562" s="122"/>
      <c r="BC6562" s="141"/>
    </row>
    <row r="6563">
      <c r="BB6563" s="122"/>
      <c r="BC6563" s="141"/>
    </row>
    <row r="6564">
      <c r="BB6564" s="122"/>
      <c r="BC6564" s="141"/>
    </row>
    <row r="6565">
      <c r="BB6565" s="122"/>
      <c r="BC6565" s="141"/>
    </row>
    <row r="6566">
      <c r="BB6566" s="122"/>
      <c r="BC6566" s="141"/>
    </row>
    <row r="6567">
      <c r="BB6567" s="122"/>
      <c r="BC6567" s="141"/>
    </row>
    <row r="6568">
      <c r="BB6568" s="122"/>
      <c r="BC6568" s="141"/>
    </row>
    <row r="6569">
      <c r="BB6569" s="122"/>
      <c r="BC6569" s="141"/>
    </row>
    <row r="6570">
      <c r="BB6570" s="122"/>
      <c r="BC6570" s="141"/>
    </row>
    <row r="6571">
      <c r="BB6571" s="122"/>
      <c r="BC6571" s="141"/>
    </row>
    <row r="6572">
      <c r="BB6572" s="122"/>
      <c r="BC6572" s="141"/>
    </row>
    <row r="6573">
      <c r="BB6573" s="122"/>
      <c r="BC6573" s="141"/>
    </row>
    <row r="6574">
      <c r="BB6574" s="122"/>
      <c r="BC6574" s="141"/>
    </row>
    <row r="6575">
      <c r="BB6575" s="122"/>
      <c r="BC6575" s="141"/>
    </row>
    <row r="6576">
      <c r="BB6576" s="122"/>
      <c r="BC6576" s="141"/>
    </row>
    <row r="6577">
      <c r="BB6577" s="122"/>
      <c r="BC6577" s="141"/>
    </row>
    <row r="6578">
      <c r="BB6578" s="122"/>
      <c r="BC6578" s="141"/>
    </row>
    <row r="6579">
      <c r="BB6579" s="122"/>
      <c r="BC6579" s="141"/>
    </row>
    <row r="6580">
      <c r="BB6580" s="122"/>
      <c r="BC6580" s="141"/>
    </row>
    <row r="6581">
      <c r="BB6581" s="122"/>
      <c r="BC6581" s="141"/>
    </row>
    <row r="6582">
      <c r="BB6582" s="122"/>
      <c r="BC6582" s="141"/>
    </row>
    <row r="6583">
      <c r="BB6583" s="122"/>
      <c r="BC6583" s="141"/>
    </row>
    <row r="6584">
      <c r="BB6584" s="122"/>
      <c r="BC6584" s="141"/>
    </row>
    <row r="6585">
      <c r="BB6585" s="122"/>
      <c r="BC6585" s="141"/>
    </row>
    <row r="6586">
      <c r="BB6586" s="122"/>
      <c r="BC6586" s="141"/>
    </row>
    <row r="6587">
      <c r="BB6587" s="122"/>
      <c r="BC6587" s="141"/>
    </row>
    <row r="6588">
      <c r="BB6588" s="122"/>
      <c r="BC6588" s="141"/>
    </row>
    <row r="6589">
      <c r="BB6589" s="122"/>
      <c r="BC6589" s="141"/>
    </row>
    <row r="6590">
      <c r="BB6590" s="122"/>
      <c r="BC6590" s="141"/>
    </row>
    <row r="6591">
      <c r="BB6591" s="122"/>
      <c r="BC6591" s="141"/>
    </row>
    <row r="6592">
      <c r="BB6592" s="122"/>
      <c r="BC6592" s="141"/>
    </row>
    <row r="6593">
      <c r="BB6593" s="122"/>
      <c r="BC6593" s="141"/>
    </row>
    <row r="6594">
      <c r="BB6594" s="122"/>
      <c r="BC6594" s="141"/>
    </row>
    <row r="6595">
      <c r="BB6595" s="122"/>
      <c r="BC6595" s="141"/>
    </row>
    <row r="6596">
      <c r="BB6596" s="122"/>
      <c r="BC6596" s="141"/>
    </row>
    <row r="6597">
      <c r="BB6597" s="122"/>
      <c r="BC6597" s="141"/>
    </row>
    <row r="6598">
      <c r="BB6598" s="122"/>
      <c r="BC6598" s="141"/>
    </row>
    <row r="6599">
      <c r="BB6599" s="122"/>
      <c r="BC6599" s="141"/>
    </row>
    <row r="6600">
      <c r="BB6600" s="122"/>
      <c r="BC6600" s="141"/>
    </row>
    <row r="6601">
      <c r="BB6601" s="122"/>
      <c r="BC6601" s="141"/>
    </row>
    <row r="6602">
      <c r="BB6602" s="122"/>
      <c r="BC6602" s="141"/>
    </row>
    <row r="6603">
      <c r="BB6603" s="122"/>
      <c r="BC6603" s="141"/>
    </row>
    <row r="6604">
      <c r="BB6604" s="122"/>
      <c r="BC6604" s="141"/>
    </row>
    <row r="6605">
      <c r="BB6605" s="122"/>
      <c r="BC6605" s="141"/>
    </row>
    <row r="6606">
      <c r="BB6606" s="122"/>
      <c r="BC6606" s="141"/>
    </row>
    <row r="6607">
      <c r="BB6607" s="122"/>
      <c r="BC6607" s="141"/>
    </row>
    <row r="6608">
      <c r="BB6608" s="122"/>
      <c r="BC6608" s="141"/>
    </row>
    <row r="6609">
      <c r="BB6609" s="122"/>
      <c r="BC6609" s="141"/>
    </row>
    <row r="6610">
      <c r="BB6610" s="122"/>
      <c r="BC6610" s="141"/>
    </row>
    <row r="6611">
      <c r="BB6611" s="122"/>
      <c r="BC6611" s="141"/>
    </row>
    <row r="6612">
      <c r="BB6612" s="122"/>
      <c r="BC6612" s="141"/>
    </row>
    <row r="6613">
      <c r="BB6613" s="122"/>
      <c r="BC6613" s="141"/>
    </row>
    <row r="6614">
      <c r="BB6614" s="122"/>
      <c r="BC6614" s="141"/>
    </row>
    <row r="6615">
      <c r="BB6615" s="122"/>
      <c r="BC6615" s="141"/>
    </row>
    <row r="6616">
      <c r="BB6616" s="122"/>
      <c r="BC6616" s="141"/>
    </row>
    <row r="6617">
      <c r="BB6617" s="122"/>
      <c r="BC6617" s="141"/>
    </row>
    <row r="6618">
      <c r="BB6618" s="122"/>
      <c r="BC6618" s="141"/>
    </row>
    <row r="6619">
      <c r="BB6619" s="122"/>
      <c r="BC6619" s="141"/>
    </row>
    <row r="6620">
      <c r="BB6620" s="122"/>
      <c r="BC6620" s="141"/>
    </row>
    <row r="6621">
      <c r="BB6621" s="122"/>
      <c r="BC6621" s="141"/>
    </row>
    <row r="6622">
      <c r="BB6622" s="122"/>
      <c r="BC6622" s="141"/>
    </row>
    <row r="6623">
      <c r="BB6623" s="122"/>
      <c r="BC6623" s="141"/>
    </row>
    <row r="6624">
      <c r="BB6624" s="122"/>
      <c r="BC6624" s="141"/>
    </row>
    <row r="6625">
      <c r="BB6625" s="122"/>
      <c r="BC6625" s="141"/>
    </row>
    <row r="6626">
      <c r="BB6626" s="122"/>
      <c r="BC6626" s="141"/>
    </row>
    <row r="6627">
      <c r="BB6627" s="122"/>
      <c r="BC6627" s="141"/>
    </row>
    <row r="6628">
      <c r="BB6628" s="122"/>
      <c r="BC6628" s="141"/>
    </row>
    <row r="6629">
      <c r="BB6629" s="122"/>
      <c r="BC6629" s="141"/>
    </row>
    <row r="6630">
      <c r="BB6630" s="122"/>
      <c r="BC6630" s="141"/>
    </row>
    <row r="6631">
      <c r="BB6631" s="122"/>
      <c r="BC6631" s="141"/>
    </row>
    <row r="6632">
      <c r="BB6632" s="122"/>
      <c r="BC6632" s="141"/>
    </row>
    <row r="6633">
      <c r="BB6633" s="122"/>
      <c r="BC6633" s="141"/>
    </row>
    <row r="6634">
      <c r="BB6634" s="122"/>
      <c r="BC6634" s="141"/>
    </row>
    <row r="6635">
      <c r="BB6635" s="122"/>
      <c r="BC6635" s="141"/>
    </row>
    <row r="6636">
      <c r="BB6636" s="122"/>
      <c r="BC6636" s="141"/>
    </row>
    <row r="6637">
      <c r="BB6637" s="122"/>
      <c r="BC6637" s="141"/>
    </row>
    <row r="6638">
      <c r="BB6638" s="122"/>
      <c r="BC6638" s="141"/>
    </row>
    <row r="6639">
      <c r="BB6639" s="122"/>
      <c r="BC6639" s="141"/>
    </row>
    <row r="6640">
      <c r="BB6640" s="122"/>
      <c r="BC6640" s="141"/>
    </row>
    <row r="6641">
      <c r="BB6641" s="122"/>
      <c r="BC6641" s="141"/>
    </row>
    <row r="6642">
      <c r="BB6642" s="122"/>
      <c r="BC6642" s="141"/>
    </row>
    <row r="6643">
      <c r="BB6643" s="122"/>
      <c r="BC6643" s="141"/>
    </row>
    <row r="6644">
      <c r="BB6644" s="122"/>
      <c r="BC6644" s="141"/>
    </row>
    <row r="6645">
      <c r="BB6645" s="122"/>
      <c r="BC6645" s="141"/>
    </row>
    <row r="6646">
      <c r="BB6646" s="122"/>
      <c r="BC6646" s="141"/>
    </row>
    <row r="6647">
      <c r="BB6647" s="122"/>
      <c r="BC6647" s="141"/>
    </row>
    <row r="6648">
      <c r="BB6648" s="122"/>
      <c r="BC6648" s="141"/>
    </row>
    <row r="6649">
      <c r="BB6649" s="122"/>
      <c r="BC6649" s="141"/>
    </row>
    <row r="6650">
      <c r="BB6650" s="122"/>
      <c r="BC6650" s="141"/>
    </row>
    <row r="6651">
      <c r="BB6651" s="122"/>
      <c r="BC6651" s="141"/>
    </row>
    <row r="6652">
      <c r="BB6652" s="122"/>
      <c r="BC6652" s="141"/>
    </row>
    <row r="6653">
      <c r="BB6653" s="122"/>
      <c r="BC6653" s="141"/>
    </row>
    <row r="6654">
      <c r="BB6654" s="122"/>
      <c r="BC6654" s="141"/>
    </row>
    <row r="6655">
      <c r="BB6655" s="122"/>
      <c r="BC6655" s="141"/>
    </row>
    <row r="6656">
      <c r="BB6656" s="122"/>
      <c r="BC6656" s="141"/>
    </row>
    <row r="6657">
      <c r="BB6657" s="122"/>
      <c r="BC6657" s="141"/>
    </row>
    <row r="6658">
      <c r="BB6658" s="122"/>
      <c r="BC6658" s="141"/>
    </row>
    <row r="6659">
      <c r="BB6659" s="122"/>
      <c r="BC6659" s="141"/>
    </row>
    <row r="6660">
      <c r="BB6660" s="122"/>
      <c r="BC6660" s="141"/>
    </row>
    <row r="6661">
      <c r="BB6661" s="122"/>
      <c r="BC6661" s="141"/>
    </row>
    <row r="6662">
      <c r="BB6662" s="122"/>
      <c r="BC6662" s="141"/>
    </row>
    <row r="6663">
      <c r="BB6663" s="122"/>
      <c r="BC6663" s="141"/>
    </row>
    <row r="6664">
      <c r="BB6664" s="122"/>
      <c r="BC6664" s="141"/>
    </row>
    <row r="6665">
      <c r="BB6665" s="122"/>
      <c r="BC6665" s="141"/>
    </row>
    <row r="6666">
      <c r="BB6666" s="122"/>
      <c r="BC6666" s="141"/>
    </row>
    <row r="6667">
      <c r="BB6667" s="122"/>
      <c r="BC6667" s="141"/>
    </row>
    <row r="6668">
      <c r="BB6668" s="122"/>
      <c r="BC6668" s="141"/>
    </row>
    <row r="6669">
      <c r="BB6669" s="122"/>
      <c r="BC6669" s="141"/>
    </row>
    <row r="6670">
      <c r="BB6670" s="122"/>
      <c r="BC6670" s="141"/>
    </row>
    <row r="6671">
      <c r="BB6671" s="122"/>
      <c r="BC6671" s="141"/>
    </row>
    <row r="6672">
      <c r="BB6672" s="122"/>
      <c r="BC6672" s="141"/>
    </row>
    <row r="6673">
      <c r="BB6673" s="122"/>
      <c r="BC6673" s="141"/>
    </row>
    <row r="6674">
      <c r="BB6674" s="122"/>
      <c r="BC6674" s="141"/>
    </row>
    <row r="6675">
      <c r="BB6675" s="122"/>
      <c r="BC6675" s="141"/>
    </row>
    <row r="6676">
      <c r="BB6676" s="122"/>
      <c r="BC6676" s="141"/>
    </row>
    <row r="6677">
      <c r="BB6677" s="122"/>
      <c r="BC6677" s="141"/>
    </row>
    <row r="6678">
      <c r="BB6678" s="122"/>
      <c r="BC6678" s="141"/>
    </row>
    <row r="6679">
      <c r="BB6679" s="122"/>
      <c r="BC6679" s="141"/>
    </row>
    <row r="6680">
      <c r="BB6680" s="122"/>
      <c r="BC6680" s="141"/>
    </row>
    <row r="6681">
      <c r="BB6681" s="122"/>
      <c r="BC6681" s="141"/>
    </row>
    <row r="6682">
      <c r="BB6682" s="122"/>
      <c r="BC6682" s="141"/>
    </row>
    <row r="6683">
      <c r="BB6683" s="122"/>
      <c r="BC6683" s="141"/>
    </row>
    <row r="6684">
      <c r="BB6684" s="122"/>
      <c r="BC6684" s="141"/>
    </row>
    <row r="6685">
      <c r="BB6685" s="122"/>
      <c r="BC6685" s="141"/>
    </row>
    <row r="6686">
      <c r="BB6686" s="122"/>
      <c r="BC6686" s="141"/>
    </row>
    <row r="6687">
      <c r="BB6687" s="122"/>
      <c r="BC6687" s="141"/>
    </row>
    <row r="6688">
      <c r="BB6688" s="122"/>
      <c r="BC6688" s="141"/>
    </row>
    <row r="6689">
      <c r="BB6689" s="122"/>
      <c r="BC6689" s="141"/>
    </row>
    <row r="6690">
      <c r="BB6690" s="122"/>
      <c r="BC6690" s="141"/>
    </row>
    <row r="6691">
      <c r="BB6691" s="122"/>
      <c r="BC6691" s="141"/>
    </row>
    <row r="6692">
      <c r="BB6692" s="122"/>
      <c r="BC6692" s="141"/>
    </row>
    <row r="6693">
      <c r="BB6693" s="122"/>
      <c r="BC6693" s="141"/>
    </row>
    <row r="6694">
      <c r="BB6694" s="122"/>
      <c r="BC6694" s="141"/>
    </row>
    <row r="6695">
      <c r="BB6695" s="122"/>
      <c r="BC6695" s="141"/>
    </row>
    <row r="6696">
      <c r="BB6696" s="122"/>
      <c r="BC6696" s="141"/>
    </row>
    <row r="6697">
      <c r="BB6697" s="122"/>
      <c r="BC6697" s="141"/>
    </row>
    <row r="6698">
      <c r="BB6698" s="122"/>
      <c r="BC6698" s="141"/>
    </row>
    <row r="6699">
      <c r="BB6699" s="122"/>
      <c r="BC6699" s="141"/>
    </row>
    <row r="6700">
      <c r="BB6700" s="122"/>
      <c r="BC6700" s="141"/>
    </row>
    <row r="6701">
      <c r="BB6701" s="122"/>
      <c r="BC6701" s="141"/>
    </row>
    <row r="6702">
      <c r="BB6702" s="122"/>
      <c r="BC6702" s="141"/>
    </row>
    <row r="6703">
      <c r="BB6703" s="122"/>
      <c r="BC6703" s="141"/>
    </row>
    <row r="6704">
      <c r="BB6704" s="122"/>
      <c r="BC6704" s="141"/>
    </row>
    <row r="6705">
      <c r="BB6705" s="122"/>
      <c r="BC6705" s="141"/>
    </row>
    <row r="6706">
      <c r="BB6706" s="122"/>
      <c r="BC6706" s="141"/>
    </row>
    <row r="6707">
      <c r="BB6707" s="122"/>
      <c r="BC6707" s="141"/>
    </row>
    <row r="6708">
      <c r="BB6708" s="122"/>
      <c r="BC6708" s="141"/>
    </row>
    <row r="6709">
      <c r="BB6709" s="122"/>
      <c r="BC6709" s="141"/>
    </row>
    <row r="6710">
      <c r="BB6710" s="122"/>
      <c r="BC6710" s="141"/>
    </row>
    <row r="6711">
      <c r="BB6711" s="122"/>
      <c r="BC6711" s="141"/>
    </row>
    <row r="6712">
      <c r="BB6712" s="122"/>
      <c r="BC6712" s="141"/>
    </row>
    <row r="6713">
      <c r="BB6713" s="122"/>
      <c r="BC6713" s="141"/>
    </row>
    <row r="6714">
      <c r="BB6714" s="122"/>
      <c r="BC6714" s="141"/>
    </row>
    <row r="6715">
      <c r="BB6715" s="122"/>
      <c r="BC6715" s="141"/>
    </row>
    <row r="6716">
      <c r="BB6716" s="122"/>
      <c r="BC6716" s="141"/>
    </row>
    <row r="6717">
      <c r="BB6717" s="122"/>
      <c r="BC6717" s="141"/>
    </row>
    <row r="6718">
      <c r="BB6718" s="122"/>
      <c r="BC6718" s="141"/>
    </row>
    <row r="6719">
      <c r="BB6719" s="122"/>
      <c r="BC6719" s="141"/>
    </row>
    <row r="6720">
      <c r="BB6720" s="122"/>
      <c r="BC6720" s="141"/>
    </row>
    <row r="6721">
      <c r="BB6721" s="122"/>
      <c r="BC6721" s="141"/>
    </row>
    <row r="6722">
      <c r="BB6722" s="122"/>
      <c r="BC6722" s="141"/>
    </row>
    <row r="6723">
      <c r="BB6723" s="122"/>
      <c r="BC6723" s="141"/>
    </row>
    <row r="6724">
      <c r="BB6724" s="122"/>
      <c r="BC6724" s="141"/>
    </row>
    <row r="6725">
      <c r="BB6725" s="122"/>
      <c r="BC6725" s="141"/>
    </row>
    <row r="6726">
      <c r="BB6726" s="122"/>
      <c r="BC6726" s="141"/>
    </row>
    <row r="6727">
      <c r="BB6727" s="122"/>
      <c r="BC6727" s="141"/>
    </row>
    <row r="6728">
      <c r="BB6728" s="122"/>
      <c r="BC6728" s="141"/>
    </row>
    <row r="6729">
      <c r="BB6729" s="122"/>
      <c r="BC6729" s="141"/>
    </row>
    <row r="6730">
      <c r="BB6730" s="122"/>
      <c r="BC6730" s="141"/>
    </row>
    <row r="6731">
      <c r="BB6731" s="122"/>
      <c r="BC6731" s="141"/>
    </row>
    <row r="6732">
      <c r="BB6732" s="122"/>
      <c r="BC6732" s="141"/>
    </row>
    <row r="6733">
      <c r="BB6733" s="122"/>
      <c r="BC6733" s="141"/>
    </row>
    <row r="6734">
      <c r="BB6734" s="122"/>
      <c r="BC6734" s="141"/>
    </row>
    <row r="6735">
      <c r="BB6735" s="122"/>
      <c r="BC6735" s="141"/>
    </row>
    <row r="6736">
      <c r="BB6736" s="122"/>
      <c r="BC6736" s="141"/>
    </row>
    <row r="6737">
      <c r="BB6737" s="122"/>
      <c r="BC6737" s="141"/>
    </row>
    <row r="6738">
      <c r="BB6738" s="122"/>
      <c r="BC6738" s="141"/>
    </row>
    <row r="6739">
      <c r="BB6739" s="122"/>
      <c r="BC6739" s="141"/>
    </row>
    <row r="6740">
      <c r="BB6740" s="122"/>
      <c r="BC6740" s="141"/>
    </row>
    <row r="6741">
      <c r="BB6741" s="122"/>
      <c r="BC6741" s="141"/>
    </row>
    <row r="6742">
      <c r="BB6742" s="122"/>
      <c r="BC6742" s="141"/>
    </row>
    <row r="6743">
      <c r="BB6743" s="122"/>
      <c r="BC6743" s="141"/>
    </row>
    <row r="6744">
      <c r="BB6744" s="122"/>
      <c r="BC6744" s="141"/>
    </row>
    <row r="6745">
      <c r="BB6745" s="122"/>
      <c r="BC6745" s="141"/>
    </row>
    <row r="6746">
      <c r="BB6746" s="122"/>
      <c r="BC6746" s="141"/>
    </row>
    <row r="6747">
      <c r="BB6747" s="122"/>
      <c r="BC6747" s="141"/>
    </row>
    <row r="6748">
      <c r="BB6748" s="122"/>
      <c r="BC6748" s="141"/>
    </row>
    <row r="6749">
      <c r="BB6749" s="122"/>
      <c r="BC6749" s="141"/>
    </row>
    <row r="6750">
      <c r="BB6750" s="122"/>
      <c r="BC6750" s="141"/>
    </row>
    <row r="6751">
      <c r="BB6751" s="122"/>
      <c r="BC6751" s="141"/>
    </row>
    <row r="6752">
      <c r="BB6752" s="122"/>
      <c r="BC6752" s="141"/>
    </row>
    <row r="6753">
      <c r="BB6753" s="122"/>
      <c r="BC6753" s="141"/>
    </row>
    <row r="6754">
      <c r="BB6754" s="122"/>
      <c r="BC6754" s="141"/>
    </row>
    <row r="6755">
      <c r="BB6755" s="122"/>
      <c r="BC6755" s="141"/>
    </row>
    <row r="6756">
      <c r="BB6756" s="122"/>
      <c r="BC6756" s="141"/>
    </row>
    <row r="6757">
      <c r="BB6757" s="122"/>
      <c r="BC6757" s="141"/>
    </row>
    <row r="6758">
      <c r="BB6758" s="122"/>
      <c r="BC6758" s="141"/>
    </row>
    <row r="6759">
      <c r="BB6759" s="122"/>
      <c r="BC6759" s="141"/>
    </row>
    <row r="6760">
      <c r="BB6760" s="122"/>
      <c r="BC6760" s="141"/>
    </row>
    <row r="6761">
      <c r="BB6761" s="122"/>
      <c r="BC6761" s="141"/>
    </row>
    <row r="6762">
      <c r="BB6762" s="122"/>
      <c r="BC6762" s="141"/>
    </row>
    <row r="6763">
      <c r="BB6763" s="122"/>
      <c r="BC6763" s="141"/>
    </row>
    <row r="6764">
      <c r="BB6764" s="122"/>
      <c r="BC6764" s="141"/>
    </row>
    <row r="6765">
      <c r="BB6765" s="122"/>
      <c r="BC6765" s="141"/>
    </row>
    <row r="6766">
      <c r="BB6766" s="122"/>
      <c r="BC6766" s="141"/>
    </row>
    <row r="6767">
      <c r="BB6767" s="122"/>
      <c r="BC6767" s="141"/>
    </row>
    <row r="6768">
      <c r="BB6768" s="122"/>
      <c r="BC6768" s="141"/>
    </row>
    <row r="6769">
      <c r="BB6769" s="122"/>
      <c r="BC6769" s="141"/>
    </row>
    <row r="6770">
      <c r="BB6770" s="122"/>
      <c r="BC6770" s="141"/>
    </row>
    <row r="6771">
      <c r="BB6771" s="122"/>
      <c r="BC6771" s="141"/>
    </row>
    <row r="6772">
      <c r="BB6772" s="122"/>
      <c r="BC6772" s="141"/>
    </row>
    <row r="6773">
      <c r="BB6773" s="122"/>
      <c r="BC6773" s="141"/>
    </row>
    <row r="6774">
      <c r="BB6774" s="122"/>
      <c r="BC6774" s="141"/>
    </row>
    <row r="6775">
      <c r="BB6775" s="122"/>
      <c r="BC6775" s="141"/>
    </row>
    <row r="6776">
      <c r="BB6776" s="122"/>
      <c r="BC6776" s="141"/>
    </row>
    <row r="6777">
      <c r="BB6777" s="122"/>
      <c r="BC6777" s="141"/>
    </row>
    <row r="6778">
      <c r="BB6778" s="122"/>
      <c r="BC6778" s="141"/>
    </row>
    <row r="6779">
      <c r="BB6779" s="122"/>
      <c r="BC6779" s="141"/>
    </row>
    <row r="6780">
      <c r="BB6780" s="122"/>
      <c r="BC6780" s="141"/>
    </row>
    <row r="6781">
      <c r="BB6781" s="122"/>
      <c r="BC6781" s="141"/>
    </row>
    <row r="6782">
      <c r="BB6782" s="122"/>
      <c r="BC6782" s="141"/>
    </row>
    <row r="6783">
      <c r="BB6783" s="122"/>
      <c r="BC6783" s="141"/>
    </row>
    <row r="6784">
      <c r="BB6784" s="122"/>
      <c r="BC6784" s="141"/>
    </row>
    <row r="6785">
      <c r="BB6785" s="122"/>
      <c r="BC6785" s="141"/>
    </row>
    <row r="6786">
      <c r="BB6786" s="122"/>
      <c r="BC6786" s="141"/>
    </row>
    <row r="6787">
      <c r="BB6787" s="122"/>
      <c r="BC6787" s="141"/>
    </row>
    <row r="6788">
      <c r="BB6788" s="122"/>
      <c r="BC6788" s="141"/>
    </row>
    <row r="6789">
      <c r="BB6789" s="122"/>
      <c r="BC6789" s="141"/>
    </row>
    <row r="6790">
      <c r="BB6790" s="122"/>
      <c r="BC6790" s="141"/>
    </row>
    <row r="6791">
      <c r="BB6791" s="122"/>
      <c r="BC6791" s="141"/>
    </row>
    <row r="6792">
      <c r="BB6792" s="122"/>
      <c r="BC6792" s="141"/>
    </row>
    <row r="6793">
      <c r="BB6793" s="122"/>
      <c r="BC6793" s="141"/>
    </row>
    <row r="6794">
      <c r="BB6794" s="122"/>
      <c r="BC6794" s="141"/>
    </row>
    <row r="6795">
      <c r="BB6795" s="122"/>
      <c r="BC6795" s="141"/>
    </row>
    <row r="6796">
      <c r="BB6796" s="122"/>
      <c r="BC6796" s="141"/>
    </row>
    <row r="6797">
      <c r="BB6797" s="122"/>
      <c r="BC6797" s="141"/>
    </row>
    <row r="6798">
      <c r="BB6798" s="122"/>
      <c r="BC6798" s="141"/>
    </row>
    <row r="6799">
      <c r="BB6799" s="122"/>
      <c r="BC6799" s="141"/>
    </row>
    <row r="6800">
      <c r="BB6800" s="122"/>
      <c r="BC6800" s="141"/>
    </row>
    <row r="6801">
      <c r="BB6801" s="122"/>
      <c r="BC6801" s="141"/>
    </row>
    <row r="6802">
      <c r="BB6802" s="122"/>
      <c r="BC6802" s="141"/>
    </row>
    <row r="6803">
      <c r="BB6803" s="122"/>
      <c r="BC6803" s="141"/>
    </row>
    <row r="6804">
      <c r="BB6804" s="122"/>
      <c r="BC6804" s="141"/>
    </row>
    <row r="6805">
      <c r="BB6805" s="122"/>
      <c r="BC6805" s="141"/>
    </row>
    <row r="6806">
      <c r="BB6806" s="122"/>
      <c r="BC6806" s="141"/>
    </row>
    <row r="6807">
      <c r="BB6807" s="122"/>
      <c r="BC6807" s="141"/>
    </row>
    <row r="6808">
      <c r="BB6808" s="122"/>
      <c r="BC6808" s="141"/>
    </row>
    <row r="6809">
      <c r="BB6809" s="122"/>
      <c r="BC6809" s="141"/>
    </row>
    <row r="6810">
      <c r="BB6810" s="122"/>
      <c r="BC6810" s="141"/>
    </row>
    <row r="6811">
      <c r="BB6811" s="122"/>
      <c r="BC6811" s="141"/>
    </row>
    <row r="6812">
      <c r="BB6812" s="122"/>
      <c r="BC6812" s="141"/>
    </row>
    <row r="6813">
      <c r="BB6813" s="122"/>
      <c r="BC6813" s="141"/>
    </row>
    <row r="6814">
      <c r="BB6814" s="122"/>
      <c r="BC6814" s="141"/>
    </row>
    <row r="6815">
      <c r="BB6815" s="122"/>
      <c r="BC6815" s="141"/>
    </row>
    <row r="6816">
      <c r="BB6816" s="122"/>
      <c r="BC6816" s="141"/>
    </row>
    <row r="6817">
      <c r="BB6817" s="122"/>
      <c r="BC6817" s="141"/>
    </row>
    <row r="6818">
      <c r="BB6818" s="122"/>
      <c r="BC6818" s="141"/>
    </row>
    <row r="6819">
      <c r="BB6819" s="122"/>
      <c r="BC6819" s="141"/>
    </row>
    <row r="6820">
      <c r="BB6820" s="122"/>
      <c r="BC6820" s="141"/>
    </row>
    <row r="6821">
      <c r="BB6821" s="122"/>
      <c r="BC6821" s="141"/>
    </row>
    <row r="6822">
      <c r="BB6822" s="122"/>
      <c r="BC6822" s="141"/>
    </row>
    <row r="6823">
      <c r="BB6823" s="122"/>
      <c r="BC6823" s="141"/>
    </row>
    <row r="6824">
      <c r="BB6824" s="122"/>
      <c r="BC6824" s="141"/>
    </row>
    <row r="6825">
      <c r="BB6825" s="122"/>
      <c r="BC6825" s="141"/>
    </row>
    <row r="6826">
      <c r="BB6826" s="122"/>
      <c r="BC6826" s="141"/>
    </row>
    <row r="6827">
      <c r="BB6827" s="122"/>
      <c r="BC6827" s="141"/>
    </row>
    <row r="6828">
      <c r="BB6828" s="122"/>
      <c r="BC6828" s="141"/>
    </row>
    <row r="6829">
      <c r="BB6829" s="122"/>
      <c r="BC6829" s="141"/>
    </row>
    <row r="6830">
      <c r="BB6830" s="122"/>
      <c r="BC6830" s="141"/>
    </row>
    <row r="6831">
      <c r="BB6831" s="122"/>
      <c r="BC6831" s="141"/>
    </row>
    <row r="6832">
      <c r="BB6832" s="122"/>
      <c r="BC6832" s="141"/>
    </row>
    <row r="6833">
      <c r="BB6833" s="122"/>
      <c r="BC6833" s="141"/>
    </row>
    <row r="6834">
      <c r="BB6834" s="122"/>
      <c r="BC6834" s="141"/>
    </row>
    <row r="6835">
      <c r="BB6835" s="122"/>
      <c r="BC6835" s="141"/>
    </row>
    <row r="6836">
      <c r="BB6836" s="122"/>
      <c r="BC6836" s="141"/>
    </row>
    <row r="6837">
      <c r="BB6837" s="122"/>
      <c r="BC6837" s="141"/>
    </row>
    <row r="6838">
      <c r="BB6838" s="122"/>
      <c r="BC6838" s="141"/>
    </row>
    <row r="6839">
      <c r="BB6839" s="122"/>
      <c r="BC6839" s="141"/>
    </row>
    <row r="6840">
      <c r="BB6840" s="122"/>
      <c r="BC6840" s="141"/>
    </row>
    <row r="6841">
      <c r="BB6841" s="122"/>
      <c r="BC6841" s="141"/>
    </row>
    <row r="6842">
      <c r="BB6842" s="122"/>
      <c r="BC6842" s="141"/>
    </row>
    <row r="6843">
      <c r="BB6843" s="122"/>
      <c r="BC6843" s="141"/>
    </row>
    <row r="6844">
      <c r="BB6844" s="122"/>
      <c r="BC6844" s="141"/>
    </row>
    <row r="6845">
      <c r="BB6845" s="122"/>
      <c r="BC6845" s="141"/>
    </row>
    <row r="6846">
      <c r="BB6846" s="122"/>
      <c r="BC6846" s="141"/>
    </row>
    <row r="6847">
      <c r="BB6847" s="122"/>
      <c r="BC6847" s="141"/>
    </row>
    <row r="6848">
      <c r="BB6848" s="122"/>
      <c r="BC6848" s="141"/>
    </row>
    <row r="6849">
      <c r="BB6849" s="122"/>
      <c r="BC6849" s="141"/>
    </row>
    <row r="6850">
      <c r="BB6850" s="122"/>
      <c r="BC6850" s="141"/>
    </row>
    <row r="6851">
      <c r="BB6851" s="122"/>
      <c r="BC6851" s="141"/>
    </row>
    <row r="6852">
      <c r="BB6852" s="122"/>
      <c r="BC6852" s="141"/>
    </row>
    <row r="6853">
      <c r="BB6853" s="122"/>
      <c r="BC6853" s="141"/>
    </row>
    <row r="6854">
      <c r="BB6854" s="122"/>
      <c r="BC6854" s="141"/>
    </row>
    <row r="6855">
      <c r="BB6855" s="122"/>
      <c r="BC6855" s="141"/>
    </row>
    <row r="6856">
      <c r="BB6856" s="122"/>
      <c r="BC6856" s="141"/>
    </row>
    <row r="6857">
      <c r="BB6857" s="122"/>
      <c r="BC6857" s="141"/>
    </row>
    <row r="6858">
      <c r="BB6858" s="122"/>
      <c r="BC6858" s="141"/>
    </row>
    <row r="6859">
      <c r="BB6859" s="122"/>
      <c r="BC6859" s="141"/>
    </row>
    <row r="6860">
      <c r="BB6860" s="122"/>
      <c r="BC6860" s="141"/>
    </row>
    <row r="6861">
      <c r="BB6861" s="122"/>
      <c r="BC6861" s="141"/>
    </row>
    <row r="6862">
      <c r="BB6862" s="122"/>
      <c r="BC6862" s="141"/>
    </row>
    <row r="6863">
      <c r="BB6863" s="122"/>
      <c r="BC6863" s="141"/>
    </row>
    <row r="6864">
      <c r="BB6864" s="122"/>
      <c r="BC6864" s="141"/>
    </row>
    <row r="6865">
      <c r="BB6865" s="122"/>
      <c r="BC6865" s="141"/>
    </row>
    <row r="6866">
      <c r="BB6866" s="122"/>
      <c r="BC6866" s="141"/>
    </row>
    <row r="6867">
      <c r="BB6867" s="122"/>
      <c r="BC6867" s="141"/>
    </row>
    <row r="6868">
      <c r="BB6868" s="122"/>
      <c r="BC6868" s="141"/>
    </row>
    <row r="6869">
      <c r="BB6869" s="122"/>
      <c r="BC6869" s="141"/>
    </row>
    <row r="6870">
      <c r="BB6870" s="122"/>
      <c r="BC6870" s="141"/>
    </row>
    <row r="6871">
      <c r="BB6871" s="122"/>
      <c r="BC6871" s="141"/>
    </row>
    <row r="6872">
      <c r="BB6872" s="122"/>
      <c r="BC6872" s="141"/>
    </row>
    <row r="6873">
      <c r="BB6873" s="122"/>
      <c r="BC6873" s="141"/>
    </row>
    <row r="6874">
      <c r="BB6874" s="122"/>
      <c r="BC6874" s="141"/>
    </row>
    <row r="6875">
      <c r="BB6875" s="122"/>
      <c r="BC6875" s="141"/>
    </row>
    <row r="6876">
      <c r="BB6876" s="122"/>
      <c r="BC6876" s="141"/>
    </row>
    <row r="6877">
      <c r="BB6877" s="122"/>
      <c r="BC6877" s="141"/>
    </row>
    <row r="6878">
      <c r="BB6878" s="122"/>
      <c r="BC6878" s="141"/>
    </row>
    <row r="6879">
      <c r="BB6879" s="122"/>
      <c r="BC6879" s="141"/>
    </row>
    <row r="6880">
      <c r="BB6880" s="122"/>
      <c r="BC6880" s="141"/>
    </row>
    <row r="6881">
      <c r="BB6881" s="122"/>
      <c r="BC6881" s="141"/>
    </row>
    <row r="6882">
      <c r="BB6882" s="122"/>
      <c r="BC6882" s="141"/>
    </row>
    <row r="6883">
      <c r="BB6883" s="122"/>
      <c r="BC6883" s="141"/>
    </row>
    <row r="6884">
      <c r="BB6884" s="122"/>
      <c r="BC6884" s="141"/>
    </row>
    <row r="6885">
      <c r="BB6885" s="122"/>
      <c r="BC6885" s="141"/>
    </row>
    <row r="6886">
      <c r="BB6886" s="122"/>
      <c r="BC6886" s="141"/>
    </row>
    <row r="6887">
      <c r="BB6887" s="122"/>
      <c r="BC6887" s="141"/>
    </row>
    <row r="6888">
      <c r="BB6888" s="122"/>
      <c r="BC6888" s="141"/>
    </row>
    <row r="6889">
      <c r="BB6889" s="122"/>
      <c r="BC6889" s="141"/>
    </row>
    <row r="6890">
      <c r="BB6890" s="122"/>
      <c r="BC6890" s="141"/>
    </row>
    <row r="6891">
      <c r="BB6891" s="122"/>
      <c r="BC6891" s="141"/>
    </row>
    <row r="6892">
      <c r="BB6892" s="122"/>
      <c r="BC6892" s="141"/>
    </row>
    <row r="6893">
      <c r="BB6893" s="122"/>
      <c r="BC6893" s="141"/>
    </row>
    <row r="6894">
      <c r="BB6894" s="122"/>
      <c r="BC6894" s="141"/>
    </row>
    <row r="6895">
      <c r="BB6895" s="122"/>
      <c r="BC6895" s="141"/>
    </row>
    <row r="6896">
      <c r="BB6896" s="122"/>
      <c r="BC6896" s="141"/>
    </row>
    <row r="6897">
      <c r="BB6897" s="122"/>
      <c r="BC6897" s="141"/>
    </row>
    <row r="6898">
      <c r="BB6898" s="122"/>
      <c r="BC6898" s="141"/>
    </row>
    <row r="6899">
      <c r="BB6899" s="122"/>
      <c r="BC6899" s="141"/>
    </row>
    <row r="6900">
      <c r="BB6900" s="122"/>
      <c r="BC6900" s="141"/>
    </row>
    <row r="6901">
      <c r="BB6901" s="122"/>
      <c r="BC6901" s="141"/>
    </row>
    <row r="6902">
      <c r="BB6902" s="122"/>
      <c r="BC6902" s="141"/>
    </row>
    <row r="6903">
      <c r="BB6903" s="122"/>
      <c r="BC6903" s="141"/>
    </row>
    <row r="6904">
      <c r="BB6904" s="122"/>
      <c r="BC6904" s="141"/>
    </row>
    <row r="6905">
      <c r="BB6905" s="122"/>
      <c r="BC6905" s="141"/>
    </row>
    <row r="6906">
      <c r="BB6906" s="122"/>
      <c r="BC6906" s="141"/>
    </row>
    <row r="6907">
      <c r="BB6907" s="122"/>
      <c r="BC6907" s="141"/>
    </row>
    <row r="6908">
      <c r="BB6908" s="122"/>
      <c r="BC6908" s="141"/>
    </row>
    <row r="6909">
      <c r="BB6909" s="122"/>
      <c r="BC6909" s="141"/>
    </row>
    <row r="6910">
      <c r="BB6910" s="122"/>
      <c r="BC6910" s="141"/>
    </row>
    <row r="6911">
      <c r="BB6911" s="122"/>
      <c r="BC6911" s="141"/>
    </row>
    <row r="6912">
      <c r="BB6912" s="122"/>
      <c r="BC6912" s="141"/>
    </row>
    <row r="6913">
      <c r="BB6913" s="122"/>
      <c r="BC6913" s="141"/>
    </row>
    <row r="6914">
      <c r="BB6914" s="122"/>
      <c r="BC6914" s="141"/>
    </row>
    <row r="6915">
      <c r="BB6915" s="122"/>
      <c r="BC6915" s="141"/>
    </row>
    <row r="6916">
      <c r="BB6916" s="122"/>
      <c r="BC6916" s="141"/>
    </row>
    <row r="6917">
      <c r="BB6917" s="122"/>
      <c r="BC6917" s="141"/>
    </row>
    <row r="6918">
      <c r="BB6918" s="122"/>
      <c r="BC6918" s="141"/>
    </row>
    <row r="6919">
      <c r="BB6919" s="122"/>
      <c r="BC6919" s="141"/>
    </row>
    <row r="6920">
      <c r="BB6920" s="122"/>
      <c r="BC6920" s="141"/>
    </row>
    <row r="6921">
      <c r="BB6921" s="122"/>
      <c r="BC6921" s="141"/>
    </row>
    <row r="6922">
      <c r="BB6922" s="122"/>
      <c r="BC6922" s="141"/>
    </row>
    <row r="6923">
      <c r="BB6923" s="122"/>
      <c r="BC6923" s="141"/>
    </row>
    <row r="6924">
      <c r="BB6924" s="122"/>
      <c r="BC6924" s="141"/>
    </row>
    <row r="6925">
      <c r="BB6925" s="122"/>
      <c r="BC6925" s="141"/>
    </row>
    <row r="6926">
      <c r="BB6926" s="122"/>
      <c r="BC6926" s="141"/>
    </row>
    <row r="6927">
      <c r="BB6927" s="122"/>
      <c r="BC6927" s="141"/>
    </row>
    <row r="6928">
      <c r="BB6928" s="122"/>
      <c r="BC6928" s="141"/>
    </row>
    <row r="6929">
      <c r="BB6929" s="122"/>
      <c r="BC6929" s="141"/>
    </row>
    <row r="6930">
      <c r="BB6930" s="122"/>
      <c r="BC6930" s="141"/>
    </row>
    <row r="6931">
      <c r="BB6931" s="122"/>
      <c r="BC6931" s="141"/>
    </row>
    <row r="6932">
      <c r="BB6932" s="122"/>
      <c r="BC6932" s="141"/>
    </row>
    <row r="6933">
      <c r="BB6933" s="122"/>
      <c r="BC6933" s="141"/>
    </row>
    <row r="6934">
      <c r="BB6934" s="122"/>
      <c r="BC6934" s="141"/>
    </row>
    <row r="6935">
      <c r="BB6935" s="122"/>
      <c r="BC6935" s="141"/>
    </row>
    <row r="6936">
      <c r="BB6936" s="122"/>
      <c r="BC6936" s="141"/>
    </row>
    <row r="6937">
      <c r="BB6937" s="122"/>
      <c r="BC6937" s="141"/>
    </row>
    <row r="6938">
      <c r="BB6938" s="122"/>
      <c r="BC6938" s="141"/>
    </row>
    <row r="6939">
      <c r="BB6939" s="122"/>
      <c r="BC6939" s="141"/>
    </row>
    <row r="6940">
      <c r="BB6940" s="122"/>
      <c r="BC6940" s="141"/>
    </row>
    <row r="6941">
      <c r="BB6941" s="122"/>
      <c r="BC6941" s="141"/>
    </row>
    <row r="6942">
      <c r="BB6942" s="122"/>
      <c r="BC6942" s="141"/>
    </row>
    <row r="6943">
      <c r="BB6943" s="122"/>
      <c r="BC6943" s="141"/>
    </row>
    <row r="6944">
      <c r="BB6944" s="122"/>
      <c r="BC6944" s="141"/>
    </row>
    <row r="6945">
      <c r="BB6945" s="122"/>
      <c r="BC6945" s="141"/>
    </row>
    <row r="6946">
      <c r="BB6946" s="122"/>
      <c r="BC6946" s="141"/>
    </row>
    <row r="6947">
      <c r="BB6947" s="122"/>
      <c r="BC6947" s="141"/>
    </row>
    <row r="6948">
      <c r="BB6948" s="122"/>
      <c r="BC6948" s="141"/>
    </row>
    <row r="6949">
      <c r="BB6949" s="122"/>
      <c r="BC6949" s="141"/>
    </row>
    <row r="6950">
      <c r="BB6950" s="122"/>
      <c r="BC6950" s="141"/>
    </row>
    <row r="6951">
      <c r="BB6951" s="122"/>
      <c r="BC6951" s="141"/>
    </row>
    <row r="6952">
      <c r="BB6952" s="122"/>
      <c r="BC6952" s="141"/>
    </row>
    <row r="6953">
      <c r="BB6953" s="122"/>
      <c r="BC6953" s="141"/>
    </row>
    <row r="6954">
      <c r="BB6954" s="122"/>
      <c r="BC6954" s="141"/>
    </row>
    <row r="6955">
      <c r="BB6955" s="122"/>
      <c r="BC6955" s="141"/>
    </row>
    <row r="6956">
      <c r="BB6956" s="122"/>
      <c r="BC6956" s="141"/>
    </row>
    <row r="6957">
      <c r="BB6957" s="122"/>
      <c r="BC6957" s="141"/>
    </row>
    <row r="6958">
      <c r="BB6958" s="122"/>
      <c r="BC6958" s="141"/>
    </row>
    <row r="6959">
      <c r="BB6959" s="122"/>
      <c r="BC6959" s="141"/>
    </row>
    <row r="6960">
      <c r="BB6960" s="122"/>
      <c r="BC6960" s="141"/>
    </row>
    <row r="6961">
      <c r="BB6961" s="122"/>
      <c r="BC6961" s="141"/>
    </row>
    <row r="6962">
      <c r="BB6962" s="122"/>
      <c r="BC6962" s="141"/>
    </row>
    <row r="6963">
      <c r="BB6963" s="122"/>
      <c r="BC6963" s="141"/>
    </row>
    <row r="6964">
      <c r="BB6964" s="122"/>
      <c r="BC6964" s="141"/>
    </row>
    <row r="6965">
      <c r="BB6965" s="122"/>
      <c r="BC6965" s="141"/>
    </row>
    <row r="6966">
      <c r="BB6966" s="122"/>
      <c r="BC6966" s="141"/>
    </row>
    <row r="6967">
      <c r="BB6967" s="122"/>
      <c r="BC6967" s="141"/>
    </row>
    <row r="6968">
      <c r="BB6968" s="122"/>
      <c r="BC6968" s="141"/>
    </row>
    <row r="6969">
      <c r="BB6969" s="122"/>
      <c r="BC6969" s="141"/>
    </row>
    <row r="6970">
      <c r="BB6970" s="122"/>
      <c r="BC6970" s="141"/>
    </row>
    <row r="6971">
      <c r="BB6971" s="122"/>
      <c r="BC6971" s="141"/>
    </row>
    <row r="6972">
      <c r="BB6972" s="122"/>
      <c r="BC6972" s="141"/>
    </row>
    <row r="6973">
      <c r="BB6973" s="122"/>
      <c r="BC6973" s="141"/>
    </row>
    <row r="6974">
      <c r="BB6974" s="122"/>
      <c r="BC6974" s="141"/>
    </row>
    <row r="6975">
      <c r="BB6975" s="122"/>
      <c r="BC6975" s="141"/>
    </row>
    <row r="6976">
      <c r="BB6976" s="122"/>
      <c r="BC6976" s="141"/>
    </row>
    <row r="6977">
      <c r="BB6977" s="122"/>
      <c r="BC6977" s="141"/>
    </row>
    <row r="6978">
      <c r="BB6978" s="122"/>
      <c r="BC6978" s="141"/>
    </row>
    <row r="6979">
      <c r="BB6979" s="122"/>
      <c r="BC6979" s="141"/>
    </row>
    <row r="6980">
      <c r="BB6980" s="122"/>
      <c r="BC6980" s="141"/>
    </row>
    <row r="6981">
      <c r="BB6981" s="122"/>
      <c r="BC6981" s="141"/>
    </row>
    <row r="6982">
      <c r="BB6982" s="122"/>
      <c r="BC6982" s="141"/>
    </row>
    <row r="6983">
      <c r="BB6983" s="122"/>
      <c r="BC6983" s="141"/>
    </row>
    <row r="6984">
      <c r="BB6984" s="122"/>
      <c r="BC6984" s="141"/>
    </row>
    <row r="6985">
      <c r="BB6985" s="122"/>
      <c r="BC6985" s="141"/>
    </row>
    <row r="6986">
      <c r="BB6986" s="122"/>
      <c r="BC6986" s="141"/>
    </row>
    <row r="6987">
      <c r="BB6987" s="122"/>
      <c r="BC6987" s="141"/>
    </row>
    <row r="6988">
      <c r="BB6988" s="122"/>
      <c r="BC6988" s="141"/>
    </row>
    <row r="6989">
      <c r="BB6989" s="122"/>
      <c r="BC6989" s="141"/>
    </row>
    <row r="6990">
      <c r="BB6990" s="122"/>
      <c r="BC6990" s="141"/>
    </row>
    <row r="6991">
      <c r="BB6991" s="122"/>
      <c r="BC6991" s="141"/>
    </row>
    <row r="6992">
      <c r="BB6992" s="122"/>
      <c r="BC6992" s="141"/>
    </row>
    <row r="6993">
      <c r="BB6993" s="122"/>
      <c r="BC6993" s="141"/>
    </row>
    <row r="6994">
      <c r="BB6994" s="122"/>
      <c r="BC6994" s="141"/>
    </row>
    <row r="6995">
      <c r="BB6995" s="122"/>
      <c r="BC6995" s="141"/>
    </row>
    <row r="6996">
      <c r="BB6996" s="122"/>
      <c r="BC6996" s="141"/>
    </row>
    <row r="6997">
      <c r="BB6997" s="122"/>
      <c r="BC6997" s="141"/>
    </row>
    <row r="6998">
      <c r="BB6998" s="122"/>
      <c r="BC6998" s="141"/>
    </row>
    <row r="6999">
      <c r="BB6999" s="122"/>
      <c r="BC6999" s="141"/>
    </row>
    <row r="7000">
      <c r="BB7000" s="122"/>
      <c r="BC7000" s="141"/>
    </row>
    <row r="7001">
      <c r="BB7001" s="122"/>
      <c r="BC7001" s="141"/>
    </row>
    <row r="7002">
      <c r="BB7002" s="122"/>
      <c r="BC7002" s="141"/>
    </row>
    <row r="7003">
      <c r="BB7003" s="122"/>
      <c r="BC7003" s="141"/>
    </row>
    <row r="7004">
      <c r="BB7004" s="122"/>
      <c r="BC7004" s="141"/>
    </row>
    <row r="7005">
      <c r="BB7005" s="122"/>
      <c r="BC7005" s="141"/>
    </row>
    <row r="7006">
      <c r="BB7006" s="122"/>
      <c r="BC7006" s="141"/>
    </row>
    <row r="7007">
      <c r="BB7007" s="122"/>
      <c r="BC7007" s="141"/>
    </row>
    <row r="7008">
      <c r="BB7008" s="122"/>
      <c r="BC7008" s="141"/>
    </row>
    <row r="7009">
      <c r="BB7009" s="122"/>
      <c r="BC7009" s="141"/>
    </row>
    <row r="7010">
      <c r="BB7010" s="122"/>
      <c r="BC7010" s="141"/>
    </row>
    <row r="7011">
      <c r="BB7011" s="122"/>
      <c r="BC7011" s="141"/>
    </row>
    <row r="7012">
      <c r="BB7012" s="122"/>
      <c r="BC7012" s="141"/>
    </row>
    <row r="7013">
      <c r="BB7013" s="122"/>
      <c r="BC7013" s="141"/>
    </row>
    <row r="7014">
      <c r="BB7014" s="122"/>
      <c r="BC7014" s="141"/>
    </row>
    <row r="7015">
      <c r="BB7015" s="122"/>
      <c r="BC7015" s="141"/>
    </row>
    <row r="7016">
      <c r="BB7016" s="122"/>
      <c r="BC7016" s="141"/>
    </row>
    <row r="7017">
      <c r="BB7017" s="122"/>
      <c r="BC7017" s="141"/>
    </row>
    <row r="7018">
      <c r="BB7018" s="122"/>
      <c r="BC7018" s="141"/>
    </row>
    <row r="7019">
      <c r="BB7019" s="122"/>
      <c r="BC7019" s="141"/>
    </row>
    <row r="7020">
      <c r="BB7020" s="122"/>
      <c r="BC7020" s="141"/>
    </row>
    <row r="7021">
      <c r="BB7021" s="122"/>
      <c r="BC7021" s="141"/>
    </row>
    <row r="7022">
      <c r="BB7022" s="122"/>
      <c r="BC7022" s="141"/>
    </row>
    <row r="7023">
      <c r="BB7023" s="122"/>
      <c r="BC7023" s="141"/>
    </row>
    <row r="7024">
      <c r="BB7024" s="122"/>
      <c r="BC7024" s="141"/>
    </row>
    <row r="7025">
      <c r="BB7025" s="122"/>
      <c r="BC7025" s="141"/>
    </row>
    <row r="7026">
      <c r="BB7026" s="122"/>
      <c r="BC7026" s="141"/>
    </row>
    <row r="7027">
      <c r="BB7027" s="122"/>
      <c r="BC7027" s="141"/>
    </row>
    <row r="7028">
      <c r="BB7028" s="122"/>
      <c r="BC7028" s="141"/>
    </row>
    <row r="7029">
      <c r="BB7029" s="122"/>
      <c r="BC7029" s="141"/>
    </row>
    <row r="7030">
      <c r="BB7030" s="122"/>
      <c r="BC7030" s="141"/>
    </row>
    <row r="7031">
      <c r="BB7031" s="122"/>
      <c r="BC7031" s="141"/>
    </row>
    <row r="7032">
      <c r="BB7032" s="122"/>
      <c r="BC7032" s="141"/>
    </row>
    <row r="7033">
      <c r="BB7033" s="122"/>
      <c r="BC7033" s="141"/>
    </row>
    <row r="7034">
      <c r="BB7034" s="122"/>
      <c r="BC7034" s="141"/>
    </row>
    <row r="7035">
      <c r="BB7035" s="122"/>
      <c r="BC7035" s="141"/>
    </row>
    <row r="7036">
      <c r="BB7036" s="122"/>
      <c r="BC7036" s="141"/>
    </row>
    <row r="7037">
      <c r="BB7037" s="122"/>
      <c r="BC7037" s="141"/>
    </row>
    <row r="7038">
      <c r="BB7038" s="122"/>
      <c r="BC7038" s="141"/>
    </row>
    <row r="7039">
      <c r="BB7039" s="122"/>
      <c r="BC7039" s="141"/>
    </row>
    <row r="7040">
      <c r="BB7040" s="122"/>
      <c r="BC7040" s="141"/>
    </row>
    <row r="7041">
      <c r="BB7041" s="122"/>
      <c r="BC7041" s="141"/>
    </row>
    <row r="7042">
      <c r="BB7042" s="122"/>
      <c r="BC7042" s="141"/>
    </row>
    <row r="7043">
      <c r="BB7043" s="122"/>
      <c r="BC7043" s="141"/>
    </row>
    <row r="7044">
      <c r="BB7044" s="122"/>
      <c r="BC7044" s="141"/>
    </row>
    <row r="7045">
      <c r="BB7045" s="122"/>
      <c r="BC7045" s="141"/>
    </row>
    <row r="7046">
      <c r="BB7046" s="122"/>
      <c r="BC7046" s="141"/>
    </row>
    <row r="7047">
      <c r="BB7047" s="122"/>
      <c r="BC7047" s="141"/>
    </row>
    <row r="7048">
      <c r="BB7048" s="122"/>
      <c r="BC7048" s="141"/>
    </row>
    <row r="7049">
      <c r="BB7049" s="122"/>
      <c r="BC7049" s="141"/>
    </row>
    <row r="7050">
      <c r="BB7050" s="122"/>
      <c r="BC7050" s="141"/>
    </row>
    <row r="7051">
      <c r="BB7051" s="122"/>
      <c r="BC7051" s="141"/>
    </row>
    <row r="7052">
      <c r="BB7052" s="122"/>
      <c r="BC7052" s="141"/>
    </row>
    <row r="7053">
      <c r="BB7053" s="122"/>
      <c r="BC7053" s="141"/>
    </row>
    <row r="7054">
      <c r="BB7054" s="122"/>
      <c r="BC7054" s="141"/>
    </row>
    <row r="7055">
      <c r="BB7055" s="122"/>
      <c r="BC7055" s="141"/>
    </row>
    <row r="7056">
      <c r="BB7056" s="122"/>
      <c r="BC7056" s="141"/>
    </row>
    <row r="7057">
      <c r="BB7057" s="122"/>
      <c r="BC7057" s="141"/>
    </row>
    <row r="7058">
      <c r="BB7058" s="122"/>
      <c r="BC7058" s="141"/>
    </row>
    <row r="7059">
      <c r="BB7059" s="122"/>
      <c r="BC7059" s="141"/>
    </row>
    <row r="7060">
      <c r="BB7060" s="122"/>
      <c r="BC7060" s="141"/>
    </row>
    <row r="7061">
      <c r="BB7061" s="122"/>
      <c r="BC7061" s="141"/>
    </row>
    <row r="7062">
      <c r="BB7062" s="122"/>
      <c r="BC7062" s="141"/>
    </row>
    <row r="7063">
      <c r="BB7063" s="122"/>
      <c r="BC7063" s="141"/>
    </row>
    <row r="7064">
      <c r="BB7064" s="122"/>
      <c r="BC7064" s="141"/>
    </row>
    <row r="7065">
      <c r="BB7065" s="122"/>
      <c r="BC7065" s="141"/>
    </row>
    <row r="7066">
      <c r="BB7066" s="122"/>
      <c r="BC7066" s="141"/>
    </row>
    <row r="7067">
      <c r="BB7067" s="122"/>
      <c r="BC7067" s="141"/>
    </row>
    <row r="7068">
      <c r="BB7068" s="122"/>
      <c r="BC7068" s="141"/>
    </row>
    <row r="7069">
      <c r="BB7069" s="122"/>
      <c r="BC7069" s="141"/>
    </row>
    <row r="7070">
      <c r="BB7070" s="122"/>
      <c r="BC7070" s="141"/>
    </row>
    <row r="7071">
      <c r="BB7071" s="122"/>
      <c r="BC7071" s="141"/>
    </row>
    <row r="7072">
      <c r="BB7072" s="122"/>
      <c r="BC7072" s="141"/>
    </row>
    <row r="7073">
      <c r="BB7073" s="122"/>
      <c r="BC7073" s="141"/>
    </row>
    <row r="7074">
      <c r="BB7074" s="122"/>
      <c r="BC7074" s="141"/>
    </row>
    <row r="7075">
      <c r="BB7075" s="122"/>
      <c r="BC7075" s="141"/>
    </row>
    <row r="7076">
      <c r="BB7076" s="122"/>
      <c r="BC7076" s="141"/>
    </row>
    <row r="7077">
      <c r="BB7077" s="122"/>
      <c r="BC7077" s="141"/>
    </row>
    <row r="7078">
      <c r="BB7078" s="122"/>
      <c r="BC7078" s="141"/>
    </row>
    <row r="7079">
      <c r="BB7079" s="122"/>
      <c r="BC7079" s="141"/>
    </row>
    <row r="7080">
      <c r="BB7080" s="122"/>
      <c r="BC7080" s="141"/>
    </row>
    <row r="7081">
      <c r="BB7081" s="122"/>
      <c r="BC7081" s="141"/>
    </row>
    <row r="7082">
      <c r="BB7082" s="122"/>
      <c r="BC7082" s="141"/>
    </row>
    <row r="7083">
      <c r="BB7083" s="122"/>
      <c r="BC7083" s="141"/>
    </row>
    <row r="7084">
      <c r="BB7084" s="122"/>
      <c r="BC7084" s="141"/>
    </row>
    <row r="7085">
      <c r="BB7085" s="122"/>
      <c r="BC7085" s="141"/>
    </row>
    <row r="7086">
      <c r="BB7086" s="122"/>
      <c r="BC7086" s="141"/>
    </row>
    <row r="7087">
      <c r="BB7087" s="122"/>
      <c r="BC7087" s="141"/>
    </row>
    <row r="7088">
      <c r="BB7088" s="122"/>
      <c r="BC7088" s="141"/>
    </row>
    <row r="7089">
      <c r="BB7089" s="122"/>
      <c r="BC7089" s="141"/>
    </row>
    <row r="7090">
      <c r="BB7090" s="122"/>
      <c r="BC7090" s="141"/>
    </row>
    <row r="7091">
      <c r="BB7091" s="122"/>
      <c r="BC7091" s="141"/>
    </row>
    <row r="7092">
      <c r="BB7092" s="122"/>
      <c r="BC7092" s="141"/>
    </row>
    <row r="7093">
      <c r="BB7093" s="122"/>
      <c r="BC7093" s="141"/>
    </row>
    <row r="7094">
      <c r="BB7094" s="122"/>
      <c r="BC7094" s="141"/>
    </row>
    <row r="7095">
      <c r="BB7095" s="122"/>
      <c r="BC7095" s="141"/>
    </row>
    <row r="7096">
      <c r="BB7096" s="122"/>
      <c r="BC7096" s="141"/>
    </row>
    <row r="7097">
      <c r="BB7097" s="122"/>
      <c r="BC7097" s="141"/>
    </row>
    <row r="7098">
      <c r="BB7098" s="122"/>
      <c r="BC7098" s="141"/>
    </row>
    <row r="7099">
      <c r="BB7099" s="122"/>
      <c r="BC7099" s="141"/>
    </row>
    <row r="7100">
      <c r="BB7100" s="122"/>
      <c r="BC7100" s="141"/>
    </row>
    <row r="7101">
      <c r="BB7101" s="122"/>
      <c r="BC7101" s="141"/>
    </row>
    <row r="7102">
      <c r="BB7102" s="122"/>
      <c r="BC7102" s="141"/>
    </row>
    <row r="7103">
      <c r="BB7103" s="122"/>
      <c r="BC7103" s="141"/>
    </row>
    <row r="7104">
      <c r="BB7104" s="122"/>
      <c r="BC7104" s="141"/>
    </row>
    <row r="7105">
      <c r="BB7105" s="122"/>
      <c r="BC7105" s="141"/>
    </row>
    <row r="7106">
      <c r="BB7106" s="122"/>
      <c r="BC7106" s="141"/>
    </row>
    <row r="7107">
      <c r="BB7107" s="122"/>
      <c r="BC7107" s="141"/>
    </row>
    <row r="7108">
      <c r="BB7108" s="122"/>
      <c r="BC7108" s="141"/>
    </row>
    <row r="7109">
      <c r="BB7109" s="122"/>
      <c r="BC7109" s="141"/>
    </row>
    <row r="7110">
      <c r="BB7110" s="122"/>
      <c r="BC7110" s="141"/>
    </row>
    <row r="7111">
      <c r="BB7111" s="122"/>
      <c r="BC7111" s="141"/>
    </row>
    <row r="7112">
      <c r="BB7112" s="122"/>
      <c r="BC7112" s="141"/>
    </row>
    <row r="7113">
      <c r="BB7113" s="122"/>
      <c r="BC7113" s="141"/>
    </row>
    <row r="7114">
      <c r="BB7114" s="122"/>
      <c r="BC7114" s="141"/>
    </row>
    <row r="7115">
      <c r="BB7115" s="122"/>
      <c r="BC7115" s="141"/>
    </row>
    <row r="7116">
      <c r="BB7116" s="122"/>
      <c r="BC7116" s="141"/>
    </row>
    <row r="7117">
      <c r="BB7117" s="122"/>
      <c r="BC7117" s="141"/>
    </row>
    <row r="7118">
      <c r="BB7118" s="122"/>
      <c r="BC7118" s="141"/>
    </row>
    <row r="7119">
      <c r="BB7119" s="122"/>
      <c r="BC7119" s="141"/>
    </row>
    <row r="7120">
      <c r="BB7120" s="122"/>
      <c r="BC7120" s="141"/>
    </row>
    <row r="7121">
      <c r="BB7121" s="122"/>
      <c r="BC7121" s="141"/>
    </row>
    <row r="7122">
      <c r="BB7122" s="122"/>
      <c r="BC7122" s="141"/>
    </row>
    <row r="7123">
      <c r="BB7123" s="122"/>
      <c r="BC7123" s="141"/>
    </row>
    <row r="7124">
      <c r="BB7124" s="122"/>
      <c r="BC7124" s="141"/>
    </row>
    <row r="7125">
      <c r="BB7125" s="122"/>
      <c r="BC7125" s="141"/>
    </row>
    <row r="7126">
      <c r="BB7126" s="122"/>
      <c r="BC7126" s="141"/>
    </row>
    <row r="7127">
      <c r="BB7127" s="122"/>
      <c r="BC7127" s="141"/>
    </row>
    <row r="7128">
      <c r="BB7128" s="122"/>
      <c r="BC7128" s="141"/>
    </row>
    <row r="7129">
      <c r="BB7129" s="122"/>
      <c r="BC7129" s="141"/>
    </row>
    <row r="7130">
      <c r="BB7130" s="122"/>
      <c r="BC7130" s="141"/>
    </row>
    <row r="7131">
      <c r="BB7131" s="122"/>
      <c r="BC7131" s="141"/>
    </row>
    <row r="7132">
      <c r="BB7132" s="122"/>
      <c r="BC7132" s="141"/>
    </row>
    <row r="7133">
      <c r="BB7133" s="122"/>
      <c r="BC7133" s="141"/>
    </row>
    <row r="7134">
      <c r="BB7134" s="122"/>
      <c r="BC7134" s="141"/>
    </row>
    <row r="7135">
      <c r="BB7135" s="122"/>
      <c r="BC7135" s="141"/>
    </row>
    <row r="7136">
      <c r="BB7136" s="122"/>
      <c r="BC7136" s="141"/>
    </row>
    <row r="7137">
      <c r="BB7137" s="122"/>
      <c r="BC7137" s="141"/>
    </row>
    <row r="7138">
      <c r="BB7138" s="122"/>
      <c r="BC7138" s="141"/>
    </row>
    <row r="7139">
      <c r="BB7139" s="122"/>
      <c r="BC7139" s="141"/>
    </row>
    <row r="7140">
      <c r="BB7140" s="122"/>
      <c r="BC7140" s="141"/>
    </row>
    <row r="7141">
      <c r="BB7141" s="122"/>
      <c r="BC7141" s="141"/>
    </row>
    <row r="7142">
      <c r="BB7142" s="122"/>
      <c r="BC7142" s="141"/>
    </row>
    <row r="7143">
      <c r="BB7143" s="122"/>
      <c r="BC7143" s="141"/>
    </row>
    <row r="7144">
      <c r="BB7144" s="122"/>
      <c r="BC7144" s="141"/>
    </row>
    <row r="7145">
      <c r="BB7145" s="122"/>
      <c r="BC7145" s="141"/>
    </row>
    <row r="7146">
      <c r="BB7146" s="122"/>
      <c r="BC7146" s="141"/>
    </row>
    <row r="7147">
      <c r="BB7147" s="122"/>
      <c r="BC7147" s="141"/>
    </row>
    <row r="7148">
      <c r="BB7148" s="122"/>
      <c r="BC7148" s="141"/>
    </row>
    <row r="7149">
      <c r="BB7149" s="122"/>
      <c r="BC7149" s="141"/>
    </row>
    <row r="7150">
      <c r="BB7150" s="122"/>
      <c r="BC7150" s="141"/>
    </row>
    <row r="7151">
      <c r="BB7151" s="122"/>
      <c r="BC7151" s="141"/>
    </row>
    <row r="7152">
      <c r="BB7152" s="122"/>
      <c r="BC7152" s="141"/>
    </row>
    <row r="7153">
      <c r="BB7153" s="122"/>
      <c r="BC7153" s="141"/>
    </row>
    <row r="7154">
      <c r="BB7154" s="122"/>
      <c r="BC7154" s="141"/>
    </row>
    <row r="7155">
      <c r="BB7155" s="122"/>
      <c r="BC7155" s="141"/>
    </row>
    <row r="7156">
      <c r="BB7156" s="122"/>
      <c r="BC7156" s="141"/>
    </row>
    <row r="7157">
      <c r="BB7157" s="122"/>
      <c r="BC7157" s="141"/>
    </row>
    <row r="7158">
      <c r="BB7158" s="122"/>
      <c r="BC7158" s="141"/>
    </row>
    <row r="7159">
      <c r="BB7159" s="122"/>
      <c r="BC7159" s="141"/>
    </row>
    <row r="7160">
      <c r="BB7160" s="122"/>
      <c r="BC7160" s="141"/>
    </row>
    <row r="7161">
      <c r="BB7161" s="122"/>
      <c r="BC7161" s="141"/>
    </row>
    <row r="7162">
      <c r="BB7162" s="122"/>
      <c r="BC7162" s="141"/>
    </row>
    <row r="7163">
      <c r="BB7163" s="122"/>
      <c r="BC7163" s="141"/>
    </row>
    <row r="7164">
      <c r="BB7164" s="122"/>
      <c r="BC7164" s="141"/>
    </row>
    <row r="7165">
      <c r="BB7165" s="122"/>
      <c r="BC7165" s="141"/>
    </row>
    <row r="7166">
      <c r="BB7166" s="122"/>
      <c r="BC7166" s="141"/>
    </row>
    <row r="7167">
      <c r="BB7167" s="122"/>
      <c r="BC7167" s="141"/>
    </row>
    <row r="7168">
      <c r="BB7168" s="122"/>
      <c r="BC7168" s="141"/>
    </row>
    <row r="7169">
      <c r="BB7169" s="122"/>
      <c r="BC7169" s="141"/>
    </row>
    <row r="7170">
      <c r="BB7170" s="122"/>
      <c r="BC7170" s="141"/>
    </row>
    <row r="7171">
      <c r="BB7171" s="122"/>
      <c r="BC7171" s="141"/>
    </row>
    <row r="7172">
      <c r="BB7172" s="122"/>
      <c r="BC7172" s="141"/>
    </row>
    <row r="7173">
      <c r="BB7173" s="122"/>
      <c r="BC7173" s="141"/>
    </row>
    <row r="7174">
      <c r="BB7174" s="122"/>
      <c r="BC7174" s="141"/>
    </row>
    <row r="7175">
      <c r="BB7175" s="122"/>
      <c r="BC7175" s="141"/>
    </row>
    <row r="7176">
      <c r="BB7176" s="122"/>
      <c r="BC7176" s="141"/>
    </row>
    <row r="7177">
      <c r="BB7177" s="122"/>
      <c r="BC7177" s="141"/>
    </row>
    <row r="7178">
      <c r="BB7178" s="122"/>
      <c r="BC7178" s="141"/>
    </row>
    <row r="7179">
      <c r="BB7179" s="122"/>
      <c r="BC7179" s="141"/>
    </row>
    <row r="7180">
      <c r="BB7180" s="122"/>
      <c r="BC7180" s="141"/>
    </row>
    <row r="7181">
      <c r="BB7181" s="122"/>
      <c r="BC7181" s="141"/>
    </row>
    <row r="7182">
      <c r="BB7182" s="122"/>
      <c r="BC7182" s="141"/>
    </row>
    <row r="7183">
      <c r="BB7183" s="122"/>
      <c r="BC7183" s="141"/>
    </row>
    <row r="7184">
      <c r="BB7184" s="122"/>
      <c r="BC7184" s="141"/>
    </row>
    <row r="7185">
      <c r="BB7185" s="122"/>
      <c r="BC7185" s="141"/>
    </row>
    <row r="7186">
      <c r="BB7186" s="122"/>
      <c r="BC7186" s="141"/>
    </row>
    <row r="7187">
      <c r="BB7187" s="122"/>
      <c r="BC7187" s="141"/>
    </row>
    <row r="7188">
      <c r="BB7188" s="122"/>
      <c r="BC7188" s="141"/>
    </row>
    <row r="7189">
      <c r="BB7189" s="122"/>
      <c r="BC7189" s="141"/>
    </row>
    <row r="7190">
      <c r="BB7190" s="122"/>
      <c r="BC7190" s="141"/>
    </row>
    <row r="7191">
      <c r="BB7191" s="122"/>
      <c r="BC7191" s="141"/>
    </row>
    <row r="7192">
      <c r="BB7192" s="122"/>
      <c r="BC7192" s="141"/>
    </row>
    <row r="7193">
      <c r="BB7193" s="122"/>
      <c r="BC7193" s="141"/>
    </row>
    <row r="7194">
      <c r="BB7194" s="122"/>
      <c r="BC7194" s="141"/>
    </row>
    <row r="7195">
      <c r="BB7195" s="122"/>
      <c r="BC7195" s="141"/>
    </row>
    <row r="7196">
      <c r="BB7196" s="122"/>
      <c r="BC7196" s="141"/>
    </row>
    <row r="7197">
      <c r="BB7197" s="122"/>
      <c r="BC7197" s="141"/>
    </row>
    <row r="7198">
      <c r="BB7198" s="122"/>
      <c r="BC7198" s="141"/>
    </row>
    <row r="7199">
      <c r="BB7199" s="122"/>
      <c r="BC7199" s="141"/>
    </row>
    <row r="7200">
      <c r="BB7200" s="122"/>
      <c r="BC7200" s="141"/>
    </row>
    <row r="7201">
      <c r="BB7201" s="122"/>
      <c r="BC7201" s="141"/>
    </row>
    <row r="7202">
      <c r="BB7202" s="122"/>
      <c r="BC7202" s="141"/>
    </row>
    <row r="7203">
      <c r="BB7203" s="122"/>
      <c r="BC7203" s="141"/>
    </row>
    <row r="7204">
      <c r="BB7204" s="122"/>
      <c r="BC7204" s="141"/>
    </row>
    <row r="7205">
      <c r="BB7205" s="122"/>
      <c r="BC7205" s="141"/>
    </row>
    <row r="7206">
      <c r="BB7206" s="122"/>
      <c r="BC7206" s="141"/>
    </row>
    <row r="7207">
      <c r="BB7207" s="122"/>
      <c r="BC7207" s="141"/>
    </row>
    <row r="7208">
      <c r="BB7208" s="122"/>
      <c r="BC7208" s="141"/>
    </row>
    <row r="7209">
      <c r="BB7209" s="122"/>
      <c r="BC7209" s="141"/>
    </row>
    <row r="7210">
      <c r="BB7210" s="122"/>
      <c r="BC7210" s="141"/>
    </row>
    <row r="7211">
      <c r="BB7211" s="122"/>
      <c r="BC7211" s="141"/>
    </row>
    <row r="7212">
      <c r="BB7212" s="122"/>
      <c r="BC7212" s="141"/>
    </row>
    <row r="7213">
      <c r="BB7213" s="122"/>
      <c r="BC7213" s="141"/>
    </row>
    <row r="7214">
      <c r="BB7214" s="122"/>
      <c r="BC7214" s="141"/>
    </row>
    <row r="7215">
      <c r="BB7215" s="122"/>
      <c r="BC7215" s="141"/>
    </row>
    <row r="7216">
      <c r="BB7216" s="122"/>
      <c r="BC7216" s="141"/>
    </row>
    <row r="7217">
      <c r="BB7217" s="122"/>
      <c r="BC7217" s="141"/>
    </row>
    <row r="7218">
      <c r="BB7218" s="122"/>
      <c r="BC7218" s="141"/>
    </row>
    <row r="7219">
      <c r="BB7219" s="122"/>
      <c r="BC7219" s="141"/>
    </row>
    <row r="7220">
      <c r="BB7220" s="122"/>
      <c r="BC7220" s="141"/>
    </row>
    <row r="7221">
      <c r="BB7221" s="122"/>
      <c r="BC7221" s="141"/>
    </row>
    <row r="7222">
      <c r="BB7222" s="122"/>
      <c r="BC7222" s="141"/>
    </row>
    <row r="7223">
      <c r="BB7223" s="122"/>
      <c r="BC7223" s="141"/>
    </row>
    <row r="7224">
      <c r="BB7224" s="122"/>
      <c r="BC7224" s="141"/>
    </row>
    <row r="7225">
      <c r="BB7225" s="122"/>
      <c r="BC7225" s="141"/>
    </row>
    <row r="7226">
      <c r="BB7226" s="122"/>
      <c r="BC7226" s="141"/>
    </row>
    <row r="7227">
      <c r="BB7227" s="122"/>
      <c r="BC7227" s="141"/>
    </row>
    <row r="7228">
      <c r="BB7228" s="122"/>
      <c r="BC7228" s="141"/>
    </row>
    <row r="7229">
      <c r="BB7229" s="122"/>
      <c r="BC7229" s="141"/>
    </row>
    <row r="7230">
      <c r="BB7230" s="122"/>
      <c r="BC7230" s="141"/>
    </row>
    <row r="7231">
      <c r="BB7231" s="122"/>
      <c r="BC7231" s="141"/>
    </row>
    <row r="7232">
      <c r="BB7232" s="122"/>
      <c r="BC7232" s="141"/>
    </row>
    <row r="7233">
      <c r="BB7233" s="122"/>
      <c r="BC7233" s="141"/>
    </row>
    <row r="7234">
      <c r="BB7234" s="122"/>
      <c r="BC7234" s="141"/>
    </row>
    <row r="7235">
      <c r="BB7235" s="122"/>
      <c r="BC7235" s="141"/>
    </row>
    <row r="7236">
      <c r="BB7236" s="122"/>
      <c r="BC7236" s="141"/>
    </row>
    <row r="7237">
      <c r="BB7237" s="122"/>
      <c r="BC7237" s="141"/>
    </row>
    <row r="7238">
      <c r="BB7238" s="122"/>
      <c r="BC7238" s="141"/>
    </row>
    <row r="7239">
      <c r="BB7239" s="122"/>
      <c r="BC7239" s="141"/>
    </row>
    <row r="7240">
      <c r="BB7240" s="122"/>
      <c r="BC7240" s="141"/>
    </row>
    <row r="7241">
      <c r="BB7241" s="122"/>
      <c r="BC7241" s="141"/>
    </row>
    <row r="7242">
      <c r="BB7242" s="122"/>
      <c r="BC7242" s="141"/>
    </row>
    <row r="7243">
      <c r="BB7243" s="122"/>
      <c r="BC7243" s="141"/>
    </row>
    <row r="7244">
      <c r="BB7244" s="122"/>
      <c r="BC7244" s="141"/>
    </row>
    <row r="7245">
      <c r="BB7245" s="122"/>
      <c r="BC7245" s="141"/>
    </row>
    <row r="7246">
      <c r="BB7246" s="122"/>
      <c r="BC7246" s="141"/>
    </row>
    <row r="7247">
      <c r="BB7247" s="122"/>
      <c r="BC7247" s="141"/>
    </row>
    <row r="7248">
      <c r="BB7248" s="122"/>
      <c r="BC7248" s="141"/>
    </row>
    <row r="7249">
      <c r="BB7249" s="122"/>
      <c r="BC7249" s="141"/>
    </row>
    <row r="7250">
      <c r="BB7250" s="122"/>
      <c r="BC7250" s="141"/>
    </row>
    <row r="7251">
      <c r="BB7251" s="122"/>
      <c r="BC7251" s="141"/>
    </row>
    <row r="7252">
      <c r="BB7252" s="122"/>
      <c r="BC7252" s="141"/>
    </row>
    <row r="7253">
      <c r="BB7253" s="122"/>
      <c r="BC7253" s="141"/>
    </row>
    <row r="7254">
      <c r="BB7254" s="122"/>
      <c r="BC7254" s="141"/>
    </row>
    <row r="7255">
      <c r="BB7255" s="122"/>
      <c r="BC7255" s="141"/>
    </row>
    <row r="7256">
      <c r="BB7256" s="122"/>
      <c r="BC7256" s="141"/>
    </row>
    <row r="7257">
      <c r="BB7257" s="122"/>
      <c r="BC7257" s="141"/>
    </row>
    <row r="7258">
      <c r="BB7258" s="122"/>
      <c r="BC7258" s="141"/>
    </row>
    <row r="7259">
      <c r="BB7259" s="122"/>
      <c r="BC7259" s="141"/>
    </row>
    <row r="7260">
      <c r="BB7260" s="122"/>
      <c r="BC7260" s="141"/>
    </row>
    <row r="7261">
      <c r="BB7261" s="122"/>
      <c r="BC7261" s="141"/>
    </row>
    <row r="7262">
      <c r="BB7262" s="122"/>
      <c r="BC7262" s="141"/>
    </row>
    <row r="7263">
      <c r="BB7263" s="122"/>
      <c r="BC7263" s="141"/>
    </row>
    <row r="7264">
      <c r="BB7264" s="122"/>
      <c r="BC7264" s="141"/>
    </row>
    <row r="7265">
      <c r="BB7265" s="122"/>
      <c r="BC7265" s="141"/>
    </row>
    <row r="7266">
      <c r="BB7266" s="122"/>
      <c r="BC7266" s="141"/>
    </row>
    <row r="7267">
      <c r="BB7267" s="122"/>
      <c r="BC7267" s="141"/>
    </row>
    <row r="7268">
      <c r="BB7268" s="122"/>
      <c r="BC7268" s="141"/>
    </row>
    <row r="7269">
      <c r="BB7269" s="122"/>
      <c r="BC7269" s="141"/>
    </row>
    <row r="7270">
      <c r="BB7270" s="122"/>
      <c r="BC7270" s="141"/>
    </row>
    <row r="7271">
      <c r="BB7271" s="122"/>
      <c r="BC7271" s="141"/>
    </row>
    <row r="7272">
      <c r="BB7272" s="122"/>
      <c r="BC7272" s="141"/>
    </row>
    <row r="7273">
      <c r="BB7273" s="122"/>
      <c r="BC7273" s="141"/>
    </row>
    <row r="7274">
      <c r="BB7274" s="122"/>
      <c r="BC7274" s="141"/>
    </row>
    <row r="7275">
      <c r="BB7275" s="122"/>
      <c r="BC7275" s="141"/>
    </row>
    <row r="7276">
      <c r="BB7276" s="122"/>
      <c r="BC7276" s="141"/>
    </row>
    <row r="7277">
      <c r="BB7277" s="122"/>
      <c r="BC7277" s="141"/>
    </row>
    <row r="7278">
      <c r="BB7278" s="122"/>
      <c r="BC7278" s="141"/>
    </row>
    <row r="7279">
      <c r="BB7279" s="122"/>
      <c r="BC7279" s="141"/>
    </row>
    <row r="7280">
      <c r="BB7280" s="122"/>
      <c r="BC7280" s="141"/>
    </row>
    <row r="7281">
      <c r="BB7281" s="122"/>
      <c r="BC7281" s="141"/>
    </row>
    <row r="7282">
      <c r="BB7282" s="122"/>
      <c r="BC7282" s="141"/>
    </row>
    <row r="7283">
      <c r="BB7283" s="122"/>
      <c r="BC7283" s="141"/>
    </row>
    <row r="7284">
      <c r="BB7284" s="122"/>
      <c r="BC7284" s="141"/>
    </row>
    <row r="7285">
      <c r="BB7285" s="122"/>
      <c r="BC7285" s="141"/>
    </row>
    <row r="7286">
      <c r="BB7286" s="122"/>
      <c r="BC7286" s="141"/>
    </row>
    <row r="7287">
      <c r="BB7287" s="122"/>
      <c r="BC7287" s="141"/>
    </row>
    <row r="7288">
      <c r="BB7288" s="122"/>
      <c r="BC7288" s="141"/>
    </row>
    <row r="7289">
      <c r="BB7289" s="122"/>
      <c r="BC7289" s="141"/>
    </row>
    <row r="7290">
      <c r="BB7290" s="122"/>
      <c r="BC7290" s="141"/>
    </row>
    <row r="7291">
      <c r="BB7291" s="122"/>
      <c r="BC7291" s="141"/>
    </row>
    <row r="7292">
      <c r="BB7292" s="122"/>
      <c r="BC7292" s="141"/>
    </row>
    <row r="7293">
      <c r="BB7293" s="122"/>
      <c r="BC7293" s="141"/>
    </row>
    <row r="7294">
      <c r="BB7294" s="122"/>
      <c r="BC7294" s="141"/>
    </row>
    <row r="7295">
      <c r="BB7295" s="122"/>
      <c r="BC7295" s="141"/>
    </row>
    <row r="7296">
      <c r="BB7296" s="122"/>
      <c r="BC7296" s="141"/>
    </row>
    <row r="7297">
      <c r="BB7297" s="122"/>
      <c r="BC7297" s="141"/>
    </row>
    <row r="7298">
      <c r="BB7298" s="122"/>
      <c r="BC7298" s="141"/>
    </row>
    <row r="7299">
      <c r="BB7299" s="122"/>
      <c r="BC7299" s="141"/>
    </row>
    <row r="7300">
      <c r="BB7300" s="122"/>
      <c r="BC7300" s="141"/>
    </row>
    <row r="7301">
      <c r="BB7301" s="122"/>
      <c r="BC7301" s="141"/>
    </row>
    <row r="7302">
      <c r="BB7302" s="122"/>
      <c r="BC7302" s="141"/>
    </row>
    <row r="7303">
      <c r="BB7303" s="122"/>
      <c r="BC7303" s="141"/>
    </row>
    <row r="7304">
      <c r="BB7304" s="122"/>
      <c r="BC7304" s="141"/>
    </row>
    <row r="7305">
      <c r="BB7305" s="122"/>
      <c r="BC7305" s="141"/>
    </row>
    <row r="7306">
      <c r="BB7306" s="122"/>
      <c r="BC7306" s="141"/>
    </row>
    <row r="7307">
      <c r="BB7307" s="122"/>
      <c r="BC7307" s="141"/>
    </row>
    <row r="7308">
      <c r="BB7308" s="122"/>
      <c r="BC7308" s="141"/>
    </row>
    <row r="7309">
      <c r="BB7309" s="122"/>
      <c r="BC7309" s="141"/>
    </row>
    <row r="7310">
      <c r="BB7310" s="122"/>
      <c r="BC7310" s="141"/>
    </row>
    <row r="7311">
      <c r="BB7311" s="122"/>
      <c r="BC7311" s="141"/>
    </row>
    <row r="7312">
      <c r="BB7312" s="122"/>
      <c r="BC7312" s="141"/>
    </row>
    <row r="7313">
      <c r="BB7313" s="122"/>
      <c r="BC7313" s="141"/>
    </row>
    <row r="7314">
      <c r="BB7314" s="122"/>
      <c r="BC7314" s="141"/>
    </row>
    <row r="7315">
      <c r="BB7315" s="122"/>
      <c r="BC7315" s="141"/>
    </row>
    <row r="7316">
      <c r="BB7316" s="122"/>
      <c r="BC7316" s="141"/>
    </row>
    <row r="7317">
      <c r="BB7317" s="122"/>
      <c r="BC7317" s="141"/>
    </row>
    <row r="7318">
      <c r="BB7318" s="122"/>
      <c r="BC7318" s="141"/>
    </row>
    <row r="7319">
      <c r="BB7319" s="122"/>
      <c r="BC7319" s="141"/>
    </row>
    <row r="7320">
      <c r="BB7320" s="122"/>
      <c r="BC7320" s="141"/>
    </row>
    <row r="7321">
      <c r="BB7321" s="122"/>
      <c r="BC7321" s="141"/>
    </row>
    <row r="7322">
      <c r="BB7322" s="122"/>
      <c r="BC7322" s="141"/>
    </row>
    <row r="7323">
      <c r="BB7323" s="122"/>
      <c r="BC7323" s="141"/>
    </row>
    <row r="7324">
      <c r="BB7324" s="122"/>
      <c r="BC7324" s="141"/>
    </row>
    <row r="7325">
      <c r="BB7325" s="122"/>
      <c r="BC7325" s="141"/>
    </row>
    <row r="7326">
      <c r="BB7326" s="122"/>
      <c r="BC7326" s="141"/>
    </row>
    <row r="7327">
      <c r="BB7327" s="122"/>
      <c r="BC7327" s="141"/>
    </row>
    <row r="7328">
      <c r="BB7328" s="122"/>
      <c r="BC7328" s="141"/>
    </row>
    <row r="7329">
      <c r="BB7329" s="122"/>
      <c r="BC7329" s="141"/>
    </row>
    <row r="7330">
      <c r="BB7330" s="122"/>
      <c r="BC7330" s="141"/>
    </row>
    <row r="7331">
      <c r="BB7331" s="122"/>
      <c r="BC7331" s="141"/>
    </row>
    <row r="7332">
      <c r="BB7332" s="122"/>
      <c r="BC7332" s="141"/>
    </row>
    <row r="7333">
      <c r="BB7333" s="122"/>
      <c r="BC7333" s="141"/>
    </row>
    <row r="7334">
      <c r="BB7334" s="122"/>
      <c r="BC7334" s="141"/>
    </row>
    <row r="7335">
      <c r="BB7335" s="122"/>
      <c r="BC7335" s="141"/>
    </row>
    <row r="7336">
      <c r="BB7336" s="122"/>
      <c r="BC7336" s="141"/>
    </row>
    <row r="7337">
      <c r="BB7337" s="122"/>
      <c r="BC7337" s="141"/>
    </row>
    <row r="7338">
      <c r="BB7338" s="122"/>
      <c r="BC7338" s="141"/>
    </row>
    <row r="7339">
      <c r="BB7339" s="122"/>
      <c r="BC7339" s="141"/>
    </row>
    <row r="7340">
      <c r="BB7340" s="122"/>
      <c r="BC7340" s="141"/>
    </row>
    <row r="7341">
      <c r="BB7341" s="122"/>
      <c r="BC7341" s="141"/>
    </row>
    <row r="7342">
      <c r="BB7342" s="122"/>
      <c r="BC7342" s="141"/>
    </row>
    <row r="7343">
      <c r="BB7343" s="122"/>
      <c r="BC7343" s="141"/>
    </row>
    <row r="7344">
      <c r="BB7344" s="122"/>
      <c r="BC7344" s="141"/>
    </row>
    <row r="7345">
      <c r="BB7345" s="122"/>
      <c r="BC7345" s="141"/>
    </row>
    <row r="7346">
      <c r="BB7346" s="122"/>
      <c r="BC7346" s="141"/>
    </row>
    <row r="7347">
      <c r="BB7347" s="122"/>
      <c r="BC7347" s="141"/>
    </row>
    <row r="7348">
      <c r="BB7348" s="122"/>
      <c r="BC7348" s="141"/>
    </row>
    <row r="7349">
      <c r="BB7349" s="122"/>
      <c r="BC7349" s="141"/>
    </row>
    <row r="7350">
      <c r="BB7350" s="122"/>
      <c r="BC7350" s="141"/>
    </row>
    <row r="7351">
      <c r="BB7351" s="122"/>
      <c r="BC7351" s="141"/>
    </row>
    <row r="7352">
      <c r="BB7352" s="122"/>
      <c r="BC7352" s="141"/>
    </row>
    <row r="7353">
      <c r="BB7353" s="122"/>
      <c r="BC7353" s="141"/>
    </row>
    <row r="7354">
      <c r="BB7354" s="122"/>
      <c r="BC7354" s="141"/>
    </row>
    <row r="7355">
      <c r="BB7355" s="122"/>
      <c r="BC7355" s="141"/>
    </row>
    <row r="7356">
      <c r="BB7356" s="122"/>
      <c r="BC7356" s="141"/>
    </row>
    <row r="7357">
      <c r="BB7357" s="122"/>
      <c r="BC7357" s="141"/>
    </row>
    <row r="7358">
      <c r="BB7358" s="122"/>
      <c r="BC7358" s="141"/>
    </row>
    <row r="7359">
      <c r="BB7359" s="122"/>
      <c r="BC7359" s="141"/>
    </row>
    <row r="7360">
      <c r="BB7360" s="122"/>
      <c r="BC7360" s="141"/>
    </row>
    <row r="7361">
      <c r="BB7361" s="122"/>
      <c r="BC7361" s="141"/>
    </row>
    <row r="7362">
      <c r="BB7362" s="122"/>
      <c r="BC7362" s="141"/>
    </row>
    <row r="7363">
      <c r="BB7363" s="122"/>
      <c r="BC7363" s="141"/>
    </row>
    <row r="7364">
      <c r="BB7364" s="122"/>
      <c r="BC7364" s="141"/>
    </row>
    <row r="7365">
      <c r="BB7365" s="122"/>
      <c r="BC7365" s="141"/>
    </row>
    <row r="7366">
      <c r="BB7366" s="122"/>
      <c r="BC7366" s="141"/>
    </row>
    <row r="7367">
      <c r="BB7367" s="122"/>
      <c r="BC7367" s="141"/>
    </row>
    <row r="7368">
      <c r="BB7368" s="122"/>
      <c r="BC7368" s="141"/>
    </row>
    <row r="7369">
      <c r="BB7369" s="122"/>
      <c r="BC7369" s="141"/>
    </row>
    <row r="7370">
      <c r="BB7370" s="122"/>
      <c r="BC7370" s="141"/>
    </row>
    <row r="7371">
      <c r="BB7371" s="122"/>
      <c r="BC7371" s="141"/>
    </row>
    <row r="7372">
      <c r="BB7372" s="122"/>
      <c r="BC7372" s="141"/>
    </row>
    <row r="7373">
      <c r="BB7373" s="122"/>
      <c r="BC7373" s="141"/>
    </row>
    <row r="7374">
      <c r="BB7374" s="122"/>
      <c r="BC7374" s="141"/>
    </row>
    <row r="7375">
      <c r="BB7375" s="122"/>
      <c r="BC7375" s="141"/>
    </row>
    <row r="7376">
      <c r="BB7376" s="122"/>
      <c r="BC7376" s="141"/>
    </row>
    <row r="7377">
      <c r="BB7377" s="122"/>
      <c r="BC7377" s="141"/>
    </row>
    <row r="7378">
      <c r="BB7378" s="122"/>
      <c r="BC7378" s="141"/>
    </row>
    <row r="7379">
      <c r="BB7379" s="122"/>
      <c r="BC7379" s="141"/>
    </row>
    <row r="7380">
      <c r="BB7380" s="122"/>
      <c r="BC7380" s="141"/>
    </row>
    <row r="7381">
      <c r="BB7381" s="122"/>
      <c r="BC7381" s="141"/>
    </row>
    <row r="7382">
      <c r="BB7382" s="122"/>
      <c r="BC7382" s="141"/>
    </row>
    <row r="7383">
      <c r="BB7383" s="122"/>
      <c r="BC7383" s="141"/>
    </row>
    <row r="7384">
      <c r="BB7384" s="122"/>
      <c r="BC7384" s="141"/>
    </row>
    <row r="7385">
      <c r="BB7385" s="122"/>
      <c r="BC7385" s="141"/>
    </row>
    <row r="7386">
      <c r="BB7386" s="122"/>
      <c r="BC7386" s="141"/>
    </row>
    <row r="7387">
      <c r="BB7387" s="122"/>
      <c r="BC7387" s="141"/>
    </row>
    <row r="7388">
      <c r="BB7388" s="122"/>
      <c r="BC7388" s="141"/>
    </row>
    <row r="7389">
      <c r="BB7389" s="122"/>
      <c r="BC7389" s="141"/>
    </row>
    <row r="7390">
      <c r="BB7390" s="122"/>
      <c r="BC7390" s="141"/>
    </row>
    <row r="7391">
      <c r="BB7391" s="122"/>
      <c r="BC7391" s="141"/>
    </row>
    <row r="7392">
      <c r="BB7392" s="122"/>
      <c r="BC7392" s="141"/>
    </row>
    <row r="7393">
      <c r="BB7393" s="122"/>
      <c r="BC7393" s="141"/>
    </row>
    <row r="7394">
      <c r="BB7394" s="122"/>
      <c r="BC7394" s="141"/>
    </row>
    <row r="7395">
      <c r="BB7395" s="122"/>
      <c r="BC7395" s="141"/>
    </row>
    <row r="7396">
      <c r="BB7396" s="122"/>
      <c r="BC7396" s="141"/>
    </row>
    <row r="7397">
      <c r="BB7397" s="122"/>
      <c r="BC7397" s="141"/>
    </row>
    <row r="7398">
      <c r="BB7398" s="122"/>
      <c r="BC7398" s="141"/>
    </row>
    <row r="7399">
      <c r="BB7399" s="122"/>
      <c r="BC7399" s="141"/>
    </row>
    <row r="7400">
      <c r="BB7400" s="122"/>
      <c r="BC7400" s="141"/>
    </row>
    <row r="7401">
      <c r="BB7401" s="122"/>
      <c r="BC7401" s="141"/>
    </row>
    <row r="7402">
      <c r="BB7402" s="122"/>
      <c r="BC7402" s="141"/>
    </row>
    <row r="7403">
      <c r="BB7403" s="122"/>
      <c r="BC7403" s="141"/>
    </row>
    <row r="7404">
      <c r="BB7404" s="122"/>
      <c r="BC7404" s="141"/>
    </row>
    <row r="7405">
      <c r="BB7405" s="122"/>
      <c r="BC7405" s="141"/>
    </row>
    <row r="7406">
      <c r="BB7406" s="122"/>
      <c r="BC7406" s="141"/>
    </row>
    <row r="7407">
      <c r="BB7407" s="122"/>
      <c r="BC7407" s="141"/>
    </row>
    <row r="7408">
      <c r="BB7408" s="122"/>
      <c r="BC7408" s="141"/>
    </row>
    <row r="7409">
      <c r="BB7409" s="122"/>
      <c r="BC7409" s="141"/>
    </row>
    <row r="7410">
      <c r="BB7410" s="122"/>
      <c r="BC7410" s="141"/>
    </row>
    <row r="7411">
      <c r="BB7411" s="122"/>
      <c r="BC7411" s="141"/>
    </row>
    <row r="7412">
      <c r="BB7412" s="122"/>
      <c r="BC7412" s="141"/>
    </row>
    <row r="7413">
      <c r="BB7413" s="122"/>
      <c r="BC7413" s="141"/>
    </row>
    <row r="7414">
      <c r="BB7414" s="122"/>
      <c r="BC7414" s="141"/>
    </row>
    <row r="7415">
      <c r="BB7415" s="122"/>
      <c r="BC7415" s="141"/>
    </row>
    <row r="7416">
      <c r="BB7416" s="122"/>
      <c r="BC7416" s="141"/>
    </row>
    <row r="7417">
      <c r="BB7417" s="122"/>
      <c r="BC7417" s="141"/>
    </row>
    <row r="7418">
      <c r="BB7418" s="122"/>
      <c r="BC7418" s="141"/>
    </row>
    <row r="7419">
      <c r="BB7419" s="122"/>
      <c r="BC7419" s="141"/>
    </row>
    <row r="7420">
      <c r="BB7420" s="122"/>
      <c r="BC7420" s="141"/>
    </row>
    <row r="7421">
      <c r="BB7421" s="122"/>
      <c r="BC7421" s="141"/>
    </row>
    <row r="7422">
      <c r="BB7422" s="122"/>
      <c r="BC7422" s="141"/>
    </row>
    <row r="7423">
      <c r="BB7423" s="122"/>
      <c r="BC7423" s="141"/>
    </row>
    <row r="7424">
      <c r="BB7424" s="122"/>
      <c r="BC7424" s="141"/>
    </row>
    <row r="7425">
      <c r="BB7425" s="122"/>
      <c r="BC7425" s="141"/>
    </row>
    <row r="7426">
      <c r="BB7426" s="122"/>
      <c r="BC7426" s="141"/>
    </row>
    <row r="7427">
      <c r="BB7427" s="122"/>
      <c r="BC7427" s="141"/>
    </row>
    <row r="7428">
      <c r="BB7428" s="122"/>
      <c r="BC7428" s="141"/>
    </row>
    <row r="7429">
      <c r="BB7429" s="122"/>
      <c r="BC7429" s="141"/>
    </row>
    <row r="7430">
      <c r="BB7430" s="122"/>
      <c r="BC7430" s="141"/>
    </row>
    <row r="7431">
      <c r="BB7431" s="122"/>
      <c r="BC7431" s="141"/>
    </row>
    <row r="7432">
      <c r="BB7432" s="122"/>
      <c r="BC7432" s="141"/>
    </row>
    <row r="7433">
      <c r="BB7433" s="122"/>
      <c r="BC7433" s="141"/>
    </row>
    <row r="7434">
      <c r="BB7434" s="122"/>
      <c r="BC7434" s="141"/>
    </row>
    <row r="7435">
      <c r="BB7435" s="122"/>
      <c r="BC7435" s="141"/>
    </row>
    <row r="7436">
      <c r="BB7436" s="122"/>
      <c r="BC7436" s="141"/>
    </row>
    <row r="7437">
      <c r="BB7437" s="122"/>
      <c r="BC7437" s="141"/>
    </row>
    <row r="7438">
      <c r="BB7438" s="122"/>
      <c r="BC7438" s="141"/>
    </row>
    <row r="7439">
      <c r="BB7439" s="122"/>
      <c r="BC7439" s="141"/>
    </row>
    <row r="7440">
      <c r="BB7440" s="122"/>
      <c r="BC7440" s="141"/>
    </row>
    <row r="7441">
      <c r="BB7441" s="122"/>
      <c r="BC7441" s="141"/>
    </row>
    <row r="7442">
      <c r="BB7442" s="122"/>
      <c r="BC7442" s="141"/>
    </row>
    <row r="7443">
      <c r="BB7443" s="122"/>
      <c r="BC7443" s="141"/>
    </row>
    <row r="7444">
      <c r="BB7444" s="122"/>
      <c r="BC7444" s="141"/>
    </row>
    <row r="7445">
      <c r="BB7445" s="122"/>
      <c r="BC7445" s="141"/>
    </row>
    <row r="7446">
      <c r="BB7446" s="122"/>
      <c r="BC7446" s="141"/>
    </row>
    <row r="7447">
      <c r="BB7447" s="122"/>
      <c r="BC7447" s="141"/>
    </row>
    <row r="7448">
      <c r="BB7448" s="122"/>
      <c r="BC7448" s="141"/>
    </row>
    <row r="7449">
      <c r="BB7449" s="122"/>
      <c r="BC7449" s="141"/>
    </row>
    <row r="7450">
      <c r="BB7450" s="122"/>
      <c r="BC7450" s="141"/>
    </row>
    <row r="7451">
      <c r="BB7451" s="122"/>
      <c r="BC7451" s="141"/>
    </row>
    <row r="7452">
      <c r="BB7452" s="122"/>
      <c r="BC7452" s="141"/>
    </row>
    <row r="7453">
      <c r="BB7453" s="122"/>
      <c r="BC7453" s="141"/>
    </row>
    <row r="7454">
      <c r="BB7454" s="122"/>
      <c r="BC7454" s="141"/>
    </row>
    <row r="7455">
      <c r="BB7455" s="122"/>
      <c r="BC7455" s="141"/>
    </row>
    <row r="7456">
      <c r="BB7456" s="122"/>
      <c r="BC7456" s="141"/>
    </row>
    <row r="7457">
      <c r="BB7457" s="122"/>
      <c r="BC7457" s="141"/>
    </row>
    <row r="7458">
      <c r="BB7458" s="122"/>
      <c r="BC7458" s="141"/>
    </row>
    <row r="7459">
      <c r="BB7459" s="122"/>
      <c r="BC7459" s="141"/>
    </row>
    <row r="7460">
      <c r="BB7460" s="122"/>
      <c r="BC7460" s="141"/>
    </row>
    <row r="7461">
      <c r="BB7461" s="122"/>
      <c r="BC7461" s="141"/>
    </row>
    <row r="7462">
      <c r="BB7462" s="122"/>
      <c r="BC7462" s="141"/>
    </row>
    <row r="7463">
      <c r="BB7463" s="122"/>
      <c r="BC7463" s="141"/>
    </row>
    <row r="7464">
      <c r="BB7464" s="122"/>
      <c r="BC7464" s="141"/>
    </row>
    <row r="7465">
      <c r="BB7465" s="122"/>
      <c r="BC7465" s="141"/>
    </row>
    <row r="7466">
      <c r="BB7466" s="122"/>
      <c r="BC7466" s="141"/>
    </row>
    <row r="7467">
      <c r="BB7467" s="122"/>
      <c r="BC7467" s="141"/>
    </row>
    <row r="7468">
      <c r="BB7468" s="122"/>
      <c r="BC7468" s="141"/>
    </row>
    <row r="7469">
      <c r="BB7469" s="122"/>
      <c r="BC7469" s="141"/>
    </row>
    <row r="7470">
      <c r="BB7470" s="122"/>
      <c r="BC7470" s="141"/>
    </row>
    <row r="7471">
      <c r="BB7471" s="122"/>
      <c r="BC7471" s="141"/>
    </row>
    <row r="7472">
      <c r="BB7472" s="122"/>
      <c r="BC7472" s="141"/>
    </row>
    <row r="7473">
      <c r="BB7473" s="122"/>
      <c r="BC7473" s="141"/>
    </row>
    <row r="7474">
      <c r="BB7474" s="122"/>
      <c r="BC7474" s="141"/>
    </row>
    <row r="7475">
      <c r="BB7475" s="122"/>
      <c r="BC7475" s="141"/>
    </row>
    <row r="7476">
      <c r="BB7476" s="122"/>
      <c r="BC7476" s="141"/>
    </row>
    <row r="7477">
      <c r="BB7477" s="122"/>
      <c r="BC7477" s="141"/>
    </row>
    <row r="7478">
      <c r="BB7478" s="122"/>
      <c r="BC7478" s="141"/>
    </row>
    <row r="7479">
      <c r="BB7479" s="122"/>
      <c r="BC7479" s="141"/>
    </row>
    <row r="7480">
      <c r="BB7480" s="122"/>
      <c r="BC7480" s="141"/>
    </row>
    <row r="7481">
      <c r="BB7481" s="122"/>
      <c r="BC7481" s="141"/>
    </row>
    <row r="7482">
      <c r="BB7482" s="122"/>
      <c r="BC7482" s="141"/>
    </row>
    <row r="7483">
      <c r="BB7483" s="122"/>
      <c r="BC7483" s="141"/>
    </row>
    <row r="7484">
      <c r="BB7484" s="122"/>
      <c r="BC7484" s="141"/>
    </row>
    <row r="7485">
      <c r="BB7485" s="122"/>
      <c r="BC7485" s="141"/>
    </row>
    <row r="7486">
      <c r="BB7486" s="122"/>
      <c r="BC7486" s="141"/>
    </row>
    <row r="7487">
      <c r="BB7487" s="122"/>
      <c r="BC7487" s="141"/>
    </row>
    <row r="7488">
      <c r="BB7488" s="122"/>
      <c r="BC7488" s="141"/>
    </row>
    <row r="7489">
      <c r="BB7489" s="122"/>
      <c r="BC7489" s="141"/>
    </row>
    <row r="7490">
      <c r="BB7490" s="122"/>
      <c r="BC7490" s="141"/>
    </row>
    <row r="7491">
      <c r="BB7491" s="122"/>
      <c r="BC7491" s="141"/>
    </row>
    <row r="7492">
      <c r="BB7492" s="122"/>
      <c r="BC7492" s="141"/>
    </row>
    <row r="7493">
      <c r="BB7493" s="122"/>
      <c r="BC7493" s="141"/>
    </row>
    <row r="7494">
      <c r="BB7494" s="122"/>
      <c r="BC7494" s="141"/>
    </row>
    <row r="7495">
      <c r="BB7495" s="122"/>
      <c r="BC7495" s="141"/>
    </row>
    <row r="7496">
      <c r="BB7496" s="122"/>
      <c r="BC7496" s="141"/>
    </row>
    <row r="7497">
      <c r="BB7497" s="122"/>
      <c r="BC7497" s="141"/>
    </row>
    <row r="7498">
      <c r="BB7498" s="122"/>
      <c r="BC7498" s="141"/>
    </row>
    <row r="7499">
      <c r="BB7499" s="122"/>
      <c r="BC7499" s="141"/>
    </row>
    <row r="7500">
      <c r="BB7500" s="122"/>
      <c r="BC7500" s="141"/>
    </row>
    <row r="7501">
      <c r="BB7501" s="122"/>
      <c r="BC7501" s="141"/>
    </row>
    <row r="7502">
      <c r="BB7502" s="122"/>
      <c r="BC7502" s="141"/>
    </row>
    <row r="7503">
      <c r="BB7503" s="122"/>
      <c r="BC7503" s="141"/>
    </row>
    <row r="7504">
      <c r="BB7504" s="122"/>
      <c r="BC7504" s="141"/>
    </row>
    <row r="7505">
      <c r="BB7505" s="122"/>
      <c r="BC7505" s="141"/>
    </row>
    <row r="7506">
      <c r="BB7506" s="122"/>
      <c r="BC7506" s="141"/>
    </row>
    <row r="7507">
      <c r="BB7507" s="122"/>
      <c r="BC7507" s="141"/>
    </row>
    <row r="7508">
      <c r="BB7508" s="122"/>
      <c r="BC7508" s="141"/>
    </row>
    <row r="7509">
      <c r="BB7509" s="122"/>
      <c r="BC7509" s="141"/>
    </row>
    <row r="7510">
      <c r="BB7510" s="122"/>
      <c r="BC7510" s="141"/>
    </row>
    <row r="7511">
      <c r="BB7511" s="122"/>
      <c r="BC7511" s="141"/>
    </row>
    <row r="7512">
      <c r="BB7512" s="122"/>
      <c r="BC7512" s="141"/>
    </row>
    <row r="7513">
      <c r="BB7513" s="122"/>
      <c r="BC7513" s="141"/>
    </row>
    <row r="7514">
      <c r="BB7514" s="122"/>
      <c r="BC7514" s="141"/>
    </row>
    <row r="7515">
      <c r="BB7515" s="122"/>
      <c r="BC7515" s="141"/>
    </row>
    <row r="7516">
      <c r="BB7516" s="122"/>
      <c r="BC7516" s="141"/>
    </row>
    <row r="7517">
      <c r="BB7517" s="122"/>
      <c r="BC7517" s="141"/>
    </row>
    <row r="7518">
      <c r="BB7518" s="122"/>
      <c r="BC7518" s="141"/>
    </row>
    <row r="7519">
      <c r="BB7519" s="122"/>
      <c r="BC7519" s="141"/>
    </row>
    <row r="7520">
      <c r="BB7520" s="122"/>
      <c r="BC7520" s="141"/>
    </row>
    <row r="7521">
      <c r="BB7521" s="122"/>
      <c r="BC7521" s="141"/>
    </row>
    <row r="7522">
      <c r="BB7522" s="122"/>
      <c r="BC7522" s="141"/>
    </row>
    <row r="7523">
      <c r="BB7523" s="122"/>
      <c r="BC7523" s="141"/>
    </row>
    <row r="7524">
      <c r="BB7524" s="122"/>
      <c r="BC7524" s="141"/>
    </row>
    <row r="7525">
      <c r="BB7525" s="122"/>
      <c r="BC7525" s="141"/>
    </row>
    <row r="7526">
      <c r="BB7526" s="122"/>
      <c r="BC7526" s="141"/>
    </row>
    <row r="7527">
      <c r="BB7527" s="122"/>
      <c r="BC7527" s="141"/>
    </row>
    <row r="7528">
      <c r="BB7528" s="122"/>
      <c r="BC7528" s="141"/>
    </row>
    <row r="7529">
      <c r="BB7529" s="122"/>
      <c r="BC7529" s="141"/>
    </row>
    <row r="7530">
      <c r="BB7530" s="122"/>
      <c r="BC7530" s="141"/>
    </row>
    <row r="7531">
      <c r="BB7531" s="122"/>
      <c r="BC7531" s="141"/>
    </row>
    <row r="7532">
      <c r="BB7532" s="122"/>
      <c r="BC7532" s="141"/>
    </row>
    <row r="7533">
      <c r="BB7533" s="122"/>
      <c r="BC7533" s="141"/>
    </row>
    <row r="7534">
      <c r="BB7534" s="122"/>
      <c r="BC7534" s="141"/>
    </row>
    <row r="7535">
      <c r="BB7535" s="122"/>
      <c r="BC7535" s="141"/>
    </row>
    <row r="7536">
      <c r="BB7536" s="122"/>
      <c r="BC7536" s="141"/>
    </row>
    <row r="7537">
      <c r="BB7537" s="122"/>
      <c r="BC7537" s="141"/>
    </row>
    <row r="7538">
      <c r="BB7538" s="122"/>
      <c r="BC7538" s="141"/>
    </row>
    <row r="7539">
      <c r="BB7539" s="122"/>
      <c r="BC7539" s="141"/>
    </row>
    <row r="7540">
      <c r="BB7540" s="122"/>
      <c r="BC7540" s="141"/>
    </row>
    <row r="7541">
      <c r="BB7541" s="122"/>
      <c r="BC7541" s="141"/>
    </row>
    <row r="7542">
      <c r="BB7542" s="122"/>
      <c r="BC7542" s="141"/>
    </row>
    <row r="7543">
      <c r="BB7543" s="122"/>
      <c r="BC7543" s="141"/>
    </row>
    <row r="7544">
      <c r="BB7544" s="122"/>
      <c r="BC7544" s="141"/>
    </row>
    <row r="7545">
      <c r="BB7545" s="122"/>
      <c r="BC7545" s="141"/>
    </row>
    <row r="7546">
      <c r="BB7546" s="122"/>
      <c r="BC7546" s="141"/>
    </row>
    <row r="7547">
      <c r="BB7547" s="122"/>
      <c r="BC7547" s="141"/>
    </row>
    <row r="7548">
      <c r="BB7548" s="122"/>
      <c r="BC7548" s="141"/>
    </row>
    <row r="7549">
      <c r="BB7549" s="122"/>
      <c r="BC7549" s="141"/>
    </row>
    <row r="7550">
      <c r="BB7550" s="122"/>
      <c r="BC7550" s="141"/>
    </row>
    <row r="7551">
      <c r="BB7551" s="122"/>
      <c r="BC7551" s="141"/>
    </row>
    <row r="7552">
      <c r="BB7552" s="122"/>
      <c r="BC7552" s="141"/>
    </row>
    <row r="7553">
      <c r="BB7553" s="122"/>
      <c r="BC7553" s="141"/>
    </row>
    <row r="7554">
      <c r="BB7554" s="122"/>
      <c r="BC7554" s="141"/>
    </row>
    <row r="7555">
      <c r="BB7555" s="122"/>
      <c r="BC7555" s="141"/>
    </row>
    <row r="7556">
      <c r="BB7556" s="122"/>
      <c r="BC7556" s="141"/>
    </row>
    <row r="7557">
      <c r="BB7557" s="122"/>
      <c r="BC7557" s="141"/>
    </row>
    <row r="7558">
      <c r="BB7558" s="122"/>
      <c r="BC7558" s="141"/>
    </row>
    <row r="7559">
      <c r="BB7559" s="122"/>
      <c r="BC7559" s="141"/>
    </row>
    <row r="7560">
      <c r="BB7560" s="122"/>
      <c r="BC7560" s="141"/>
    </row>
    <row r="7561">
      <c r="BB7561" s="122"/>
      <c r="BC7561" s="141"/>
    </row>
    <row r="7562">
      <c r="BB7562" s="122"/>
      <c r="BC7562" s="141"/>
    </row>
    <row r="7563">
      <c r="BB7563" s="122"/>
      <c r="BC7563" s="141"/>
    </row>
    <row r="7564">
      <c r="BB7564" s="122"/>
      <c r="BC7564" s="141"/>
    </row>
    <row r="7565">
      <c r="BB7565" s="122"/>
      <c r="BC7565" s="141"/>
    </row>
    <row r="7566">
      <c r="BB7566" s="122"/>
      <c r="BC7566" s="141"/>
    </row>
    <row r="7567">
      <c r="BB7567" s="122"/>
      <c r="BC7567" s="141"/>
    </row>
    <row r="7568">
      <c r="BB7568" s="122"/>
      <c r="BC7568" s="141"/>
    </row>
    <row r="7569">
      <c r="BB7569" s="122"/>
      <c r="BC7569" s="141"/>
    </row>
    <row r="7570">
      <c r="BB7570" s="122"/>
      <c r="BC7570" s="141"/>
    </row>
    <row r="7571">
      <c r="BB7571" s="122"/>
      <c r="BC7571" s="141"/>
    </row>
    <row r="7572">
      <c r="BB7572" s="122"/>
      <c r="BC7572" s="141"/>
    </row>
    <row r="7573">
      <c r="BB7573" s="122"/>
      <c r="BC7573" s="141"/>
    </row>
    <row r="7574">
      <c r="BB7574" s="122"/>
      <c r="BC7574" s="141"/>
    </row>
    <row r="7575">
      <c r="BB7575" s="122"/>
      <c r="BC7575" s="141"/>
    </row>
    <row r="7576">
      <c r="BB7576" s="122"/>
      <c r="BC7576" s="141"/>
    </row>
    <row r="7577">
      <c r="BB7577" s="122"/>
      <c r="BC7577" s="141"/>
    </row>
    <row r="7578">
      <c r="BB7578" s="122"/>
      <c r="BC7578" s="141"/>
    </row>
    <row r="7579">
      <c r="BB7579" s="122"/>
      <c r="BC7579" s="141"/>
    </row>
    <row r="7580">
      <c r="BB7580" s="122"/>
      <c r="BC7580" s="141"/>
    </row>
    <row r="7581">
      <c r="BB7581" s="122"/>
      <c r="BC7581" s="141"/>
    </row>
    <row r="7582">
      <c r="BB7582" s="122"/>
      <c r="BC7582" s="141"/>
    </row>
    <row r="7583">
      <c r="BB7583" s="122"/>
      <c r="BC7583" s="141"/>
    </row>
    <row r="7584">
      <c r="BB7584" s="122"/>
      <c r="BC7584" s="141"/>
    </row>
    <row r="7585">
      <c r="BB7585" s="122"/>
      <c r="BC7585" s="141"/>
    </row>
    <row r="7586">
      <c r="BB7586" s="122"/>
      <c r="BC7586" s="141"/>
    </row>
    <row r="7587">
      <c r="BB7587" s="122"/>
      <c r="BC7587" s="141"/>
    </row>
    <row r="7588">
      <c r="BB7588" s="122"/>
      <c r="BC7588" s="141"/>
    </row>
    <row r="7589">
      <c r="BB7589" s="122"/>
      <c r="BC7589" s="141"/>
    </row>
    <row r="7590">
      <c r="BB7590" s="122"/>
      <c r="BC7590" s="141"/>
    </row>
    <row r="7591">
      <c r="BB7591" s="122"/>
      <c r="BC7591" s="141"/>
    </row>
    <row r="7592">
      <c r="BB7592" s="122"/>
      <c r="BC7592" s="141"/>
    </row>
    <row r="7593">
      <c r="BB7593" s="122"/>
      <c r="BC7593" s="141"/>
    </row>
    <row r="7594">
      <c r="BB7594" s="122"/>
      <c r="BC7594" s="141"/>
    </row>
    <row r="7595">
      <c r="BB7595" s="122"/>
      <c r="BC7595" s="141"/>
    </row>
    <row r="7596">
      <c r="BB7596" s="122"/>
      <c r="BC7596" s="141"/>
    </row>
    <row r="7597">
      <c r="BB7597" s="122"/>
      <c r="BC7597" s="141"/>
    </row>
    <row r="7598">
      <c r="BB7598" s="122"/>
      <c r="BC7598" s="141"/>
    </row>
    <row r="7599">
      <c r="BB7599" s="122"/>
      <c r="BC7599" s="141"/>
    </row>
    <row r="7600">
      <c r="BB7600" s="122"/>
      <c r="BC7600" s="141"/>
    </row>
    <row r="7601">
      <c r="BB7601" s="122"/>
      <c r="BC7601" s="141"/>
    </row>
    <row r="7602">
      <c r="BB7602" s="122"/>
      <c r="BC7602" s="141"/>
    </row>
    <row r="7603">
      <c r="BB7603" s="122"/>
      <c r="BC7603" s="141"/>
    </row>
    <row r="7604">
      <c r="BB7604" s="122"/>
      <c r="BC7604" s="141"/>
    </row>
    <row r="7605">
      <c r="BB7605" s="122"/>
      <c r="BC7605" s="141"/>
    </row>
    <row r="7606">
      <c r="BB7606" s="122"/>
      <c r="BC7606" s="141"/>
    </row>
    <row r="7607">
      <c r="BB7607" s="122"/>
      <c r="BC7607" s="141"/>
    </row>
    <row r="7608">
      <c r="BB7608" s="122"/>
      <c r="BC7608" s="141"/>
    </row>
    <row r="7609">
      <c r="BB7609" s="122"/>
      <c r="BC7609" s="141"/>
    </row>
    <row r="7610">
      <c r="BB7610" s="122"/>
      <c r="BC7610" s="141"/>
    </row>
    <row r="7611">
      <c r="BB7611" s="122"/>
      <c r="BC7611" s="141"/>
    </row>
    <row r="7612">
      <c r="BB7612" s="122"/>
      <c r="BC7612" s="141"/>
    </row>
    <row r="7613">
      <c r="BB7613" s="122"/>
      <c r="BC7613" s="141"/>
    </row>
    <row r="7614">
      <c r="BB7614" s="122"/>
      <c r="BC7614" s="141"/>
    </row>
    <row r="7615">
      <c r="BB7615" s="122"/>
      <c r="BC7615" s="141"/>
    </row>
    <row r="7616">
      <c r="BB7616" s="122"/>
      <c r="BC7616" s="141"/>
    </row>
    <row r="7617">
      <c r="BB7617" s="122"/>
      <c r="BC7617" s="141"/>
    </row>
    <row r="7618">
      <c r="BB7618" s="122"/>
      <c r="BC7618" s="141"/>
    </row>
    <row r="7619">
      <c r="BB7619" s="122"/>
      <c r="BC7619" s="141"/>
    </row>
    <row r="7620">
      <c r="BB7620" s="122"/>
      <c r="BC7620" s="141"/>
    </row>
    <row r="7621">
      <c r="BB7621" s="122"/>
      <c r="BC7621" s="141"/>
    </row>
    <row r="7622">
      <c r="BB7622" s="122"/>
      <c r="BC7622" s="141"/>
    </row>
    <row r="7623">
      <c r="BB7623" s="122"/>
      <c r="BC7623" s="141"/>
    </row>
    <row r="7624">
      <c r="BB7624" s="122"/>
      <c r="BC7624" s="141"/>
    </row>
    <row r="7625">
      <c r="BB7625" s="122"/>
      <c r="BC7625" s="141"/>
    </row>
    <row r="7626">
      <c r="BB7626" s="122"/>
      <c r="BC7626" s="141"/>
    </row>
    <row r="7627">
      <c r="BB7627" s="122"/>
      <c r="BC7627" s="141"/>
    </row>
    <row r="7628">
      <c r="BB7628" s="122"/>
      <c r="BC7628" s="141"/>
    </row>
    <row r="7629">
      <c r="BB7629" s="122"/>
      <c r="BC7629" s="141"/>
    </row>
    <row r="7630">
      <c r="BB7630" s="122"/>
      <c r="BC7630" s="141"/>
    </row>
    <row r="7631">
      <c r="BB7631" s="122"/>
      <c r="BC7631" s="141"/>
    </row>
    <row r="7632">
      <c r="BB7632" s="122"/>
      <c r="BC7632" s="141"/>
    </row>
    <row r="7633">
      <c r="BB7633" s="122"/>
      <c r="BC7633" s="141"/>
    </row>
    <row r="7634">
      <c r="BB7634" s="122"/>
      <c r="BC7634" s="141"/>
    </row>
    <row r="7635">
      <c r="BB7635" s="122"/>
      <c r="BC7635" s="141"/>
    </row>
    <row r="7636">
      <c r="BB7636" s="122"/>
      <c r="BC7636" s="141"/>
    </row>
    <row r="7637">
      <c r="BB7637" s="122"/>
      <c r="BC7637" s="141"/>
    </row>
    <row r="7638">
      <c r="BB7638" s="122"/>
      <c r="BC7638" s="141"/>
    </row>
    <row r="7639">
      <c r="BB7639" s="122"/>
      <c r="BC7639" s="141"/>
    </row>
    <row r="7640">
      <c r="BB7640" s="122"/>
      <c r="BC7640" s="141"/>
    </row>
    <row r="7641">
      <c r="BB7641" s="122"/>
      <c r="BC7641" s="141"/>
    </row>
    <row r="7642">
      <c r="BB7642" s="122"/>
      <c r="BC7642" s="141"/>
    </row>
    <row r="7643">
      <c r="BB7643" s="122"/>
      <c r="BC7643" s="141"/>
    </row>
    <row r="7644">
      <c r="BB7644" s="122"/>
      <c r="BC7644" s="141"/>
    </row>
    <row r="7645">
      <c r="BB7645" s="122"/>
      <c r="BC7645" s="141"/>
    </row>
    <row r="7646">
      <c r="BB7646" s="122"/>
      <c r="BC7646" s="141"/>
    </row>
    <row r="7647">
      <c r="BB7647" s="122"/>
      <c r="BC7647" s="141"/>
    </row>
    <row r="7648">
      <c r="BB7648" s="122"/>
      <c r="BC7648" s="141"/>
    </row>
    <row r="7649">
      <c r="BB7649" s="122"/>
      <c r="BC7649" s="141"/>
    </row>
    <row r="7650">
      <c r="BB7650" s="122"/>
      <c r="BC7650" s="141"/>
    </row>
    <row r="7651">
      <c r="BB7651" s="122"/>
      <c r="BC7651" s="141"/>
    </row>
    <row r="7652">
      <c r="BB7652" s="122"/>
      <c r="BC7652" s="141"/>
    </row>
    <row r="7653">
      <c r="BB7653" s="122"/>
      <c r="BC7653" s="141"/>
    </row>
    <row r="7654">
      <c r="BB7654" s="122"/>
      <c r="BC7654" s="141"/>
    </row>
    <row r="7655">
      <c r="BB7655" s="122"/>
      <c r="BC7655" s="141"/>
    </row>
    <row r="7656">
      <c r="BB7656" s="122"/>
      <c r="BC7656" s="141"/>
    </row>
    <row r="7657">
      <c r="BB7657" s="122"/>
      <c r="BC7657" s="141"/>
    </row>
    <row r="7658">
      <c r="BB7658" s="122"/>
      <c r="BC7658" s="141"/>
    </row>
    <row r="7659">
      <c r="BB7659" s="122"/>
      <c r="BC7659" s="141"/>
    </row>
    <row r="7660">
      <c r="BB7660" s="122"/>
      <c r="BC7660" s="141"/>
    </row>
    <row r="7661">
      <c r="BB7661" s="122"/>
      <c r="BC7661" s="141"/>
    </row>
    <row r="7662">
      <c r="BB7662" s="122"/>
      <c r="BC7662" s="141"/>
    </row>
    <row r="7663">
      <c r="BB7663" s="122"/>
      <c r="BC7663" s="141"/>
    </row>
    <row r="7664">
      <c r="BB7664" s="122"/>
      <c r="BC7664" s="141"/>
    </row>
    <row r="7665">
      <c r="BB7665" s="122"/>
      <c r="BC7665" s="141"/>
    </row>
    <row r="7666">
      <c r="BB7666" s="122"/>
      <c r="BC7666" s="141"/>
    </row>
    <row r="7667">
      <c r="BB7667" s="122"/>
      <c r="BC7667" s="141"/>
    </row>
    <row r="7668">
      <c r="BB7668" s="122"/>
      <c r="BC7668" s="141"/>
    </row>
    <row r="7669">
      <c r="BB7669" s="122"/>
      <c r="BC7669" s="141"/>
    </row>
    <row r="7670">
      <c r="BB7670" s="122"/>
      <c r="BC7670" s="141"/>
    </row>
    <row r="7671">
      <c r="BB7671" s="122"/>
      <c r="BC7671" s="141"/>
    </row>
    <row r="7672">
      <c r="BB7672" s="122"/>
      <c r="BC7672" s="141"/>
    </row>
    <row r="7673">
      <c r="BB7673" s="122"/>
      <c r="BC7673" s="141"/>
    </row>
    <row r="7674">
      <c r="BB7674" s="122"/>
      <c r="BC7674" s="141"/>
    </row>
    <row r="7675">
      <c r="BB7675" s="122"/>
      <c r="BC7675" s="141"/>
    </row>
    <row r="7676">
      <c r="BB7676" s="122"/>
      <c r="BC7676" s="141"/>
    </row>
    <row r="7677">
      <c r="BB7677" s="122"/>
      <c r="BC7677" s="141"/>
    </row>
    <row r="7678">
      <c r="BB7678" s="122"/>
      <c r="BC7678" s="141"/>
    </row>
    <row r="7679">
      <c r="BB7679" s="122"/>
      <c r="BC7679" s="141"/>
    </row>
    <row r="7680">
      <c r="BB7680" s="122"/>
      <c r="BC7680" s="141"/>
    </row>
    <row r="7681">
      <c r="BB7681" s="122"/>
      <c r="BC7681" s="141"/>
    </row>
    <row r="7682">
      <c r="BB7682" s="122"/>
      <c r="BC7682" s="141"/>
    </row>
    <row r="7683">
      <c r="BB7683" s="122"/>
      <c r="BC7683" s="141"/>
    </row>
    <row r="7684">
      <c r="BB7684" s="122"/>
      <c r="BC7684" s="141"/>
    </row>
    <row r="7685">
      <c r="BB7685" s="122"/>
      <c r="BC7685" s="141"/>
    </row>
    <row r="7686">
      <c r="BB7686" s="122"/>
      <c r="BC7686" s="141"/>
    </row>
    <row r="7687">
      <c r="BB7687" s="122"/>
      <c r="BC7687" s="141"/>
    </row>
    <row r="7688">
      <c r="BB7688" s="122"/>
      <c r="BC7688" s="141"/>
    </row>
    <row r="7689">
      <c r="BB7689" s="122"/>
      <c r="BC7689" s="141"/>
    </row>
    <row r="7690">
      <c r="BB7690" s="122"/>
      <c r="BC7690" s="141"/>
    </row>
    <row r="7691">
      <c r="BB7691" s="122"/>
      <c r="BC7691" s="141"/>
    </row>
    <row r="7692">
      <c r="BB7692" s="122"/>
      <c r="BC7692" s="141"/>
    </row>
    <row r="7693">
      <c r="BB7693" s="122"/>
      <c r="BC7693" s="141"/>
    </row>
    <row r="7694">
      <c r="BB7694" s="122"/>
      <c r="BC7694" s="141"/>
    </row>
    <row r="7695">
      <c r="BB7695" s="122"/>
      <c r="BC7695" s="141"/>
    </row>
    <row r="7696">
      <c r="BB7696" s="122"/>
      <c r="BC7696" s="141"/>
    </row>
    <row r="7697">
      <c r="BB7697" s="122"/>
      <c r="BC7697" s="141"/>
    </row>
    <row r="7698">
      <c r="BB7698" s="122"/>
      <c r="BC7698" s="141"/>
    </row>
    <row r="7699">
      <c r="BB7699" s="122"/>
      <c r="BC7699" s="141"/>
    </row>
    <row r="7700">
      <c r="BB7700" s="122"/>
      <c r="BC7700" s="141"/>
    </row>
    <row r="7701">
      <c r="BB7701" s="122"/>
      <c r="BC7701" s="141"/>
    </row>
    <row r="7702">
      <c r="BB7702" s="122"/>
      <c r="BC7702" s="141"/>
    </row>
    <row r="7703">
      <c r="BB7703" s="122"/>
      <c r="BC7703" s="141"/>
    </row>
    <row r="7704">
      <c r="BB7704" s="122"/>
      <c r="BC7704" s="141"/>
    </row>
    <row r="7705">
      <c r="BB7705" s="122"/>
      <c r="BC7705" s="141"/>
    </row>
    <row r="7706">
      <c r="BB7706" s="122"/>
      <c r="BC7706" s="141"/>
    </row>
    <row r="7707">
      <c r="BB7707" s="122"/>
      <c r="BC7707" s="141"/>
    </row>
    <row r="7708">
      <c r="BB7708" s="122"/>
      <c r="BC7708" s="141"/>
    </row>
    <row r="7709">
      <c r="BB7709" s="122"/>
      <c r="BC7709" s="141"/>
    </row>
    <row r="7710">
      <c r="BB7710" s="122"/>
      <c r="BC7710" s="141"/>
    </row>
    <row r="7711">
      <c r="BB7711" s="122"/>
      <c r="BC7711" s="141"/>
    </row>
    <row r="7712">
      <c r="BB7712" s="122"/>
      <c r="BC7712" s="141"/>
    </row>
    <row r="7713">
      <c r="BB7713" s="122"/>
      <c r="BC7713" s="141"/>
    </row>
    <row r="7714">
      <c r="BB7714" s="122"/>
      <c r="BC7714" s="141"/>
    </row>
    <row r="7715">
      <c r="BB7715" s="122"/>
      <c r="BC7715" s="141"/>
    </row>
    <row r="7716">
      <c r="BB7716" s="122"/>
      <c r="BC7716" s="141"/>
    </row>
    <row r="7717">
      <c r="BB7717" s="122"/>
      <c r="BC7717" s="141"/>
    </row>
    <row r="7718">
      <c r="BB7718" s="122"/>
      <c r="BC7718" s="141"/>
    </row>
    <row r="7719">
      <c r="BB7719" s="122"/>
      <c r="BC7719" s="141"/>
    </row>
    <row r="7720">
      <c r="BB7720" s="122"/>
      <c r="BC7720" s="141"/>
    </row>
    <row r="7721">
      <c r="BB7721" s="122"/>
      <c r="BC7721" s="141"/>
    </row>
    <row r="7722">
      <c r="BB7722" s="122"/>
      <c r="BC7722" s="141"/>
    </row>
    <row r="7723">
      <c r="BB7723" s="122"/>
      <c r="BC7723" s="141"/>
    </row>
    <row r="7724">
      <c r="BB7724" s="122"/>
      <c r="BC7724" s="141"/>
    </row>
    <row r="7725">
      <c r="BB7725" s="122"/>
      <c r="BC7725" s="141"/>
    </row>
    <row r="7726">
      <c r="BB7726" s="122"/>
      <c r="BC7726" s="141"/>
    </row>
    <row r="7727">
      <c r="BB7727" s="122"/>
      <c r="BC7727" s="141"/>
    </row>
    <row r="7728">
      <c r="BB7728" s="122"/>
      <c r="BC7728" s="141"/>
    </row>
    <row r="7729">
      <c r="BB7729" s="122"/>
      <c r="BC7729" s="141"/>
    </row>
    <row r="7730">
      <c r="BB7730" s="122"/>
      <c r="BC7730" s="141"/>
    </row>
    <row r="7731">
      <c r="BB7731" s="122"/>
      <c r="BC7731" s="141"/>
    </row>
    <row r="7732">
      <c r="BB7732" s="122"/>
      <c r="BC7732" s="141"/>
    </row>
    <row r="7733">
      <c r="BB7733" s="122"/>
      <c r="BC7733" s="141"/>
    </row>
    <row r="7734">
      <c r="BB7734" s="122"/>
      <c r="BC7734" s="141"/>
    </row>
    <row r="7735">
      <c r="BB7735" s="122"/>
      <c r="BC7735" s="141"/>
    </row>
    <row r="7736">
      <c r="BB7736" s="122"/>
      <c r="BC7736" s="141"/>
    </row>
    <row r="7737">
      <c r="BB7737" s="122"/>
      <c r="BC7737" s="141"/>
    </row>
    <row r="7738">
      <c r="BB7738" s="122"/>
      <c r="BC7738" s="141"/>
    </row>
    <row r="7739">
      <c r="BB7739" s="122"/>
      <c r="BC7739" s="141"/>
    </row>
    <row r="7740">
      <c r="BB7740" s="122"/>
      <c r="BC7740" s="141"/>
    </row>
    <row r="7741">
      <c r="BB7741" s="122"/>
      <c r="BC7741" s="141"/>
    </row>
    <row r="7742">
      <c r="BB7742" s="122"/>
      <c r="BC7742" s="141"/>
    </row>
    <row r="7743">
      <c r="BB7743" s="122"/>
      <c r="BC7743" s="141"/>
    </row>
    <row r="7744">
      <c r="BB7744" s="122"/>
      <c r="BC7744" s="141"/>
    </row>
    <row r="7745">
      <c r="BB7745" s="122"/>
      <c r="BC7745" s="141"/>
    </row>
    <row r="7746">
      <c r="BB7746" s="122"/>
      <c r="BC7746" s="141"/>
    </row>
    <row r="7747">
      <c r="BB7747" s="122"/>
      <c r="BC7747" s="141"/>
    </row>
    <row r="7748">
      <c r="BB7748" s="122"/>
      <c r="BC7748" s="141"/>
    </row>
    <row r="7749">
      <c r="BB7749" s="122"/>
      <c r="BC7749" s="141"/>
    </row>
    <row r="7750">
      <c r="BB7750" s="122"/>
      <c r="BC7750" s="141"/>
    </row>
    <row r="7751">
      <c r="BB7751" s="122"/>
      <c r="BC7751" s="141"/>
    </row>
    <row r="7752">
      <c r="BB7752" s="122"/>
      <c r="BC7752" s="141"/>
    </row>
    <row r="7753">
      <c r="BB7753" s="122"/>
      <c r="BC7753" s="141"/>
    </row>
    <row r="7754">
      <c r="BB7754" s="122"/>
      <c r="BC7754" s="141"/>
    </row>
    <row r="7755">
      <c r="BB7755" s="122"/>
      <c r="BC7755" s="141"/>
    </row>
    <row r="7756">
      <c r="BB7756" s="122"/>
      <c r="BC7756" s="141"/>
    </row>
    <row r="7757">
      <c r="BB7757" s="122"/>
      <c r="BC7757" s="141"/>
    </row>
    <row r="7758">
      <c r="BB7758" s="122"/>
      <c r="BC7758" s="141"/>
    </row>
    <row r="7759">
      <c r="BB7759" s="122"/>
      <c r="BC7759" s="141"/>
    </row>
    <row r="7760">
      <c r="BB7760" s="122"/>
      <c r="BC7760" s="141"/>
    </row>
    <row r="7761">
      <c r="BB7761" s="122"/>
      <c r="BC7761" s="141"/>
    </row>
    <row r="7762">
      <c r="BB7762" s="122"/>
      <c r="BC7762" s="141"/>
    </row>
    <row r="7763">
      <c r="BB7763" s="122"/>
      <c r="BC7763" s="141"/>
    </row>
    <row r="7764">
      <c r="BB7764" s="122"/>
      <c r="BC7764" s="141"/>
    </row>
    <row r="7765">
      <c r="BB7765" s="122"/>
      <c r="BC7765" s="141"/>
    </row>
    <row r="7766">
      <c r="BB7766" s="122"/>
      <c r="BC7766" s="141"/>
    </row>
    <row r="7767">
      <c r="BB7767" s="122"/>
      <c r="BC7767" s="141"/>
    </row>
    <row r="7768">
      <c r="BB7768" s="122"/>
      <c r="BC7768" s="141"/>
    </row>
    <row r="7769">
      <c r="BB7769" s="122"/>
      <c r="BC7769" s="141"/>
    </row>
    <row r="7770">
      <c r="BB7770" s="122"/>
      <c r="BC7770" s="141"/>
    </row>
    <row r="7771">
      <c r="BB7771" s="122"/>
      <c r="BC7771" s="141"/>
    </row>
    <row r="7772">
      <c r="BB7772" s="122"/>
      <c r="BC7772" s="141"/>
    </row>
    <row r="7773">
      <c r="BB7773" s="122"/>
      <c r="BC7773" s="141"/>
    </row>
    <row r="7774">
      <c r="BB7774" s="122"/>
      <c r="BC7774" s="141"/>
    </row>
    <row r="7775">
      <c r="BB7775" s="122"/>
      <c r="BC7775" s="141"/>
    </row>
    <row r="7776">
      <c r="BB7776" s="122"/>
      <c r="BC7776" s="141"/>
    </row>
    <row r="7777">
      <c r="BB7777" s="122"/>
      <c r="BC7777" s="141"/>
    </row>
    <row r="7778">
      <c r="BB7778" s="122"/>
      <c r="BC7778" s="141"/>
    </row>
    <row r="7779">
      <c r="BB7779" s="122"/>
      <c r="BC7779" s="141"/>
    </row>
    <row r="7780">
      <c r="BB7780" s="122"/>
      <c r="BC7780" s="141"/>
    </row>
    <row r="7781">
      <c r="BB7781" s="122"/>
      <c r="BC7781" s="141"/>
    </row>
    <row r="7782">
      <c r="BB7782" s="122"/>
      <c r="BC7782" s="141"/>
    </row>
    <row r="7783">
      <c r="BB7783" s="122"/>
      <c r="BC7783" s="141"/>
    </row>
    <row r="7784">
      <c r="BB7784" s="122"/>
      <c r="BC7784" s="141"/>
    </row>
    <row r="7785">
      <c r="BB7785" s="122"/>
      <c r="BC7785" s="141"/>
    </row>
    <row r="7786">
      <c r="BB7786" s="122"/>
      <c r="BC7786" s="141"/>
    </row>
    <row r="7787">
      <c r="BB7787" s="122"/>
      <c r="BC7787" s="141"/>
    </row>
    <row r="7788">
      <c r="BB7788" s="122"/>
      <c r="BC7788" s="141"/>
    </row>
    <row r="7789">
      <c r="BB7789" s="122"/>
      <c r="BC7789" s="141"/>
    </row>
    <row r="7790">
      <c r="BB7790" s="122"/>
      <c r="BC7790" s="141"/>
    </row>
    <row r="7791">
      <c r="BB7791" s="122"/>
      <c r="BC7791" s="141"/>
    </row>
    <row r="7792">
      <c r="BB7792" s="122"/>
      <c r="BC7792" s="141"/>
    </row>
    <row r="7793">
      <c r="BB7793" s="122"/>
      <c r="BC7793" s="141"/>
    </row>
    <row r="7794">
      <c r="BB7794" s="122"/>
      <c r="BC7794" s="141"/>
    </row>
    <row r="7795">
      <c r="BB7795" s="122"/>
      <c r="BC7795" s="141"/>
    </row>
    <row r="7796">
      <c r="BB7796" s="122"/>
      <c r="BC7796" s="141"/>
    </row>
    <row r="7797">
      <c r="BB7797" s="122"/>
      <c r="BC7797" s="141"/>
    </row>
    <row r="7798">
      <c r="BB7798" s="122"/>
      <c r="BC7798" s="141"/>
    </row>
    <row r="7799">
      <c r="BB7799" s="122"/>
      <c r="BC7799" s="141"/>
    </row>
    <row r="7800">
      <c r="BB7800" s="122"/>
      <c r="BC7800" s="141"/>
    </row>
    <row r="7801">
      <c r="BB7801" s="122"/>
      <c r="BC7801" s="141"/>
    </row>
    <row r="7802">
      <c r="BB7802" s="122"/>
      <c r="BC7802" s="141"/>
    </row>
    <row r="7803">
      <c r="BB7803" s="122"/>
      <c r="BC7803" s="141"/>
    </row>
    <row r="7804">
      <c r="BB7804" s="122"/>
      <c r="BC7804" s="141"/>
    </row>
    <row r="7805">
      <c r="BB7805" s="122"/>
      <c r="BC7805" s="141"/>
    </row>
    <row r="7806">
      <c r="BB7806" s="122"/>
      <c r="BC7806" s="141"/>
    </row>
    <row r="7807">
      <c r="BB7807" s="122"/>
      <c r="BC7807" s="141"/>
    </row>
    <row r="7808">
      <c r="BB7808" s="122"/>
      <c r="BC7808" s="141"/>
    </row>
    <row r="7809">
      <c r="BB7809" s="122"/>
      <c r="BC7809" s="141"/>
    </row>
    <row r="7810">
      <c r="BB7810" s="122"/>
      <c r="BC7810" s="141"/>
    </row>
    <row r="7811">
      <c r="BB7811" s="122"/>
      <c r="BC7811" s="141"/>
    </row>
    <row r="7812">
      <c r="BB7812" s="122"/>
      <c r="BC7812" s="141"/>
    </row>
    <row r="7813">
      <c r="BB7813" s="122"/>
      <c r="BC7813" s="141"/>
    </row>
    <row r="7814">
      <c r="BB7814" s="122"/>
      <c r="BC7814" s="141"/>
    </row>
    <row r="7815">
      <c r="BB7815" s="122"/>
      <c r="BC7815" s="141"/>
    </row>
    <row r="7816">
      <c r="BB7816" s="122"/>
      <c r="BC7816" s="141"/>
    </row>
    <row r="7817">
      <c r="BB7817" s="122"/>
      <c r="BC7817" s="141"/>
    </row>
    <row r="7818">
      <c r="BB7818" s="122"/>
      <c r="BC7818" s="141"/>
    </row>
    <row r="7819">
      <c r="BB7819" s="122"/>
      <c r="BC7819" s="141"/>
    </row>
    <row r="7820">
      <c r="BB7820" s="122"/>
      <c r="BC7820" s="141"/>
    </row>
    <row r="7821">
      <c r="BB7821" s="122"/>
      <c r="BC7821" s="141"/>
    </row>
    <row r="7822">
      <c r="BB7822" s="122"/>
      <c r="BC7822" s="141"/>
    </row>
    <row r="7823">
      <c r="BB7823" s="122"/>
      <c r="BC7823" s="141"/>
    </row>
    <row r="7824">
      <c r="BB7824" s="122"/>
      <c r="BC7824" s="141"/>
    </row>
    <row r="7825">
      <c r="BB7825" s="122"/>
      <c r="BC7825" s="141"/>
    </row>
    <row r="7826">
      <c r="BB7826" s="122"/>
      <c r="BC7826" s="141"/>
    </row>
    <row r="7827">
      <c r="BB7827" s="122"/>
      <c r="BC7827" s="141"/>
    </row>
    <row r="7828">
      <c r="BB7828" s="122"/>
      <c r="BC7828" s="141"/>
    </row>
    <row r="7829">
      <c r="BB7829" s="122"/>
      <c r="BC7829" s="141"/>
    </row>
    <row r="7830">
      <c r="BB7830" s="122"/>
      <c r="BC7830" s="141"/>
    </row>
    <row r="7831">
      <c r="BB7831" s="122"/>
      <c r="BC7831" s="141"/>
    </row>
    <row r="7832">
      <c r="BB7832" s="122"/>
      <c r="BC7832" s="141"/>
    </row>
    <row r="7833">
      <c r="BB7833" s="122"/>
      <c r="BC7833" s="141"/>
    </row>
    <row r="7834">
      <c r="BB7834" s="122"/>
      <c r="BC7834" s="141"/>
    </row>
    <row r="7835">
      <c r="BB7835" s="122"/>
      <c r="BC7835" s="141"/>
    </row>
    <row r="7836">
      <c r="BB7836" s="122"/>
      <c r="BC7836" s="141"/>
    </row>
    <row r="7837">
      <c r="BB7837" s="122"/>
      <c r="BC7837" s="141"/>
    </row>
    <row r="7838">
      <c r="BB7838" s="122"/>
      <c r="BC7838" s="141"/>
    </row>
    <row r="7839">
      <c r="BB7839" s="122"/>
      <c r="BC7839" s="141"/>
    </row>
    <row r="7840">
      <c r="BB7840" s="122"/>
      <c r="BC7840" s="141"/>
    </row>
    <row r="7841">
      <c r="BB7841" s="122"/>
      <c r="BC7841" s="141"/>
    </row>
    <row r="7842">
      <c r="BB7842" s="122"/>
      <c r="BC7842" s="141"/>
    </row>
    <row r="7843">
      <c r="BB7843" s="122"/>
      <c r="BC7843" s="141"/>
    </row>
    <row r="7844">
      <c r="BB7844" s="122"/>
      <c r="BC7844" s="141"/>
    </row>
    <row r="7845">
      <c r="BB7845" s="122"/>
      <c r="BC7845" s="141"/>
    </row>
    <row r="7846">
      <c r="BB7846" s="122"/>
      <c r="BC7846" s="141"/>
    </row>
    <row r="7847">
      <c r="BB7847" s="122"/>
      <c r="BC7847" s="141"/>
    </row>
    <row r="7848">
      <c r="BB7848" s="122"/>
      <c r="BC7848" s="141"/>
    </row>
    <row r="7849">
      <c r="BB7849" s="122"/>
      <c r="BC7849" s="141"/>
    </row>
    <row r="7850">
      <c r="BB7850" s="122"/>
      <c r="BC7850" s="141"/>
    </row>
    <row r="7851">
      <c r="BB7851" s="122"/>
      <c r="BC7851" s="141"/>
    </row>
    <row r="7852">
      <c r="BB7852" s="122"/>
      <c r="BC7852" s="141"/>
    </row>
    <row r="7853">
      <c r="BB7853" s="122"/>
      <c r="BC7853" s="141"/>
    </row>
    <row r="7854">
      <c r="BB7854" s="122"/>
      <c r="BC7854" s="141"/>
    </row>
    <row r="7855">
      <c r="BB7855" s="122"/>
      <c r="BC7855" s="141"/>
    </row>
    <row r="7856">
      <c r="BB7856" s="122"/>
      <c r="BC7856" s="141"/>
    </row>
    <row r="7857">
      <c r="BB7857" s="122"/>
      <c r="BC7857" s="141"/>
    </row>
    <row r="7858">
      <c r="BB7858" s="122"/>
      <c r="BC7858" s="141"/>
    </row>
    <row r="7859">
      <c r="BB7859" s="122"/>
      <c r="BC7859" s="141"/>
    </row>
    <row r="7860">
      <c r="BB7860" s="122"/>
      <c r="BC7860" s="141"/>
    </row>
    <row r="7861">
      <c r="BB7861" s="122"/>
      <c r="BC7861" s="141"/>
    </row>
    <row r="7862">
      <c r="BB7862" s="122"/>
      <c r="BC7862" s="141"/>
    </row>
    <row r="7863">
      <c r="BB7863" s="122"/>
      <c r="BC7863" s="141"/>
    </row>
    <row r="7864">
      <c r="BB7864" s="122"/>
      <c r="BC7864" s="141"/>
    </row>
    <row r="7865">
      <c r="BB7865" s="122"/>
      <c r="BC7865" s="141"/>
    </row>
    <row r="7866">
      <c r="BB7866" s="122"/>
      <c r="BC7866" s="141"/>
    </row>
    <row r="7867">
      <c r="BB7867" s="122"/>
      <c r="BC7867" s="141"/>
    </row>
    <row r="7868">
      <c r="BB7868" s="122"/>
      <c r="BC7868" s="141"/>
    </row>
    <row r="7869">
      <c r="BB7869" s="122"/>
      <c r="BC7869" s="141"/>
    </row>
    <row r="7870">
      <c r="BB7870" s="122"/>
      <c r="BC7870" s="141"/>
    </row>
    <row r="7871">
      <c r="BB7871" s="122"/>
      <c r="BC7871" s="141"/>
    </row>
    <row r="7872">
      <c r="BB7872" s="122"/>
      <c r="BC7872" s="141"/>
    </row>
    <row r="7873">
      <c r="BB7873" s="122"/>
      <c r="BC7873" s="141"/>
    </row>
    <row r="7874">
      <c r="BB7874" s="122"/>
      <c r="BC7874" s="141"/>
    </row>
    <row r="7875">
      <c r="BB7875" s="122"/>
      <c r="BC7875" s="141"/>
    </row>
    <row r="7876">
      <c r="BB7876" s="122"/>
      <c r="BC7876" s="141"/>
    </row>
    <row r="7877">
      <c r="BB7877" s="122"/>
      <c r="BC7877" s="141"/>
    </row>
    <row r="7878">
      <c r="BB7878" s="122"/>
      <c r="BC7878" s="141"/>
    </row>
    <row r="7879">
      <c r="BB7879" s="122"/>
      <c r="BC7879" s="141"/>
    </row>
    <row r="7880">
      <c r="BB7880" s="122"/>
      <c r="BC7880" s="141"/>
    </row>
    <row r="7881">
      <c r="BB7881" s="122"/>
      <c r="BC7881" s="141"/>
    </row>
    <row r="7882">
      <c r="BB7882" s="122"/>
      <c r="BC7882" s="141"/>
    </row>
    <row r="7883">
      <c r="BB7883" s="122"/>
      <c r="BC7883" s="141"/>
    </row>
    <row r="7884">
      <c r="BB7884" s="122"/>
      <c r="BC7884" s="141"/>
    </row>
    <row r="7885">
      <c r="BB7885" s="122"/>
      <c r="BC7885" s="141"/>
    </row>
    <row r="7886">
      <c r="BB7886" s="122"/>
      <c r="BC7886" s="141"/>
    </row>
    <row r="7887">
      <c r="BB7887" s="122"/>
      <c r="BC7887" s="141"/>
    </row>
    <row r="7888">
      <c r="BB7888" s="122"/>
      <c r="BC7888" s="141"/>
    </row>
    <row r="7889">
      <c r="BB7889" s="122"/>
      <c r="BC7889" s="141"/>
    </row>
    <row r="7890">
      <c r="BB7890" s="122"/>
      <c r="BC7890" s="141"/>
    </row>
    <row r="7891">
      <c r="BB7891" s="122"/>
      <c r="BC7891" s="141"/>
    </row>
    <row r="7892">
      <c r="BB7892" s="122"/>
      <c r="BC7892" s="141"/>
    </row>
    <row r="7893">
      <c r="BB7893" s="122"/>
      <c r="BC7893" s="141"/>
    </row>
    <row r="7894">
      <c r="BB7894" s="122"/>
      <c r="BC7894" s="141"/>
    </row>
    <row r="7895">
      <c r="BB7895" s="122"/>
      <c r="BC7895" s="141"/>
    </row>
    <row r="7896">
      <c r="BB7896" s="122"/>
      <c r="BC7896" s="141"/>
    </row>
    <row r="7897">
      <c r="BB7897" s="122"/>
      <c r="BC7897" s="141"/>
    </row>
    <row r="7898">
      <c r="BB7898" s="122"/>
      <c r="BC7898" s="141"/>
    </row>
    <row r="7899">
      <c r="BB7899" s="122"/>
      <c r="BC7899" s="141"/>
    </row>
    <row r="7900">
      <c r="BB7900" s="122"/>
      <c r="BC7900" s="141"/>
    </row>
    <row r="7901">
      <c r="BB7901" s="122"/>
      <c r="BC7901" s="141"/>
    </row>
    <row r="7902">
      <c r="BB7902" s="122"/>
      <c r="BC7902" s="141"/>
    </row>
    <row r="7903">
      <c r="BB7903" s="122"/>
      <c r="BC7903" s="141"/>
    </row>
    <row r="7904">
      <c r="BB7904" s="122"/>
      <c r="BC7904" s="141"/>
    </row>
    <row r="7905">
      <c r="BB7905" s="122"/>
      <c r="BC7905" s="141"/>
    </row>
    <row r="7906">
      <c r="BB7906" s="122"/>
      <c r="BC7906" s="141"/>
    </row>
    <row r="7907">
      <c r="BB7907" s="122"/>
      <c r="BC7907" s="141"/>
    </row>
    <row r="7908">
      <c r="BB7908" s="122"/>
      <c r="BC7908" s="141"/>
    </row>
    <row r="7909">
      <c r="BB7909" s="122"/>
      <c r="BC7909" s="141"/>
    </row>
    <row r="7910">
      <c r="BB7910" s="122"/>
      <c r="BC7910" s="141"/>
    </row>
    <row r="7911">
      <c r="BB7911" s="122"/>
      <c r="BC7911" s="141"/>
    </row>
    <row r="7912">
      <c r="BB7912" s="122"/>
      <c r="BC7912" s="141"/>
    </row>
    <row r="7913">
      <c r="BB7913" s="122"/>
      <c r="BC7913" s="141"/>
    </row>
    <row r="7914">
      <c r="BB7914" s="122"/>
      <c r="BC7914" s="141"/>
    </row>
    <row r="7915">
      <c r="BB7915" s="122"/>
      <c r="BC7915" s="141"/>
    </row>
    <row r="7916">
      <c r="BB7916" s="122"/>
      <c r="BC7916" s="141"/>
    </row>
    <row r="7917">
      <c r="BB7917" s="122"/>
      <c r="BC7917" s="141"/>
    </row>
    <row r="7918">
      <c r="BB7918" s="122"/>
      <c r="BC7918" s="141"/>
    </row>
    <row r="7919">
      <c r="BB7919" s="122"/>
      <c r="BC7919" s="141"/>
    </row>
    <row r="7920">
      <c r="BB7920" s="122"/>
      <c r="BC7920" s="141"/>
    </row>
    <row r="7921">
      <c r="BB7921" s="122"/>
      <c r="BC7921" s="141"/>
    </row>
    <row r="7922">
      <c r="BB7922" s="122"/>
      <c r="BC7922" s="141"/>
    </row>
    <row r="7923">
      <c r="BB7923" s="122"/>
      <c r="BC7923" s="141"/>
    </row>
    <row r="7924">
      <c r="BB7924" s="122"/>
      <c r="BC7924" s="141"/>
    </row>
    <row r="7925">
      <c r="BB7925" s="122"/>
      <c r="BC7925" s="141"/>
    </row>
    <row r="7926">
      <c r="BB7926" s="122"/>
      <c r="BC7926" s="141"/>
    </row>
    <row r="7927">
      <c r="BB7927" s="122"/>
      <c r="BC7927" s="141"/>
    </row>
    <row r="7928">
      <c r="BB7928" s="122"/>
      <c r="BC7928" s="141"/>
    </row>
    <row r="7929">
      <c r="BB7929" s="122"/>
      <c r="BC7929" s="141"/>
    </row>
    <row r="7930">
      <c r="BB7930" s="122"/>
      <c r="BC7930" s="141"/>
    </row>
    <row r="7931">
      <c r="BB7931" s="122"/>
      <c r="BC7931" s="141"/>
    </row>
    <row r="7932">
      <c r="BB7932" s="122"/>
      <c r="BC7932" s="141"/>
    </row>
    <row r="7933">
      <c r="BB7933" s="122"/>
      <c r="BC7933" s="141"/>
    </row>
    <row r="7934">
      <c r="BB7934" s="122"/>
      <c r="BC7934" s="141"/>
    </row>
    <row r="7935">
      <c r="BB7935" s="122"/>
      <c r="BC7935" s="141"/>
    </row>
    <row r="7936">
      <c r="BB7936" s="122"/>
      <c r="BC7936" s="141"/>
    </row>
    <row r="7937">
      <c r="BB7937" s="122"/>
      <c r="BC7937" s="141"/>
    </row>
    <row r="7938">
      <c r="BB7938" s="122"/>
      <c r="BC7938" s="141"/>
    </row>
    <row r="7939">
      <c r="BB7939" s="122"/>
      <c r="BC7939" s="141"/>
    </row>
    <row r="7940">
      <c r="BB7940" s="122"/>
      <c r="BC7940" s="141"/>
    </row>
    <row r="7941">
      <c r="BB7941" s="122"/>
      <c r="BC7941" s="141"/>
    </row>
    <row r="7942">
      <c r="BB7942" s="122"/>
      <c r="BC7942" s="141"/>
    </row>
    <row r="7943">
      <c r="BB7943" s="122"/>
      <c r="BC7943" s="141"/>
    </row>
    <row r="7944">
      <c r="BB7944" s="122"/>
      <c r="BC7944" s="141"/>
    </row>
    <row r="7945">
      <c r="BB7945" s="122"/>
      <c r="BC7945" s="141"/>
    </row>
    <row r="7946">
      <c r="BB7946" s="122"/>
      <c r="BC7946" s="141"/>
    </row>
    <row r="7947">
      <c r="BB7947" s="122"/>
      <c r="BC7947" s="141"/>
    </row>
    <row r="7948">
      <c r="BB7948" s="122"/>
      <c r="BC7948" s="141"/>
    </row>
    <row r="7949">
      <c r="BB7949" s="122"/>
      <c r="BC7949" s="141"/>
    </row>
    <row r="7950">
      <c r="BB7950" s="122"/>
      <c r="BC7950" s="141"/>
    </row>
    <row r="7951">
      <c r="BB7951" s="122"/>
      <c r="BC7951" s="141"/>
    </row>
    <row r="7952">
      <c r="BB7952" s="122"/>
      <c r="BC7952" s="141"/>
    </row>
    <row r="7953">
      <c r="BB7953" s="122"/>
      <c r="BC7953" s="141"/>
    </row>
    <row r="7954">
      <c r="BB7954" s="122"/>
      <c r="BC7954" s="141"/>
    </row>
    <row r="7955">
      <c r="BB7955" s="122"/>
      <c r="BC7955" s="141"/>
    </row>
    <row r="7956">
      <c r="BB7956" s="122"/>
      <c r="BC7956" s="141"/>
    </row>
    <row r="7957">
      <c r="BB7957" s="122"/>
      <c r="BC7957" s="141"/>
    </row>
    <row r="7958">
      <c r="BB7958" s="122"/>
      <c r="BC7958" s="141"/>
    </row>
    <row r="7959">
      <c r="BB7959" s="122"/>
      <c r="BC7959" s="141"/>
    </row>
    <row r="7960">
      <c r="BB7960" s="122"/>
      <c r="BC7960" s="141"/>
    </row>
    <row r="7961">
      <c r="BB7961" s="122"/>
      <c r="BC7961" s="141"/>
    </row>
    <row r="7962">
      <c r="BB7962" s="122"/>
      <c r="BC7962" s="141"/>
    </row>
    <row r="7963">
      <c r="BB7963" s="122"/>
      <c r="BC7963" s="141"/>
    </row>
    <row r="7964">
      <c r="BB7964" s="122"/>
      <c r="BC7964" s="141"/>
    </row>
    <row r="7965">
      <c r="BB7965" s="122"/>
      <c r="BC7965" s="141"/>
    </row>
    <row r="7966">
      <c r="BB7966" s="122"/>
      <c r="BC7966" s="141"/>
    </row>
    <row r="7967">
      <c r="BB7967" s="122"/>
      <c r="BC7967" s="141"/>
    </row>
    <row r="7968">
      <c r="BB7968" s="122"/>
      <c r="BC7968" s="141"/>
    </row>
    <row r="7969">
      <c r="BB7969" s="122"/>
      <c r="BC7969" s="141"/>
    </row>
    <row r="7970">
      <c r="BB7970" s="122"/>
      <c r="BC7970" s="141"/>
    </row>
    <row r="7971">
      <c r="BB7971" s="122"/>
      <c r="BC7971" s="141"/>
    </row>
    <row r="7972">
      <c r="BB7972" s="122"/>
      <c r="BC7972" s="141"/>
    </row>
    <row r="7973">
      <c r="BB7973" s="122"/>
      <c r="BC7973" s="141"/>
    </row>
    <row r="7974">
      <c r="BB7974" s="122"/>
      <c r="BC7974" s="141"/>
    </row>
    <row r="7975">
      <c r="BB7975" s="122"/>
      <c r="BC7975" s="141"/>
    </row>
    <row r="7976">
      <c r="BB7976" s="122"/>
      <c r="BC7976" s="141"/>
    </row>
    <row r="7977">
      <c r="BB7977" s="122"/>
      <c r="BC7977" s="141"/>
    </row>
    <row r="7978">
      <c r="BB7978" s="122"/>
      <c r="BC7978" s="141"/>
    </row>
    <row r="7979">
      <c r="BB7979" s="122"/>
      <c r="BC7979" s="141"/>
    </row>
    <row r="7980">
      <c r="BB7980" s="122"/>
      <c r="BC7980" s="141"/>
    </row>
    <row r="7981">
      <c r="BB7981" s="122"/>
      <c r="BC7981" s="141"/>
    </row>
    <row r="7982">
      <c r="BB7982" s="122"/>
      <c r="BC7982" s="141"/>
    </row>
    <row r="7983">
      <c r="BB7983" s="122"/>
      <c r="BC7983" s="141"/>
    </row>
    <row r="7984">
      <c r="BB7984" s="122"/>
      <c r="BC7984" s="141"/>
    </row>
    <row r="7985">
      <c r="BB7985" s="122"/>
      <c r="BC7985" s="141"/>
    </row>
    <row r="7986">
      <c r="BB7986" s="122"/>
      <c r="BC7986" s="141"/>
    </row>
    <row r="7987">
      <c r="BB7987" s="122"/>
      <c r="BC7987" s="141"/>
    </row>
    <row r="7988">
      <c r="BB7988" s="122"/>
      <c r="BC7988" s="141"/>
    </row>
    <row r="7989">
      <c r="BB7989" s="122"/>
      <c r="BC7989" s="141"/>
    </row>
    <row r="7990">
      <c r="BB7990" s="122"/>
      <c r="BC7990" s="141"/>
    </row>
    <row r="7991">
      <c r="BB7991" s="122"/>
      <c r="BC7991" s="141"/>
    </row>
    <row r="7992">
      <c r="BB7992" s="122"/>
      <c r="BC7992" s="141"/>
    </row>
    <row r="7993">
      <c r="BB7993" s="122"/>
      <c r="BC7993" s="141"/>
    </row>
    <row r="7994">
      <c r="BB7994" s="122"/>
      <c r="BC7994" s="141"/>
    </row>
    <row r="7995">
      <c r="BB7995" s="122"/>
      <c r="BC7995" s="141"/>
    </row>
    <row r="7996">
      <c r="BB7996" s="122"/>
      <c r="BC7996" s="141"/>
    </row>
    <row r="7997">
      <c r="BB7997" s="122"/>
      <c r="BC7997" s="141"/>
    </row>
    <row r="7998">
      <c r="BB7998" s="122"/>
      <c r="BC7998" s="141"/>
    </row>
    <row r="7999">
      <c r="BB7999" s="122"/>
      <c r="BC7999" s="141"/>
    </row>
    <row r="8000">
      <c r="BB8000" s="122"/>
      <c r="BC8000" s="141"/>
    </row>
    <row r="8001">
      <c r="BB8001" s="122"/>
      <c r="BC8001" s="141"/>
    </row>
    <row r="8002">
      <c r="BB8002" s="122"/>
      <c r="BC8002" s="141"/>
    </row>
    <row r="8003">
      <c r="BB8003" s="122"/>
      <c r="BC8003" s="141"/>
    </row>
    <row r="8004">
      <c r="BB8004" s="122"/>
      <c r="BC8004" s="141"/>
    </row>
    <row r="8005">
      <c r="BB8005" s="122"/>
      <c r="BC8005" s="141"/>
    </row>
    <row r="8006">
      <c r="BB8006" s="122"/>
      <c r="BC8006" s="141"/>
    </row>
    <row r="8007">
      <c r="BB8007" s="122"/>
      <c r="BC8007" s="141"/>
    </row>
    <row r="8008">
      <c r="BB8008" s="122"/>
      <c r="BC8008" s="141"/>
    </row>
    <row r="8009">
      <c r="BB8009" s="122"/>
      <c r="BC8009" s="141"/>
    </row>
    <row r="8010">
      <c r="BB8010" s="122"/>
      <c r="BC8010" s="141"/>
    </row>
    <row r="8011">
      <c r="BB8011" s="122"/>
      <c r="BC8011" s="141"/>
    </row>
    <row r="8012">
      <c r="BB8012" s="122"/>
      <c r="BC8012" s="141"/>
    </row>
    <row r="8013">
      <c r="BB8013" s="122"/>
      <c r="BC8013" s="141"/>
    </row>
    <row r="8014">
      <c r="BB8014" s="122"/>
      <c r="BC8014" s="141"/>
    </row>
    <row r="8015">
      <c r="BB8015" s="122"/>
      <c r="BC8015" s="141"/>
    </row>
    <row r="8016">
      <c r="BB8016" s="122"/>
      <c r="BC8016" s="141"/>
    </row>
    <row r="8017">
      <c r="BB8017" s="122"/>
      <c r="BC8017" s="141"/>
    </row>
    <row r="8018">
      <c r="BB8018" s="122"/>
      <c r="BC8018" s="141"/>
    </row>
    <row r="8019">
      <c r="BB8019" s="122"/>
      <c r="BC8019" s="141"/>
    </row>
    <row r="8020">
      <c r="BB8020" s="122"/>
      <c r="BC8020" s="141"/>
    </row>
    <row r="8021">
      <c r="BB8021" s="122"/>
      <c r="BC8021" s="141"/>
    </row>
    <row r="8022">
      <c r="BB8022" s="122"/>
      <c r="BC8022" s="141"/>
    </row>
    <row r="8023">
      <c r="BB8023" s="122"/>
      <c r="BC8023" s="141"/>
    </row>
    <row r="8024">
      <c r="BB8024" s="122"/>
      <c r="BC8024" s="141"/>
    </row>
    <row r="8025">
      <c r="BB8025" s="122"/>
      <c r="BC8025" s="141"/>
    </row>
    <row r="8026">
      <c r="BB8026" s="122"/>
      <c r="BC8026" s="141"/>
    </row>
    <row r="8027">
      <c r="BB8027" s="122"/>
      <c r="BC8027" s="141"/>
    </row>
    <row r="8028">
      <c r="BB8028" s="122"/>
      <c r="BC8028" s="141"/>
    </row>
    <row r="8029">
      <c r="BB8029" s="122"/>
      <c r="BC8029" s="141"/>
    </row>
    <row r="8030">
      <c r="BB8030" s="122"/>
      <c r="BC8030" s="141"/>
    </row>
    <row r="8031">
      <c r="BB8031" s="122"/>
      <c r="BC8031" s="141"/>
    </row>
    <row r="8032">
      <c r="BB8032" s="122"/>
      <c r="BC8032" s="141"/>
    </row>
    <row r="8033">
      <c r="BB8033" s="122"/>
      <c r="BC8033" s="141"/>
    </row>
    <row r="8034">
      <c r="BB8034" s="122"/>
      <c r="BC8034" s="141"/>
    </row>
    <row r="8035">
      <c r="BB8035" s="122"/>
      <c r="BC8035" s="141"/>
    </row>
    <row r="8036">
      <c r="BB8036" s="122"/>
      <c r="BC8036" s="141"/>
    </row>
    <row r="8037">
      <c r="BB8037" s="122"/>
      <c r="BC8037" s="141"/>
    </row>
    <row r="8038">
      <c r="BB8038" s="122"/>
      <c r="BC8038" s="141"/>
    </row>
    <row r="8039">
      <c r="BB8039" s="122"/>
      <c r="BC8039" s="141"/>
    </row>
    <row r="8040">
      <c r="BB8040" s="122"/>
      <c r="BC8040" s="141"/>
    </row>
    <row r="8041">
      <c r="BB8041" s="122"/>
      <c r="BC8041" s="141"/>
    </row>
    <row r="8042">
      <c r="BB8042" s="122"/>
      <c r="BC8042" s="141"/>
    </row>
    <row r="8043">
      <c r="BB8043" s="122"/>
      <c r="BC8043" s="141"/>
    </row>
    <row r="8044">
      <c r="BB8044" s="122"/>
      <c r="BC8044" s="141"/>
    </row>
    <row r="8045">
      <c r="BB8045" s="122"/>
      <c r="BC8045" s="141"/>
    </row>
    <row r="8046">
      <c r="BB8046" s="122"/>
      <c r="BC8046" s="141"/>
    </row>
    <row r="8047">
      <c r="BB8047" s="122"/>
      <c r="BC8047" s="141"/>
    </row>
    <row r="8048">
      <c r="BB8048" s="122"/>
      <c r="BC8048" s="141"/>
    </row>
    <row r="8049">
      <c r="BB8049" s="122"/>
      <c r="BC8049" s="141"/>
    </row>
    <row r="8050">
      <c r="BB8050" s="122"/>
      <c r="BC8050" s="141"/>
    </row>
    <row r="8051">
      <c r="BB8051" s="122"/>
      <c r="BC8051" s="141"/>
    </row>
    <row r="8052">
      <c r="BB8052" s="122"/>
      <c r="BC8052" s="141"/>
    </row>
    <row r="8053">
      <c r="BB8053" s="122"/>
      <c r="BC8053" s="141"/>
    </row>
    <row r="8054">
      <c r="BB8054" s="122"/>
      <c r="BC8054" s="141"/>
    </row>
    <row r="8055">
      <c r="BB8055" s="122"/>
      <c r="BC8055" s="141"/>
    </row>
    <row r="8056">
      <c r="BB8056" s="122"/>
      <c r="BC8056" s="141"/>
    </row>
    <row r="8057">
      <c r="BB8057" s="122"/>
      <c r="BC8057" s="141"/>
    </row>
    <row r="8058">
      <c r="BB8058" s="122"/>
      <c r="BC8058" s="141"/>
    </row>
    <row r="8059">
      <c r="BB8059" s="122"/>
      <c r="BC8059" s="141"/>
    </row>
    <row r="8060">
      <c r="BB8060" s="122"/>
      <c r="BC8060" s="141"/>
    </row>
    <row r="8061">
      <c r="BB8061" s="122"/>
      <c r="BC8061" s="141"/>
    </row>
    <row r="8062">
      <c r="BB8062" s="122"/>
      <c r="BC8062" s="141"/>
    </row>
    <row r="8063">
      <c r="BB8063" s="122"/>
      <c r="BC8063" s="141"/>
    </row>
    <row r="8064">
      <c r="BB8064" s="122"/>
      <c r="BC8064" s="141"/>
    </row>
    <row r="8065">
      <c r="BB8065" s="122"/>
      <c r="BC8065" s="141"/>
    </row>
    <row r="8066">
      <c r="BB8066" s="122"/>
      <c r="BC8066" s="141"/>
    </row>
    <row r="8067">
      <c r="BB8067" s="122"/>
      <c r="BC8067" s="141"/>
    </row>
    <row r="8068">
      <c r="BB8068" s="122"/>
      <c r="BC8068" s="141"/>
    </row>
    <row r="8069">
      <c r="BB8069" s="122"/>
      <c r="BC8069" s="141"/>
    </row>
    <row r="8070">
      <c r="BB8070" s="122"/>
      <c r="BC8070" s="141"/>
    </row>
    <row r="8071">
      <c r="BB8071" s="122"/>
      <c r="BC8071" s="141"/>
    </row>
    <row r="8072">
      <c r="BB8072" s="122"/>
      <c r="BC8072" s="141"/>
    </row>
    <row r="8073">
      <c r="BB8073" s="122"/>
      <c r="BC8073" s="141"/>
    </row>
    <row r="8074">
      <c r="BB8074" s="122"/>
      <c r="BC8074" s="141"/>
    </row>
    <row r="8075">
      <c r="BB8075" s="122"/>
      <c r="BC8075" s="141"/>
    </row>
    <row r="8076">
      <c r="BB8076" s="122"/>
      <c r="BC8076" s="141"/>
    </row>
    <row r="8077">
      <c r="BB8077" s="122"/>
      <c r="BC8077" s="141"/>
    </row>
    <row r="8078">
      <c r="BB8078" s="122"/>
      <c r="BC8078" s="141"/>
    </row>
    <row r="8079">
      <c r="BB8079" s="122"/>
      <c r="BC8079" s="141"/>
    </row>
    <row r="8080">
      <c r="BB8080" s="122"/>
      <c r="BC8080" s="141"/>
    </row>
    <row r="8081">
      <c r="BB8081" s="122"/>
      <c r="BC8081" s="141"/>
    </row>
    <row r="8082">
      <c r="BB8082" s="122"/>
      <c r="BC8082" s="141"/>
    </row>
    <row r="8083">
      <c r="BB8083" s="122"/>
      <c r="BC8083" s="141"/>
    </row>
    <row r="8084">
      <c r="BB8084" s="122"/>
      <c r="BC8084" s="141"/>
    </row>
    <row r="8085">
      <c r="BB8085" s="122"/>
      <c r="BC8085" s="141"/>
    </row>
    <row r="8086">
      <c r="BB8086" s="122"/>
      <c r="BC8086" s="141"/>
    </row>
    <row r="8087">
      <c r="BB8087" s="122"/>
      <c r="BC8087" s="141"/>
    </row>
    <row r="8088">
      <c r="BB8088" s="122"/>
      <c r="BC8088" s="141"/>
    </row>
    <row r="8089">
      <c r="BB8089" s="122"/>
      <c r="BC8089" s="141"/>
    </row>
    <row r="8090">
      <c r="BB8090" s="122"/>
      <c r="BC8090" s="141"/>
    </row>
    <row r="8091">
      <c r="BB8091" s="122"/>
      <c r="BC8091" s="141"/>
    </row>
    <row r="8092">
      <c r="BB8092" s="122"/>
      <c r="BC8092" s="141"/>
    </row>
    <row r="8093">
      <c r="BB8093" s="122"/>
      <c r="BC8093" s="141"/>
    </row>
    <row r="8094">
      <c r="BB8094" s="122"/>
      <c r="BC8094" s="141"/>
    </row>
    <row r="8095">
      <c r="BB8095" s="122"/>
      <c r="BC8095" s="141"/>
    </row>
    <row r="8096">
      <c r="BB8096" s="122"/>
      <c r="BC8096" s="141"/>
    </row>
    <row r="8097">
      <c r="BB8097" s="122"/>
      <c r="BC8097" s="141"/>
    </row>
    <row r="8098">
      <c r="BB8098" s="122"/>
      <c r="BC8098" s="141"/>
    </row>
    <row r="8099">
      <c r="BB8099" s="122"/>
      <c r="BC8099" s="141"/>
    </row>
    <row r="8100">
      <c r="BB8100" s="122"/>
      <c r="BC8100" s="141"/>
    </row>
    <row r="8101">
      <c r="BB8101" s="122"/>
      <c r="BC8101" s="141"/>
    </row>
    <row r="8102">
      <c r="BB8102" s="122"/>
      <c r="BC8102" s="141"/>
    </row>
    <row r="8103">
      <c r="BB8103" s="122"/>
      <c r="BC8103" s="141"/>
    </row>
    <row r="8104">
      <c r="BB8104" s="122"/>
      <c r="BC8104" s="141"/>
    </row>
    <row r="8105">
      <c r="BB8105" s="122"/>
      <c r="BC8105" s="141"/>
    </row>
    <row r="8106">
      <c r="BB8106" s="122"/>
      <c r="BC8106" s="141"/>
    </row>
    <row r="8107">
      <c r="BB8107" s="122"/>
      <c r="BC8107" s="141"/>
    </row>
    <row r="8108">
      <c r="BB8108" s="122"/>
      <c r="BC8108" s="141"/>
    </row>
    <row r="8109">
      <c r="BB8109" s="122"/>
      <c r="BC8109" s="141"/>
    </row>
    <row r="8110">
      <c r="BB8110" s="122"/>
      <c r="BC8110" s="141"/>
    </row>
    <row r="8111">
      <c r="BB8111" s="122"/>
      <c r="BC8111" s="141"/>
    </row>
    <row r="8112">
      <c r="BB8112" s="122"/>
      <c r="BC8112" s="141"/>
    </row>
    <row r="8113">
      <c r="BB8113" s="122"/>
      <c r="BC8113" s="141"/>
    </row>
    <row r="8114">
      <c r="BB8114" s="122"/>
      <c r="BC8114" s="141"/>
    </row>
    <row r="8115">
      <c r="BB8115" s="122"/>
      <c r="BC8115" s="141"/>
    </row>
    <row r="8116">
      <c r="BB8116" s="122"/>
      <c r="BC8116" s="141"/>
    </row>
    <row r="8117">
      <c r="BB8117" s="122"/>
      <c r="BC8117" s="141"/>
    </row>
    <row r="8118">
      <c r="BB8118" s="122"/>
      <c r="BC8118" s="141"/>
    </row>
    <row r="8119">
      <c r="BB8119" s="122"/>
      <c r="BC8119" s="141"/>
    </row>
    <row r="8120">
      <c r="BB8120" s="122"/>
      <c r="BC8120" s="141"/>
    </row>
    <row r="8121">
      <c r="BB8121" s="122"/>
      <c r="BC8121" s="141"/>
    </row>
    <row r="8122">
      <c r="BB8122" s="122"/>
      <c r="BC8122" s="141"/>
    </row>
    <row r="8123">
      <c r="BB8123" s="122"/>
      <c r="BC8123" s="141"/>
    </row>
    <row r="8124">
      <c r="BB8124" s="122"/>
      <c r="BC8124" s="141"/>
    </row>
    <row r="8125">
      <c r="BB8125" s="122"/>
      <c r="BC8125" s="141"/>
    </row>
    <row r="8126">
      <c r="BB8126" s="122"/>
      <c r="BC8126" s="141"/>
    </row>
    <row r="8127">
      <c r="BB8127" s="122"/>
      <c r="BC8127" s="141"/>
    </row>
    <row r="8128">
      <c r="BB8128" s="122"/>
      <c r="BC8128" s="141"/>
    </row>
    <row r="8129">
      <c r="BB8129" s="122"/>
      <c r="BC8129" s="141"/>
    </row>
    <row r="8130">
      <c r="BB8130" s="122"/>
      <c r="BC8130" s="141"/>
    </row>
    <row r="8131">
      <c r="BB8131" s="122"/>
      <c r="BC8131" s="141"/>
    </row>
    <row r="8132">
      <c r="BB8132" s="122"/>
      <c r="BC8132" s="141"/>
    </row>
    <row r="8133">
      <c r="BB8133" s="122"/>
      <c r="BC8133" s="141"/>
    </row>
    <row r="8134">
      <c r="BB8134" s="122"/>
      <c r="BC8134" s="141"/>
    </row>
    <row r="8135">
      <c r="BB8135" s="122"/>
      <c r="BC8135" s="141"/>
    </row>
    <row r="8136">
      <c r="BB8136" s="122"/>
      <c r="BC8136" s="141"/>
    </row>
    <row r="8137">
      <c r="BB8137" s="122"/>
      <c r="BC8137" s="141"/>
    </row>
    <row r="8138">
      <c r="BB8138" s="122"/>
      <c r="BC8138" s="141"/>
    </row>
    <row r="8139">
      <c r="BB8139" s="122"/>
      <c r="BC8139" s="141"/>
    </row>
    <row r="8140">
      <c r="BB8140" s="122"/>
      <c r="BC8140" s="141"/>
    </row>
    <row r="8141">
      <c r="BB8141" s="122"/>
      <c r="BC8141" s="141"/>
    </row>
    <row r="8142">
      <c r="BB8142" s="122"/>
      <c r="BC8142" s="141"/>
    </row>
    <row r="8143">
      <c r="BB8143" s="122"/>
      <c r="BC8143" s="141"/>
    </row>
    <row r="8144">
      <c r="BB8144" s="122"/>
      <c r="BC8144" s="141"/>
    </row>
    <row r="8145">
      <c r="BB8145" s="122"/>
      <c r="BC8145" s="141"/>
    </row>
    <row r="8146">
      <c r="BB8146" s="122"/>
      <c r="BC8146" s="141"/>
    </row>
    <row r="8147">
      <c r="BB8147" s="122"/>
      <c r="BC8147" s="141"/>
    </row>
    <row r="8148">
      <c r="BB8148" s="122"/>
      <c r="BC8148" s="141"/>
    </row>
    <row r="8149">
      <c r="BB8149" s="122"/>
      <c r="BC8149" s="141"/>
    </row>
    <row r="8150">
      <c r="BB8150" s="122"/>
      <c r="BC8150" s="141"/>
    </row>
    <row r="8151">
      <c r="BB8151" s="122"/>
      <c r="BC8151" s="141"/>
    </row>
    <row r="8152">
      <c r="BB8152" s="122"/>
      <c r="BC8152" s="141"/>
    </row>
    <row r="8153">
      <c r="BB8153" s="122"/>
      <c r="BC8153" s="141"/>
    </row>
    <row r="8154">
      <c r="BB8154" s="122"/>
      <c r="BC8154" s="141"/>
    </row>
    <row r="8155">
      <c r="BB8155" s="122"/>
      <c r="BC8155" s="141"/>
    </row>
    <row r="8156">
      <c r="BB8156" s="122"/>
      <c r="BC8156" s="141"/>
    </row>
    <row r="8157">
      <c r="BB8157" s="122"/>
      <c r="BC8157" s="141"/>
    </row>
    <row r="8158">
      <c r="BB8158" s="122"/>
      <c r="BC8158" s="141"/>
    </row>
    <row r="8159">
      <c r="BB8159" s="122"/>
      <c r="BC8159" s="141"/>
    </row>
    <row r="8160">
      <c r="BB8160" s="122"/>
      <c r="BC8160" s="141"/>
    </row>
    <row r="8161">
      <c r="BB8161" s="122"/>
      <c r="BC8161" s="141"/>
    </row>
    <row r="8162">
      <c r="BB8162" s="122"/>
      <c r="BC8162" s="141"/>
    </row>
    <row r="8163">
      <c r="BB8163" s="122"/>
      <c r="BC8163" s="141"/>
    </row>
    <row r="8164">
      <c r="BB8164" s="122"/>
      <c r="BC8164" s="141"/>
    </row>
    <row r="8165">
      <c r="BB8165" s="122"/>
      <c r="BC8165" s="141"/>
    </row>
    <row r="8166">
      <c r="BB8166" s="122"/>
      <c r="BC8166" s="141"/>
    </row>
    <row r="8167">
      <c r="BB8167" s="122"/>
      <c r="BC8167" s="141"/>
    </row>
    <row r="8168">
      <c r="BB8168" s="122"/>
      <c r="BC8168" s="141"/>
    </row>
    <row r="8169">
      <c r="BB8169" s="122"/>
      <c r="BC8169" s="141"/>
    </row>
    <row r="8170">
      <c r="BB8170" s="122"/>
      <c r="BC8170" s="141"/>
    </row>
    <row r="8171">
      <c r="BB8171" s="122"/>
      <c r="BC8171" s="141"/>
    </row>
    <row r="8172">
      <c r="BB8172" s="122"/>
      <c r="BC8172" s="141"/>
    </row>
    <row r="8173">
      <c r="BB8173" s="122"/>
      <c r="BC8173" s="141"/>
    </row>
    <row r="8174">
      <c r="BB8174" s="122"/>
      <c r="BC8174" s="141"/>
    </row>
    <row r="8175">
      <c r="BB8175" s="122"/>
      <c r="BC8175" s="141"/>
    </row>
    <row r="8176">
      <c r="BB8176" s="122"/>
      <c r="BC8176" s="141"/>
    </row>
    <row r="8177">
      <c r="BB8177" s="122"/>
      <c r="BC8177" s="141"/>
    </row>
    <row r="8178">
      <c r="BB8178" s="122"/>
      <c r="BC8178" s="141"/>
    </row>
    <row r="8179">
      <c r="BB8179" s="122"/>
      <c r="BC8179" s="141"/>
    </row>
    <row r="8180">
      <c r="BB8180" s="122"/>
      <c r="BC8180" s="141"/>
    </row>
    <row r="8181">
      <c r="BB8181" s="122"/>
      <c r="BC8181" s="141"/>
    </row>
    <row r="8182">
      <c r="BB8182" s="122"/>
      <c r="BC8182" s="141"/>
    </row>
    <row r="8183">
      <c r="BB8183" s="122"/>
      <c r="BC8183" s="141"/>
    </row>
    <row r="8184">
      <c r="BB8184" s="122"/>
      <c r="BC8184" s="141"/>
    </row>
    <row r="8185">
      <c r="BB8185" s="122"/>
      <c r="BC8185" s="141"/>
    </row>
    <row r="8186">
      <c r="BB8186" s="122"/>
      <c r="BC8186" s="141"/>
    </row>
    <row r="8187">
      <c r="BB8187" s="122"/>
      <c r="BC8187" s="141"/>
    </row>
    <row r="8188">
      <c r="BB8188" s="122"/>
      <c r="BC8188" s="141"/>
    </row>
    <row r="8189">
      <c r="BB8189" s="122"/>
      <c r="BC8189" s="141"/>
    </row>
    <row r="8190">
      <c r="BB8190" s="122"/>
      <c r="BC8190" s="141"/>
    </row>
    <row r="8191">
      <c r="BB8191" s="122"/>
      <c r="BC8191" s="141"/>
    </row>
    <row r="8192">
      <c r="BB8192" s="122"/>
      <c r="BC8192" s="141"/>
    </row>
    <row r="8193">
      <c r="BB8193" s="122"/>
      <c r="BC8193" s="141"/>
    </row>
    <row r="8194">
      <c r="BB8194" s="122"/>
      <c r="BC8194" s="141"/>
    </row>
    <row r="8195">
      <c r="BB8195" s="122"/>
      <c r="BC8195" s="141"/>
    </row>
    <row r="8196">
      <c r="BB8196" s="122"/>
      <c r="BC8196" s="141"/>
    </row>
    <row r="8197">
      <c r="BB8197" s="122"/>
      <c r="BC8197" s="141"/>
    </row>
    <row r="8198">
      <c r="BB8198" s="122"/>
      <c r="BC8198" s="141"/>
    </row>
    <row r="8199">
      <c r="BB8199" s="122"/>
      <c r="BC8199" s="141"/>
    </row>
    <row r="8200">
      <c r="BB8200" s="122"/>
      <c r="BC8200" s="141"/>
    </row>
    <row r="8201">
      <c r="BB8201" s="122"/>
      <c r="BC8201" s="141"/>
    </row>
    <row r="8202">
      <c r="BB8202" s="122"/>
      <c r="BC8202" s="141"/>
    </row>
    <row r="8203">
      <c r="BB8203" s="122"/>
      <c r="BC8203" s="141"/>
    </row>
    <row r="8204">
      <c r="BB8204" s="122"/>
      <c r="BC8204" s="141"/>
    </row>
    <row r="8205">
      <c r="BB8205" s="122"/>
      <c r="BC8205" s="141"/>
    </row>
    <row r="8206">
      <c r="BB8206" s="122"/>
      <c r="BC8206" s="141"/>
    </row>
    <row r="8207">
      <c r="BB8207" s="122"/>
      <c r="BC8207" s="141"/>
    </row>
    <row r="8208">
      <c r="BB8208" s="122"/>
      <c r="BC8208" s="141"/>
    </row>
    <row r="8209">
      <c r="BB8209" s="122"/>
      <c r="BC8209" s="141"/>
    </row>
    <row r="8210">
      <c r="BB8210" s="122"/>
      <c r="BC8210" s="141"/>
    </row>
    <row r="8211">
      <c r="BB8211" s="122"/>
      <c r="BC8211" s="141"/>
    </row>
    <row r="8212">
      <c r="BB8212" s="122"/>
      <c r="BC8212" s="141"/>
    </row>
    <row r="8213">
      <c r="BB8213" s="122"/>
      <c r="BC8213" s="141"/>
    </row>
    <row r="8214">
      <c r="BB8214" s="122"/>
      <c r="BC8214" s="141"/>
    </row>
    <row r="8215">
      <c r="BB8215" s="122"/>
      <c r="BC8215" s="141"/>
    </row>
    <row r="8216">
      <c r="BB8216" s="122"/>
      <c r="BC8216" s="141"/>
    </row>
    <row r="8217">
      <c r="BB8217" s="122"/>
      <c r="BC8217" s="141"/>
    </row>
    <row r="8218">
      <c r="BB8218" s="122"/>
      <c r="BC8218" s="141"/>
    </row>
    <row r="8219">
      <c r="BB8219" s="122"/>
      <c r="BC8219" s="141"/>
    </row>
    <row r="8220">
      <c r="BB8220" s="122"/>
      <c r="BC8220" s="141"/>
    </row>
    <row r="8221">
      <c r="BB8221" s="122"/>
      <c r="BC8221" s="141"/>
    </row>
    <row r="8222">
      <c r="BB8222" s="122"/>
      <c r="BC8222" s="141"/>
    </row>
    <row r="8223">
      <c r="BB8223" s="122"/>
      <c r="BC8223" s="141"/>
    </row>
    <row r="8224">
      <c r="BB8224" s="122"/>
      <c r="BC8224" s="141"/>
    </row>
    <row r="8225">
      <c r="BB8225" s="122"/>
      <c r="BC8225" s="141"/>
    </row>
    <row r="8226">
      <c r="BB8226" s="122"/>
      <c r="BC8226" s="141"/>
    </row>
    <row r="8227">
      <c r="BB8227" s="122"/>
      <c r="BC8227" s="141"/>
    </row>
    <row r="8228">
      <c r="BB8228" s="122"/>
      <c r="BC8228" s="141"/>
    </row>
    <row r="8229">
      <c r="BB8229" s="122"/>
      <c r="BC8229" s="141"/>
    </row>
    <row r="8230">
      <c r="BB8230" s="122"/>
      <c r="BC8230" s="141"/>
    </row>
    <row r="8231">
      <c r="BB8231" s="122"/>
      <c r="BC8231" s="141"/>
    </row>
    <row r="8232">
      <c r="BB8232" s="122"/>
      <c r="BC8232" s="141"/>
    </row>
    <row r="8233">
      <c r="BB8233" s="122"/>
      <c r="BC8233" s="141"/>
    </row>
    <row r="8234">
      <c r="BB8234" s="122"/>
      <c r="BC8234" s="141"/>
    </row>
    <row r="8235">
      <c r="BB8235" s="122"/>
      <c r="BC8235" s="141"/>
    </row>
    <row r="8236">
      <c r="BB8236" s="122"/>
      <c r="BC8236" s="141"/>
    </row>
    <row r="8237">
      <c r="BB8237" s="122"/>
      <c r="BC8237" s="141"/>
    </row>
    <row r="8238">
      <c r="BB8238" s="122"/>
      <c r="BC8238" s="141"/>
    </row>
    <row r="8239">
      <c r="BB8239" s="122"/>
      <c r="BC8239" s="141"/>
    </row>
    <row r="8240">
      <c r="BB8240" s="122"/>
      <c r="BC8240" s="141"/>
    </row>
    <row r="8241">
      <c r="BB8241" s="122"/>
      <c r="BC8241" s="141"/>
    </row>
    <row r="8242">
      <c r="BB8242" s="122"/>
      <c r="BC8242" s="141"/>
    </row>
    <row r="8243">
      <c r="BB8243" s="122"/>
      <c r="BC8243" s="141"/>
    </row>
    <row r="8244">
      <c r="BB8244" s="122"/>
      <c r="BC8244" s="141"/>
    </row>
    <row r="8245">
      <c r="BB8245" s="122"/>
      <c r="BC8245" s="141"/>
    </row>
    <row r="8246">
      <c r="BB8246" s="122"/>
      <c r="BC8246" s="141"/>
    </row>
    <row r="8247">
      <c r="BB8247" s="122"/>
      <c r="BC8247" s="141"/>
    </row>
    <row r="8248">
      <c r="BB8248" s="122"/>
      <c r="BC8248" s="141"/>
    </row>
    <row r="8249">
      <c r="BB8249" s="122"/>
      <c r="BC8249" s="141"/>
    </row>
    <row r="8250">
      <c r="BB8250" s="122"/>
      <c r="BC8250" s="141"/>
    </row>
    <row r="8251">
      <c r="BB8251" s="122"/>
      <c r="BC8251" s="141"/>
    </row>
    <row r="8252">
      <c r="BB8252" s="122"/>
      <c r="BC8252" s="141"/>
    </row>
    <row r="8253">
      <c r="BB8253" s="122"/>
      <c r="BC8253" s="141"/>
    </row>
    <row r="8254">
      <c r="BB8254" s="122"/>
      <c r="BC8254" s="141"/>
    </row>
    <row r="8255">
      <c r="BB8255" s="122"/>
      <c r="BC8255" s="141"/>
    </row>
    <row r="8256">
      <c r="BB8256" s="122"/>
      <c r="BC8256" s="141"/>
    </row>
    <row r="8257">
      <c r="BB8257" s="122"/>
      <c r="BC8257" s="141"/>
    </row>
    <row r="8258">
      <c r="BB8258" s="122"/>
      <c r="BC8258" s="141"/>
    </row>
    <row r="8259">
      <c r="BB8259" s="122"/>
      <c r="BC8259" s="141"/>
    </row>
    <row r="8260">
      <c r="BB8260" s="122"/>
      <c r="BC8260" s="141"/>
    </row>
    <row r="8261">
      <c r="BB8261" s="122"/>
      <c r="BC8261" s="141"/>
    </row>
    <row r="8262">
      <c r="BB8262" s="122"/>
      <c r="BC8262" s="141"/>
    </row>
    <row r="8263">
      <c r="BB8263" s="122"/>
      <c r="BC8263" s="141"/>
    </row>
    <row r="8264">
      <c r="BB8264" s="122"/>
      <c r="BC8264" s="141"/>
    </row>
    <row r="8265">
      <c r="BB8265" s="122"/>
      <c r="BC8265" s="141"/>
    </row>
    <row r="8266">
      <c r="BB8266" s="122"/>
      <c r="BC8266" s="141"/>
    </row>
    <row r="8267">
      <c r="BB8267" s="122"/>
      <c r="BC8267" s="141"/>
    </row>
    <row r="8268">
      <c r="BB8268" s="122"/>
      <c r="BC8268" s="141"/>
    </row>
    <row r="8269">
      <c r="BB8269" s="122"/>
      <c r="BC8269" s="141"/>
    </row>
    <row r="8270">
      <c r="BB8270" s="122"/>
      <c r="BC8270" s="141"/>
    </row>
    <row r="8271">
      <c r="BB8271" s="122"/>
      <c r="BC8271" s="141"/>
    </row>
    <row r="8272">
      <c r="BB8272" s="122"/>
      <c r="BC8272" s="141"/>
    </row>
    <row r="8273">
      <c r="BB8273" s="122"/>
      <c r="BC8273" s="141"/>
    </row>
    <row r="8274">
      <c r="BB8274" s="122"/>
      <c r="BC8274" s="141"/>
    </row>
    <row r="8275">
      <c r="BB8275" s="122"/>
      <c r="BC8275" s="141"/>
    </row>
    <row r="8276">
      <c r="BB8276" s="122"/>
      <c r="BC8276" s="141"/>
    </row>
    <row r="8277">
      <c r="BB8277" s="122"/>
      <c r="BC8277" s="141"/>
    </row>
    <row r="8278">
      <c r="BB8278" s="122"/>
      <c r="BC8278" s="141"/>
    </row>
    <row r="8279">
      <c r="BB8279" s="122"/>
      <c r="BC8279" s="141"/>
    </row>
    <row r="8280">
      <c r="BB8280" s="122"/>
      <c r="BC8280" s="141"/>
    </row>
    <row r="8281">
      <c r="BB8281" s="122"/>
      <c r="BC8281" s="141"/>
    </row>
    <row r="8282">
      <c r="BB8282" s="122"/>
      <c r="BC8282" s="141"/>
    </row>
    <row r="8283">
      <c r="BB8283" s="122"/>
      <c r="BC8283" s="141"/>
    </row>
    <row r="8284">
      <c r="BB8284" s="122"/>
      <c r="BC8284" s="141"/>
    </row>
    <row r="8285">
      <c r="BB8285" s="122"/>
      <c r="BC8285" s="141"/>
    </row>
    <row r="8286">
      <c r="BB8286" s="122"/>
      <c r="BC8286" s="141"/>
    </row>
    <row r="8287">
      <c r="BB8287" s="122"/>
      <c r="BC8287" s="141"/>
    </row>
    <row r="8288">
      <c r="BB8288" s="122"/>
      <c r="BC8288" s="141"/>
    </row>
    <row r="8289">
      <c r="BB8289" s="122"/>
      <c r="BC8289" s="141"/>
    </row>
    <row r="8290">
      <c r="BB8290" s="122"/>
      <c r="BC8290" s="141"/>
    </row>
    <row r="8291">
      <c r="BB8291" s="122"/>
      <c r="BC8291" s="141"/>
    </row>
    <row r="8292">
      <c r="BB8292" s="122"/>
      <c r="BC8292" s="141"/>
    </row>
    <row r="8293">
      <c r="BB8293" s="122"/>
      <c r="BC8293" s="141"/>
    </row>
    <row r="8294">
      <c r="BB8294" s="122"/>
      <c r="BC8294" s="141"/>
    </row>
    <row r="8295">
      <c r="BB8295" s="122"/>
      <c r="BC8295" s="141"/>
    </row>
    <row r="8296">
      <c r="BB8296" s="122"/>
      <c r="BC8296" s="141"/>
    </row>
    <row r="8297">
      <c r="BB8297" s="122"/>
      <c r="BC8297" s="141"/>
    </row>
    <row r="8298">
      <c r="BB8298" s="122"/>
      <c r="BC8298" s="141"/>
    </row>
    <row r="8299">
      <c r="BB8299" s="122"/>
      <c r="BC8299" s="141"/>
    </row>
    <row r="8300">
      <c r="BB8300" s="122"/>
      <c r="BC8300" s="141"/>
    </row>
    <row r="8301">
      <c r="BB8301" s="122"/>
      <c r="BC8301" s="141"/>
    </row>
    <row r="8302">
      <c r="BB8302" s="122"/>
      <c r="BC8302" s="141"/>
    </row>
    <row r="8303">
      <c r="BB8303" s="122"/>
      <c r="BC8303" s="141"/>
    </row>
    <row r="8304">
      <c r="BB8304" s="122"/>
      <c r="BC8304" s="141"/>
    </row>
    <row r="8305">
      <c r="BB8305" s="122"/>
      <c r="BC8305" s="141"/>
    </row>
    <row r="8306">
      <c r="BB8306" s="122"/>
      <c r="BC8306" s="141"/>
    </row>
    <row r="8307">
      <c r="BB8307" s="122"/>
      <c r="BC8307" s="141"/>
    </row>
    <row r="8308">
      <c r="BB8308" s="122"/>
      <c r="BC8308" s="141"/>
    </row>
    <row r="8309">
      <c r="BB8309" s="122"/>
      <c r="BC8309" s="141"/>
    </row>
    <row r="8310">
      <c r="BB8310" s="122"/>
      <c r="BC8310" s="141"/>
    </row>
    <row r="8311">
      <c r="BB8311" s="122"/>
      <c r="BC8311" s="141"/>
    </row>
    <row r="8312">
      <c r="BB8312" s="122"/>
      <c r="BC8312" s="141"/>
    </row>
    <row r="8313">
      <c r="BB8313" s="122"/>
      <c r="BC8313" s="141"/>
    </row>
    <row r="8314">
      <c r="BB8314" s="122"/>
      <c r="BC8314" s="141"/>
    </row>
    <row r="8315">
      <c r="BB8315" s="122"/>
      <c r="BC8315" s="141"/>
    </row>
    <row r="8316">
      <c r="BB8316" s="122"/>
      <c r="BC8316" s="141"/>
    </row>
    <row r="8317">
      <c r="BB8317" s="122"/>
      <c r="BC8317" s="141"/>
    </row>
    <row r="8318">
      <c r="BB8318" s="122"/>
      <c r="BC8318" s="141"/>
    </row>
    <row r="8319">
      <c r="BB8319" s="122"/>
      <c r="BC8319" s="141"/>
    </row>
    <row r="8320">
      <c r="BB8320" s="122"/>
      <c r="BC8320" s="141"/>
    </row>
    <row r="8321">
      <c r="BB8321" s="122"/>
      <c r="BC8321" s="141"/>
    </row>
    <row r="8322">
      <c r="BB8322" s="122"/>
      <c r="BC8322" s="141"/>
    </row>
    <row r="8323">
      <c r="BB8323" s="122"/>
      <c r="BC8323" s="141"/>
    </row>
    <row r="8324">
      <c r="BB8324" s="122"/>
      <c r="BC8324" s="141"/>
    </row>
    <row r="8325">
      <c r="BB8325" s="122"/>
      <c r="BC8325" s="141"/>
    </row>
    <row r="8326">
      <c r="BB8326" s="122"/>
      <c r="BC8326" s="141"/>
    </row>
    <row r="8327">
      <c r="BB8327" s="122"/>
      <c r="BC8327" s="141"/>
    </row>
    <row r="8328">
      <c r="BB8328" s="122"/>
      <c r="BC8328" s="141"/>
    </row>
    <row r="8329">
      <c r="BB8329" s="122"/>
      <c r="BC8329" s="141"/>
    </row>
    <row r="8330">
      <c r="BB8330" s="122"/>
      <c r="BC8330" s="141"/>
    </row>
    <row r="8331">
      <c r="BB8331" s="122"/>
      <c r="BC8331" s="141"/>
    </row>
    <row r="8332">
      <c r="BB8332" s="122"/>
      <c r="BC8332" s="141"/>
    </row>
    <row r="8333">
      <c r="BB8333" s="122"/>
      <c r="BC8333" s="141"/>
    </row>
    <row r="8334">
      <c r="BB8334" s="122"/>
      <c r="BC8334" s="141"/>
    </row>
    <row r="8335">
      <c r="BB8335" s="122"/>
      <c r="BC8335" s="141"/>
    </row>
    <row r="8336">
      <c r="BB8336" s="122"/>
      <c r="BC8336" s="141"/>
    </row>
    <row r="8337">
      <c r="BB8337" s="122"/>
      <c r="BC8337" s="141"/>
    </row>
    <row r="8338">
      <c r="BB8338" s="122"/>
      <c r="BC8338" s="141"/>
    </row>
    <row r="8339">
      <c r="BB8339" s="122"/>
      <c r="BC8339" s="141"/>
    </row>
    <row r="8340">
      <c r="BB8340" s="122"/>
      <c r="BC8340" s="141"/>
    </row>
    <row r="8341">
      <c r="BB8341" s="122"/>
      <c r="BC8341" s="141"/>
    </row>
    <row r="8342">
      <c r="BB8342" s="122"/>
      <c r="BC8342" s="141"/>
    </row>
    <row r="8343">
      <c r="BB8343" s="122"/>
      <c r="BC8343" s="141"/>
    </row>
    <row r="8344">
      <c r="BB8344" s="122"/>
      <c r="BC8344" s="141"/>
    </row>
    <row r="8345">
      <c r="BB8345" s="122"/>
      <c r="BC8345" s="141"/>
    </row>
    <row r="8346">
      <c r="BB8346" s="122"/>
      <c r="BC8346" s="141"/>
    </row>
    <row r="8347">
      <c r="BB8347" s="122"/>
      <c r="BC8347" s="141"/>
    </row>
    <row r="8348">
      <c r="BB8348" s="122"/>
      <c r="BC8348" s="141"/>
    </row>
    <row r="8349">
      <c r="BB8349" s="122"/>
      <c r="BC8349" s="141"/>
    </row>
    <row r="8350">
      <c r="BB8350" s="122"/>
      <c r="BC8350" s="141"/>
    </row>
    <row r="8351">
      <c r="BB8351" s="122"/>
      <c r="BC8351" s="141"/>
    </row>
    <row r="8352">
      <c r="BB8352" s="122"/>
      <c r="BC8352" s="141"/>
    </row>
    <row r="8353">
      <c r="BB8353" s="122"/>
      <c r="BC8353" s="141"/>
    </row>
    <row r="8354">
      <c r="BB8354" s="122"/>
      <c r="BC8354" s="141"/>
    </row>
    <row r="8355">
      <c r="BB8355" s="122"/>
      <c r="BC8355" s="141"/>
    </row>
    <row r="8356">
      <c r="BB8356" s="122"/>
      <c r="BC8356" s="141"/>
    </row>
    <row r="8357">
      <c r="BB8357" s="122"/>
      <c r="BC8357" s="141"/>
    </row>
    <row r="8358">
      <c r="BB8358" s="122"/>
      <c r="BC8358" s="141"/>
    </row>
    <row r="8359">
      <c r="BB8359" s="122"/>
      <c r="BC8359" s="141"/>
    </row>
    <row r="8360">
      <c r="BB8360" s="122"/>
      <c r="BC8360" s="141"/>
    </row>
    <row r="8361">
      <c r="BB8361" s="122"/>
      <c r="BC8361" s="141"/>
    </row>
    <row r="8362">
      <c r="BB8362" s="122"/>
      <c r="BC8362" s="141"/>
    </row>
    <row r="8363">
      <c r="BB8363" s="122"/>
      <c r="BC8363" s="141"/>
    </row>
    <row r="8364">
      <c r="BB8364" s="122"/>
      <c r="BC8364" s="141"/>
    </row>
    <row r="8365">
      <c r="BB8365" s="122"/>
      <c r="BC8365" s="141"/>
    </row>
    <row r="8366">
      <c r="BB8366" s="122"/>
      <c r="BC8366" s="141"/>
    </row>
    <row r="8367">
      <c r="BB8367" s="122"/>
      <c r="BC8367" s="141"/>
    </row>
    <row r="8368">
      <c r="BB8368" s="122"/>
      <c r="BC8368" s="141"/>
    </row>
    <row r="8369">
      <c r="BB8369" s="122"/>
      <c r="BC8369" s="141"/>
    </row>
    <row r="8370">
      <c r="BB8370" s="122"/>
      <c r="BC8370" s="141"/>
    </row>
    <row r="8371">
      <c r="BB8371" s="122"/>
      <c r="BC8371" s="141"/>
    </row>
    <row r="8372">
      <c r="BB8372" s="122"/>
      <c r="BC8372" s="141"/>
    </row>
    <row r="8373">
      <c r="BB8373" s="122"/>
      <c r="BC8373" s="141"/>
    </row>
    <row r="8374">
      <c r="BB8374" s="122"/>
      <c r="BC8374" s="141"/>
    </row>
    <row r="8375">
      <c r="BB8375" s="122"/>
      <c r="BC8375" s="141"/>
    </row>
    <row r="8376">
      <c r="BB8376" s="122"/>
      <c r="BC8376" s="141"/>
    </row>
    <row r="8377">
      <c r="BB8377" s="122"/>
      <c r="BC8377" s="141"/>
    </row>
    <row r="8378">
      <c r="BB8378" s="122"/>
      <c r="BC8378" s="141"/>
    </row>
    <row r="8379">
      <c r="BB8379" s="122"/>
      <c r="BC8379" s="141"/>
    </row>
    <row r="8380">
      <c r="BB8380" s="122"/>
      <c r="BC8380" s="141"/>
    </row>
    <row r="8381">
      <c r="BB8381" s="122"/>
      <c r="BC8381" s="141"/>
    </row>
    <row r="8382">
      <c r="BB8382" s="122"/>
      <c r="BC8382" s="141"/>
    </row>
    <row r="8383">
      <c r="BB8383" s="122"/>
      <c r="BC8383" s="141"/>
    </row>
    <row r="8384">
      <c r="BB8384" s="122"/>
      <c r="BC8384" s="141"/>
    </row>
    <row r="8385">
      <c r="BB8385" s="122"/>
      <c r="BC8385" s="141"/>
    </row>
    <row r="8386">
      <c r="BB8386" s="122"/>
      <c r="BC8386" s="141"/>
    </row>
    <row r="8387">
      <c r="BB8387" s="122"/>
      <c r="BC8387" s="141"/>
    </row>
    <row r="8388">
      <c r="BB8388" s="122"/>
      <c r="BC8388" s="141"/>
    </row>
    <row r="8389">
      <c r="BB8389" s="122"/>
      <c r="BC8389" s="141"/>
    </row>
    <row r="8390">
      <c r="BB8390" s="122"/>
      <c r="BC8390" s="141"/>
    </row>
    <row r="8391">
      <c r="BB8391" s="122"/>
      <c r="BC8391" s="141"/>
    </row>
    <row r="8392">
      <c r="BB8392" s="122"/>
      <c r="BC8392" s="141"/>
    </row>
    <row r="8393">
      <c r="BB8393" s="122"/>
      <c r="BC8393" s="141"/>
    </row>
    <row r="8394">
      <c r="BB8394" s="122"/>
      <c r="BC8394" s="141"/>
    </row>
    <row r="8395">
      <c r="BB8395" s="122"/>
      <c r="BC8395" s="141"/>
    </row>
    <row r="8396">
      <c r="BB8396" s="122"/>
      <c r="BC8396" s="141"/>
    </row>
    <row r="8397">
      <c r="BB8397" s="122"/>
      <c r="BC8397" s="141"/>
    </row>
    <row r="8398">
      <c r="BB8398" s="122"/>
      <c r="BC8398" s="141"/>
    </row>
    <row r="8399">
      <c r="BB8399" s="122"/>
      <c r="BC8399" s="141"/>
    </row>
    <row r="8400">
      <c r="BB8400" s="122"/>
      <c r="BC8400" s="141"/>
    </row>
    <row r="8401">
      <c r="BB8401" s="122"/>
      <c r="BC8401" s="141"/>
    </row>
    <row r="8402">
      <c r="BB8402" s="122"/>
      <c r="BC8402" s="141"/>
    </row>
    <row r="8403">
      <c r="BB8403" s="122"/>
      <c r="BC8403" s="141"/>
    </row>
    <row r="8404">
      <c r="BB8404" s="122"/>
      <c r="BC8404" s="141"/>
    </row>
    <row r="8405">
      <c r="BB8405" s="122"/>
      <c r="BC8405" s="141"/>
    </row>
    <row r="8406">
      <c r="BB8406" s="122"/>
      <c r="BC8406" s="141"/>
    </row>
    <row r="8407">
      <c r="BB8407" s="122"/>
      <c r="BC8407" s="141"/>
    </row>
    <row r="8408">
      <c r="BB8408" s="122"/>
      <c r="BC8408" s="141"/>
    </row>
    <row r="8409">
      <c r="BB8409" s="122"/>
      <c r="BC8409" s="141"/>
    </row>
    <row r="8410">
      <c r="BB8410" s="122"/>
      <c r="BC8410" s="141"/>
    </row>
    <row r="8411">
      <c r="BB8411" s="122"/>
      <c r="BC8411" s="141"/>
    </row>
    <row r="8412">
      <c r="BB8412" s="122"/>
      <c r="BC8412" s="141"/>
    </row>
    <row r="8413">
      <c r="BB8413" s="122"/>
      <c r="BC8413" s="141"/>
    </row>
    <row r="8414">
      <c r="BB8414" s="122"/>
      <c r="BC8414" s="141"/>
    </row>
    <row r="8415">
      <c r="BB8415" s="122"/>
      <c r="BC8415" s="141"/>
    </row>
    <row r="8416">
      <c r="BB8416" s="122"/>
      <c r="BC8416" s="141"/>
    </row>
    <row r="8417">
      <c r="BB8417" s="122"/>
      <c r="BC8417" s="141"/>
    </row>
    <row r="8418">
      <c r="BB8418" s="122"/>
      <c r="BC8418" s="141"/>
    </row>
    <row r="8419">
      <c r="BB8419" s="122"/>
      <c r="BC8419" s="141"/>
    </row>
    <row r="8420">
      <c r="BB8420" s="122"/>
      <c r="BC8420" s="141"/>
    </row>
    <row r="8421">
      <c r="BB8421" s="122"/>
      <c r="BC8421" s="141"/>
    </row>
    <row r="8422">
      <c r="BB8422" s="122"/>
      <c r="BC8422" s="141"/>
    </row>
    <row r="8423">
      <c r="BB8423" s="122"/>
      <c r="BC8423" s="141"/>
    </row>
    <row r="8424">
      <c r="BB8424" s="122"/>
      <c r="BC8424" s="141"/>
    </row>
    <row r="8425">
      <c r="BB8425" s="122"/>
      <c r="BC8425" s="141"/>
    </row>
    <row r="8426">
      <c r="BB8426" s="122"/>
      <c r="BC8426" s="141"/>
    </row>
    <row r="8427">
      <c r="BB8427" s="122"/>
      <c r="BC8427" s="141"/>
    </row>
    <row r="8428">
      <c r="BB8428" s="122"/>
      <c r="BC8428" s="141"/>
    </row>
    <row r="8429">
      <c r="BB8429" s="122"/>
      <c r="BC8429" s="141"/>
    </row>
    <row r="8430">
      <c r="BB8430" s="122"/>
      <c r="BC8430" s="141"/>
    </row>
    <row r="8431">
      <c r="BB8431" s="122"/>
      <c r="BC8431" s="141"/>
    </row>
    <row r="8432">
      <c r="BB8432" s="122"/>
      <c r="BC8432" s="141"/>
    </row>
    <row r="8433">
      <c r="BB8433" s="122"/>
      <c r="BC8433" s="141"/>
    </row>
    <row r="8434">
      <c r="BB8434" s="122"/>
      <c r="BC8434" s="141"/>
    </row>
    <row r="8435">
      <c r="BB8435" s="122"/>
      <c r="BC8435" s="141"/>
    </row>
    <row r="8436">
      <c r="BB8436" s="122"/>
      <c r="BC8436" s="141"/>
    </row>
    <row r="8437">
      <c r="BB8437" s="122"/>
      <c r="BC8437" s="141"/>
    </row>
    <row r="8438">
      <c r="BB8438" s="122"/>
      <c r="BC8438" s="141"/>
    </row>
    <row r="8439">
      <c r="BB8439" s="122"/>
      <c r="BC8439" s="141"/>
    </row>
    <row r="8440">
      <c r="BB8440" s="122"/>
      <c r="BC8440" s="141"/>
    </row>
    <row r="8441">
      <c r="BB8441" s="122"/>
      <c r="BC8441" s="141"/>
    </row>
    <row r="8442">
      <c r="BB8442" s="122"/>
      <c r="BC8442" s="141"/>
    </row>
    <row r="8443">
      <c r="BB8443" s="122"/>
      <c r="BC8443" s="141"/>
    </row>
    <row r="8444">
      <c r="BB8444" s="122"/>
      <c r="BC8444" s="141"/>
    </row>
    <row r="8445">
      <c r="BB8445" s="122"/>
      <c r="BC8445" s="141"/>
    </row>
    <row r="8446">
      <c r="BB8446" s="122"/>
      <c r="BC8446" s="141"/>
    </row>
    <row r="8447">
      <c r="BB8447" s="122"/>
      <c r="BC8447" s="141"/>
    </row>
    <row r="8448">
      <c r="BB8448" s="122"/>
      <c r="BC8448" s="141"/>
    </row>
    <row r="8449">
      <c r="BB8449" s="122"/>
      <c r="BC8449" s="141"/>
    </row>
    <row r="8450">
      <c r="BB8450" s="122"/>
      <c r="BC8450" s="141"/>
    </row>
    <row r="8451">
      <c r="BB8451" s="122"/>
      <c r="BC8451" s="141"/>
    </row>
    <row r="8452">
      <c r="BB8452" s="122"/>
      <c r="BC8452" s="141"/>
    </row>
    <row r="8453">
      <c r="BB8453" s="122"/>
      <c r="BC8453" s="141"/>
    </row>
    <row r="8454">
      <c r="BB8454" s="122"/>
      <c r="BC8454" s="141"/>
    </row>
    <row r="8455">
      <c r="BB8455" s="122"/>
      <c r="BC8455" s="141"/>
    </row>
    <row r="8456">
      <c r="BB8456" s="122"/>
      <c r="BC8456" s="141"/>
    </row>
    <row r="8457">
      <c r="BB8457" s="122"/>
      <c r="BC8457" s="141"/>
    </row>
    <row r="8458">
      <c r="BB8458" s="122"/>
      <c r="BC8458" s="141"/>
    </row>
    <row r="8459">
      <c r="BB8459" s="122"/>
      <c r="BC8459" s="141"/>
    </row>
    <row r="8460">
      <c r="BB8460" s="122"/>
      <c r="BC8460" s="141"/>
    </row>
    <row r="8461">
      <c r="BB8461" s="122"/>
      <c r="BC8461" s="141"/>
    </row>
    <row r="8462">
      <c r="BB8462" s="122"/>
      <c r="BC8462" s="141"/>
    </row>
    <row r="8463">
      <c r="BB8463" s="122"/>
      <c r="BC8463" s="141"/>
    </row>
    <row r="8464">
      <c r="BB8464" s="122"/>
      <c r="BC8464" s="141"/>
    </row>
    <row r="8465">
      <c r="BB8465" s="122"/>
      <c r="BC8465" s="141"/>
    </row>
    <row r="8466">
      <c r="BB8466" s="122"/>
      <c r="BC8466" s="141"/>
    </row>
    <row r="8467">
      <c r="BB8467" s="122"/>
      <c r="BC8467" s="141"/>
    </row>
    <row r="8468">
      <c r="BB8468" s="122"/>
      <c r="BC8468" s="141"/>
    </row>
    <row r="8469">
      <c r="BB8469" s="122"/>
      <c r="BC8469" s="141"/>
    </row>
    <row r="8470">
      <c r="BB8470" s="122"/>
      <c r="BC8470" s="141"/>
    </row>
    <row r="8471">
      <c r="BB8471" s="122"/>
      <c r="BC8471" s="141"/>
    </row>
    <row r="8472">
      <c r="BB8472" s="122"/>
      <c r="BC8472" s="141"/>
    </row>
    <row r="8473">
      <c r="BB8473" s="122"/>
      <c r="BC8473" s="141"/>
    </row>
    <row r="8474">
      <c r="BB8474" s="122"/>
      <c r="BC8474" s="141"/>
    </row>
    <row r="8475">
      <c r="BB8475" s="122"/>
      <c r="BC8475" s="141"/>
    </row>
    <row r="8476">
      <c r="BB8476" s="122"/>
      <c r="BC8476" s="141"/>
    </row>
    <row r="8477">
      <c r="BB8477" s="122"/>
      <c r="BC8477" s="141"/>
    </row>
    <row r="8478">
      <c r="BB8478" s="122"/>
      <c r="BC8478" s="141"/>
    </row>
    <row r="8479">
      <c r="BB8479" s="122"/>
      <c r="BC8479" s="141"/>
    </row>
    <row r="8480">
      <c r="BB8480" s="122"/>
      <c r="BC8480" s="141"/>
    </row>
    <row r="8481">
      <c r="BB8481" s="122"/>
      <c r="BC8481" s="141"/>
    </row>
    <row r="8482">
      <c r="BB8482" s="122"/>
      <c r="BC8482" s="141"/>
    </row>
    <row r="8483">
      <c r="BB8483" s="122"/>
      <c r="BC8483" s="141"/>
    </row>
    <row r="8484">
      <c r="BB8484" s="122"/>
      <c r="BC8484" s="141"/>
    </row>
    <row r="8485">
      <c r="BB8485" s="122"/>
      <c r="BC8485" s="141"/>
    </row>
    <row r="8486">
      <c r="BB8486" s="122"/>
      <c r="BC8486" s="141"/>
    </row>
    <row r="8487">
      <c r="BB8487" s="122"/>
      <c r="BC8487" s="141"/>
    </row>
    <row r="8488">
      <c r="BB8488" s="122"/>
      <c r="BC8488" s="141"/>
    </row>
    <row r="8489">
      <c r="BB8489" s="122"/>
      <c r="BC8489" s="141"/>
    </row>
    <row r="8490">
      <c r="BB8490" s="122"/>
      <c r="BC8490" s="141"/>
    </row>
    <row r="8491">
      <c r="BB8491" s="122"/>
      <c r="BC8491" s="141"/>
    </row>
    <row r="8492">
      <c r="BB8492" s="122"/>
      <c r="BC8492" s="141"/>
    </row>
    <row r="8493">
      <c r="BB8493" s="122"/>
      <c r="BC8493" s="141"/>
    </row>
    <row r="8494">
      <c r="BB8494" s="122"/>
      <c r="BC8494" s="141"/>
    </row>
    <row r="8495">
      <c r="BB8495" s="122"/>
      <c r="BC8495" s="141"/>
    </row>
    <row r="8496">
      <c r="BB8496" s="122"/>
      <c r="BC8496" s="141"/>
    </row>
    <row r="8497">
      <c r="BB8497" s="122"/>
      <c r="BC8497" s="141"/>
    </row>
    <row r="8498">
      <c r="BB8498" s="122"/>
      <c r="BC8498" s="141"/>
    </row>
    <row r="8499">
      <c r="BB8499" s="122"/>
      <c r="BC8499" s="141"/>
    </row>
    <row r="8500">
      <c r="BB8500" s="122"/>
      <c r="BC8500" s="141"/>
    </row>
    <row r="8501">
      <c r="BB8501" s="122"/>
      <c r="BC8501" s="141"/>
    </row>
    <row r="8502">
      <c r="BB8502" s="122"/>
      <c r="BC8502" s="141"/>
    </row>
    <row r="8503">
      <c r="BB8503" s="122"/>
      <c r="BC8503" s="141"/>
    </row>
    <row r="8504">
      <c r="BB8504" s="122"/>
      <c r="BC8504" s="141"/>
    </row>
    <row r="8505">
      <c r="BB8505" s="122"/>
      <c r="BC8505" s="141"/>
    </row>
    <row r="8506">
      <c r="BB8506" s="122"/>
      <c r="BC8506" s="141"/>
    </row>
    <row r="8507">
      <c r="BB8507" s="122"/>
      <c r="BC8507" s="141"/>
    </row>
    <row r="8508">
      <c r="BB8508" s="122"/>
      <c r="BC8508" s="141"/>
    </row>
    <row r="8509">
      <c r="BB8509" s="122"/>
      <c r="BC8509" s="141"/>
    </row>
    <row r="8510">
      <c r="BB8510" s="122"/>
      <c r="BC8510" s="141"/>
    </row>
    <row r="8511">
      <c r="BB8511" s="122"/>
      <c r="BC8511" s="141"/>
    </row>
    <row r="8512">
      <c r="BB8512" s="122"/>
      <c r="BC8512" s="141"/>
    </row>
    <row r="8513">
      <c r="BB8513" s="122"/>
      <c r="BC8513" s="141"/>
    </row>
    <row r="8514">
      <c r="BB8514" s="122"/>
      <c r="BC8514" s="141"/>
    </row>
    <row r="8515">
      <c r="BB8515" s="122"/>
      <c r="BC8515" s="141"/>
    </row>
    <row r="8516">
      <c r="BB8516" s="122"/>
      <c r="BC8516" s="141"/>
    </row>
    <row r="8517">
      <c r="BB8517" s="122"/>
      <c r="BC8517" s="141"/>
    </row>
    <row r="8518">
      <c r="BB8518" s="122"/>
      <c r="BC8518" s="141"/>
    </row>
    <row r="8519">
      <c r="BB8519" s="122"/>
      <c r="BC8519" s="141"/>
    </row>
    <row r="8520">
      <c r="BB8520" s="122"/>
      <c r="BC8520" s="141"/>
    </row>
    <row r="8521">
      <c r="BB8521" s="122"/>
      <c r="BC8521" s="141"/>
    </row>
    <row r="8522">
      <c r="BB8522" s="122"/>
      <c r="BC8522" s="141"/>
    </row>
    <row r="8523">
      <c r="BB8523" s="122"/>
      <c r="BC8523" s="141"/>
    </row>
    <row r="8524">
      <c r="BB8524" s="122"/>
      <c r="BC8524" s="141"/>
    </row>
    <row r="8525">
      <c r="BB8525" s="122"/>
      <c r="BC8525" s="141"/>
    </row>
    <row r="8526">
      <c r="BB8526" s="122"/>
      <c r="BC8526" s="141"/>
    </row>
    <row r="8527">
      <c r="BB8527" s="122"/>
      <c r="BC8527" s="141"/>
    </row>
    <row r="8528">
      <c r="BB8528" s="122"/>
      <c r="BC8528" s="141"/>
    </row>
    <row r="8529">
      <c r="BB8529" s="122"/>
      <c r="BC8529" s="141"/>
    </row>
    <row r="8530">
      <c r="BB8530" s="122"/>
      <c r="BC8530" s="141"/>
    </row>
    <row r="8531">
      <c r="BB8531" s="122"/>
      <c r="BC8531" s="141"/>
    </row>
    <row r="8532">
      <c r="BB8532" s="122"/>
      <c r="BC8532" s="141"/>
    </row>
    <row r="8533">
      <c r="BB8533" s="122"/>
      <c r="BC8533" s="141"/>
    </row>
    <row r="8534">
      <c r="BB8534" s="122"/>
      <c r="BC8534" s="141"/>
    </row>
    <row r="8535">
      <c r="BB8535" s="122"/>
      <c r="BC8535" s="141"/>
    </row>
    <row r="8536">
      <c r="BB8536" s="122"/>
      <c r="BC8536" s="141"/>
    </row>
    <row r="8537">
      <c r="BB8537" s="122"/>
      <c r="BC8537" s="141"/>
    </row>
    <row r="8538">
      <c r="BB8538" s="122"/>
      <c r="BC8538" s="141"/>
    </row>
    <row r="8539">
      <c r="BB8539" s="122"/>
      <c r="BC8539" s="141"/>
    </row>
    <row r="8540">
      <c r="BB8540" s="122"/>
      <c r="BC8540" s="141"/>
    </row>
    <row r="8541">
      <c r="BB8541" s="122"/>
      <c r="BC8541" s="141"/>
    </row>
    <row r="8542">
      <c r="BB8542" s="122"/>
      <c r="BC8542" s="141"/>
    </row>
    <row r="8543">
      <c r="BB8543" s="122"/>
      <c r="BC8543" s="141"/>
    </row>
    <row r="8544">
      <c r="BB8544" s="122"/>
      <c r="BC8544" s="141"/>
    </row>
    <row r="8545">
      <c r="BB8545" s="122"/>
      <c r="BC8545" s="141"/>
    </row>
    <row r="8546">
      <c r="BB8546" s="122"/>
      <c r="BC8546" s="141"/>
    </row>
    <row r="8547">
      <c r="BB8547" s="122"/>
      <c r="BC8547" s="141"/>
    </row>
    <row r="8548">
      <c r="BB8548" s="122"/>
      <c r="BC8548" s="141"/>
    </row>
    <row r="8549">
      <c r="BB8549" s="122"/>
      <c r="BC8549" s="141"/>
    </row>
    <row r="8550">
      <c r="BB8550" s="122"/>
      <c r="BC8550" s="141"/>
    </row>
    <row r="8551">
      <c r="BB8551" s="122"/>
      <c r="BC8551" s="141"/>
    </row>
    <row r="8552">
      <c r="BB8552" s="122"/>
      <c r="BC8552" s="141"/>
    </row>
    <row r="8553">
      <c r="BB8553" s="122"/>
      <c r="BC8553" s="141"/>
    </row>
    <row r="8554">
      <c r="BB8554" s="122"/>
      <c r="BC8554" s="141"/>
    </row>
    <row r="8555">
      <c r="BB8555" s="122"/>
      <c r="BC8555" s="141"/>
    </row>
    <row r="8556">
      <c r="BB8556" s="122"/>
      <c r="BC8556" s="141"/>
    </row>
    <row r="8557">
      <c r="BB8557" s="122"/>
      <c r="BC8557" s="141"/>
    </row>
    <row r="8558">
      <c r="BB8558" s="122"/>
      <c r="BC8558" s="141"/>
    </row>
    <row r="8559">
      <c r="BB8559" s="122"/>
      <c r="BC8559" s="141"/>
    </row>
    <row r="8560">
      <c r="BB8560" s="122"/>
      <c r="BC8560" s="141"/>
    </row>
    <row r="8561">
      <c r="BB8561" s="122"/>
      <c r="BC8561" s="141"/>
    </row>
    <row r="8562">
      <c r="BB8562" s="122"/>
      <c r="BC8562" s="141"/>
    </row>
    <row r="8563">
      <c r="BB8563" s="122"/>
      <c r="BC8563" s="141"/>
    </row>
    <row r="8564">
      <c r="BB8564" s="122"/>
      <c r="BC8564" s="141"/>
    </row>
    <row r="8565">
      <c r="BB8565" s="122"/>
      <c r="BC8565" s="141"/>
    </row>
    <row r="8566">
      <c r="BB8566" s="122"/>
      <c r="BC8566" s="141"/>
    </row>
    <row r="8567">
      <c r="BB8567" s="122"/>
      <c r="BC8567" s="141"/>
    </row>
    <row r="8568">
      <c r="BB8568" s="122"/>
      <c r="BC8568" s="141"/>
    </row>
    <row r="8569">
      <c r="BB8569" s="122"/>
      <c r="BC8569" s="141"/>
    </row>
    <row r="8570">
      <c r="BB8570" s="122"/>
      <c r="BC8570" s="141"/>
    </row>
    <row r="8571">
      <c r="BB8571" s="122"/>
      <c r="BC8571" s="141"/>
    </row>
    <row r="8572">
      <c r="BB8572" s="122"/>
      <c r="BC8572" s="141"/>
    </row>
    <row r="8573">
      <c r="BB8573" s="122"/>
      <c r="BC8573" s="141"/>
    </row>
    <row r="8574">
      <c r="BB8574" s="122"/>
      <c r="BC8574" s="141"/>
    </row>
    <row r="8575">
      <c r="BB8575" s="122"/>
      <c r="BC8575" s="141"/>
    </row>
    <row r="8576">
      <c r="BB8576" s="122"/>
      <c r="BC8576" s="141"/>
    </row>
    <row r="8577">
      <c r="BB8577" s="122"/>
      <c r="BC8577" s="141"/>
    </row>
    <row r="8578">
      <c r="BB8578" s="122"/>
      <c r="BC8578" s="141"/>
    </row>
    <row r="8579">
      <c r="BB8579" s="122"/>
      <c r="BC8579" s="141"/>
    </row>
    <row r="8580">
      <c r="BB8580" s="122"/>
      <c r="BC8580" s="141"/>
    </row>
    <row r="8581">
      <c r="BB8581" s="122"/>
      <c r="BC8581" s="141"/>
    </row>
    <row r="8582">
      <c r="BB8582" s="122"/>
      <c r="BC8582" s="141"/>
    </row>
    <row r="8583">
      <c r="BB8583" s="122"/>
      <c r="BC8583" s="141"/>
    </row>
    <row r="8584">
      <c r="BB8584" s="122"/>
      <c r="BC8584" s="141"/>
    </row>
    <row r="8585">
      <c r="BB8585" s="122"/>
      <c r="BC8585" s="141"/>
    </row>
    <row r="8586">
      <c r="BB8586" s="122"/>
      <c r="BC8586" s="141"/>
    </row>
    <row r="8587">
      <c r="BB8587" s="122"/>
      <c r="BC8587" s="141"/>
    </row>
    <row r="8588">
      <c r="BB8588" s="122"/>
      <c r="BC8588" s="141"/>
    </row>
    <row r="8589">
      <c r="BB8589" s="122"/>
      <c r="BC8589" s="141"/>
    </row>
    <row r="8590">
      <c r="BB8590" s="122"/>
      <c r="BC8590" s="141"/>
    </row>
    <row r="8591">
      <c r="BB8591" s="122"/>
      <c r="BC8591" s="141"/>
    </row>
    <row r="8592">
      <c r="BB8592" s="122"/>
      <c r="BC8592" s="141"/>
    </row>
    <row r="8593">
      <c r="BB8593" s="122"/>
      <c r="BC8593" s="141"/>
    </row>
    <row r="8594">
      <c r="BB8594" s="122"/>
      <c r="BC8594" s="141"/>
    </row>
    <row r="8595">
      <c r="BB8595" s="122"/>
      <c r="BC8595" s="141"/>
    </row>
    <row r="8596">
      <c r="BB8596" s="122"/>
      <c r="BC8596" s="141"/>
    </row>
    <row r="8597">
      <c r="BB8597" s="122"/>
      <c r="BC8597" s="141"/>
    </row>
    <row r="8598">
      <c r="BB8598" s="122"/>
      <c r="BC8598" s="141"/>
    </row>
    <row r="8599">
      <c r="BB8599" s="122"/>
      <c r="BC8599" s="141"/>
    </row>
    <row r="8600">
      <c r="BB8600" s="122"/>
      <c r="BC8600" s="141"/>
    </row>
    <row r="8601">
      <c r="BB8601" s="122"/>
      <c r="BC8601" s="141"/>
    </row>
    <row r="8602">
      <c r="BB8602" s="122"/>
      <c r="BC8602" s="141"/>
    </row>
    <row r="8603">
      <c r="BB8603" s="122"/>
      <c r="BC8603" s="141"/>
    </row>
    <row r="8604">
      <c r="BB8604" s="122"/>
      <c r="BC8604" s="141"/>
    </row>
    <row r="8605">
      <c r="BB8605" s="122"/>
      <c r="BC8605" s="141"/>
    </row>
    <row r="8606">
      <c r="BB8606" s="122"/>
      <c r="BC8606" s="141"/>
    </row>
    <row r="8607">
      <c r="BB8607" s="122"/>
      <c r="BC8607" s="141"/>
    </row>
    <row r="8608">
      <c r="BB8608" s="122"/>
      <c r="BC8608" s="141"/>
    </row>
    <row r="8609">
      <c r="BB8609" s="122"/>
      <c r="BC8609" s="141"/>
    </row>
    <row r="8610">
      <c r="BB8610" s="122"/>
      <c r="BC8610" s="141"/>
    </row>
    <row r="8611">
      <c r="BB8611" s="122"/>
      <c r="BC8611" s="141"/>
    </row>
    <row r="8612">
      <c r="BB8612" s="122"/>
      <c r="BC8612" s="141"/>
    </row>
    <row r="8613">
      <c r="BB8613" s="122"/>
      <c r="BC8613" s="141"/>
    </row>
    <row r="8614">
      <c r="BB8614" s="122"/>
      <c r="BC8614" s="141"/>
    </row>
    <row r="8615">
      <c r="BB8615" s="122"/>
      <c r="BC8615" s="141"/>
    </row>
    <row r="8616">
      <c r="BB8616" s="122"/>
      <c r="BC8616" s="141"/>
    </row>
    <row r="8617">
      <c r="BB8617" s="122"/>
      <c r="BC8617" s="141"/>
    </row>
    <row r="8618">
      <c r="BB8618" s="122"/>
      <c r="BC8618" s="141"/>
    </row>
    <row r="8619">
      <c r="BB8619" s="122"/>
      <c r="BC8619" s="141"/>
    </row>
    <row r="8620">
      <c r="BB8620" s="122"/>
      <c r="BC8620" s="141"/>
    </row>
    <row r="8621">
      <c r="BB8621" s="122"/>
      <c r="BC8621" s="141"/>
    </row>
    <row r="8622">
      <c r="BB8622" s="122"/>
      <c r="BC8622" s="141"/>
    </row>
    <row r="8623">
      <c r="BB8623" s="122"/>
      <c r="BC8623" s="141"/>
    </row>
    <row r="8624">
      <c r="BB8624" s="122"/>
      <c r="BC8624" s="141"/>
    </row>
    <row r="8625">
      <c r="BB8625" s="122"/>
      <c r="BC8625" s="141"/>
    </row>
    <row r="8626">
      <c r="BB8626" s="122"/>
      <c r="BC8626" s="141"/>
    </row>
    <row r="8627">
      <c r="BB8627" s="122"/>
      <c r="BC8627" s="141"/>
    </row>
    <row r="8628">
      <c r="BB8628" s="122"/>
      <c r="BC8628" s="141"/>
    </row>
    <row r="8629">
      <c r="BB8629" s="122"/>
      <c r="BC8629" s="141"/>
    </row>
    <row r="8630">
      <c r="BB8630" s="122"/>
      <c r="BC8630" s="141"/>
    </row>
    <row r="8631">
      <c r="BB8631" s="122"/>
      <c r="BC8631" s="141"/>
    </row>
    <row r="8632">
      <c r="BB8632" s="122"/>
      <c r="BC8632" s="141"/>
    </row>
    <row r="8633">
      <c r="BB8633" s="122"/>
      <c r="BC8633" s="141"/>
    </row>
    <row r="8634">
      <c r="BB8634" s="122"/>
      <c r="BC8634" s="141"/>
    </row>
    <row r="8635">
      <c r="BB8635" s="122"/>
      <c r="BC8635" s="141"/>
    </row>
    <row r="8636">
      <c r="BB8636" s="122"/>
      <c r="BC8636" s="141"/>
    </row>
    <row r="8637">
      <c r="BB8637" s="122"/>
      <c r="BC8637" s="141"/>
    </row>
    <row r="8638">
      <c r="BB8638" s="122"/>
      <c r="BC8638" s="141"/>
    </row>
    <row r="8639">
      <c r="BB8639" s="122"/>
      <c r="BC8639" s="141"/>
    </row>
    <row r="8640">
      <c r="BB8640" s="122"/>
      <c r="BC8640" s="141"/>
    </row>
    <row r="8641">
      <c r="BB8641" s="122"/>
      <c r="BC8641" s="141"/>
    </row>
    <row r="8642">
      <c r="BB8642" s="122"/>
      <c r="BC8642" s="141"/>
    </row>
    <row r="8643">
      <c r="BB8643" s="122"/>
      <c r="BC8643" s="141"/>
    </row>
    <row r="8644">
      <c r="BB8644" s="122"/>
      <c r="BC8644" s="141"/>
    </row>
    <row r="8645">
      <c r="BB8645" s="122"/>
      <c r="BC8645" s="141"/>
    </row>
    <row r="8646">
      <c r="BB8646" s="122"/>
      <c r="BC8646" s="141"/>
    </row>
    <row r="8647">
      <c r="BB8647" s="122"/>
      <c r="BC8647" s="141"/>
    </row>
    <row r="8648">
      <c r="BB8648" s="122"/>
      <c r="BC8648" s="141"/>
    </row>
    <row r="8649">
      <c r="BB8649" s="122"/>
      <c r="BC8649" s="141"/>
    </row>
    <row r="8650">
      <c r="BB8650" s="122"/>
      <c r="BC8650" s="141"/>
    </row>
    <row r="8651">
      <c r="BB8651" s="122"/>
      <c r="BC8651" s="141"/>
    </row>
    <row r="8652">
      <c r="BB8652" s="122"/>
      <c r="BC8652" s="141"/>
    </row>
    <row r="8653">
      <c r="BB8653" s="122"/>
      <c r="BC8653" s="141"/>
    </row>
    <row r="8654">
      <c r="BB8654" s="122"/>
      <c r="BC8654" s="141"/>
    </row>
    <row r="8655">
      <c r="BB8655" s="122"/>
      <c r="BC8655" s="141"/>
    </row>
    <row r="8656">
      <c r="BB8656" s="122"/>
      <c r="BC8656" s="141"/>
    </row>
    <row r="8657">
      <c r="BB8657" s="122"/>
      <c r="BC8657" s="141"/>
    </row>
    <row r="8658">
      <c r="BB8658" s="122"/>
      <c r="BC8658" s="141"/>
    </row>
    <row r="8659">
      <c r="BB8659" s="122"/>
      <c r="BC8659" s="141"/>
    </row>
    <row r="8660">
      <c r="BB8660" s="122"/>
      <c r="BC8660" s="141"/>
    </row>
    <row r="8661">
      <c r="BB8661" s="122"/>
      <c r="BC8661" s="141"/>
    </row>
    <row r="8662">
      <c r="BB8662" s="122"/>
      <c r="BC8662" s="141"/>
    </row>
    <row r="8663">
      <c r="BB8663" s="122"/>
      <c r="BC8663" s="141"/>
    </row>
    <row r="8664">
      <c r="BB8664" s="122"/>
      <c r="BC8664" s="141"/>
    </row>
    <row r="8665">
      <c r="BB8665" s="122"/>
      <c r="BC8665" s="141"/>
    </row>
    <row r="8666">
      <c r="BB8666" s="122"/>
      <c r="BC8666" s="141"/>
    </row>
    <row r="8667">
      <c r="BB8667" s="122"/>
      <c r="BC8667" s="141"/>
    </row>
    <row r="8668">
      <c r="BB8668" s="122"/>
      <c r="BC8668" s="141"/>
    </row>
    <row r="8669">
      <c r="BB8669" s="122"/>
      <c r="BC8669" s="141"/>
    </row>
    <row r="8670">
      <c r="BB8670" s="122"/>
      <c r="BC8670" s="141"/>
    </row>
    <row r="8671">
      <c r="BB8671" s="122"/>
      <c r="BC8671" s="141"/>
    </row>
    <row r="8672">
      <c r="BB8672" s="122"/>
      <c r="BC8672" s="141"/>
    </row>
    <row r="8673">
      <c r="BB8673" s="122"/>
      <c r="BC8673" s="141"/>
    </row>
    <row r="8674">
      <c r="BB8674" s="122"/>
      <c r="BC8674" s="141"/>
    </row>
    <row r="8675">
      <c r="BB8675" s="122"/>
      <c r="BC8675" s="141"/>
    </row>
    <row r="8676">
      <c r="BB8676" s="122"/>
      <c r="BC8676" s="141"/>
    </row>
    <row r="8677">
      <c r="BB8677" s="122"/>
      <c r="BC8677" s="141"/>
    </row>
    <row r="8678">
      <c r="BB8678" s="122"/>
      <c r="BC8678" s="141"/>
    </row>
    <row r="8679">
      <c r="BB8679" s="122"/>
      <c r="BC8679" s="141"/>
    </row>
    <row r="8680">
      <c r="BB8680" s="122"/>
      <c r="BC8680" s="141"/>
    </row>
    <row r="8681">
      <c r="BB8681" s="122"/>
      <c r="BC8681" s="141"/>
    </row>
    <row r="8682">
      <c r="BB8682" s="122"/>
      <c r="BC8682" s="141"/>
    </row>
    <row r="8683">
      <c r="BB8683" s="122"/>
      <c r="BC8683" s="141"/>
    </row>
    <row r="8684">
      <c r="BB8684" s="122"/>
      <c r="BC8684" s="141"/>
    </row>
    <row r="8685">
      <c r="BB8685" s="122"/>
      <c r="BC8685" s="141"/>
    </row>
    <row r="8686">
      <c r="BB8686" s="122"/>
      <c r="BC8686" s="141"/>
    </row>
    <row r="8687">
      <c r="BB8687" s="122"/>
      <c r="BC8687" s="141"/>
    </row>
    <row r="8688">
      <c r="BB8688" s="122"/>
      <c r="BC8688" s="141"/>
    </row>
    <row r="8689">
      <c r="BB8689" s="122"/>
      <c r="BC8689" s="141"/>
    </row>
    <row r="8690">
      <c r="BB8690" s="122"/>
      <c r="BC8690" s="141"/>
    </row>
    <row r="8691">
      <c r="BB8691" s="122"/>
      <c r="BC8691" s="141"/>
    </row>
    <row r="8692">
      <c r="BB8692" s="122"/>
      <c r="BC8692" s="141"/>
    </row>
    <row r="8693">
      <c r="BB8693" s="122"/>
      <c r="BC8693" s="141"/>
    </row>
    <row r="8694">
      <c r="BB8694" s="122"/>
      <c r="BC8694" s="141"/>
    </row>
    <row r="8695">
      <c r="BB8695" s="122"/>
      <c r="BC8695" s="141"/>
    </row>
    <row r="8696">
      <c r="BB8696" s="122"/>
      <c r="BC8696" s="141"/>
    </row>
    <row r="8697">
      <c r="BB8697" s="122"/>
      <c r="BC8697" s="141"/>
    </row>
    <row r="8698">
      <c r="BB8698" s="122"/>
      <c r="BC8698" s="141"/>
    </row>
    <row r="8699">
      <c r="BB8699" s="122"/>
      <c r="BC8699" s="141"/>
    </row>
    <row r="8700">
      <c r="BB8700" s="122"/>
      <c r="BC8700" s="141"/>
    </row>
    <row r="8701">
      <c r="BB8701" s="122"/>
      <c r="BC8701" s="141"/>
    </row>
    <row r="8702">
      <c r="BB8702" s="122"/>
      <c r="BC8702" s="141"/>
    </row>
    <row r="8703">
      <c r="BB8703" s="122"/>
      <c r="BC8703" s="141"/>
    </row>
    <row r="8704">
      <c r="BB8704" s="122"/>
      <c r="BC8704" s="141"/>
    </row>
    <row r="8705">
      <c r="BB8705" s="122"/>
      <c r="BC8705" s="141"/>
    </row>
    <row r="8706">
      <c r="BB8706" s="122"/>
      <c r="BC8706" s="141"/>
    </row>
    <row r="8707">
      <c r="BB8707" s="122"/>
      <c r="BC8707" s="141"/>
    </row>
    <row r="8708">
      <c r="BB8708" s="122"/>
      <c r="BC8708" s="141"/>
    </row>
    <row r="8709">
      <c r="BB8709" s="122"/>
      <c r="BC8709" s="141"/>
    </row>
    <row r="8710">
      <c r="BB8710" s="122"/>
      <c r="BC8710" s="141"/>
    </row>
    <row r="8711">
      <c r="BB8711" s="122"/>
      <c r="BC8711" s="141"/>
    </row>
    <row r="8712">
      <c r="BB8712" s="122"/>
      <c r="BC8712" s="141"/>
    </row>
    <row r="8713">
      <c r="BB8713" s="122"/>
      <c r="BC8713" s="141"/>
    </row>
    <row r="8714">
      <c r="BB8714" s="122"/>
      <c r="BC8714" s="141"/>
    </row>
    <row r="8715">
      <c r="BB8715" s="122"/>
      <c r="BC8715" s="141"/>
    </row>
    <row r="8716">
      <c r="BB8716" s="122"/>
      <c r="BC8716" s="141"/>
    </row>
    <row r="8717">
      <c r="BB8717" s="122"/>
      <c r="BC8717" s="141"/>
    </row>
    <row r="8718">
      <c r="BB8718" s="122"/>
      <c r="BC8718" s="141"/>
    </row>
    <row r="8719">
      <c r="BB8719" s="122"/>
      <c r="BC8719" s="141"/>
    </row>
    <row r="8720">
      <c r="BB8720" s="122"/>
      <c r="BC8720" s="141"/>
    </row>
    <row r="8721">
      <c r="BB8721" s="122"/>
      <c r="BC8721" s="141"/>
    </row>
    <row r="8722">
      <c r="BB8722" s="122"/>
      <c r="BC8722" s="141"/>
    </row>
    <row r="8723">
      <c r="BB8723" s="122"/>
      <c r="BC8723" s="141"/>
    </row>
    <row r="8724">
      <c r="BB8724" s="122"/>
      <c r="BC8724" s="141"/>
    </row>
    <row r="8725">
      <c r="BB8725" s="122"/>
      <c r="BC8725" s="141"/>
    </row>
    <row r="8726">
      <c r="BB8726" s="122"/>
      <c r="BC8726" s="141"/>
    </row>
    <row r="8727">
      <c r="BB8727" s="122"/>
      <c r="BC8727" s="141"/>
    </row>
    <row r="8728">
      <c r="BB8728" s="122"/>
      <c r="BC8728" s="141"/>
    </row>
    <row r="8729">
      <c r="BB8729" s="122"/>
      <c r="BC8729" s="141"/>
    </row>
    <row r="8730">
      <c r="BB8730" s="122"/>
      <c r="BC8730" s="141"/>
    </row>
    <row r="8731">
      <c r="BB8731" s="122"/>
      <c r="BC8731" s="141"/>
    </row>
    <row r="8732">
      <c r="BB8732" s="122"/>
      <c r="BC8732" s="141"/>
    </row>
    <row r="8733">
      <c r="BB8733" s="122"/>
      <c r="BC8733" s="141"/>
    </row>
    <row r="8734">
      <c r="BB8734" s="122"/>
      <c r="BC8734" s="141"/>
    </row>
    <row r="8735">
      <c r="BB8735" s="122"/>
      <c r="BC8735" s="141"/>
    </row>
    <row r="8736">
      <c r="BB8736" s="122"/>
      <c r="BC8736" s="141"/>
    </row>
    <row r="8737">
      <c r="BB8737" s="122"/>
      <c r="BC8737" s="141"/>
    </row>
    <row r="8738">
      <c r="BB8738" s="122"/>
      <c r="BC8738" s="141"/>
    </row>
    <row r="8739">
      <c r="BB8739" s="122"/>
      <c r="BC8739" s="141"/>
    </row>
    <row r="8740">
      <c r="BB8740" s="122"/>
      <c r="BC8740" s="141"/>
    </row>
    <row r="8741">
      <c r="BB8741" s="122"/>
      <c r="BC8741" s="141"/>
    </row>
    <row r="8742">
      <c r="BB8742" s="122"/>
      <c r="BC8742" s="141"/>
    </row>
    <row r="8743">
      <c r="BB8743" s="122"/>
      <c r="BC8743" s="141"/>
    </row>
    <row r="8744">
      <c r="BB8744" s="122"/>
      <c r="BC8744" s="141"/>
    </row>
    <row r="8745">
      <c r="BB8745" s="122"/>
      <c r="BC8745" s="141"/>
    </row>
    <row r="8746">
      <c r="BB8746" s="122"/>
      <c r="BC8746" s="141"/>
    </row>
    <row r="8747">
      <c r="BB8747" s="122"/>
      <c r="BC8747" s="141"/>
    </row>
    <row r="8748">
      <c r="BB8748" s="122"/>
      <c r="BC8748" s="141"/>
    </row>
    <row r="8749">
      <c r="BB8749" s="122"/>
      <c r="BC8749" s="141"/>
    </row>
    <row r="8750">
      <c r="BB8750" s="122"/>
      <c r="BC8750" s="141"/>
    </row>
    <row r="8751">
      <c r="BB8751" s="122"/>
      <c r="BC8751" s="141"/>
    </row>
    <row r="8752">
      <c r="BB8752" s="122"/>
      <c r="BC8752" s="141"/>
    </row>
    <row r="8753">
      <c r="BB8753" s="122"/>
      <c r="BC8753" s="141"/>
    </row>
    <row r="8754">
      <c r="BB8754" s="122"/>
      <c r="BC8754" s="141"/>
    </row>
    <row r="8755">
      <c r="BB8755" s="122"/>
      <c r="BC8755" s="141"/>
    </row>
    <row r="8756">
      <c r="BB8756" s="122"/>
      <c r="BC8756" s="141"/>
    </row>
    <row r="8757">
      <c r="BB8757" s="122"/>
      <c r="BC8757" s="141"/>
    </row>
    <row r="8758">
      <c r="BB8758" s="122"/>
      <c r="BC8758" s="141"/>
    </row>
    <row r="8759">
      <c r="BB8759" s="122"/>
      <c r="BC8759" s="141"/>
    </row>
    <row r="8760">
      <c r="BB8760" s="122"/>
      <c r="BC8760" s="141"/>
    </row>
    <row r="8761">
      <c r="BB8761" s="122"/>
      <c r="BC8761" s="141"/>
    </row>
    <row r="8762">
      <c r="BB8762" s="122"/>
      <c r="BC8762" s="141"/>
    </row>
    <row r="8763">
      <c r="BB8763" s="122"/>
      <c r="BC8763" s="141"/>
    </row>
    <row r="8764">
      <c r="BB8764" s="122"/>
      <c r="BC8764" s="141"/>
    </row>
    <row r="8765">
      <c r="BB8765" s="122"/>
      <c r="BC8765" s="141"/>
    </row>
    <row r="8766">
      <c r="BB8766" s="122"/>
      <c r="BC8766" s="141"/>
    </row>
    <row r="8767">
      <c r="BB8767" s="122"/>
      <c r="BC8767" s="141"/>
    </row>
    <row r="8768">
      <c r="BB8768" s="122"/>
      <c r="BC8768" s="141"/>
    </row>
    <row r="8769">
      <c r="BB8769" s="122"/>
      <c r="BC8769" s="141"/>
    </row>
    <row r="8770">
      <c r="BB8770" s="122"/>
      <c r="BC8770" s="141"/>
    </row>
    <row r="8771">
      <c r="BB8771" s="122"/>
      <c r="BC8771" s="141"/>
    </row>
    <row r="8772">
      <c r="BB8772" s="122"/>
      <c r="BC8772" s="141"/>
    </row>
    <row r="8773">
      <c r="BB8773" s="122"/>
      <c r="BC8773" s="141"/>
    </row>
    <row r="8774">
      <c r="BB8774" s="122"/>
      <c r="BC8774" s="141"/>
    </row>
    <row r="8775">
      <c r="BB8775" s="122"/>
      <c r="BC8775" s="141"/>
    </row>
    <row r="8776">
      <c r="BB8776" s="122"/>
      <c r="BC8776" s="141"/>
    </row>
    <row r="8777">
      <c r="BB8777" s="122"/>
      <c r="BC8777" s="141"/>
    </row>
    <row r="8778">
      <c r="BB8778" s="122"/>
      <c r="BC8778" s="141"/>
    </row>
    <row r="8779">
      <c r="BB8779" s="122"/>
      <c r="BC8779" s="141"/>
    </row>
    <row r="8780">
      <c r="BB8780" s="122"/>
      <c r="BC8780" s="141"/>
    </row>
    <row r="8781">
      <c r="BB8781" s="122"/>
      <c r="BC8781" s="141"/>
    </row>
    <row r="8782">
      <c r="BB8782" s="122"/>
      <c r="BC8782" s="141"/>
    </row>
    <row r="8783">
      <c r="BB8783" s="122"/>
      <c r="BC8783" s="141"/>
    </row>
    <row r="8784">
      <c r="BB8784" s="122"/>
      <c r="BC8784" s="141"/>
    </row>
    <row r="8785">
      <c r="BB8785" s="122"/>
      <c r="BC8785" s="141"/>
    </row>
    <row r="8786">
      <c r="BB8786" s="122"/>
      <c r="BC8786" s="141"/>
    </row>
    <row r="8787">
      <c r="BB8787" s="122"/>
      <c r="BC8787" s="141"/>
    </row>
    <row r="8788">
      <c r="BB8788" s="122"/>
      <c r="BC8788" s="141"/>
    </row>
    <row r="8789">
      <c r="BB8789" s="122"/>
      <c r="BC8789" s="141"/>
    </row>
    <row r="8790">
      <c r="BB8790" s="122"/>
      <c r="BC8790" s="141"/>
    </row>
    <row r="8791">
      <c r="BB8791" s="122"/>
      <c r="BC8791" s="141"/>
    </row>
    <row r="8792">
      <c r="BB8792" s="122"/>
      <c r="BC8792" s="141"/>
    </row>
    <row r="8793">
      <c r="BB8793" s="122"/>
      <c r="BC8793" s="141"/>
    </row>
    <row r="8794">
      <c r="BB8794" s="122"/>
      <c r="BC8794" s="141"/>
    </row>
    <row r="8795">
      <c r="BB8795" s="122"/>
      <c r="BC8795" s="141"/>
    </row>
    <row r="8796">
      <c r="BB8796" s="122"/>
      <c r="BC8796" s="141"/>
    </row>
    <row r="8797">
      <c r="BB8797" s="122"/>
      <c r="BC8797" s="141"/>
    </row>
    <row r="8798">
      <c r="BB8798" s="122"/>
      <c r="BC8798" s="141"/>
    </row>
    <row r="8799">
      <c r="BB8799" s="122"/>
      <c r="BC8799" s="141"/>
    </row>
    <row r="8800">
      <c r="BB8800" s="122"/>
      <c r="BC8800" s="141"/>
    </row>
    <row r="8801">
      <c r="BB8801" s="122"/>
      <c r="BC8801" s="141"/>
    </row>
    <row r="8802">
      <c r="BB8802" s="122"/>
      <c r="BC8802" s="141"/>
    </row>
    <row r="8803">
      <c r="BB8803" s="122"/>
      <c r="BC8803" s="141"/>
    </row>
    <row r="8804">
      <c r="BB8804" s="122"/>
      <c r="BC8804" s="141"/>
    </row>
    <row r="8805">
      <c r="BB8805" s="122"/>
      <c r="BC8805" s="141"/>
    </row>
    <row r="8806">
      <c r="BB8806" s="122"/>
      <c r="BC8806" s="141"/>
    </row>
    <row r="8807">
      <c r="BB8807" s="122"/>
      <c r="BC8807" s="141"/>
    </row>
    <row r="8808">
      <c r="BB8808" s="122"/>
      <c r="BC8808" s="141"/>
    </row>
    <row r="8809">
      <c r="BB8809" s="122"/>
      <c r="BC8809" s="141"/>
    </row>
    <row r="8810">
      <c r="BB8810" s="122"/>
      <c r="BC8810" s="141"/>
    </row>
    <row r="8811">
      <c r="BB8811" s="122"/>
      <c r="BC8811" s="141"/>
    </row>
    <row r="8812">
      <c r="BB8812" s="122"/>
      <c r="BC8812" s="141"/>
    </row>
    <row r="8813">
      <c r="BB8813" s="122"/>
      <c r="BC8813" s="141"/>
    </row>
    <row r="8814">
      <c r="BB8814" s="122"/>
      <c r="BC8814" s="141"/>
    </row>
    <row r="8815">
      <c r="BB8815" s="122"/>
      <c r="BC8815" s="141"/>
    </row>
    <row r="8816">
      <c r="BB8816" s="122"/>
      <c r="BC8816" s="141"/>
    </row>
    <row r="8817">
      <c r="BB8817" s="122"/>
      <c r="BC8817" s="141"/>
    </row>
    <row r="8818">
      <c r="BB8818" s="122"/>
      <c r="BC8818" s="141"/>
    </row>
    <row r="8819">
      <c r="BB8819" s="122"/>
      <c r="BC8819" s="141"/>
    </row>
    <row r="8820">
      <c r="BB8820" s="122"/>
      <c r="BC8820" s="141"/>
    </row>
    <row r="8821">
      <c r="BB8821" s="122"/>
      <c r="BC8821" s="141"/>
    </row>
    <row r="8822">
      <c r="BB8822" s="122"/>
      <c r="BC8822" s="141"/>
    </row>
    <row r="8823">
      <c r="BB8823" s="122"/>
      <c r="BC8823" s="141"/>
    </row>
    <row r="8824">
      <c r="BB8824" s="122"/>
      <c r="BC8824" s="141"/>
    </row>
    <row r="8825">
      <c r="BB8825" s="122"/>
      <c r="BC8825" s="141"/>
    </row>
    <row r="8826">
      <c r="BB8826" s="122"/>
      <c r="BC8826" s="141"/>
    </row>
    <row r="8827">
      <c r="BB8827" s="122"/>
      <c r="BC8827" s="141"/>
    </row>
    <row r="8828">
      <c r="BB8828" s="122"/>
      <c r="BC8828" s="141"/>
    </row>
    <row r="8829">
      <c r="BB8829" s="122"/>
      <c r="BC8829" s="141"/>
    </row>
    <row r="8830">
      <c r="BB8830" s="122"/>
      <c r="BC8830" s="141"/>
    </row>
    <row r="8831">
      <c r="BB8831" s="122"/>
      <c r="BC8831" s="141"/>
    </row>
    <row r="8832">
      <c r="BB8832" s="122"/>
      <c r="BC8832" s="141"/>
    </row>
    <row r="8833">
      <c r="BB8833" s="122"/>
      <c r="BC8833" s="141"/>
    </row>
    <row r="8834">
      <c r="BB8834" s="122"/>
      <c r="BC8834" s="141"/>
    </row>
    <row r="8835">
      <c r="BB8835" s="122"/>
      <c r="BC8835" s="141"/>
    </row>
    <row r="8836">
      <c r="BB8836" s="122"/>
      <c r="BC8836" s="141"/>
    </row>
    <row r="8837">
      <c r="BB8837" s="122"/>
      <c r="BC8837" s="141"/>
    </row>
    <row r="8838">
      <c r="BB8838" s="122"/>
      <c r="BC8838" s="141"/>
    </row>
    <row r="8839">
      <c r="BB8839" s="122"/>
      <c r="BC8839" s="141"/>
    </row>
    <row r="8840">
      <c r="BB8840" s="122"/>
      <c r="BC8840" s="141"/>
    </row>
    <row r="8841">
      <c r="BB8841" s="122"/>
      <c r="BC8841" s="141"/>
    </row>
    <row r="8842">
      <c r="BB8842" s="122"/>
      <c r="BC8842" s="141"/>
    </row>
    <row r="8843">
      <c r="BB8843" s="122"/>
      <c r="BC8843" s="141"/>
    </row>
    <row r="8844">
      <c r="BB8844" s="122"/>
      <c r="BC8844" s="141"/>
    </row>
    <row r="8845">
      <c r="BB8845" s="122"/>
      <c r="BC8845" s="141"/>
    </row>
    <row r="8846">
      <c r="BB8846" s="122"/>
      <c r="BC8846" s="141"/>
    </row>
    <row r="8847">
      <c r="BB8847" s="122"/>
      <c r="BC8847" s="141"/>
    </row>
    <row r="8848">
      <c r="BB8848" s="122"/>
      <c r="BC8848" s="141"/>
    </row>
    <row r="8849">
      <c r="BB8849" s="122"/>
      <c r="BC8849" s="141"/>
    </row>
    <row r="8850">
      <c r="BB8850" s="122"/>
      <c r="BC8850" s="141"/>
    </row>
    <row r="8851">
      <c r="BB8851" s="122"/>
      <c r="BC8851" s="141"/>
    </row>
    <row r="8852">
      <c r="BB8852" s="122"/>
      <c r="BC8852" s="141"/>
    </row>
    <row r="8853">
      <c r="BB8853" s="122"/>
      <c r="BC8853" s="141"/>
    </row>
    <row r="8854">
      <c r="BB8854" s="122"/>
      <c r="BC8854" s="141"/>
    </row>
    <row r="8855">
      <c r="BB8855" s="122"/>
      <c r="BC8855" s="141"/>
    </row>
    <row r="8856">
      <c r="BB8856" s="122"/>
      <c r="BC8856" s="141"/>
    </row>
    <row r="8857">
      <c r="BB8857" s="122"/>
      <c r="BC8857" s="141"/>
    </row>
    <row r="8858">
      <c r="BB8858" s="122"/>
      <c r="BC8858" s="141"/>
    </row>
    <row r="8859">
      <c r="BB8859" s="122"/>
      <c r="BC8859" s="141"/>
    </row>
    <row r="8860">
      <c r="BB8860" s="122"/>
      <c r="BC8860" s="141"/>
    </row>
    <row r="8861">
      <c r="BB8861" s="122"/>
      <c r="BC8861" s="141"/>
    </row>
    <row r="8862">
      <c r="BB8862" s="122"/>
      <c r="BC8862" s="141"/>
    </row>
    <row r="8863">
      <c r="BB8863" s="122"/>
      <c r="BC8863" s="141"/>
    </row>
    <row r="8864">
      <c r="BB8864" s="122"/>
      <c r="BC8864" s="141"/>
    </row>
    <row r="8865">
      <c r="BB8865" s="122"/>
      <c r="BC8865" s="141"/>
    </row>
    <row r="8866">
      <c r="BB8866" s="122"/>
      <c r="BC8866" s="141"/>
    </row>
    <row r="8867">
      <c r="BB8867" s="122"/>
      <c r="BC8867" s="141"/>
    </row>
    <row r="8868">
      <c r="BB8868" s="122"/>
      <c r="BC8868" s="141"/>
    </row>
    <row r="8869">
      <c r="BB8869" s="122"/>
      <c r="BC8869" s="141"/>
    </row>
    <row r="8870">
      <c r="BB8870" s="122"/>
      <c r="BC8870" s="141"/>
    </row>
    <row r="8871">
      <c r="BB8871" s="122"/>
      <c r="BC8871" s="141"/>
    </row>
    <row r="8872">
      <c r="BB8872" s="122"/>
      <c r="BC8872" s="141"/>
    </row>
    <row r="8873">
      <c r="BB8873" s="122"/>
      <c r="BC8873" s="141"/>
    </row>
    <row r="8874">
      <c r="BB8874" s="122"/>
      <c r="BC8874" s="141"/>
    </row>
    <row r="8875">
      <c r="BB8875" s="122"/>
      <c r="BC8875" s="141"/>
    </row>
    <row r="8876">
      <c r="BB8876" s="122"/>
      <c r="BC8876" s="141"/>
    </row>
    <row r="8877">
      <c r="BB8877" s="122"/>
      <c r="BC8877" s="141"/>
    </row>
    <row r="8878">
      <c r="BB8878" s="122"/>
      <c r="BC8878" s="141"/>
    </row>
    <row r="8879">
      <c r="BB8879" s="122"/>
      <c r="BC8879" s="141"/>
    </row>
    <row r="8880">
      <c r="BB8880" s="122"/>
      <c r="BC8880" s="141"/>
    </row>
    <row r="8881">
      <c r="BB8881" s="122"/>
      <c r="BC8881" s="141"/>
    </row>
    <row r="8882">
      <c r="BB8882" s="122"/>
      <c r="BC8882" s="141"/>
    </row>
    <row r="8883">
      <c r="BB8883" s="122"/>
      <c r="BC8883" s="141"/>
    </row>
    <row r="8884">
      <c r="BB8884" s="122"/>
      <c r="BC8884" s="141"/>
    </row>
    <row r="8885">
      <c r="BB8885" s="122"/>
      <c r="BC8885" s="141"/>
    </row>
    <row r="8886">
      <c r="BB8886" s="122"/>
      <c r="BC8886" s="141"/>
    </row>
    <row r="8887">
      <c r="BB8887" s="122"/>
      <c r="BC8887" s="141"/>
    </row>
    <row r="8888">
      <c r="BB8888" s="122"/>
      <c r="BC8888" s="141"/>
    </row>
    <row r="8889">
      <c r="BB8889" s="122"/>
      <c r="BC8889" s="141"/>
    </row>
    <row r="8890">
      <c r="BB8890" s="122"/>
      <c r="BC8890" s="141"/>
    </row>
    <row r="8891">
      <c r="BB8891" s="122"/>
      <c r="BC8891" s="141"/>
    </row>
    <row r="8892">
      <c r="BB8892" s="122"/>
      <c r="BC8892" s="141"/>
    </row>
    <row r="8893">
      <c r="BB8893" s="122"/>
      <c r="BC8893" s="141"/>
    </row>
    <row r="8894">
      <c r="BB8894" s="122"/>
      <c r="BC8894" s="141"/>
    </row>
    <row r="8895">
      <c r="BB8895" s="122"/>
      <c r="BC8895" s="141"/>
    </row>
    <row r="8896">
      <c r="BB8896" s="122"/>
      <c r="BC8896" s="141"/>
    </row>
    <row r="8897">
      <c r="BB8897" s="122"/>
      <c r="BC8897" s="141"/>
    </row>
    <row r="8898">
      <c r="BB8898" s="122"/>
      <c r="BC8898" s="141"/>
    </row>
    <row r="8899">
      <c r="BB8899" s="122"/>
      <c r="BC8899" s="141"/>
    </row>
    <row r="8900">
      <c r="BB8900" s="122"/>
      <c r="BC8900" s="141"/>
    </row>
    <row r="8901">
      <c r="BB8901" s="122"/>
      <c r="BC8901" s="141"/>
    </row>
    <row r="8902">
      <c r="BB8902" s="122"/>
      <c r="BC8902" s="141"/>
    </row>
    <row r="8903">
      <c r="BB8903" s="122"/>
      <c r="BC8903" s="141"/>
    </row>
    <row r="8904">
      <c r="BB8904" s="122"/>
      <c r="BC8904" s="141"/>
    </row>
    <row r="8905">
      <c r="BB8905" s="122"/>
      <c r="BC8905" s="141"/>
    </row>
    <row r="8906">
      <c r="BB8906" s="122"/>
      <c r="BC8906" s="141"/>
    </row>
    <row r="8907">
      <c r="BB8907" s="122"/>
      <c r="BC8907" s="141"/>
    </row>
    <row r="8908">
      <c r="BB8908" s="122"/>
      <c r="BC8908" s="141"/>
    </row>
    <row r="8909">
      <c r="BB8909" s="122"/>
      <c r="BC8909" s="141"/>
    </row>
    <row r="8910">
      <c r="BB8910" s="122"/>
      <c r="BC8910" s="141"/>
    </row>
    <row r="8911">
      <c r="BB8911" s="122"/>
      <c r="BC8911" s="141"/>
    </row>
    <row r="8912">
      <c r="BB8912" s="122"/>
      <c r="BC8912" s="141"/>
    </row>
    <row r="8913">
      <c r="BB8913" s="122"/>
      <c r="BC8913" s="141"/>
    </row>
    <row r="8914">
      <c r="BB8914" s="122"/>
      <c r="BC8914" s="141"/>
    </row>
    <row r="8915">
      <c r="BB8915" s="122"/>
      <c r="BC8915" s="141"/>
    </row>
    <row r="8916">
      <c r="BB8916" s="122"/>
      <c r="BC8916" s="141"/>
    </row>
    <row r="8917">
      <c r="BB8917" s="122"/>
      <c r="BC8917" s="141"/>
    </row>
    <row r="8918">
      <c r="BB8918" s="122"/>
      <c r="BC8918" s="141"/>
    </row>
    <row r="8919">
      <c r="BB8919" s="122"/>
      <c r="BC8919" s="141"/>
    </row>
    <row r="8920">
      <c r="BB8920" s="122"/>
      <c r="BC8920" s="141"/>
    </row>
    <row r="8921">
      <c r="BB8921" s="122"/>
      <c r="BC8921" s="141"/>
    </row>
    <row r="8922">
      <c r="BB8922" s="122"/>
      <c r="BC8922" s="141"/>
    </row>
    <row r="8923">
      <c r="BB8923" s="122"/>
      <c r="BC8923" s="141"/>
    </row>
    <row r="8924">
      <c r="BB8924" s="122"/>
      <c r="BC8924" s="141"/>
    </row>
    <row r="8925">
      <c r="BB8925" s="122"/>
      <c r="BC8925" s="141"/>
    </row>
    <row r="8926">
      <c r="BB8926" s="122"/>
      <c r="BC8926" s="141"/>
    </row>
    <row r="8927">
      <c r="BB8927" s="122"/>
      <c r="BC8927" s="141"/>
    </row>
    <row r="8928">
      <c r="BB8928" s="122"/>
      <c r="BC8928" s="141"/>
    </row>
    <row r="8929">
      <c r="BB8929" s="122"/>
      <c r="BC8929" s="141"/>
    </row>
    <row r="8930">
      <c r="BB8930" s="122"/>
      <c r="BC8930" s="141"/>
    </row>
    <row r="8931">
      <c r="BB8931" s="122"/>
      <c r="BC8931" s="141"/>
    </row>
    <row r="8932">
      <c r="BB8932" s="122"/>
      <c r="BC8932" s="141"/>
    </row>
    <row r="8933">
      <c r="BB8933" s="122"/>
      <c r="BC8933" s="141"/>
    </row>
    <row r="8934">
      <c r="BB8934" s="122"/>
      <c r="BC8934" s="141"/>
    </row>
    <row r="8935">
      <c r="BB8935" s="122"/>
      <c r="BC8935" s="141"/>
    </row>
    <row r="8936">
      <c r="BB8936" s="122"/>
      <c r="BC8936" s="141"/>
    </row>
    <row r="8937">
      <c r="BB8937" s="122"/>
      <c r="BC8937" s="141"/>
    </row>
    <row r="8938">
      <c r="BB8938" s="122"/>
      <c r="BC8938" s="141"/>
    </row>
    <row r="8939">
      <c r="BB8939" s="122"/>
      <c r="BC8939" s="141"/>
    </row>
    <row r="8940">
      <c r="BB8940" s="122"/>
      <c r="BC8940" s="141"/>
    </row>
    <row r="8941">
      <c r="BB8941" s="122"/>
      <c r="BC8941" s="141"/>
    </row>
    <row r="8942">
      <c r="BB8942" s="122"/>
      <c r="BC8942" s="141"/>
    </row>
    <row r="8943">
      <c r="BB8943" s="122"/>
      <c r="BC8943" s="141"/>
    </row>
    <row r="8944">
      <c r="BB8944" s="122"/>
      <c r="BC8944" s="141"/>
    </row>
    <row r="8945">
      <c r="BB8945" s="122"/>
      <c r="BC8945" s="141"/>
    </row>
    <row r="8946">
      <c r="BB8946" s="122"/>
      <c r="BC8946" s="141"/>
    </row>
    <row r="8947">
      <c r="BB8947" s="122"/>
      <c r="BC8947" s="141"/>
    </row>
    <row r="8948">
      <c r="BB8948" s="122"/>
      <c r="BC8948" s="141"/>
    </row>
    <row r="8949">
      <c r="BB8949" s="122"/>
      <c r="BC8949" s="141"/>
    </row>
    <row r="8950">
      <c r="BB8950" s="122"/>
      <c r="BC8950" s="141"/>
    </row>
    <row r="8951">
      <c r="BB8951" s="122"/>
      <c r="BC8951" s="141"/>
    </row>
    <row r="8952">
      <c r="BB8952" s="122"/>
      <c r="BC8952" s="141"/>
    </row>
    <row r="8953">
      <c r="BB8953" s="122"/>
      <c r="BC8953" s="141"/>
    </row>
    <row r="8954">
      <c r="BB8954" s="122"/>
      <c r="BC8954" s="141"/>
    </row>
    <row r="8955">
      <c r="BB8955" s="122"/>
      <c r="BC8955" s="141"/>
    </row>
    <row r="8956">
      <c r="BB8956" s="122"/>
      <c r="BC8956" s="141"/>
    </row>
    <row r="8957">
      <c r="BB8957" s="122"/>
      <c r="BC8957" s="141"/>
    </row>
    <row r="8958">
      <c r="BB8958" s="122"/>
      <c r="BC8958" s="141"/>
    </row>
    <row r="8959">
      <c r="BB8959" s="122"/>
      <c r="BC8959" s="141"/>
    </row>
    <row r="8960">
      <c r="BB8960" s="122"/>
      <c r="BC8960" s="141"/>
    </row>
    <row r="8961">
      <c r="BB8961" s="122"/>
      <c r="BC8961" s="141"/>
    </row>
    <row r="8962">
      <c r="BB8962" s="122"/>
      <c r="BC8962" s="141"/>
    </row>
    <row r="8963">
      <c r="BB8963" s="122"/>
      <c r="BC8963" s="141"/>
    </row>
    <row r="8964">
      <c r="BB8964" s="122"/>
      <c r="BC8964" s="141"/>
    </row>
    <row r="8965">
      <c r="BB8965" s="122"/>
      <c r="BC8965" s="141"/>
    </row>
    <row r="8966">
      <c r="BB8966" s="122"/>
      <c r="BC8966" s="141"/>
    </row>
    <row r="8967">
      <c r="BB8967" s="122"/>
      <c r="BC8967" s="141"/>
    </row>
    <row r="8968">
      <c r="BB8968" s="122"/>
      <c r="BC8968" s="141"/>
    </row>
    <row r="8969">
      <c r="BB8969" s="122"/>
      <c r="BC8969" s="141"/>
    </row>
    <row r="8970">
      <c r="BB8970" s="122"/>
      <c r="BC8970" s="141"/>
    </row>
    <row r="8971">
      <c r="BB8971" s="122"/>
      <c r="BC8971" s="141"/>
    </row>
    <row r="8972">
      <c r="BB8972" s="122"/>
      <c r="BC8972" s="141"/>
    </row>
    <row r="8973">
      <c r="BB8973" s="122"/>
      <c r="BC8973" s="141"/>
    </row>
    <row r="8974">
      <c r="BB8974" s="122"/>
      <c r="BC8974" s="141"/>
    </row>
    <row r="8975">
      <c r="BB8975" s="122"/>
      <c r="BC8975" s="141"/>
    </row>
    <row r="8976">
      <c r="BB8976" s="122"/>
      <c r="BC8976" s="141"/>
    </row>
    <row r="8977">
      <c r="BB8977" s="122"/>
      <c r="BC8977" s="141"/>
    </row>
    <row r="8978">
      <c r="BB8978" s="122"/>
      <c r="BC8978" s="141"/>
    </row>
    <row r="8979">
      <c r="BB8979" s="122"/>
      <c r="BC8979" s="141"/>
    </row>
    <row r="8980">
      <c r="BB8980" s="122"/>
      <c r="BC8980" s="141"/>
    </row>
    <row r="8981">
      <c r="BB8981" s="122"/>
      <c r="BC8981" s="141"/>
    </row>
    <row r="8982">
      <c r="BB8982" s="122"/>
      <c r="BC8982" s="141"/>
    </row>
    <row r="8983">
      <c r="BB8983" s="122"/>
      <c r="BC8983" s="141"/>
    </row>
    <row r="8984">
      <c r="BB8984" s="122"/>
      <c r="BC8984" s="141"/>
    </row>
    <row r="8985">
      <c r="BB8985" s="122"/>
      <c r="BC8985" s="141"/>
    </row>
    <row r="8986">
      <c r="BB8986" s="122"/>
      <c r="BC8986" s="141"/>
    </row>
    <row r="8987">
      <c r="BB8987" s="122"/>
      <c r="BC8987" s="141"/>
    </row>
    <row r="8988">
      <c r="BB8988" s="122"/>
      <c r="BC8988" s="141"/>
    </row>
    <row r="8989">
      <c r="BB8989" s="122"/>
      <c r="BC8989" s="141"/>
    </row>
    <row r="8990">
      <c r="BB8990" s="122"/>
      <c r="BC8990" s="141"/>
    </row>
    <row r="8991">
      <c r="BB8991" s="122"/>
      <c r="BC8991" s="141"/>
    </row>
    <row r="8992">
      <c r="BB8992" s="122"/>
      <c r="BC8992" s="141"/>
    </row>
    <row r="8993">
      <c r="BB8993" s="122"/>
      <c r="BC8993" s="141"/>
    </row>
    <row r="8994">
      <c r="BB8994" s="122"/>
      <c r="BC8994" s="141"/>
    </row>
    <row r="8995">
      <c r="BB8995" s="122"/>
      <c r="BC8995" s="141"/>
    </row>
    <row r="8996">
      <c r="BB8996" s="122"/>
      <c r="BC8996" s="141"/>
    </row>
    <row r="8997">
      <c r="BB8997" s="122"/>
      <c r="BC8997" s="141"/>
    </row>
    <row r="8998">
      <c r="BB8998" s="122"/>
      <c r="BC8998" s="141"/>
    </row>
    <row r="8999">
      <c r="BB8999" s="122"/>
      <c r="BC8999" s="141"/>
    </row>
    <row r="9000">
      <c r="BB9000" s="122"/>
      <c r="BC9000" s="141"/>
    </row>
    <row r="9001">
      <c r="BB9001" s="122"/>
      <c r="BC9001" s="141"/>
    </row>
    <row r="9002">
      <c r="BB9002" s="122"/>
      <c r="BC9002" s="141"/>
    </row>
    <row r="9003">
      <c r="BB9003" s="122"/>
      <c r="BC9003" s="141"/>
    </row>
    <row r="9004">
      <c r="BB9004" s="122"/>
      <c r="BC9004" s="141"/>
    </row>
    <row r="9005">
      <c r="BB9005" s="122"/>
      <c r="BC9005" s="141"/>
    </row>
    <row r="9006">
      <c r="BB9006" s="122"/>
      <c r="BC9006" s="141"/>
    </row>
    <row r="9007">
      <c r="BB9007" s="122"/>
      <c r="BC9007" s="141"/>
    </row>
    <row r="9008">
      <c r="BB9008" s="122"/>
      <c r="BC9008" s="141"/>
    </row>
    <row r="9009">
      <c r="BB9009" s="122"/>
      <c r="BC9009" s="141"/>
    </row>
    <row r="9010">
      <c r="BB9010" s="122"/>
      <c r="BC9010" s="141"/>
    </row>
    <row r="9011">
      <c r="BB9011" s="122"/>
      <c r="BC9011" s="141"/>
    </row>
    <row r="9012">
      <c r="BB9012" s="122"/>
      <c r="BC9012" s="141"/>
    </row>
    <row r="9013">
      <c r="BB9013" s="122"/>
      <c r="BC9013" s="141"/>
    </row>
    <row r="9014">
      <c r="BB9014" s="122"/>
      <c r="BC9014" s="141"/>
    </row>
    <row r="9015">
      <c r="BB9015" s="122"/>
      <c r="BC9015" s="141"/>
    </row>
    <row r="9016">
      <c r="BB9016" s="122"/>
      <c r="BC9016" s="141"/>
    </row>
    <row r="9017">
      <c r="BB9017" s="122"/>
      <c r="BC9017" s="141"/>
    </row>
    <row r="9018">
      <c r="BB9018" s="122"/>
      <c r="BC9018" s="141"/>
    </row>
    <row r="9019">
      <c r="BB9019" s="122"/>
      <c r="BC9019" s="141"/>
    </row>
    <row r="9020">
      <c r="BB9020" s="122"/>
      <c r="BC9020" s="141"/>
    </row>
    <row r="9021">
      <c r="BB9021" s="122"/>
      <c r="BC9021" s="141"/>
    </row>
    <row r="9022">
      <c r="BB9022" s="122"/>
      <c r="BC9022" s="141"/>
    </row>
    <row r="9023">
      <c r="BB9023" s="122"/>
      <c r="BC9023" s="141"/>
    </row>
    <row r="9024">
      <c r="BB9024" s="122"/>
      <c r="BC9024" s="141"/>
    </row>
    <row r="9025">
      <c r="BB9025" s="122"/>
      <c r="BC9025" s="141"/>
    </row>
    <row r="9026">
      <c r="BB9026" s="122"/>
      <c r="BC9026" s="141"/>
    </row>
    <row r="9027">
      <c r="BB9027" s="122"/>
      <c r="BC9027" s="141"/>
    </row>
    <row r="9028">
      <c r="BB9028" s="122"/>
      <c r="BC9028" s="141"/>
    </row>
    <row r="9029">
      <c r="BB9029" s="122"/>
      <c r="BC9029" s="141"/>
    </row>
    <row r="9030">
      <c r="BB9030" s="122"/>
      <c r="BC9030" s="141"/>
    </row>
    <row r="9031">
      <c r="BB9031" s="122"/>
      <c r="BC9031" s="141"/>
    </row>
    <row r="9032">
      <c r="BB9032" s="122"/>
      <c r="BC9032" s="141"/>
    </row>
    <row r="9033">
      <c r="BB9033" s="122"/>
      <c r="BC9033" s="141"/>
    </row>
    <row r="9034">
      <c r="BB9034" s="122"/>
      <c r="BC9034" s="141"/>
    </row>
    <row r="9035">
      <c r="BB9035" s="122"/>
      <c r="BC9035" s="141"/>
    </row>
    <row r="9036">
      <c r="BB9036" s="122"/>
      <c r="BC9036" s="141"/>
    </row>
    <row r="9037">
      <c r="BB9037" s="122"/>
      <c r="BC9037" s="141"/>
    </row>
    <row r="9038">
      <c r="BB9038" s="122"/>
      <c r="BC9038" s="141"/>
    </row>
    <row r="9039">
      <c r="BB9039" s="122"/>
      <c r="BC9039" s="141"/>
    </row>
    <row r="9040">
      <c r="BB9040" s="122"/>
      <c r="BC9040" s="141"/>
    </row>
    <row r="9041">
      <c r="BB9041" s="122"/>
      <c r="BC9041" s="141"/>
    </row>
    <row r="9042">
      <c r="BB9042" s="122"/>
      <c r="BC9042" s="141"/>
    </row>
    <row r="9043">
      <c r="BB9043" s="122"/>
      <c r="BC9043" s="141"/>
    </row>
    <row r="9044">
      <c r="BB9044" s="122"/>
      <c r="BC9044" s="141"/>
    </row>
    <row r="9045">
      <c r="BB9045" s="122"/>
      <c r="BC9045" s="141"/>
    </row>
    <row r="9046">
      <c r="BB9046" s="122"/>
      <c r="BC9046" s="141"/>
    </row>
    <row r="9047">
      <c r="BB9047" s="122"/>
      <c r="BC9047" s="141"/>
    </row>
    <row r="9048">
      <c r="BB9048" s="122"/>
      <c r="BC9048" s="141"/>
    </row>
    <row r="9049">
      <c r="BB9049" s="122"/>
      <c r="BC9049" s="141"/>
    </row>
    <row r="9050">
      <c r="BB9050" s="122"/>
      <c r="BC9050" s="141"/>
    </row>
    <row r="9051">
      <c r="BB9051" s="122"/>
      <c r="BC9051" s="141"/>
    </row>
    <row r="9052">
      <c r="BB9052" s="122"/>
      <c r="BC9052" s="141"/>
    </row>
    <row r="9053">
      <c r="BB9053" s="122"/>
      <c r="BC9053" s="141"/>
    </row>
    <row r="9054">
      <c r="BB9054" s="122"/>
      <c r="BC9054" s="141"/>
    </row>
    <row r="9055">
      <c r="BB9055" s="122"/>
      <c r="BC9055" s="141"/>
    </row>
    <row r="9056">
      <c r="BB9056" s="122"/>
      <c r="BC9056" s="141"/>
    </row>
    <row r="9057">
      <c r="BB9057" s="122"/>
      <c r="BC9057" s="141"/>
    </row>
    <row r="9058">
      <c r="BB9058" s="122"/>
      <c r="BC9058" s="141"/>
    </row>
    <row r="9059">
      <c r="BB9059" s="122"/>
      <c r="BC9059" s="141"/>
    </row>
    <row r="9060">
      <c r="BB9060" s="122"/>
      <c r="BC9060" s="141"/>
    </row>
    <row r="9061">
      <c r="BB9061" s="122"/>
      <c r="BC9061" s="141"/>
    </row>
    <row r="9062">
      <c r="BB9062" s="122"/>
      <c r="BC9062" s="141"/>
    </row>
    <row r="9063">
      <c r="BB9063" s="122"/>
      <c r="BC9063" s="141"/>
    </row>
    <row r="9064">
      <c r="BB9064" s="122"/>
      <c r="BC9064" s="141"/>
    </row>
    <row r="9065">
      <c r="BB9065" s="122"/>
      <c r="BC9065" s="141"/>
    </row>
    <row r="9066">
      <c r="BB9066" s="122"/>
      <c r="BC9066" s="141"/>
    </row>
    <row r="9067">
      <c r="BB9067" s="122"/>
      <c r="BC9067" s="141"/>
    </row>
    <row r="9068">
      <c r="BB9068" s="122"/>
      <c r="BC9068" s="141"/>
    </row>
    <row r="9069">
      <c r="BB9069" s="122"/>
      <c r="BC9069" s="141"/>
    </row>
    <row r="9070">
      <c r="BB9070" s="122"/>
      <c r="BC9070" s="141"/>
    </row>
    <row r="9071">
      <c r="BB9071" s="122"/>
      <c r="BC9071" s="141"/>
    </row>
    <row r="9072">
      <c r="BB9072" s="122"/>
      <c r="BC9072" s="141"/>
    </row>
    <row r="9073">
      <c r="BB9073" s="122"/>
      <c r="BC9073" s="141"/>
    </row>
    <row r="9074">
      <c r="BB9074" s="122"/>
      <c r="BC9074" s="141"/>
    </row>
    <row r="9075">
      <c r="BB9075" s="122"/>
      <c r="BC9075" s="141"/>
    </row>
    <row r="9076">
      <c r="BB9076" s="122"/>
      <c r="BC9076" s="141"/>
    </row>
    <row r="9077">
      <c r="BB9077" s="122"/>
      <c r="BC9077" s="141"/>
    </row>
    <row r="9078">
      <c r="BB9078" s="122"/>
      <c r="BC9078" s="141"/>
    </row>
    <row r="9079">
      <c r="BB9079" s="122"/>
      <c r="BC9079" s="141"/>
    </row>
    <row r="9080">
      <c r="BB9080" s="122"/>
      <c r="BC9080" s="141"/>
    </row>
    <row r="9081">
      <c r="BB9081" s="122"/>
      <c r="BC9081" s="141"/>
    </row>
    <row r="9082">
      <c r="BB9082" s="122"/>
      <c r="BC9082" s="141"/>
    </row>
    <row r="9083">
      <c r="BB9083" s="122"/>
      <c r="BC9083" s="141"/>
    </row>
    <row r="9084">
      <c r="BB9084" s="122"/>
      <c r="BC9084" s="141"/>
    </row>
    <row r="9085">
      <c r="BB9085" s="122"/>
      <c r="BC9085" s="141"/>
    </row>
    <row r="9086">
      <c r="BB9086" s="122"/>
      <c r="BC9086" s="141"/>
    </row>
    <row r="9087">
      <c r="BB9087" s="122"/>
      <c r="BC9087" s="141"/>
    </row>
    <row r="9088">
      <c r="BB9088" s="122"/>
      <c r="BC9088" s="141"/>
    </row>
    <row r="9089">
      <c r="BB9089" s="122"/>
      <c r="BC9089" s="141"/>
    </row>
    <row r="9090">
      <c r="BB9090" s="122"/>
      <c r="BC9090" s="141"/>
    </row>
    <row r="9091">
      <c r="BB9091" s="122"/>
      <c r="BC9091" s="141"/>
    </row>
    <row r="9092">
      <c r="BB9092" s="122"/>
      <c r="BC9092" s="141"/>
    </row>
    <row r="9093">
      <c r="BB9093" s="122"/>
      <c r="BC9093" s="141"/>
    </row>
    <row r="9094">
      <c r="BB9094" s="122"/>
      <c r="BC9094" s="141"/>
    </row>
    <row r="9095">
      <c r="BB9095" s="122"/>
      <c r="BC9095" s="141"/>
    </row>
    <row r="9096">
      <c r="BB9096" s="122"/>
      <c r="BC9096" s="141"/>
    </row>
    <row r="9097">
      <c r="BB9097" s="122"/>
      <c r="BC9097" s="141"/>
    </row>
    <row r="9098">
      <c r="BB9098" s="122"/>
      <c r="BC9098" s="141"/>
    </row>
    <row r="9099">
      <c r="BB9099" s="122"/>
      <c r="BC9099" s="141"/>
    </row>
    <row r="9100">
      <c r="BB9100" s="122"/>
      <c r="BC9100" s="141"/>
    </row>
    <row r="9101">
      <c r="BB9101" s="122"/>
      <c r="BC9101" s="141"/>
    </row>
    <row r="9102">
      <c r="BB9102" s="122"/>
      <c r="BC9102" s="141"/>
    </row>
    <row r="9103">
      <c r="BB9103" s="122"/>
      <c r="BC9103" s="141"/>
    </row>
    <row r="9104">
      <c r="BB9104" s="122"/>
      <c r="BC9104" s="141"/>
    </row>
    <row r="9105">
      <c r="BB9105" s="122"/>
      <c r="BC9105" s="141"/>
    </row>
    <row r="9106">
      <c r="BB9106" s="122"/>
      <c r="BC9106" s="141"/>
    </row>
    <row r="9107">
      <c r="BB9107" s="122"/>
      <c r="BC9107" s="141"/>
    </row>
    <row r="9108">
      <c r="BB9108" s="122"/>
      <c r="BC9108" s="141"/>
    </row>
    <row r="9109">
      <c r="BB9109" s="122"/>
      <c r="BC9109" s="141"/>
    </row>
    <row r="9110">
      <c r="BB9110" s="122"/>
      <c r="BC9110" s="141"/>
    </row>
    <row r="9111">
      <c r="BB9111" s="122"/>
      <c r="BC9111" s="141"/>
    </row>
    <row r="9112">
      <c r="BB9112" s="122"/>
      <c r="BC9112" s="141"/>
    </row>
    <row r="9113">
      <c r="BB9113" s="122"/>
      <c r="BC9113" s="141"/>
    </row>
    <row r="9114">
      <c r="BB9114" s="122"/>
      <c r="BC9114" s="141"/>
    </row>
    <row r="9115">
      <c r="BB9115" s="122"/>
      <c r="BC9115" s="141"/>
    </row>
    <row r="9116">
      <c r="BB9116" s="122"/>
      <c r="BC9116" s="141"/>
    </row>
    <row r="9117">
      <c r="BB9117" s="122"/>
      <c r="BC9117" s="141"/>
    </row>
    <row r="9118">
      <c r="BB9118" s="122"/>
      <c r="BC9118" s="141"/>
    </row>
    <row r="9119">
      <c r="BB9119" s="122"/>
      <c r="BC9119" s="141"/>
    </row>
    <row r="9120">
      <c r="BB9120" s="122"/>
      <c r="BC9120" s="141"/>
    </row>
    <row r="9121">
      <c r="BB9121" s="122"/>
      <c r="BC9121" s="141"/>
    </row>
    <row r="9122">
      <c r="BB9122" s="122"/>
      <c r="BC9122" s="141"/>
    </row>
    <row r="9123">
      <c r="BB9123" s="122"/>
      <c r="BC9123" s="141"/>
    </row>
    <row r="9124">
      <c r="BB9124" s="122"/>
      <c r="BC9124" s="141"/>
    </row>
    <row r="9125">
      <c r="BB9125" s="122"/>
      <c r="BC9125" s="141"/>
    </row>
    <row r="9126">
      <c r="BB9126" s="122"/>
      <c r="BC9126" s="141"/>
    </row>
    <row r="9127">
      <c r="BB9127" s="122"/>
      <c r="BC9127" s="141"/>
    </row>
    <row r="9128">
      <c r="BB9128" s="122"/>
      <c r="BC9128" s="141"/>
    </row>
    <row r="9129">
      <c r="BB9129" s="122"/>
      <c r="BC9129" s="141"/>
    </row>
    <row r="9130">
      <c r="BB9130" s="122"/>
      <c r="BC9130" s="141"/>
    </row>
    <row r="9131">
      <c r="BB9131" s="122"/>
      <c r="BC9131" s="141"/>
    </row>
    <row r="9132">
      <c r="BB9132" s="122"/>
      <c r="BC9132" s="141"/>
    </row>
    <row r="9133">
      <c r="BB9133" s="122"/>
      <c r="BC9133" s="141"/>
    </row>
    <row r="9134">
      <c r="BB9134" s="122"/>
      <c r="BC9134" s="141"/>
    </row>
    <row r="9135">
      <c r="BB9135" s="122"/>
      <c r="BC9135" s="141"/>
    </row>
    <row r="9136">
      <c r="BB9136" s="122"/>
      <c r="BC9136" s="141"/>
    </row>
    <row r="9137">
      <c r="BB9137" s="122"/>
      <c r="BC9137" s="141"/>
    </row>
    <row r="9138">
      <c r="BB9138" s="122"/>
      <c r="BC9138" s="141"/>
    </row>
    <row r="9139">
      <c r="BB9139" s="122"/>
      <c r="BC9139" s="141"/>
    </row>
    <row r="9140">
      <c r="BB9140" s="122"/>
      <c r="BC9140" s="141"/>
    </row>
    <row r="9141">
      <c r="BB9141" s="122"/>
      <c r="BC9141" s="141"/>
    </row>
    <row r="9142">
      <c r="BB9142" s="122"/>
      <c r="BC9142" s="141"/>
    </row>
    <row r="9143">
      <c r="BB9143" s="122"/>
      <c r="BC9143" s="141"/>
    </row>
    <row r="9144">
      <c r="BB9144" s="122"/>
      <c r="BC9144" s="141"/>
    </row>
    <row r="9145">
      <c r="BB9145" s="122"/>
      <c r="BC9145" s="141"/>
    </row>
    <row r="9146">
      <c r="BB9146" s="122"/>
      <c r="BC9146" s="141"/>
    </row>
    <row r="9147">
      <c r="BB9147" s="122"/>
      <c r="BC9147" s="141"/>
    </row>
    <row r="9148">
      <c r="BB9148" s="122"/>
      <c r="BC9148" s="141"/>
    </row>
    <row r="9149">
      <c r="BB9149" s="122"/>
      <c r="BC9149" s="141"/>
    </row>
    <row r="9150">
      <c r="BB9150" s="122"/>
      <c r="BC9150" s="141"/>
    </row>
    <row r="9151">
      <c r="BB9151" s="122"/>
      <c r="BC9151" s="141"/>
    </row>
    <row r="9152">
      <c r="BB9152" s="122"/>
      <c r="BC9152" s="141"/>
    </row>
    <row r="9153">
      <c r="BB9153" s="122"/>
      <c r="BC9153" s="141"/>
    </row>
    <row r="9154">
      <c r="BB9154" s="122"/>
      <c r="BC9154" s="141"/>
    </row>
    <row r="9155">
      <c r="BB9155" s="122"/>
      <c r="BC9155" s="141"/>
    </row>
    <row r="9156">
      <c r="BB9156" s="122"/>
      <c r="BC9156" s="141"/>
    </row>
    <row r="9157">
      <c r="BB9157" s="122"/>
      <c r="BC9157" s="141"/>
    </row>
    <row r="9158">
      <c r="BB9158" s="122"/>
      <c r="BC9158" s="141"/>
    </row>
    <row r="9159">
      <c r="BB9159" s="122"/>
      <c r="BC9159" s="141"/>
    </row>
    <row r="9160">
      <c r="BB9160" s="122"/>
      <c r="BC9160" s="141"/>
    </row>
    <row r="9161">
      <c r="BB9161" s="122"/>
      <c r="BC9161" s="141"/>
    </row>
    <row r="9162">
      <c r="BB9162" s="122"/>
      <c r="BC9162" s="141"/>
    </row>
    <row r="9163">
      <c r="BB9163" s="122"/>
      <c r="BC9163" s="141"/>
    </row>
    <row r="9164">
      <c r="BB9164" s="122"/>
      <c r="BC9164" s="141"/>
    </row>
    <row r="9165">
      <c r="BB9165" s="122"/>
      <c r="BC9165" s="141"/>
    </row>
    <row r="9166">
      <c r="BB9166" s="122"/>
      <c r="BC9166" s="141"/>
    </row>
    <row r="9167">
      <c r="BB9167" s="122"/>
      <c r="BC9167" s="141"/>
    </row>
    <row r="9168">
      <c r="BB9168" s="122"/>
      <c r="BC9168" s="141"/>
    </row>
    <row r="9169">
      <c r="BB9169" s="122"/>
      <c r="BC9169" s="141"/>
    </row>
    <row r="9170">
      <c r="BB9170" s="122"/>
      <c r="BC9170" s="141"/>
    </row>
    <row r="9171">
      <c r="BB9171" s="122"/>
      <c r="BC9171" s="141"/>
    </row>
    <row r="9172">
      <c r="BB9172" s="122"/>
      <c r="BC9172" s="141"/>
    </row>
    <row r="9173">
      <c r="BB9173" s="122"/>
      <c r="BC9173" s="141"/>
    </row>
    <row r="9174">
      <c r="BB9174" s="122"/>
      <c r="BC9174" s="141"/>
    </row>
    <row r="9175">
      <c r="BB9175" s="122"/>
      <c r="BC9175" s="141"/>
    </row>
    <row r="9176">
      <c r="BB9176" s="122"/>
      <c r="BC9176" s="141"/>
    </row>
    <row r="9177">
      <c r="BB9177" s="122"/>
      <c r="BC9177" s="141"/>
    </row>
    <row r="9178">
      <c r="BB9178" s="122"/>
      <c r="BC9178" s="141"/>
    </row>
    <row r="9179">
      <c r="BB9179" s="122"/>
      <c r="BC9179" s="141"/>
    </row>
    <row r="9180">
      <c r="BB9180" s="122"/>
      <c r="BC9180" s="141"/>
    </row>
    <row r="9181">
      <c r="BB9181" s="122"/>
      <c r="BC9181" s="141"/>
    </row>
    <row r="9182">
      <c r="BB9182" s="122"/>
      <c r="BC9182" s="141"/>
    </row>
    <row r="9183">
      <c r="BB9183" s="122"/>
      <c r="BC9183" s="141"/>
    </row>
    <row r="9184">
      <c r="BB9184" s="122"/>
      <c r="BC9184" s="141"/>
    </row>
    <row r="9185">
      <c r="BB9185" s="122"/>
      <c r="BC9185" s="141"/>
    </row>
    <row r="9186">
      <c r="BB9186" s="122"/>
      <c r="BC9186" s="141"/>
    </row>
    <row r="9187">
      <c r="BB9187" s="122"/>
      <c r="BC9187" s="141"/>
    </row>
    <row r="9188">
      <c r="BB9188" s="122"/>
      <c r="BC9188" s="141"/>
    </row>
    <row r="9189">
      <c r="BB9189" s="122"/>
      <c r="BC9189" s="141"/>
    </row>
    <row r="9190">
      <c r="BB9190" s="122"/>
      <c r="BC9190" s="141"/>
    </row>
    <row r="9191">
      <c r="BB9191" s="122"/>
      <c r="BC9191" s="141"/>
    </row>
    <row r="9192">
      <c r="BB9192" s="122"/>
      <c r="BC9192" s="141"/>
    </row>
    <row r="9193">
      <c r="BB9193" s="122"/>
      <c r="BC9193" s="141"/>
    </row>
    <row r="9194">
      <c r="BB9194" s="122"/>
      <c r="BC9194" s="141"/>
    </row>
    <row r="9195">
      <c r="BB9195" s="122"/>
      <c r="BC9195" s="141"/>
    </row>
    <row r="9196">
      <c r="BB9196" s="122"/>
      <c r="BC9196" s="141"/>
    </row>
    <row r="9197">
      <c r="BB9197" s="122"/>
      <c r="BC9197" s="141"/>
    </row>
    <row r="9198">
      <c r="BB9198" s="122"/>
      <c r="BC9198" s="141"/>
    </row>
    <row r="9199">
      <c r="BB9199" s="122"/>
      <c r="BC9199" s="141"/>
    </row>
    <row r="9200">
      <c r="BB9200" s="122"/>
      <c r="BC9200" s="141"/>
    </row>
    <row r="9201">
      <c r="BB9201" s="122"/>
      <c r="BC9201" s="141"/>
    </row>
    <row r="9202">
      <c r="BB9202" s="122"/>
      <c r="BC9202" s="141"/>
    </row>
    <row r="9203">
      <c r="BB9203" s="122"/>
      <c r="BC9203" s="141"/>
    </row>
    <row r="9204">
      <c r="BB9204" s="122"/>
      <c r="BC9204" s="141"/>
    </row>
    <row r="9205">
      <c r="BB9205" s="122"/>
      <c r="BC9205" s="141"/>
    </row>
    <row r="9206">
      <c r="BB9206" s="122"/>
      <c r="BC9206" s="141"/>
    </row>
    <row r="9207">
      <c r="BB9207" s="122"/>
      <c r="BC9207" s="141"/>
    </row>
    <row r="9208">
      <c r="BB9208" s="122"/>
      <c r="BC9208" s="141"/>
    </row>
    <row r="9209">
      <c r="BB9209" s="122"/>
      <c r="BC9209" s="141"/>
    </row>
    <row r="9210">
      <c r="BB9210" s="122"/>
      <c r="BC9210" s="141"/>
    </row>
    <row r="9211">
      <c r="BB9211" s="122"/>
      <c r="BC9211" s="141"/>
    </row>
    <row r="9212">
      <c r="BB9212" s="122"/>
      <c r="BC9212" s="141"/>
    </row>
    <row r="9213">
      <c r="BB9213" s="122"/>
      <c r="BC9213" s="141"/>
    </row>
    <row r="9214">
      <c r="BB9214" s="122"/>
      <c r="BC9214" s="141"/>
    </row>
    <row r="9215">
      <c r="BB9215" s="122"/>
      <c r="BC9215" s="141"/>
    </row>
    <row r="9216">
      <c r="BB9216" s="122"/>
      <c r="BC9216" s="141"/>
    </row>
    <row r="9217">
      <c r="BB9217" s="122"/>
      <c r="BC9217" s="141"/>
    </row>
    <row r="9218">
      <c r="BB9218" s="122"/>
      <c r="BC9218" s="141"/>
    </row>
    <row r="9219">
      <c r="BB9219" s="122"/>
      <c r="BC9219" s="141"/>
    </row>
    <row r="9220">
      <c r="BB9220" s="122"/>
      <c r="BC9220" s="141"/>
    </row>
    <row r="9221">
      <c r="BB9221" s="122"/>
      <c r="BC9221" s="141"/>
    </row>
    <row r="9222">
      <c r="BB9222" s="122"/>
      <c r="BC9222" s="141"/>
    </row>
    <row r="9223">
      <c r="BB9223" s="122"/>
      <c r="BC9223" s="141"/>
    </row>
    <row r="9224">
      <c r="BB9224" s="122"/>
      <c r="BC9224" s="141"/>
    </row>
    <row r="9225">
      <c r="BB9225" s="122"/>
      <c r="BC9225" s="141"/>
    </row>
    <row r="9226">
      <c r="BB9226" s="122"/>
      <c r="BC9226" s="141"/>
    </row>
    <row r="9227">
      <c r="BB9227" s="122"/>
      <c r="BC9227" s="141"/>
    </row>
    <row r="9228">
      <c r="BB9228" s="122"/>
      <c r="BC9228" s="141"/>
    </row>
    <row r="9229">
      <c r="BB9229" s="122"/>
      <c r="BC9229" s="141"/>
    </row>
    <row r="9230">
      <c r="BB9230" s="122"/>
      <c r="BC9230" s="141"/>
    </row>
    <row r="9231">
      <c r="BB9231" s="122"/>
      <c r="BC9231" s="141"/>
    </row>
    <row r="9232">
      <c r="BB9232" s="122"/>
      <c r="BC9232" s="141"/>
    </row>
    <row r="9233">
      <c r="BB9233" s="122"/>
      <c r="BC9233" s="141"/>
    </row>
    <row r="9234">
      <c r="BB9234" s="122"/>
      <c r="BC9234" s="141"/>
    </row>
    <row r="9235">
      <c r="BB9235" s="122"/>
      <c r="BC9235" s="141"/>
    </row>
    <row r="9236">
      <c r="BB9236" s="122"/>
      <c r="BC9236" s="141"/>
    </row>
    <row r="9237">
      <c r="BB9237" s="122"/>
      <c r="BC9237" s="141"/>
    </row>
    <row r="9238">
      <c r="BB9238" s="122"/>
      <c r="BC9238" s="141"/>
    </row>
    <row r="9239">
      <c r="BB9239" s="122"/>
      <c r="BC9239" s="141"/>
    </row>
    <row r="9240">
      <c r="BB9240" s="122"/>
      <c r="BC9240" s="141"/>
    </row>
    <row r="9241">
      <c r="BB9241" s="122"/>
      <c r="BC9241" s="141"/>
    </row>
    <row r="9242">
      <c r="BB9242" s="122"/>
      <c r="BC9242" s="141"/>
    </row>
    <row r="9243">
      <c r="BB9243" s="122"/>
      <c r="BC9243" s="141"/>
    </row>
    <row r="9244">
      <c r="BB9244" s="122"/>
      <c r="BC9244" s="141"/>
    </row>
    <row r="9245">
      <c r="BB9245" s="122"/>
      <c r="BC9245" s="141"/>
    </row>
    <row r="9246">
      <c r="BB9246" s="122"/>
      <c r="BC9246" s="141"/>
    </row>
    <row r="9247">
      <c r="BB9247" s="122"/>
      <c r="BC9247" s="141"/>
    </row>
    <row r="9248">
      <c r="BB9248" s="122"/>
      <c r="BC9248" s="141"/>
    </row>
    <row r="9249">
      <c r="BB9249" s="122"/>
      <c r="BC9249" s="141"/>
    </row>
    <row r="9250">
      <c r="BB9250" s="122"/>
      <c r="BC9250" s="141"/>
    </row>
    <row r="9251">
      <c r="BB9251" s="122"/>
      <c r="BC9251" s="141"/>
    </row>
    <row r="9252">
      <c r="BB9252" s="122"/>
      <c r="BC9252" s="141"/>
    </row>
    <row r="9253">
      <c r="BB9253" s="122"/>
      <c r="BC9253" s="141"/>
    </row>
    <row r="9254">
      <c r="BB9254" s="122"/>
      <c r="BC9254" s="141"/>
    </row>
    <row r="9255">
      <c r="BB9255" s="122"/>
      <c r="BC9255" s="141"/>
    </row>
    <row r="9256">
      <c r="BB9256" s="122"/>
      <c r="BC9256" s="141"/>
    </row>
    <row r="9257">
      <c r="BB9257" s="122"/>
      <c r="BC9257" s="141"/>
    </row>
    <row r="9258">
      <c r="BB9258" s="122"/>
      <c r="BC9258" s="141"/>
    </row>
    <row r="9259">
      <c r="BB9259" s="122"/>
      <c r="BC9259" s="141"/>
    </row>
    <row r="9260">
      <c r="BB9260" s="122"/>
      <c r="BC9260" s="141"/>
    </row>
    <row r="9261">
      <c r="BB9261" s="122"/>
      <c r="BC9261" s="141"/>
    </row>
    <row r="9262">
      <c r="BB9262" s="122"/>
      <c r="BC9262" s="141"/>
    </row>
    <row r="9263">
      <c r="BB9263" s="122"/>
      <c r="BC9263" s="141"/>
    </row>
    <row r="9264">
      <c r="BB9264" s="122"/>
      <c r="BC9264" s="141"/>
    </row>
    <row r="9265">
      <c r="BB9265" s="122"/>
      <c r="BC9265" s="141"/>
    </row>
    <row r="9266">
      <c r="BB9266" s="122"/>
      <c r="BC9266" s="141"/>
    </row>
    <row r="9267">
      <c r="BB9267" s="122"/>
      <c r="BC9267" s="141"/>
    </row>
    <row r="9268">
      <c r="BB9268" s="122"/>
      <c r="BC9268" s="141"/>
    </row>
    <row r="9269">
      <c r="BB9269" s="122"/>
      <c r="BC9269" s="141"/>
    </row>
    <row r="9270">
      <c r="BB9270" s="122"/>
      <c r="BC9270" s="141"/>
    </row>
    <row r="9271">
      <c r="BB9271" s="122"/>
      <c r="BC9271" s="141"/>
    </row>
    <row r="9272">
      <c r="BB9272" s="122"/>
      <c r="BC9272" s="141"/>
    </row>
    <row r="9273">
      <c r="BB9273" s="122"/>
      <c r="BC9273" s="141"/>
    </row>
    <row r="9274">
      <c r="BB9274" s="122"/>
      <c r="BC9274" s="141"/>
    </row>
    <row r="9275">
      <c r="BB9275" s="122"/>
      <c r="BC9275" s="141"/>
    </row>
    <row r="9276">
      <c r="BB9276" s="122"/>
      <c r="BC9276" s="141"/>
    </row>
    <row r="9277">
      <c r="BB9277" s="122"/>
      <c r="BC9277" s="141"/>
    </row>
    <row r="9278">
      <c r="BB9278" s="122"/>
      <c r="BC9278" s="141"/>
    </row>
    <row r="9279">
      <c r="BB9279" s="122"/>
      <c r="BC9279" s="141"/>
    </row>
    <row r="9280">
      <c r="BB9280" s="122"/>
      <c r="BC9280" s="141"/>
    </row>
    <row r="9281">
      <c r="BB9281" s="122"/>
      <c r="BC9281" s="141"/>
    </row>
    <row r="9282">
      <c r="BB9282" s="122"/>
      <c r="BC9282" s="141"/>
    </row>
    <row r="9283">
      <c r="BB9283" s="122"/>
      <c r="BC9283" s="141"/>
    </row>
    <row r="9284">
      <c r="BB9284" s="122"/>
      <c r="BC9284" s="141"/>
    </row>
    <row r="9285">
      <c r="BB9285" s="122"/>
      <c r="BC9285" s="141"/>
    </row>
    <row r="9286">
      <c r="BB9286" s="122"/>
      <c r="BC9286" s="141"/>
    </row>
    <row r="9287">
      <c r="BB9287" s="122"/>
      <c r="BC9287" s="141"/>
    </row>
    <row r="9288">
      <c r="BB9288" s="122"/>
      <c r="BC9288" s="141"/>
    </row>
    <row r="9289">
      <c r="BB9289" s="122"/>
      <c r="BC9289" s="141"/>
    </row>
    <row r="9290">
      <c r="BB9290" s="122"/>
      <c r="BC9290" s="141"/>
    </row>
    <row r="9291">
      <c r="BB9291" s="122"/>
      <c r="BC9291" s="141"/>
    </row>
    <row r="9292">
      <c r="BB9292" s="122"/>
      <c r="BC9292" s="141"/>
    </row>
    <row r="9293">
      <c r="BB9293" s="122"/>
      <c r="BC9293" s="141"/>
    </row>
    <row r="9294">
      <c r="BB9294" s="122"/>
      <c r="BC9294" s="141"/>
    </row>
    <row r="9295">
      <c r="BB9295" s="122"/>
      <c r="BC9295" s="141"/>
    </row>
    <row r="9296">
      <c r="BB9296" s="122"/>
      <c r="BC9296" s="141"/>
    </row>
    <row r="9297">
      <c r="BB9297" s="122"/>
      <c r="BC9297" s="141"/>
    </row>
    <row r="9298">
      <c r="BB9298" s="122"/>
      <c r="BC9298" s="141"/>
    </row>
    <row r="9299">
      <c r="BB9299" s="122"/>
      <c r="BC9299" s="141"/>
    </row>
    <row r="9300">
      <c r="BB9300" s="122"/>
      <c r="BC9300" s="141"/>
    </row>
    <row r="9301">
      <c r="BB9301" s="122"/>
      <c r="BC9301" s="141"/>
    </row>
    <row r="9302">
      <c r="BB9302" s="122"/>
      <c r="BC9302" s="141"/>
    </row>
    <row r="9303">
      <c r="BB9303" s="122"/>
      <c r="BC9303" s="141"/>
    </row>
    <row r="9304">
      <c r="BB9304" s="122"/>
      <c r="BC9304" s="141"/>
    </row>
    <row r="9305">
      <c r="BB9305" s="122"/>
      <c r="BC9305" s="141"/>
    </row>
    <row r="9306">
      <c r="BB9306" s="122"/>
      <c r="BC9306" s="141"/>
    </row>
    <row r="9307">
      <c r="BB9307" s="122"/>
      <c r="BC9307" s="141"/>
    </row>
    <row r="9308">
      <c r="BB9308" s="122"/>
      <c r="BC9308" s="141"/>
    </row>
    <row r="9309">
      <c r="BB9309" s="122"/>
      <c r="BC9309" s="141"/>
    </row>
    <row r="9310">
      <c r="BB9310" s="122"/>
      <c r="BC9310" s="141"/>
    </row>
    <row r="9311">
      <c r="BB9311" s="122"/>
      <c r="BC9311" s="141"/>
    </row>
    <row r="9312">
      <c r="BB9312" s="122"/>
      <c r="BC9312" s="141"/>
    </row>
    <row r="9313">
      <c r="BB9313" s="122"/>
      <c r="BC9313" s="141"/>
    </row>
    <row r="9314">
      <c r="BB9314" s="122"/>
      <c r="BC9314" s="141"/>
    </row>
    <row r="9315">
      <c r="BB9315" s="122"/>
      <c r="BC9315" s="141"/>
    </row>
    <row r="9316">
      <c r="BB9316" s="122"/>
      <c r="BC9316" s="141"/>
    </row>
    <row r="9317">
      <c r="BB9317" s="122"/>
      <c r="BC9317" s="141"/>
    </row>
    <row r="9318">
      <c r="BB9318" s="122"/>
      <c r="BC9318" s="141"/>
    </row>
    <row r="9319">
      <c r="BB9319" s="122"/>
      <c r="BC9319" s="141"/>
    </row>
    <row r="9320">
      <c r="BB9320" s="122"/>
      <c r="BC9320" s="141"/>
    </row>
    <row r="9321">
      <c r="BB9321" s="122"/>
      <c r="BC9321" s="141"/>
    </row>
    <row r="9322">
      <c r="BB9322" s="122"/>
      <c r="BC9322" s="141"/>
    </row>
    <row r="9323">
      <c r="BB9323" s="122"/>
      <c r="BC9323" s="141"/>
    </row>
    <row r="9324">
      <c r="BB9324" s="122"/>
      <c r="BC9324" s="141"/>
    </row>
    <row r="9325">
      <c r="BB9325" s="122"/>
      <c r="BC9325" s="141"/>
    </row>
    <row r="9326">
      <c r="BB9326" s="122"/>
      <c r="BC9326" s="141"/>
    </row>
    <row r="9327">
      <c r="BB9327" s="122"/>
      <c r="BC9327" s="141"/>
    </row>
    <row r="9328">
      <c r="BB9328" s="122"/>
      <c r="BC9328" s="141"/>
    </row>
    <row r="9329">
      <c r="BB9329" s="122"/>
      <c r="BC9329" s="141"/>
    </row>
    <row r="9330">
      <c r="BB9330" s="122"/>
      <c r="BC9330" s="141"/>
    </row>
    <row r="9331">
      <c r="BB9331" s="122"/>
      <c r="BC9331" s="141"/>
    </row>
    <row r="9332">
      <c r="BB9332" s="122"/>
      <c r="BC9332" s="141"/>
    </row>
    <row r="9333">
      <c r="BB9333" s="122"/>
      <c r="BC9333" s="141"/>
    </row>
    <row r="9334">
      <c r="BB9334" s="122"/>
      <c r="BC9334" s="141"/>
    </row>
    <row r="9335">
      <c r="BB9335" s="122"/>
      <c r="BC9335" s="141"/>
    </row>
    <row r="9336">
      <c r="BB9336" s="122"/>
      <c r="BC9336" s="141"/>
    </row>
    <row r="9337">
      <c r="BB9337" s="122"/>
      <c r="BC9337" s="141"/>
    </row>
    <row r="9338">
      <c r="BB9338" s="122"/>
      <c r="BC9338" s="141"/>
    </row>
    <row r="9339">
      <c r="BB9339" s="122"/>
      <c r="BC9339" s="141"/>
    </row>
    <row r="9340">
      <c r="BB9340" s="122"/>
      <c r="BC9340" s="141"/>
    </row>
    <row r="9341">
      <c r="BB9341" s="122"/>
      <c r="BC9341" s="141"/>
    </row>
    <row r="9342">
      <c r="BB9342" s="122"/>
      <c r="BC9342" s="141"/>
    </row>
    <row r="9343">
      <c r="BB9343" s="122"/>
      <c r="BC9343" s="141"/>
    </row>
    <row r="9344">
      <c r="BB9344" s="122"/>
      <c r="BC9344" s="141"/>
    </row>
    <row r="9345">
      <c r="BB9345" s="122"/>
      <c r="BC9345" s="141"/>
    </row>
    <row r="9346">
      <c r="BB9346" s="122"/>
      <c r="BC9346" s="141"/>
    </row>
    <row r="9347">
      <c r="BB9347" s="122"/>
      <c r="BC9347" s="141"/>
    </row>
    <row r="9348">
      <c r="BB9348" s="122"/>
      <c r="BC9348" s="141"/>
    </row>
    <row r="9349">
      <c r="BB9349" s="122"/>
      <c r="BC9349" s="141"/>
    </row>
    <row r="9350">
      <c r="BB9350" s="122"/>
      <c r="BC9350" s="141"/>
    </row>
    <row r="9351">
      <c r="BB9351" s="122"/>
      <c r="BC9351" s="141"/>
    </row>
    <row r="9352">
      <c r="BB9352" s="122"/>
      <c r="BC9352" s="141"/>
    </row>
    <row r="9353">
      <c r="BB9353" s="122"/>
      <c r="BC9353" s="141"/>
    </row>
    <row r="9354">
      <c r="BB9354" s="122"/>
      <c r="BC9354" s="141"/>
    </row>
    <row r="9355">
      <c r="BB9355" s="122"/>
      <c r="BC9355" s="141"/>
    </row>
    <row r="9356">
      <c r="BB9356" s="122"/>
      <c r="BC9356" s="141"/>
    </row>
    <row r="9357">
      <c r="BB9357" s="122"/>
      <c r="BC9357" s="141"/>
    </row>
    <row r="9358">
      <c r="BB9358" s="122"/>
      <c r="BC9358" s="141"/>
    </row>
    <row r="9359">
      <c r="BB9359" s="122"/>
      <c r="BC9359" s="141"/>
    </row>
    <row r="9360">
      <c r="BB9360" s="122"/>
      <c r="BC9360" s="141"/>
    </row>
    <row r="9361">
      <c r="BB9361" s="122"/>
      <c r="BC9361" s="141"/>
    </row>
    <row r="9362">
      <c r="BB9362" s="122"/>
      <c r="BC9362" s="141"/>
    </row>
    <row r="9363">
      <c r="BB9363" s="122"/>
      <c r="BC9363" s="141"/>
    </row>
    <row r="9364">
      <c r="BB9364" s="122"/>
      <c r="BC9364" s="141"/>
    </row>
    <row r="9365">
      <c r="BB9365" s="122"/>
      <c r="BC9365" s="141"/>
    </row>
    <row r="9366">
      <c r="BB9366" s="122"/>
      <c r="BC9366" s="141"/>
    </row>
    <row r="9367">
      <c r="BB9367" s="122"/>
      <c r="BC9367" s="141"/>
    </row>
    <row r="9368">
      <c r="BB9368" s="122"/>
      <c r="BC9368" s="141"/>
    </row>
    <row r="9369">
      <c r="BB9369" s="122"/>
      <c r="BC9369" s="141"/>
    </row>
    <row r="9370">
      <c r="BB9370" s="122"/>
      <c r="BC9370" s="141"/>
    </row>
    <row r="9371">
      <c r="BB9371" s="122"/>
      <c r="BC9371" s="141"/>
    </row>
    <row r="9372">
      <c r="BB9372" s="122"/>
      <c r="BC9372" s="141"/>
    </row>
    <row r="9373">
      <c r="BB9373" s="122"/>
      <c r="BC9373" s="141"/>
    </row>
    <row r="9374">
      <c r="BB9374" s="122"/>
      <c r="BC9374" s="141"/>
    </row>
    <row r="9375">
      <c r="BB9375" s="122"/>
      <c r="BC9375" s="141"/>
    </row>
    <row r="9376">
      <c r="BB9376" s="122"/>
      <c r="BC9376" s="141"/>
    </row>
    <row r="9377">
      <c r="BB9377" s="122"/>
      <c r="BC9377" s="141"/>
    </row>
    <row r="9378">
      <c r="BB9378" s="122"/>
      <c r="BC9378" s="141"/>
    </row>
    <row r="9379">
      <c r="BB9379" s="122"/>
      <c r="BC9379" s="141"/>
    </row>
    <row r="9380">
      <c r="BB9380" s="122"/>
      <c r="BC9380" s="141"/>
    </row>
    <row r="9381">
      <c r="BB9381" s="122"/>
      <c r="BC9381" s="141"/>
    </row>
    <row r="9382">
      <c r="BB9382" s="122"/>
      <c r="BC9382" s="141"/>
    </row>
    <row r="9383">
      <c r="BB9383" s="122"/>
      <c r="BC9383" s="141"/>
    </row>
    <row r="9384">
      <c r="BB9384" s="122"/>
      <c r="BC9384" s="141"/>
    </row>
    <row r="9385">
      <c r="BB9385" s="122"/>
      <c r="BC9385" s="141"/>
    </row>
    <row r="9386">
      <c r="BB9386" s="122"/>
      <c r="BC9386" s="141"/>
    </row>
    <row r="9387">
      <c r="BB9387" s="122"/>
      <c r="BC9387" s="141"/>
    </row>
    <row r="9388">
      <c r="BB9388" s="122"/>
      <c r="BC9388" s="141"/>
    </row>
    <row r="9389">
      <c r="BB9389" s="122"/>
      <c r="BC9389" s="141"/>
    </row>
    <row r="9390">
      <c r="BB9390" s="122"/>
      <c r="BC9390" s="141"/>
    </row>
    <row r="9391">
      <c r="BB9391" s="122"/>
      <c r="BC9391" s="141"/>
    </row>
    <row r="9392">
      <c r="BB9392" s="122"/>
      <c r="BC9392" s="141"/>
    </row>
    <row r="9393">
      <c r="BB9393" s="122"/>
      <c r="BC9393" s="141"/>
    </row>
    <row r="9394">
      <c r="BB9394" s="122"/>
      <c r="BC9394" s="141"/>
    </row>
    <row r="9395">
      <c r="BB9395" s="122"/>
      <c r="BC9395" s="141"/>
    </row>
    <row r="9396">
      <c r="BB9396" s="122"/>
      <c r="BC9396" s="141"/>
    </row>
    <row r="9397">
      <c r="BB9397" s="122"/>
      <c r="BC9397" s="141"/>
    </row>
    <row r="9398">
      <c r="BB9398" s="122"/>
      <c r="BC9398" s="141"/>
    </row>
    <row r="9399">
      <c r="BB9399" s="122"/>
      <c r="BC9399" s="141"/>
    </row>
    <row r="9400">
      <c r="BB9400" s="122"/>
      <c r="BC9400" s="141"/>
    </row>
    <row r="9401">
      <c r="BB9401" s="122"/>
      <c r="BC9401" s="141"/>
    </row>
    <row r="9402">
      <c r="BB9402" s="122"/>
      <c r="BC9402" s="141"/>
    </row>
    <row r="9403">
      <c r="BB9403" s="122"/>
      <c r="BC9403" s="141"/>
    </row>
    <row r="9404">
      <c r="BB9404" s="122"/>
      <c r="BC9404" s="141"/>
    </row>
    <row r="9405">
      <c r="BB9405" s="122"/>
      <c r="BC9405" s="141"/>
    </row>
    <row r="9406">
      <c r="BB9406" s="122"/>
      <c r="BC9406" s="141"/>
    </row>
    <row r="9407">
      <c r="BB9407" s="122"/>
      <c r="BC9407" s="141"/>
    </row>
    <row r="9408">
      <c r="BB9408" s="122"/>
      <c r="BC9408" s="141"/>
    </row>
    <row r="9409">
      <c r="BB9409" s="122"/>
      <c r="BC9409" s="141"/>
    </row>
    <row r="9410">
      <c r="BB9410" s="122"/>
      <c r="BC9410" s="141"/>
    </row>
    <row r="9411">
      <c r="BB9411" s="122"/>
      <c r="BC9411" s="141"/>
    </row>
    <row r="9412">
      <c r="BB9412" s="122"/>
      <c r="BC9412" s="141"/>
    </row>
    <row r="9413">
      <c r="BB9413" s="122"/>
      <c r="BC9413" s="141"/>
    </row>
    <row r="9414">
      <c r="BB9414" s="122"/>
      <c r="BC9414" s="141"/>
    </row>
    <row r="9415">
      <c r="BB9415" s="122"/>
      <c r="BC9415" s="141"/>
    </row>
    <row r="9416">
      <c r="BB9416" s="122"/>
      <c r="BC9416" s="141"/>
    </row>
    <row r="9417">
      <c r="BB9417" s="122"/>
      <c r="BC9417" s="141"/>
    </row>
    <row r="9418">
      <c r="BB9418" s="122"/>
      <c r="BC9418" s="141"/>
    </row>
    <row r="9419">
      <c r="BB9419" s="122"/>
      <c r="BC9419" s="141"/>
    </row>
    <row r="9420">
      <c r="BB9420" s="122"/>
      <c r="BC9420" s="141"/>
    </row>
    <row r="9421">
      <c r="BB9421" s="122"/>
      <c r="BC9421" s="141"/>
    </row>
    <row r="9422">
      <c r="BB9422" s="122"/>
      <c r="BC9422" s="141"/>
    </row>
    <row r="9423">
      <c r="BB9423" s="122"/>
      <c r="BC9423" s="141"/>
    </row>
    <row r="9424">
      <c r="BB9424" s="122"/>
      <c r="BC9424" s="141"/>
    </row>
    <row r="9425">
      <c r="BB9425" s="122"/>
      <c r="BC9425" s="141"/>
    </row>
    <row r="9426">
      <c r="BB9426" s="122"/>
      <c r="BC9426" s="141"/>
    </row>
    <row r="9427">
      <c r="BB9427" s="122"/>
      <c r="BC9427" s="141"/>
    </row>
    <row r="9428">
      <c r="BB9428" s="122"/>
      <c r="BC9428" s="141"/>
    </row>
    <row r="9429">
      <c r="BB9429" s="122"/>
      <c r="BC9429" s="141"/>
    </row>
    <row r="9430">
      <c r="BB9430" s="122"/>
      <c r="BC9430" s="141"/>
    </row>
    <row r="9431">
      <c r="BB9431" s="122"/>
      <c r="BC9431" s="141"/>
    </row>
    <row r="9432">
      <c r="BB9432" s="122"/>
      <c r="BC9432" s="141"/>
    </row>
    <row r="9433">
      <c r="BB9433" s="122"/>
      <c r="BC9433" s="141"/>
    </row>
    <row r="9434">
      <c r="BB9434" s="122"/>
      <c r="BC9434" s="141"/>
    </row>
    <row r="9435">
      <c r="BB9435" s="122"/>
      <c r="BC9435" s="141"/>
    </row>
    <row r="9436">
      <c r="BB9436" s="122"/>
      <c r="BC9436" s="141"/>
    </row>
    <row r="9437">
      <c r="BB9437" s="122"/>
      <c r="BC9437" s="141"/>
    </row>
    <row r="9438">
      <c r="BB9438" s="122"/>
      <c r="BC9438" s="141"/>
    </row>
    <row r="9439">
      <c r="BB9439" s="122"/>
      <c r="BC9439" s="141"/>
    </row>
    <row r="9440">
      <c r="BB9440" s="122"/>
      <c r="BC9440" s="141"/>
    </row>
    <row r="9441">
      <c r="BB9441" s="122"/>
      <c r="BC9441" s="141"/>
    </row>
    <row r="9442">
      <c r="BB9442" s="122"/>
      <c r="BC9442" s="141"/>
    </row>
    <row r="9443">
      <c r="BB9443" s="122"/>
      <c r="BC9443" s="141"/>
    </row>
    <row r="9444">
      <c r="BB9444" s="122"/>
      <c r="BC9444" s="141"/>
    </row>
    <row r="9445">
      <c r="BB9445" s="122"/>
      <c r="BC9445" s="141"/>
    </row>
    <row r="9446">
      <c r="BB9446" s="122"/>
      <c r="BC9446" s="141"/>
    </row>
    <row r="9447">
      <c r="BB9447" s="122"/>
      <c r="BC9447" s="141"/>
    </row>
    <row r="9448">
      <c r="BB9448" s="122"/>
      <c r="BC9448" s="141"/>
    </row>
    <row r="9449">
      <c r="BB9449" s="122"/>
      <c r="BC9449" s="141"/>
    </row>
    <row r="9450">
      <c r="BB9450" s="122"/>
      <c r="BC9450" s="141"/>
    </row>
    <row r="9451">
      <c r="BB9451" s="122"/>
      <c r="BC9451" s="141"/>
    </row>
    <row r="9452">
      <c r="BB9452" s="122"/>
      <c r="BC9452" s="141"/>
    </row>
    <row r="9453">
      <c r="BB9453" s="122"/>
      <c r="BC9453" s="141"/>
    </row>
    <row r="9454">
      <c r="BB9454" s="122"/>
      <c r="BC9454" s="141"/>
    </row>
    <row r="9455">
      <c r="BB9455" s="122"/>
      <c r="BC9455" s="141"/>
    </row>
    <row r="9456">
      <c r="BB9456" s="122"/>
      <c r="BC9456" s="141"/>
    </row>
    <row r="9457">
      <c r="BB9457" s="122"/>
      <c r="BC9457" s="141"/>
    </row>
    <row r="9458">
      <c r="BB9458" s="122"/>
      <c r="BC9458" s="141"/>
    </row>
    <row r="9459">
      <c r="BB9459" s="122"/>
      <c r="BC9459" s="141"/>
    </row>
    <row r="9460">
      <c r="BB9460" s="122"/>
      <c r="BC9460" s="141"/>
    </row>
    <row r="9461">
      <c r="BB9461" s="122"/>
      <c r="BC9461" s="141"/>
    </row>
    <row r="9462">
      <c r="BB9462" s="122"/>
      <c r="BC9462" s="141"/>
    </row>
    <row r="9463">
      <c r="BB9463" s="122"/>
      <c r="BC9463" s="141"/>
    </row>
    <row r="9464">
      <c r="BB9464" s="122"/>
      <c r="BC9464" s="141"/>
    </row>
    <row r="9465">
      <c r="BB9465" s="122"/>
      <c r="BC9465" s="141"/>
    </row>
    <row r="9466">
      <c r="BB9466" s="122"/>
      <c r="BC9466" s="141"/>
    </row>
    <row r="9467">
      <c r="BB9467" s="122"/>
      <c r="BC9467" s="141"/>
    </row>
    <row r="9468">
      <c r="BB9468" s="122"/>
      <c r="BC9468" s="141"/>
    </row>
    <row r="9469">
      <c r="BB9469" s="122"/>
      <c r="BC9469" s="141"/>
    </row>
    <row r="9470">
      <c r="BB9470" s="122"/>
      <c r="BC9470" s="141"/>
    </row>
    <row r="9471">
      <c r="BB9471" s="122"/>
      <c r="BC9471" s="141"/>
    </row>
    <row r="9472">
      <c r="BB9472" s="122"/>
      <c r="BC9472" s="141"/>
    </row>
    <row r="9473">
      <c r="BB9473" s="122"/>
      <c r="BC9473" s="141"/>
    </row>
    <row r="9474">
      <c r="BB9474" s="122"/>
      <c r="BC9474" s="141"/>
    </row>
    <row r="9475">
      <c r="BB9475" s="122"/>
      <c r="BC9475" s="141"/>
    </row>
    <row r="9476">
      <c r="BB9476" s="122"/>
      <c r="BC9476" s="141"/>
    </row>
    <row r="9477">
      <c r="BB9477" s="122"/>
      <c r="BC9477" s="141"/>
    </row>
    <row r="9478">
      <c r="BB9478" s="122"/>
      <c r="BC9478" s="141"/>
    </row>
    <row r="9479">
      <c r="BB9479" s="122"/>
      <c r="BC9479" s="141"/>
    </row>
    <row r="9480">
      <c r="BB9480" s="122"/>
      <c r="BC9480" s="141"/>
    </row>
    <row r="9481">
      <c r="BB9481" s="122"/>
      <c r="BC9481" s="141"/>
    </row>
    <row r="9482">
      <c r="BB9482" s="122"/>
      <c r="BC9482" s="141"/>
    </row>
    <row r="9483">
      <c r="BB9483" s="122"/>
      <c r="BC9483" s="141"/>
    </row>
    <row r="9484">
      <c r="BB9484" s="122"/>
      <c r="BC9484" s="141"/>
    </row>
    <row r="9485">
      <c r="BB9485" s="122"/>
      <c r="BC9485" s="141"/>
    </row>
    <row r="9486">
      <c r="BB9486" s="122"/>
      <c r="BC9486" s="141"/>
    </row>
    <row r="9487">
      <c r="BB9487" s="122"/>
      <c r="BC9487" s="141"/>
    </row>
    <row r="9488">
      <c r="BB9488" s="122"/>
      <c r="BC9488" s="141"/>
    </row>
    <row r="9489">
      <c r="BB9489" s="122"/>
      <c r="BC9489" s="141"/>
    </row>
    <row r="9490">
      <c r="BB9490" s="122"/>
      <c r="BC9490" s="141"/>
    </row>
    <row r="9491">
      <c r="BB9491" s="122"/>
      <c r="BC9491" s="141"/>
    </row>
    <row r="9492">
      <c r="BB9492" s="122"/>
      <c r="BC9492" s="141"/>
    </row>
    <row r="9493">
      <c r="BB9493" s="122"/>
      <c r="BC9493" s="141"/>
    </row>
    <row r="9494">
      <c r="BB9494" s="122"/>
      <c r="BC9494" s="141"/>
    </row>
    <row r="9495">
      <c r="BB9495" s="122"/>
      <c r="BC9495" s="141"/>
    </row>
    <row r="9496">
      <c r="BB9496" s="122"/>
      <c r="BC9496" s="141"/>
    </row>
    <row r="9497">
      <c r="BB9497" s="122"/>
      <c r="BC9497" s="141"/>
    </row>
    <row r="9498">
      <c r="BB9498" s="122"/>
      <c r="BC9498" s="141"/>
    </row>
    <row r="9499">
      <c r="BB9499" s="122"/>
      <c r="BC9499" s="141"/>
    </row>
    <row r="9500">
      <c r="BB9500" s="122"/>
      <c r="BC9500" s="141"/>
    </row>
    <row r="9501">
      <c r="BB9501" s="122"/>
      <c r="BC9501" s="141"/>
    </row>
    <row r="9502">
      <c r="BB9502" s="122"/>
      <c r="BC9502" s="141"/>
    </row>
    <row r="9503">
      <c r="BB9503" s="122"/>
      <c r="BC9503" s="141"/>
    </row>
    <row r="9504">
      <c r="BB9504" s="122"/>
      <c r="BC9504" s="141"/>
    </row>
    <row r="9505">
      <c r="BB9505" s="122"/>
      <c r="BC9505" s="141"/>
    </row>
    <row r="9506">
      <c r="BB9506" s="122"/>
      <c r="BC9506" s="141"/>
    </row>
    <row r="9507">
      <c r="BB9507" s="122"/>
      <c r="BC9507" s="141"/>
    </row>
    <row r="9508">
      <c r="BB9508" s="122"/>
      <c r="BC9508" s="141"/>
    </row>
    <row r="9509">
      <c r="BB9509" s="122"/>
      <c r="BC9509" s="141"/>
    </row>
    <row r="9510">
      <c r="BB9510" s="122"/>
      <c r="BC9510" s="141"/>
    </row>
    <row r="9511">
      <c r="BB9511" s="122"/>
      <c r="BC9511" s="141"/>
    </row>
    <row r="9512">
      <c r="BB9512" s="122"/>
      <c r="BC9512" s="141"/>
    </row>
    <row r="9513">
      <c r="BB9513" s="122"/>
      <c r="BC9513" s="141"/>
    </row>
    <row r="9514">
      <c r="BB9514" s="122"/>
      <c r="BC9514" s="141"/>
    </row>
    <row r="9515">
      <c r="BB9515" s="122"/>
      <c r="BC9515" s="141"/>
    </row>
    <row r="9516">
      <c r="BB9516" s="122"/>
      <c r="BC9516" s="141"/>
    </row>
    <row r="9517">
      <c r="BB9517" s="122"/>
      <c r="BC9517" s="141"/>
    </row>
    <row r="9518">
      <c r="BB9518" s="122"/>
      <c r="BC9518" s="141"/>
    </row>
    <row r="9519">
      <c r="BB9519" s="122"/>
      <c r="BC9519" s="141"/>
    </row>
    <row r="9520">
      <c r="BB9520" s="122"/>
      <c r="BC9520" s="141"/>
    </row>
    <row r="9521">
      <c r="BB9521" s="122"/>
      <c r="BC9521" s="141"/>
    </row>
    <row r="9522">
      <c r="BB9522" s="122"/>
      <c r="BC9522" s="141"/>
    </row>
    <row r="9523">
      <c r="BB9523" s="122"/>
      <c r="BC9523" s="141"/>
    </row>
    <row r="9524">
      <c r="BB9524" s="122"/>
      <c r="BC9524" s="141"/>
    </row>
    <row r="9525">
      <c r="BB9525" s="122"/>
      <c r="BC9525" s="141"/>
    </row>
    <row r="9526">
      <c r="BB9526" s="122"/>
      <c r="BC9526" s="141"/>
    </row>
    <row r="9527">
      <c r="BB9527" s="122"/>
      <c r="BC9527" s="141"/>
    </row>
    <row r="9528">
      <c r="BB9528" s="122"/>
      <c r="BC9528" s="141"/>
    </row>
    <row r="9529">
      <c r="BB9529" s="122"/>
      <c r="BC9529" s="141"/>
    </row>
    <row r="9530">
      <c r="BB9530" s="122"/>
      <c r="BC9530" s="141"/>
    </row>
    <row r="9531">
      <c r="BB9531" s="122"/>
      <c r="BC9531" s="141"/>
    </row>
    <row r="9532">
      <c r="BB9532" s="122"/>
      <c r="BC9532" s="141"/>
    </row>
    <row r="9533">
      <c r="BB9533" s="122"/>
      <c r="BC9533" s="141"/>
    </row>
    <row r="9534">
      <c r="BB9534" s="122"/>
      <c r="BC9534" s="141"/>
    </row>
    <row r="9535">
      <c r="BB9535" s="122"/>
      <c r="BC9535" s="141"/>
    </row>
    <row r="9536">
      <c r="BB9536" s="122"/>
      <c r="BC9536" s="141"/>
    </row>
    <row r="9537">
      <c r="BB9537" s="122"/>
      <c r="BC9537" s="141"/>
    </row>
    <row r="9538">
      <c r="BB9538" s="122"/>
      <c r="BC9538" s="141"/>
    </row>
    <row r="9539">
      <c r="BB9539" s="122"/>
      <c r="BC9539" s="141"/>
    </row>
    <row r="9540">
      <c r="BB9540" s="122"/>
      <c r="BC9540" s="141"/>
    </row>
    <row r="9541">
      <c r="BB9541" s="122"/>
      <c r="BC9541" s="141"/>
    </row>
    <row r="9542">
      <c r="BB9542" s="122"/>
      <c r="BC9542" s="141"/>
    </row>
    <row r="9543">
      <c r="BB9543" s="122"/>
      <c r="BC9543" s="141"/>
    </row>
    <row r="9544">
      <c r="BB9544" s="122"/>
      <c r="BC9544" s="141"/>
    </row>
    <row r="9545">
      <c r="BB9545" s="122"/>
      <c r="BC9545" s="141"/>
    </row>
    <row r="9546">
      <c r="BB9546" s="122"/>
      <c r="BC9546" s="141"/>
    </row>
    <row r="9547">
      <c r="BB9547" s="122"/>
      <c r="BC9547" s="141"/>
    </row>
    <row r="9548">
      <c r="BB9548" s="122"/>
      <c r="BC9548" s="141"/>
    </row>
    <row r="9549">
      <c r="BB9549" s="122"/>
      <c r="BC9549" s="141"/>
    </row>
    <row r="9550">
      <c r="BB9550" s="122"/>
      <c r="BC9550" s="141"/>
    </row>
    <row r="9551">
      <c r="BB9551" s="122"/>
      <c r="BC9551" s="141"/>
    </row>
    <row r="9552">
      <c r="BB9552" s="122"/>
      <c r="BC9552" s="141"/>
    </row>
    <row r="9553">
      <c r="BB9553" s="122"/>
      <c r="BC9553" s="141"/>
    </row>
    <row r="9554">
      <c r="BB9554" s="122"/>
      <c r="BC9554" s="141"/>
    </row>
    <row r="9555">
      <c r="BB9555" s="122"/>
      <c r="BC9555" s="141"/>
    </row>
    <row r="9556">
      <c r="BB9556" s="122"/>
      <c r="BC9556" s="141"/>
    </row>
    <row r="9557">
      <c r="BB9557" s="122"/>
      <c r="BC9557" s="141"/>
    </row>
    <row r="9558">
      <c r="BB9558" s="122"/>
      <c r="BC9558" s="141"/>
    </row>
    <row r="9559">
      <c r="BB9559" s="122"/>
      <c r="BC9559" s="141"/>
    </row>
    <row r="9560">
      <c r="BB9560" s="122"/>
      <c r="BC9560" s="141"/>
    </row>
    <row r="9561">
      <c r="BB9561" s="122"/>
      <c r="BC9561" s="141"/>
    </row>
    <row r="9562">
      <c r="BB9562" s="122"/>
      <c r="BC9562" s="141"/>
    </row>
    <row r="9563">
      <c r="BB9563" s="122"/>
      <c r="BC9563" s="141"/>
    </row>
    <row r="9564">
      <c r="BB9564" s="122"/>
      <c r="BC9564" s="141"/>
    </row>
    <row r="9565">
      <c r="BB9565" s="122"/>
      <c r="BC9565" s="141"/>
    </row>
    <row r="9566">
      <c r="BB9566" s="122"/>
      <c r="BC9566" s="141"/>
    </row>
    <row r="9567">
      <c r="BB9567" s="122"/>
      <c r="BC9567" s="141"/>
    </row>
    <row r="9568">
      <c r="BB9568" s="122"/>
      <c r="BC9568" s="141"/>
    </row>
    <row r="9569">
      <c r="BB9569" s="122"/>
      <c r="BC9569" s="141"/>
    </row>
    <row r="9570">
      <c r="BB9570" s="122"/>
      <c r="BC9570" s="141"/>
    </row>
    <row r="9571">
      <c r="BB9571" s="122"/>
      <c r="BC9571" s="141"/>
    </row>
    <row r="9572">
      <c r="BB9572" s="122"/>
      <c r="BC9572" s="141"/>
    </row>
    <row r="9573">
      <c r="BB9573" s="122"/>
      <c r="BC9573" s="141"/>
    </row>
    <row r="9574">
      <c r="BB9574" s="122"/>
      <c r="BC9574" s="141"/>
    </row>
    <row r="9575">
      <c r="BB9575" s="122"/>
      <c r="BC9575" s="141"/>
    </row>
    <row r="9576">
      <c r="BB9576" s="122"/>
      <c r="BC9576" s="141"/>
    </row>
    <row r="9577">
      <c r="BB9577" s="122"/>
      <c r="BC9577" s="141"/>
    </row>
    <row r="9578">
      <c r="BB9578" s="122"/>
      <c r="BC9578" s="141"/>
    </row>
    <row r="9579">
      <c r="BB9579" s="122"/>
      <c r="BC9579" s="141"/>
    </row>
    <row r="9580">
      <c r="BB9580" s="122"/>
      <c r="BC9580" s="141"/>
    </row>
    <row r="9581">
      <c r="BB9581" s="122"/>
      <c r="BC9581" s="141"/>
    </row>
    <row r="9582">
      <c r="BB9582" s="122"/>
      <c r="BC9582" s="141"/>
    </row>
    <row r="9583">
      <c r="BB9583" s="122"/>
      <c r="BC9583" s="141"/>
    </row>
    <row r="9584">
      <c r="BB9584" s="122"/>
      <c r="BC9584" s="141"/>
    </row>
    <row r="9585">
      <c r="BB9585" s="122"/>
      <c r="BC9585" s="141"/>
    </row>
    <row r="9586">
      <c r="BB9586" s="122"/>
      <c r="BC9586" s="141"/>
    </row>
    <row r="9587">
      <c r="BB9587" s="122"/>
      <c r="BC9587" s="141"/>
    </row>
    <row r="9588">
      <c r="BB9588" s="122"/>
      <c r="BC9588" s="141"/>
    </row>
    <row r="9589">
      <c r="BB9589" s="122"/>
      <c r="BC9589" s="141"/>
    </row>
    <row r="9590">
      <c r="BB9590" s="122"/>
      <c r="BC9590" s="141"/>
    </row>
    <row r="9591">
      <c r="BB9591" s="122"/>
      <c r="BC9591" s="141"/>
    </row>
    <row r="9592">
      <c r="BB9592" s="122"/>
      <c r="BC9592" s="141"/>
    </row>
    <row r="9593">
      <c r="BB9593" s="122"/>
      <c r="BC9593" s="141"/>
    </row>
    <row r="9594">
      <c r="BB9594" s="122"/>
      <c r="BC9594" s="141"/>
    </row>
    <row r="9595">
      <c r="BB9595" s="122"/>
      <c r="BC9595" s="141"/>
    </row>
    <row r="9596">
      <c r="BB9596" s="122"/>
      <c r="BC9596" s="141"/>
    </row>
    <row r="9597">
      <c r="BB9597" s="122"/>
      <c r="BC9597" s="141"/>
    </row>
    <row r="9598">
      <c r="BB9598" s="122"/>
      <c r="BC9598" s="141"/>
    </row>
    <row r="9599">
      <c r="BB9599" s="122"/>
      <c r="BC9599" s="141"/>
    </row>
    <row r="9600">
      <c r="BB9600" s="122"/>
      <c r="BC9600" s="141"/>
    </row>
    <row r="9601">
      <c r="BB9601" s="122"/>
      <c r="BC9601" s="141"/>
    </row>
    <row r="9602">
      <c r="BB9602" s="122"/>
      <c r="BC9602" s="141"/>
    </row>
    <row r="9603">
      <c r="BB9603" s="122"/>
      <c r="BC9603" s="141"/>
    </row>
    <row r="9604">
      <c r="BB9604" s="122"/>
      <c r="BC9604" s="141"/>
    </row>
    <row r="9605">
      <c r="BB9605" s="122"/>
      <c r="BC9605" s="141"/>
    </row>
    <row r="9606">
      <c r="BB9606" s="122"/>
      <c r="BC9606" s="141"/>
    </row>
    <row r="9607">
      <c r="BB9607" s="122"/>
      <c r="BC9607" s="141"/>
    </row>
    <row r="9608">
      <c r="BB9608" s="122"/>
      <c r="BC9608" s="141"/>
    </row>
    <row r="9609">
      <c r="BB9609" s="122"/>
      <c r="BC9609" s="141"/>
    </row>
    <row r="9610">
      <c r="BB9610" s="122"/>
      <c r="BC9610" s="141"/>
    </row>
    <row r="9611">
      <c r="BB9611" s="122"/>
      <c r="BC9611" s="141"/>
    </row>
    <row r="9612">
      <c r="BB9612" s="122"/>
      <c r="BC9612" s="141"/>
    </row>
    <row r="9613">
      <c r="BB9613" s="122"/>
      <c r="BC9613" s="141"/>
    </row>
    <row r="9614">
      <c r="BB9614" s="122"/>
      <c r="BC9614" s="141"/>
    </row>
    <row r="9615">
      <c r="BB9615" s="122"/>
      <c r="BC9615" s="141"/>
    </row>
    <row r="9616">
      <c r="BB9616" s="122"/>
      <c r="BC9616" s="141"/>
    </row>
    <row r="9617">
      <c r="BB9617" s="122"/>
      <c r="BC9617" s="141"/>
    </row>
    <row r="9618">
      <c r="BB9618" s="122"/>
      <c r="BC9618" s="141"/>
    </row>
    <row r="9619">
      <c r="BB9619" s="122"/>
      <c r="BC9619" s="141"/>
    </row>
    <row r="9620">
      <c r="BB9620" s="122"/>
      <c r="BC9620" s="141"/>
    </row>
    <row r="9621">
      <c r="BB9621" s="122"/>
      <c r="BC9621" s="141"/>
    </row>
    <row r="9622">
      <c r="BB9622" s="122"/>
      <c r="BC9622" s="141"/>
    </row>
    <row r="9623">
      <c r="BB9623" s="122"/>
      <c r="BC9623" s="141"/>
    </row>
    <row r="9624">
      <c r="BB9624" s="122"/>
      <c r="BC9624" s="141"/>
    </row>
    <row r="9625">
      <c r="BB9625" s="122"/>
      <c r="BC9625" s="141"/>
    </row>
    <row r="9626">
      <c r="BB9626" s="122"/>
      <c r="BC9626" s="141"/>
    </row>
    <row r="9627">
      <c r="BB9627" s="122"/>
      <c r="BC9627" s="141"/>
    </row>
    <row r="9628">
      <c r="BB9628" s="122"/>
      <c r="BC9628" s="141"/>
    </row>
    <row r="9629">
      <c r="BB9629" s="122"/>
      <c r="BC9629" s="141"/>
    </row>
    <row r="9630">
      <c r="BB9630" s="122"/>
      <c r="BC9630" s="141"/>
    </row>
    <row r="9631">
      <c r="BB9631" s="122"/>
      <c r="BC9631" s="141"/>
    </row>
    <row r="9632">
      <c r="BB9632" s="122"/>
      <c r="BC9632" s="141"/>
    </row>
    <row r="9633">
      <c r="BB9633" s="122"/>
      <c r="BC9633" s="141"/>
    </row>
    <row r="9634">
      <c r="BB9634" s="122"/>
      <c r="BC9634" s="141"/>
    </row>
    <row r="9635">
      <c r="BB9635" s="122"/>
      <c r="BC9635" s="141"/>
    </row>
    <row r="9636">
      <c r="BB9636" s="122"/>
      <c r="BC9636" s="141"/>
    </row>
    <row r="9637">
      <c r="BB9637" s="122"/>
      <c r="BC9637" s="141"/>
    </row>
    <row r="9638">
      <c r="BB9638" s="122"/>
      <c r="BC9638" s="141"/>
    </row>
    <row r="9639">
      <c r="BB9639" s="122"/>
      <c r="BC9639" s="141"/>
    </row>
    <row r="9640">
      <c r="BB9640" s="122"/>
      <c r="BC9640" s="141"/>
    </row>
    <row r="9641">
      <c r="BB9641" s="122"/>
      <c r="BC9641" s="141"/>
    </row>
    <row r="9642">
      <c r="BB9642" s="122"/>
      <c r="BC9642" s="141"/>
    </row>
    <row r="9643">
      <c r="BB9643" s="122"/>
      <c r="BC9643" s="141"/>
    </row>
    <row r="9644">
      <c r="BB9644" s="122"/>
      <c r="BC9644" s="141"/>
    </row>
    <row r="9645">
      <c r="BB9645" s="122"/>
      <c r="BC9645" s="141"/>
    </row>
    <row r="9646">
      <c r="BB9646" s="122"/>
      <c r="BC9646" s="141"/>
    </row>
    <row r="9647">
      <c r="BB9647" s="122"/>
      <c r="BC9647" s="141"/>
    </row>
    <row r="9648">
      <c r="BB9648" s="122"/>
      <c r="BC9648" s="141"/>
    </row>
    <row r="9649">
      <c r="BB9649" s="122"/>
      <c r="BC9649" s="141"/>
    </row>
    <row r="9650">
      <c r="BB9650" s="122"/>
      <c r="BC9650" s="141"/>
    </row>
    <row r="9651">
      <c r="BB9651" s="122"/>
      <c r="BC9651" s="141"/>
    </row>
    <row r="9652">
      <c r="BB9652" s="122"/>
      <c r="BC9652" s="141"/>
    </row>
    <row r="9653">
      <c r="BB9653" s="122"/>
      <c r="BC9653" s="141"/>
    </row>
    <row r="9654">
      <c r="BB9654" s="122"/>
      <c r="BC9654" s="141"/>
    </row>
    <row r="9655">
      <c r="BB9655" s="122"/>
      <c r="BC9655" s="141"/>
    </row>
    <row r="9656">
      <c r="BB9656" s="122"/>
      <c r="BC9656" s="141"/>
    </row>
    <row r="9657">
      <c r="BB9657" s="122"/>
      <c r="BC9657" s="141"/>
    </row>
    <row r="9658">
      <c r="BB9658" s="122"/>
      <c r="BC9658" s="141"/>
    </row>
    <row r="9659">
      <c r="BB9659" s="122"/>
      <c r="BC9659" s="141"/>
    </row>
    <row r="9660">
      <c r="BB9660" s="122"/>
      <c r="BC9660" s="141"/>
    </row>
    <row r="9661">
      <c r="BB9661" s="122"/>
      <c r="BC9661" s="141"/>
    </row>
    <row r="9662">
      <c r="BB9662" s="122"/>
      <c r="BC9662" s="141"/>
    </row>
    <row r="9663">
      <c r="BB9663" s="122"/>
      <c r="BC9663" s="141"/>
    </row>
    <row r="9664">
      <c r="BB9664" s="122"/>
      <c r="BC9664" s="141"/>
    </row>
    <row r="9665">
      <c r="BB9665" s="122"/>
      <c r="BC9665" s="141"/>
    </row>
    <row r="9666">
      <c r="BB9666" s="122"/>
      <c r="BC9666" s="141"/>
    </row>
    <row r="9667">
      <c r="BB9667" s="122"/>
      <c r="BC9667" s="141"/>
    </row>
    <row r="9668">
      <c r="BB9668" s="122"/>
      <c r="BC9668" s="141"/>
    </row>
    <row r="9669">
      <c r="BB9669" s="122"/>
      <c r="BC9669" s="141"/>
    </row>
    <row r="9670">
      <c r="BB9670" s="122"/>
      <c r="BC9670" s="141"/>
    </row>
    <row r="9671">
      <c r="BB9671" s="122"/>
      <c r="BC9671" s="141"/>
    </row>
    <row r="9672">
      <c r="BB9672" s="122"/>
      <c r="BC9672" s="141"/>
    </row>
    <row r="9673">
      <c r="BB9673" s="122"/>
      <c r="BC9673" s="141"/>
    </row>
    <row r="9674">
      <c r="BB9674" s="122"/>
      <c r="BC9674" s="141"/>
    </row>
    <row r="9675">
      <c r="BB9675" s="122"/>
      <c r="BC9675" s="141"/>
    </row>
    <row r="9676">
      <c r="BB9676" s="122"/>
      <c r="BC9676" s="141"/>
    </row>
    <row r="9677">
      <c r="BB9677" s="122"/>
      <c r="BC9677" s="141"/>
    </row>
    <row r="9678">
      <c r="BB9678" s="122"/>
      <c r="BC9678" s="141"/>
    </row>
    <row r="9679">
      <c r="BB9679" s="122"/>
      <c r="BC9679" s="141"/>
    </row>
    <row r="9680">
      <c r="BB9680" s="122"/>
      <c r="BC9680" s="141"/>
    </row>
    <row r="9681">
      <c r="BB9681" s="122"/>
      <c r="BC9681" s="141"/>
    </row>
    <row r="9682">
      <c r="BB9682" s="122"/>
      <c r="BC9682" s="141"/>
    </row>
    <row r="9683">
      <c r="BB9683" s="122"/>
      <c r="BC9683" s="141"/>
    </row>
    <row r="9684">
      <c r="BB9684" s="122"/>
      <c r="BC9684" s="141"/>
    </row>
    <row r="9685">
      <c r="BB9685" s="122"/>
      <c r="BC9685" s="141"/>
    </row>
    <row r="9686">
      <c r="BB9686" s="122"/>
      <c r="BC9686" s="141"/>
    </row>
    <row r="9687">
      <c r="BB9687" s="122"/>
      <c r="BC9687" s="141"/>
    </row>
    <row r="9688">
      <c r="BB9688" s="122"/>
      <c r="BC9688" s="141"/>
    </row>
    <row r="9689">
      <c r="BB9689" s="122"/>
      <c r="BC9689" s="141"/>
    </row>
    <row r="9690">
      <c r="BB9690" s="122"/>
      <c r="BC9690" s="141"/>
    </row>
    <row r="9691">
      <c r="BB9691" s="122"/>
      <c r="BC9691" s="141"/>
    </row>
    <row r="9692">
      <c r="BB9692" s="122"/>
      <c r="BC9692" s="141"/>
    </row>
    <row r="9693">
      <c r="BB9693" s="122"/>
      <c r="BC9693" s="141"/>
    </row>
    <row r="9694">
      <c r="BB9694" s="122"/>
      <c r="BC9694" s="141"/>
    </row>
    <row r="9695">
      <c r="BB9695" s="122"/>
      <c r="BC9695" s="141"/>
    </row>
    <row r="9696">
      <c r="BB9696" s="122"/>
      <c r="BC9696" s="141"/>
    </row>
    <row r="9697">
      <c r="BB9697" s="122"/>
      <c r="BC9697" s="141"/>
    </row>
    <row r="9698">
      <c r="BB9698" s="122"/>
      <c r="BC9698" s="141"/>
    </row>
    <row r="9699">
      <c r="BB9699" s="122"/>
      <c r="BC9699" s="141"/>
    </row>
    <row r="9700">
      <c r="BB9700" s="122"/>
      <c r="BC9700" s="141"/>
    </row>
    <row r="9701">
      <c r="BB9701" s="122"/>
      <c r="BC9701" s="141"/>
    </row>
    <row r="9702">
      <c r="BB9702" s="122"/>
      <c r="BC9702" s="141"/>
    </row>
    <row r="9703">
      <c r="BB9703" s="122"/>
      <c r="BC9703" s="141"/>
    </row>
    <row r="9704">
      <c r="BB9704" s="122"/>
      <c r="BC9704" s="141"/>
    </row>
    <row r="9705">
      <c r="BB9705" s="122"/>
      <c r="BC9705" s="141"/>
    </row>
    <row r="9706">
      <c r="BB9706" s="122"/>
      <c r="BC9706" s="141"/>
    </row>
    <row r="9707">
      <c r="BB9707" s="122"/>
      <c r="BC9707" s="141"/>
    </row>
    <row r="9708">
      <c r="BB9708" s="122"/>
      <c r="BC9708" s="141"/>
    </row>
    <row r="9709">
      <c r="BB9709" s="122"/>
      <c r="BC9709" s="141"/>
    </row>
    <row r="9710">
      <c r="BB9710" s="122"/>
      <c r="BC9710" s="141"/>
    </row>
    <row r="9711">
      <c r="BB9711" s="122"/>
      <c r="BC9711" s="141"/>
    </row>
    <row r="9712">
      <c r="BB9712" s="122"/>
      <c r="BC9712" s="141"/>
    </row>
    <row r="9713">
      <c r="BB9713" s="122"/>
      <c r="BC9713" s="141"/>
    </row>
    <row r="9714">
      <c r="BB9714" s="122"/>
      <c r="BC9714" s="141"/>
    </row>
    <row r="9715">
      <c r="BB9715" s="122"/>
      <c r="BC9715" s="141"/>
    </row>
    <row r="9716">
      <c r="BB9716" s="122"/>
      <c r="BC9716" s="141"/>
    </row>
    <row r="9717">
      <c r="BB9717" s="122"/>
      <c r="BC9717" s="141"/>
    </row>
    <row r="9718">
      <c r="BB9718" s="122"/>
      <c r="BC9718" s="141"/>
    </row>
    <row r="9719">
      <c r="BB9719" s="122"/>
      <c r="BC9719" s="141"/>
    </row>
    <row r="9720">
      <c r="BB9720" s="122"/>
      <c r="BC9720" s="141"/>
    </row>
    <row r="9721">
      <c r="BB9721" s="122"/>
      <c r="BC9721" s="141"/>
    </row>
    <row r="9722">
      <c r="BB9722" s="122"/>
      <c r="BC9722" s="141"/>
    </row>
    <row r="9723">
      <c r="BB9723" s="122"/>
      <c r="BC9723" s="141"/>
    </row>
    <row r="9724">
      <c r="BB9724" s="122"/>
      <c r="BC9724" s="141"/>
    </row>
    <row r="9725">
      <c r="BB9725" s="122"/>
      <c r="BC9725" s="141"/>
    </row>
    <row r="9726">
      <c r="BB9726" s="122"/>
      <c r="BC9726" s="141"/>
    </row>
    <row r="9727">
      <c r="BB9727" s="122"/>
      <c r="BC9727" s="141"/>
    </row>
    <row r="9728">
      <c r="BB9728" s="122"/>
      <c r="BC9728" s="141"/>
    </row>
    <row r="9729">
      <c r="BB9729" s="122"/>
      <c r="BC9729" s="141"/>
    </row>
    <row r="9730">
      <c r="BB9730" s="122"/>
      <c r="BC9730" s="141"/>
    </row>
    <row r="9731">
      <c r="BB9731" s="122"/>
      <c r="BC9731" s="141"/>
    </row>
    <row r="9732">
      <c r="BB9732" s="122"/>
      <c r="BC9732" s="141"/>
    </row>
    <row r="9733">
      <c r="BB9733" s="122"/>
      <c r="BC9733" s="141"/>
    </row>
    <row r="9734">
      <c r="BB9734" s="122"/>
      <c r="BC9734" s="141"/>
    </row>
    <row r="9735">
      <c r="BB9735" s="122"/>
      <c r="BC9735" s="141"/>
    </row>
    <row r="9736">
      <c r="BB9736" s="122"/>
      <c r="BC9736" s="141"/>
    </row>
    <row r="9737">
      <c r="BB9737" s="122"/>
      <c r="BC9737" s="141"/>
    </row>
    <row r="9738">
      <c r="BB9738" s="122"/>
      <c r="BC9738" s="141"/>
    </row>
    <row r="9739">
      <c r="BB9739" s="122"/>
      <c r="BC9739" s="141"/>
    </row>
    <row r="9740">
      <c r="BB9740" s="122"/>
      <c r="BC9740" s="141"/>
    </row>
    <row r="9741">
      <c r="BB9741" s="122"/>
      <c r="BC9741" s="141"/>
    </row>
    <row r="9742">
      <c r="BB9742" s="122"/>
      <c r="BC9742" s="141"/>
    </row>
    <row r="9743">
      <c r="BB9743" s="122"/>
      <c r="BC9743" s="141"/>
    </row>
    <row r="9744">
      <c r="BB9744" s="122"/>
      <c r="BC9744" s="141"/>
    </row>
    <row r="9745">
      <c r="BB9745" s="122"/>
      <c r="BC9745" s="141"/>
    </row>
    <row r="9746">
      <c r="BB9746" s="122"/>
      <c r="BC9746" s="141"/>
    </row>
    <row r="9747">
      <c r="BB9747" s="122"/>
      <c r="BC9747" s="141"/>
    </row>
    <row r="9748">
      <c r="BB9748" s="122"/>
      <c r="BC9748" s="141"/>
    </row>
    <row r="9749">
      <c r="BB9749" s="122"/>
      <c r="BC9749" s="141"/>
    </row>
    <row r="9750">
      <c r="BB9750" s="122"/>
      <c r="BC9750" s="141"/>
    </row>
    <row r="9751">
      <c r="BB9751" s="122"/>
      <c r="BC9751" s="141"/>
    </row>
    <row r="9752">
      <c r="BB9752" s="122"/>
      <c r="BC9752" s="141"/>
    </row>
    <row r="9753">
      <c r="BB9753" s="122"/>
      <c r="BC9753" s="141"/>
    </row>
    <row r="9754">
      <c r="BB9754" s="122"/>
      <c r="BC9754" s="141"/>
    </row>
    <row r="9755">
      <c r="BB9755" s="122"/>
      <c r="BC9755" s="141"/>
    </row>
    <row r="9756">
      <c r="BB9756" s="122"/>
      <c r="BC9756" s="141"/>
    </row>
    <row r="9757">
      <c r="BB9757" s="122"/>
      <c r="BC9757" s="141"/>
    </row>
    <row r="9758">
      <c r="BB9758" s="122"/>
      <c r="BC9758" s="141"/>
    </row>
    <row r="9759">
      <c r="BB9759" s="122"/>
      <c r="BC9759" s="141"/>
    </row>
    <row r="9760">
      <c r="BB9760" s="122"/>
      <c r="BC9760" s="141"/>
    </row>
    <row r="9761">
      <c r="BB9761" s="122"/>
      <c r="BC9761" s="141"/>
    </row>
    <row r="9762">
      <c r="BB9762" s="122"/>
      <c r="BC9762" s="141"/>
    </row>
    <row r="9763">
      <c r="BB9763" s="122"/>
      <c r="BC9763" s="141"/>
    </row>
    <row r="9764">
      <c r="BB9764" s="122"/>
      <c r="BC9764" s="141"/>
    </row>
    <row r="9765">
      <c r="BB9765" s="122"/>
      <c r="BC9765" s="141"/>
    </row>
    <row r="9766">
      <c r="BB9766" s="122"/>
      <c r="BC9766" s="141"/>
    </row>
    <row r="9767">
      <c r="BB9767" s="122"/>
      <c r="BC9767" s="141"/>
    </row>
    <row r="9768">
      <c r="BB9768" s="122"/>
      <c r="BC9768" s="141"/>
    </row>
    <row r="9769">
      <c r="BB9769" s="122"/>
      <c r="BC9769" s="141"/>
    </row>
    <row r="9770">
      <c r="BB9770" s="122"/>
      <c r="BC9770" s="141"/>
    </row>
    <row r="9771">
      <c r="BB9771" s="122"/>
      <c r="BC9771" s="141"/>
    </row>
    <row r="9772">
      <c r="BB9772" s="122"/>
      <c r="BC9772" s="141"/>
    </row>
    <row r="9773">
      <c r="BB9773" s="122"/>
      <c r="BC9773" s="141"/>
    </row>
    <row r="9774">
      <c r="BB9774" s="122"/>
      <c r="BC9774" s="141"/>
    </row>
    <row r="9775">
      <c r="BB9775" s="122"/>
      <c r="BC9775" s="141"/>
    </row>
    <row r="9776">
      <c r="BB9776" s="122"/>
      <c r="BC9776" s="141"/>
    </row>
    <row r="9777">
      <c r="BB9777" s="122"/>
      <c r="BC9777" s="141"/>
    </row>
    <row r="9778">
      <c r="BB9778" s="122"/>
      <c r="BC9778" s="141"/>
    </row>
    <row r="9779">
      <c r="BB9779" s="122"/>
      <c r="BC9779" s="141"/>
    </row>
    <row r="9780">
      <c r="BB9780" s="122"/>
      <c r="BC9780" s="141"/>
    </row>
    <row r="9781">
      <c r="BB9781" s="122"/>
      <c r="BC9781" s="141"/>
    </row>
    <row r="9782">
      <c r="BB9782" s="122"/>
      <c r="BC9782" s="141"/>
    </row>
    <row r="9783">
      <c r="BB9783" s="122"/>
      <c r="BC9783" s="141"/>
    </row>
    <row r="9784">
      <c r="BB9784" s="122"/>
      <c r="BC9784" s="141"/>
    </row>
    <row r="9785">
      <c r="BB9785" s="122"/>
      <c r="BC9785" s="141"/>
    </row>
    <row r="9786">
      <c r="BB9786" s="122"/>
      <c r="BC9786" s="141"/>
    </row>
    <row r="9787">
      <c r="BB9787" s="122"/>
      <c r="BC9787" s="141"/>
    </row>
    <row r="9788">
      <c r="BB9788" s="122"/>
      <c r="BC9788" s="141"/>
    </row>
    <row r="9789">
      <c r="BB9789" s="122"/>
      <c r="BC9789" s="141"/>
    </row>
    <row r="9790">
      <c r="BB9790" s="122"/>
      <c r="BC9790" s="141"/>
    </row>
    <row r="9791">
      <c r="BB9791" s="122"/>
      <c r="BC9791" s="141"/>
    </row>
    <row r="9792">
      <c r="BB9792" s="122"/>
      <c r="BC9792" s="141"/>
    </row>
    <row r="9793">
      <c r="BB9793" s="122"/>
      <c r="BC9793" s="141"/>
    </row>
    <row r="9794">
      <c r="BB9794" s="122"/>
      <c r="BC9794" s="141"/>
    </row>
    <row r="9795">
      <c r="BB9795" s="122"/>
      <c r="BC9795" s="141"/>
    </row>
    <row r="9796">
      <c r="BB9796" s="122"/>
      <c r="BC9796" s="141"/>
    </row>
    <row r="9797">
      <c r="BB9797" s="122"/>
      <c r="BC9797" s="141"/>
    </row>
    <row r="9798">
      <c r="BB9798" s="122"/>
      <c r="BC9798" s="141"/>
    </row>
    <row r="9799">
      <c r="BB9799" s="122"/>
      <c r="BC9799" s="141"/>
    </row>
    <row r="9800">
      <c r="BB9800" s="122"/>
      <c r="BC9800" s="141"/>
    </row>
    <row r="9801">
      <c r="BB9801" s="122"/>
      <c r="BC9801" s="141"/>
    </row>
    <row r="9802">
      <c r="BB9802" s="122"/>
      <c r="BC9802" s="141"/>
    </row>
    <row r="9803">
      <c r="BB9803" s="122"/>
      <c r="BC9803" s="141"/>
    </row>
    <row r="9804">
      <c r="BB9804" s="122"/>
      <c r="BC9804" s="141"/>
    </row>
    <row r="9805">
      <c r="BB9805" s="122"/>
      <c r="BC9805" s="141"/>
    </row>
    <row r="9806">
      <c r="BB9806" s="122"/>
      <c r="BC9806" s="141"/>
    </row>
    <row r="9807">
      <c r="BB9807" s="122"/>
      <c r="BC9807" s="141"/>
    </row>
    <row r="9808">
      <c r="BB9808" s="122"/>
      <c r="BC9808" s="141"/>
    </row>
    <row r="9809">
      <c r="BB9809" s="122"/>
      <c r="BC9809" s="141"/>
    </row>
    <row r="9810">
      <c r="BB9810" s="122"/>
      <c r="BC9810" s="141"/>
    </row>
    <row r="9811">
      <c r="BB9811" s="122"/>
      <c r="BC9811" s="141"/>
    </row>
    <row r="9812">
      <c r="BB9812" s="122"/>
      <c r="BC9812" s="141"/>
    </row>
    <row r="9813">
      <c r="BB9813" s="122"/>
      <c r="BC9813" s="141"/>
    </row>
    <row r="9814">
      <c r="BB9814" s="122"/>
      <c r="BC9814" s="141"/>
    </row>
    <row r="9815">
      <c r="BB9815" s="122"/>
      <c r="BC9815" s="141"/>
    </row>
    <row r="9816">
      <c r="BB9816" s="122"/>
      <c r="BC9816" s="141"/>
    </row>
    <row r="9817">
      <c r="BB9817" s="122"/>
      <c r="BC9817" s="141"/>
    </row>
    <row r="9818">
      <c r="BB9818" s="122"/>
      <c r="BC9818" s="141"/>
    </row>
    <row r="9819">
      <c r="BB9819" s="122"/>
      <c r="BC9819" s="141"/>
    </row>
    <row r="9820">
      <c r="BB9820" s="122"/>
      <c r="BC9820" s="141"/>
    </row>
    <row r="9821">
      <c r="BB9821" s="122"/>
      <c r="BC9821" s="141"/>
    </row>
    <row r="9822">
      <c r="BB9822" s="122"/>
      <c r="BC9822" s="141"/>
    </row>
    <row r="9823">
      <c r="BB9823" s="122"/>
      <c r="BC9823" s="141"/>
    </row>
    <row r="9824">
      <c r="BB9824" s="122"/>
      <c r="BC9824" s="141"/>
    </row>
    <row r="9825">
      <c r="BB9825" s="122"/>
      <c r="BC9825" s="141"/>
    </row>
    <row r="9826">
      <c r="BB9826" s="122"/>
      <c r="BC9826" s="141"/>
    </row>
    <row r="9827">
      <c r="BB9827" s="122"/>
      <c r="BC9827" s="141"/>
    </row>
    <row r="9828">
      <c r="BB9828" s="122"/>
      <c r="BC9828" s="141"/>
    </row>
    <row r="9829">
      <c r="BB9829" s="122"/>
      <c r="BC9829" s="141"/>
    </row>
    <row r="9830">
      <c r="BB9830" s="122"/>
      <c r="BC9830" s="141"/>
    </row>
    <row r="9831">
      <c r="BB9831" s="122"/>
      <c r="BC9831" s="141"/>
    </row>
    <row r="9832">
      <c r="BB9832" s="122"/>
      <c r="BC9832" s="141"/>
    </row>
    <row r="9833">
      <c r="BB9833" s="122"/>
      <c r="BC9833" s="141"/>
    </row>
    <row r="9834">
      <c r="BB9834" s="122"/>
      <c r="BC9834" s="141"/>
    </row>
    <row r="9835">
      <c r="BB9835" s="122"/>
      <c r="BC9835" s="141"/>
    </row>
    <row r="9836">
      <c r="BB9836" s="122"/>
      <c r="BC9836" s="141"/>
    </row>
    <row r="9837">
      <c r="BB9837" s="122"/>
      <c r="BC9837" s="141"/>
    </row>
    <row r="9838">
      <c r="BB9838" s="122"/>
      <c r="BC9838" s="141"/>
    </row>
    <row r="9839">
      <c r="BB9839" s="122"/>
      <c r="BC9839" s="141"/>
    </row>
    <row r="9840">
      <c r="BB9840" s="122"/>
      <c r="BC9840" s="141"/>
    </row>
    <row r="9841">
      <c r="BB9841" s="122"/>
      <c r="BC9841" s="141"/>
    </row>
    <row r="9842">
      <c r="BB9842" s="122"/>
      <c r="BC9842" s="141"/>
    </row>
    <row r="9843">
      <c r="BB9843" s="122"/>
      <c r="BC9843" s="141"/>
    </row>
    <row r="9844">
      <c r="BB9844" s="122"/>
      <c r="BC9844" s="141"/>
    </row>
    <row r="9845">
      <c r="BB9845" s="122"/>
      <c r="BC9845" s="141"/>
    </row>
    <row r="9846">
      <c r="BB9846" s="122"/>
      <c r="BC9846" s="141"/>
    </row>
    <row r="9847">
      <c r="BB9847" s="122"/>
      <c r="BC9847" s="141"/>
    </row>
    <row r="9848">
      <c r="BB9848" s="122"/>
      <c r="BC9848" s="141"/>
    </row>
    <row r="9849">
      <c r="BB9849" s="122"/>
      <c r="BC9849" s="141"/>
    </row>
    <row r="9850">
      <c r="BB9850" s="122"/>
      <c r="BC9850" s="141"/>
    </row>
    <row r="9851">
      <c r="BB9851" s="122"/>
      <c r="BC9851" s="141"/>
    </row>
    <row r="9852">
      <c r="BB9852" s="122"/>
      <c r="BC9852" s="141"/>
    </row>
    <row r="9853">
      <c r="BB9853" s="122"/>
      <c r="BC9853" s="141"/>
    </row>
    <row r="9854">
      <c r="BB9854" s="122"/>
      <c r="BC9854" s="141"/>
    </row>
    <row r="9855">
      <c r="BB9855" s="122"/>
      <c r="BC9855" s="141"/>
    </row>
    <row r="9856">
      <c r="BB9856" s="122"/>
      <c r="BC9856" s="141"/>
    </row>
    <row r="9857">
      <c r="BB9857" s="122"/>
      <c r="BC9857" s="141"/>
    </row>
    <row r="9858">
      <c r="BB9858" s="122"/>
      <c r="BC9858" s="141"/>
    </row>
    <row r="9859">
      <c r="BB9859" s="122"/>
      <c r="BC9859" s="141"/>
    </row>
    <row r="9860">
      <c r="BB9860" s="122"/>
      <c r="BC9860" s="141"/>
    </row>
    <row r="9861">
      <c r="BB9861" s="122"/>
      <c r="BC9861" s="141"/>
    </row>
    <row r="9862">
      <c r="BB9862" s="122"/>
      <c r="BC9862" s="141"/>
    </row>
    <row r="9863">
      <c r="BB9863" s="122"/>
      <c r="BC9863" s="141"/>
    </row>
    <row r="9864">
      <c r="BB9864" s="122"/>
      <c r="BC9864" s="141"/>
    </row>
    <row r="9865">
      <c r="BB9865" s="122"/>
      <c r="BC9865" s="141"/>
    </row>
    <row r="9866">
      <c r="BB9866" s="122"/>
      <c r="BC9866" s="141"/>
    </row>
    <row r="9867">
      <c r="BB9867" s="122"/>
      <c r="BC9867" s="141"/>
    </row>
    <row r="9868">
      <c r="BB9868" s="122"/>
      <c r="BC9868" s="141"/>
    </row>
    <row r="9869">
      <c r="BB9869" s="122"/>
      <c r="BC9869" s="141"/>
    </row>
    <row r="9870">
      <c r="BB9870" s="122"/>
      <c r="BC9870" s="141"/>
    </row>
    <row r="9871">
      <c r="BB9871" s="122"/>
      <c r="BC9871" s="141"/>
    </row>
    <row r="9872">
      <c r="BB9872" s="122"/>
      <c r="BC9872" s="141"/>
    </row>
    <row r="9873">
      <c r="BB9873" s="122"/>
      <c r="BC9873" s="141"/>
    </row>
    <row r="9874">
      <c r="BB9874" s="122"/>
      <c r="BC9874" s="141"/>
    </row>
    <row r="9875">
      <c r="BB9875" s="122"/>
      <c r="BC9875" s="141"/>
    </row>
    <row r="9876">
      <c r="BB9876" s="122"/>
      <c r="BC9876" s="141"/>
    </row>
    <row r="9877">
      <c r="BB9877" s="122"/>
      <c r="BC9877" s="141"/>
    </row>
    <row r="9878">
      <c r="BB9878" s="122"/>
      <c r="BC9878" s="141"/>
    </row>
    <row r="9879">
      <c r="BB9879" s="122"/>
      <c r="BC9879" s="141"/>
    </row>
    <row r="9880">
      <c r="BB9880" s="122"/>
      <c r="BC9880" s="141"/>
    </row>
    <row r="9881">
      <c r="BB9881" s="122"/>
      <c r="BC9881" s="141"/>
    </row>
    <row r="9882">
      <c r="BB9882" s="122"/>
      <c r="BC9882" s="141"/>
    </row>
    <row r="9883">
      <c r="BB9883" s="122"/>
      <c r="BC9883" s="141"/>
    </row>
    <row r="9884">
      <c r="BB9884" s="122"/>
      <c r="BC9884" s="141"/>
    </row>
    <row r="9885">
      <c r="BB9885" s="122"/>
      <c r="BC9885" s="141"/>
    </row>
    <row r="9886">
      <c r="BB9886" s="122"/>
      <c r="BC9886" s="141"/>
    </row>
    <row r="9887">
      <c r="BB9887" s="122"/>
      <c r="BC9887" s="141"/>
    </row>
    <row r="9888">
      <c r="BB9888" s="122"/>
      <c r="BC9888" s="141"/>
    </row>
    <row r="9889">
      <c r="BB9889" s="122"/>
      <c r="BC9889" s="141"/>
    </row>
    <row r="9890">
      <c r="BB9890" s="122"/>
      <c r="BC9890" s="141"/>
    </row>
    <row r="9891">
      <c r="BB9891" s="122"/>
      <c r="BC9891" s="141"/>
    </row>
    <row r="9892">
      <c r="BB9892" s="122"/>
      <c r="BC9892" s="141"/>
    </row>
    <row r="9893">
      <c r="BB9893" s="122"/>
      <c r="BC9893" s="141"/>
    </row>
    <row r="9894">
      <c r="BB9894" s="122"/>
      <c r="BC9894" s="141"/>
    </row>
    <row r="9895">
      <c r="BB9895" s="122"/>
      <c r="BC9895" s="141"/>
    </row>
    <row r="9896">
      <c r="BB9896" s="122"/>
      <c r="BC9896" s="141"/>
    </row>
    <row r="9897">
      <c r="BB9897" s="122"/>
      <c r="BC9897" s="141"/>
    </row>
    <row r="9898">
      <c r="BB9898" s="122"/>
      <c r="BC9898" s="141"/>
    </row>
    <row r="9899">
      <c r="BB9899" s="122"/>
      <c r="BC9899" s="141"/>
    </row>
    <row r="9900">
      <c r="BB9900" s="122"/>
      <c r="BC9900" s="141"/>
    </row>
    <row r="9901">
      <c r="BB9901" s="122"/>
      <c r="BC9901" s="141"/>
    </row>
    <row r="9902">
      <c r="BB9902" s="122"/>
      <c r="BC9902" s="141"/>
    </row>
    <row r="9903">
      <c r="BB9903" s="122"/>
      <c r="BC9903" s="141"/>
    </row>
    <row r="9904">
      <c r="BB9904" s="122"/>
      <c r="BC9904" s="141"/>
    </row>
    <row r="9905">
      <c r="BB9905" s="122"/>
      <c r="BC9905" s="141"/>
    </row>
    <row r="9906">
      <c r="BB9906" s="122"/>
      <c r="BC9906" s="141"/>
    </row>
    <row r="9907">
      <c r="BB9907" s="122"/>
      <c r="BC9907" s="141"/>
    </row>
    <row r="9908">
      <c r="BB9908" s="122"/>
      <c r="BC9908" s="141"/>
    </row>
    <row r="9909">
      <c r="BB9909" s="122"/>
      <c r="BC9909" s="141"/>
    </row>
    <row r="9910">
      <c r="BB9910" s="122"/>
      <c r="BC9910" s="141"/>
    </row>
    <row r="9911">
      <c r="BB9911" s="122"/>
      <c r="BC9911" s="141"/>
    </row>
    <row r="9912">
      <c r="BB9912" s="122"/>
      <c r="BC9912" s="141"/>
    </row>
    <row r="9913">
      <c r="BB9913" s="122"/>
      <c r="BC9913" s="141"/>
    </row>
    <row r="9914">
      <c r="BB9914" s="122"/>
      <c r="BC9914" s="141"/>
    </row>
    <row r="9915">
      <c r="BB9915" s="122"/>
      <c r="BC9915" s="141"/>
    </row>
    <row r="9916">
      <c r="BB9916" s="122"/>
      <c r="BC9916" s="141"/>
    </row>
    <row r="9917">
      <c r="BB9917" s="122"/>
      <c r="BC9917" s="141"/>
    </row>
    <row r="9918">
      <c r="BB9918" s="122"/>
      <c r="BC9918" s="141"/>
    </row>
    <row r="9919">
      <c r="BB9919" s="122"/>
      <c r="BC9919" s="141"/>
    </row>
    <row r="9920">
      <c r="BB9920" s="122"/>
      <c r="BC9920" s="141"/>
    </row>
    <row r="9921">
      <c r="BB9921" s="122"/>
      <c r="BC9921" s="141"/>
    </row>
    <row r="9922">
      <c r="BB9922" s="122"/>
      <c r="BC9922" s="141"/>
    </row>
    <row r="9923">
      <c r="BB9923" s="122"/>
      <c r="BC9923" s="141"/>
    </row>
    <row r="9924">
      <c r="BB9924" s="122"/>
      <c r="BC9924" s="141"/>
    </row>
    <row r="9925">
      <c r="BB9925" s="122"/>
      <c r="BC9925" s="141"/>
    </row>
    <row r="9926">
      <c r="BB9926" s="122"/>
      <c r="BC9926" s="141"/>
    </row>
    <row r="9927">
      <c r="BB9927" s="122"/>
      <c r="BC9927" s="141"/>
    </row>
    <row r="9928">
      <c r="BB9928" s="122"/>
      <c r="BC9928" s="141"/>
    </row>
    <row r="9929">
      <c r="BB9929" s="122"/>
      <c r="BC9929" s="141"/>
    </row>
    <row r="9930">
      <c r="BB9930" s="122"/>
      <c r="BC9930" s="141"/>
    </row>
    <row r="9931">
      <c r="BB9931" s="122"/>
      <c r="BC9931" s="141"/>
    </row>
    <row r="9932">
      <c r="BB9932" s="122"/>
      <c r="BC9932" s="141"/>
    </row>
    <row r="9933">
      <c r="BB9933" s="122"/>
      <c r="BC9933" s="141"/>
    </row>
    <row r="9934">
      <c r="BB9934" s="122"/>
      <c r="BC9934" s="141"/>
    </row>
    <row r="9935">
      <c r="BB9935" s="122"/>
      <c r="BC9935" s="141"/>
    </row>
    <row r="9936">
      <c r="BB9936" s="122"/>
      <c r="BC9936" s="141"/>
    </row>
    <row r="9937">
      <c r="BB9937" s="122"/>
      <c r="BC9937" s="141"/>
    </row>
    <row r="9938">
      <c r="BB9938" s="122"/>
      <c r="BC9938" s="141"/>
    </row>
    <row r="9939">
      <c r="BB9939" s="122"/>
      <c r="BC9939" s="141"/>
    </row>
    <row r="9940">
      <c r="BB9940" s="122"/>
      <c r="BC9940" s="141"/>
    </row>
    <row r="9941">
      <c r="BB9941" s="122"/>
      <c r="BC9941" s="141"/>
    </row>
    <row r="9942">
      <c r="BB9942" s="122"/>
      <c r="BC9942" s="141"/>
    </row>
    <row r="9943">
      <c r="BB9943" s="122"/>
      <c r="BC9943" s="141"/>
    </row>
    <row r="9944">
      <c r="BB9944" s="122"/>
      <c r="BC9944" s="141"/>
    </row>
    <row r="9945">
      <c r="BB9945" s="122"/>
      <c r="BC9945" s="141"/>
    </row>
    <row r="9946">
      <c r="BB9946" s="122"/>
      <c r="BC9946" s="141"/>
    </row>
    <row r="9947">
      <c r="BB9947" s="122"/>
      <c r="BC9947" s="141"/>
    </row>
    <row r="9948">
      <c r="BB9948" s="122"/>
      <c r="BC9948" s="141"/>
    </row>
    <row r="9949">
      <c r="BB9949" s="122"/>
      <c r="BC9949" s="141"/>
    </row>
    <row r="9950">
      <c r="BB9950" s="122"/>
      <c r="BC9950" s="141"/>
    </row>
    <row r="9951">
      <c r="BB9951" s="122"/>
      <c r="BC9951" s="141"/>
    </row>
    <row r="9952">
      <c r="BB9952" s="122"/>
      <c r="BC9952" s="141"/>
    </row>
    <row r="9953">
      <c r="BB9953" s="122"/>
      <c r="BC9953" s="141"/>
    </row>
    <row r="9954">
      <c r="BB9954" s="122"/>
      <c r="BC9954" s="141"/>
    </row>
    <row r="9955">
      <c r="BB9955" s="122"/>
      <c r="BC9955" s="141"/>
    </row>
    <row r="9956">
      <c r="BB9956" s="122"/>
      <c r="BC9956" s="141"/>
    </row>
    <row r="9957">
      <c r="BB9957" s="122"/>
      <c r="BC9957" s="141"/>
    </row>
    <row r="9958">
      <c r="BB9958" s="122"/>
      <c r="BC9958" s="141"/>
    </row>
    <row r="9959">
      <c r="BB9959" s="122"/>
      <c r="BC9959" s="141"/>
    </row>
    <row r="9960">
      <c r="BB9960" s="122"/>
      <c r="BC9960" s="141"/>
    </row>
    <row r="9961">
      <c r="BB9961" s="122"/>
      <c r="BC9961" s="141"/>
    </row>
    <row r="9962">
      <c r="BB9962" s="122"/>
      <c r="BC9962" s="141"/>
    </row>
    <row r="9963">
      <c r="BB9963" s="122"/>
      <c r="BC9963" s="141"/>
    </row>
    <row r="9964">
      <c r="BB9964" s="122"/>
      <c r="BC9964" s="141"/>
    </row>
    <row r="9965">
      <c r="BB9965" s="122"/>
      <c r="BC9965" s="141"/>
    </row>
    <row r="9966">
      <c r="BB9966" s="122"/>
      <c r="BC9966" s="141"/>
    </row>
    <row r="9967">
      <c r="BB9967" s="122"/>
      <c r="BC9967" s="141"/>
    </row>
    <row r="9968">
      <c r="BB9968" s="122"/>
      <c r="BC9968" s="141"/>
    </row>
    <row r="9969">
      <c r="BB9969" s="122"/>
      <c r="BC9969" s="141"/>
    </row>
    <row r="9970">
      <c r="BB9970" s="122"/>
      <c r="BC9970" s="141"/>
    </row>
    <row r="9971">
      <c r="BB9971" s="122"/>
      <c r="BC9971" s="141"/>
    </row>
    <row r="9972">
      <c r="BB9972" s="122"/>
      <c r="BC9972" s="141"/>
    </row>
    <row r="9973">
      <c r="BB9973" s="122"/>
      <c r="BC9973" s="141"/>
    </row>
    <row r="9974">
      <c r="BB9974" s="122"/>
      <c r="BC9974" s="141"/>
    </row>
    <row r="9975">
      <c r="BB9975" s="122"/>
      <c r="BC9975" s="141"/>
    </row>
    <row r="9976">
      <c r="BB9976" s="122"/>
      <c r="BC9976" s="141"/>
    </row>
    <row r="9977">
      <c r="BB9977" s="122"/>
      <c r="BC9977" s="141"/>
    </row>
    <row r="9978">
      <c r="BB9978" s="122"/>
      <c r="BC9978" s="141"/>
    </row>
    <row r="9979">
      <c r="BB9979" s="122"/>
      <c r="BC9979" s="141"/>
    </row>
    <row r="9980">
      <c r="BB9980" s="122"/>
      <c r="BC9980" s="141"/>
    </row>
    <row r="9981">
      <c r="BB9981" s="122"/>
      <c r="BC9981" s="141"/>
    </row>
    <row r="9982">
      <c r="BB9982" s="122"/>
      <c r="BC9982" s="141"/>
    </row>
    <row r="9983">
      <c r="BB9983" s="122"/>
      <c r="BC9983" s="141"/>
    </row>
    <row r="9984">
      <c r="BB9984" s="122"/>
      <c r="BC9984" s="141"/>
    </row>
    <row r="9985">
      <c r="BB9985" s="122"/>
      <c r="BC9985" s="141"/>
    </row>
    <row r="9986">
      <c r="BB9986" s="122"/>
      <c r="BC9986" s="141"/>
    </row>
    <row r="9987">
      <c r="BB9987" s="122"/>
      <c r="BC9987" s="141"/>
    </row>
    <row r="9988">
      <c r="BB9988" s="122"/>
      <c r="BC9988" s="141"/>
    </row>
    <row r="9989">
      <c r="BB9989" s="122"/>
      <c r="BC9989" s="141"/>
    </row>
    <row r="9990">
      <c r="BB9990" s="122"/>
      <c r="BC9990" s="141"/>
    </row>
    <row r="9991">
      <c r="BB9991" s="122"/>
      <c r="BC9991" s="141"/>
    </row>
    <row r="9992">
      <c r="BB9992" s="122"/>
      <c r="BC9992" s="141"/>
    </row>
    <row r="9993">
      <c r="BB9993" s="122"/>
      <c r="BC9993" s="141"/>
    </row>
    <row r="9994">
      <c r="BB9994" s="122"/>
      <c r="BC9994" s="141"/>
    </row>
    <row r="9995">
      <c r="BB9995" s="122"/>
      <c r="BC9995" s="141"/>
    </row>
    <row r="9996">
      <c r="BB9996" s="122"/>
      <c r="BC9996" s="141"/>
    </row>
    <row r="9997">
      <c r="BB9997" s="122"/>
      <c r="BC9997" s="141"/>
    </row>
    <row r="9998">
      <c r="BB9998" s="122"/>
      <c r="BC9998" s="141"/>
    </row>
    <row r="9999">
      <c r="BB9999" s="122"/>
      <c r="BC9999" s="141"/>
    </row>
    <row r="10000">
      <c r="BB10000" s="122"/>
      <c r="BC10000" s="141"/>
    </row>
    <row r="10001">
      <c r="BB10001" s="122"/>
      <c r="BC10001" s="141"/>
    </row>
    <row r="10002">
      <c r="BB10002" s="122"/>
      <c r="BC10002" s="141"/>
    </row>
    <row r="10003">
      <c r="BB10003" s="122"/>
      <c r="BC10003" s="141"/>
    </row>
    <row r="10004">
      <c r="BB10004" s="122"/>
      <c r="BC10004" s="141"/>
    </row>
    <row r="10005">
      <c r="BB10005" s="122"/>
      <c r="BC10005" s="141"/>
    </row>
    <row r="10006">
      <c r="BB10006" s="122"/>
      <c r="BC10006" s="141"/>
    </row>
    <row r="10007">
      <c r="BB10007" s="122"/>
      <c r="BC10007" s="141"/>
    </row>
    <row r="10008">
      <c r="BB10008" s="122"/>
      <c r="BC10008" s="141"/>
    </row>
    <row r="10009">
      <c r="BB10009" s="122"/>
      <c r="BC10009" s="141"/>
    </row>
    <row r="10010">
      <c r="BB10010" s="122"/>
      <c r="BC10010" s="141"/>
    </row>
    <row r="10011">
      <c r="BB10011" s="122"/>
      <c r="BC10011" s="141"/>
    </row>
    <row r="10012">
      <c r="BB10012" s="122"/>
      <c r="BC10012" s="141"/>
    </row>
    <row r="10013">
      <c r="BB10013" s="122"/>
      <c r="BC10013" s="141"/>
    </row>
    <row r="10014">
      <c r="BB10014" s="122"/>
      <c r="BC10014" s="141"/>
    </row>
    <row r="10015">
      <c r="BB10015" s="122"/>
      <c r="BC10015" s="141"/>
    </row>
    <row r="10016">
      <c r="BB10016" s="122"/>
      <c r="BC10016" s="141"/>
    </row>
    <row r="10017">
      <c r="BB10017" s="122"/>
      <c r="BC10017" s="141"/>
    </row>
    <row r="10018">
      <c r="BB10018" s="122"/>
      <c r="BC10018" s="141"/>
    </row>
    <row r="10019">
      <c r="BB10019" s="122"/>
      <c r="BC10019" s="141"/>
    </row>
    <row r="10020">
      <c r="BB10020" s="122"/>
      <c r="BC10020" s="141"/>
    </row>
    <row r="10021">
      <c r="BB10021" s="122"/>
      <c r="BC10021" s="141"/>
    </row>
    <row r="10022">
      <c r="BB10022" s="122"/>
      <c r="BC10022" s="141"/>
    </row>
    <row r="10023">
      <c r="BB10023" s="122"/>
      <c r="BC10023" s="141"/>
    </row>
    <row r="10024">
      <c r="BB10024" s="122"/>
      <c r="BC10024" s="141"/>
    </row>
    <row r="10025">
      <c r="BB10025" s="122"/>
      <c r="BC10025" s="141"/>
    </row>
    <row r="10026">
      <c r="BB10026" s="122"/>
      <c r="BC10026" s="141"/>
    </row>
    <row r="10027">
      <c r="BB10027" s="122"/>
      <c r="BC10027" s="141"/>
    </row>
    <row r="10028">
      <c r="BB10028" s="122"/>
      <c r="BC10028" s="141"/>
    </row>
    <row r="10029">
      <c r="BB10029" s="122"/>
      <c r="BC10029" s="141"/>
    </row>
    <row r="10030">
      <c r="BB10030" s="122"/>
      <c r="BC10030" s="141"/>
    </row>
    <row r="10031">
      <c r="BB10031" s="122"/>
      <c r="BC10031" s="141"/>
    </row>
    <row r="10032">
      <c r="BB10032" s="122"/>
      <c r="BC10032" s="141"/>
    </row>
    <row r="10033">
      <c r="BB10033" s="122"/>
      <c r="BC10033" s="141"/>
    </row>
    <row r="10034">
      <c r="BB10034" s="122"/>
      <c r="BC10034" s="141"/>
    </row>
    <row r="10035">
      <c r="BB10035" s="122"/>
      <c r="BC10035" s="141"/>
    </row>
    <row r="10036">
      <c r="BB10036" s="122"/>
      <c r="BC10036" s="141"/>
    </row>
    <row r="10037">
      <c r="BB10037" s="122"/>
      <c r="BC10037" s="141"/>
    </row>
    <row r="10038">
      <c r="BB10038" s="122"/>
      <c r="BC10038" s="141"/>
    </row>
    <row r="10039">
      <c r="BB10039" s="122"/>
      <c r="BC10039" s="141"/>
    </row>
    <row r="10040">
      <c r="BB10040" s="122"/>
      <c r="BC10040" s="141"/>
    </row>
    <row r="10041">
      <c r="BB10041" s="122"/>
      <c r="BC10041" s="141"/>
    </row>
    <row r="10042">
      <c r="BB10042" s="122"/>
      <c r="BC10042" s="141"/>
    </row>
    <row r="10043">
      <c r="BB10043" s="122"/>
      <c r="BC10043" s="141"/>
    </row>
    <row r="10044">
      <c r="BB10044" s="122"/>
      <c r="BC10044" s="141"/>
    </row>
    <row r="10045">
      <c r="BB10045" s="122"/>
      <c r="BC10045" s="141"/>
    </row>
    <row r="10046">
      <c r="BB10046" s="122"/>
      <c r="BC10046" s="141"/>
    </row>
    <row r="10047">
      <c r="BB10047" s="122"/>
      <c r="BC10047" s="141"/>
    </row>
    <row r="10048">
      <c r="BB10048" s="122"/>
      <c r="BC10048" s="141"/>
    </row>
    <row r="10049">
      <c r="BB10049" s="122"/>
      <c r="BC10049" s="141"/>
    </row>
    <row r="10050">
      <c r="BB10050" s="122"/>
      <c r="BC10050" s="141"/>
    </row>
    <row r="10051">
      <c r="BB10051" s="122"/>
      <c r="BC10051" s="141"/>
    </row>
    <row r="10052">
      <c r="BB10052" s="122"/>
      <c r="BC10052" s="141"/>
    </row>
    <row r="10053">
      <c r="BB10053" s="122"/>
      <c r="BC10053" s="141"/>
    </row>
    <row r="10054">
      <c r="BB10054" s="122"/>
      <c r="BC10054" s="141"/>
    </row>
    <row r="10055">
      <c r="BB10055" s="122"/>
      <c r="BC10055" s="141"/>
    </row>
    <row r="10056">
      <c r="BB10056" s="122"/>
      <c r="BC10056" s="141"/>
    </row>
    <row r="10057">
      <c r="BB10057" s="122"/>
      <c r="BC10057" s="141"/>
    </row>
    <row r="10058">
      <c r="BB10058" s="122"/>
      <c r="BC10058" s="141"/>
    </row>
    <row r="10059">
      <c r="BB10059" s="122"/>
      <c r="BC10059" s="141"/>
    </row>
    <row r="10060">
      <c r="BB10060" s="122"/>
      <c r="BC10060" s="141"/>
    </row>
    <row r="10061">
      <c r="BB10061" s="122"/>
      <c r="BC10061" s="141"/>
    </row>
    <row r="10062">
      <c r="BB10062" s="122"/>
      <c r="BC10062" s="141"/>
    </row>
    <row r="10063">
      <c r="BB10063" s="122"/>
      <c r="BC10063" s="141"/>
    </row>
    <row r="10064">
      <c r="BB10064" s="122"/>
      <c r="BC10064" s="141"/>
    </row>
    <row r="10065">
      <c r="BB10065" s="122"/>
      <c r="BC10065" s="141"/>
    </row>
    <row r="10066">
      <c r="BB10066" s="122"/>
      <c r="BC10066" s="141"/>
    </row>
    <row r="10067">
      <c r="BB10067" s="122"/>
      <c r="BC10067" s="141"/>
    </row>
    <row r="10068">
      <c r="BB10068" s="122"/>
      <c r="BC10068" s="141"/>
    </row>
    <row r="10069">
      <c r="BB10069" s="122"/>
      <c r="BC10069" s="141"/>
    </row>
    <row r="10070">
      <c r="BB10070" s="122"/>
      <c r="BC10070" s="141"/>
    </row>
    <row r="10071">
      <c r="BB10071" s="122"/>
      <c r="BC10071" s="141"/>
    </row>
    <row r="10072">
      <c r="BB10072" s="122"/>
      <c r="BC10072" s="141"/>
    </row>
    <row r="10073">
      <c r="BB10073" s="122"/>
      <c r="BC10073" s="141"/>
    </row>
    <row r="10074">
      <c r="BB10074" s="122"/>
      <c r="BC10074" s="141"/>
    </row>
    <row r="10075">
      <c r="BB10075" s="122"/>
      <c r="BC10075" s="141"/>
    </row>
    <row r="10076">
      <c r="BB10076" s="122"/>
      <c r="BC10076" s="141"/>
    </row>
    <row r="10077">
      <c r="BB10077" s="122"/>
      <c r="BC10077" s="141"/>
    </row>
    <row r="10078">
      <c r="BB10078" s="122"/>
      <c r="BC10078" s="141"/>
    </row>
    <row r="10079">
      <c r="BB10079" s="122"/>
      <c r="BC10079" s="141"/>
    </row>
    <row r="10080">
      <c r="BB10080" s="122"/>
      <c r="BC10080" s="141"/>
    </row>
    <row r="10081">
      <c r="BB10081" s="122"/>
      <c r="BC10081" s="141"/>
    </row>
    <row r="10082">
      <c r="BB10082" s="122"/>
      <c r="BC10082" s="141"/>
    </row>
    <row r="10083">
      <c r="BB10083" s="122"/>
      <c r="BC10083" s="141"/>
    </row>
    <row r="10084">
      <c r="BB10084" s="122"/>
      <c r="BC10084" s="141"/>
    </row>
    <row r="10085">
      <c r="BB10085" s="122"/>
      <c r="BC10085" s="141"/>
    </row>
    <row r="10086">
      <c r="BB10086" s="122"/>
      <c r="BC10086" s="141"/>
    </row>
    <row r="10087">
      <c r="BB10087" s="122"/>
      <c r="BC10087" s="141"/>
    </row>
    <row r="10088">
      <c r="BB10088" s="122"/>
      <c r="BC10088" s="141"/>
    </row>
    <row r="10089">
      <c r="BB10089" s="122"/>
      <c r="BC10089" s="141"/>
    </row>
    <row r="10090">
      <c r="BB10090" s="122"/>
      <c r="BC10090" s="141"/>
    </row>
    <row r="10091">
      <c r="BB10091" s="122"/>
      <c r="BC10091" s="141"/>
    </row>
    <row r="10092">
      <c r="BB10092" s="122"/>
      <c r="BC10092" s="141"/>
    </row>
    <row r="10093">
      <c r="BB10093" s="122"/>
      <c r="BC10093" s="141"/>
    </row>
    <row r="10094">
      <c r="BB10094" s="122"/>
      <c r="BC10094" s="141"/>
    </row>
    <row r="10095">
      <c r="BB10095" s="122"/>
      <c r="BC10095" s="141"/>
    </row>
    <row r="10096">
      <c r="BB10096" s="122"/>
      <c r="BC10096" s="141"/>
    </row>
    <row r="10097">
      <c r="BB10097" s="122"/>
      <c r="BC10097" s="141"/>
    </row>
    <row r="10098">
      <c r="BB10098" s="122"/>
      <c r="BC10098" s="141"/>
    </row>
    <row r="10099">
      <c r="BB10099" s="122"/>
      <c r="BC10099" s="141"/>
    </row>
    <row r="10100">
      <c r="BB10100" s="122"/>
      <c r="BC10100" s="141"/>
    </row>
    <row r="10101">
      <c r="BB10101" s="122"/>
      <c r="BC10101" s="141"/>
    </row>
    <row r="10102">
      <c r="BB10102" s="122"/>
      <c r="BC10102" s="141"/>
    </row>
    <row r="10103">
      <c r="BB10103" s="122"/>
      <c r="BC10103" s="141"/>
    </row>
    <row r="10104">
      <c r="BB10104" s="122"/>
      <c r="BC10104" s="141"/>
    </row>
    <row r="10105">
      <c r="BB10105" s="122"/>
      <c r="BC10105" s="141"/>
    </row>
    <row r="10106">
      <c r="BB10106" s="122"/>
      <c r="BC10106" s="141"/>
    </row>
    <row r="10107">
      <c r="BB10107" s="122"/>
      <c r="BC10107" s="141"/>
    </row>
    <row r="10108">
      <c r="BB10108" s="122"/>
      <c r="BC10108" s="141"/>
    </row>
    <row r="10109">
      <c r="BB10109" s="122"/>
      <c r="BC10109" s="141"/>
    </row>
    <row r="10110">
      <c r="BB10110" s="122"/>
      <c r="BC10110" s="141"/>
    </row>
    <row r="10111">
      <c r="BB10111" s="122"/>
      <c r="BC10111" s="141"/>
    </row>
    <row r="10112">
      <c r="BB10112" s="122"/>
      <c r="BC10112" s="141"/>
    </row>
    <row r="10113">
      <c r="BB10113" s="122"/>
      <c r="BC10113" s="141"/>
    </row>
    <row r="10114">
      <c r="BB10114" s="122"/>
      <c r="BC10114" s="141"/>
    </row>
    <row r="10115">
      <c r="BB10115" s="122"/>
      <c r="BC10115" s="141"/>
    </row>
    <row r="10116">
      <c r="BB10116" s="122"/>
      <c r="BC10116" s="141"/>
    </row>
    <row r="10117">
      <c r="BB10117" s="122"/>
      <c r="BC10117" s="141"/>
    </row>
    <row r="10118">
      <c r="BB10118" s="122"/>
      <c r="BC10118" s="141"/>
    </row>
    <row r="10119">
      <c r="BB10119" s="122"/>
      <c r="BC10119" s="141"/>
    </row>
    <row r="10120">
      <c r="BB10120" s="122"/>
      <c r="BC10120" s="141"/>
    </row>
    <row r="10121">
      <c r="BB10121" s="122"/>
      <c r="BC10121" s="141"/>
    </row>
    <row r="10122">
      <c r="BB10122" s="122"/>
      <c r="BC10122" s="141"/>
    </row>
    <row r="10123">
      <c r="BB10123" s="122"/>
      <c r="BC10123" s="141"/>
    </row>
    <row r="10124">
      <c r="BB10124" s="122"/>
      <c r="BC10124" s="141"/>
    </row>
    <row r="10125">
      <c r="BB10125" s="122"/>
      <c r="BC10125" s="141"/>
    </row>
    <row r="10126">
      <c r="BB10126" s="122"/>
      <c r="BC10126" s="141"/>
    </row>
    <row r="10127">
      <c r="BB10127" s="122"/>
      <c r="BC10127" s="141"/>
    </row>
    <row r="10128">
      <c r="BB10128" s="122"/>
      <c r="BC10128" s="141"/>
    </row>
    <row r="10129">
      <c r="BB10129" s="122"/>
      <c r="BC10129" s="141"/>
    </row>
    <row r="10130">
      <c r="BB10130" s="122"/>
      <c r="BC10130" s="141"/>
    </row>
    <row r="10131">
      <c r="BB10131" s="122"/>
      <c r="BC10131" s="141"/>
    </row>
    <row r="10132">
      <c r="BB10132" s="122"/>
      <c r="BC10132" s="141"/>
    </row>
    <row r="10133">
      <c r="BB10133" s="122"/>
      <c r="BC10133" s="141"/>
    </row>
    <row r="10134">
      <c r="BB10134" s="122"/>
      <c r="BC10134" s="141"/>
    </row>
    <row r="10135">
      <c r="BB10135" s="122"/>
      <c r="BC10135" s="141"/>
    </row>
    <row r="10136">
      <c r="BB10136" s="122"/>
      <c r="BC10136" s="141"/>
    </row>
    <row r="10137">
      <c r="BB10137" s="122"/>
      <c r="BC10137" s="141"/>
    </row>
    <row r="10138">
      <c r="BB10138" s="122"/>
      <c r="BC10138" s="141"/>
    </row>
    <row r="10139">
      <c r="BB10139" s="122"/>
      <c r="BC10139" s="141"/>
    </row>
    <row r="10140">
      <c r="BB10140" s="122"/>
      <c r="BC10140" s="141"/>
    </row>
    <row r="10141">
      <c r="BB10141" s="122"/>
      <c r="BC10141" s="141"/>
    </row>
    <row r="10142">
      <c r="BB10142" s="122"/>
      <c r="BC10142" s="141"/>
    </row>
    <row r="10143">
      <c r="BB10143" s="122"/>
      <c r="BC10143" s="141"/>
    </row>
    <row r="10144">
      <c r="BB10144" s="122"/>
      <c r="BC10144" s="141"/>
    </row>
    <row r="10145">
      <c r="BB10145" s="122"/>
      <c r="BC10145" s="141"/>
    </row>
    <row r="10146">
      <c r="BB10146" s="122"/>
      <c r="BC10146" s="141"/>
    </row>
    <row r="10147">
      <c r="BB10147" s="122"/>
      <c r="BC10147" s="141"/>
    </row>
    <row r="10148">
      <c r="BB10148" s="122"/>
      <c r="BC10148" s="141"/>
    </row>
    <row r="10149">
      <c r="BB10149" s="122"/>
      <c r="BC10149" s="141"/>
    </row>
    <row r="10150">
      <c r="BB10150" s="122"/>
      <c r="BC10150" s="141"/>
    </row>
    <row r="10151">
      <c r="BB10151" s="122"/>
      <c r="BC10151" s="141"/>
    </row>
    <row r="10152">
      <c r="BB10152" s="122"/>
      <c r="BC10152" s="141"/>
    </row>
    <row r="10153">
      <c r="BB10153" s="122"/>
      <c r="BC10153" s="141"/>
    </row>
    <row r="10154">
      <c r="BB10154" s="122"/>
      <c r="BC10154" s="141"/>
    </row>
    <row r="10155">
      <c r="BB10155" s="122"/>
      <c r="BC10155" s="141"/>
    </row>
    <row r="10156">
      <c r="BB10156" s="122"/>
      <c r="BC10156" s="141"/>
    </row>
    <row r="10157">
      <c r="BB10157" s="122"/>
      <c r="BC10157" s="141"/>
    </row>
    <row r="10158">
      <c r="BB10158" s="122"/>
      <c r="BC10158" s="141"/>
    </row>
    <row r="10159">
      <c r="BB10159" s="122"/>
      <c r="BC10159" s="141"/>
    </row>
    <row r="10160">
      <c r="BB10160" s="122"/>
      <c r="BC10160" s="141"/>
    </row>
    <row r="10161">
      <c r="BB10161" s="122"/>
      <c r="BC10161" s="141"/>
    </row>
    <row r="10162">
      <c r="BB10162" s="122"/>
      <c r="BC10162" s="141"/>
    </row>
    <row r="10163">
      <c r="BB10163" s="122"/>
      <c r="BC10163" s="141"/>
    </row>
    <row r="10164">
      <c r="BB10164" s="122"/>
      <c r="BC10164" s="141"/>
    </row>
    <row r="10165">
      <c r="BB10165" s="122"/>
      <c r="BC10165" s="141"/>
    </row>
    <row r="10166">
      <c r="BB10166" s="122"/>
      <c r="BC10166" s="141"/>
    </row>
    <row r="10167">
      <c r="BB10167" s="122"/>
      <c r="BC10167" s="141"/>
    </row>
    <row r="10168">
      <c r="BB10168" s="122"/>
      <c r="BC10168" s="141"/>
    </row>
    <row r="10169">
      <c r="BB10169" s="122"/>
      <c r="BC10169" s="141"/>
    </row>
    <row r="10170">
      <c r="BB10170" s="122"/>
      <c r="BC10170" s="141"/>
    </row>
    <row r="10171">
      <c r="BB10171" s="122"/>
      <c r="BC10171" s="141"/>
    </row>
    <row r="10172">
      <c r="BB10172" s="122"/>
      <c r="BC10172" s="141"/>
    </row>
    <row r="10173">
      <c r="BB10173" s="122"/>
      <c r="BC10173" s="141"/>
    </row>
    <row r="10174">
      <c r="BB10174" s="122"/>
      <c r="BC10174" s="141"/>
    </row>
    <row r="10175">
      <c r="BB10175" s="122"/>
      <c r="BC10175" s="141"/>
    </row>
    <row r="10176">
      <c r="BB10176" s="122"/>
      <c r="BC10176" s="141"/>
    </row>
    <row r="10177">
      <c r="BB10177" s="122"/>
      <c r="BC10177" s="141"/>
    </row>
    <row r="10178">
      <c r="BB10178" s="122"/>
      <c r="BC10178" s="141"/>
    </row>
    <row r="10179">
      <c r="BB10179" s="122"/>
      <c r="BC10179" s="141"/>
    </row>
    <row r="10180">
      <c r="BB10180" s="122"/>
      <c r="BC10180" s="141"/>
    </row>
    <row r="10181">
      <c r="BB10181" s="122"/>
      <c r="BC10181" s="141"/>
    </row>
    <row r="10182">
      <c r="BB10182" s="122"/>
      <c r="BC10182" s="141"/>
    </row>
    <row r="10183">
      <c r="BB10183" s="122"/>
      <c r="BC10183" s="141"/>
    </row>
    <row r="10184">
      <c r="BB10184" s="122"/>
      <c r="BC10184" s="141"/>
    </row>
    <row r="10185">
      <c r="BB10185" s="122"/>
      <c r="BC10185" s="141"/>
    </row>
    <row r="10186">
      <c r="BB10186" s="122"/>
      <c r="BC10186" s="141"/>
    </row>
    <row r="10187">
      <c r="BB10187" s="122"/>
      <c r="BC10187" s="141"/>
    </row>
    <row r="10188">
      <c r="BB10188" s="122"/>
      <c r="BC10188" s="141"/>
    </row>
    <row r="10189">
      <c r="BB10189" s="122"/>
      <c r="BC10189" s="141"/>
    </row>
    <row r="10190">
      <c r="BB10190" s="122"/>
      <c r="BC10190" s="141"/>
    </row>
    <row r="10191">
      <c r="BB10191" s="122"/>
      <c r="BC10191" s="141"/>
    </row>
    <row r="10192">
      <c r="BB10192" s="122"/>
      <c r="BC10192" s="141"/>
    </row>
    <row r="10193">
      <c r="BB10193" s="122"/>
      <c r="BC10193" s="141"/>
    </row>
    <row r="10194">
      <c r="BB10194" s="122"/>
      <c r="BC10194" s="141"/>
    </row>
    <row r="10195">
      <c r="BB10195" s="122"/>
      <c r="BC10195" s="141"/>
    </row>
    <row r="10196">
      <c r="BB10196" s="122"/>
      <c r="BC10196" s="141"/>
    </row>
    <row r="10197">
      <c r="BB10197" s="122"/>
      <c r="BC10197" s="141"/>
    </row>
    <row r="10198">
      <c r="BB10198" s="122"/>
      <c r="BC10198" s="141"/>
    </row>
    <row r="10199">
      <c r="BB10199" s="122"/>
      <c r="BC10199" s="141"/>
    </row>
    <row r="10200">
      <c r="BB10200" s="122"/>
      <c r="BC10200" s="141"/>
    </row>
    <row r="10201">
      <c r="BB10201" s="122"/>
      <c r="BC10201" s="141"/>
    </row>
    <row r="10202">
      <c r="BB10202" s="122"/>
      <c r="BC10202" s="141"/>
    </row>
    <row r="10203">
      <c r="BB10203" s="122"/>
      <c r="BC10203" s="141"/>
    </row>
    <row r="10204">
      <c r="BB10204" s="122"/>
      <c r="BC10204" s="141"/>
    </row>
    <row r="10205">
      <c r="BB10205" s="122"/>
      <c r="BC10205" s="141"/>
    </row>
    <row r="10206">
      <c r="BB10206" s="122"/>
      <c r="BC10206" s="141"/>
    </row>
    <row r="10207">
      <c r="BB10207" s="122"/>
      <c r="BC10207" s="141"/>
    </row>
    <row r="10208">
      <c r="BB10208" s="122"/>
      <c r="BC10208" s="141"/>
    </row>
    <row r="10209">
      <c r="BB10209" s="122"/>
      <c r="BC10209" s="141"/>
    </row>
    <row r="10210">
      <c r="BB10210" s="122"/>
      <c r="BC10210" s="141"/>
    </row>
    <row r="10211">
      <c r="BB10211" s="122"/>
      <c r="BC10211" s="141"/>
    </row>
    <row r="10212">
      <c r="BB10212" s="122"/>
      <c r="BC10212" s="141"/>
    </row>
    <row r="10213">
      <c r="BB10213" s="122"/>
      <c r="BC10213" s="141"/>
    </row>
    <row r="10214">
      <c r="BB10214" s="122"/>
      <c r="BC10214" s="141"/>
    </row>
    <row r="10215">
      <c r="BB10215" s="122"/>
      <c r="BC10215" s="141"/>
    </row>
    <row r="10216">
      <c r="BB10216" s="122"/>
      <c r="BC10216" s="141"/>
    </row>
    <row r="10217">
      <c r="BB10217" s="122"/>
      <c r="BC10217" s="141"/>
    </row>
    <row r="10218">
      <c r="BB10218" s="122"/>
      <c r="BC10218" s="141"/>
    </row>
    <row r="10219">
      <c r="BB10219" s="122"/>
      <c r="BC10219" s="141"/>
    </row>
    <row r="10220">
      <c r="BB10220" s="122"/>
      <c r="BC10220" s="141"/>
    </row>
    <row r="10221">
      <c r="BB10221" s="122"/>
      <c r="BC10221" s="141"/>
    </row>
    <row r="10222">
      <c r="BB10222" s="122"/>
      <c r="BC10222" s="141"/>
    </row>
    <row r="10223">
      <c r="BB10223" s="122"/>
      <c r="BC10223" s="141"/>
    </row>
    <row r="10224">
      <c r="BB10224" s="122"/>
      <c r="BC10224" s="141"/>
    </row>
    <row r="10225">
      <c r="BB10225" s="122"/>
      <c r="BC10225" s="141"/>
    </row>
    <row r="10226">
      <c r="BB10226" s="122"/>
      <c r="BC10226" s="141"/>
    </row>
    <row r="10227">
      <c r="BB10227" s="122"/>
      <c r="BC10227" s="141"/>
    </row>
    <row r="10228">
      <c r="BB10228" s="122"/>
      <c r="BC10228" s="141"/>
    </row>
    <row r="10229">
      <c r="BB10229" s="122"/>
      <c r="BC10229" s="141"/>
    </row>
    <row r="10230">
      <c r="BB10230" s="122"/>
      <c r="BC10230" s="141"/>
    </row>
    <row r="10231">
      <c r="BB10231" s="122"/>
      <c r="BC10231" s="141"/>
    </row>
    <row r="10232">
      <c r="BB10232" s="122"/>
      <c r="BC10232" s="141"/>
    </row>
    <row r="10233">
      <c r="BB10233" s="122"/>
      <c r="BC10233" s="141"/>
    </row>
    <row r="10234">
      <c r="BB10234" s="122"/>
      <c r="BC10234" s="141"/>
    </row>
    <row r="10235">
      <c r="BB10235" s="122"/>
      <c r="BC10235" s="141"/>
    </row>
    <row r="10236">
      <c r="BB10236" s="122"/>
      <c r="BC10236" s="141"/>
    </row>
    <row r="10237">
      <c r="BB10237" s="122"/>
      <c r="BC10237" s="141"/>
    </row>
    <row r="10238">
      <c r="BB10238" s="122"/>
      <c r="BC10238" s="141"/>
    </row>
    <row r="10239">
      <c r="BB10239" s="122"/>
      <c r="BC10239" s="141"/>
    </row>
    <row r="10240">
      <c r="BB10240" s="122"/>
      <c r="BC10240" s="141"/>
    </row>
    <row r="10241">
      <c r="BB10241" s="122"/>
      <c r="BC10241" s="141"/>
    </row>
    <row r="10242">
      <c r="BB10242" s="122"/>
      <c r="BC10242" s="141"/>
    </row>
    <row r="10243">
      <c r="BB10243" s="122"/>
      <c r="BC10243" s="141"/>
    </row>
    <row r="10244">
      <c r="BB10244" s="122"/>
      <c r="BC10244" s="141"/>
    </row>
    <row r="10245">
      <c r="BB10245" s="122"/>
      <c r="BC10245" s="141"/>
    </row>
    <row r="10246">
      <c r="BB10246" s="122"/>
      <c r="BC10246" s="141"/>
    </row>
    <row r="10247">
      <c r="BB10247" s="122"/>
      <c r="BC10247" s="141"/>
    </row>
    <row r="10248">
      <c r="BB10248" s="122"/>
      <c r="BC10248" s="141"/>
    </row>
    <row r="10249">
      <c r="BB10249" s="122"/>
      <c r="BC10249" s="141"/>
    </row>
    <row r="10250">
      <c r="BB10250" s="122"/>
      <c r="BC10250" s="141"/>
    </row>
    <row r="10251">
      <c r="BB10251" s="122"/>
      <c r="BC10251" s="141"/>
    </row>
    <row r="10252">
      <c r="BB10252" s="122"/>
      <c r="BC10252" s="141"/>
    </row>
    <row r="10253">
      <c r="BB10253" s="122"/>
      <c r="BC10253" s="141"/>
    </row>
    <row r="10254">
      <c r="BB10254" s="122"/>
      <c r="BC10254" s="141"/>
    </row>
    <row r="10255">
      <c r="BB10255" s="122"/>
      <c r="BC10255" s="141"/>
    </row>
    <row r="10256">
      <c r="BB10256" s="122"/>
      <c r="BC10256" s="141"/>
    </row>
    <row r="10257">
      <c r="BB10257" s="122"/>
      <c r="BC10257" s="141"/>
    </row>
    <row r="10258">
      <c r="BB10258" s="122"/>
      <c r="BC10258" s="141"/>
    </row>
    <row r="10259">
      <c r="BB10259" s="122"/>
      <c r="BC10259" s="141"/>
    </row>
    <row r="10260">
      <c r="BB10260" s="122"/>
      <c r="BC10260" s="141"/>
    </row>
    <row r="10261">
      <c r="BB10261" s="122"/>
      <c r="BC10261" s="141"/>
    </row>
    <row r="10262">
      <c r="BB10262" s="122"/>
      <c r="BC10262" s="141"/>
    </row>
    <row r="10263">
      <c r="BB10263" s="122"/>
      <c r="BC10263" s="141"/>
    </row>
    <row r="10264">
      <c r="BB10264" s="122"/>
      <c r="BC10264" s="141"/>
    </row>
    <row r="10265">
      <c r="BB10265" s="122"/>
      <c r="BC10265" s="141"/>
    </row>
    <row r="10266">
      <c r="BB10266" s="122"/>
      <c r="BC10266" s="141"/>
    </row>
    <row r="10267">
      <c r="BB10267" s="122"/>
      <c r="BC10267" s="141"/>
    </row>
    <row r="10268">
      <c r="BB10268" s="122"/>
      <c r="BC10268" s="141"/>
    </row>
    <row r="10269">
      <c r="BB10269" s="122"/>
      <c r="BC10269" s="141"/>
    </row>
    <row r="10270">
      <c r="BB10270" s="122"/>
      <c r="BC10270" s="141"/>
    </row>
    <row r="10271">
      <c r="BB10271" s="122"/>
      <c r="BC10271" s="141"/>
    </row>
    <row r="10272">
      <c r="BB10272" s="122"/>
      <c r="BC10272" s="141"/>
    </row>
    <row r="10273">
      <c r="BB10273" s="122"/>
      <c r="BC10273" s="141"/>
    </row>
    <row r="10274">
      <c r="BB10274" s="122"/>
      <c r="BC10274" s="141"/>
    </row>
    <row r="10275">
      <c r="BB10275" s="122"/>
      <c r="BC10275" s="141"/>
    </row>
    <row r="10276">
      <c r="BB10276" s="122"/>
      <c r="BC10276" s="141"/>
    </row>
    <row r="10277">
      <c r="BB10277" s="122"/>
      <c r="BC10277" s="141"/>
    </row>
    <row r="10278">
      <c r="BB10278" s="122"/>
      <c r="BC10278" s="141"/>
    </row>
    <row r="10279">
      <c r="BB10279" s="122"/>
      <c r="BC10279" s="141"/>
    </row>
    <row r="10280">
      <c r="BB10280" s="122"/>
      <c r="BC10280" s="141"/>
    </row>
    <row r="10281">
      <c r="BB10281" s="122"/>
      <c r="BC10281" s="141"/>
    </row>
    <row r="10282">
      <c r="BB10282" s="122"/>
      <c r="BC10282" s="141"/>
    </row>
    <row r="10283">
      <c r="BB10283" s="122"/>
      <c r="BC10283" s="141"/>
    </row>
    <row r="10284">
      <c r="BB10284" s="122"/>
      <c r="BC10284" s="141"/>
    </row>
    <row r="10285">
      <c r="BB10285" s="122"/>
      <c r="BC10285" s="141"/>
    </row>
    <row r="10286">
      <c r="BB10286" s="122"/>
      <c r="BC10286" s="141"/>
    </row>
    <row r="10287">
      <c r="BB10287" s="122"/>
      <c r="BC10287" s="141"/>
    </row>
    <row r="10288">
      <c r="BB10288" s="122"/>
      <c r="BC10288" s="141"/>
    </row>
    <row r="10289">
      <c r="BB10289" s="122"/>
      <c r="BC10289" s="141"/>
    </row>
    <row r="10290">
      <c r="BB10290" s="122"/>
      <c r="BC10290" s="141"/>
    </row>
    <row r="10291">
      <c r="BB10291" s="122"/>
      <c r="BC10291" s="141"/>
    </row>
    <row r="10292">
      <c r="BB10292" s="122"/>
      <c r="BC10292" s="141"/>
    </row>
    <row r="10293">
      <c r="BB10293" s="122"/>
      <c r="BC10293" s="141"/>
    </row>
    <row r="10294">
      <c r="BB10294" s="122"/>
      <c r="BC10294" s="141"/>
    </row>
    <row r="10295">
      <c r="BB10295" s="122"/>
      <c r="BC10295" s="141"/>
    </row>
    <row r="10296">
      <c r="BB10296" s="122"/>
      <c r="BC10296" s="141"/>
    </row>
    <row r="10297">
      <c r="BB10297" s="122"/>
      <c r="BC10297" s="141"/>
    </row>
    <row r="10298">
      <c r="BB10298" s="122"/>
      <c r="BC10298" s="141"/>
    </row>
    <row r="10299">
      <c r="BB10299" s="122"/>
      <c r="BC10299" s="141"/>
    </row>
    <row r="10300">
      <c r="BB10300" s="122"/>
      <c r="BC10300" s="141"/>
    </row>
    <row r="10301">
      <c r="BB10301" s="122"/>
      <c r="BC10301" s="141"/>
    </row>
    <row r="10302">
      <c r="BB10302" s="122"/>
      <c r="BC10302" s="141"/>
    </row>
    <row r="10303">
      <c r="BB10303" s="122"/>
      <c r="BC10303" s="141"/>
    </row>
    <row r="10304">
      <c r="BB10304" s="122"/>
      <c r="BC10304" s="141"/>
    </row>
    <row r="10305">
      <c r="BB10305" s="122"/>
      <c r="BC10305" s="141"/>
    </row>
    <row r="10306">
      <c r="BB10306" s="122"/>
      <c r="BC10306" s="141"/>
    </row>
    <row r="10307">
      <c r="BB10307" s="122"/>
      <c r="BC10307" s="141"/>
    </row>
    <row r="10308">
      <c r="BB10308" s="122"/>
      <c r="BC10308" s="141"/>
    </row>
    <row r="10309">
      <c r="BB10309" s="122"/>
      <c r="BC10309" s="141"/>
    </row>
    <row r="10310">
      <c r="BB10310" s="122"/>
      <c r="BC10310" s="141"/>
    </row>
    <row r="10311">
      <c r="BB10311" s="122"/>
      <c r="BC10311" s="141"/>
    </row>
    <row r="10312">
      <c r="BB10312" s="122"/>
      <c r="BC10312" s="141"/>
    </row>
    <row r="10313">
      <c r="BB10313" s="122"/>
      <c r="BC10313" s="141"/>
    </row>
    <row r="10314">
      <c r="BB10314" s="122"/>
      <c r="BC10314" s="141"/>
    </row>
    <row r="10315">
      <c r="BB10315" s="122"/>
      <c r="BC10315" s="141"/>
    </row>
    <row r="10316">
      <c r="BB10316" s="122"/>
      <c r="BC10316" s="141"/>
    </row>
    <row r="10317">
      <c r="BB10317" s="122"/>
      <c r="BC10317" s="141"/>
    </row>
    <row r="10318">
      <c r="BB10318" s="122"/>
      <c r="BC10318" s="141"/>
    </row>
    <row r="10319">
      <c r="BB10319" s="122"/>
      <c r="BC10319" s="141"/>
    </row>
    <row r="10320">
      <c r="BB10320" s="122"/>
      <c r="BC10320" s="141"/>
    </row>
    <row r="10321">
      <c r="BB10321" s="122"/>
      <c r="BC10321" s="141"/>
    </row>
    <row r="10322">
      <c r="BB10322" s="122"/>
      <c r="BC10322" s="141"/>
    </row>
    <row r="10323">
      <c r="BB10323" s="122"/>
      <c r="BC10323" s="141"/>
    </row>
    <row r="10324">
      <c r="BB10324" s="122"/>
      <c r="BC10324" s="141"/>
    </row>
    <row r="10325">
      <c r="BB10325" s="122"/>
      <c r="BC10325" s="141"/>
    </row>
    <row r="10326">
      <c r="BB10326" s="122"/>
      <c r="BC10326" s="141"/>
    </row>
    <row r="10327">
      <c r="BB10327" s="122"/>
      <c r="BC10327" s="141"/>
    </row>
    <row r="10328">
      <c r="BB10328" s="122"/>
      <c r="BC10328" s="141"/>
    </row>
    <row r="10329">
      <c r="BB10329" s="122"/>
      <c r="BC10329" s="141"/>
    </row>
    <row r="10330">
      <c r="BB10330" s="122"/>
      <c r="BC10330" s="141"/>
    </row>
    <row r="10331">
      <c r="BB10331" s="122"/>
      <c r="BC10331" s="141"/>
    </row>
    <row r="10332">
      <c r="BB10332" s="122"/>
      <c r="BC10332" s="141"/>
    </row>
    <row r="10333">
      <c r="BB10333" s="122"/>
      <c r="BC10333" s="141"/>
    </row>
    <row r="10334">
      <c r="BB10334" s="122"/>
      <c r="BC10334" s="141"/>
    </row>
    <row r="10335">
      <c r="BB10335" s="122"/>
      <c r="BC10335" s="141"/>
    </row>
    <row r="10336">
      <c r="BB10336" s="122"/>
      <c r="BC10336" s="141"/>
    </row>
    <row r="10337">
      <c r="BB10337" s="122"/>
      <c r="BC10337" s="141"/>
    </row>
    <row r="10338">
      <c r="BB10338" s="122"/>
      <c r="BC10338" s="141"/>
    </row>
    <row r="10339">
      <c r="BB10339" s="122"/>
      <c r="BC10339" s="141"/>
    </row>
    <row r="10340">
      <c r="BB10340" s="122"/>
      <c r="BC10340" s="141"/>
    </row>
    <row r="10341">
      <c r="BB10341" s="122"/>
      <c r="BC10341" s="141"/>
    </row>
    <row r="10342">
      <c r="BB10342" s="122"/>
      <c r="BC10342" s="141"/>
    </row>
    <row r="10343">
      <c r="BB10343" s="122"/>
      <c r="BC10343" s="141"/>
    </row>
    <row r="10344">
      <c r="BB10344" s="122"/>
      <c r="BC10344" s="141"/>
    </row>
    <row r="10345">
      <c r="BB10345" s="122"/>
      <c r="BC10345" s="141"/>
    </row>
    <row r="10346">
      <c r="BB10346" s="122"/>
      <c r="BC10346" s="141"/>
    </row>
    <row r="10347">
      <c r="BB10347" s="122"/>
      <c r="BC10347" s="141"/>
    </row>
    <row r="10348">
      <c r="BB10348" s="122"/>
      <c r="BC10348" s="141"/>
    </row>
    <row r="10349">
      <c r="BB10349" s="122"/>
      <c r="BC10349" s="141"/>
    </row>
    <row r="10350">
      <c r="BB10350" s="122"/>
      <c r="BC10350" s="141"/>
    </row>
    <row r="10351">
      <c r="BB10351" s="122"/>
      <c r="BC10351" s="141"/>
    </row>
    <row r="10352">
      <c r="BB10352" s="122"/>
      <c r="BC10352" s="141"/>
    </row>
    <row r="10353">
      <c r="BB10353" s="122"/>
      <c r="BC10353" s="141"/>
    </row>
    <row r="10354">
      <c r="BB10354" s="122"/>
      <c r="BC10354" s="141"/>
    </row>
    <row r="10355">
      <c r="BB10355" s="122"/>
      <c r="BC10355" s="141"/>
    </row>
    <row r="10356">
      <c r="BB10356" s="122"/>
      <c r="BC10356" s="141"/>
    </row>
    <row r="10357">
      <c r="BB10357" s="122"/>
      <c r="BC10357" s="141"/>
    </row>
    <row r="10358">
      <c r="BB10358" s="122"/>
      <c r="BC10358" s="141"/>
    </row>
    <row r="10359">
      <c r="BB10359" s="122"/>
      <c r="BC10359" s="141"/>
    </row>
    <row r="10360">
      <c r="BB10360" s="122"/>
      <c r="BC10360" s="141"/>
    </row>
    <row r="10361">
      <c r="BB10361" s="122"/>
      <c r="BC10361" s="141"/>
    </row>
    <row r="10362">
      <c r="BB10362" s="122"/>
      <c r="BC10362" s="141"/>
    </row>
    <row r="10363">
      <c r="BB10363" s="122"/>
      <c r="BC10363" s="141"/>
    </row>
    <row r="10364">
      <c r="BB10364" s="122"/>
      <c r="BC10364" s="141"/>
    </row>
    <row r="10365">
      <c r="BB10365" s="122"/>
      <c r="BC10365" s="141"/>
    </row>
    <row r="10366">
      <c r="BB10366" s="122"/>
      <c r="BC10366" s="141"/>
    </row>
    <row r="10367">
      <c r="BB10367" s="122"/>
      <c r="BC10367" s="141"/>
    </row>
    <row r="10368">
      <c r="BB10368" s="122"/>
      <c r="BC10368" s="141"/>
    </row>
    <row r="10369">
      <c r="BB10369" s="122"/>
      <c r="BC10369" s="141"/>
    </row>
    <row r="10370">
      <c r="BB10370" s="122"/>
      <c r="BC10370" s="141"/>
    </row>
    <row r="10371">
      <c r="BB10371" s="122"/>
      <c r="BC10371" s="141"/>
    </row>
    <row r="10372">
      <c r="BB10372" s="122"/>
      <c r="BC10372" s="141"/>
    </row>
    <row r="10373">
      <c r="BB10373" s="122"/>
      <c r="BC10373" s="141"/>
    </row>
    <row r="10374">
      <c r="BB10374" s="122"/>
      <c r="BC10374" s="141"/>
    </row>
    <row r="10375">
      <c r="BB10375" s="122"/>
      <c r="BC10375" s="141"/>
    </row>
    <row r="10376">
      <c r="BB10376" s="122"/>
      <c r="BC10376" s="141"/>
    </row>
    <row r="10377">
      <c r="BB10377" s="122"/>
      <c r="BC10377" s="141"/>
    </row>
    <row r="10378">
      <c r="BB10378" s="122"/>
      <c r="BC10378" s="141"/>
    </row>
    <row r="10379">
      <c r="BB10379" s="122"/>
      <c r="BC10379" s="141"/>
    </row>
    <row r="10380">
      <c r="BB10380" s="122"/>
      <c r="BC10380" s="141"/>
    </row>
    <row r="10381">
      <c r="BB10381" s="122"/>
      <c r="BC10381" s="141"/>
    </row>
    <row r="10382">
      <c r="BB10382" s="122"/>
      <c r="BC10382" s="141"/>
    </row>
    <row r="10383">
      <c r="BB10383" s="122"/>
      <c r="BC10383" s="141"/>
    </row>
    <row r="10384">
      <c r="BB10384" s="122"/>
      <c r="BC10384" s="141"/>
    </row>
    <row r="10385">
      <c r="BB10385" s="122"/>
      <c r="BC10385" s="141"/>
    </row>
    <row r="10386">
      <c r="BB10386" s="122"/>
      <c r="BC10386" s="141"/>
    </row>
    <row r="10387">
      <c r="BB10387" s="122"/>
      <c r="BC10387" s="141"/>
    </row>
    <row r="10388">
      <c r="BB10388" s="122"/>
      <c r="BC10388" s="141"/>
    </row>
    <row r="10389">
      <c r="BB10389" s="122"/>
      <c r="BC10389" s="141"/>
    </row>
    <row r="10390">
      <c r="BB10390" s="122"/>
      <c r="BC10390" s="141"/>
    </row>
    <row r="10391">
      <c r="BB10391" s="122"/>
      <c r="BC10391" s="141"/>
    </row>
    <row r="10392">
      <c r="BB10392" s="122"/>
      <c r="BC10392" s="141"/>
    </row>
    <row r="10393">
      <c r="BB10393" s="122"/>
      <c r="BC10393" s="141"/>
    </row>
    <row r="10394">
      <c r="BB10394" s="122"/>
      <c r="BC10394" s="141"/>
    </row>
    <row r="10395">
      <c r="BB10395" s="122"/>
      <c r="BC10395" s="141"/>
    </row>
    <row r="10396">
      <c r="BB10396" s="122"/>
      <c r="BC10396" s="141"/>
    </row>
    <row r="10397">
      <c r="BB10397" s="122"/>
      <c r="BC10397" s="141"/>
    </row>
    <row r="10398">
      <c r="BB10398" s="122"/>
      <c r="BC10398" s="141"/>
    </row>
    <row r="10399">
      <c r="BB10399" s="122"/>
      <c r="BC10399" s="141"/>
    </row>
    <row r="10400">
      <c r="BB10400" s="122"/>
      <c r="BC10400" s="141"/>
    </row>
    <row r="10401">
      <c r="BB10401" s="122"/>
      <c r="BC10401" s="141"/>
    </row>
    <row r="10402">
      <c r="BB10402" s="122"/>
      <c r="BC10402" s="141"/>
    </row>
    <row r="10403">
      <c r="BB10403" s="122"/>
      <c r="BC10403" s="141"/>
    </row>
    <row r="10404">
      <c r="BB10404" s="122"/>
      <c r="BC10404" s="141"/>
    </row>
    <row r="10405">
      <c r="BB10405" s="122"/>
      <c r="BC10405" s="141"/>
    </row>
    <row r="10406">
      <c r="BB10406" s="122"/>
      <c r="BC10406" s="141"/>
    </row>
    <row r="10407">
      <c r="BB10407" s="122"/>
      <c r="BC10407" s="141"/>
    </row>
    <row r="10408">
      <c r="BB10408" s="122"/>
      <c r="BC10408" s="141"/>
    </row>
    <row r="10409">
      <c r="BB10409" s="122"/>
      <c r="BC10409" s="141"/>
    </row>
    <row r="10410">
      <c r="BB10410" s="122"/>
      <c r="BC10410" s="141"/>
    </row>
    <row r="10411">
      <c r="BB10411" s="122"/>
      <c r="BC10411" s="141"/>
    </row>
    <row r="10412">
      <c r="BB10412" s="122"/>
      <c r="BC10412" s="141"/>
    </row>
    <row r="10413">
      <c r="BB10413" s="122"/>
      <c r="BC10413" s="141"/>
    </row>
    <row r="10414">
      <c r="BB10414" s="122"/>
      <c r="BC10414" s="141"/>
    </row>
    <row r="10415">
      <c r="BB10415" s="122"/>
      <c r="BC10415" s="141"/>
    </row>
    <row r="10416">
      <c r="BB10416" s="122"/>
      <c r="BC10416" s="141"/>
    </row>
    <row r="10417">
      <c r="BB10417" s="122"/>
      <c r="BC10417" s="141"/>
    </row>
    <row r="10418">
      <c r="BB10418" s="122"/>
      <c r="BC10418" s="141"/>
    </row>
    <row r="10419">
      <c r="BB10419" s="122"/>
      <c r="BC10419" s="141"/>
    </row>
    <row r="10420">
      <c r="BB10420" s="122"/>
      <c r="BC10420" s="141"/>
    </row>
    <row r="10421">
      <c r="BB10421" s="122"/>
      <c r="BC10421" s="141"/>
    </row>
    <row r="10422">
      <c r="BB10422" s="122"/>
      <c r="BC10422" s="141"/>
    </row>
    <row r="10423">
      <c r="BB10423" s="122"/>
      <c r="BC10423" s="141"/>
    </row>
    <row r="10424">
      <c r="BB10424" s="122"/>
      <c r="BC10424" s="141"/>
    </row>
    <row r="10425">
      <c r="BB10425" s="122"/>
      <c r="BC10425" s="141"/>
    </row>
    <row r="10426">
      <c r="BB10426" s="122"/>
      <c r="BC10426" s="141"/>
    </row>
    <row r="10427">
      <c r="BB10427" s="122"/>
      <c r="BC10427" s="141"/>
    </row>
    <row r="10428">
      <c r="BB10428" s="122"/>
      <c r="BC10428" s="141"/>
    </row>
    <row r="10429">
      <c r="BB10429" s="122"/>
      <c r="BC10429" s="141"/>
    </row>
    <row r="10430">
      <c r="BB10430" s="122"/>
      <c r="BC10430" s="141"/>
    </row>
    <row r="10431">
      <c r="BB10431" s="122"/>
      <c r="BC10431" s="141"/>
    </row>
    <row r="10432">
      <c r="BB10432" s="122"/>
      <c r="BC10432" s="141"/>
    </row>
    <row r="10433">
      <c r="BB10433" s="122"/>
      <c r="BC10433" s="141"/>
    </row>
    <row r="10434">
      <c r="BB10434" s="122"/>
      <c r="BC10434" s="141"/>
    </row>
    <row r="10435">
      <c r="BB10435" s="122"/>
      <c r="BC10435" s="141"/>
    </row>
    <row r="10436">
      <c r="BB10436" s="122"/>
      <c r="BC10436" s="141"/>
    </row>
    <row r="10437">
      <c r="BB10437" s="122"/>
      <c r="BC10437" s="141"/>
    </row>
    <row r="10438">
      <c r="BB10438" s="122"/>
      <c r="BC10438" s="141"/>
    </row>
    <row r="10439">
      <c r="BB10439" s="122"/>
      <c r="BC10439" s="141"/>
    </row>
    <row r="10440">
      <c r="BB10440" s="122"/>
      <c r="BC10440" s="141"/>
    </row>
    <row r="10441">
      <c r="BB10441" s="122"/>
      <c r="BC10441" s="141"/>
    </row>
    <row r="10442">
      <c r="BB10442" s="122"/>
      <c r="BC10442" s="141"/>
    </row>
    <row r="10443">
      <c r="BB10443" s="122"/>
      <c r="BC10443" s="141"/>
    </row>
    <row r="10444">
      <c r="BB10444" s="122"/>
      <c r="BC10444" s="141"/>
    </row>
    <row r="10445">
      <c r="BB10445" s="122"/>
      <c r="BC10445" s="141"/>
    </row>
    <row r="10446">
      <c r="BB10446" s="122"/>
      <c r="BC10446" s="141"/>
    </row>
    <row r="10447">
      <c r="BB10447" s="122"/>
      <c r="BC10447" s="141"/>
    </row>
    <row r="10448">
      <c r="BB10448" s="122"/>
      <c r="BC10448" s="141"/>
    </row>
    <row r="10449">
      <c r="BB10449" s="122"/>
      <c r="BC10449" s="141"/>
    </row>
    <row r="10450">
      <c r="BB10450" s="122"/>
      <c r="BC10450" s="141"/>
    </row>
    <row r="10451">
      <c r="BB10451" s="122"/>
      <c r="BC10451" s="141"/>
    </row>
    <row r="10452">
      <c r="BB10452" s="122"/>
      <c r="BC10452" s="141"/>
    </row>
    <row r="10453">
      <c r="BB10453" s="122"/>
      <c r="BC10453" s="141"/>
    </row>
    <row r="10454">
      <c r="BB10454" s="122"/>
      <c r="BC10454" s="141"/>
    </row>
    <row r="10455">
      <c r="BB10455" s="122"/>
      <c r="BC10455" s="141"/>
    </row>
    <row r="10456">
      <c r="BB10456" s="122"/>
      <c r="BC10456" s="141"/>
    </row>
    <row r="10457">
      <c r="BB10457" s="122"/>
      <c r="BC10457" s="141"/>
    </row>
    <row r="10458">
      <c r="BB10458" s="122"/>
      <c r="BC10458" s="141"/>
    </row>
    <row r="10459">
      <c r="BB10459" s="122"/>
      <c r="BC10459" s="141"/>
    </row>
    <row r="10460">
      <c r="BB10460" s="122"/>
      <c r="BC10460" s="141"/>
    </row>
    <row r="10461">
      <c r="BB10461" s="122"/>
      <c r="BC10461" s="141"/>
    </row>
    <row r="10462">
      <c r="BB10462" s="122"/>
      <c r="BC10462" s="141"/>
    </row>
    <row r="10463">
      <c r="BB10463" s="122"/>
      <c r="BC10463" s="141"/>
    </row>
    <row r="10464">
      <c r="BB10464" s="122"/>
      <c r="BC10464" s="141"/>
    </row>
    <row r="10465">
      <c r="BB10465" s="122"/>
      <c r="BC10465" s="141"/>
    </row>
    <row r="10466">
      <c r="BB10466" s="122"/>
      <c r="BC10466" s="141"/>
    </row>
    <row r="10467">
      <c r="BB10467" s="122"/>
      <c r="BC10467" s="141"/>
    </row>
    <row r="10468">
      <c r="BB10468" s="122"/>
      <c r="BC10468" s="141"/>
    </row>
    <row r="10469">
      <c r="BB10469" s="122"/>
      <c r="BC10469" s="141"/>
    </row>
    <row r="10470">
      <c r="BB10470" s="122"/>
      <c r="BC10470" s="141"/>
    </row>
    <row r="10471">
      <c r="BB10471" s="122"/>
      <c r="BC10471" s="141"/>
    </row>
    <row r="10472">
      <c r="BB10472" s="122"/>
      <c r="BC10472" s="141"/>
    </row>
    <row r="10473">
      <c r="BB10473" s="122"/>
      <c r="BC10473" s="141"/>
    </row>
    <row r="10474">
      <c r="BB10474" s="122"/>
      <c r="BC10474" s="141"/>
    </row>
    <row r="10475">
      <c r="BB10475" s="122"/>
      <c r="BC10475" s="141"/>
    </row>
    <row r="10476">
      <c r="BB10476" s="122"/>
      <c r="BC10476" s="141"/>
    </row>
    <row r="10477">
      <c r="BB10477" s="122"/>
      <c r="BC10477" s="141"/>
    </row>
    <row r="10478">
      <c r="BB10478" s="122"/>
      <c r="BC10478" s="141"/>
    </row>
    <row r="10479">
      <c r="BB10479" s="122"/>
      <c r="BC10479" s="141"/>
    </row>
    <row r="10480">
      <c r="BB10480" s="122"/>
      <c r="BC10480" s="141"/>
    </row>
    <row r="10481">
      <c r="BB10481" s="122"/>
      <c r="BC10481" s="141"/>
    </row>
    <row r="10482">
      <c r="BB10482" s="122"/>
      <c r="BC10482" s="141"/>
    </row>
    <row r="10483">
      <c r="BB10483" s="122"/>
      <c r="BC10483" s="141"/>
    </row>
    <row r="10484">
      <c r="BB10484" s="122"/>
      <c r="BC10484" s="141"/>
    </row>
    <row r="10485">
      <c r="BB10485" s="122"/>
      <c r="BC10485" s="141"/>
    </row>
    <row r="10486">
      <c r="BB10486" s="122"/>
      <c r="BC10486" s="141"/>
    </row>
    <row r="10487">
      <c r="BB10487" s="122"/>
      <c r="BC10487" s="141"/>
    </row>
    <row r="10488">
      <c r="BB10488" s="122"/>
      <c r="BC10488" s="141"/>
    </row>
    <row r="10489">
      <c r="BB10489" s="122"/>
      <c r="BC10489" s="141"/>
    </row>
    <row r="10490">
      <c r="BB10490" s="122"/>
      <c r="BC10490" s="141"/>
    </row>
    <row r="10491">
      <c r="BB10491" s="122"/>
      <c r="BC10491" s="141"/>
    </row>
    <row r="10492">
      <c r="BB10492" s="122"/>
      <c r="BC10492" s="141"/>
    </row>
    <row r="10493">
      <c r="BB10493" s="122"/>
      <c r="BC10493" s="141"/>
    </row>
    <row r="10494">
      <c r="BB10494" s="122"/>
      <c r="BC10494" s="141"/>
    </row>
    <row r="10495">
      <c r="BB10495" s="122"/>
      <c r="BC10495" s="141"/>
    </row>
    <row r="10496">
      <c r="BB10496" s="122"/>
      <c r="BC10496" s="141"/>
    </row>
    <row r="10497">
      <c r="BB10497" s="122"/>
      <c r="BC10497" s="141"/>
    </row>
    <row r="10498">
      <c r="BB10498" s="122"/>
      <c r="BC10498" s="141"/>
    </row>
    <row r="10499">
      <c r="BB10499" s="122"/>
      <c r="BC10499" s="141"/>
    </row>
    <row r="10500">
      <c r="BB10500" s="122"/>
      <c r="BC10500" s="141"/>
    </row>
    <row r="10501">
      <c r="BB10501" s="122"/>
      <c r="BC10501" s="141"/>
    </row>
    <row r="10502">
      <c r="BB10502" s="122"/>
      <c r="BC10502" s="141"/>
    </row>
    <row r="10503">
      <c r="BB10503" s="122"/>
      <c r="BC10503" s="141"/>
    </row>
    <row r="10504">
      <c r="BB10504" s="122"/>
      <c r="BC10504" s="141"/>
    </row>
    <row r="10505">
      <c r="BB10505" s="122"/>
      <c r="BC10505" s="141"/>
    </row>
    <row r="10506">
      <c r="BB10506" s="122"/>
      <c r="BC10506" s="141"/>
    </row>
    <row r="10507">
      <c r="BB10507" s="122"/>
      <c r="BC10507" s="141"/>
    </row>
    <row r="10508">
      <c r="BB10508" s="122"/>
      <c r="BC10508" s="141"/>
    </row>
    <row r="10509">
      <c r="BB10509" s="122"/>
      <c r="BC10509" s="141"/>
    </row>
    <row r="10510">
      <c r="BB10510" s="122"/>
      <c r="BC10510" s="141"/>
    </row>
    <row r="10511">
      <c r="BB10511" s="122"/>
      <c r="BC10511" s="141"/>
    </row>
    <row r="10512">
      <c r="BB10512" s="122"/>
      <c r="BC10512" s="141"/>
    </row>
    <row r="10513">
      <c r="BB10513" s="122"/>
      <c r="BC10513" s="141"/>
    </row>
    <row r="10514">
      <c r="BB10514" s="122"/>
      <c r="BC10514" s="141"/>
    </row>
    <row r="10515">
      <c r="BB10515" s="122"/>
      <c r="BC10515" s="141"/>
    </row>
    <row r="10516">
      <c r="BB10516" s="122"/>
      <c r="BC10516" s="141"/>
    </row>
    <row r="10517">
      <c r="BB10517" s="122"/>
      <c r="BC10517" s="141"/>
    </row>
    <row r="10518">
      <c r="BB10518" s="122"/>
      <c r="BC10518" s="141"/>
    </row>
    <row r="10519">
      <c r="BB10519" s="122"/>
      <c r="BC10519" s="141"/>
    </row>
    <row r="10520">
      <c r="BB10520" s="122"/>
      <c r="BC10520" s="141"/>
    </row>
    <row r="10521">
      <c r="BB10521" s="122"/>
      <c r="BC10521" s="141"/>
    </row>
    <row r="10522">
      <c r="BB10522" s="122"/>
      <c r="BC10522" s="141"/>
    </row>
    <row r="10523">
      <c r="BB10523" s="122"/>
      <c r="BC10523" s="141"/>
    </row>
    <row r="10524">
      <c r="BB10524" s="122"/>
      <c r="BC10524" s="141"/>
    </row>
    <row r="10525">
      <c r="BB10525" s="122"/>
      <c r="BC10525" s="141"/>
    </row>
    <row r="10526">
      <c r="BB10526" s="122"/>
      <c r="BC10526" s="141"/>
    </row>
    <row r="10527">
      <c r="BB10527" s="122"/>
      <c r="BC10527" s="141"/>
    </row>
    <row r="10528">
      <c r="BB10528" s="122"/>
      <c r="BC10528" s="141"/>
    </row>
    <row r="10529">
      <c r="BB10529" s="122"/>
      <c r="BC10529" s="141"/>
    </row>
    <row r="10530">
      <c r="BB10530" s="122"/>
      <c r="BC10530" s="141"/>
    </row>
    <row r="10531">
      <c r="BB10531" s="122"/>
      <c r="BC10531" s="141"/>
    </row>
    <row r="10532">
      <c r="BB10532" s="122"/>
      <c r="BC10532" s="141"/>
    </row>
    <row r="10533">
      <c r="BB10533" s="122"/>
      <c r="BC10533" s="141"/>
    </row>
    <row r="10534">
      <c r="BB10534" s="122"/>
      <c r="BC10534" s="141"/>
    </row>
    <row r="10535">
      <c r="BB10535" s="122"/>
      <c r="BC10535" s="141"/>
    </row>
    <row r="10536">
      <c r="BB10536" s="122"/>
      <c r="BC10536" s="141"/>
    </row>
    <row r="10537">
      <c r="BB10537" s="122"/>
      <c r="BC10537" s="141"/>
    </row>
    <row r="10538">
      <c r="BB10538" s="122"/>
      <c r="BC10538" s="141"/>
    </row>
    <row r="10539">
      <c r="BB10539" s="122"/>
      <c r="BC10539" s="141"/>
    </row>
    <row r="10540">
      <c r="BB10540" s="122"/>
      <c r="BC10540" s="141"/>
    </row>
    <row r="10541">
      <c r="BB10541" s="122"/>
      <c r="BC10541" s="141"/>
    </row>
    <row r="10542">
      <c r="BB10542" s="122"/>
      <c r="BC10542" s="141"/>
    </row>
    <row r="10543">
      <c r="BB10543" s="122"/>
      <c r="BC10543" s="141"/>
    </row>
    <row r="10544">
      <c r="BB10544" s="122"/>
      <c r="BC10544" s="141"/>
    </row>
    <row r="10545">
      <c r="BB10545" s="122"/>
      <c r="BC10545" s="141"/>
    </row>
    <row r="10546">
      <c r="BB10546" s="122"/>
      <c r="BC10546" s="141"/>
    </row>
    <row r="10547">
      <c r="BB10547" s="122"/>
      <c r="BC10547" s="141"/>
    </row>
    <row r="10548">
      <c r="BB10548" s="122"/>
      <c r="BC10548" s="141"/>
    </row>
    <row r="10549">
      <c r="BB10549" s="122"/>
      <c r="BC10549" s="141"/>
    </row>
    <row r="10550">
      <c r="BB10550" s="122"/>
      <c r="BC10550" s="141"/>
    </row>
    <row r="10551">
      <c r="BB10551" s="122"/>
      <c r="BC10551" s="141"/>
    </row>
    <row r="10552">
      <c r="BB10552" s="122"/>
      <c r="BC10552" s="141"/>
    </row>
    <row r="10553">
      <c r="BB10553" s="122"/>
      <c r="BC10553" s="141"/>
    </row>
    <row r="10554">
      <c r="BB10554" s="122"/>
      <c r="BC10554" s="141"/>
    </row>
    <row r="10555">
      <c r="BB10555" s="122"/>
      <c r="BC10555" s="141"/>
    </row>
    <row r="10556">
      <c r="BB10556" s="122"/>
      <c r="BC10556" s="141"/>
    </row>
    <row r="10557">
      <c r="BB10557" s="122"/>
      <c r="BC10557" s="141"/>
    </row>
    <row r="10558">
      <c r="BB10558" s="122"/>
      <c r="BC10558" s="141"/>
    </row>
    <row r="10559">
      <c r="BB10559" s="122"/>
      <c r="BC10559" s="141"/>
    </row>
    <row r="10560">
      <c r="BB10560" s="122"/>
      <c r="BC10560" s="141"/>
    </row>
    <row r="10561">
      <c r="BB10561" s="122"/>
      <c r="BC10561" s="141"/>
    </row>
    <row r="10562">
      <c r="BB10562" s="122"/>
      <c r="BC10562" s="141"/>
    </row>
    <row r="10563">
      <c r="BB10563" s="122"/>
      <c r="BC10563" s="141"/>
    </row>
    <row r="10564">
      <c r="BB10564" s="122"/>
      <c r="BC10564" s="141"/>
    </row>
    <row r="10565">
      <c r="BB10565" s="122"/>
      <c r="BC10565" s="141"/>
    </row>
    <row r="10566">
      <c r="BB10566" s="122"/>
      <c r="BC10566" s="141"/>
    </row>
    <row r="10567">
      <c r="BB10567" s="122"/>
      <c r="BC10567" s="141"/>
    </row>
    <row r="10568">
      <c r="BB10568" s="122"/>
      <c r="BC10568" s="141"/>
    </row>
    <row r="10569">
      <c r="BB10569" s="122"/>
      <c r="BC10569" s="141"/>
    </row>
    <row r="10570">
      <c r="BB10570" s="122"/>
      <c r="BC10570" s="141"/>
    </row>
    <row r="10571">
      <c r="BB10571" s="122"/>
      <c r="BC10571" s="141"/>
    </row>
    <row r="10572">
      <c r="BB10572" s="122"/>
      <c r="BC10572" s="141"/>
    </row>
    <row r="10573">
      <c r="BB10573" s="122"/>
      <c r="BC10573" s="141"/>
    </row>
    <row r="10574">
      <c r="BB10574" s="122"/>
      <c r="BC10574" s="141"/>
    </row>
    <row r="10575">
      <c r="BB10575" s="122"/>
      <c r="BC10575" s="141"/>
    </row>
    <row r="10576">
      <c r="BB10576" s="122"/>
      <c r="BC10576" s="141"/>
    </row>
    <row r="10577">
      <c r="BB10577" s="122"/>
      <c r="BC10577" s="141"/>
    </row>
    <row r="10578">
      <c r="BB10578" s="122"/>
      <c r="BC10578" s="141"/>
    </row>
    <row r="10579">
      <c r="BB10579" s="122"/>
      <c r="BC10579" s="141"/>
    </row>
    <row r="10580">
      <c r="BB10580" s="122"/>
      <c r="BC10580" s="141"/>
    </row>
    <row r="10581">
      <c r="BB10581" s="122"/>
      <c r="BC10581" s="141"/>
    </row>
    <row r="10582">
      <c r="BB10582" s="122"/>
      <c r="BC10582" s="141"/>
    </row>
    <row r="10583">
      <c r="BB10583" s="122"/>
      <c r="BC10583" s="141"/>
    </row>
    <row r="10584">
      <c r="BB10584" s="122"/>
      <c r="BC10584" s="141"/>
    </row>
    <row r="10585">
      <c r="BB10585" s="122"/>
      <c r="BC10585" s="141"/>
    </row>
    <row r="10586">
      <c r="BB10586" s="122"/>
      <c r="BC10586" s="141"/>
    </row>
    <row r="10587">
      <c r="BB10587" s="122"/>
      <c r="BC10587" s="141"/>
    </row>
    <row r="10588">
      <c r="BB10588" s="122"/>
      <c r="BC10588" s="141"/>
    </row>
    <row r="10589">
      <c r="BB10589" s="122"/>
      <c r="BC10589" s="141"/>
    </row>
    <row r="10590">
      <c r="BB10590" s="122"/>
      <c r="BC10590" s="141"/>
    </row>
    <row r="10591">
      <c r="BB10591" s="122"/>
      <c r="BC10591" s="141"/>
    </row>
    <row r="10592">
      <c r="BB10592" s="122"/>
      <c r="BC10592" s="141"/>
    </row>
    <row r="10593">
      <c r="BB10593" s="122"/>
      <c r="BC10593" s="141"/>
    </row>
    <row r="10594">
      <c r="BB10594" s="122"/>
      <c r="BC10594" s="141"/>
    </row>
    <row r="10595">
      <c r="BB10595" s="122"/>
      <c r="BC10595" s="141"/>
    </row>
    <row r="10596">
      <c r="BB10596" s="122"/>
      <c r="BC10596" s="141"/>
    </row>
    <row r="10597">
      <c r="BB10597" s="122"/>
      <c r="BC10597" s="141"/>
    </row>
    <row r="10598">
      <c r="BB10598" s="122"/>
      <c r="BC10598" s="141"/>
    </row>
    <row r="10599">
      <c r="BB10599" s="122"/>
      <c r="BC10599" s="141"/>
    </row>
    <row r="10600">
      <c r="BB10600" s="122"/>
      <c r="BC10600" s="141"/>
    </row>
    <row r="10601">
      <c r="BB10601" s="122"/>
      <c r="BC10601" s="141"/>
    </row>
    <row r="10602">
      <c r="BB10602" s="122"/>
      <c r="BC10602" s="141"/>
    </row>
    <row r="10603">
      <c r="BB10603" s="122"/>
      <c r="BC10603" s="141"/>
    </row>
    <row r="10604">
      <c r="BB10604" s="122"/>
      <c r="BC10604" s="141"/>
    </row>
    <row r="10605">
      <c r="BB10605" s="122"/>
      <c r="BC10605" s="141"/>
    </row>
    <row r="10606">
      <c r="BB10606" s="122"/>
      <c r="BC10606" s="141"/>
    </row>
    <row r="10607">
      <c r="BB10607" s="122"/>
      <c r="BC10607" s="141"/>
    </row>
    <row r="10608">
      <c r="BB10608" s="122"/>
      <c r="BC10608" s="141"/>
    </row>
    <row r="10609">
      <c r="BB10609" s="122"/>
      <c r="BC10609" s="141"/>
    </row>
    <row r="10610">
      <c r="BB10610" s="122"/>
      <c r="BC10610" s="141"/>
    </row>
    <row r="10611">
      <c r="BB10611" s="122"/>
      <c r="BC10611" s="141"/>
    </row>
    <row r="10612">
      <c r="BB10612" s="122"/>
      <c r="BC10612" s="141"/>
    </row>
    <row r="10613">
      <c r="BB10613" s="122"/>
      <c r="BC10613" s="141"/>
    </row>
    <row r="10614">
      <c r="BB10614" s="122"/>
      <c r="BC10614" s="141"/>
    </row>
    <row r="10615">
      <c r="BB10615" s="122"/>
      <c r="BC10615" s="141"/>
    </row>
    <row r="10616">
      <c r="BB10616" s="122"/>
      <c r="BC10616" s="141"/>
    </row>
    <row r="10617">
      <c r="BB10617" s="122"/>
      <c r="BC10617" s="141"/>
    </row>
    <row r="10618">
      <c r="BB10618" s="122"/>
      <c r="BC10618" s="141"/>
    </row>
    <row r="10619">
      <c r="BB10619" s="122"/>
      <c r="BC10619" s="141"/>
    </row>
    <row r="10620">
      <c r="BB10620" s="122"/>
      <c r="BC10620" s="141"/>
    </row>
    <row r="10621">
      <c r="BB10621" s="122"/>
      <c r="BC10621" s="141"/>
    </row>
    <row r="10622">
      <c r="BB10622" s="122"/>
      <c r="BC10622" s="141"/>
    </row>
    <row r="10623">
      <c r="BB10623" s="122"/>
      <c r="BC10623" s="141"/>
    </row>
    <row r="10624">
      <c r="BB10624" s="122"/>
      <c r="BC10624" s="141"/>
    </row>
    <row r="10625">
      <c r="BB10625" s="122"/>
      <c r="BC10625" s="141"/>
    </row>
    <row r="10626">
      <c r="BB10626" s="122"/>
      <c r="BC10626" s="141"/>
    </row>
    <row r="10627">
      <c r="BB10627" s="122"/>
      <c r="BC10627" s="141"/>
    </row>
    <row r="10628">
      <c r="BB10628" s="122"/>
      <c r="BC10628" s="141"/>
    </row>
    <row r="10629">
      <c r="BB10629" s="122"/>
      <c r="BC10629" s="141"/>
    </row>
    <row r="10630">
      <c r="BB10630" s="122"/>
      <c r="BC10630" s="141"/>
    </row>
    <row r="10631">
      <c r="BB10631" s="122"/>
      <c r="BC10631" s="141"/>
    </row>
    <row r="10632">
      <c r="BB10632" s="122"/>
      <c r="BC10632" s="141"/>
    </row>
    <row r="10633">
      <c r="BB10633" s="122"/>
      <c r="BC10633" s="141"/>
    </row>
    <row r="10634">
      <c r="BB10634" s="122"/>
      <c r="BC10634" s="141"/>
    </row>
    <row r="10635">
      <c r="BB10635" s="122"/>
      <c r="BC10635" s="141"/>
    </row>
    <row r="10636">
      <c r="BB10636" s="122"/>
      <c r="BC10636" s="141"/>
    </row>
    <row r="10637">
      <c r="BB10637" s="122"/>
      <c r="BC10637" s="141"/>
    </row>
    <row r="10638">
      <c r="BB10638" s="122"/>
      <c r="BC10638" s="141"/>
    </row>
    <row r="10639">
      <c r="BB10639" s="122"/>
      <c r="BC10639" s="141"/>
    </row>
    <row r="10640">
      <c r="BB10640" s="122"/>
      <c r="BC10640" s="141"/>
    </row>
    <row r="10641">
      <c r="BB10641" s="122"/>
      <c r="BC10641" s="141"/>
    </row>
    <row r="10642">
      <c r="BB10642" s="122"/>
      <c r="BC10642" s="141"/>
    </row>
    <row r="10643">
      <c r="BB10643" s="122"/>
      <c r="BC10643" s="141"/>
    </row>
    <row r="10644">
      <c r="BB10644" s="122"/>
      <c r="BC10644" s="141"/>
    </row>
    <row r="10645">
      <c r="BB10645" s="122"/>
      <c r="BC10645" s="141"/>
    </row>
    <row r="10646">
      <c r="BB10646" s="122"/>
      <c r="BC10646" s="141"/>
    </row>
    <row r="10647">
      <c r="BB10647" s="122"/>
      <c r="BC10647" s="141"/>
    </row>
    <row r="10648">
      <c r="BB10648" s="122"/>
      <c r="BC10648" s="141"/>
    </row>
    <row r="10649">
      <c r="BB10649" s="122"/>
      <c r="BC10649" s="141"/>
    </row>
    <row r="10650">
      <c r="BB10650" s="122"/>
      <c r="BC10650" s="141"/>
    </row>
    <row r="10651">
      <c r="BB10651" s="122"/>
      <c r="BC10651" s="141"/>
    </row>
    <row r="10652">
      <c r="BB10652" s="122"/>
      <c r="BC10652" s="141"/>
    </row>
    <row r="10653">
      <c r="BB10653" s="122"/>
      <c r="BC10653" s="141"/>
    </row>
    <row r="10654">
      <c r="BB10654" s="122"/>
      <c r="BC10654" s="141"/>
    </row>
    <row r="10655">
      <c r="BB10655" s="122"/>
      <c r="BC10655" s="141"/>
    </row>
    <row r="10656">
      <c r="BB10656" s="122"/>
      <c r="BC10656" s="141"/>
    </row>
    <row r="10657">
      <c r="BB10657" s="122"/>
      <c r="BC10657" s="141"/>
    </row>
    <row r="10658">
      <c r="BB10658" s="122"/>
      <c r="BC10658" s="141"/>
    </row>
    <row r="10659">
      <c r="BB10659" s="122"/>
      <c r="BC10659" s="141"/>
    </row>
    <row r="10660">
      <c r="BB10660" s="122"/>
      <c r="BC10660" s="141"/>
    </row>
    <row r="10661">
      <c r="BB10661" s="122"/>
      <c r="BC10661" s="141"/>
    </row>
    <row r="10662">
      <c r="BB10662" s="122"/>
      <c r="BC10662" s="141"/>
    </row>
    <row r="10663">
      <c r="BB10663" s="122"/>
      <c r="BC10663" s="141"/>
    </row>
    <row r="10664">
      <c r="BB10664" s="122"/>
      <c r="BC10664" s="141"/>
    </row>
    <row r="10665">
      <c r="BB10665" s="122"/>
      <c r="BC10665" s="141"/>
    </row>
    <row r="10666">
      <c r="BB10666" s="122"/>
      <c r="BC10666" s="141"/>
    </row>
    <row r="10667">
      <c r="BB10667" s="122"/>
      <c r="BC10667" s="141"/>
    </row>
    <row r="10668">
      <c r="BB10668" s="122"/>
      <c r="BC10668" s="141"/>
    </row>
    <row r="10669">
      <c r="BB10669" s="122"/>
      <c r="BC10669" s="141"/>
    </row>
    <row r="10670">
      <c r="BB10670" s="122"/>
      <c r="BC10670" s="141"/>
    </row>
    <row r="10671">
      <c r="BB10671" s="122"/>
      <c r="BC10671" s="141"/>
    </row>
    <row r="10672">
      <c r="BB10672" s="122"/>
      <c r="BC10672" s="141"/>
    </row>
    <row r="10673">
      <c r="BB10673" s="122"/>
      <c r="BC10673" s="141"/>
    </row>
    <row r="10674">
      <c r="BB10674" s="122"/>
      <c r="BC10674" s="141"/>
    </row>
    <row r="10675">
      <c r="BB10675" s="122"/>
      <c r="BC10675" s="141"/>
    </row>
    <row r="10676">
      <c r="BB10676" s="122"/>
      <c r="BC10676" s="141"/>
    </row>
    <row r="10677">
      <c r="BB10677" s="122"/>
      <c r="BC10677" s="141"/>
    </row>
    <row r="10678">
      <c r="BB10678" s="122"/>
      <c r="BC10678" s="141"/>
    </row>
    <row r="10679">
      <c r="BB10679" s="122"/>
      <c r="BC10679" s="141"/>
    </row>
    <row r="10680">
      <c r="BB10680" s="122"/>
      <c r="BC10680" s="141"/>
    </row>
    <row r="10681">
      <c r="BB10681" s="122"/>
      <c r="BC10681" s="141"/>
    </row>
    <row r="10682">
      <c r="BB10682" s="122"/>
      <c r="BC10682" s="141"/>
    </row>
    <row r="10683">
      <c r="BB10683" s="122"/>
      <c r="BC10683" s="141"/>
    </row>
    <row r="10684">
      <c r="BB10684" s="122"/>
      <c r="BC10684" s="141"/>
    </row>
    <row r="10685">
      <c r="BB10685" s="122"/>
      <c r="BC10685" s="141"/>
    </row>
    <row r="10686">
      <c r="BB10686" s="122"/>
      <c r="BC10686" s="141"/>
    </row>
    <row r="10687">
      <c r="BB10687" s="122"/>
      <c r="BC10687" s="141"/>
    </row>
    <row r="10688">
      <c r="BB10688" s="122"/>
      <c r="BC10688" s="141"/>
    </row>
    <row r="10689">
      <c r="BB10689" s="122"/>
      <c r="BC10689" s="141"/>
    </row>
    <row r="10690">
      <c r="BB10690" s="122"/>
      <c r="BC10690" s="141"/>
    </row>
    <row r="10691">
      <c r="BB10691" s="122"/>
      <c r="BC10691" s="141"/>
    </row>
    <row r="10692">
      <c r="BB10692" s="122"/>
      <c r="BC10692" s="141"/>
    </row>
    <row r="10693">
      <c r="BB10693" s="122"/>
      <c r="BC10693" s="141"/>
    </row>
    <row r="10694">
      <c r="BB10694" s="122"/>
      <c r="BC10694" s="141"/>
    </row>
    <row r="10695">
      <c r="BB10695" s="122"/>
      <c r="BC10695" s="141"/>
    </row>
    <row r="10696">
      <c r="BB10696" s="122"/>
      <c r="BC10696" s="141"/>
    </row>
    <row r="10697">
      <c r="BB10697" s="122"/>
      <c r="BC10697" s="141"/>
    </row>
    <row r="10698">
      <c r="BB10698" s="122"/>
      <c r="BC10698" s="141"/>
    </row>
    <row r="10699">
      <c r="BB10699" s="122"/>
      <c r="BC10699" s="141"/>
    </row>
    <row r="10700">
      <c r="BB10700" s="122"/>
      <c r="BC10700" s="141"/>
    </row>
    <row r="10701">
      <c r="BB10701" s="122"/>
      <c r="BC10701" s="141"/>
    </row>
    <row r="10702">
      <c r="BB10702" s="122"/>
      <c r="BC10702" s="141"/>
    </row>
    <row r="10703">
      <c r="BB10703" s="122"/>
      <c r="BC10703" s="141"/>
    </row>
    <row r="10704">
      <c r="BB10704" s="122"/>
      <c r="BC10704" s="141"/>
    </row>
    <row r="10705">
      <c r="BB10705" s="122"/>
      <c r="BC10705" s="141"/>
    </row>
    <row r="10706">
      <c r="BB10706" s="122"/>
      <c r="BC10706" s="141"/>
    </row>
    <row r="10707">
      <c r="BB10707" s="122"/>
      <c r="BC10707" s="141"/>
    </row>
    <row r="10708">
      <c r="BB10708" s="122"/>
      <c r="BC10708" s="141"/>
    </row>
    <row r="10709">
      <c r="BB10709" s="122"/>
      <c r="BC10709" s="141"/>
    </row>
    <row r="10710">
      <c r="BB10710" s="122"/>
      <c r="BC10710" s="141"/>
    </row>
    <row r="10711">
      <c r="BB10711" s="122"/>
      <c r="BC10711" s="141"/>
    </row>
    <row r="10712">
      <c r="BB10712" s="122"/>
      <c r="BC10712" s="141"/>
    </row>
    <row r="10713">
      <c r="BB10713" s="122"/>
      <c r="BC10713" s="141"/>
    </row>
    <row r="10714">
      <c r="BB10714" s="122"/>
      <c r="BC10714" s="141"/>
    </row>
    <row r="10715">
      <c r="BB10715" s="122"/>
      <c r="BC10715" s="141"/>
    </row>
    <row r="10716">
      <c r="BB10716" s="122"/>
      <c r="BC10716" s="141"/>
    </row>
    <row r="10717">
      <c r="BB10717" s="122"/>
      <c r="BC10717" s="141"/>
    </row>
    <row r="10718">
      <c r="BB10718" s="122"/>
      <c r="BC10718" s="141"/>
    </row>
    <row r="10719">
      <c r="BB10719" s="122"/>
      <c r="BC10719" s="141"/>
    </row>
    <row r="10720">
      <c r="BB10720" s="122"/>
      <c r="BC10720" s="141"/>
    </row>
    <row r="10721">
      <c r="BB10721" s="122"/>
      <c r="BC10721" s="141"/>
    </row>
    <row r="10722">
      <c r="BB10722" s="122"/>
      <c r="BC10722" s="141"/>
    </row>
    <row r="10723">
      <c r="BB10723" s="122"/>
      <c r="BC10723" s="141"/>
    </row>
    <row r="10724">
      <c r="BB10724" s="122"/>
      <c r="BC10724" s="141"/>
    </row>
    <row r="10725">
      <c r="BB10725" s="122"/>
      <c r="BC10725" s="141"/>
    </row>
    <row r="10726">
      <c r="BB10726" s="122"/>
      <c r="BC10726" s="141"/>
    </row>
    <row r="10727">
      <c r="BB10727" s="122"/>
      <c r="BC10727" s="141"/>
    </row>
    <row r="10728">
      <c r="BB10728" s="122"/>
      <c r="BC10728" s="141"/>
    </row>
    <row r="10729">
      <c r="BB10729" s="122"/>
      <c r="BC10729" s="141"/>
    </row>
    <row r="10730">
      <c r="BB10730" s="122"/>
      <c r="BC10730" s="141"/>
    </row>
    <row r="10731">
      <c r="BB10731" s="122"/>
      <c r="BC10731" s="141"/>
    </row>
    <row r="10732">
      <c r="BB10732" s="122"/>
      <c r="BC10732" s="141"/>
    </row>
    <row r="10733">
      <c r="BB10733" s="122"/>
      <c r="BC10733" s="141"/>
    </row>
    <row r="10734">
      <c r="BB10734" s="122"/>
      <c r="BC10734" s="141"/>
    </row>
    <row r="10735">
      <c r="BB10735" s="122"/>
      <c r="BC10735" s="141"/>
    </row>
    <row r="10736">
      <c r="BB10736" s="122"/>
      <c r="BC10736" s="141"/>
    </row>
    <row r="10737">
      <c r="BB10737" s="122"/>
      <c r="BC10737" s="141"/>
    </row>
    <row r="10738">
      <c r="BB10738" s="122"/>
      <c r="BC10738" s="141"/>
    </row>
    <row r="10739">
      <c r="BB10739" s="122"/>
      <c r="BC10739" s="141"/>
    </row>
    <row r="10740">
      <c r="BB10740" s="122"/>
      <c r="BC10740" s="141"/>
    </row>
    <row r="10741">
      <c r="BB10741" s="122"/>
      <c r="BC10741" s="141"/>
    </row>
    <row r="10742">
      <c r="BB10742" s="122"/>
      <c r="BC10742" s="141"/>
    </row>
    <row r="10743">
      <c r="BB10743" s="122"/>
      <c r="BC10743" s="141"/>
    </row>
    <row r="10744">
      <c r="BB10744" s="122"/>
      <c r="BC10744" s="141"/>
    </row>
    <row r="10745">
      <c r="BB10745" s="122"/>
      <c r="BC10745" s="141"/>
    </row>
    <row r="10746">
      <c r="BB10746" s="122"/>
      <c r="BC10746" s="141"/>
    </row>
    <row r="10747">
      <c r="BB10747" s="122"/>
      <c r="BC10747" s="141"/>
    </row>
    <row r="10748">
      <c r="BB10748" s="122"/>
      <c r="BC10748" s="141"/>
    </row>
    <row r="10749">
      <c r="BB10749" s="122"/>
      <c r="BC10749" s="141"/>
    </row>
    <row r="10750">
      <c r="BB10750" s="122"/>
      <c r="BC10750" s="141"/>
    </row>
    <row r="10751">
      <c r="BB10751" s="122"/>
      <c r="BC10751" s="141"/>
    </row>
    <row r="10752">
      <c r="BB10752" s="122"/>
      <c r="BC10752" s="141"/>
    </row>
    <row r="10753">
      <c r="BB10753" s="122"/>
      <c r="BC10753" s="141"/>
    </row>
    <row r="10754">
      <c r="BB10754" s="122"/>
      <c r="BC10754" s="141"/>
    </row>
    <row r="10755">
      <c r="BB10755" s="122"/>
      <c r="BC10755" s="141"/>
    </row>
    <row r="10756">
      <c r="BB10756" s="122"/>
      <c r="BC10756" s="141"/>
    </row>
    <row r="10757">
      <c r="BB10757" s="122"/>
      <c r="BC10757" s="141"/>
    </row>
    <row r="10758">
      <c r="BB10758" s="122"/>
      <c r="BC10758" s="141"/>
    </row>
    <row r="10759">
      <c r="BB10759" s="122"/>
      <c r="BC10759" s="141"/>
    </row>
    <row r="10760">
      <c r="BB10760" s="122"/>
      <c r="BC10760" s="141"/>
    </row>
    <row r="10761">
      <c r="BB10761" s="122"/>
      <c r="BC10761" s="141"/>
    </row>
    <row r="10762">
      <c r="BB10762" s="122"/>
      <c r="BC10762" s="141"/>
    </row>
    <row r="10763">
      <c r="BB10763" s="122"/>
      <c r="BC10763" s="141"/>
    </row>
    <row r="10764">
      <c r="BB10764" s="122"/>
      <c r="BC10764" s="141"/>
    </row>
    <row r="10765">
      <c r="BB10765" s="122"/>
      <c r="BC10765" s="141"/>
    </row>
    <row r="10766">
      <c r="BB10766" s="122"/>
      <c r="BC10766" s="141"/>
    </row>
    <row r="10767">
      <c r="BB10767" s="122"/>
      <c r="BC10767" s="141"/>
    </row>
    <row r="10768">
      <c r="BB10768" s="122"/>
      <c r="BC10768" s="141"/>
    </row>
    <row r="10769">
      <c r="BB10769" s="122"/>
      <c r="BC10769" s="141"/>
    </row>
    <row r="10770">
      <c r="BB10770" s="122"/>
      <c r="BC10770" s="141"/>
    </row>
    <row r="10771">
      <c r="BB10771" s="122"/>
      <c r="BC10771" s="141"/>
    </row>
    <row r="10772">
      <c r="BB10772" s="122"/>
      <c r="BC10772" s="141"/>
    </row>
    <row r="10773">
      <c r="BB10773" s="122"/>
      <c r="BC10773" s="141"/>
    </row>
    <row r="10774">
      <c r="BB10774" s="122"/>
      <c r="BC10774" s="141"/>
    </row>
    <row r="10775">
      <c r="BB10775" s="122"/>
      <c r="BC10775" s="141"/>
    </row>
    <row r="10776">
      <c r="BB10776" s="122"/>
      <c r="BC10776" s="141"/>
    </row>
    <row r="10777">
      <c r="BB10777" s="122"/>
      <c r="BC10777" s="141"/>
    </row>
    <row r="10778">
      <c r="BB10778" s="122"/>
      <c r="BC10778" s="141"/>
    </row>
    <row r="10779">
      <c r="BB10779" s="122"/>
      <c r="BC10779" s="141"/>
    </row>
    <row r="10780">
      <c r="BB10780" s="122"/>
      <c r="BC10780" s="141"/>
    </row>
    <row r="10781">
      <c r="BB10781" s="122"/>
      <c r="BC10781" s="141"/>
    </row>
    <row r="10782">
      <c r="BB10782" s="122"/>
      <c r="BC10782" s="141"/>
    </row>
    <row r="10783">
      <c r="BB10783" s="122"/>
      <c r="BC10783" s="141"/>
    </row>
    <row r="10784">
      <c r="BB10784" s="122"/>
      <c r="BC10784" s="141"/>
    </row>
    <row r="10785">
      <c r="BB10785" s="122"/>
      <c r="BC10785" s="141"/>
    </row>
    <row r="10786">
      <c r="BB10786" s="122"/>
      <c r="BC10786" s="141"/>
    </row>
    <row r="10787">
      <c r="BB10787" s="122"/>
      <c r="BC10787" s="141"/>
    </row>
    <row r="10788">
      <c r="BB10788" s="122"/>
      <c r="BC10788" s="141"/>
    </row>
    <row r="10789">
      <c r="BB10789" s="122"/>
      <c r="BC10789" s="141"/>
    </row>
    <row r="10790">
      <c r="BB10790" s="122"/>
      <c r="BC10790" s="141"/>
    </row>
    <row r="10791">
      <c r="BB10791" s="122"/>
      <c r="BC10791" s="141"/>
    </row>
    <row r="10792">
      <c r="BB10792" s="122"/>
      <c r="BC10792" s="141"/>
    </row>
    <row r="10793">
      <c r="BB10793" s="122"/>
      <c r="BC10793" s="141"/>
    </row>
    <row r="10794">
      <c r="BB10794" s="122"/>
      <c r="BC10794" s="141"/>
    </row>
    <row r="10795">
      <c r="BB10795" s="122"/>
      <c r="BC10795" s="141"/>
    </row>
    <row r="10796">
      <c r="BB10796" s="122"/>
      <c r="BC10796" s="141"/>
    </row>
    <row r="10797">
      <c r="BB10797" s="122"/>
      <c r="BC10797" s="141"/>
    </row>
    <row r="10798">
      <c r="BB10798" s="122"/>
      <c r="BC10798" s="141"/>
    </row>
    <row r="10799">
      <c r="BB10799" s="122"/>
      <c r="BC10799" s="141"/>
    </row>
    <row r="10800">
      <c r="BB10800" s="122"/>
      <c r="BC10800" s="141"/>
    </row>
    <row r="10801">
      <c r="BB10801" s="122"/>
      <c r="BC10801" s="141"/>
    </row>
    <row r="10802">
      <c r="BB10802" s="122"/>
      <c r="BC10802" s="141"/>
    </row>
    <row r="10803">
      <c r="BB10803" s="122"/>
      <c r="BC10803" s="141"/>
    </row>
    <row r="10804">
      <c r="BB10804" s="122"/>
      <c r="BC10804" s="141"/>
    </row>
    <row r="10805">
      <c r="BB10805" s="122"/>
      <c r="BC10805" s="141"/>
    </row>
    <row r="10806">
      <c r="BB10806" s="122"/>
      <c r="BC10806" s="141"/>
    </row>
    <row r="10807">
      <c r="BB10807" s="122"/>
      <c r="BC10807" s="141"/>
    </row>
    <row r="10808">
      <c r="BB10808" s="122"/>
      <c r="BC10808" s="141"/>
    </row>
    <row r="10809">
      <c r="BB10809" s="122"/>
      <c r="BC10809" s="141"/>
    </row>
    <row r="10810">
      <c r="BB10810" s="122"/>
      <c r="BC10810" s="141"/>
    </row>
    <row r="10811">
      <c r="BB10811" s="122"/>
      <c r="BC10811" s="141"/>
    </row>
    <row r="10812">
      <c r="BB10812" s="122"/>
      <c r="BC10812" s="141"/>
    </row>
    <row r="10813">
      <c r="BB10813" s="122"/>
      <c r="BC10813" s="141"/>
    </row>
    <row r="10814">
      <c r="BB10814" s="122"/>
      <c r="BC10814" s="141"/>
    </row>
    <row r="10815">
      <c r="BB10815" s="122"/>
      <c r="BC10815" s="141"/>
    </row>
    <row r="10816">
      <c r="BB10816" s="122"/>
      <c r="BC10816" s="141"/>
    </row>
    <row r="10817">
      <c r="BB10817" s="122"/>
      <c r="BC10817" s="141"/>
    </row>
    <row r="10818">
      <c r="BB10818" s="122"/>
      <c r="BC10818" s="141"/>
    </row>
    <row r="10819">
      <c r="BB10819" s="122"/>
      <c r="BC10819" s="141"/>
    </row>
    <row r="10820">
      <c r="BB10820" s="122"/>
      <c r="BC10820" s="141"/>
    </row>
    <row r="10821">
      <c r="BB10821" s="122"/>
      <c r="BC10821" s="141"/>
    </row>
    <row r="10822">
      <c r="BB10822" s="122"/>
      <c r="BC10822" s="141"/>
    </row>
    <row r="10823">
      <c r="BB10823" s="122"/>
      <c r="BC10823" s="141"/>
    </row>
    <row r="10824">
      <c r="BB10824" s="122"/>
      <c r="BC10824" s="141"/>
    </row>
    <row r="10825">
      <c r="BB10825" s="122"/>
      <c r="BC10825" s="141"/>
    </row>
    <row r="10826">
      <c r="BB10826" s="122"/>
      <c r="BC10826" s="141"/>
    </row>
    <row r="10827">
      <c r="BB10827" s="122"/>
      <c r="BC10827" s="141"/>
    </row>
    <row r="10828">
      <c r="BB10828" s="122"/>
      <c r="BC10828" s="141"/>
    </row>
    <row r="10829">
      <c r="BB10829" s="122"/>
      <c r="BC10829" s="141"/>
    </row>
    <row r="10830">
      <c r="BB10830" s="122"/>
      <c r="BC10830" s="141"/>
    </row>
    <row r="10831">
      <c r="BB10831" s="122"/>
      <c r="BC10831" s="141"/>
    </row>
    <row r="10832">
      <c r="BB10832" s="122"/>
      <c r="BC10832" s="141"/>
    </row>
    <row r="10833">
      <c r="BB10833" s="122"/>
      <c r="BC10833" s="141"/>
    </row>
    <row r="10834">
      <c r="BB10834" s="122"/>
      <c r="BC10834" s="141"/>
    </row>
    <row r="10835">
      <c r="BB10835" s="122"/>
      <c r="BC10835" s="141"/>
    </row>
    <row r="10836">
      <c r="BB10836" s="122"/>
      <c r="BC10836" s="141"/>
    </row>
    <row r="10837">
      <c r="BB10837" s="122"/>
      <c r="BC10837" s="141"/>
    </row>
    <row r="10838">
      <c r="BB10838" s="122"/>
      <c r="BC10838" s="141"/>
    </row>
    <row r="10839">
      <c r="BB10839" s="122"/>
      <c r="BC10839" s="141"/>
    </row>
    <row r="10840">
      <c r="BB10840" s="122"/>
      <c r="BC10840" s="141"/>
    </row>
    <row r="10841">
      <c r="BB10841" s="122"/>
      <c r="BC10841" s="141"/>
    </row>
    <row r="10842">
      <c r="BB10842" s="122"/>
      <c r="BC10842" s="141"/>
    </row>
    <row r="10843">
      <c r="BB10843" s="122"/>
      <c r="BC10843" s="141"/>
    </row>
    <row r="10844">
      <c r="BB10844" s="122"/>
      <c r="BC10844" s="141"/>
    </row>
    <row r="10845">
      <c r="BB10845" s="122"/>
      <c r="BC10845" s="141"/>
    </row>
    <row r="10846">
      <c r="BB10846" s="122"/>
      <c r="BC10846" s="141"/>
    </row>
    <row r="10847">
      <c r="BB10847" s="122"/>
      <c r="BC10847" s="141"/>
    </row>
    <row r="10848">
      <c r="BB10848" s="122"/>
      <c r="BC10848" s="141"/>
    </row>
    <row r="10849">
      <c r="BB10849" s="122"/>
      <c r="BC10849" s="141"/>
    </row>
    <row r="10850">
      <c r="BB10850" s="122"/>
      <c r="BC10850" s="141"/>
    </row>
    <row r="10851">
      <c r="BB10851" s="122"/>
      <c r="BC10851" s="141"/>
    </row>
    <row r="10852">
      <c r="BB10852" s="122"/>
      <c r="BC10852" s="141"/>
    </row>
    <row r="10853">
      <c r="BB10853" s="122"/>
      <c r="BC10853" s="141"/>
    </row>
    <row r="10854">
      <c r="BB10854" s="122"/>
      <c r="BC10854" s="141"/>
    </row>
    <row r="10855">
      <c r="BB10855" s="122"/>
      <c r="BC10855" s="141"/>
    </row>
    <row r="10856">
      <c r="BB10856" s="122"/>
      <c r="BC10856" s="141"/>
    </row>
    <row r="10857">
      <c r="BB10857" s="122"/>
      <c r="BC10857" s="141"/>
    </row>
    <row r="10858">
      <c r="BB10858" s="122"/>
      <c r="BC10858" s="141"/>
    </row>
    <row r="10859">
      <c r="BB10859" s="122"/>
      <c r="BC10859" s="141"/>
    </row>
    <row r="10860">
      <c r="BB10860" s="122"/>
      <c r="BC10860" s="141"/>
    </row>
    <row r="10861">
      <c r="BB10861" s="122"/>
      <c r="BC10861" s="141"/>
    </row>
    <row r="10862">
      <c r="BB10862" s="122"/>
      <c r="BC10862" s="141"/>
    </row>
    <row r="10863">
      <c r="BB10863" s="122"/>
      <c r="BC10863" s="141"/>
    </row>
    <row r="10864">
      <c r="BB10864" s="122"/>
      <c r="BC10864" s="141"/>
    </row>
    <row r="10865">
      <c r="BB10865" s="122"/>
      <c r="BC10865" s="141"/>
    </row>
    <row r="10866">
      <c r="BB10866" s="122"/>
      <c r="BC10866" s="141"/>
    </row>
    <row r="10867">
      <c r="BB10867" s="122"/>
      <c r="BC10867" s="141"/>
    </row>
    <row r="10868">
      <c r="BB10868" s="122"/>
      <c r="BC10868" s="141"/>
    </row>
    <row r="10869">
      <c r="BB10869" s="122"/>
      <c r="BC10869" s="141"/>
    </row>
    <row r="10870">
      <c r="BB10870" s="122"/>
      <c r="BC10870" s="141"/>
    </row>
    <row r="10871">
      <c r="BB10871" s="122"/>
      <c r="BC10871" s="141"/>
    </row>
    <row r="10872">
      <c r="BB10872" s="122"/>
      <c r="BC10872" s="141"/>
    </row>
    <row r="10873">
      <c r="BB10873" s="122"/>
      <c r="BC10873" s="141"/>
    </row>
    <row r="10874">
      <c r="BB10874" s="122"/>
      <c r="BC10874" s="141"/>
    </row>
    <row r="10875">
      <c r="BB10875" s="122"/>
      <c r="BC10875" s="141"/>
    </row>
    <row r="10876">
      <c r="BB10876" s="122"/>
      <c r="BC10876" s="141"/>
    </row>
    <row r="10877">
      <c r="BB10877" s="122"/>
      <c r="BC10877" s="141"/>
    </row>
    <row r="10878">
      <c r="BB10878" s="122"/>
      <c r="BC10878" s="141"/>
    </row>
    <row r="10879">
      <c r="BB10879" s="122"/>
      <c r="BC10879" s="141"/>
    </row>
    <row r="10880">
      <c r="BB10880" s="122"/>
      <c r="BC10880" s="141"/>
    </row>
    <row r="10881">
      <c r="BB10881" s="122"/>
      <c r="BC10881" s="141"/>
    </row>
    <row r="10882">
      <c r="BB10882" s="122"/>
      <c r="BC10882" s="141"/>
    </row>
    <row r="10883">
      <c r="BB10883" s="122"/>
      <c r="BC10883" s="141"/>
    </row>
    <row r="10884">
      <c r="BB10884" s="122"/>
      <c r="BC10884" s="141"/>
    </row>
    <row r="10885">
      <c r="BB10885" s="122"/>
      <c r="BC10885" s="141"/>
    </row>
    <row r="10886">
      <c r="BB10886" s="122"/>
      <c r="BC10886" s="141"/>
    </row>
    <row r="10887">
      <c r="BB10887" s="122"/>
      <c r="BC10887" s="141"/>
    </row>
    <row r="10888">
      <c r="BB10888" s="122"/>
      <c r="BC10888" s="141"/>
    </row>
    <row r="10889">
      <c r="BB10889" s="122"/>
      <c r="BC10889" s="141"/>
    </row>
    <row r="10890">
      <c r="BB10890" s="122"/>
      <c r="BC10890" s="141"/>
    </row>
    <row r="10891">
      <c r="BB10891" s="122"/>
      <c r="BC10891" s="141"/>
    </row>
    <row r="10892">
      <c r="BB10892" s="122"/>
      <c r="BC10892" s="141"/>
    </row>
    <row r="10893">
      <c r="BB10893" s="122"/>
      <c r="BC10893" s="141"/>
    </row>
    <row r="10894">
      <c r="BB10894" s="122"/>
      <c r="BC10894" s="141"/>
    </row>
    <row r="10895">
      <c r="BB10895" s="122"/>
      <c r="BC10895" s="141"/>
    </row>
    <row r="10896">
      <c r="BB10896" s="122"/>
      <c r="BC10896" s="141"/>
    </row>
    <row r="10897">
      <c r="BB10897" s="122"/>
      <c r="BC10897" s="141"/>
    </row>
    <row r="10898">
      <c r="BB10898" s="122"/>
      <c r="BC10898" s="141"/>
    </row>
    <row r="10899">
      <c r="BB10899" s="122"/>
      <c r="BC10899" s="141"/>
    </row>
    <row r="10900">
      <c r="BB10900" s="122"/>
      <c r="BC10900" s="141"/>
    </row>
    <row r="10901">
      <c r="BB10901" s="122"/>
      <c r="BC10901" s="141"/>
    </row>
    <row r="10902">
      <c r="BB10902" s="122"/>
      <c r="BC10902" s="141"/>
    </row>
    <row r="10903">
      <c r="BB10903" s="122"/>
      <c r="BC10903" s="141"/>
    </row>
    <row r="10904">
      <c r="BB10904" s="122"/>
      <c r="BC10904" s="141"/>
    </row>
    <row r="10905">
      <c r="BB10905" s="122"/>
      <c r="BC10905" s="141"/>
    </row>
    <row r="10906">
      <c r="BB10906" s="122"/>
      <c r="BC10906" s="141"/>
    </row>
    <row r="10907">
      <c r="BB10907" s="122"/>
      <c r="BC10907" s="141"/>
    </row>
    <row r="10908">
      <c r="BB10908" s="122"/>
      <c r="BC10908" s="141"/>
    </row>
    <row r="10909">
      <c r="BB10909" s="122"/>
      <c r="BC10909" s="141"/>
    </row>
    <row r="10910">
      <c r="BB10910" s="122"/>
      <c r="BC10910" s="141"/>
    </row>
    <row r="10911">
      <c r="BB10911" s="122"/>
      <c r="BC10911" s="141"/>
    </row>
    <row r="10912">
      <c r="BB10912" s="122"/>
      <c r="BC10912" s="141"/>
    </row>
    <row r="10913">
      <c r="BB10913" s="122"/>
      <c r="BC10913" s="141"/>
    </row>
    <row r="10914">
      <c r="BB10914" s="122"/>
      <c r="BC10914" s="141"/>
    </row>
    <row r="10915">
      <c r="BB10915" s="122"/>
      <c r="BC10915" s="141"/>
    </row>
    <row r="10916">
      <c r="BB10916" s="122"/>
      <c r="BC10916" s="141"/>
    </row>
    <row r="10917">
      <c r="BB10917" s="122"/>
      <c r="BC10917" s="141"/>
    </row>
    <row r="10918">
      <c r="BB10918" s="122"/>
      <c r="BC10918" s="141"/>
    </row>
    <row r="10919">
      <c r="BB10919" s="122"/>
      <c r="BC10919" s="141"/>
    </row>
    <row r="10920">
      <c r="BB10920" s="122"/>
      <c r="BC10920" s="141"/>
    </row>
    <row r="10921">
      <c r="BB10921" s="122"/>
      <c r="BC10921" s="141"/>
    </row>
    <row r="10922">
      <c r="BB10922" s="122"/>
      <c r="BC10922" s="141"/>
    </row>
    <row r="10923">
      <c r="BB10923" s="122"/>
      <c r="BC10923" s="141"/>
    </row>
    <row r="10924">
      <c r="BB10924" s="122"/>
      <c r="BC10924" s="141"/>
    </row>
    <row r="10925">
      <c r="BB10925" s="122"/>
      <c r="BC10925" s="141"/>
    </row>
    <row r="10926">
      <c r="BB10926" s="122"/>
      <c r="BC10926" s="141"/>
    </row>
    <row r="10927">
      <c r="BB10927" s="122"/>
      <c r="BC10927" s="141"/>
    </row>
    <row r="10928">
      <c r="BB10928" s="122"/>
      <c r="BC10928" s="141"/>
    </row>
    <row r="10929">
      <c r="BB10929" s="122"/>
      <c r="BC10929" s="141"/>
    </row>
    <row r="10930">
      <c r="BB10930" s="122"/>
      <c r="BC10930" s="141"/>
    </row>
    <row r="10931">
      <c r="BB10931" s="122"/>
      <c r="BC10931" s="141"/>
    </row>
    <row r="10932">
      <c r="BB10932" s="122"/>
      <c r="BC10932" s="141"/>
    </row>
    <row r="10933">
      <c r="BB10933" s="122"/>
      <c r="BC10933" s="141"/>
    </row>
    <row r="10934">
      <c r="BB10934" s="122"/>
      <c r="BC10934" s="141"/>
    </row>
    <row r="10935">
      <c r="BB10935" s="122"/>
      <c r="BC10935" s="141"/>
    </row>
    <row r="10936">
      <c r="BB10936" s="122"/>
      <c r="BC10936" s="141"/>
    </row>
    <row r="10937">
      <c r="BB10937" s="122"/>
      <c r="BC10937" s="141"/>
    </row>
    <row r="10938">
      <c r="BB10938" s="122"/>
      <c r="BC10938" s="141"/>
    </row>
    <row r="10939">
      <c r="BB10939" s="122"/>
      <c r="BC10939" s="141"/>
    </row>
    <row r="10940">
      <c r="BB10940" s="122"/>
      <c r="BC10940" s="141"/>
    </row>
    <row r="10941">
      <c r="BB10941" s="122"/>
      <c r="BC10941" s="141"/>
    </row>
    <row r="10942">
      <c r="BB10942" s="122"/>
      <c r="BC10942" s="141"/>
    </row>
    <row r="10943">
      <c r="BB10943" s="122"/>
      <c r="BC10943" s="141"/>
    </row>
    <row r="10944">
      <c r="BB10944" s="122"/>
      <c r="BC10944" s="141"/>
    </row>
    <row r="10945">
      <c r="BB10945" s="122"/>
      <c r="BC10945" s="141"/>
    </row>
    <row r="10946">
      <c r="BB10946" s="122"/>
      <c r="BC10946" s="141"/>
    </row>
    <row r="10947">
      <c r="BB10947" s="122"/>
      <c r="BC10947" s="141"/>
    </row>
    <row r="10948">
      <c r="BB10948" s="122"/>
      <c r="BC10948" s="141"/>
    </row>
    <row r="10949">
      <c r="BB10949" s="122"/>
      <c r="BC10949" s="141"/>
    </row>
    <row r="10950">
      <c r="BB10950" s="122"/>
      <c r="BC10950" s="141"/>
    </row>
    <row r="10951">
      <c r="BB10951" s="122"/>
      <c r="BC10951" s="141"/>
    </row>
    <row r="10952">
      <c r="BB10952" s="122"/>
      <c r="BC10952" s="141"/>
    </row>
    <row r="10953">
      <c r="BB10953" s="122"/>
      <c r="BC10953" s="141"/>
    </row>
    <row r="10954">
      <c r="BB10954" s="122"/>
      <c r="BC10954" s="141"/>
    </row>
    <row r="10955">
      <c r="BB10955" s="122"/>
      <c r="BC10955" s="141"/>
    </row>
    <row r="10956">
      <c r="BB10956" s="122"/>
      <c r="BC10956" s="141"/>
    </row>
    <row r="10957">
      <c r="BB10957" s="122"/>
      <c r="BC10957" s="141"/>
    </row>
    <row r="10958">
      <c r="BB10958" s="122"/>
      <c r="BC10958" s="141"/>
    </row>
    <row r="10959">
      <c r="BB10959" s="122"/>
      <c r="BC10959" s="141"/>
    </row>
    <row r="10960">
      <c r="BB10960" s="122"/>
      <c r="BC10960" s="141"/>
    </row>
    <row r="10961">
      <c r="BB10961" s="122"/>
      <c r="BC10961" s="141"/>
    </row>
    <row r="10962">
      <c r="BB10962" s="122"/>
      <c r="BC10962" s="141"/>
    </row>
    <row r="10963">
      <c r="BB10963" s="122"/>
      <c r="BC10963" s="141"/>
    </row>
    <row r="10964">
      <c r="BB10964" s="122"/>
      <c r="BC10964" s="141"/>
    </row>
    <row r="10965">
      <c r="BB10965" s="122"/>
      <c r="BC10965" s="141"/>
    </row>
    <row r="10966">
      <c r="BB10966" s="122"/>
      <c r="BC10966" s="141"/>
    </row>
    <row r="10967">
      <c r="BB10967" s="122"/>
      <c r="BC10967" s="141"/>
    </row>
    <row r="10968">
      <c r="BB10968" s="122"/>
      <c r="BC10968" s="141"/>
    </row>
    <row r="10969">
      <c r="BB10969" s="122"/>
      <c r="BC10969" s="141"/>
    </row>
    <row r="10970">
      <c r="BB10970" s="122"/>
      <c r="BC10970" s="141"/>
    </row>
    <row r="10971">
      <c r="BB10971" s="122"/>
      <c r="BC10971" s="141"/>
    </row>
    <row r="10972">
      <c r="BB10972" s="122"/>
      <c r="BC10972" s="141"/>
    </row>
    <row r="10973">
      <c r="BB10973" s="122"/>
      <c r="BC10973" s="141"/>
    </row>
    <row r="10974">
      <c r="BB10974" s="122"/>
      <c r="BC10974" s="141"/>
    </row>
    <row r="10975">
      <c r="BB10975" s="122"/>
      <c r="BC10975" s="141"/>
    </row>
    <row r="10976">
      <c r="BB10976" s="122"/>
      <c r="BC10976" s="141"/>
    </row>
    <row r="10977">
      <c r="BB10977" s="122"/>
      <c r="BC10977" s="141"/>
    </row>
    <row r="10978">
      <c r="BB10978" s="122"/>
      <c r="BC10978" s="141"/>
    </row>
    <row r="10979">
      <c r="BB10979" s="122"/>
      <c r="BC10979" s="141"/>
    </row>
    <row r="10980">
      <c r="BB10980" s="122"/>
      <c r="BC10980" s="141"/>
    </row>
    <row r="10981">
      <c r="BB10981" s="122"/>
      <c r="BC10981" s="141"/>
    </row>
    <row r="10982">
      <c r="BB10982" s="122"/>
      <c r="BC10982" s="141"/>
    </row>
    <row r="10983">
      <c r="BB10983" s="122"/>
      <c r="BC10983" s="141"/>
    </row>
    <row r="10984">
      <c r="BB10984" s="122"/>
      <c r="BC10984" s="141"/>
    </row>
    <row r="10985">
      <c r="BB10985" s="122"/>
      <c r="BC10985" s="141"/>
    </row>
    <row r="10986">
      <c r="BB10986" s="122"/>
      <c r="BC10986" s="141"/>
    </row>
    <row r="10987">
      <c r="BB10987" s="122"/>
      <c r="BC10987" s="141"/>
    </row>
    <row r="10988">
      <c r="BB10988" s="122"/>
      <c r="BC10988" s="141"/>
    </row>
    <row r="10989">
      <c r="BB10989" s="122"/>
      <c r="BC10989" s="141"/>
    </row>
    <row r="10990">
      <c r="BB10990" s="122"/>
      <c r="BC10990" s="141"/>
    </row>
    <row r="10991">
      <c r="BB10991" s="122"/>
      <c r="BC10991" s="141"/>
    </row>
    <row r="10992">
      <c r="BB10992" s="122"/>
      <c r="BC10992" s="141"/>
    </row>
    <row r="10993">
      <c r="BB10993" s="122"/>
      <c r="BC10993" s="141"/>
    </row>
    <row r="10994">
      <c r="BB10994" s="122"/>
      <c r="BC10994" s="141"/>
    </row>
    <row r="10995">
      <c r="BB10995" s="122"/>
      <c r="BC10995" s="141"/>
    </row>
    <row r="10996">
      <c r="BB10996" s="122"/>
      <c r="BC10996" s="141"/>
    </row>
    <row r="10997">
      <c r="BB10997" s="122"/>
      <c r="BC10997" s="141"/>
    </row>
    <row r="10998">
      <c r="BB10998" s="122"/>
      <c r="BC10998" s="141"/>
    </row>
    <row r="10999">
      <c r="BB10999" s="122"/>
      <c r="BC10999" s="141"/>
    </row>
    <row r="11000">
      <c r="BB11000" s="122"/>
      <c r="BC11000" s="141"/>
    </row>
    <row r="11001">
      <c r="BB11001" s="122"/>
      <c r="BC11001" s="141"/>
    </row>
    <row r="11002">
      <c r="BB11002" s="122"/>
      <c r="BC11002" s="141"/>
    </row>
    <row r="11003">
      <c r="BB11003" s="122"/>
      <c r="BC11003" s="141"/>
    </row>
    <row r="11004">
      <c r="BB11004" s="122"/>
      <c r="BC11004" s="141"/>
    </row>
    <row r="11005">
      <c r="BB11005" s="122"/>
      <c r="BC11005" s="141"/>
    </row>
    <row r="11006">
      <c r="BB11006" s="122"/>
      <c r="BC11006" s="141"/>
    </row>
    <row r="11007">
      <c r="BB11007" s="122"/>
      <c r="BC11007" s="141"/>
    </row>
    <row r="11008">
      <c r="BB11008" s="122"/>
      <c r="BC11008" s="141"/>
    </row>
    <row r="11009">
      <c r="BB11009" s="122"/>
      <c r="BC11009" s="141"/>
    </row>
    <row r="11010">
      <c r="BB11010" s="122"/>
      <c r="BC11010" s="141"/>
    </row>
    <row r="11011">
      <c r="BB11011" s="122"/>
      <c r="BC11011" s="141"/>
    </row>
    <row r="11012">
      <c r="BB11012" s="122"/>
      <c r="BC11012" s="141"/>
    </row>
    <row r="11013">
      <c r="BB11013" s="122"/>
      <c r="BC11013" s="141"/>
    </row>
    <row r="11014">
      <c r="BB11014" s="122"/>
      <c r="BC11014" s="141"/>
    </row>
    <row r="11015">
      <c r="BB11015" s="122"/>
      <c r="BC11015" s="141"/>
    </row>
    <row r="11016">
      <c r="BB11016" s="122"/>
      <c r="BC11016" s="141"/>
    </row>
    <row r="11017">
      <c r="BB11017" s="122"/>
      <c r="BC11017" s="141"/>
    </row>
    <row r="11018">
      <c r="BB11018" s="122"/>
      <c r="BC11018" s="141"/>
    </row>
    <row r="11019">
      <c r="BB11019" s="122"/>
      <c r="BC11019" s="141"/>
    </row>
    <row r="11020">
      <c r="BB11020" s="122"/>
      <c r="BC11020" s="141"/>
    </row>
    <row r="11021">
      <c r="BB11021" s="122"/>
      <c r="BC11021" s="141"/>
    </row>
    <row r="11022">
      <c r="BB11022" s="122"/>
      <c r="BC11022" s="141"/>
    </row>
    <row r="11023">
      <c r="BB11023" s="122"/>
      <c r="BC11023" s="141"/>
    </row>
    <row r="11024">
      <c r="BB11024" s="122"/>
      <c r="BC11024" s="141"/>
    </row>
    <row r="11025">
      <c r="BB11025" s="122"/>
      <c r="BC11025" s="141"/>
    </row>
    <row r="11026">
      <c r="BB11026" s="122"/>
      <c r="BC11026" s="141"/>
    </row>
    <row r="11027">
      <c r="BB11027" s="122"/>
      <c r="BC11027" s="141"/>
    </row>
    <row r="11028">
      <c r="BB11028" s="122"/>
      <c r="BC11028" s="141"/>
    </row>
    <row r="11029">
      <c r="BB11029" s="122"/>
      <c r="BC11029" s="141"/>
    </row>
    <row r="11030">
      <c r="BB11030" s="122"/>
      <c r="BC11030" s="141"/>
    </row>
    <row r="11031">
      <c r="BB11031" s="122"/>
      <c r="BC11031" s="141"/>
    </row>
    <row r="11032">
      <c r="BB11032" s="122"/>
      <c r="BC11032" s="141"/>
    </row>
    <row r="11033">
      <c r="BB11033" s="122"/>
      <c r="BC11033" s="141"/>
    </row>
    <row r="11034">
      <c r="BB11034" s="122"/>
      <c r="BC11034" s="141"/>
    </row>
    <row r="11035">
      <c r="BB11035" s="122"/>
      <c r="BC11035" s="141"/>
    </row>
    <row r="11036">
      <c r="BB11036" s="122"/>
      <c r="BC11036" s="141"/>
    </row>
    <row r="11037">
      <c r="BB11037" s="122"/>
      <c r="BC11037" s="141"/>
    </row>
    <row r="11038">
      <c r="BB11038" s="122"/>
      <c r="BC11038" s="141"/>
    </row>
    <row r="11039">
      <c r="BB11039" s="122"/>
      <c r="BC11039" s="141"/>
    </row>
    <row r="11040">
      <c r="BB11040" s="122"/>
      <c r="BC11040" s="141"/>
    </row>
    <row r="11041">
      <c r="BB11041" s="122"/>
      <c r="BC11041" s="141"/>
    </row>
    <row r="11042">
      <c r="BB11042" s="122"/>
      <c r="BC11042" s="141"/>
    </row>
    <row r="11043">
      <c r="BB11043" s="122"/>
      <c r="BC11043" s="141"/>
    </row>
    <row r="11044">
      <c r="BB11044" s="122"/>
      <c r="BC11044" s="141"/>
    </row>
    <row r="11045">
      <c r="BB11045" s="122"/>
      <c r="BC11045" s="141"/>
    </row>
    <row r="11046">
      <c r="BB11046" s="122"/>
      <c r="BC11046" s="141"/>
    </row>
    <row r="11047">
      <c r="BB11047" s="122"/>
      <c r="BC11047" s="141"/>
    </row>
    <row r="11048">
      <c r="BB11048" s="122"/>
      <c r="BC11048" s="141"/>
    </row>
    <row r="11049">
      <c r="BB11049" s="122"/>
      <c r="BC11049" s="141"/>
    </row>
    <row r="11050">
      <c r="BB11050" s="122"/>
      <c r="BC11050" s="141"/>
    </row>
    <row r="11051">
      <c r="BB11051" s="122"/>
      <c r="BC11051" s="141"/>
    </row>
    <row r="11052">
      <c r="BB11052" s="122"/>
      <c r="BC11052" s="141"/>
    </row>
    <row r="11053">
      <c r="BB11053" s="122"/>
      <c r="BC11053" s="141"/>
    </row>
    <row r="11054">
      <c r="BB11054" s="122"/>
      <c r="BC11054" s="141"/>
    </row>
    <row r="11055">
      <c r="BB11055" s="122"/>
      <c r="BC11055" s="141"/>
    </row>
    <row r="11056">
      <c r="BB11056" s="122"/>
      <c r="BC11056" s="141"/>
    </row>
    <row r="11057">
      <c r="BB11057" s="122"/>
      <c r="BC11057" s="141"/>
    </row>
    <row r="11058">
      <c r="BB11058" s="122"/>
      <c r="BC11058" s="141"/>
    </row>
    <row r="11059">
      <c r="BB11059" s="122"/>
      <c r="BC11059" s="141"/>
    </row>
    <row r="11060">
      <c r="BB11060" s="122"/>
      <c r="BC11060" s="141"/>
    </row>
    <row r="11061">
      <c r="BB11061" s="122"/>
      <c r="BC11061" s="141"/>
    </row>
    <row r="11062">
      <c r="BB11062" s="122"/>
      <c r="BC11062" s="141"/>
    </row>
    <row r="11063">
      <c r="BB11063" s="122"/>
      <c r="BC11063" s="141"/>
    </row>
    <row r="11064">
      <c r="BB11064" s="122"/>
      <c r="BC11064" s="141"/>
    </row>
    <row r="11065">
      <c r="BB11065" s="122"/>
      <c r="BC11065" s="141"/>
    </row>
    <row r="11066">
      <c r="BB11066" s="122"/>
      <c r="BC11066" s="141"/>
    </row>
    <row r="11067">
      <c r="BB11067" s="122"/>
      <c r="BC11067" s="141"/>
    </row>
    <row r="11068">
      <c r="BB11068" s="122"/>
      <c r="BC11068" s="141"/>
    </row>
    <row r="11069">
      <c r="BB11069" s="122"/>
      <c r="BC11069" s="141"/>
    </row>
    <row r="11070">
      <c r="BB11070" s="122"/>
      <c r="BC11070" s="141"/>
    </row>
    <row r="11071">
      <c r="BB11071" s="122"/>
      <c r="BC11071" s="141"/>
    </row>
    <row r="11072">
      <c r="BB11072" s="122"/>
      <c r="BC11072" s="141"/>
    </row>
    <row r="11073">
      <c r="BB11073" s="122"/>
      <c r="BC11073" s="141"/>
    </row>
    <row r="11074">
      <c r="BB11074" s="122"/>
      <c r="BC11074" s="141"/>
    </row>
    <row r="11075">
      <c r="BB11075" s="122"/>
      <c r="BC11075" s="141"/>
    </row>
    <row r="11076">
      <c r="BB11076" s="122"/>
      <c r="BC11076" s="141"/>
    </row>
    <row r="11077">
      <c r="BB11077" s="122"/>
      <c r="BC11077" s="141"/>
    </row>
    <row r="11078">
      <c r="BB11078" s="122"/>
      <c r="BC11078" s="141"/>
    </row>
    <row r="11079">
      <c r="BB11079" s="122"/>
      <c r="BC11079" s="141"/>
    </row>
    <row r="11080">
      <c r="BB11080" s="122"/>
      <c r="BC11080" s="141"/>
    </row>
    <row r="11081">
      <c r="BB11081" s="122"/>
      <c r="BC11081" s="141"/>
    </row>
    <row r="11082">
      <c r="BB11082" s="122"/>
      <c r="BC11082" s="141"/>
    </row>
    <row r="11083">
      <c r="BB11083" s="122"/>
      <c r="BC11083" s="141"/>
    </row>
    <row r="11084">
      <c r="BB11084" s="122"/>
      <c r="BC11084" s="141"/>
    </row>
    <row r="11085">
      <c r="BB11085" s="122"/>
      <c r="BC11085" s="141"/>
    </row>
    <row r="11086">
      <c r="BB11086" s="122"/>
      <c r="BC11086" s="141"/>
    </row>
    <row r="11087">
      <c r="BB11087" s="122"/>
      <c r="BC11087" s="141"/>
    </row>
    <row r="11088">
      <c r="BB11088" s="122"/>
      <c r="BC11088" s="141"/>
    </row>
    <row r="11089">
      <c r="BB11089" s="122"/>
      <c r="BC11089" s="141"/>
    </row>
    <row r="11090">
      <c r="BB11090" s="122"/>
      <c r="BC11090" s="141"/>
    </row>
    <row r="11091">
      <c r="BB11091" s="122"/>
      <c r="BC11091" s="141"/>
    </row>
    <row r="11092">
      <c r="BB11092" s="122"/>
      <c r="BC11092" s="141"/>
    </row>
    <row r="11093">
      <c r="BB11093" s="122"/>
      <c r="BC11093" s="141"/>
    </row>
    <row r="11094">
      <c r="BB11094" s="122"/>
      <c r="BC11094" s="141"/>
    </row>
    <row r="11095">
      <c r="BB11095" s="122"/>
      <c r="BC11095" s="141"/>
    </row>
    <row r="11096">
      <c r="BB11096" s="122"/>
      <c r="BC11096" s="141"/>
    </row>
    <row r="11097">
      <c r="BB11097" s="122"/>
      <c r="BC11097" s="141"/>
    </row>
    <row r="11098">
      <c r="BB11098" s="122"/>
      <c r="BC11098" s="141"/>
    </row>
    <row r="11099">
      <c r="BB11099" s="122"/>
      <c r="BC11099" s="141"/>
    </row>
    <row r="11100">
      <c r="BB11100" s="122"/>
      <c r="BC11100" s="141"/>
    </row>
    <row r="11101">
      <c r="BB11101" s="122"/>
      <c r="BC11101" s="141"/>
    </row>
    <row r="11102">
      <c r="BB11102" s="122"/>
      <c r="BC11102" s="141"/>
    </row>
    <row r="11103">
      <c r="BB11103" s="122"/>
      <c r="BC11103" s="141"/>
    </row>
    <row r="11104">
      <c r="BB11104" s="122"/>
      <c r="BC11104" s="141"/>
    </row>
    <row r="11105">
      <c r="BB11105" s="122"/>
      <c r="BC11105" s="141"/>
    </row>
    <row r="11106">
      <c r="BB11106" s="122"/>
      <c r="BC11106" s="141"/>
    </row>
    <row r="11107">
      <c r="BB11107" s="122"/>
      <c r="BC11107" s="141"/>
    </row>
    <row r="11108">
      <c r="BB11108" s="122"/>
      <c r="BC11108" s="141"/>
    </row>
    <row r="11109">
      <c r="BB11109" s="122"/>
      <c r="BC11109" s="141"/>
    </row>
    <row r="11110">
      <c r="BB11110" s="122"/>
      <c r="BC11110" s="141"/>
    </row>
    <row r="11111">
      <c r="BB11111" s="122"/>
      <c r="BC11111" s="141"/>
    </row>
    <row r="11112">
      <c r="BB11112" s="122"/>
      <c r="BC11112" s="141"/>
    </row>
    <row r="11113">
      <c r="BB11113" s="122"/>
      <c r="BC11113" s="141"/>
    </row>
    <row r="11114">
      <c r="BB11114" s="122"/>
      <c r="BC11114" s="141"/>
    </row>
    <row r="11115">
      <c r="BB11115" s="122"/>
      <c r="BC11115" s="141"/>
    </row>
    <row r="11116">
      <c r="BB11116" s="122"/>
      <c r="BC11116" s="141"/>
    </row>
    <row r="11117">
      <c r="BB11117" s="122"/>
      <c r="BC11117" s="141"/>
    </row>
    <row r="11118">
      <c r="BB11118" s="122"/>
      <c r="BC11118" s="141"/>
    </row>
    <row r="11119">
      <c r="BB11119" s="122"/>
      <c r="BC11119" s="141"/>
    </row>
    <row r="11120">
      <c r="BB11120" s="122"/>
      <c r="BC11120" s="141"/>
    </row>
    <row r="11121">
      <c r="BB11121" s="122"/>
      <c r="BC11121" s="141"/>
    </row>
    <row r="11122">
      <c r="BB11122" s="122"/>
      <c r="BC11122" s="141"/>
    </row>
    <row r="11123">
      <c r="BB11123" s="122"/>
      <c r="BC11123" s="141"/>
    </row>
    <row r="11124">
      <c r="BB11124" s="122"/>
      <c r="BC11124" s="141"/>
    </row>
    <row r="11125">
      <c r="BB11125" s="122"/>
      <c r="BC11125" s="141"/>
    </row>
    <row r="11126">
      <c r="BB11126" s="122"/>
      <c r="BC11126" s="141"/>
    </row>
    <row r="11127">
      <c r="BB11127" s="122"/>
      <c r="BC11127" s="141"/>
    </row>
    <row r="11128">
      <c r="BB11128" s="122"/>
      <c r="BC11128" s="141"/>
    </row>
    <row r="11129">
      <c r="BB11129" s="122"/>
      <c r="BC11129" s="141"/>
    </row>
    <row r="11130">
      <c r="BB11130" s="122"/>
      <c r="BC11130" s="141"/>
    </row>
    <row r="11131">
      <c r="BB11131" s="122"/>
      <c r="BC11131" s="141"/>
    </row>
    <row r="11132">
      <c r="BB11132" s="122"/>
      <c r="BC11132" s="141"/>
    </row>
    <row r="11133">
      <c r="BB11133" s="122"/>
      <c r="BC11133" s="141"/>
    </row>
    <row r="11134">
      <c r="BB11134" s="122"/>
      <c r="BC11134" s="141"/>
    </row>
    <row r="11135">
      <c r="BB11135" s="122"/>
      <c r="BC11135" s="141"/>
    </row>
    <row r="11136">
      <c r="BB11136" s="122"/>
      <c r="BC11136" s="141"/>
    </row>
    <row r="11137">
      <c r="BB11137" s="122"/>
      <c r="BC11137" s="141"/>
    </row>
    <row r="11138">
      <c r="BB11138" s="122"/>
      <c r="BC11138" s="141"/>
    </row>
    <row r="11139">
      <c r="BB11139" s="122"/>
      <c r="BC11139" s="141"/>
    </row>
    <row r="11140">
      <c r="BB11140" s="122"/>
      <c r="BC11140" s="141"/>
    </row>
    <row r="11141">
      <c r="BB11141" s="122"/>
      <c r="BC11141" s="141"/>
    </row>
    <row r="11142">
      <c r="BB11142" s="122"/>
      <c r="BC11142" s="141"/>
    </row>
    <row r="11143">
      <c r="BB11143" s="122"/>
      <c r="BC11143" s="141"/>
    </row>
    <row r="11144">
      <c r="BB11144" s="122"/>
      <c r="BC11144" s="141"/>
    </row>
    <row r="11145">
      <c r="BB11145" s="122"/>
      <c r="BC11145" s="141"/>
    </row>
    <row r="11146">
      <c r="BB11146" s="122"/>
      <c r="BC11146" s="141"/>
    </row>
    <row r="11147">
      <c r="BB11147" s="122"/>
      <c r="BC11147" s="141"/>
    </row>
    <row r="11148">
      <c r="BB11148" s="122"/>
      <c r="BC11148" s="141"/>
    </row>
    <row r="11149">
      <c r="BB11149" s="122"/>
      <c r="BC11149" s="141"/>
    </row>
    <row r="11150">
      <c r="BB11150" s="122"/>
      <c r="BC11150" s="141"/>
    </row>
    <row r="11151">
      <c r="BB11151" s="122"/>
      <c r="BC11151" s="141"/>
    </row>
    <row r="11152">
      <c r="BB11152" s="122"/>
      <c r="BC11152" s="141"/>
    </row>
    <row r="11153">
      <c r="BB11153" s="122"/>
      <c r="BC11153" s="141"/>
    </row>
    <row r="11154">
      <c r="BB11154" s="122"/>
      <c r="BC11154" s="141"/>
    </row>
    <row r="11155">
      <c r="BB11155" s="122"/>
      <c r="BC11155" s="141"/>
    </row>
    <row r="11156">
      <c r="BB11156" s="122"/>
      <c r="BC11156" s="141"/>
    </row>
    <row r="11157">
      <c r="BB11157" s="122"/>
      <c r="BC11157" s="141"/>
    </row>
    <row r="11158">
      <c r="BB11158" s="122"/>
      <c r="BC11158" s="141"/>
    </row>
    <row r="11159">
      <c r="BB11159" s="122"/>
      <c r="BC11159" s="141"/>
    </row>
    <row r="11160">
      <c r="BB11160" s="122"/>
      <c r="BC11160" s="141"/>
    </row>
    <row r="11161">
      <c r="BB11161" s="122"/>
      <c r="BC11161" s="141"/>
    </row>
    <row r="11162">
      <c r="BB11162" s="122"/>
      <c r="BC11162" s="141"/>
    </row>
    <row r="11163">
      <c r="BB11163" s="122"/>
      <c r="BC11163" s="141"/>
    </row>
    <row r="11164">
      <c r="BB11164" s="122"/>
      <c r="BC11164" s="141"/>
    </row>
    <row r="11165">
      <c r="BB11165" s="122"/>
      <c r="BC11165" s="141"/>
    </row>
    <row r="11166">
      <c r="BB11166" s="122"/>
      <c r="BC11166" s="141"/>
    </row>
    <row r="11167">
      <c r="BB11167" s="122"/>
      <c r="BC11167" s="141"/>
    </row>
    <row r="11168">
      <c r="BB11168" s="122"/>
      <c r="BC11168" s="141"/>
    </row>
    <row r="11169">
      <c r="BB11169" s="122"/>
      <c r="BC11169" s="141"/>
    </row>
    <row r="11170">
      <c r="BB11170" s="122"/>
      <c r="BC11170" s="141"/>
    </row>
    <row r="11171">
      <c r="BB11171" s="122"/>
      <c r="BC11171" s="141"/>
    </row>
    <row r="11172">
      <c r="BB11172" s="122"/>
      <c r="BC11172" s="141"/>
    </row>
    <row r="11173">
      <c r="BB11173" s="122"/>
      <c r="BC11173" s="141"/>
    </row>
    <row r="11174">
      <c r="BB11174" s="122"/>
      <c r="BC11174" s="141"/>
    </row>
    <row r="11175">
      <c r="BB11175" s="122"/>
      <c r="BC11175" s="141"/>
    </row>
    <row r="11176">
      <c r="BB11176" s="122"/>
      <c r="BC11176" s="141"/>
    </row>
    <row r="11177">
      <c r="BB11177" s="122"/>
      <c r="BC11177" s="141"/>
    </row>
    <row r="11178">
      <c r="BB11178" s="122"/>
      <c r="BC11178" s="141"/>
    </row>
    <row r="11179">
      <c r="BB11179" s="122"/>
      <c r="BC11179" s="141"/>
    </row>
    <row r="11180">
      <c r="BB11180" s="122"/>
      <c r="BC11180" s="141"/>
    </row>
    <row r="11181">
      <c r="BB11181" s="122"/>
      <c r="BC11181" s="141"/>
    </row>
    <row r="11182">
      <c r="BB11182" s="122"/>
      <c r="BC11182" s="141"/>
    </row>
    <row r="11183">
      <c r="BB11183" s="122"/>
      <c r="BC11183" s="141"/>
    </row>
    <row r="11184">
      <c r="BB11184" s="122"/>
      <c r="BC11184" s="141"/>
    </row>
    <row r="11185">
      <c r="BB11185" s="122"/>
      <c r="BC11185" s="141"/>
    </row>
    <row r="11186">
      <c r="BB11186" s="122"/>
      <c r="BC11186" s="141"/>
    </row>
    <row r="11187">
      <c r="BB11187" s="122"/>
      <c r="BC11187" s="141"/>
    </row>
    <row r="11188">
      <c r="BB11188" s="122"/>
      <c r="BC11188" s="141"/>
    </row>
    <row r="11189">
      <c r="BB11189" s="122"/>
      <c r="BC11189" s="141"/>
    </row>
    <row r="11190">
      <c r="BB11190" s="122"/>
      <c r="BC11190" s="141"/>
    </row>
    <row r="11191">
      <c r="BB11191" s="122"/>
      <c r="BC11191" s="141"/>
    </row>
    <row r="11192">
      <c r="BB11192" s="122"/>
      <c r="BC11192" s="141"/>
    </row>
    <row r="11193">
      <c r="BB11193" s="122"/>
      <c r="BC11193" s="141"/>
    </row>
    <row r="11194">
      <c r="BB11194" s="122"/>
      <c r="BC11194" s="141"/>
    </row>
    <row r="11195">
      <c r="BB11195" s="122"/>
      <c r="BC11195" s="141"/>
    </row>
    <row r="11196">
      <c r="BB11196" s="122"/>
      <c r="BC11196" s="141"/>
    </row>
    <row r="11197">
      <c r="BB11197" s="122"/>
      <c r="BC11197" s="141"/>
    </row>
    <row r="11198">
      <c r="BB11198" s="122"/>
      <c r="BC11198" s="141"/>
    </row>
    <row r="11199">
      <c r="BB11199" s="122"/>
      <c r="BC11199" s="141"/>
    </row>
    <row r="11200">
      <c r="BB11200" s="122"/>
      <c r="BC11200" s="141"/>
    </row>
    <row r="11201">
      <c r="BB11201" s="122"/>
      <c r="BC11201" s="141"/>
    </row>
    <row r="11202">
      <c r="BB11202" s="122"/>
      <c r="BC11202" s="141"/>
    </row>
    <row r="11203">
      <c r="BB11203" s="122"/>
      <c r="BC11203" s="141"/>
    </row>
    <row r="11204">
      <c r="BB11204" s="122"/>
      <c r="BC11204" s="141"/>
    </row>
    <row r="11205">
      <c r="BB11205" s="122"/>
      <c r="BC11205" s="141"/>
    </row>
    <row r="11206">
      <c r="BB11206" s="122"/>
      <c r="BC11206" s="141"/>
    </row>
    <row r="11207">
      <c r="BB11207" s="122"/>
      <c r="BC11207" s="141"/>
    </row>
    <row r="11208">
      <c r="BB11208" s="122"/>
      <c r="BC11208" s="141"/>
    </row>
    <row r="11209">
      <c r="BB11209" s="122"/>
      <c r="BC11209" s="141"/>
    </row>
    <row r="11210">
      <c r="BB11210" s="122"/>
      <c r="BC11210" s="141"/>
    </row>
    <row r="11211">
      <c r="BB11211" s="122"/>
      <c r="BC11211" s="141"/>
    </row>
    <row r="11212">
      <c r="BB11212" s="122"/>
      <c r="BC11212" s="141"/>
    </row>
    <row r="11213">
      <c r="BB11213" s="122"/>
      <c r="BC11213" s="141"/>
    </row>
    <row r="11214">
      <c r="BB11214" s="122"/>
      <c r="BC11214" s="141"/>
    </row>
    <row r="11215">
      <c r="BB11215" s="122"/>
      <c r="BC11215" s="141"/>
    </row>
    <row r="11216">
      <c r="BB11216" s="122"/>
      <c r="BC11216" s="141"/>
    </row>
    <row r="11217">
      <c r="BB11217" s="122"/>
      <c r="BC11217" s="141"/>
    </row>
    <row r="11218">
      <c r="BB11218" s="122"/>
      <c r="BC11218" s="141"/>
    </row>
    <row r="11219">
      <c r="BB11219" s="122"/>
      <c r="BC11219" s="141"/>
    </row>
    <row r="11220">
      <c r="BB11220" s="122"/>
      <c r="BC11220" s="141"/>
    </row>
    <row r="11221">
      <c r="BB11221" s="122"/>
      <c r="BC11221" s="141"/>
    </row>
    <row r="11222">
      <c r="BB11222" s="122"/>
      <c r="BC11222" s="141"/>
    </row>
    <row r="11223">
      <c r="BB11223" s="122"/>
      <c r="BC11223" s="141"/>
    </row>
    <row r="11224">
      <c r="BB11224" s="122"/>
      <c r="BC11224" s="141"/>
    </row>
    <row r="11225">
      <c r="BB11225" s="122"/>
      <c r="BC11225" s="141"/>
    </row>
    <row r="11226">
      <c r="BB11226" s="122"/>
      <c r="BC11226" s="141"/>
    </row>
    <row r="11227">
      <c r="BB11227" s="122"/>
      <c r="BC11227" s="141"/>
    </row>
    <row r="11228">
      <c r="BB11228" s="122"/>
      <c r="BC11228" s="141"/>
    </row>
    <row r="11229">
      <c r="BB11229" s="122"/>
      <c r="BC11229" s="141"/>
    </row>
    <row r="11230">
      <c r="BB11230" s="122"/>
      <c r="BC11230" s="141"/>
    </row>
    <row r="11231">
      <c r="BB11231" s="122"/>
      <c r="BC11231" s="141"/>
    </row>
    <row r="11232">
      <c r="BB11232" s="122"/>
      <c r="BC11232" s="141"/>
    </row>
    <row r="11233">
      <c r="BB11233" s="122"/>
      <c r="BC11233" s="141"/>
    </row>
    <row r="11234">
      <c r="BB11234" s="122"/>
      <c r="BC11234" s="141"/>
    </row>
    <row r="11235">
      <c r="BB11235" s="122"/>
      <c r="BC11235" s="141"/>
    </row>
    <row r="11236">
      <c r="BB11236" s="122"/>
      <c r="BC11236" s="141"/>
    </row>
    <row r="11237">
      <c r="BB11237" s="122"/>
      <c r="BC11237" s="141"/>
    </row>
    <row r="11238">
      <c r="BB11238" s="122"/>
      <c r="BC11238" s="141"/>
    </row>
    <row r="11239">
      <c r="BB11239" s="122"/>
      <c r="BC11239" s="141"/>
    </row>
    <row r="11240">
      <c r="BB11240" s="122"/>
      <c r="BC11240" s="141"/>
    </row>
    <row r="11241">
      <c r="BB11241" s="122"/>
      <c r="BC11241" s="141"/>
    </row>
    <row r="11242">
      <c r="BB11242" s="122"/>
      <c r="BC11242" s="141"/>
    </row>
    <row r="11243">
      <c r="BB11243" s="122"/>
      <c r="BC11243" s="141"/>
    </row>
    <row r="11244">
      <c r="BB11244" s="122"/>
      <c r="BC11244" s="141"/>
    </row>
    <row r="11245">
      <c r="BB11245" s="122"/>
      <c r="BC11245" s="141"/>
    </row>
    <row r="11246">
      <c r="BB11246" s="122"/>
      <c r="BC11246" s="141"/>
    </row>
    <row r="11247">
      <c r="BB11247" s="122"/>
      <c r="BC11247" s="141"/>
    </row>
    <row r="11248">
      <c r="BB11248" s="122"/>
      <c r="BC11248" s="141"/>
    </row>
    <row r="11249">
      <c r="BB11249" s="122"/>
      <c r="BC11249" s="141"/>
    </row>
    <row r="11250">
      <c r="BB11250" s="122"/>
      <c r="BC11250" s="141"/>
    </row>
    <row r="11251">
      <c r="BB11251" s="122"/>
      <c r="BC11251" s="141"/>
    </row>
    <row r="11252">
      <c r="BB11252" s="122"/>
      <c r="BC11252" s="141"/>
    </row>
    <row r="11253">
      <c r="BB11253" s="122"/>
      <c r="BC11253" s="141"/>
    </row>
    <row r="11254">
      <c r="BB11254" s="122"/>
      <c r="BC11254" s="141"/>
    </row>
    <row r="11255">
      <c r="BB11255" s="122"/>
      <c r="BC11255" s="141"/>
    </row>
    <row r="11256">
      <c r="BB11256" s="122"/>
      <c r="BC11256" s="141"/>
    </row>
    <row r="11257">
      <c r="BB11257" s="122"/>
      <c r="BC11257" s="141"/>
    </row>
    <row r="11258">
      <c r="BB11258" s="122"/>
      <c r="BC11258" s="141"/>
    </row>
    <row r="11259">
      <c r="BB11259" s="122"/>
      <c r="BC11259" s="141"/>
    </row>
    <row r="11260">
      <c r="BB11260" s="122"/>
      <c r="BC11260" s="141"/>
    </row>
    <row r="11261">
      <c r="BB11261" s="122"/>
      <c r="BC11261" s="141"/>
    </row>
    <row r="11262">
      <c r="BB11262" s="122"/>
      <c r="BC11262" s="141"/>
    </row>
    <row r="11263">
      <c r="BB11263" s="122"/>
      <c r="BC11263" s="141"/>
    </row>
    <row r="11264">
      <c r="BB11264" s="122"/>
      <c r="BC11264" s="141"/>
    </row>
    <row r="11265">
      <c r="BB11265" s="122"/>
      <c r="BC11265" s="141"/>
    </row>
    <row r="11266">
      <c r="BB11266" s="122"/>
      <c r="BC11266" s="141"/>
    </row>
    <row r="11267">
      <c r="BB11267" s="122"/>
      <c r="BC11267" s="141"/>
    </row>
    <row r="11268">
      <c r="BB11268" s="122"/>
      <c r="BC11268" s="141"/>
    </row>
    <row r="11269">
      <c r="BB11269" s="122"/>
      <c r="BC11269" s="141"/>
    </row>
    <row r="11270">
      <c r="BB11270" s="122"/>
      <c r="BC11270" s="141"/>
    </row>
    <row r="11271">
      <c r="BB11271" s="122"/>
      <c r="BC11271" s="141"/>
    </row>
    <row r="11272">
      <c r="BB11272" s="122"/>
      <c r="BC11272" s="141"/>
    </row>
    <row r="11273">
      <c r="BB11273" s="122"/>
      <c r="BC11273" s="141"/>
    </row>
    <row r="11274">
      <c r="BB11274" s="122"/>
      <c r="BC11274" s="141"/>
    </row>
    <row r="11275">
      <c r="BB11275" s="122"/>
      <c r="BC11275" s="141"/>
    </row>
    <row r="11276">
      <c r="BB11276" s="122"/>
      <c r="BC11276" s="141"/>
    </row>
    <row r="11277">
      <c r="BB11277" s="122"/>
      <c r="BC11277" s="141"/>
    </row>
    <row r="11278">
      <c r="BB11278" s="122"/>
      <c r="BC11278" s="141"/>
    </row>
    <row r="11279">
      <c r="BB11279" s="122"/>
      <c r="BC11279" s="141"/>
    </row>
    <row r="11280">
      <c r="BB11280" s="122"/>
      <c r="BC11280" s="141"/>
    </row>
    <row r="11281">
      <c r="BB11281" s="122"/>
      <c r="BC11281" s="141"/>
    </row>
    <row r="11282">
      <c r="BB11282" s="122"/>
      <c r="BC11282" s="141"/>
    </row>
    <row r="11283">
      <c r="BB11283" s="122"/>
      <c r="BC11283" s="141"/>
    </row>
    <row r="11284">
      <c r="BB11284" s="122"/>
      <c r="BC11284" s="141"/>
    </row>
    <row r="11285">
      <c r="BB11285" s="122"/>
      <c r="BC11285" s="141"/>
    </row>
    <row r="11286">
      <c r="BB11286" s="122"/>
      <c r="BC11286" s="141"/>
    </row>
    <row r="11287">
      <c r="BB11287" s="122"/>
      <c r="BC11287" s="141"/>
    </row>
    <row r="11288">
      <c r="BB11288" s="122"/>
      <c r="BC11288" s="141"/>
    </row>
    <row r="11289">
      <c r="BB11289" s="122"/>
      <c r="BC11289" s="141"/>
    </row>
    <row r="11290">
      <c r="BB11290" s="122"/>
      <c r="BC11290" s="141"/>
    </row>
    <row r="11291">
      <c r="BB11291" s="122"/>
      <c r="BC11291" s="141"/>
    </row>
    <row r="11292">
      <c r="BB11292" s="122"/>
      <c r="BC11292" s="141"/>
    </row>
    <row r="11293">
      <c r="BB11293" s="122"/>
      <c r="BC11293" s="141"/>
    </row>
    <row r="11294">
      <c r="BB11294" s="122"/>
      <c r="BC11294" s="141"/>
    </row>
    <row r="11295">
      <c r="BB11295" s="122"/>
      <c r="BC11295" s="141"/>
    </row>
    <row r="11296">
      <c r="BB11296" s="122"/>
      <c r="BC11296" s="141"/>
    </row>
    <row r="11297">
      <c r="BB11297" s="122"/>
      <c r="BC11297" s="141"/>
    </row>
    <row r="11298">
      <c r="BB11298" s="122"/>
      <c r="BC11298" s="141"/>
    </row>
    <row r="11299">
      <c r="BB11299" s="122"/>
      <c r="BC11299" s="141"/>
    </row>
    <row r="11300">
      <c r="BB11300" s="122"/>
      <c r="BC11300" s="141"/>
    </row>
    <row r="11301">
      <c r="BB11301" s="122"/>
      <c r="BC11301" s="141"/>
    </row>
    <row r="11302">
      <c r="BB11302" s="122"/>
      <c r="BC11302" s="141"/>
    </row>
    <row r="11303">
      <c r="BB11303" s="122"/>
      <c r="BC11303" s="141"/>
    </row>
    <row r="11304">
      <c r="BB11304" s="122"/>
      <c r="BC11304" s="141"/>
    </row>
    <row r="11305">
      <c r="BB11305" s="122"/>
      <c r="BC11305" s="141"/>
    </row>
    <row r="11306">
      <c r="BB11306" s="122"/>
      <c r="BC11306" s="141"/>
    </row>
    <row r="11307">
      <c r="BB11307" s="122"/>
      <c r="BC11307" s="141"/>
    </row>
    <row r="11308">
      <c r="BB11308" s="122"/>
      <c r="BC11308" s="141"/>
    </row>
    <row r="11309">
      <c r="BB11309" s="122"/>
      <c r="BC11309" s="141"/>
    </row>
    <row r="11310">
      <c r="BB11310" s="122"/>
      <c r="BC11310" s="141"/>
    </row>
    <row r="11311">
      <c r="BB11311" s="122"/>
      <c r="BC11311" s="141"/>
    </row>
    <row r="11312">
      <c r="BB11312" s="122"/>
      <c r="BC11312" s="141"/>
    </row>
    <row r="11313">
      <c r="BB11313" s="122"/>
      <c r="BC11313" s="141"/>
    </row>
    <row r="11314">
      <c r="BB11314" s="122"/>
      <c r="BC11314" s="141"/>
    </row>
    <row r="11315">
      <c r="BB11315" s="122"/>
      <c r="BC11315" s="141"/>
    </row>
    <row r="11316">
      <c r="BB11316" s="122"/>
      <c r="BC11316" s="141"/>
    </row>
    <row r="11317">
      <c r="BB11317" s="122"/>
      <c r="BC11317" s="141"/>
    </row>
    <row r="11318">
      <c r="BB11318" s="122"/>
      <c r="BC11318" s="141"/>
    </row>
    <row r="11319">
      <c r="BB11319" s="122"/>
      <c r="BC11319" s="141"/>
    </row>
    <row r="11320">
      <c r="BB11320" s="122"/>
      <c r="BC11320" s="141"/>
    </row>
    <row r="11321">
      <c r="BB11321" s="122"/>
      <c r="BC11321" s="141"/>
    </row>
    <row r="11322">
      <c r="BB11322" s="122"/>
      <c r="BC11322" s="141"/>
    </row>
    <row r="11323">
      <c r="BB11323" s="122"/>
      <c r="BC11323" s="141"/>
    </row>
    <row r="11324">
      <c r="BB11324" s="122"/>
      <c r="BC11324" s="141"/>
    </row>
    <row r="11325">
      <c r="BB11325" s="122"/>
      <c r="BC11325" s="141"/>
    </row>
    <row r="11326">
      <c r="BB11326" s="122"/>
      <c r="BC11326" s="141"/>
    </row>
    <row r="11327">
      <c r="BB11327" s="122"/>
      <c r="BC11327" s="141"/>
    </row>
    <row r="11328">
      <c r="BB11328" s="122"/>
      <c r="BC11328" s="141"/>
    </row>
    <row r="11329">
      <c r="BB11329" s="122"/>
      <c r="BC11329" s="141"/>
    </row>
    <row r="11330">
      <c r="BB11330" s="122"/>
      <c r="BC11330" s="141"/>
    </row>
    <row r="11331">
      <c r="BB11331" s="122"/>
      <c r="BC11331" s="141"/>
    </row>
    <row r="11332">
      <c r="BB11332" s="122"/>
      <c r="BC11332" s="141"/>
    </row>
    <row r="11333">
      <c r="BB11333" s="122"/>
      <c r="BC11333" s="141"/>
    </row>
    <row r="11334">
      <c r="BB11334" s="122"/>
      <c r="BC11334" s="141"/>
    </row>
    <row r="11335">
      <c r="BB11335" s="122"/>
      <c r="BC11335" s="141"/>
    </row>
    <row r="11336">
      <c r="BB11336" s="122"/>
      <c r="BC11336" s="141"/>
    </row>
    <row r="11337">
      <c r="BB11337" s="122"/>
      <c r="BC11337" s="141"/>
    </row>
    <row r="11338">
      <c r="BB11338" s="122"/>
      <c r="BC11338" s="141"/>
    </row>
    <row r="11339">
      <c r="BB11339" s="122"/>
      <c r="BC11339" s="141"/>
    </row>
    <row r="11340">
      <c r="BB11340" s="122"/>
      <c r="BC11340" s="141"/>
    </row>
    <row r="11341">
      <c r="BB11341" s="122"/>
      <c r="BC11341" s="141"/>
    </row>
    <row r="11342">
      <c r="BB11342" s="122"/>
      <c r="BC11342" s="141"/>
    </row>
    <row r="11343">
      <c r="BB11343" s="122"/>
      <c r="BC11343" s="141"/>
    </row>
    <row r="11344">
      <c r="BB11344" s="122"/>
      <c r="BC11344" s="141"/>
    </row>
    <row r="11345">
      <c r="BB11345" s="122"/>
      <c r="BC11345" s="141"/>
    </row>
    <row r="11346">
      <c r="BB11346" s="122"/>
      <c r="BC11346" s="141"/>
    </row>
    <row r="11347">
      <c r="BB11347" s="122"/>
      <c r="BC11347" s="141"/>
    </row>
    <row r="11348">
      <c r="BB11348" s="122"/>
      <c r="BC11348" s="141"/>
    </row>
    <row r="11349">
      <c r="BB11349" s="122"/>
      <c r="BC11349" s="141"/>
    </row>
    <row r="11350">
      <c r="BB11350" s="122"/>
      <c r="BC11350" s="141"/>
    </row>
    <row r="11351">
      <c r="BB11351" s="122"/>
      <c r="BC11351" s="141"/>
    </row>
    <row r="11352">
      <c r="BB11352" s="122"/>
      <c r="BC11352" s="141"/>
    </row>
    <row r="11353">
      <c r="BB11353" s="122"/>
      <c r="BC11353" s="141"/>
    </row>
    <row r="11354">
      <c r="BB11354" s="122"/>
      <c r="BC11354" s="141"/>
    </row>
    <row r="11355">
      <c r="BB11355" s="122"/>
      <c r="BC11355" s="141"/>
    </row>
    <row r="11356">
      <c r="BB11356" s="122"/>
      <c r="BC11356" s="141"/>
    </row>
    <row r="11357">
      <c r="BB11357" s="122"/>
      <c r="BC11357" s="141"/>
    </row>
    <row r="11358">
      <c r="BB11358" s="122"/>
      <c r="BC11358" s="141"/>
    </row>
    <row r="11359">
      <c r="BB11359" s="122"/>
      <c r="BC11359" s="141"/>
    </row>
    <row r="11360">
      <c r="BB11360" s="122"/>
      <c r="BC11360" s="141"/>
    </row>
    <row r="11361">
      <c r="BB11361" s="122"/>
      <c r="BC11361" s="141"/>
    </row>
    <row r="11362">
      <c r="BB11362" s="122"/>
      <c r="BC11362" s="141"/>
    </row>
    <row r="11363">
      <c r="BB11363" s="122"/>
      <c r="BC11363" s="141"/>
    </row>
    <row r="11364">
      <c r="BB11364" s="122"/>
      <c r="BC11364" s="141"/>
    </row>
    <row r="11365">
      <c r="BB11365" s="122"/>
      <c r="BC11365" s="141"/>
    </row>
    <row r="11366">
      <c r="BB11366" s="122"/>
      <c r="BC11366" s="141"/>
    </row>
    <row r="11367">
      <c r="BB11367" s="122"/>
      <c r="BC11367" s="141"/>
    </row>
    <row r="11368">
      <c r="BB11368" s="122"/>
      <c r="BC11368" s="141"/>
    </row>
    <row r="11369">
      <c r="BB11369" s="122"/>
      <c r="BC11369" s="141"/>
    </row>
    <row r="11370">
      <c r="BB11370" s="122"/>
      <c r="BC11370" s="141"/>
    </row>
    <row r="11371">
      <c r="BB11371" s="122"/>
      <c r="BC11371" s="141"/>
    </row>
    <row r="11372">
      <c r="BB11372" s="122"/>
      <c r="BC11372" s="141"/>
    </row>
    <row r="11373">
      <c r="BB11373" s="122"/>
      <c r="BC11373" s="141"/>
    </row>
    <row r="11374">
      <c r="BB11374" s="122"/>
      <c r="BC11374" s="141"/>
    </row>
    <row r="11375">
      <c r="BB11375" s="122"/>
      <c r="BC11375" s="141"/>
    </row>
    <row r="11376">
      <c r="BB11376" s="122"/>
      <c r="BC11376" s="141"/>
    </row>
    <row r="11377">
      <c r="BB11377" s="122"/>
      <c r="BC11377" s="141"/>
    </row>
    <row r="11378">
      <c r="BB11378" s="122"/>
      <c r="BC11378" s="141"/>
    </row>
    <row r="11379">
      <c r="BB11379" s="122"/>
      <c r="BC11379" s="141"/>
    </row>
    <row r="11380">
      <c r="BB11380" s="122"/>
      <c r="BC11380" s="141"/>
    </row>
    <row r="11381">
      <c r="BB11381" s="122"/>
      <c r="BC11381" s="141"/>
    </row>
    <row r="11382">
      <c r="BB11382" s="122"/>
      <c r="BC11382" s="141"/>
    </row>
    <row r="11383">
      <c r="BB11383" s="122"/>
      <c r="BC11383" s="141"/>
    </row>
    <row r="11384">
      <c r="BB11384" s="122"/>
      <c r="BC11384" s="141"/>
    </row>
    <row r="11385">
      <c r="BB11385" s="122"/>
      <c r="BC11385" s="141"/>
    </row>
    <row r="11386">
      <c r="BB11386" s="122"/>
      <c r="BC11386" s="141"/>
    </row>
    <row r="11387">
      <c r="BB11387" s="122"/>
      <c r="BC11387" s="141"/>
    </row>
    <row r="11388">
      <c r="BB11388" s="122"/>
      <c r="BC11388" s="141"/>
    </row>
    <row r="11389">
      <c r="BB11389" s="122"/>
      <c r="BC11389" s="141"/>
    </row>
    <row r="11390">
      <c r="BB11390" s="122"/>
      <c r="BC11390" s="141"/>
    </row>
    <row r="11391">
      <c r="BB11391" s="122"/>
      <c r="BC11391" s="141"/>
    </row>
    <row r="11392">
      <c r="BB11392" s="122"/>
      <c r="BC11392" s="141"/>
    </row>
    <row r="11393">
      <c r="BB11393" s="122"/>
      <c r="BC11393" s="141"/>
    </row>
    <row r="11394">
      <c r="BB11394" s="122"/>
      <c r="BC11394" s="141"/>
    </row>
    <row r="11395">
      <c r="BB11395" s="122"/>
      <c r="BC11395" s="141"/>
    </row>
    <row r="11396">
      <c r="BB11396" s="122"/>
      <c r="BC11396" s="141"/>
    </row>
    <row r="11397">
      <c r="BB11397" s="122"/>
      <c r="BC11397" s="141"/>
    </row>
    <row r="11398">
      <c r="BB11398" s="122"/>
      <c r="BC11398" s="141"/>
    </row>
    <row r="11399">
      <c r="BB11399" s="122"/>
      <c r="BC11399" s="141"/>
    </row>
    <row r="11400">
      <c r="BB11400" s="122"/>
      <c r="BC11400" s="141"/>
    </row>
    <row r="11401">
      <c r="BB11401" s="122"/>
      <c r="BC11401" s="141"/>
    </row>
    <row r="11402">
      <c r="BB11402" s="122"/>
      <c r="BC11402" s="141"/>
    </row>
    <row r="11403">
      <c r="BB11403" s="122"/>
      <c r="BC11403" s="141"/>
    </row>
    <row r="11404">
      <c r="BB11404" s="122"/>
      <c r="BC11404" s="141"/>
    </row>
    <row r="11405">
      <c r="BB11405" s="122"/>
      <c r="BC11405" s="141"/>
    </row>
    <row r="11406">
      <c r="BB11406" s="122"/>
      <c r="BC11406" s="141"/>
    </row>
    <row r="11407">
      <c r="BB11407" s="122"/>
      <c r="BC11407" s="141"/>
    </row>
    <row r="11408">
      <c r="BB11408" s="122"/>
      <c r="BC11408" s="141"/>
    </row>
    <row r="11409">
      <c r="BB11409" s="122"/>
      <c r="BC11409" s="141"/>
    </row>
    <row r="11410">
      <c r="BB11410" s="122"/>
      <c r="BC11410" s="141"/>
    </row>
    <row r="11411">
      <c r="BB11411" s="122"/>
      <c r="BC11411" s="141"/>
    </row>
    <row r="11412">
      <c r="BB11412" s="122"/>
      <c r="BC11412" s="141"/>
    </row>
    <row r="11413">
      <c r="BB11413" s="122"/>
      <c r="BC11413" s="141"/>
    </row>
    <row r="11414">
      <c r="BB11414" s="122"/>
      <c r="BC11414" s="141"/>
    </row>
    <row r="11415">
      <c r="BB11415" s="122"/>
      <c r="BC11415" s="141"/>
    </row>
    <row r="11416">
      <c r="BB11416" s="122"/>
      <c r="BC11416" s="141"/>
    </row>
    <row r="11417">
      <c r="BB11417" s="122"/>
      <c r="BC11417" s="141"/>
    </row>
    <row r="11418">
      <c r="BB11418" s="122"/>
      <c r="BC11418" s="141"/>
    </row>
    <row r="11419">
      <c r="BB11419" s="122"/>
      <c r="BC11419" s="141"/>
    </row>
    <row r="11420">
      <c r="BB11420" s="122"/>
      <c r="BC11420" s="141"/>
    </row>
    <row r="11421">
      <c r="BB11421" s="122"/>
      <c r="BC11421" s="141"/>
    </row>
    <row r="11422">
      <c r="BB11422" s="122"/>
      <c r="BC11422" s="141"/>
    </row>
    <row r="11423">
      <c r="BB11423" s="122"/>
      <c r="BC11423" s="141"/>
    </row>
    <row r="11424">
      <c r="BB11424" s="122"/>
      <c r="BC11424" s="141"/>
    </row>
    <row r="11425">
      <c r="BB11425" s="122"/>
      <c r="BC11425" s="141"/>
    </row>
    <row r="11426">
      <c r="BB11426" s="122"/>
      <c r="BC11426" s="141"/>
    </row>
    <row r="11427">
      <c r="BB11427" s="122"/>
      <c r="BC11427" s="141"/>
    </row>
    <row r="11428">
      <c r="BB11428" s="122"/>
      <c r="BC11428" s="141"/>
    </row>
    <row r="11429">
      <c r="BB11429" s="122"/>
      <c r="BC11429" s="141"/>
    </row>
    <row r="11430">
      <c r="BB11430" s="122"/>
      <c r="BC11430" s="141"/>
    </row>
    <row r="11431">
      <c r="BB11431" s="122"/>
      <c r="BC11431" s="141"/>
    </row>
    <row r="11432">
      <c r="BB11432" s="122"/>
      <c r="BC11432" s="141"/>
    </row>
    <row r="11433">
      <c r="BB11433" s="122"/>
      <c r="BC11433" s="141"/>
    </row>
    <row r="11434">
      <c r="BB11434" s="122"/>
      <c r="BC11434" s="141"/>
    </row>
    <row r="11435">
      <c r="BB11435" s="122"/>
      <c r="BC11435" s="141"/>
    </row>
    <row r="11436">
      <c r="BB11436" s="122"/>
      <c r="BC11436" s="141"/>
    </row>
    <row r="11437">
      <c r="BB11437" s="122"/>
      <c r="BC11437" s="141"/>
    </row>
    <row r="11438">
      <c r="BB11438" s="122"/>
      <c r="BC11438" s="141"/>
    </row>
    <row r="11439">
      <c r="BB11439" s="122"/>
      <c r="BC11439" s="141"/>
    </row>
    <row r="11440">
      <c r="BB11440" s="122"/>
      <c r="BC11440" s="141"/>
    </row>
    <row r="11441">
      <c r="BB11441" s="122"/>
      <c r="BC11441" s="141"/>
    </row>
    <row r="11442">
      <c r="BB11442" s="122"/>
      <c r="BC11442" s="141"/>
    </row>
    <row r="11443">
      <c r="BB11443" s="122"/>
      <c r="BC11443" s="141"/>
    </row>
    <row r="11444">
      <c r="BB11444" s="122"/>
      <c r="BC11444" s="141"/>
    </row>
    <row r="11445">
      <c r="BB11445" s="122"/>
      <c r="BC11445" s="141"/>
    </row>
    <row r="11446">
      <c r="BB11446" s="122"/>
      <c r="BC11446" s="141"/>
    </row>
    <row r="11447">
      <c r="BB11447" s="122"/>
      <c r="BC11447" s="141"/>
    </row>
    <row r="11448">
      <c r="BB11448" s="122"/>
      <c r="BC11448" s="141"/>
    </row>
    <row r="11449">
      <c r="BB11449" s="122"/>
      <c r="BC11449" s="141"/>
    </row>
    <row r="11450">
      <c r="BB11450" s="122"/>
      <c r="BC11450" s="141"/>
    </row>
    <row r="11451">
      <c r="BB11451" s="122"/>
      <c r="BC11451" s="141"/>
    </row>
    <row r="11452">
      <c r="BB11452" s="122"/>
      <c r="BC11452" s="141"/>
    </row>
    <row r="11453">
      <c r="BB11453" s="122"/>
      <c r="BC11453" s="141"/>
    </row>
    <row r="11454">
      <c r="BB11454" s="122"/>
      <c r="BC11454" s="141"/>
    </row>
    <row r="11455">
      <c r="BB11455" s="122"/>
      <c r="BC11455" s="141"/>
    </row>
    <row r="11456">
      <c r="BB11456" s="122"/>
      <c r="BC11456" s="141"/>
    </row>
    <row r="11457">
      <c r="BB11457" s="122"/>
      <c r="BC11457" s="141"/>
    </row>
    <row r="11458">
      <c r="BB11458" s="122"/>
      <c r="BC11458" s="141"/>
    </row>
    <row r="11459">
      <c r="BB11459" s="122"/>
      <c r="BC11459" s="141"/>
    </row>
    <row r="11460">
      <c r="BB11460" s="122"/>
      <c r="BC11460" s="141"/>
    </row>
    <row r="11461">
      <c r="BB11461" s="122"/>
      <c r="BC11461" s="141"/>
    </row>
    <row r="11462">
      <c r="BB11462" s="122"/>
      <c r="BC11462" s="141"/>
    </row>
    <row r="11463">
      <c r="BB11463" s="122"/>
      <c r="BC11463" s="141"/>
    </row>
    <row r="11464">
      <c r="BB11464" s="122"/>
      <c r="BC11464" s="141"/>
    </row>
    <row r="11465">
      <c r="BB11465" s="122"/>
      <c r="BC11465" s="141"/>
    </row>
    <row r="11466">
      <c r="BB11466" s="122"/>
      <c r="BC11466" s="141"/>
    </row>
    <row r="11467">
      <c r="BB11467" s="122"/>
      <c r="BC11467" s="141"/>
    </row>
    <row r="11468">
      <c r="BB11468" s="122"/>
      <c r="BC11468" s="141"/>
    </row>
    <row r="11469">
      <c r="BB11469" s="122"/>
      <c r="BC11469" s="141"/>
    </row>
    <row r="11470">
      <c r="BB11470" s="122"/>
      <c r="BC11470" s="141"/>
    </row>
    <row r="11471">
      <c r="BB11471" s="122"/>
      <c r="BC11471" s="141"/>
    </row>
    <row r="11472">
      <c r="BB11472" s="122"/>
      <c r="BC11472" s="141"/>
    </row>
    <row r="11473">
      <c r="BB11473" s="122"/>
      <c r="BC11473" s="141"/>
    </row>
    <row r="11474">
      <c r="BB11474" s="122"/>
      <c r="BC11474" s="141"/>
    </row>
    <row r="11475">
      <c r="BB11475" s="122"/>
      <c r="BC11475" s="141"/>
    </row>
    <row r="11476">
      <c r="BB11476" s="122"/>
      <c r="BC11476" s="141"/>
    </row>
    <row r="11477">
      <c r="BB11477" s="122"/>
      <c r="BC11477" s="141"/>
    </row>
    <row r="11478">
      <c r="BB11478" s="122"/>
      <c r="BC11478" s="141"/>
    </row>
    <row r="11479">
      <c r="BB11479" s="122"/>
      <c r="BC11479" s="141"/>
    </row>
    <row r="11480">
      <c r="BB11480" s="122"/>
      <c r="BC11480" s="141"/>
    </row>
    <row r="11481">
      <c r="BB11481" s="122"/>
      <c r="BC11481" s="141"/>
    </row>
    <row r="11482">
      <c r="BB11482" s="122"/>
      <c r="BC11482" s="141"/>
    </row>
    <row r="11483">
      <c r="BB11483" s="122"/>
      <c r="BC11483" s="141"/>
    </row>
    <row r="11484">
      <c r="BB11484" s="122"/>
      <c r="BC11484" s="141"/>
    </row>
    <row r="11485">
      <c r="BB11485" s="122"/>
      <c r="BC11485" s="141"/>
    </row>
    <row r="11486">
      <c r="BB11486" s="122"/>
      <c r="BC11486" s="141"/>
    </row>
    <row r="11487">
      <c r="BB11487" s="122"/>
      <c r="BC11487" s="141"/>
    </row>
    <row r="11488">
      <c r="BB11488" s="122"/>
      <c r="BC11488" s="141"/>
    </row>
    <row r="11489">
      <c r="BB11489" s="122"/>
      <c r="BC11489" s="141"/>
    </row>
    <row r="11490">
      <c r="BB11490" s="122"/>
      <c r="BC11490" s="141"/>
    </row>
    <row r="11491">
      <c r="BB11491" s="122"/>
      <c r="BC11491" s="141"/>
    </row>
    <row r="11492">
      <c r="BB11492" s="122"/>
      <c r="BC11492" s="141"/>
    </row>
    <row r="11493">
      <c r="BB11493" s="122"/>
      <c r="BC11493" s="141"/>
    </row>
    <row r="11494">
      <c r="BB11494" s="122"/>
      <c r="BC11494" s="141"/>
    </row>
    <row r="11495">
      <c r="BB11495" s="122"/>
      <c r="BC11495" s="141"/>
    </row>
    <row r="11496">
      <c r="BB11496" s="122"/>
      <c r="BC11496" s="141"/>
    </row>
    <row r="11497">
      <c r="BB11497" s="122"/>
      <c r="BC11497" s="141"/>
    </row>
    <row r="11498">
      <c r="BB11498" s="122"/>
      <c r="BC11498" s="141"/>
    </row>
    <row r="11499">
      <c r="BB11499" s="122"/>
      <c r="BC11499" s="141"/>
    </row>
    <row r="11500">
      <c r="BB11500" s="122"/>
      <c r="BC11500" s="141"/>
    </row>
    <row r="11501">
      <c r="BB11501" s="122"/>
      <c r="BC11501" s="141"/>
    </row>
    <row r="11502">
      <c r="BB11502" s="122"/>
      <c r="BC11502" s="141"/>
    </row>
    <row r="11503">
      <c r="BB11503" s="122"/>
      <c r="BC11503" s="141"/>
    </row>
    <row r="11504">
      <c r="BB11504" s="122"/>
      <c r="BC11504" s="141"/>
    </row>
    <row r="11505">
      <c r="BB11505" s="122"/>
      <c r="BC11505" s="141"/>
    </row>
    <row r="11506">
      <c r="BB11506" s="122"/>
      <c r="BC11506" s="141"/>
    </row>
    <row r="11507">
      <c r="BB11507" s="122"/>
      <c r="BC11507" s="141"/>
    </row>
    <row r="11508">
      <c r="BB11508" s="122"/>
      <c r="BC11508" s="141"/>
    </row>
    <row r="11509">
      <c r="BB11509" s="122"/>
      <c r="BC11509" s="141"/>
    </row>
    <row r="11510">
      <c r="BB11510" s="122"/>
      <c r="BC11510" s="141"/>
    </row>
    <row r="11511">
      <c r="BB11511" s="122"/>
      <c r="BC11511" s="141"/>
    </row>
    <row r="11512">
      <c r="BB11512" s="122"/>
      <c r="BC11512" s="141"/>
    </row>
    <row r="11513">
      <c r="BB11513" s="122"/>
      <c r="BC11513" s="141"/>
    </row>
    <row r="11514">
      <c r="BB11514" s="122"/>
      <c r="BC11514" s="141"/>
    </row>
    <row r="11515">
      <c r="BB11515" s="122"/>
      <c r="BC11515" s="141"/>
    </row>
    <row r="11516">
      <c r="BB11516" s="122"/>
      <c r="BC11516" s="141"/>
    </row>
    <row r="11517">
      <c r="BB11517" s="122"/>
      <c r="BC11517" s="141"/>
    </row>
    <row r="11518">
      <c r="BB11518" s="122"/>
      <c r="BC11518" s="141"/>
    </row>
    <row r="11519">
      <c r="BB11519" s="122"/>
      <c r="BC11519" s="141"/>
    </row>
    <row r="11520">
      <c r="BB11520" s="122"/>
      <c r="BC11520" s="141"/>
    </row>
    <row r="11521">
      <c r="BB11521" s="122"/>
      <c r="BC11521" s="141"/>
    </row>
    <row r="11522">
      <c r="BB11522" s="122"/>
      <c r="BC11522" s="141"/>
    </row>
    <row r="11523">
      <c r="BB11523" s="122"/>
      <c r="BC11523" s="141"/>
    </row>
    <row r="11524">
      <c r="BB11524" s="122"/>
      <c r="BC11524" s="141"/>
    </row>
    <row r="11525">
      <c r="BB11525" s="122"/>
      <c r="BC11525" s="141"/>
    </row>
    <row r="11526">
      <c r="BB11526" s="122"/>
      <c r="BC11526" s="141"/>
    </row>
    <row r="11527">
      <c r="BB11527" s="122"/>
      <c r="BC11527" s="141"/>
    </row>
    <row r="11528">
      <c r="BB11528" s="122"/>
      <c r="BC11528" s="141"/>
    </row>
    <row r="11529">
      <c r="BB11529" s="122"/>
      <c r="BC11529" s="141"/>
    </row>
    <row r="11530">
      <c r="BB11530" s="122"/>
      <c r="BC11530" s="141"/>
    </row>
    <row r="11531">
      <c r="BB11531" s="122"/>
      <c r="BC11531" s="141"/>
    </row>
    <row r="11532">
      <c r="BB11532" s="122"/>
      <c r="BC11532" s="141"/>
    </row>
    <row r="11533">
      <c r="BB11533" s="122"/>
      <c r="BC11533" s="141"/>
    </row>
    <row r="11534">
      <c r="BB11534" s="122"/>
      <c r="BC11534" s="141"/>
    </row>
    <row r="11535">
      <c r="BB11535" s="122"/>
      <c r="BC11535" s="141"/>
    </row>
    <row r="11536">
      <c r="BB11536" s="122"/>
      <c r="BC11536" s="141"/>
    </row>
    <row r="11537">
      <c r="BB11537" s="122"/>
      <c r="BC11537" s="141"/>
    </row>
    <row r="11538">
      <c r="BB11538" s="122"/>
      <c r="BC11538" s="141"/>
    </row>
    <row r="11539">
      <c r="BB11539" s="122"/>
      <c r="BC11539" s="141"/>
    </row>
    <row r="11540">
      <c r="BB11540" s="122"/>
      <c r="BC11540" s="141"/>
    </row>
    <row r="11541">
      <c r="BB11541" s="122"/>
      <c r="BC11541" s="141"/>
    </row>
    <row r="11542">
      <c r="BB11542" s="122"/>
      <c r="BC11542" s="141"/>
    </row>
    <row r="11543">
      <c r="BB11543" s="122"/>
      <c r="BC11543" s="141"/>
    </row>
    <row r="11544">
      <c r="BB11544" s="122"/>
      <c r="BC11544" s="141"/>
    </row>
    <row r="11545">
      <c r="BB11545" s="122"/>
      <c r="BC11545" s="141"/>
    </row>
    <row r="11546">
      <c r="BB11546" s="122"/>
      <c r="BC11546" s="141"/>
    </row>
    <row r="11547">
      <c r="BB11547" s="122"/>
      <c r="BC11547" s="141"/>
    </row>
    <row r="11548">
      <c r="BB11548" s="122"/>
      <c r="BC11548" s="141"/>
    </row>
    <row r="11549">
      <c r="BB11549" s="122"/>
      <c r="BC11549" s="141"/>
    </row>
    <row r="11550">
      <c r="BB11550" s="122"/>
      <c r="BC11550" s="141"/>
    </row>
    <row r="11551">
      <c r="BB11551" s="122"/>
      <c r="BC11551" s="141"/>
    </row>
    <row r="11552">
      <c r="BB11552" s="122"/>
      <c r="BC11552" s="141"/>
    </row>
    <row r="11553">
      <c r="BB11553" s="122"/>
      <c r="BC11553" s="141"/>
    </row>
    <row r="11554">
      <c r="BB11554" s="122"/>
      <c r="BC11554" s="141"/>
    </row>
    <row r="11555">
      <c r="BB11555" s="122"/>
      <c r="BC11555" s="141"/>
    </row>
    <row r="11556">
      <c r="BB11556" s="122"/>
      <c r="BC11556" s="141"/>
    </row>
    <row r="11557">
      <c r="BB11557" s="122"/>
      <c r="BC11557" s="141"/>
    </row>
    <row r="11558">
      <c r="BB11558" s="122"/>
      <c r="BC11558" s="141"/>
    </row>
    <row r="11559">
      <c r="BB11559" s="122"/>
      <c r="BC11559" s="141"/>
    </row>
    <row r="11560">
      <c r="BB11560" s="122"/>
      <c r="BC11560" s="141"/>
    </row>
    <row r="11561">
      <c r="BB11561" s="122"/>
      <c r="BC11561" s="141"/>
    </row>
    <row r="11562">
      <c r="BB11562" s="122"/>
      <c r="BC11562" s="141"/>
    </row>
    <row r="11563">
      <c r="BB11563" s="122"/>
      <c r="BC11563" s="141"/>
    </row>
    <row r="11564">
      <c r="BB11564" s="122"/>
      <c r="BC11564" s="141"/>
    </row>
    <row r="11565">
      <c r="BB11565" s="122"/>
      <c r="BC11565" s="141"/>
    </row>
    <row r="11566">
      <c r="BB11566" s="122"/>
      <c r="BC11566" s="141"/>
    </row>
    <row r="11567">
      <c r="BB11567" s="122"/>
      <c r="BC11567" s="141"/>
    </row>
    <row r="11568">
      <c r="BB11568" s="122"/>
      <c r="BC11568" s="141"/>
    </row>
    <row r="11569">
      <c r="BB11569" s="122"/>
      <c r="BC11569" s="141"/>
    </row>
    <row r="11570">
      <c r="BB11570" s="122"/>
      <c r="BC11570" s="141"/>
    </row>
    <row r="11571">
      <c r="BB11571" s="122"/>
      <c r="BC11571" s="141"/>
    </row>
    <row r="11572">
      <c r="BB11572" s="122"/>
      <c r="BC11572" s="141"/>
    </row>
    <row r="11573">
      <c r="BB11573" s="122"/>
      <c r="BC11573" s="141"/>
    </row>
    <row r="11574">
      <c r="BB11574" s="122"/>
      <c r="BC11574" s="141"/>
    </row>
    <row r="11575">
      <c r="BB11575" s="122"/>
      <c r="BC11575" s="141"/>
    </row>
    <row r="11576">
      <c r="BB11576" s="122"/>
      <c r="BC11576" s="141"/>
    </row>
    <row r="11577">
      <c r="BB11577" s="122"/>
      <c r="BC11577" s="141"/>
    </row>
    <row r="11578">
      <c r="BB11578" s="122"/>
      <c r="BC11578" s="141"/>
    </row>
    <row r="11579">
      <c r="BB11579" s="122"/>
      <c r="BC11579" s="141"/>
    </row>
    <row r="11580">
      <c r="BB11580" s="122"/>
      <c r="BC11580" s="141"/>
    </row>
    <row r="11581">
      <c r="BB11581" s="122"/>
      <c r="BC11581" s="141"/>
    </row>
    <row r="11582">
      <c r="BB11582" s="122"/>
      <c r="BC11582" s="141"/>
    </row>
    <row r="11583">
      <c r="BB11583" s="122"/>
      <c r="BC11583" s="141"/>
    </row>
    <row r="11584">
      <c r="BB11584" s="122"/>
      <c r="BC11584" s="141"/>
    </row>
    <row r="11585">
      <c r="BB11585" s="122"/>
      <c r="BC11585" s="141"/>
    </row>
    <row r="11586">
      <c r="BB11586" s="122"/>
      <c r="BC11586" s="141"/>
    </row>
    <row r="11587">
      <c r="BB11587" s="122"/>
      <c r="BC11587" s="141"/>
    </row>
    <row r="11588">
      <c r="BB11588" s="122"/>
      <c r="BC11588" s="141"/>
    </row>
    <row r="11589">
      <c r="BB11589" s="122"/>
      <c r="BC11589" s="141"/>
    </row>
    <row r="11590">
      <c r="BB11590" s="122"/>
      <c r="BC11590" s="141"/>
    </row>
    <row r="11591">
      <c r="BB11591" s="122"/>
      <c r="BC11591" s="141"/>
    </row>
    <row r="11592">
      <c r="BB11592" s="122"/>
      <c r="BC11592" s="141"/>
    </row>
    <row r="11593">
      <c r="BB11593" s="122"/>
      <c r="BC11593" s="141"/>
    </row>
    <row r="11594">
      <c r="BB11594" s="122"/>
      <c r="BC11594" s="141"/>
    </row>
    <row r="11595">
      <c r="BB11595" s="122"/>
      <c r="BC11595" s="141"/>
    </row>
    <row r="11596">
      <c r="BB11596" s="122"/>
      <c r="BC11596" s="141"/>
    </row>
    <row r="11597">
      <c r="BB11597" s="122"/>
      <c r="BC11597" s="141"/>
    </row>
    <row r="11598">
      <c r="BB11598" s="122"/>
      <c r="BC11598" s="141"/>
    </row>
    <row r="11599">
      <c r="BB11599" s="122"/>
      <c r="BC11599" s="141"/>
    </row>
    <row r="11600">
      <c r="BB11600" s="122"/>
      <c r="BC11600" s="141"/>
    </row>
    <row r="11601">
      <c r="BB11601" s="122"/>
      <c r="BC11601" s="141"/>
    </row>
    <row r="11602">
      <c r="BB11602" s="122"/>
      <c r="BC11602" s="141"/>
    </row>
    <row r="11603">
      <c r="BB11603" s="122"/>
      <c r="BC11603" s="141"/>
    </row>
    <row r="11604">
      <c r="BB11604" s="122"/>
      <c r="BC11604" s="141"/>
    </row>
    <row r="11605">
      <c r="BB11605" s="122"/>
      <c r="BC11605" s="141"/>
    </row>
    <row r="11606">
      <c r="BB11606" s="122"/>
      <c r="BC11606" s="141"/>
    </row>
    <row r="11607">
      <c r="BB11607" s="122"/>
      <c r="BC11607" s="141"/>
    </row>
    <row r="11608">
      <c r="BB11608" s="122"/>
      <c r="BC11608" s="141"/>
    </row>
    <row r="11609">
      <c r="BB11609" s="122"/>
      <c r="BC11609" s="141"/>
    </row>
    <row r="11610">
      <c r="BB11610" s="122"/>
      <c r="BC11610" s="141"/>
    </row>
    <row r="11611">
      <c r="BB11611" s="122"/>
      <c r="BC11611" s="141"/>
    </row>
    <row r="11612">
      <c r="BB11612" s="122"/>
      <c r="BC11612" s="141"/>
    </row>
    <row r="11613">
      <c r="BB11613" s="122"/>
      <c r="BC11613" s="141"/>
    </row>
    <row r="11614">
      <c r="BB11614" s="122"/>
      <c r="BC11614" s="141"/>
    </row>
    <row r="11615">
      <c r="BB11615" s="122"/>
      <c r="BC11615" s="141"/>
    </row>
    <row r="11616">
      <c r="BB11616" s="122"/>
      <c r="BC11616" s="141"/>
    </row>
    <row r="11617">
      <c r="BB11617" s="122"/>
      <c r="BC11617" s="141"/>
    </row>
    <row r="11618">
      <c r="BB11618" s="122"/>
      <c r="BC11618" s="141"/>
    </row>
    <row r="11619">
      <c r="BB11619" s="122"/>
      <c r="BC11619" s="141"/>
    </row>
    <row r="11620">
      <c r="BB11620" s="122"/>
      <c r="BC11620" s="141"/>
    </row>
    <row r="11621">
      <c r="BB11621" s="122"/>
      <c r="BC11621" s="141"/>
    </row>
    <row r="11622">
      <c r="BB11622" s="122"/>
      <c r="BC11622" s="141"/>
    </row>
    <row r="11623">
      <c r="BB11623" s="122"/>
      <c r="BC11623" s="141"/>
    </row>
    <row r="11624">
      <c r="BB11624" s="122"/>
      <c r="BC11624" s="141"/>
    </row>
    <row r="11625">
      <c r="BB11625" s="122"/>
      <c r="BC11625" s="141"/>
    </row>
    <row r="11626">
      <c r="BB11626" s="122"/>
      <c r="BC11626" s="141"/>
    </row>
    <row r="11627">
      <c r="BB11627" s="122"/>
      <c r="BC11627" s="141"/>
    </row>
    <row r="11628">
      <c r="BB11628" s="122"/>
      <c r="BC11628" s="141"/>
    </row>
    <row r="11629">
      <c r="BB11629" s="122"/>
      <c r="BC11629" s="141"/>
    </row>
    <row r="11630">
      <c r="BB11630" s="122"/>
      <c r="BC11630" s="141"/>
    </row>
    <row r="11631">
      <c r="BB11631" s="122"/>
      <c r="BC11631" s="141"/>
    </row>
    <row r="11632">
      <c r="BB11632" s="122"/>
      <c r="BC11632" s="141"/>
    </row>
    <row r="11633">
      <c r="BB11633" s="122"/>
      <c r="BC11633" s="141"/>
    </row>
    <row r="11634">
      <c r="BB11634" s="122"/>
      <c r="BC11634" s="141"/>
    </row>
    <row r="11635">
      <c r="BB11635" s="122"/>
      <c r="BC11635" s="141"/>
    </row>
    <row r="11636">
      <c r="BB11636" s="122"/>
      <c r="BC11636" s="141"/>
    </row>
    <row r="11637">
      <c r="BB11637" s="122"/>
      <c r="BC11637" s="141"/>
    </row>
    <row r="11638">
      <c r="BB11638" s="122"/>
      <c r="BC11638" s="141"/>
    </row>
    <row r="11639">
      <c r="BB11639" s="122"/>
      <c r="BC11639" s="141"/>
    </row>
    <row r="11640">
      <c r="BB11640" s="122"/>
      <c r="BC11640" s="141"/>
    </row>
    <row r="11641">
      <c r="BB11641" s="122"/>
      <c r="BC11641" s="141"/>
    </row>
    <row r="11642">
      <c r="BB11642" s="122"/>
      <c r="BC11642" s="141"/>
    </row>
    <row r="11643">
      <c r="BB11643" s="122"/>
      <c r="BC11643" s="141"/>
    </row>
    <row r="11644">
      <c r="BB11644" s="122"/>
      <c r="BC11644" s="141"/>
    </row>
    <row r="11645">
      <c r="BB11645" s="122"/>
      <c r="BC11645" s="141"/>
    </row>
    <row r="11646">
      <c r="BB11646" s="122"/>
      <c r="BC11646" s="141"/>
    </row>
    <row r="11647">
      <c r="BB11647" s="122"/>
      <c r="BC11647" s="141"/>
    </row>
    <row r="11648">
      <c r="BB11648" s="122"/>
      <c r="BC11648" s="141"/>
    </row>
    <row r="11649">
      <c r="BB11649" s="122"/>
      <c r="BC11649" s="141"/>
    </row>
    <row r="11650">
      <c r="BB11650" s="122"/>
      <c r="BC11650" s="141"/>
    </row>
    <row r="11651">
      <c r="BB11651" s="122"/>
      <c r="BC11651" s="141"/>
    </row>
    <row r="11652">
      <c r="BB11652" s="122"/>
      <c r="BC11652" s="141"/>
    </row>
    <row r="11653">
      <c r="BB11653" s="122"/>
      <c r="BC11653" s="141"/>
    </row>
    <row r="11654">
      <c r="BB11654" s="122"/>
      <c r="BC11654" s="141"/>
    </row>
    <row r="11655">
      <c r="BB11655" s="122"/>
      <c r="BC11655" s="141"/>
    </row>
    <row r="11656">
      <c r="BB11656" s="122"/>
      <c r="BC11656" s="141"/>
    </row>
    <row r="11657">
      <c r="BB11657" s="122"/>
      <c r="BC11657" s="141"/>
    </row>
    <row r="11658">
      <c r="BB11658" s="122"/>
      <c r="BC11658" s="141"/>
    </row>
    <row r="11659">
      <c r="BB11659" s="122"/>
      <c r="BC11659" s="141"/>
    </row>
    <row r="11660">
      <c r="BB11660" s="122"/>
      <c r="BC11660" s="141"/>
    </row>
    <row r="11661">
      <c r="BB11661" s="122"/>
      <c r="BC11661" s="141"/>
    </row>
    <row r="11662">
      <c r="BB11662" s="122"/>
      <c r="BC11662" s="141"/>
    </row>
    <row r="11663">
      <c r="BB11663" s="122"/>
      <c r="BC11663" s="141"/>
    </row>
    <row r="11664">
      <c r="BB11664" s="122"/>
      <c r="BC11664" s="141"/>
    </row>
    <row r="11665">
      <c r="BB11665" s="122"/>
      <c r="BC11665" s="141"/>
    </row>
    <row r="11666">
      <c r="BB11666" s="122"/>
      <c r="BC11666" s="141"/>
    </row>
    <row r="11667">
      <c r="BB11667" s="122"/>
      <c r="BC11667" s="141"/>
    </row>
    <row r="11668">
      <c r="BB11668" s="122"/>
      <c r="BC11668" s="141"/>
    </row>
    <row r="11669">
      <c r="BB11669" s="122"/>
      <c r="BC11669" s="141"/>
    </row>
    <row r="11670">
      <c r="BB11670" s="122"/>
      <c r="BC11670" s="141"/>
    </row>
    <row r="11671">
      <c r="BB11671" s="122"/>
      <c r="BC11671" s="141"/>
    </row>
    <row r="11672">
      <c r="BB11672" s="122"/>
      <c r="BC11672" s="141"/>
    </row>
    <row r="11673">
      <c r="BB11673" s="122"/>
      <c r="BC11673" s="141"/>
    </row>
    <row r="11674">
      <c r="BB11674" s="122"/>
      <c r="BC11674" s="141"/>
    </row>
    <row r="11675">
      <c r="BB11675" s="122"/>
      <c r="BC11675" s="141"/>
    </row>
    <row r="11676">
      <c r="BB11676" s="122"/>
      <c r="BC11676" s="141"/>
    </row>
    <row r="11677">
      <c r="BB11677" s="122"/>
      <c r="BC11677" s="141"/>
    </row>
    <row r="11678">
      <c r="BB11678" s="122"/>
      <c r="BC11678" s="141"/>
    </row>
    <row r="11679">
      <c r="BB11679" s="122"/>
      <c r="BC11679" s="141"/>
    </row>
    <row r="11680">
      <c r="BB11680" s="122"/>
      <c r="BC11680" s="141"/>
    </row>
    <row r="11681">
      <c r="BB11681" s="122"/>
      <c r="BC11681" s="141"/>
    </row>
    <row r="11682">
      <c r="BB11682" s="122"/>
      <c r="BC11682" s="141"/>
    </row>
    <row r="11683">
      <c r="BB11683" s="122"/>
      <c r="BC11683" s="141"/>
    </row>
    <row r="11684">
      <c r="BB11684" s="122"/>
      <c r="BC11684" s="141"/>
    </row>
    <row r="11685">
      <c r="BB11685" s="122"/>
      <c r="BC11685" s="141"/>
    </row>
    <row r="11686">
      <c r="BB11686" s="122"/>
      <c r="BC11686" s="141"/>
    </row>
    <row r="11687">
      <c r="BB11687" s="122"/>
      <c r="BC11687" s="141"/>
    </row>
    <row r="11688">
      <c r="BB11688" s="122"/>
      <c r="BC11688" s="141"/>
    </row>
    <row r="11689">
      <c r="BB11689" s="122"/>
      <c r="BC11689" s="141"/>
    </row>
    <row r="11690">
      <c r="BB11690" s="122"/>
      <c r="BC11690" s="141"/>
    </row>
    <row r="11691">
      <c r="BB11691" s="122"/>
      <c r="BC11691" s="141"/>
    </row>
    <row r="11692">
      <c r="BB11692" s="122"/>
      <c r="BC11692" s="141"/>
    </row>
    <row r="11693">
      <c r="BB11693" s="122"/>
      <c r="BC11693" s="141"/>
    </row>
    <row r="11694">
      <c r="BB11694" s="122"/>
      <c r="BC11694" s="141"/>
    </row>
    <row r="11695">
      <c r="BB11695" s="122"/>
      <c r="BC11695" s="141"/>
    </row>
    <row r="11696">
      <c r="BB11696" s="122"/>
      <c r="BC11696" s="141"/>
    </row>
    <row r="11697">
      <c r="BB11697" s="122"/>
      <c r="BC11697" s="141"/>
    </row>
    <row r="11698">
      <c r="BB11698" s="122"/>
      <c r="BC11698" s="141"/>
    </row>
    <row r="11699">
      <c r="BB11699" s="122"/>
      <c r="BC11699" s="141"/>
    </row>
    <row r="11700">
      <c r="BB11700" s="122"/>
      <c r="BC11700" s="141"/>
    </row>
    <row r="11701">
      <c r="BB11701" s="122"/>
      <c r="BC11701" s="141"/>
    </row>
    <row r="11702">
      <c r="BB11702" s="122"/>
      <c r="BC11702" s="141"/>
    </row>
    <row r="11703">
      <c r="BB11703" s="122"/>
      <c r="BC11703" s="141"/>
    </row>
    <row r="11704">
      <c r="BB11704" s="122"/>
      <c r="BC11704" s="141"/>
    </row>
    <row r="11705">
      <c r="BB11705" s="122"/>
      <c r="BC11705" s="141"/>
    </row>
    <row r="11706">
      <c r="BB11706" s="122"/>
      <c r="BC11706" s="141"/>
    </row>
    <row r="11707">
      <c r="BB11707" s="122"/>
      <c r="BC11707" s="141"/>
    </row>
    <row r="11708">
      <c r="BB11708" s="122"/>
      <c r="BC11708" s="141"/>
    </row>
    <row r="11709">
      <c r="BB11709" s="122"/>
      <c r="BC11709" s="141"/>
    </row>
    <row r="11710">
      <c r="BB11710" s="122"/>
      <c r="BC11710" s="141"/>
    </row>
    <row r="11711">
      <c r="BB11711" s="122"/>
      <c r="BC11711" s="141"/>
    </row>
    <row r="11712">
      <c r="BB11712" s="122"/>
      <c r="BC11712" s="141"/>
    </row>
    <row r="11713">
      <c r="BB11713" s="122"/>
      <c r="BC11713" s="141"/>
    </row>
    <row r="11714">
      <c r="BB11714" s="122"/>
      <c r="BC11714" s="141"/>
    </row>
    <row r="11715">
      <c r="BB11715" s="122"/>
      <c r="BC11715" s="141"/>
    </row>
    <row r="11716">
      <c r="BB11716" s="122"/>
      <c r="BC11716" s="141"/>
    </row>
    <row r="11717">
      <c r="BB11717" s="122"/>
      <c r="BC11717" s="141"/>
    </row>
    <row r="11718">
      <c r="BB11718" s="122"/>
      <c r="BC11718" s="141"/>
    </row>
    <row r="11719">
      <c r="BB11719" s="122"/>
      <c r="BC11719" s="141"/>
    </row>
    <row r="11720">
      <c r="BB11720" s="122"/>
      <c r="BC11720" s="141"/>
    </row>
    <row r="11721">
      <c r="BB11721" s="122"/>
      <c r="BC11721" s="141"/>
    </row>
    <row r="11722">
      <c r="BB11722" s="122"/>
      <c r="BC11722" s="141"/>
    </row>
    <row r="11723">
      <c r="BB11723" s="122"/>
      <c r="BC11723" s="141"/>
    </row>
    <row r="11724">
      <c r="BB11724" s="122"/>
      <c r="BC11724" s="141"/>
    </row>
    <row r="11725">
      <c r="BB11725" s="122"/>
      <c r="BC11725" s="141"/>
    </row>
    <row r="11726">
      <c r="BB11726" s="122"/>
      <c r="BC11726" s="141"/>
    </row>
    <row r="11727">
      <c r="BB11727" s="122"/>
      <c r="BC11727" s="141"/>
    </row>
    <row r="11728">
      <c r="BB11728" s="122"/>
      <c r="BC11728" s="141"/>
    </row>
    <row r="11729">
      <c r="BB11729" s="122"/>
      <c r="BC11729" s="141"/>
    </row>
    <row r="11730">
      <c r="BB11730" s="122"/>
      <c r="BC11730" s="141"/>
    </row>
    <row r="11731">
      <c r="BB11731" s="122"/>
      <c r="BC11731" s="141"/>
    </row>
    <row r="11732">
      <c r="BB11732" s="122"/>
      <c r="BC11732" s="141"/>
    </row>
    <row r="11733">
      <c r="BB11733" s="122"/>
      <c r="BC11733" s="141"/>
    </row>
    <row r="11734">
      <c r="BB11734" s="122"/>
      <c r="BC11734" s="141"/>
    </row>
    <row r="11735">
      <c r="BB11735" s="122"/>
      <c r="BC11735" s="141"/>
    </row>
    <row r="11736">
      <c r="BB11736" s="122"/>
      <c r="BC11736" s="141"/>
    </row>
    <row r="11737">
      <c r="BB11737" s="122"/>
      <c r="BC11737" s="141"/>
    </row>
    <row r="11738">
      <c r="BB11738" s="122"/>
      <c r="BC11738" s="141"/>
    </row>
    <row r="11739">
      <c r="BB11739" s="122"/>
      <c r="BC11739" s="141"/>
    </row>
    <row r="11740">
      <c r="BB11740" s="122"/>
      <c r="BC11740" s="141"/>
    </row>
    <row r="11741">
      <c r="BB11741" s="122"/>
      <c r="BC11741" s="141"/>
    </row>
    <row r="11742">
      <c r="BB11742" s="122"/>
      <c r="BC11742" s="141"/>
    </row>
    <row r="11743">
      <c r="BB11743" s="122"/>
      <c r="BC11743" s="141"/>
    </row>
    <row r="11744">
      <c r="BB11744" s="122"/>
      <c r="BC11744" s="141"/>
    </row>
    <row r="11745">
      <c r="BB11745" s="122"/>
      <c r="BC11745" s="141"/>
    </row>
    <row r="11746">
      <c r="BB11746" s="122"/>
      <c r="BC11746" s="141"/>
    </row>
    <row r="11747">
      <c r="BB11747" s="122"/>
      <c r="BC11747" s="141"/>
    </row>
    <row r="11748">
      <c r="BB11748" s="122"/>
      <c r="BC11748" s="141"/>
    </row>
    <row r="11749">
      <c r="BB11749" s="122"/>
      <c r="BC11749" s="141"/>
    </row>
    <row r="11750">
      <c r="BB11750" s="122"/>
      <c r="BC11750" s="141"/>
    </row>
    <row r="11751">
      <c r="BB11751" s="122"/>
      <c r="BC11751" s="141"/>
    </row>
    <row r="11752">
      <c r="BB11752" s="122"/>
      <c r="BC11752" s="141"/>
    </row>
    <row r="11753">
      <c r="BB11753" s="122"/>
      <c r="BC11753" s="141"/>
    </row>
    <row r="11754">
      <c r="BB11754" s="122"/>
      <c r="BC11754" s="141"/>
    </row>
    <row r="11755">
      <c r="BB11755" s="122"/>
      <c r="BC11755" s="141"/>
    </row>
    <row r="11756">
      <c r="BB11756" s="122"/>
      <c r="BC11756" s="141"/>
    </row>
    <row r="11757">
      <c r="BB11757" s="122"/>
      <c r="BC11757" s="141"/>
    </row>
    <row r="11758">
      <c r="BB11758" s="122"/>
      <c r="BC11758" s="141"/>
    </row>
    <row r="11759">
      <c r="BB11759" s="122"/>
      <c r="BC11759" s="141"/>
    </row>
    <row r="11760">
      <c r="BB11760" s="122"/>
      <c r="BC11760" s="141"/>
    </row>
    <row r="11761">
      <c r="BB11761" s="122"/>
      <c r="BC11761" s="141"/>
    </row>
    <row r="11762">
      <c r="BB11762" s="122"/>
      <c r="BC11762" s="141"/>
    </row>
    <row r="11763">
      <c r="BB11763" s="122"/>
      <c r="BC11763" s="141"/>
    </row>
    <row r="11764">
      <c r="BB11764" s="122"/>
      <c r="BC11764" s="141"/>
    </row>
    <row r="11765">
      <c r="BB11765" s="122"/>
      <c r="BC11765" s="141"/>
    </row>
    <row r="11766">
      <c r="BB11766" s="122"/>
      <c r="BC11766" s="141"/>
    </row>
    <row r="11767">
      <c r="BB11767" s="122"/>
      <c r="BC11767" s="141"/>
    </row>
    <row r="11768">
      <c r="BB11768" s="122"/>
      <c r="BC11768" s="141"/>
    </row>
    <row r="11769">
      <c r="BB11769" s="122"/>
      <c r="BC11769" s="141"/>
    </row>
    <row r="11770">
      <c r="BB11770" s="122"/>
      <c r="BC11770" s="141"/>
    </row>
    <row r="11771">
      <c r="BB11771" s="122"/>
      <c r="BC11771" s="141"/>
    </row>
    <row r="11772">
      <c r="BB11772" s="122"/>
      <c r="BC11772" s="141"/>
    </row>
    <row r="11773">
      <c r="BB11773" s="122"/>
      <c r="BC11773" s="141"/>
    </row>
    <row r="11774">
      <c r="BB11774" s="122"/>
      <c r="BC11774" s="141"/>
    </row>
    <row r="11775">
      <c r="BB11775" s="122"/>
      <c r="BC11775" s="141"/>
    </row>
    <row r="11776">
      <c r="BB11776" s="122"/>
      <c r="BC11776" s="141"/>
    </row>
    <row r="11777">
      <c r="BB11777" s="122"/>
      <c r="BC11777" s="141"/>
    </row>
    <row r="11778">
      <c r="BB11778" s="122"/>
      <c r="BC11778" s="141"/>
    </row>
    <row r="11779">
      <c r="BB11779" s="122"/>
      <c r="BC11779" s="141"/>
    </row>
    <row r="11780">
      <c r="BB11780" s="122"/>
      <c r="BC11780" s="141"/>
    </row>
    <row r="11781">
      <c r="BB11781" s="122"/>
      <c r="BC11781" s="141"/>
    </row>
    <row r="11782">
      <c r="BB11782" s="122"/>
      <c r="BC11782" s="141"/>
    </row>
    <row r="11783">
      <c r="BB11783" s="122"/>
      <c r="BC11783" s="141"/>
    </row>
    <row r="11784">
      <c r="BB11784" s="122"/>
      <c r="BC11784" s="141"/>
    </row>
    <row r="11785">
      <c r="BB11785" s="122"/>
      <c r="BC11785" s="141"/>
    </row>
    <row r="11786">
      <c r="BB11786" s="122"/>
      <c r="BC11786" s="141"/>
    </row>
    <row r="11787">
      <c r="BB11787" s="122"/>
      <c r="BC11787" s="141"/>
    </row>
    <row r="11788">
      <c r="BB11788" s="122"/>
      <c r="BC11788" s="141"/>
    </row>
    <row r="11789">
      <c r="BB11789" s="122"/>
      <c r="BC11789" s="141"/>
    </row>
    <row r="11790">
      <c r="BB11790" s="122"/>
      <c r="BC11790" s="141"/>
    </row>
    <row r="11791">
      <c r="BB11791" s="122"/>
      <c r="BC11791" s="141"/>
    </row>
    <row r="11792">
      <c r="BB11792" s="122"/>
      <c r="BC11792" s="141"/>
    </row>
    <row r="11793">
      <c r="BB11793" s="122"/>
      <c r="BC11793" s="141"/>
    </row>
    <row r="11794">
      <c r="BB11794" s="122"/>
      <c r="BC11794" s="141"/>
    </row>
    <row r="11795">
      <c r="BB11795" s="122"/>
      <c r="BC11795" s="141"/>
    </row>
    <row r="11796">
      <c r="BB11796" s="122"/>
      <c r="BC11796" s="141"/>
    </row>
    <row r="11797">
      <c r="BB11797" s="122"/>
      <c r="BC11797" s="141"/>
    </row>
    <row r="11798">
      <c r="BB11798" s="122"/>
      <c r="BC11798" s="141"/>
    </row>
    <row r="11799">
      <c r="BB11799" s="122"/>
      <c r="BC11799" s="141"/>
    </row>
    <row r="11800">
      <c r="BB11800" s="122"/>
      <c r="BC11800" s="141"/>
    </row>
    <row r="11801">
      <c r="BB11801" s="122"/>
      <c r="BC11801" s="141"/>
    </row>
    <row r="11802">
      <c r="BB11802" s="122"/>
      <c r="BC11802" s="141"/>
    </row>
    <row r="11803">
      <c r="BB11803" s="122"/>
      <c r="BC11803" s="141"/>
    </row>
    <row r="11804">
      <c r="BB11804" s="122"/>
      <c r="BC11804" s="141"/>
    </row>
    <row r="11805">
      <c r="BB11805" s="122"/>
      <c r="BC11805" s="141"/>
    </row>
    <row r="11806">
      <c r="BB11806" s="122"/>
      <c r="BC11806" s="141"/>
    </row>
    <row r="11807">
      <c r="BB11807" s="122"/>
      <c r="BC11807" s="141"/>
    </row>
    <row r="11808">
      <c r="BB11808" s="122"/>
      <c r="BC11808" s="141"/>
    </row>
    <row r="11809">
      <c r="BB11809" s="122"/>
      <c r="BC11809" s="141"/>
    </row>
    <row r="11810">
      <c r="BB11810" s="122"/>
      <c r="BC11810" s="141"/>
    </row>
    <row r="11811">
      <c r="BB11811" s="122"/>
      <c r="BC11811" s="141"/>
    </row>
    <row r="11812">
      <c r="BB11812" s="122"/>
      <c r="BC11812" s="141"/>
    </row>
    <row r="11813">
      <c r="BB11813" s="122"/>
      <c r="BC11813" s="141"/>
    </row>
    <row r="11814">
      <c r="BB11814" s="122"/>
      <c r="BC11814" s="141"/>
    </row>
    <row r="11815">
      <c r="BB11815" s="122"/>
      <c r="BC11815" s="141"/>
    </row>
    <row r="11816">
      <c r="BB11816" s="122"/>
      <c r="BC11816" s="141"/>
    </row>
    <row r="11817">
      <c r="BB11817" s="122"/>
      <c r="BC11817" s="141"/>
    </row>
    <row r="11818">
      <c r="BB11818" s="122"/>
      <c r="BC11818" s="141"/>
    </row>
    <row r="11819">
      <c r="BB11819" s="122"/>
      <c r="BC11819" s="141"/>
    </row>
    <row r="11820">
      <c r="BB11820" s="122"/>
      <c r="BC11820" s="141"/>
    </row>
    <row r="11821">
      <c r="BB11821" s="122"/>
      <c r="BC11821" s="141"/>
    </row>
    <row r="11822">
      <c r="BB11822" s="122"/>
      <c r="BC11822" s="141"/>
    </row>
    <row r="11823">
      <c r="BB11823" s="122"/>
      <c r="BC11823" s="141"/>
    </row>
    <row r="11824">
      <c r="BB11824" s="122"/>
      <c r="BC11824" s="141"/>
    </row>
    <row r="11825">
      <c r="BB11825" s="122"/>
      <c r="BC11825" s="141"/>
    </row>
    <row r="11826">
      <c r="BB11826" s="122"/>
      <c r="BC11826" s="141"/>
    </row>
    <row r="11827">
      <c r="BB11827" s="122"/>
      <c r="BC11827" s="141"/>
    </row>
    <row r="11828">
      <c r="BB11828" s="122"/>
      <c r="BC11828" s="141"/>
    </row>
    <row r="11829">
      <c r="BB11829" s="122"/>
      <c r="BC11829" s="141"/>
    </row>
    <row r="11830">
      <c r="BB11830" s="122"/>
      <c r="BC11830" s="141"/>
    </row>
    <row r="11831">
      <c r="BB11831" s="122"/>
      <c r="BC11831" s="141"/>
    </row>
    <row r="11832">
      <c r="BB11832" s="122"/>
      <c r="BC11832" s="141"/>
    </row>
    <row r="11833">
      <c r="BB11833" s="122"/>
      <c r="BC11833" s="141"/>
    </row>
    <row r="11834">
      <c r="BB11834" s="122"/>
      <c r="BC11834" s="141"/>
    </row>
    <row r="11835">
      <c r="BB11835" s="122"/>
      <c r="BC11835" s="141"/>
    </row>
    <row r="11836">
      <c r="BB11836" s="122"/>
      <c r="BC11836" s="141"/>
    </row>
    <row r="11837">
      <c r="BB11837" s="122"/>
      <c r="BC11837" s="141"/>
    </row>
    <row r="11838">
      <c r="BB11838" s="122"/>
      <c r="BC11838" s="141"/>
    </row>
    <row r="11839">
      <c r="BB11839" s="122"/>
      <c r="BC11839" s="141"/>
    </row>
    <row r="11840">
      <c r="BB11840" s="122"/>
      <c r="BC11840" s="141"/>
    </row>
    <row r="11841">
      <c r="BB11841" s="122"/>
      <c r="BC11841" s="141"/>
    </row>
    <row r="11842">
      <c r="BB11842" s="122"/>
      <c r="BC11842" s="141"/>
    </row>
    <row r="11843">
      <c r="BB11843" s="122"/>
      <c r="BC11843" s="141"/>
    </row>
    <row r="11844">
      <c r="BB11844" s="122"/>
      <c r="BC11844" s="141"/>
    </row>
    <row r="11845">
      <c r="BB11845" s="122"/>
      <c r="BC11845" s="141"/>
    </row>
    <row r="11846">
      <c r="BB11846" s="122"/>
      <c r="BC11846" s="141"/>
    </row>
    <row r="11847">
      <c r="BB11847" s="122"/>
      <c r="BC11847" s="141"/>
    </row>
    <row r="11848">
      <c r="BB11848" s="122"/>
      <c r="BC11848" s="141"/>
    </row>
    <row r="11849">
      <c r="BB11849" s="122"/>
      <c r="BC11849" s="141"/>
    </row>
    <row r="11850">
      <c r="BB11850" s="122"/>
      <c r="BC11850" s="141"/>
    </row>
    <row r="11851">
      <c r="BB11851" s="122"/>
      <c r="BC11851" s="141"/>
    </row>
    <row r="11852">
      <c r="BB11852" s="122"/>
      <c r="BC11852" s="141"/>
    </row>
    <row r="11853">
      <c r="BB11853" s="122"/>
      <c r="BC11853" s="141"/>
    </row>
    <row r="11854">
      <c r="BB11854" s="122"/>
      <c r="BC11854" s="141"/>
    </row>
    <row r="11855">
      <c r="BB11855" s="122"/>
      <c r="BC11855" s="141"/>
    </row>
    <row r="11856">
      <c r="BB11856" s="122"/>
      <c r="BC11856" s="141"/>
    </row>
    <row r="11857">
      <c r="BB11857" s="122"/>
      <c r="BC11857" s="141"/>
    </row>
    <row r="11858">
      <c r="BB11858" s="122"/>
      <c r="BC11858" s="141"/>
    </row>
    <row r="11859">
      <c r="BB11859" s="122"/>
      <c r="BC11859" s="141"/>
    </row>
    <row r="11860">
      <c r="BB11860" s="122"/>
      <c r="BC11860" s="141"/>
    </row>
    <row r="11861">
      <c r="BB11861" s="122"/>
      <c r="BC11861" s="141"/>
    </row>
    <row r="11862">
      <c r="BB11862" s="122"/>
      <c r="BC11862" s="141"/>
    </row>
    <row r="11863">
      <c r="BB11863" s="122"/>
      <c r="BC11863" s="141"/>
    </row>
    <row r="11864">
      <c r="BB11864" s="122"/>
      <c r="BC11864" s="141"/>
    </row>
    <row r="11865">
      <c r="BB11865" s="122"/>
      <c r="BC11865" s="141"/>
    </row>
    <row r="11866">
      <c r="BB11866" s="122"/>
      <c r="BC11866" s="141"/>
    </row>
    <row r="11867">
      <c r="BB11867" s="122"/>
      <c r="BC11867" s="141"/>
    </row>
    <row r="11868">
      <c r="BB11868" s="122"/>
      <c r="BC11868" s="141"/>
    </row>
    <row r="11869">
      <c r="BB11869" s="122"/>
      <c r="BC11869" s="141"/>
    </row>
    <row r="11870">
      <c r="BB11870" s="122"/>
      <c r="BC11870" s="141"/>
    </row>
    <row r="11871">
      <c r="BB11871" s="122"/>
      <c r="BC11871" s="141"/>
    </row>
    <row r="11872">
      <c r="BB11872" s="122"/>
      <c r="BC11872" s="141"/>
    </row>
    <row r="11873">
      <c r="BB11873" s="122"/>
      <c r="BC11873" s="141"/>
    </row>
    <row r="11874">
      <c r="BB11874" s="122"/>
      <c r="BC11874" s="141"/>
    </row>
    <row r="11875">
      <c r="BB11875" s="122"/>
      <c r="BC11875" s="141"/>
    </row>
    <row r="11876">
      <c r="BB11876" s="122"/>
      <c r="BC11876" s="141"/>
    </row>
    <row r="11877">
      <c r="BB11877" s="122"/>
      <c r="BC11877" s="141"/>
    </row>
    <row r="11878">
      <c r="BB11878" s="122"/>
      <c r="BC11878" s="141"/>
    </row>
    <row r="11879">
      <c r="BB11879" s="122"/>
      <c r="BC11879" s="141"/>
    </row>
    <row r="11880">
      <c r="BB11880" s="122"/>
      <c r="BC11880" s="141"/>
    </row>
    <row r="11881">
      <c r="BB11881" s="122"/>
      <c r="BC11881" s="141"/>
    </row>
    <row r="11882">
      <c r="BB11882" s="122"/>
      <c r="BC11882" s="141"/>
    </row>
    <row r="11883">
      <c r="BB11883" s="122"/>
      <c r="BC11883" s="141"/>
    </row>
    <row r="11884">
      <c r="BB11884" s="122"/>
      <c r="BC11884" s="141"/>
    </row>
    <row r="11885">
      <c r="BB11885" s="122"/>
      <c r="BC11885" s="141"/>
    </row>
    <row r="11886">
      <c r="BB11886" s="122"/>
      <c r="BC11886" s="141"/>
    </row>
    <row r="11887">
      <c r="BB11887" s="122"/>
      <c r="BC11887" s="141"/>
    </row>
    <row r="11888">
      <c r="BB11888" s="122"/>
      <c r="BC11888" s="141"/>
    </row>
    <row r="11889">
      <c r="BB11889" s="122"/>
      <c r="BC11889" s="141"/>
    </row>
    <row r="11890">
      <c r="BB11890" s="122"/>
      <c r="BC11890" s="141"/>
    </row>
    <row r="11891">
      <c r="BB11891" s="122"/>
      <c r="BC11891" s="141"/>
    </row>
    <row r="11892">
      <c r="BB11892" s="122"/>
      <c r="BC11892" s="141"/>
    </row>
    <row r="11893">
      <c r="BB11893" s="122"/>
      <c r="BC11893" s="141"/>
    </row>
    <row r="11894">
      <c r="BB11894" s="122"/>
      <c r="BC11894" s="141"/>
    </row>
    <row r="11895">
      <c r="BB11895" s="122"/>
      <c r="BC11895" s="141"/>
    </row>
    <row r="11896">
      <c r="BB11896" s="122"/>
      <c r="BC11896" s="141"/>
    </row>
    <row r="11897">
      <c r="BB11897" s="122"/>
      <c r="BC11897" s="141"/>
    </row>
    <row r="11898">
      <c r="BB11898" s="122"/>
      <c r="BC11898" s="141"/>
    </row>
    <row r="11899">
      <c r="BB11899" s="122"/>
      <c r="BC11899" s="141"/>
    </row>
    <row r="11900">
      <c r="BB11900" s="122"/>
      <c r="BC11900" s="141"/>
    </row>
    <row r="11901">
      <c r="BB11901" s="122"/>
      <c r="BC11901" s="141"/>
    </row>
    <row r="11902">
      <c r="BB11902" s="122"/>
      <c r="BC11902" s="141"/>
    </row>
    <row r="11903">
      <c r="BB11903" s="122"/>
      <c r="BC11903" s="141"/>
    </row>
    <row r="11904">
      <c r="BB11904" s="122"/>
      <c r="BC11904" s="141"/>
    </row>
    <row r="11905">
      <c r="BB11905" s="122"/>
      <c r="BC11905" s="141"/>
    </row>
    <row r="11906">
      <c r="BB11906" s="122"/>
      <c r="BC11906" s="141"/>
    </row>
    <row r="11907">
      <c r="BB11907" s="122"/>
      <c r="BC11907" s="141"/>
    </row>
    <row r="11908">
      <c r="BB11908" s="122"/>
      <c r="BC11908" s="141"/>
    </row>
    <row r="11909">
      <c r="BB11909" s="122"/>
      <c r="BC11909" s="141"/>
    </row>
    <row r="11910">
      <c r="BB11910" s="122"/>
      <c r="BC11910" s="141"/>
    </row>
    <row r="11911">
      <c r="BB11911" s="122"/>
      <c r="BC11911" s="141"/>
    </row>
    <row r="11912">
      <c r="BB11912" s="122"/>
      <c r="BC11912" s="141"/>
    </row>
    <row r="11913">
      <c r="BB11913" s="122"/>
      <c r="BC11913" s="141"/>
    </row>
    <row r="11914">
      <c r="BB11914" s="122"/>
      <c r="BC11914" s="141"/>
    </row>
    <row r="11915">
      <c r="BB11915" s="122"/>
      <c r="BC11915" s="141"/>
    </row>
    <row r="11916">
      <c r="BB11916" s="122"/>
      <c r="BC11916" s="141"/>
    </row>
    <row r="11917">
      <c r="BB11917" s="122"/>
      <c r="BC11917" s="141"/>
    </row>
    <row r="11918">
      <c r="BB11918" s="122"/>
      <c r="BC11918" s="141"/>
    </row>
    <row r="11919">
      <c r="BB11919" s="122"/>
      <c r="BC11919" s="141"/>
    </row>
    <row r="11920">
      <c r="BB11920" s="122"/>
      <c r="BC11920" s="141"/>
    </row>
    <row r="11921">
      <c r="BB11921" s="122"/>
      <c r="BC11921" s="141"/>
    </row>
    <row r="11922">
      <c r="BB11922" s="122"/>
      <c r="BC11922" s="141"/>
    </row>
    <row r="11923">
      <c r="BB11923" s="122"/>
      <c r="BC11923" s="141"/>
    </row>
    <row r="11924">
      <c r="BB11924" s="122"/>
      <c r="BC11924" s="141"/>
    </row>
    <row r="11925">
      <c r="BB11925" s="122"/>
      <c r="BC11925" s="141"/>
    </row>
    <row r="11926">
      <c r="BB11926" s="122"/>
      <c r="BC11926" s="141"/>
    </row>
    <row r="11927">
      <c r="BB11927" s="122"/>
      <c r="BC11927" s="141"/>
    </row>
    <row r="11928">
      <c r="BB11928" s="122"/>
      <c r="BC11928" s="141"/>
    </row>
    <row r="11929">
      <c r="BB11929" s="122"/>
      <c r="BC11929" s="141"/>
    </row>
    <row r="11930">
      <c r="BB11930" s="122"/>
      <c r="BC11930" s="141"/>
    </row>
    <row r="11931">
      <c r="BB11931" s="122"/>
      <c r="BC11931" s="141"/>
    </row>
    <row r="11932">
      <c r="BB11932" s="122"/>
      <c r="BC11932" s="141"/>
    </row>
    <row r="11933">
      <c r="BB11933" s="122"/>
      <c r="BC11933" s="141"/>
    </row>
    <row r="11934">
      <c r="BB11934" s="122"/>
      <c r="BC11934" s="141"/>
    </row>
    <row r="11935">
      <c r="BB11935" s="122"/>
      <c r="BC11935" s="141"/>
    </row>
    <row r="11936">
      <c r="BB11936" s="122"/>
      <c r="BC11936" s="141"/>
    </row>
    <row r="11937">
      <c r="BB11937" s="122"/>
      <c r="BC11937" s="141"/>
    </row>
    <row r="11938">
      <c r="BB11938" s="122"/>
      <c r="BC11938" s="141"/>
    </row>
    <row r="11939">
      <c r="BB11939" s="122"/>
      <c r="BC11939" s="141"/>
    </row>
    <row r="11940">
      <c r="BB11940" s="122"/>
      <c r="BC11940" s="141"/>
    </row>
    <row r="11941">
      <c r="BB11941" s="122"/>
      <c r="BC11941" s="141"/>
    </row>
    <row r="11942">
      <c r="BB11942" s="122"/>
      <c r="BC11942" s="141"/>
    </row>
    <row r="11943">
      <c r="BB11943" s="122"/>
      <c r="BC11943" s="141"/>
    </row>
    <row r="11944">
      <c r="BB11944" s="122"/>
      <c r="BC11944" s="141"/>
    </row>
    <row r="11945">
      <c r="BB11945" s="122"/>
      <c r="BC11945" s="141"/>
    </row>
    <row r="11946">
      <c r="BB11946" s="122"/>
      <c r="BC11946" s="141"/>
    </row>
    <row r="11947">
      <c r="BB11947" s="122"/>
      <c r="BC11947" s="141"/>
    </row>
    <row r="11948">
      <c r="BB11948" s="122"/>
      <c r="BC11948" s="141"/>
    </row>
    <row r="11949">
      <c r="BB11949" s="122"/>
      <c r="BC11949" s="141"/>
    </row>
    <row r="11950">
      <c r="BB11950" s="122"/>
      <c r="BC11950" s="141"/>
    </row>
    <row r="11951">
      <c r="BB11951" s="122"/>
      <c r="BC11951" s="141"/>
    </row>
    <row r="11952">
      <c r="BB11952" s="122"/>
      <c r="BC11952" s="141"/>
    </row>
    <row r="11953">
      <c r="BB11953" s="122"/>
      <c r="BC11953" s="141"/>
    </row>
    <row r="11954">
      <c r="BB11954" s="122"/>
      <c r="BC11954" s="141"/>
    </row>
    <row r="11955">
      <c r="BB11955" s="122"/>
      <c r="BC11955" s="141"/>
    </row>
    <row r="11956">
      <c r="BB11956" s="122"/>
      <c r="BC11956" s="141"/>
    </row>
    <row r="11957">
      <c r="BB11957" s="122"/>
      <c r="BC11957" s="141"/>
    </row>
    <row r="11958">
      <c r="BB11958" s="122"/>
      <c r="BC11958" s="141"/>
    </row>
    <row r="11959">
      <c r="BB11959" s="122"/>
      <c r="BC11959" s="141"/>
    </row>
    <row r="11960">
      <c r="BB11960" s="122"/>
      <c r="BC11960" s="141"/>
    </row>
    <row r="11961">
      <c r="BB11961" s="122"/>
      <c r="BC11961" s="141"/>
    </row>
    <row r="11962">
      <c r="BB11962" s="122"/>
      <c r="BC11962" s="141"/>
    </row>
    <row r="11963">
      <c r="BB11963" s="122"/>
      <c r="BC11963" s="141"/>
    </row>
    <row r="11964">
      <c r="BB11964" s="122"/>
      <c r="BC11964" s="141"/>
    </row>
    <row r="11965">
      <c r="BB11965" s="122"/>
      <c r="BC11965" s="141"/>
    </row>
    <row r="11966">
      <c r="BB11966" s="122"/>
      <c r="BC11966" s="141"/>
    </row>
    <row r="11967">
      <c r="BB11967" s="122"/>
      <c r="BC11967" s="141"/>
    </row>
    <row r="11968">
      <c r="BB11968" s="122"/>
      <c r="BC11968" s="141"/>
    </row>
    <row r="11969">
      <c r="BB11969" s="122"/>
      <c r="BC11969" s="141"/>
    </row>
    <row r="11970">
      <c r="BB11970" s="122"/>
      <c r="BC11970" s="141"/>
    </row>
    <row r="11971">
      <c r="BB11971" s="122"/>
      <c r="BC11971" s="141"/>
    </row>
    <row r="11972">
      <c r="BB11972" s="122"/>
      <c r="BC11972" s="141"/>
    </row>
    <row r="11973">
      <c r="BB11973" s="122"/>
      <c r="BC11973" s="141"/>
    </row>
    <row r="11974">
      <c r="BB11974" s="122"/>
      <c r="BC11974" s="141"/>
    </row>
    <row r="11975">
      <c r="BB11975" s="122"/>
      <c r="BC11975" s="141"/>
    </row>
    <row r="11976">
      <c r="BB11976" s="122"/>
      <c r="BC11976" s="141"/>
    </row>
    <row r="11977">
      <c r="BB11977" s="122"/>
      <c r="BC11977" s="141"/>
    </row>
    <row r="11978">
      <c r="BB11978" s="122"/>
      <c r="BC11978" s="141"/>
    </row>
    <row r="11979">
      <c r="BB11979" s="122"/>
      <c r="BC11979" s="141"/>
    </row>
    <row r="11980">
      <c r="BB11980" s="122"/>
      <c r="BC11980" s="141"/>
    </row>
    <row r="11981">
      <c r="BB11981" s="122"/>
      <c r="BC11981" s="141"/>
    </row>
    <row r="11982">
      <c r="BB11982" s="122"/>
      <c r="BC11982" s="141"/>
    </row>
    <row r="11983">
      <c r="BB11983" s="122"/>
      <c r="BC11983" s="141"/>
    </row>
    <row r="11984">
      <c r="BB11984" s="122"/>
      <c r="BC11984" s="141"/>
    </row>
    <row r="11985">
      <c r="BB11985" s="122"/>
      <c r="BC11985" s="141"/>
    </row>
    <row r="11986">
      <c r="BB11986" s="122"/>
      <c r="BC11986" s="141"/>
    </row>
    <row r="11987">
      <c r="BB11987" s="122"/>
      <c r="BC11987" s="141"/>
    </row>
    <row r="11988">
      <c r="BB11988" s="122"/>
      <c r="BC11988" s="141"/>
    </row>
    <row r="11989">
      <c r="BB11989" s="122"/>
      <c r="BC11989" s="141"/>
    </row>
    <row r="11990">
      <c r="BB11990" s="122"/>
      <c r="BC11990" s="141"/>
    </row>
    <row r="11991">
      <c r="BB11991" s="122"/>
      <c r="BC11991" s="141"/>
    </row>
    <row r="11992">
      <c r="BB11992" s="122"/>
      <c r="BC11992" s="141"/>
    </row>
    <row r="11993">
      <c r="BB11993" s="122"/>
      <c r="BC11993" s="141"/>
    </row>
    <row r="11994">
      <c r="BB11994" s="122"/>
      <c r="BC11994" s="141"/>
    </row>
    <row r="11995">
      <c r="BB11995" s="122"/>
      <c r="BC11995" s="141"/>
    </row>
    <row r="11996">
      <c r="BB11996" s="122"/>
      <c r="BC11996" s="141"/>
    </row>
    <row r="11997">
      <c r="BB11997" s="122"/>
      <c r="BC11997" s="141"/>
    </row>
    <row r="11998">
      <c r="BB11998" s="122"/>
      <c r="BC11998" s="141"/>
    </row>
    <row r="11999">
      <c r="BB11999" s="122"/>
      <c r="BC11999" s="141"/>
    </row>
    <row r="12000">
      <c r="BB12000" s="122"/>
      <c r="BC12000" s="141"/>
    </row>
    <row r="12001">
      <c r="BB12001" s="122"/>
      <c r="BC12001" s="141"/>
    </row>
    <row r="12002">
      <c r="BB12002" s="122"/>
      <c r="BC12002" s="141"/>
    </row>
    <row r="12003">
      <c r="BB12003" s="122"/>
      <c r="BC12003" s="141"/>
    </row>
    <row r="12004">
      <c r="BB12004" s="122"/>
      <c r="BC12004" s="141"/>
    </row>
    <row r="12005">
      <c r="BB12005" s="122"/>
      <c r="BC12005" s="141"/>
    </row>
    <row r="12006">
      <c r="BB12006" s="122"/>
      <c r="BC12006" s="141"/>
    </row>
    <row r="12007">
      <c r="BB12007" s="122"/>
      <c r="BC12007" s="141"/>
    </row>
    <row r="12008">
      <c r="BB12008" s="122"/>
      <c r="BC12008" s="141"/>
    </row>
    <row r="12009">
      <c r="BB12009" s="122"/>
      <c r="BC12009" s="141"/>
    </row>
    <row r="12010">
      <c r="BB12010" s="122"/>
      <c r="BC12010" s="141"/>
    </row>
    <row r="12011">
      <c r="BB12011" s="122"/>
      <c r="BC12011" s="141"/>
    </row>
    <row r="12012">
      <c r="BB12012" s="122"/>
      <c r="BC12012" s="141"/>
    </row>
    <row r="12013">
      <c r="BB12013" s="122"/>
      <c r="BC12013" s="141"/>
    </row>
    <row r="12014">
      <c r="BB12014" s="122"/>
      <c r="BC12014" s="141"/>
    </row>
    <row r="12015">
      <c r="BB12015" s="122"/>
      <c r="BC12015" s="141"/>
    </row>
    <row r="12016">
      <c r="BB12016" s="122"/>
      <c r="BC12016" s="141"/>
    </row>
    <row r="12017">
      <c r="BB12017" s="122"/>
      <c r="BC12017" s="141"/>
    </row>
    <row r="12018">
      <c r="BB12018" s="122"/>
      <c r="BC12018" s="141"/>
    </row>
    <row r="12019">
      <c r="BB12019" s="122"/>
      <c r="BC12019" s="141"/>
    </row>
    <row r="12020">
      <c r="BB12020" s="122"/>
      <c r="BC12020" s="141"/>
    </row>
    <row r="12021">
      <c r="BB12021" s="122"/>
      <c r="BC12021" s="141"/>
    </row>
    <row r="12022">
      <c r="BB12022" s="122"/>
      <c r="BC12022" s="141"/>
    </row>
    <row r="12023">
      <c r="BB12023" s="122"/>
      <c r="BC12023" s="141"/>
    </row>
    <row r="12024">
      <c r="BB12024" s="122"/>
      <c r="BC12024" s="141"/>
    </row>
    <row r="12025">
      <c r="BB12025" s="122"/>
      <c r="BC12025" s="141"/>
    </row>
    <row r="12026">
      <c r="BB12026" s="122"/>
      <c r="BC12026" s="141"/>
    </row>
    <row r="12027">
      <c r="BB12027" s="122"/>
      <c r="BC12027" s="141"/>
    </row>
    <row r="12028">
      <c r="BB12028" s="122"/>
      <c r="BC12028" s="141"/>
    </row>
    <row r="12029">
      <c r="BB12029" s="122"/>
      <c r="BC12029" s="141"/>
    </row>
    <row r="12030">
      <c r="BB12030" s="122"/>
      <c r="BC12030" s="141"/>
    </row>
    <row r="12031">
      <c r="BB12031" s="122"/>
      <c r="BC12031" s="141"/>
    </row>
    <row r="12032">
      <c r="BB12032" s="122"/>
      <c r="BC12032" s="141"/>
    </row>
    <row r="12033">
      <c r="BB12033" s="122"/>
      <c r="BC12033" s="141"/>
    </row>
    <row r="12034">
      <c r="BB12034" s="122"/>
      <c r="BC12034" s="141"/>
    </row>
    <row r="12035">
      <c r="BB12035" s="122"/>
      <c r="BC12035" s="141"/>
    </row>
    <row r="12036">
      <c r="BB12036" s="122"/>
      <c r="BC12036" s="141"/>
    </row>
    <row r="12037">
      <c r="BB12037" s="122"/>
      <c r="BC12037" s="141"/>
    </row>
    <row r="12038">
      <c r="BB12038" s="122"/>
      <c r="BC12038" s="141"/>
    </row>
    <row r="12039">
      <c r="BB12039" s="122"/>
      <c r="BC12039" s="141"/>
    </row>
    <row r="12040">
      <c r="BB12040" s="122"/>
      <c r="BC12040" s="141"/>
    </row>
    <row r="12041">
      <c r="BB12041" s="122"/>
      <c r="BC12041" s="141"/>
    </row>
    <row r="12042">
      <c r="BB12042" s="122"/>
      <c r="BC12042" s="141"/>
    </row>
    <row r="12043">
      <c r="BB12043" s="122"/>
      <c r="BC12043" s="141"/>
    </row>
    <row r="12044">
      <c r="BB12044" s="122"/>
      <c r="BC12044" s="141"/>
    </row>
    <row r="12045">
      <c r="BB12045" s="122"/>
      <c r="BC12045" s="141"/>
    </row>
    <row r="12046">
      <c r="BB12046" s="122"/>
      <c r="BC12046" s="141"/>
    </row>
    <row r="12047">
      <c r="BB12047" s="122"/>
      <c r="BC12047" s="141"/>
    </row>
    <row r="12048">
      <c r="BB12048" s="122"/>
      <c r="BC12048" s="141"/>
    </row>
    <row r="12049">
      <c r="BB12049" s="122"/>
      <c r="BC12049" s="141"/>
    </row>
    <row r="12050">
      <c r="BB12050" s="122"/>
      <c r="BC12050" s="141"/>
    </row>
    <row r="12051">
      <c r="BB12051" s="122"/>
      <c r="BC12051" s="141"/>
    </row>
    <row r="12052">
      <c r="BB12052" s="122"/>
      <c r="BC12052" s="141"/>
    </row>
    <row r="12053">
      <c r="BB12053" s="122"/>
      <c r="BC12053" s="141"/>
    </row>
    <row r="12054">
      <c r="BB12054" s="122"/>
      <c r="BC12054" s="141"/>
    </row>
    <row r="12055">
      <c r="BB12055" s="122"/>
      <c r="BC12055" s="141"/>
    </row>
    <row r="12056">
      <c r="BB12056" s="122"/>
      <c r="BC12056" s="141"/>
    </row>
    <row r="12057">
      <c r="BB12057" s="122"/>
      <c r="BC12057" s="141"/>
    </row>
    <row r="12058">
      <c r="BB12058" s="122"/>
      <c r="BC12058" s="141"/>
    </row>
    <row r="12059">
      <c r="BB12059" s="122"/>
      <c r="BC12059" s="141"/>
    </row>
    <row r="12060">
      <c r="BB12060" s="122"/>
      <c r="BC12060" s="141"/>
    </row>
    <row r="12061">
      <c r="BB12061" s="122"/>
      <c r="BC12061" s="141"/>
    </row>
    <row r="12062">
      <c r="BB12062" s="122"/>
      <c r="BC12062" s="141"/>
    </row>
    <row r="12063">
      <c r="BB12063" s="122"/>
      <c r="BC12063" s="141"/>
    </row>
    <row r="12064">
      <c r="BB12064" s="122"/>
      <c r="BC12064" s="141"/>
    </row>
    <row r="12065">
      <c r="BB12065" s="122"/>
      <c r="BC12065" s="141"/>
    </row>
    <row r="12066">
      <c r="BB12066" s="122"/>
      <c r="BC12066" s="141"/>
    </row>
    <row r="12067">
      <c r="BB12067" s="122"/>
      <c r="BC12067" s="141"/>
    </row>
    <row r="12068">
      <c r="BB12068" s="122"/>
      <c r="BC12068" s="141"/>
    </row>
    <row r="12069">
      <c r="BB12069" s="122"/>
      <c r="BC12069" s="141"/>
    </row>
    <row r="12070">
      <c r="BB12070" s="122"/>
      <c r="BC12070" s="141"/>
    </row>
    <row r="12071">
      <c r="BB12071" s="122"/>
      <c r="BC12071" s="141"/>
    </row>
    <row r="12072">
      <c r="BB12072" s="122"/>
      <c r="BC12072" s="141"/>
    </row>
    <row r="12073">
      <c r="BB12073" s="122"/>
      <c r="BC12073" s="141"/>
    </row>
    <row r="12074">
      <c r="BB12074" s="122"/>
      <c r="BC12074" s="141"/>
    </row>
    <row r="12075">
      <c r="BB12075" s="122"/>
      <c r="BC12075" s="141"/>
    </row>
    <row r="12076">
      <c r="BB12076" s="122"/>
      <c r="BC12076" s="141"/>
    </row>
    <row r="12077">
      <c r="BB12077" s="122"/>
      <c r="BC12077" s="141"/>
    </row>
    <row r="12078">
      <c r="BB12078" s="122"/>
      <c r="BC12078" s="141"/>
    </row>
    <row r="12079">
      <c r="BB12079" s="122"/>
      <c r="BC12079" s="141"/>
    </row>
    <row r="12080">
      <c r="BB12080" s="122"/>
      <c r="BC12080" s="141"/>
    </row>
    <row r="12081">
      <c r="BB12081" s="122"/>
      <c r="BC12081" s="141"/>
    </row>
    <row r="12082">
      <c r="BB12082" s="122"/>
      <c r="BC12082" s="141"/>
    </row>
    <row r="12083">
      <c r="BB12083" s="122"/>
      <c r="BC12083" s="141"/>
    </row>
    <row r="12084">
      <c r="BB12084" s="122"/>
      <c r="BC12084" s="141"/>
    </row>
    <row r="12085">
      <c r="BB12085" s="122"/>
      <c r="BC12085" s="141"/>
    </row>
    <row r="12086">
      <c r="BB12086" s="122"/>
      <c r="BC12086" s="141"/>
    </row>
    <row r="12087">
      <c r="BB12087" s="122"/>
      <c r="BC12087" s="141"/>
    </row>
    <row r="12088">
      <c r="BB12088" s="122"/>
      <c r="BC12088" s="141"/>
    </row>
    <row r="12089">
      <c r="BB12089" s="122"/>
      <c r="BC12089" s="141"/>
    </row>
    <row r="12090">
      <c r="BB12090" s="122"/>
      <c r="BC12090" s="141"/>
    </row>
    <row r="12091">
      <c r="BB12091" s="122"/>
      <c r="BC12091" s="141"/>
    </row>
    <row r="12092">
      <c r="BB12092" s="122"/>
      <c r="BC12092" s="141"/>
    </row>
    <row r="12093">
      <c r="BB12093" s="122"/>
      <c r="BC12093" s="141"/>
    </row>
    <row r="12094">
      <c r="BB12094" s="122"/>
      <c r="BC12094" s="141"/>
    </row>
    <row r="12095">
      <c r="BB12095" s="122"/>
      <c r="BC12095" s="141"/>
    </row>
    <row r="12096">
      <c r="BB12096" s="122"/>
      <c r="BC12096" s="141"/>
    </row>
    <row r="12097">
      <c r="BB12097" s="122"/>
      <c r="BC12097" s="141"/>
    </row>
    <row r="12098">
      <c r="BB12098" s="122"/>
      <c r="BC12098" s="141"/>
    </row>
    <row r="12099">
      <c r="BB12099" s="122"/>
      <c r="BC12099" s="141"/>
    </row>
    <row r="12100">
      <c r="BB12100" s="122"/>
      <c r="BC12100" s="141"/>
    </row>
    <row r="12101">
      <c r="BB12101" s="122"/>
      <c r="BC12101" s="141"/>
    </row>
    <row r="12102">
      <c r="BB12102" s="122"/>
      <c r="BC12102" s="141"/>
    </row>
    <row r="12103">
      <c r="BB12103" s="122"/>
      <c r="BC12103" s="141"/>
    </row>
    <row r="12104">
      <c r="BB12104" s="122"/>
      <c r="BC12104" s="141"/>
    </row>
    <row r="12105">
      <c r="BB12105" s="122"/>
      <c r="BC12105" s="141"/>
    </row>
    <row r="12106">
      <c r="BB12106" s="122"/>
      <c r="BC12106" s="141"/>
    </row>
    <row r="12107">
      <c r="BB12107" s="122"/>
      <c r="BC12107" s="141"/>
    </row>
    <row r="12108">
      <c r="BB12108" s="122"/>
      <c r="BC12108" s="141"/>
    </row>
    <row r="12109">
      <c r="BB12109" s="122"/>
      <c r="BC12109" s="141"/>
    </row>
    <row r="12110">
      <c r="BB12110" s="122"/>
      <c r="BC12110" s="141"/>
    </row>
    <row r="12111">
      <c r="BB12111" s="122"/>
      <c r="BC12111" s="141"/>
    </row>
    <row r="12112">
      <c r="BB12112" s="122"/>
      <c r="BC12112" s="141"/>
    </row>
    <row r="12113">
      <c r="BB12113" s="122"/>
      <c r="BC12113" s="141"/>
    </row>
    <row r="12114">
      <c r="BB12114" s="122"/>
      <c r="BC12114" s="141"/>
    </row>
    <row r="12115">
      <c r="BB12115" s="122"/>
      <c r="BC12115" s="141"/>
    </row>
    <row r="12116">
      <c r="BB12116" s="122"/>
      <c r="BC12116" s="141"/>
    </row>
    <row r="12117">
      <c r="BB12117" s="122"/>
      <c r="BC12117" s="141"/>
    </row>
    <row r="12118">
      <c r="BB12118" s="122"/>
      <c r="BC12118" s="141"/>
    </row>
    <row r="12119">
      <c r="BB12119" s="122"/>
      <c r="BC12119" s="141"/>
    </row>
    <row r="12120">
      <c r="BB12120" s="122"/>
      <c r="BC12120" s="141"/>
    </row>
    <row r="12121">
      <c r="BB12121" s="122"/>
      <c r="BC12121" s="141"/>
    </row>
    <row r="12122">
      <c r="BB12122" s="122"/>
      <c r="BC12122" s="141"/>
    </row>
    <row r="12123">
      <c r="BB12123" s="122"/>
      <c r="BC12123" s="141"/>
    </row>
    <row r="12124">
      <c r="BB12124" s="122"/>
      <c r="BC12124" s="141"/>
    </row>
    <row r="12125">
      <c r="BB12125" s="122"/>
      <c r="BC12125" s="141"/>
    </row>
    <row r="12126">
      <c r="BB12126" s="122"/>
      <c r="BC12126" s="141"/>
    </row>
    <row r="12127">
      <c r="BB12127" s="122"/>
      <c r="BC12127" s="141"/>
    </row>
    <row r="12128">
      <c r="BB12128" s="122"/>
      <c r="BC12128" s="141"/>
    </row>
    <row r="12129">
      <c r="BB12129" s="122"/>
      <c r="BC12129" s="141"/>
    </row>
    <row r="12130">
      <c r="BB12130" s="122"/>
      <c r="BC12130" s="141"/>
    </row>
    <row r="12131">
      <c r="BB12131" s="122"/>
      <c r="BC12131" s="141"/>
    </row>
    <row r="12132">
      <c r="BB12132" s="122"/>
      <c r="BC12132" s="141"/>
    </row>
    <row r="12133">
      <c r="BB12133" s="122"/>
      <c r="BC12133" s="141"/>
    </row>
    <row r="12134">
      <c r="BB12134" s="122"/>
      <c r="BC12134" s="141"/>
    </row>
    <row r="12135">
      <c r="BB12135" s="122"/>
      <c r="BC12135" s="141"/>
    </row>
    <row r="12136">
      <c r="BB12136" s="122"/>
      <c r="BC12136" s="141"/>
    </row>
    <row r="12137">
      <c r="BB12137" s="122"/>
      <c r="BC12137" s="141"/>
    </row>
    <row r="12138">
      <c r="BB12138" s="122"/>
      <c r="BC12138" s="141"/>
    </row>
    <row r="12139">
      <c r="BB12139" s="122"/>
      <c r="BC12139" s="141"/>
    </row>
    <row r="12140">
      <c r="BB12140" s="122"/>
      <c r="BC12140" s="141"/>
    </row>
    <row r="12141">
      <c r="BB12141" s="122"/>
      <c r="BC12141" s="141"/>
    </row>
    <row r="12142">
      <c r="BB12142" s="122"/>
      <c r="BC12142" s="141"/>
    </row>
    <row r="12143">
      <c r="BB12143" s="122"/>
      <c r="BC12143" s="141"/>
    </row>
    <row r="12144">
      <c r="BB12144" s="122"/>
      <c r="BC12144" s="141"/>
    </row>
    <row r="12145">
      <c r="BB12145" s="122"/>
      <c r="BC12145" s="141"/>
    </row>
    <row r="12146">
      <c r="BB12146" s="122"/>
      <c r="BC12146" s="141"/>
    </row>
    <row r="12147">
      <c r="BB12147" s="122"/>
      <c r="BC12147" s="141"/>
    </row>
    <row r="12148">
      <c r="BB12148" s="122"/>
      <c r="BC12148" s="141"/>
    </row>
    <row r="12149">
      <c r="BB12149" s="122"/>
      <c r="BC12149" s="141"/>
    </row>
    <row r="12150">
      <c r="BB12150" s="122"/>
      <c r="BC12150" s="141"/>
    </row>
    <row r="12151">
      <c r="BB12151" s="122"/>
      <c r="BC12151" s="141"/>
    </row>
    <row r="12152">
      <c r="BB12152" s="122"/>
      <c r="BC12152" s="141"/>
    </row>
    <row r="12153">
      <c r="BB12153" s="122"/>
      <c r="BC12153" s="141"/>
    </row>
    <row r="12154">
      <c r="BB12154" s="122"/>
      <c r="BC12154" s="141"/>
    </row>
    <row r="12155">
      <c r="BB12155" s="122"/>
      <c r="BC12155" s="141"/>
    </row>
    <row r="12156">
      <c r="BB12156" s="122"/>
      <c r="BC12156" s="141"/>
    </row>
    <row r="12157">
      <c r="BB12157" s="122"/>
      <c r="BC12157" s="141"/>
    </row>
    <row r="12158">
      <c r="BB12158" s="122"/>
      <c r="BC12158" s="141"/>
    </row>
    <row r="12159">
      <c r="BB12159" s="122"/>
      <c r="BC12159" s="141"/>
    </row>
    <row r="12160">
      <c r="BB12160" s="122"/>
      <c r="BC12160" s="141"/>
    </row>
    <row r="12161">
      <c r="BB12161" s="122"/>
      <c r="BC12161" s="141"/>
    </row>
    <row r="12162">
      <c r="BB12162" s="122"/>
      <c r="BC12162" s="141"/>
    </row>
    <row r="12163">
      <c r="BB12163" s="122"/>
      <c r="BC12163" s="141"/>
    </row>
    <row r="12164">
      <c r="BB12164" s="122"/>
      <c r="BC12164" s="141"/>
    </row>
    <row r="12165">
      <c r="BB12165" s="122"/>
      <c r="BC12165" s="141"/>
    </row>
    <row r="12166">
      <c r="BB12166" s="122"/>
      <c r="BC12166" s="141"/>
    </row>
    <row r="12167">
      <c r="BB12167" s="122"/>
      <c r="BC12167" s="141"/>
    </row>
    <row r="12168">
      <c r="BB12168" s="122"/>
      <c r="BC12168" s="141"/>
    </row>
    <row r="12169">
      <c r="BB12169" s="122"/>
      <c r="BC12169" s="141"/>
    </row>
    <row r="12170">
      <c r="BB12170" s="122"/>
      <c r="BC12170" s="141"/>
    </row>
    <row r="12171">
      <c r="BB12171" s="122"/>
      <c r="BC12171" s="141"/>
    </row>
    <row r="12172">
      <c r="BB12172" s="122"/>
      <c r="BC12172" s="141"/>
    </row>
    <row r="12173">
      <c r="BB12173" s="122"/>
      <c r="BC12173" s="141"/>
    </row>
    <row r="12174">
      <c r="BB12174" s="122"/>
      <c r="BC12174" s="141"/>
    </row>
    <row r="12175">
      <c r="BB12175" s="122"/>
      <c r="BC12175" s="141"/>
    </row>
    <row r="12176">
      <c r="BB12176" s="122"/>
      <c r="BC12176" s="141"/>
    </row>
    <row r="12177">
      <c r="BB12177" s="122"/>
      <c r="BC12177" s="141"/>
    </row>
    <row r="12178">
      <c r="BB12178" s="122"/>
      <c r="BC12178" s="141"/>
    </row>
    <row r="12179">
      <c r="BB12179" s="122"/>
      <c r="BC12179" s="141"/>
    </row>
    <row r="12180">
      <c r="BB12180" s="122"/>
      <c r="BC12180" s="141"/>
    </row>
    <row r="12181">
      <c r="BB12181" s="122"/>
      <c r="BC12181" s="141"/>
    </row>
    <row r="12182">
      <c r="BB12182" s="122"/>
      <c r="BC12182" s="141"/>
    </row>
    <row r="12183">
      <c r="BB12183" s="122"/>
      <c r="BC12183" s="141"/>
    </row>
    <row r="12184">
      <c r="BB12184" s="122"/>
      <c r="BC12184" s="141"/>
    </row>
    <row r="12185">
      <c r="BB12185" s="122"/>
      <c r="BC12185" s="141"/>
    </row>
    <row r="12186">
      <c r="BB12186" s="122"/>
      <c r="BC12186" s="141"/>
    </row>
    <row r="12187">
      <c r="BB12187" s="122"/>
      <c r="BC12187" s="141"/>
    </row>
    <row r="12188">
      <c r="BB12188" s="122"/>
      <c r="BC12188" s="141"/>
    </row>
    <row r="12189">
      <c r="BB12189" s="122"/>
      <c r="BC12189" s="141"/>
    </row>
    <row r="12190">
      <c r="BB12190" s="122"/>
      <c r="BC12190" s="141"/>
    </row>
    <row r="12191">
      <c r="BB12191" s="122"/>
      <c r="BC12191" s="141"/>
    </row>
    <row r="12192">
      <c r="BB12192" s="122"/>
      <c r="BC12192" s="141"/>
    </row>
    <row r="12193">
      <c r="BB12193" s="122"/>
      <c r="BC12193" s="141"/>
    </row>
    <row r="12194">
      <c r="BB12194" s="122"/>
      <c r="BC12194" s="141"/>
    </row>
    <row r="12195">
      <c r="BB12195" s="122"/>
      <c r="BC12195" s="141"/>
    </row>
    <row r="12196">
      <c r="BB12196" s="122"/>
      <c r="BC12196" s="141"/>
    </row>
    <row r="12197">
      <c r="BB12197" s="122"/>
      <c r="BC12197" s="141"/>
    </row>
    <row r="12198">
      <c r="BB12198" s="122"/>
      <c r="BC12198" s="141"/>
    </row>
    <row r="12199">
      <c r="BB12199" s="122"/>
      <c r="BC12199" s="141"/>
    </row>
    <row r="12200">
      <c r="BB12200" s="122"/>
      <c r="BC12200" s="141"/>
    </row>
    <row r="12201">
      <c r="BB12201" s="122"/>
      <c r="BC12201" s="141"/>
    </row>
    <row r="12202">
      <c r="BB12202" s="122"/>
      <c r="BC12202" s="141"/>
    </row>
    <row r="12203">
      <c r="BB12203" s="122"/>
      <c r="BC12203" s="141"/>
    </row>
    <row r="12204">
      <c r="BB12204" s="122"/>
      <c r="BC12204" s="141"/>
    </row>
    <row r="12205">
      <c r="BB12205" s="122"/>
      <c r="BC12205" s="141"/>
    </row>
    <row r="12206">
      <c r="BB12206" s="122"/>
      <c r="BC12206" s="141"/>
    </row>
    <row r="12207">
      <c r="BB12207" s="122"/>
      <c r="BC12207" s="141"/>
    </row>
    <row r="12208">
      <c r="BB12208" s="122"/>
      <c r="BC12208" s="141"/>
    </row>
    <row r="12209">
      <c r="BB12209" s="122"/>
      <c r="BC12209" s="141"/>
    </row>
    <row r="12210">
      <c r="BB12210" s="122"/>
      <c r="BC12210" s="141"/>
    </row>
    <row r="12211">
      <c r="BB12211" s="122"/>
      <c r="BC12211" s="141"/>
    </row>
    <row r="12212">
      <c r="BB12212" s="122"/>
      <c r="BC12212" s="141"/>
    </row>
    <row r="12213">
      <c r="BB12213" s="122"/>
      <c r="BC12213" s="141"/>
    </row>
    <row r="12214">
      <c r="BB12214" s="122"/>
      <c r="BC12214" s="141"/>
    </row>
    <row r="12215">
      <c r="BB12215" s="122"/>
      <c r="BC12215" s="141"/>
    </row>
    <row r="12216">
      <c r="BB12216" s="122"/>
      <c r="BC12216" s="141"/>
    </row>
    <row r="12217">
      <c r="BB12217" s="122"/>
      <c r="BC12217" s="141"/>
    </row>
    <row r="12218">
      <c r="BB12218" s="122"/>
      <c r="BC12218" s="141"/>
    </row>
    <row r="12219">
      <c r="BB12219" s="122"/>
      <c r="BC12219" s="141"/>
    </row>
    <row r="12220">
      <c r="BB12220" s="122"/>
      <c r="BC12220" s="141"/>
    </row>
    <row r="12221">
      <c r="BB12221" s="122"/>
      <c r="BC12221" s="141"/>
    </row>
    <row r="12222">
      <c r="BB12222" s="122"/>
      <c r="BC12222" s="141"/>
    </row>
    <row r="12223">
      <c r="BB12223" s="122"/>
      <c r="BC12223" s="141"/>
    </row>
    <row r="12224">
      <c r="BB12224" s="122"/>
      <c r="BC12224" s="141"/>
    </row>
    <row r="12225">
      <c r="BB12225" s="122"/>
      <c r="BC12225" s="141"/>
    </row>
    <row r="12226">
      <c r="BB12226" s="122"/>
      <c r="BC12226" s="141"/>
    </row>
    <row r="12227">
      <c r="BB12227" s="122"/>
      <c r="BC12227" s="141"/>
    </row>
    <row r="12228">
      <c r="BB12228" s="122"/>
      <c r="BC12228" s="141"/>
    </row>
    <row r="12229">
      <c r="BB12229" s="122"/>
      <c r="BC12229" s="141"/>
    </row>
    <row r="12230">
      <c r="BB12230" s="122"/>
      <c r="BC12230" s="141"/>
    </row>
    <row r="12231">
      <c r="BB12231" s="122"/>
      <c r="BC12231" s="141"/>
    </row>
    <row r="12232">
      <c r="BB12232" s="122"/>
      <c r="BC12232" s="141"/>
    </row>
    <row r="12233">
      <c r="BB12233" s="122"/>
      <c r="BC12233" s="141"/>
    </row>
    <row r="12234">
      <c r="BB12234" s="122"/>
      <c r="BC12234" s="141"/>
    </row>
    <row r="12235">
      <c r="BB12235" s="122"/>
      <c r="BC12235" s="141"/>
    </row>
    <row r="12236">
      <c r="BB12236" s="122"/>
      <c r="BC12236" s="141"/>
    </row>
    <row r="12237">
      <c r="BB12237" s="122"/>
      <c r="BC12237" s="141"/>
    </row>
    <row r="12238">
      <c r="BB12238" s="122"/>
      <c r="BC12238" s="141"/>
    </row>
    <row r="12239">
      <c r="BB12239" s="122"/>
      <c r="BC12239" s="141"/>
    </row>
    <row r="12240">
      <c r="BB12240" s="122"/>
      <c r="BC12240" s="141"/>
    </row>
    <row r="12241">
      <c r="BB12241" s="122"/>
      <c r="BC12241" s="141"/>
    </row>
    <row r="12242">
      <c r="BB12242" s="122"/>
      <c r="BC12242" s="141"/>
    </row>
    <row r="12243">
      <c r="BB12243" s="122"/>
      <c r="BC12243" s="141"/>
    </row>
    <row r="12244">
      <c r="BB12244" s="122"/>
      <c r="BC12244" s="141"/>
    </row>
    <row r="12245">
      <c r="BB12245" s="122"/>
      <c r="BC12245" s="141"/>
    </row>
    <row r="12246">
      <c r="BB12246" s="122"/>
      <c r="BC12246" s="141"/>
    </row>
    <row r="12247">
      <c r="BB12247" s="122"/>
      <c r="BC12247" s="141"/>
    </row>
    <row r="12248">
      <c r="BB12248" s="122"/>
      <c r="BC12248" s="141"/>
    </row>
    <row r="12249">
      <c r="BB12249" s="122"/>
      <c r="BC12249" s="141"/>
    </row>
    <row r="12250">
      <c r="BB12250" s="122"/>
      <c r="BC12250" s="141"/>
    </row>
    <row r="12251">
      <c r="BB12251" s="122"/>
      <c r="BC12251" s="141"/>
    </row>
    <row r="12252">
      <c r="BB12252" s="122"/>
      <c r="BC12252" s="141"/>
    </row>
    <row r="12253">
      <c r="BB12253" s="122"/>
      <c r="BC12253" s="141"/>
    </row>
    <row r="12254">
      <c r="BB12254" s="122"/>
      <c r="BC12254" s="141"/>
    </row>
    <row r="12255">
      <c r="BB12255" s="122"/>
      <c r="BC12255" s="141"/>
    </row>
    <row r="12256">
      <c r="BB12256" s="122"/>
      <c r="BC12256" s="141"/>
    </row>
    <row r="12257">
      <c r="BB12257" s="122"/>
      <c r="BC12257" s="141"/>
    </row>
    <row r="12258">
      <c r="BB12258" s="122"/>
      <c r="BC12258" s="141"/>
    </row>
    <row r="12259">
      <c r="BB12259" s="122"/>
      <c r="BC12259" s="141"/>
    </row>
    <row r="12260">
      <c r="BB12260" s="122"/>
      <c r="BC12260" s="141"/>
    </row>
    <row r="12261">
      <c r="BB12261" s="122"/>
      <c r="BC12261" s="141"/>
    </row>
    <row r="12262">
      <c r="BB12262" s="122"/>
      <c r="BC12262" s="141"/>
    </row>
    <row r="12263">
      <c r="BB12263" s="122"/>
      <c r="BC12263" s="141"/>
    </row>
    <row r="12264">
      <c r="BB12264" s="122"/>
      <c r="BC12264" s="141"/>
    </row>
    <row r="12265">
      <c r="BB12265" s="122"/>
      <c r="BC12265" s="141"/>
    </row>
    <row r="12266">
      <c r="BB12266" s="122"/>
      <c r="BC12266" s="141"/>
    </row>
    <row r="12267">
      <c r="BB12267" s="122"/>
      <c r="BC12267" s="141"/>
    </row>
    <row r="12268">
      <c r="BB12268" s="122"/>
      <c r="BC12268" s="141"/>
    </row>
    <row r="12269">
      <c r="BB12269" s="122"/>
      <c r="BC12269" s="141"/>
    </row>
    <row r="12270">
      <c r="BB12270" s="122"/>
      <c r="BC12270" s="141"/>
    </row>
    <row r="12271">
      <c r="BB12271" s="122"/>
      <c r="BC12271" s="141"/>
    </row>
    <row r="12272">
      <c r="BB12272" s="122"/>
      <c r="BC12272" s="141"/>
    </row>
    <row r="12273">
      <c r="BB12273" s="122"/>
      <c r="BC12273" s="141"/>
    </row>
    <row r="12274">
      <c r="BB12274" s="122"/>
      <c r="BC12274" s="141"/>
    </row>
    <row r="12275">
      <c r="BB12275" s="122"/>
      <c r="BC12275" s="141"/>
    </row>
    <row r="12276">
      <c r="BB12276" s="122"/>
      <c r="BC12276" s="141"/>
    </row>
    <row r="12277">
      <c r="BB12277" s="122"/>
      <c r="BC12277" s="141"/>
    </row>
    <row r="12278">
      <c r="BB12278" s="122"/>
      <c r="BC12278" s="141"/>
    </row>
    <row r="12279">
      <c r="BB12279" s="122"/>
      <c r="BC12279" s="141"/>
    </row>
    <row r="12280">
      <c r="BB12280" s="122"/>
      <c r="BC12280" s="141"/>
    </row>
    <row r="12281">
      <c r="BB12281" s="122"/>
      <c r="BC12281" s="141"/>
    </row>
    <row r="12282">
      <c r="BB12282" s="122"/>
      <c r="BC12282" s="141"/>
    </row>
    <row r="12283">
      <c r="BB12283" s="122"/>
      <c r="BC12283" s="141"/>
    </row>
    <row r="12284">
      <c r="BB12284" s="122"/>
      <c r="BC12284" s="141"/>
    </row>
    <row r="12285">
      <c r="BB12285" s="122"/>
      <c r="BC12285" s="141"/>
    </row>
    <row r="12286">
      <c r="BB12286" s="122"/>
      <c r="BC12286" s="141"/>
    </row>
    <row r="12287">
      <c r="BB12287" s="122"/>
      <c r="BC12287" s="141"/>
    </row>
    <row r="12288">
      <c r="BB12288" s="122"/>
      <c r="BC12288" s="141"/>
    </row>
    <row r="12289">
      <c r="BB12289" s="122"/>
      <c r="BC12289" s="141"/>
    </row>
    <row r="12290">
      <c r="BB12290" s="122"/>
      <c r="BC12290" s="141"/>
    </row>
    <row r="12291">
      <c r="BB12291" s="122"/>
      <c r="BC12291" s="141"/>
    </row>
    <row r="12292">
      <c r="BB12292" s="122"/>
      <c r="BC12292" s="141"/>
    </row>
    <row r="12293">
      <c r="BB12293" s="122"/>
      <c r="BC12293" s="141"/>
    </row>
    <row r="12294">
      <c r="BB12294" s="122"/>
      <c r="BC12294" s="141"/>
    </row>
    <row r="12295">
      <c r="BB12295" s="122"/>
      <c r="BC12295" s="141"/>
    </row>
    <row r="12296">
      <c r="BB12296" s="122"/>
      <c r="BC12296" s="141"/>
    </row>
    <row r="12297">
      <c r="BB12297" s="122"/>
      <c r="BC12297" s="141"/>
    </row>
    <row r="12298">
      <c r="BB12298" s="122"/>
      <c r="BC12298" s="141"/>
    </row>
    <row r="12299">
      <c r="BB12299" s="122"/>
      <c r="BC12299" s="141"/>
    </row>
    <row r="12300">
      <c r="BB12300" s="122"/>
      <c r="BC12300" s="141"/>
    </row>
    <row r="12301">
      <c r="BB12301" s="122"/>
      <c r="BC12301" s="141"/>
    </row>
    <row r="12302">
      <c r="BB12302" s="122"/>
      <c r="BC12302" s="141"/>
    </row>
    <row r="12303">
      <c r="BB12303" s="122"/>
      <c r="BC12303" s="141"/>
    </row>
    <row r="12304">
      <c r="BB12304" s="122"/>
      <c r="BC12304" s="141"/>
    </row>
    <row r="12305">
      <c r="BB12305" s="122"/>
      <c r="BC12305" s="141"/>
    </row>
    <row r="12306">
      <c r="BB12306" s="122"/>
      <c r="BC12306" s="141"/>
    </row>
    <row r="12307">
      <c r="BB12307" s="122"/>
      <c r="BC12307" s="141"/>
    </row>
    <row r="12308">
      <c r="BB12308" s="122"/>
      <c r="BC12308" s="141"/>
    </row>
    <row r="12309">
      <c r="BB12309" s="122"/>
      <c r="BC12309" s="141"/>
    </row>
    <row r="12310">
      <c r="BB12310" s="122"/>
      <c r="BC12310" s="141"/>
    </row>
    <row r="12311">
      <c r="BB12311" s="122"/>
      <c r="BC12311" s="141"/>
    </row>
    <row r="12312">
      <c r="BB12312" s="122"/>
      <c r="BC12312" s="141"/>
    </row>
    <row r="12313">
      <c r="BB12313" s="122"/>
      <c r="BC12313" s="141"/>
    </row>
    <row r="12314">
      <c r="BB12314" s="122"/>
      <c r="BC12314" s="141"/>
    </row>
    <row r="12315">
      <c r="BB12315" s="122"/>
      <c r="BC12315" s="141"/>
    </row>
    <row r="12316">
      <c r="BB12316" s="122"/>
      <c r="BC12316" s="141"/>
    </row>
    <row r="12317">
      <c r="BB12317" s="122"/>
      <c r="BC12317" s="141"/>
    </row>
    <row r="12318">
      <c r="BB12318" s="122"/>
      <c r="BC12318" s="141"/>
    </row>
    <row r="12319">
      <c r="BB12319" s="122"/>
      <c r="BC12319" s="141"/>
    </row>
    <row r="12320">
      <c r="BB12320" s="122"/>
      <c r="BC12320" s="141"/>
    </row>
    <row r="12321">
      <c r="BB12321" s="122"/>
      <c r="BC12321" s="141"/>
    </row>
    <row r="12322">
      <c r="BB12322" s="122"/>
      <c r="BC12322" s="141"/>
    </row>
    <row r="12323">
      <c r="BB12323" s="122"/>
      <c r="BC12323" s="141"/>
    </row>
    <row r="12324">
      <c r="BB12324" s="122"/>
      <c r="BC12324" s="141"/>
    </row>
    <row r="12325">
      <c r="BB12325" s="122"/>
      <c r="BC12325" s="141"/>
    </row>
    <row r="12326">
      <c r="BB12326" s="122"/>
      <c r="BC12326" s="141"/>
    </row>
    <row r="12327">
      <c r="BB12327" s="122"/>
      <c r="BC12327" s="141"/>
    </row>
    <row r="12328">
      <c r="BB12328" s="122"/>
      <c r="BC12328" s="141"/>
    </row>
    <row r="12329">
      <c r="BB12329" s="122"/>
      <c r="BC12329" s="141"/>
    </row>
    <row r="12330">
      <c r="BB12330" s="122"/>
      <c r="BC12330" s="141"/>
    </row>
    <row r="12331">
      <c r="BB12331" s="122"/>
      <c r="BC12331" s="141"/>
    </row>
    <row r="12332">
      <c r="BB12332" s="122"/>
      <c r="BC12332" s="141"/>
    </row>
    <row r="12333">
      <c r="BB12333" s="122"/>
      <c r="BC12333" s="141"/>
    </row>
    <row r="12334">
      <c r="BB12334" s="122"/>
      <c r="BC12334" s="141"/>
    </row>
    <row r="12335">
      <c r="BB12335" s="122"/>
      <c r="BC12335" s="141"/>
    </row>
    <row r="12336">
      <c r="BB12336" s="122"/>
      <c r="BC12336" s="141"/>
    </row>
    <row r="12337">
      <c r="BB12337" s="122"/>
      <c r="BC12337" s="141"/>
    </row>
    <row r="12338">
      <c r="BB12338" s="122"/>
      <c r="BC12338" s="141"/>
    </row>
    <row r="12339">
      <c r="BB12339" s="122"/>
      <c r="BC12339" s="141"/>
    </row>
    <row r="12340">
      <c r="BB12340" s="122"/>
      <c r="BC12340" s="141"/>
    </row>
    <row r="12341">
      <c r="BB12341" s="122"/>
      <c r="BC12341" s="141"/>
    </row>
    <row r="12342">
      <c r="BB12342" s="122"/>
      <c r="BC12342" s="141"/>
    </row>
    <row r="12343">
      <c r="BB12343" s="122"/>
      <c r="BC12343" s="141"/>
    </row>
    <row r="12344">
      <c r="BB12344" s="122"/>
      <c r="BC12344" s="141"/>
    </row>
    <row r="12345">
      <c r="BB12345" s="122"/>
      <c r="BC12345" s="141"/>
    </row>
    <row r="12346">
      <c r="BB12346" s="122"/>
      <c r="BC12346" s="141"/>
    </row>
    <row r="12347">
      <c r="BB12347" s="122"/>
      <c r="BC12347" s="141"/>
    </row>
    <row r="12348">
      <c r="BB12348" s="122"/>
      <c r="BC12348" s="141"/>
    </row>
    <row r="12349">
      <c r="BB12349" s="122"/>
      <c r="BC12349" s="141"/>
    </row>
    <row r="12350">
      <c r="BB12350" s="122"/>
      <c r="BC12350" s="141"/>
    </row>
    <row r="12351">
      <c r="BB12351" s="122"/>
      <c r="BC12351" s="141"/>
    </row>
    <row r="12352">
      <c r="BB12352" s="122"/>
      <c r="BC12352" s="141"/>
    </row>
    <row r="12353">
      <c r="BB12353" s="122"/>
      <c r="BC12353" s="141"/>
    </row>
    <row r="12354">
      <c r="BB12354" s="122"/>
      <c r="BC12354" s="141"/>
    </row>
    <row r="12355">
      <c r="BB12355" s="122"/>
      <c r="BC12355" s="141"/>
    </row>
    <row r="12356">
      <c r="BB12356" s="122"/>
      <c r="BC12356" s="141"/>
    </row>
    <row r="12357">
      <c r="BB12357" s="122"/>
      <c r="BC12357" s="141"/>
    </row>
    <row r="12358">
      <c r="BB12358" s="122"/>
      <c r="BC12358" s="141"/>
    </row>
    <row r="12359">
      <c r="BB12359" s="122"/>
      <c r="BC12359" s="141"/>
    </row>
    <row r="12360">
      <c r="BB12360" s="122"/>
      <c r="BC12360" s="141"/>
    </row>
    <row r="12361">
      <c r="BB12361" s="122"/>
      <c r="BC12361" s="141"/>
    </row>
    <row r="12362">
      <c r="BB12362" s="122"/>
      <c r="BC12362" s="141"/>
    </row>
    <row r="12363">
      <c r="BB12363" s="122"/>
      <c r="BC12363" s="141"/>
    </row>
    <row r="12364">
      <c r="BB12364" s="122"/>
      <c r="BC12364" s="141"/>
    </row>
    <row r="12365">
      <c r="BB12365" s="122"/>
      <c r="BC12365" s="141"/>
    </row>
    <row r="12366">
      <c r="BB12366" s="122"/>
      <c r="BC12366" s="141"/>
    </row>
    <row r="12367">
      <c r="BB12367" s="122"/>
      <c r="BC12367" s="141"/>
    </row>
    <row r="12368">
      <c r="BB12368" s="122"/>
      <c r="BC12368" s="141"/>
    </row>
    <row r="12369">
      <c r="BB12369" s="122"/>
      <c r="BC12369" s="141"/>
    </row>
    <row r="12370">
      <c r="BB12370" s="122"/>
      <c r="BC12370" s="141"/>
    </row>
    <row r="12371">
      <c r="BB12371" s="122"/>
      <c r="BC12371" s="141"/>
    </row>
    <row r="12372">
      <c r="BB12372" s="122"/>
      <c r="BC12372" s="141"/>
    </row>
    <row r="12373">
      <c r="BB12373" s="122"/>
      <c r="BC12373" s="141"/>
    </row>
    <row r="12374">
      <c r="BB12374" s="122"/>
      <c r="BC12374" s="141"/>
    </row>
    <row r="12375">
      <c r="BB12375" s="122"/>
      <c r="BC12375" s="141"/>
    </row>
    <row r="12376">
      <c r="BB12376" s="122"/>
      <c r="BC12376" s="141"/>
    </row>
    <row r="12377">
      <c r="BB12377" s="122"/>
      <c r="BC12377" s="141"/>
    </row>
    <row r="12378">
      <c r="BB12378" s="122"/>
      <c r="BC12378" s="141"/>
    </row>
    <row r="12379">
      <c r="BB12379" s="122"/>
      <c r="BC12379" s="141"/>
    </row>
    <row r="12380">
      <c r="BB12380" s="122"/>
      <c r="BC12380" s="141"/>
    </row>
    <row r="12381">
      <c r="BB12381" s="122"/>
      <c r="BC12381" s="141"/>
    </row>
    <row r="12382">
      <c r="BB12382" s="122"/>
      <c r="BC12382" s="141"/>
    </row>
    <row r="12383">
      <c r="BB12383" s="122"/>
      <c r="BC12383" s="141"/>
    </row>
    <row r="12384">
      <c r="BB12384" s="122"/>
      <c r="BC12384" s="141"/>
    </row>
    <row r="12385">
      <c r="BB12385" s="122"/>
      <c r="BC12385" s="141"/>
    </row>
    <row r="12386">
      <c r="BB12386" s="122"/>
      <c r="BC12386" s="141"/>
    </row>
    <row r="12387">
      <c r="BB12387" s="122"/>
      <c r="BC12387" s="141"/>
    </row>
    <row r="12388">
      <c r="BB12388" s="122"/>
      <c r="BC12388" s="141"/>
    </row>
    <row r="12389">
      <c r="BB12389" s="122"/>
      <c r="BC12389" s="141"/>
    </row>
    <row r="12390">
      <c r="BB12390" s="122"/>
      <c r="BC12390" s="141"/>
    </row>
    <row r="12391">
      <c r="BB12391" s="122"/>
      <c r="BC12391" s="141"/>
    </row>
    <row r="12392">
      <c r="BB12392" s="122"/>
      <c r="BC12392" s="141"/>
    </row>
    <row r="12393">
      <c r="BB12393" s="122"/>
      <c r="BC12393" s="141"/>
    </row>
    <row r="12394">
      <c r="BB12394" s="122"/>
      <c r="BC12394" s="141"/>
    </row>
    <row r="12395">
      <c r="BB12395" s="122"/>
      <c r="BC12395" s="141"/>
    </row>
    <row r="12396">
      <c r="BB12396" s="122"/>
      <c r="BC12396" s="141"/>
    </row>
    <row r="12397">
      <c r="BB12397" s="122"/>
      <c r="BC12397" s="141"/>
    </row>
    <row r="12398">
      <c r="BB12398" s="122"/>
      <c r="BC12398" s="141"/>
    </row>
    <row r="12399">
      <c r="BB12399" s="122"/>
      <c r="BC12399" s="141"/>
    </row>
    <row r="12400">
      <c r="BB12400" s="122"/>
      <c r="BC12400" s="141"/>
    </row>
    <row r="12401">
      <c r="BB12401" s="122"/>
      <c r="BC12401" s="141"/>
    </row>
    <row r="12402">
      <c r="BB12402" s="122"/>
      <c r="BC12402" s="141"/>
    </row>
    <row r="12403">
      <c r="BB12403" s="122"/>
      <c r="BC12403" s="141"/>
    </row>
    <row r="12404">
      <c r="BB12404" s="122"/>
      <c r="BC12404" s="141"/>
    </row>
    <row r="12405">
      <c r="BB12405" s="122"/>
      <c r="BC12405" s="141"/>
    </row>
    <row r="12406">
      <c r="BB12406" s="122"/>
      <c r="BC12406" s="141"/>
    </row>
    <row r="12407">
      <c r="BB12407" s="122"/>
      <c r="BC12407" s="141"/>
    </row>
    <row r="12408">
      <c r="BB12408" s="122"/>
      <c r="BC12408" s="141"/>
    </row>
    <row r="12409">
      <c r="BB12409" s="122"/>
      <c r="BC12409" s="141"/>
    </row>
    <row r="12410">
      <c r="BB12410" s="122"/>
      <c r="BC12410" s="141"/>
    </row>
    <row r="12411">
      <c r="BB12411" s="122"/>
      <c r="BC12411" s="141"/>
    </row>
    <row r="12412">
      <c r="BB12412" s="122"/>
      <c r="BC12412" s="141"/>
    </row>
    <row r="12413">
      <c r="BB12413" s="122"/>
      <c r="BC12413" s="141"/>
    </row>
    <row r="12414">
      <c r="BB12414" s="122"/>
      <c r="BC12414" s="141"/>
    </row>
    <row r="12415">
      <c r="BB12415" s="122"/>
      <c r="BC12415" s="141"/>
    </row>
    <row r="12416">
      <c r="BB12416" s="122"/>
      <c r="BC12416" s="141"/>
    </row>
    <row r="12417">
      <c r="BB12417" s="122"/>
      <c r="BC12417" s="141"/>
    </row>
    <row r="12418">
      <c r="BB12418" s="122"/>
      <c r="BC12418" s="141"/>
    </row>
    <row r="12419">
      <c r="BB12419" s="122"/>
      <c r="BC12419" s="141"/>
    </row>
    <row r="12420">
      <c r="BB12420" s="122"/>
      <c r="BC12420" s="141"/>
    </row>
    <row r="12421">
      <c r="BB12421" s="122"/>
      <c r="BC12421" s="141"/>
    </row>
    <row r="12422">
      <c r="BB12422" s="122"/>
      <c r="BC12422" s="141"/>
    </row>
    <row r="12423">
      <c r="BB12423" s="122"/>
      <c r="BC12423" s="141"/>
    </row>
    <row r="12424">
      <c r="BB12424" s="122"/>
      <c r="BC12424" s="141"/>
    </row>
    <row r="12425">
      <c r="BB12425" s="122"/>
      <c r="BC12425" s="141"/>
    </row>
    <row r="12426">
      <c r="BB12426" s="122"/>
      <c r="BC12426" s="141"/>
    </row>
    <row r="12427">
      <c r="BB12427" s="122"/>
      <c r="BC12427" s="141"/>
    </row>
    <row r="12428">
      <c r="BB12428" s="122"/>
      <c r="BC12428" s="141"/>
    </row>
    <row r="12429">
      <c r="BB12429" s="122"/>
      <c r="BC12429" s="141"/>
    </row>
    <row r="12430">
      <c r="BB12430" s="122"/>
      <c r="BC12430" s="141"/>
    </row>
    <row r="12431">
      <c r="BB12431" s="122"/>
      <c r="BC12431" s="141"/>
    </row>
    <row r="12432">
      <c r="BB12432" s="122"/>
      <c r="BC12432" s="141"/>
    </row>
    <row r="12433">
      <c r="BB12433" s="122"/>
      <c r="BC12433" s="141"/>
    </row>
    <row r="12434">
      <c r="BB12434" s="122"/>
      <c r="BC12434" s="141"/>
    </row>
    <row r="12435">
      <c r="BB12435" s="122"/>
      <c r="BC12435" s="141"/>
    </row>
    <row r="12436">
      <c r="BB12436" s="122"/>
      <c r="BC12436" s="141"/>
    </row>
    <row r="12437">
      <c r="BB12437" s="122"/>
      <c r="BC12437" s="141"/>
    </row>
    <row r="12438">
      <c r="BB12438" s="122"/>
      <c r="BC12438" s="141"/>
    </row>
    <row r="12439">
      <c r="BB12439" s="122"/>
      <c r="BC12439" s="141"/>
    </row>
    <row r="12440">
      <c r="BB12440" s="122"/>
      <c r="BC12440" s="141"/>
    </row>
    <row r="12441">
      <c r="BB12441" s="122"/>
      <c r="BC12441" s="141"/>
    </row>
    <row r="12442">
      <c r="BB12442" s="122"/>
      <c r="BC12442" s="141"/>
    </row>
    <row r="12443">
      <c r="BB12443" s="122"/>
      <c r="BC12443" s="141"/>
    </row>
    <row r="12444">
      <c r="BB12444" s="122"/>
      <c r="BC12444" s="141"/>
    </row>
    <row r="12445">
      <c r="BB12445" s="122"/>
      <c r="BC12445" s="141"/>
    </row>
    <row r="12446">
      <c r="BB12446" s="122"/>
      <c r="BC12446" s="141"/>
    </row>
    <row r="12447">
      <c r="BB12447" s="122"/>
      <c r="BC12447" s="141"/>
    </row>
    <row r="12448">
      <c r="BB12448" s="122"/>
      <c r="BC12448" s="141"/>
    </row>
    <row r="12449">
      <c r="BB12449" s="122"/>
      <c r="BC12449" s="141"/>
    </row>
    <row r="12450">
      <c r="BB12450" s="122"/>
      <c r="BC12450" s="141"/>
    </row>
    <row r="12451">
      <c r="BB12451" s="122"/>
      <c r="BC12451" s="141"/>
    </row>
    <row r="12452">
      <c r="BB12452" s="122"/>
      <c r="BC12452" s="141"/>
    </row>
    <row r="12453">
      <c r="BB12453" s="122"/>
      <c r="BC12453" s="141"/>
    </row>
    <row r="12454">
      <c r="BB12454" s="122"/>
      <c r="BC12454" s="141"/>
    </row>
    <row r="12455">
      <c r="BB12455" s="122"/>
      <c r="BC12455" s="141"/>
    </row>
    <row r="12456">
      <c r="BB12456" s="122"/>
      <c r="BC12456" s="141"/>
    </row>
    <row r="12457">
      <c r="BB12457" s="122"/>
      <c r="BC12457" s="141"/>
    </row>
    <row r="12458">
      <c r="BB12458" s="122"/>
      <c r="BC12458" s="141"/>
    </row>
    <row r="12459">
      <c r="BB12459" s="122"/>
      <c r="BC12459" s="141"/>
    </row>
    <row r="12460">
      <c r="BB12460" s="122"/>
      <c r="BC12460" s="141"/>
    </row>
    <row r="12461">
      <c r="BB12461" s="122"/>
      <c r="BC12461" s="141"/>
    </row>
    <row r="12462">
      <c r="BB12462" s="122"/>
      <c r="BC12462" s="141"/>
    </row>
    <row r="12463">
      <c r="BB12463" s="122"/>
      <c r="BC12463" s="141"/>
    </row>
    <row r="12464">
      <c r="BB12464" s="122"/>
      <c r="BC12464" s="141"/>
    </row>
    <row r="12465">
      <c r="BB12465" s="122"/>
      <c r="BC12465" s="141"/>
    </row>
    <row r="12466">
      <c r="BB12466" s="122"/>
      <c r="BC12466" s="141"/>
    </row>
    <row r="12467">
      <c r="BB12467" s="122"/>
      <c r="BC12467" s="141"/>
    </row>
    <row r="12468">
      <c r="BB12468" s="122"/>
      <c r="BC12468" s="141"/>
    </row>
    <row r="12469">
      <c r="BB12469" s="122"/>
      <c r="BC12469" s="141"/>
    </row>
    <row r="12470">
      <c r="BB12470" s="122"/>
      <c r="BC12470" s="141"/>
    </row>
    <row r="12471">
      <c r="BB12471" s="122"/>
      <c r="BC12471" s="141"/>
    </row>
    <row r="12472">
      <c r="BB12472" s="122"/>
      <c r="BC12472" s="141"/>
    </row>
    <row r="12473">
      <c r="BB12473" s="122"/>
      <c r="BC12473" s="141"/>
    </row>
    <row r="12474">
      <c r="BB12474" s="122"/>
      <c r="BC12474" s="141"/>
    </row>
    <row r="12475">
      <c r="BB12475" s="122"/>
      <c r="BC12475" s="141"/>
    </row>
    <row r="12476">
      <c r="BB12476" s="122"/>
      <c r="BC12476" s="141"/>
    </row>
    <row r="12477">
      <c r="BB12477" s="122"/>
      <c r="BC12477" s="141"/>
    </row>
    <row r="12478">
      <c r="BB12478" s="122"/>
      <c r="BC12478" s="141"/>
    </row>
    <row r="12479">
      <c r="BB12479" s="122"/>
      <c r="BC12479" s="141"/>
    </row>
    <row r="12480">
      <c r="BB12480" s="122"/>
      <c r="BC12480" s="141"/>
    </row>
    <row r="12481">
      <c r="BB12481" s="122"/>
      <c r="BC12481" s="141"/>
    </row>
    <row r="12482">
      <c r="BB12482" s="122"/>
      <c r="BC12482" s="141"/>
    </row>
    <row r="12483">
      <c r="BB12483" s="122"/>
      <c r="BC12483" s="141"/>
    </row>
    <row r="12484">
      <c r="BB12484" s="122"/>
      <c r="BC12484" s="141"/>
    </row>
    <row r="12485">
      <c r="BB12485" s="122"/>
      <c r="BC12485" s="141"/>
    </row>
    <row r="12486">
      <c r="BB12486" s="122"/>
      <c r="BC12486" s="141"/>
    </row>
    <row r="12487">
      <c r="BB12487" s="122"/>
      <c r="BC12487" s="141"/>
    </row>
    <row r="12488">
      <c r="BB12488" s="122"/>
      <c r="BC12488" s="141"/>
    </row>
    <row r="12489">
      <c r="BB12489" s="122"/>
      <c r="BC12489" s="141"/>
    </row>
    <row r="12490">
      <c r="BB12490" s="122"/>
      <c r="BC12490" s="141"/>
    </row>
    <row r="12491">
      <c r="BB12491" s="122"/>
      <c r="BC12491" s="141"/>
    </row>
    <row r="12492">
      <c r="BB12492" s="122"/>
      <c r="BC12492" s="141"/>
    </row>
    <row r="12493">
      <c r="BB12493" s="122"/>
      <c r="BC12493" s="141"/>
    </row>
    <row r="12494">
      <c r="BB12494" s="122"/>
      <c r="BC12494" s="141"/>
    </row>
    <row r="12495">
      <c r="BB12495" s="122"/>
      <c r="BC12495" s="141"/>
    </row>
    <row r="12496">
      <c r="BB12496" s="122"/>
      <c r="BC12496" s="141"/>
    </row>
    <row r="12497">
      <c r="BB12497" s="122"/>
      <c r="BC12497" s="141"/>
    </row>
    <row r="12498">
      <c r="BB12498" s="122"/>
      <c r="BC12498" s="141"/>
    </row>
    <row r="12499">
      <c r="BB12499" s="122"/>
      <c r="BC12499" s="141"/>
    </row>
    <row r="12500">
      <c r="BB12500" s="122"/>
      <c r="BC12500" s="141"/>
    </row>
    <row r="12501">
      <c r="BB12501" s="122"/>
      <c r="BC12501" s="141"/>
    </row>
    <row r="12502">
      <c r="BB12502" s="122"/>
      <c r="BC12502" s="141"/>
    </row>
    <row r="12503">
      <c r="BB12503" s="122"/>
      <c r="BC12503" s="141"/>
    </row>
    <row r="12504">
      <c r="BB12504" s="122"/>
      <c r="BC12504" s="141"/>
    </row>
    <row r="12505">
      <c r="BB12505" s="122"/>
      <c r="BC12505" s="141"/>
    </row>
    <row r="12506">
      <c r="BB12506" s="122"/>
      <c r="BC12506" s="141"/>
    </row>
    <row r="12507">
      <c r="BB12507" s="122"/>
      <c r="BC12507" s="141"/>
    </row>
    <row r="12508">
      <c r="BB12508" s="122"/>
      <c r="BC12508" s="141"/>
    </row>
    <row r="12509">
      <c r="BB12509" s="122"/>
      <c r="BC12509" s="141"/>
    </row>
    <row r="12510">
      <c r="BB12510" s="122"/>
      <c r="BC12510" s="141"/>
    </row>
    <row r="12511">
      <c r="BB12511" s="122"/>
      <c r="BC12511" s="141"/>
    </row>
    <row r="12512">
      <c r="BB12512" s="122"/>
      <c r="BC12512" s="141"/>
    </row>
    <row r="12513">
      <c r="BB12513" s="122"/>
      <c r="BC12513" s="141"/>
    </row>
    <row r="12514">
      <c r="BB12514" s="122"/>
      <c r="BC12514" s="141"/>
    </row>
    <row r="12515">
      <c r="BB12515" s="122"/>
      <c r="BC12515" s="141"/>
    </row>
    <row r="12516">
      <c r="BB12516" s="122"/>
      <c r="BC12516" s="141"/>
    </row>
    <row r="12517">
      <c r="BB12517" s="122"/>
      <c r="BC12517" s="141"/>
    </row>
    <row r="12518">
      <c r="BB12518" s="122"/>
      <c r="BC12518" s="141"/>
    </row>
    <row r="12519">
      <c r="BB12519" s="122"/>
      <c r="BC12519" s="141"/>
    </row>
    <row r="12520">
      <c r="BB12520" s="122"/>
      <c r="BC12520" s="141"/>
    </row>
    <row r="12521">
      <c r="BB12521" s="122"/>
      <c r="BC12521" s="141"/>
    </row>
    <row r="12522">
      <c r="BB12522" s="122"/>
      <c r="BC12522" s="141"/>
    </row>
    <row r="12523">
      <c r="BB12523" s="122"/>
      <c r="BC12523" s="141"/>
    </row>
    <row r="12524">
      <c r="BB12524" s="122"/>
      <c r="BC12524" s="141"/>
    </row>
    <row r="12525">
      <c r="BB12525" s="122"/>
      <c r="BC12525" s="141"/>
    </row>
    <row r="12526">
      <c r="BB12526" s="122"/>
      <c r="BC12526" s="141"/>
    </row>
    <row r="12527">
      <c r="BB12527" s="122"/>
      <c r="BC12527" s="141"/>
    </row>
    <row r="12528">
      <c r="BB12528" s="122"/>
      <c r="BC12528" s="141"/>
    </row>
    <row r="12529">
      <c r="BB12529" s="122"/>
      <c r="BC12529" s="141"/>
    </row>
    <row r="12530">
      <c r="BB12530" s="122"/>
      <c r="BC12530" s="141"/>
    </row>
    <row r="12531">
      <c r="BB12531" s="122"/>
      <c r="BC12531" s="141"/>
    </row>
    <row r="12532">
      <c r="BB12532" s="122"/>
      <c r="BC12532" s="141"/>
    </row>
    <row r="12533">
      <c r="BB12533" s="122"/>
      <c r="BC12533" s="141"/>
    </row>
    <row r="12534">
      <c r="BB12534" s="122"/>
      <c r="BC12534" s="141"/>
    </row>
    <row r="12535">
      <c r="BB12535" s="122"/>
      <c r="BC12535" s="141"/>
    </row>
    <row r="12536">
      <c r="BB12536" s="122"/>
      <c r="BC12536" s="141"/>
    </row>
    <row r="12537">
      <c r="BB12537" s="122"/>
      <c r="BC12537" s="141"/>
    </row>
    <row r="12538">
      <c r="BB12538" s="122"/>
      <c r="BC12538" s="141"/>
    </row>
    <row r="12539">
      <c r="BB12539" s="122"/>
      <c r="BC12539" s="141"/>
    </row>
    <row r="12540">
      <c r="BB12540" s="122"/>
      <c r="BC12540" s="141"/>
    </row>
    <row r="12541">
      <c r="BB12541" s="122"/>
      <c r="BC12541" s="141"/>
    </row>
    <row r="12542">
      <c r="BB12542" s="122"/>
      <c r="BC12542" s="141"/>
    </row>
    <row r="12543">
      <c r="BB12543" s="122"/>
      <c r="BC12543" s="141"/>
    </row>
    <row r="12544">
      <c r="BB12544" s="122"/>
      <c r="BC12544" s="141"/>
    </row>
    <row r="12545">
      <c r="BB12545" s="122"/>
      <c r="BC12545" s="141"/>
    </row>
    <row r="12546">
      <c r="BB12546" s="122"/>
      <c r="BC12546" s="141"/>
    </row>
    <row r="12547">
      <c r="BB12547" s="122"/>
      <c r="BC12547" s="141"/>
    </row>
    <row r="12548">
      <c r="BB12548" s="122"/>
      <c r="BC12548" s="141"/>
    </row>
    <row r="12549">
      <c r="BB12549" s="122"/>
      <c r="BC12549" s="141"/>
    </row>
    <row r="12550">
      <c r="BB12550" s="122"/>
      <c r="BC12550" s="141"/>
    </row>
    <row r="12551">
      <c r="BB12551" s="122"/>
      <c r="BC12551" s="141"/>
    </row>
    <row r="12552">
      <c r="BB12552" s="122"/>
      <c r="BC12552" s="141"/>
    </row>
    <row r="12553">
      <c r="BB12553" s="122"/>
      <c r="BC12553" s="141"/>
    </row>
    <row r="12554">
      <c r="BB12554" s="122"/>
      <c r="BC12554" s="141"/>
    </row>
    <row r="12555">
      <c r="BB12555" s="122"/>
      <c r="BC12555" s="141"/>
    </row>
    <row r="12556">
      <c r="BB12556" s="122"/>
      <c r="BC12556" s="141"/>
    </row>
    <row r="12557">
      <c r="BB12557" s="122"/>
      <c r="BC12557" s="141"/>
    </row>
    <row r="12558">
      <c r="BB12558" s="122"/>
      <c r="BC12558" s="141"/>
    </row>
    <row r="12559">
      <c r="BB12559" s="122"/>
      <c r="BC12559" s="141"/>
    </row>
    <row r="12560">
      <c r="BB12560" s="122"/>
      <c r="BC12560" s="141"/>
    </row>
    <row r="12561">
      <c r="BB12561" s="122"/>
      <c r="BC12561" s="141"/>
    </row>
    <row r="12562">
      <c r="BB12562" s="122"/>
      <c r="BC12562" s="141"/>
    </row>
    <row r="12563">
      <c r="BB12563" s="122"/>
      <c r="BC12563" s="141"/>
    </row>
    <row r="12564">
      <c r="BB12564" s="122"/>
      <c r="BC12564" s="141"/>
    </row>
    <row r="12565">
      <c r="BB12565" s="122"/>
      <c r="BC12565" s="141"/>
    </row>
    <row r="12566">
      <c r="BB12566" s="122"/>
      <c r="BC12566" s="141"/>
    </row>
    <row r="12567">
      <c r="BB12567" s="122"/>
      <c r="BC12567" s="141"/>
    </row>
    <row r="12568">
      <c r="BB12568" s="122"/>
      <c r="BC12568" s="141"/>
    </row>
    <row r="12569">
      <c r="BB12569" s="122"/>
      <c r="BC12569" s="141"/>
    </row>
    <row r="12570">
      <c r="BB12570" s="122"/>
      <c r="BC12570" s="141"/>
    </row>
    <row r="12571">
      <c r="BB12571" s="122"/>
      <c r="BC12571" s="141"/>
    </row>
    <row r="12572">
      <c r="BB12572" s="122"/>
      <c r="BC12572" s="141"/>
    </row>
    <row r="12573">
      <c r="BB12573" s="122"/>
      <c r="BC12573" s="141"/>
    </row>
    <row r="12574">
      <c r="BB12574" s="122"/>
      <c r="BC12574" s="141"/>
    </row>
    <row r="12575">
      <c r="BB12575" s="122"/>
      <c r="BC12575" s="141"/>
    </row>
    <row r="12576">
      <c r="BB12576" s="122"/>
      <c r="BC12576" s="141"/>
    </row>
    <row r="12577">
      <c r="BB12577" s="122"/>
      <c r="BC12577" s="141"/>
    </row>
    <row r="12578">
      <c r="BB12578" s="122"/>
      <c r="BC12578" s="141"/>
    </row>
    <row r="12579">
      <c r="BB12579" s="122"/>
      <c r="BC12579" s="141"/>
    </row>
    <row r="12580">
      <c r="BB12580" s="122"/>
      <c r="BC12580" s="141"/>
    </row>
    <row r="12581">
      <c r="BB12581" s="122"/>
      <c r="BC12581" s="141"/>
    </row>
    <row r="12582">
      <c r="BB12582" s="122"/>
      <c r="BC12582" s="141"/>
    </row>
    <row r="12583">
      <c r="BB12583" s="122"/>
      <c r="BC12583" s="141"/>
    </row>
    <row r="12584">
      <c r="BB12584" s="122"/>
      <c r="BC12584" s="141"/>
    </row>
    <row r="12585">
      <c r="BB12585" s="122"/>
      <c r="BC12585" s="141"/>
    </row>
    <row r="12586">
      <c r="BB12586" s="122"/>
      <c r="BC12586" s="141"/>
    </row>
    <row r="12587">
      <c r="BB12587" s="122"/>
      <c r="BC12587" s="141"/>
    </row>
    <row r="12588">
      <c r="BB12588" s="122"/>
      <c r="BC12588" s="141"/>
    </row>
    <row r="12589">
      <c r="BB12589" s="122"/>
      <c r="BC12589" s="141"/>
    </row>
    <row r="12590">
      <c r="BB12590" s="122"/>
      <c r="BC12590" s="141"/>
    </row>
    <row r="12591">
      <c r="BB12591" s="122"/>
      <c r="BC12591" s="141"/>
    </row>
    <row r="12592">
      <c r="BB12592" s="122"/>
      <c r="BC12592" s="141"/>
    </row>
    <row r="12593">
      <c r="BB12593" s="122"/>
      <c r="BC12593" s="141"/>
    </row>
    <row r="12594">
      <c r="BB12594" s="122"/>
      <c r="BC12594" s="141"/>
    </row>
    <row r="12595">
      <c r="BB12595" s="122"/>
      <c r="BC12595" s="141"/>
    </row>
    <row r="12596">
      <c r="BB12596" s="122"/>
      <c r="BC12596" s="141"/>
    </row>
    <row r="12597">
      <c r="BB12597" s="122"/>
      <c r="BC12597" s="141"/>
    </row>
    <row r="12598">
      <c r="BB12598" s="122"/>
      <c r="BC12598" s="141"/>
    </row>
    <row r="12599">
      <c r="BB12599" s="122"/>
      <c r="BC12599" s="141"/>
    </row>
    <row r="12600">
      <c r="BB12600" s="122"/>
      <c r="BC12600" s="141"/>
    </row>
    <row r="12601">
      <c r="BB12601" s="122"/>
      <c r="BC12601" s="141"/>
    </row>
    <row r="12602">
      <c r="BB12602" s="122"/>
      <c r="BC12602" s="141"/>
    </row>
    <row r="12603">
      <c r="BB12603" s="122"/>
      <c r="BC12603" s="141"/>
    </row>
    <row r="12604">
      <c r="BB12604" s="122"/>
      <c r="BC12604" s="141"/>
    </row>
    <row r="12605">
      <c r="BB12605" s="122"/>
      <c r="BC12605" s="141"/>
    </row>
    <row r="12606">
      <c r="BB12606" s="122"/>
      <c r="BC12606" s="141"/>
    </row>
    <row r="12607">
      <c r="BB12607" s="122"/>
      <c r="BC12607" s="141"/>
    </row>
    <row r="12608">
      <c r="BB12608" s="122"/>
      <c r="BC12608" s="141"/>
    </row>
    <row r="12609">
      <c r="BB12609" s="122"/>
      <c r="BC12609" s="141"/>
    </row>
    <row r="12610">
      <c r="BB12610" s="122"/>
      <c r="BC12610" s="141"/>
    </row>
    <row r="12611">
      <c r="BB12611" s="122"/>
      <c r="BC12611" s="141"/>
    </row>
    <row r="12612">
      <c r="BB12612" s="122"/>
      <c r="BC12612" s="141"/>
    </row>
    <row r="12613">
      <c r="BB12613" s="122"/>
      <c r="BC12613" s="141"/>
    </row>
    <row r="12614">
      <c r="BB12614" s="122"/>
      <c r="BC12614" s="141"/>
    </row>
    <row r="12615">
      <c r="BB12615" s="122"/>
      <c r="BC12615" s="141"/>
    </row>
    <row r="12616">
      <c r="BB12616" s="122"/>
      <c r="BC12616" s="141"/>
    </row>
    <row r="12617">
      <c r="BB12617" s="122"/>
      <c r="BC12617" s="141"/>
    </row>
    <row r="12618">
      <c r="BB12618" s="122"/>
      <c r="BC12618" s="141"/>
    </row>
    <row r="12619">
      <c r="BB12619" s="122"/>
      <c r="BC12619" s="141"/>
    </row>
    <row r="12620">
      <c r="BB12620" s="122"/>
      <c r="BC12620" s="141"/>
    </row>
    <row r="12621">
      <c r="BB12621" s="122"/>
      <c r="BC12621" s="141"/>
    </row>
    <row r="12622">
      <c r="BB12622" s="122"/>
      <c r="BC12622" s="141"/>
    </row>
    <row r="12623">
      <c r="BB12623" s="122"/>
      <c r="BC12623" s="141"/>
    </row>
    <row r="12624">
      <c r="BB12624" s="122"/>
      <c r="BC12624" s="141"/>
    </row>
    <row r="12625">
      <c r="BB12625" s="122"/>
      <c r="BC12625" s="141"/>
    </row>
    <row r="12626">
      <c r="BB12626" s="122"/>
      <c r="BC12626" s="141"/>
    </row>
    <row r="12627">
      <c r="BB12627" s="122"/>
      <c r="BC12627" s="141"/>
    </row>
    <row r="12628">
      <c r="BB12628" s="122"/>
      <c r="BC12628" s="141"/>
    </row>
    <row r="12629">
      <c r="BB12629" s="122"/>
      <c r="BC12629" s="141"/>
    </row>
    <row r="12630">
      <c r="BB12630" s="122"/>
      <c r="BC12630" s="141"/>
    </row>
    <row r="12631">
      <c r="BB12631" s="122"/>
      <c r="BC12631" s="141"/>
    </row>
    <row r="12632">
      <c r="BB12632" s="122"/>
      <c r="BC12632" s="141"/>
    </row>
    <row r="12633">
      <c r="BB12633" s="122"/>
      <c r="BC12633" s="141"/>
    </row>
    <row r="12634">
      <c r="BB12634" s="122"/>
      <c r="BC12634" s="141"/>
    </row>
    <row r="12635">
      <c r="BB12635" s="122"/>
      <c r="BC12635" s="141"/>
    </row>
    <row r="12636">
      <c r="BB12636" s="122"/>
      <c r="BC12636" s="141"/>
    </row>
    <row r="12637">
      <c r="BB12637" s="122"/>
      <c r="BC12637" s="141"/>
    </row>
    <row r="12638">
      <c r="BB12638" s="122"/>
      <c r="BC12638" s="141"/>
    </row>
    <row r="12639">
      <c r="BB12639" s="122"/>
      <c r="BC12639" s="141"/>
    </row>
    <row r="12640">
      <c r="BB12640" s="122"/>
      <c r="BC12640" s="141"/>
    </row>
    <row r="12641">
      <c r="BB12641" s="122"/>
      <c r="BC12641" s="141"/>
    </row>
    <row r="12642">
      <c r="BB12642" s="122"/>
      <c r="BC12642" s="141"/>
    </row>
    <row r="12643">
      <c r="BB12643" s="122"/>
      <c r="BC12643" s="141"/>
    </row>
    <row r="12644">
      <c r="BB12644" s="122"/>
      <c r="BC12644" s="141"/>
    </row>
    <row r="12645">
      <c r="BB12645" s="122"/>
      <c r="BC12645" s="141"/>
    </row>
    <row r="12646">
      <c r="BB12646" s="122"/>
      <c r="BC12646" s="141"/>
    </row>
    <row r="12647">
      <c r="BB12647" s="122"/>
      <c r="BC12647" s="141"/>
    </row>
    <row r="12648">
      <c r="BB12648" s="122"/>
      <c r="BC12648" s="141"/>
    </row>
    <row r="12649">
      <c r="BB12649" s="122"/>
      <c r="BC12649" s="141"/>
    </row>
    <row r="12650">
      <c r="BB12650" s="122"/>
      <c r="BC12650" s="141"/>
    </row>
    <row r="12651">
      <c r="BB12651" s="122"/>
      <c r="BC12651" s="141"/>
    </row>
    <row r="12652">
      <c r="BB12652" s="122"/>
      <c r="BC12652" s="141"/>
    </row>
    <row r="12653">
      <c r="BB12653" s="122"/>
      <c r="BC12653" s="141"/>
    </row>
    <row r="12654">
      <c r="BB12654" s="122"/>
      <c r="BC12654" s="141"/>
    </row>
    <row r="12655">
      <c r="BB12655" s="122"/>
      <c r="BC12655" s="141"/>
    </row>
    <row r="12656">
      <c r="BB12656" s="122"/>
      <c r="BC12656" s="141"/>
    </row>
    <row r="12657">
      <c r="BB12657" s="122"/>
      <c r="BC12657" s="141"/>
    </row>
    <row r="12658">
      <c r="BB12658" s="122"/>
      <c r="BC12658" s="141"/>
    </row>
    <row r="12659">
      <c r="BB12659" s="122"/>
      <c r="BC12659" s="141"/>
    </row>
    <row r="12660">
      <c r="BB12660" s="122"/>
      <c r="BC12660" s="141"/>
    </row>
    <row r="12661">
      <c r="BB12661" s="122"/>
      <c r="BC12661" s="141"/>
    </row>
    <row r="12662">
      <c r="BB12662" s="122"/>
      <c r="BC12662" s="141"/>
    </row>
    <row r="12663">
      <c r="BB12663" s="122"/>
      <c r="BC12663" s="141"/>
    </row>
    <row r="12664">
      <c r="BB12664" s="122"/>
      <c r="BC12664" s="141"/>
    </row>
    <row r="12665">
      <c r="BB12665" s="122"/>
      <c r="BC12665" s="141"/>
    </row>
    <row r="12666">
      <c r="BB12666" s="122"/>
      <c r="BC12666" s="141"/>
    </row>
    <row r="12667">
      <c r="BB12667" s="122"/>
      <c r="BC12667" s="141"/>
    </row>
    <row r="12668">
      <c r="BB12668" s="122"/>
      <c r="BC12668" s="141"/>
    </row>
    <row r="12669">
      <c r="BB12669" s="122"/>
      <c r="BC12669" s="141"/>
    </row>
    <row r="12670">
      <c r="BB12670" s="122"/>
      <c r="BC12670" s="141"/>
    </row>
    <row r="12671">
      <c r="BB12671" s="122"/>
      <c r="BC12671" s="141"/>
    </row>
    <row r="12672">
      <c r="BB12672" s="122"/>
      <c r="BC12672" s="141"/>
    </row>
    <row r="12673">
      <c r="BB12673" s="122"/>
      <c r="BC12673" s="141"/>
    </row>
    <row r="12674">
      <c r="BB12674" s="122"/>
      <c r="BC12674" s="141"/>
    </row>
    <row r="12675">
      <c r="BB12675" s="122"/>
      <c r="BC12675" s="141"/>
    </row>
    <row r="12676">
      <c r="BB12676" s="122"/>
      <c r="BC12676" s="141"/>
    </row>
    <row r="12677">
      <c r="BB12677" s="122"/>
      <c r="BC12677" s="141"/>
    </row>
    <row r="12678">
      <c r="BB12678" s="122"/>
      <c r="BC12678" s="141"/>
    </row>
    <row r="12679">
      <c r="BB12679" s="122"/>
      <c r="BC12679" s="141"/>
    </row>
    <row r="12680">
      <c r="BB12680" s="122"/>
      <c r="BC12680" s="141"/>
    </row>
    <row r="12681">
      <c r="BB12681" s="122"/>
      <c r="BC12681" s="141"/>
    </row>
    <row r="12682">
      <c r="BB12682" s="122"/>
      <c r="BC12682" s="141"/>
    </row>
    <row r="12683">
      <c r="BB12683" s="122"/>
      <c r="BC12683" s="141"/>
    </row>
    <row r="12684">
      <c r="BB12684" s="122"/>
      <c r="BC12684" s="141"/>
    </row>
    <row r="12685">
      <c r="BB12685" s="122"/>
      <c r="BC12685" s="141"/>
    </row>
    <row r="12686">
      <c r="BB12686" s="122"/>
      <c r="BC12686" s="141"/>
    </row>
    <row r="12687">
      <c r="BB12687" s="122"/>
      <c r="BC12687" s="141"/>
    </row>
    <row r="12688">
      <c r="BB12688" s="122"/>
      <c r="BC12688" s="141"/>
    </row>
    <row r="12689">
      <c r="BB12689" s="122"/>
      <c r="BC12689" s="141"/>
    </row>
    <row r="12690">
      <c r="BB12690" s="122"/>
      <c r="BC12690" s="141"/>
    </row>
    <row r="12691">
      <c r="BB12691" s="122"/>
      <c r="BC12691" s="141"/>
    </row>
    <row r="12692">
      <c r="BB12692" s="122"/>
      <c r="BC12692" s="141"/>
    </row>
    <row r="12693">
      <c r="BB12693" s="122"/>
      <c r="BC12693" s="141"/>
    </row>
    <row r="12694">
      <c r="BB12694" s="122"/>
      <c r="BC12694" s="141"/>
    </row>
    <row r="12695">
      <c r="BB12695" s="122"/>
      <c r="BC12695" s="141"/>
    </row>
    <row r="12696">
      <c r="BB12696" s="122"/>
      <c r="BC12696" s="141"/>
    </row>
    <row r="12697">
      <c r="BB12697" s="122"/>
      <c r="BC12697" s="141"/>
    </row>
    <row r="12698">
      <c r="BB12698" s="122"/>
      <c r="BC12698" s="141"/>
    </row>
    <row r="12699">
      <c r="BB12699" s="122"/>
      <c r="BC12699" s="141"/>
    </row>
    <row r="12700">
      <c r="BB12700" s="122"/>
      <c r="BC12700" s="141"/>
    </row>
    <row r="12701">
      <c r="BB12701" s="122"/>
      <c r="BC12701" s="141"/>
    </row>
    <row r="12702">
      <c r="BB12702" s="122"/>
      <c r="BC12702" s="141"/>
    </row>
    <row r="12703">
      <c r="BB12703" s="122"/>
      <c r="BC12703" s="141"/>
    </row>
    <row r="12704">
      <c r="BB12704" s="122"/>
      <c r="BC12704" s="141"/>
    </row>
    <row r="12705">
      <c r="BB12705" s="122"/>
      <c r="BC12705" s="141"/>
    </row>
    <row r="12706">
      <c r="BB12706" s="122"/>
      <c r="BC12706" s="141"/>
    </row>
    <row r="12707">
      <c r="BB12707" s="122"/>
      <c r="BC12707" s="141"/>
    </row>
    <row r="12708">
      <c r="BB12708" s="122"/>
      <c r="BC12708" s="141"/>
    </row>
    <row r="12709">
      <c r="BB12709" s="122"/>
      <c r="BC12709" s="141"/>
    </row>
    <row r="12710">
      <c r="BB12710" s="122"/>
      <c r="BC12710" s="141"/>
    </row>
    <row r="12711">
      <c r="BB12711" s="122"/>
      <c r="BC12711" s="141"/>
    </row>
    <row r="12712">
      <c r="BB12712" s="122"/>
      <c r="BC12712" s="141"/>
    </row>
    <row r="12713">
      <c r="BB12713" s="122"/>
      <c r="BC12713" s="141"/>
    </row>
    <row r="12714">
      <c r="BB12714" s="122"/>
      <c r="BC12714" s="141"/>
    </row>
    <row r="12715">
      <c r="BB12715" s="122"/>
      <c r="BC12715" s="141"/>
    </row>
    <row r="12716">
      <c r="BB12716" s="122"/>
      <c r="BC12716" s="141"/>
    </row>
    <row r="12717">
      <c r="BB12717" s="122"/>
      <c r="BC12717" s="141"/>
    </row>
    <row r="12718">
      <c r="BB12718" s="122"/>
      <c r="BC12718" s="141"/>
    </row>
    <row r="12719">
      <c r="BB12719" s="122"/>
      <c r="BC12719" s="141"/>
    </row>
    <row r="12720">
      <c r="BB12720" s="122"/>
      <c r="BC12720" s="141"/>
    </row>
    <row r="12721">
      <c r="BB12721" s="122"/>
      <c r="BC12721" s="141"/>
    </row>
    <row r="12722">
      <c r="BB12722" s="122"/>
      <c r="BC12722" s="141"/>
    </row>
    <row r="12723">
      <c r="BB12723" s="122"/>
      <c r="BC12723" s="141"/>
    </row>
    <row r="12724">
      <c r="BB12724" s="122"/>
      <c r="BC12724" s="141"/>
    </row>
    <row r="12725">
      <c r="BB12725" s="122"/>
      <c r="BC12725" s="141"/>
    </row>
    <row r="12726">
      <c r="BB12726" s="122"/>
      <c r="BC12726" s="141"/>
    </row>
    <row r="12727">
      <c r="BB12727" s="122"/>
      <c r="BC12727" s="141"/>
    </row>
    <row r="12728">
      <c r="BB12728" s="122"/>
      <c r="BC12728" s="141"/>
    </row>
    <row r="12729">
      <c r="BB12729" s="122"/>
      <c r="BC12729" s="141"/>
    </row>
    <row r="12730">
      <c r="BB12730" s="122"/>
      <c r="BC12730" s="141"/>
    </row>
    <row r="12731">
      <c r="BB12731" s="122"/>
      <c r="BC12731" s="141"/>
    </row>
    <row r="12732">
      <c r="BB12732" s="122"/>
      <c r="BC12732" s="141"/>
    </row>
    <row r="12733">
      <c r="BB12733" s="122"/>
      <c r="BC12733" s="141"/>
    </row>
    <row r="12734">
      <c r="BB12734" s="122"/>
      <c r="BC12734" s="141"/>
    </row>
    <row r="12735">
      <c r="BB12735" s="122"/>
      <c r="BC12735" s="141"/>
    </row>
    <row r="12736">
      <c r="BB12736" s="122"/>
      <c r="BC12736" s="141"/>
    </row>
    <row r="12737">
      <c r="BB12737" s="122"/>
      <c r="BC12737" s="141"/>
    </row>
    <row r="12738">
      <c r="BB12738" s="122"/>
      <c r="BC12738" s="141"/>
    </row>
    <row r="12739">
      <c r="BB12739" s="122"/>
      <c r="BC12739" s="141"/>
    </row>
    <row r="12740">
      <c r="BB12740" s="122"/>
      <c r="BC12740" s="141"/>
    </row>
    <row r="12741">
      <c r="BB12741" s="122"/>
      <c r="BC12741" s="141"/>
    </row>
    <row r="12742">
      <c r="BB12742" s="122"/>
      <c r="BC12742" s="141"/>
    </row>
    <row r="12743">
      <c r="BB12743" s="122"/>
      <c r="BC12743" s="141"/>
    </row>
    <row r="12744">
      <c r="BB12744" s="122"/>
      <c r="BC12744" s="141"/>
    </row>
    <row r="12745">
      <c r="BB12745" s="122"/>
      <c r="BC12745" s="141"/>
    </row>
    <row r="12746">
      <c r="BB12746" s="122"/>
      <c r="BC12746" s="141"/>
    </row>
    <row r="12747">
      <c r="BB12747" s="122"/>
      <c r="BC12747" s="141"/>
    </row>
    <row r="12748">
      <c r="BB12748" s="122"/>
      <c r="BC12748" s="141"/>
    </row>
    <row r="12749">
      <c r="BB12749" s="122"/>
      <c r="BC12749" s="141"/>
    </row>
    <row r="12750">
      <c r="BB12750" s="122"/>
      <c r="BC12750" s="141"/>
    </row>
    <row r="12751">
      <c r="BB12751" s="122"/>
      <c r="BC12751" s="141"/>
    </row>
    <row r="12752">
      <c r="BB12752" s="122"/>
      <c r="BC12752" s="141"/>
    </row>
    <row r="12753">
      <c r="BB12753" s="122"/>
      <c r="BC12753" s="141"/>
    </row>
    <row r="12754">
      <c r="BB12754" s="122"/>
      <c r="BC12754" s="141"/>
    </row>
    <row r="12755">
      <c r="BB12755" s="122"/>
      <c r="BC12755" s="141"/>
    </row>
    <row r="12756">
      <c r="BB12756" s="122"/>
      <c r="BC12756" s="141"/>
    </row>
    <row r="12757">
      <c r="BB12757" s="122"/>
      <c r="BC12757" s="141"/>
    </row>
    <row r="12758">
      <c r="BB12758" s="122"/>
      <c r="BC12758" s="141"/>
    </row>
    <row r="12759">
      <c r="BB12759" s="122"/>
      <c r="BC12759" s="141"/>
    </row>
    <row r="12760">
      <c r="BB12760" s="122"/>
      <c r="BC12760" s="141"/>
    </row>
    <row r="12761">
      <c r="BB12761" s="122"/>
      <c r="BC12761" s="141"/>
    </row>
    <row r="12762">
      <c r="BB12762" s="122"/>
      <c r="BC12762" s="141"/>
    </row>
    <row r="12763">
      <c r="BB12763" s="122"/>
      <c r="BC12763" s="141"/>
    </row>
    <row r="12764">
      <c r="BB12764" s="122"/>
      <c r="BC12764" s="141"/>
    </row>
    <row r="12765">
      <c r="BB12765" s="122"/>
      <c r="BC12765" s="141"/>
    </row>
    <row r="12766">
      <c r="BB12766" s="122"/>
      <c r="BC12766" s="141"/>
    </row>
    <row r="12767">
      <c r="BB12767" s="122"/>
      <c r="BC12767" s="141"/>
    </row>
    <row r="12768">
      <c r="BB12768" s="122"/>
      <c r="BC12768" s="141"/>
    </row>
    <row r="12769">
      <c r="BB12769" s="122"/>
      <c r="BC12769" s="141"/>
    </row>
    <row r="12770">
      <c r="BB12770" s="122"/>
      <c r="BC12770" s="141"/>
    </row>
    <row r="12771">
      <c r="BB12771" s="122"/>
      <c r="BC12771" s="141"/>
    </row>
    <row r="12772">
      <c r="BB12772" s="122"/>
      <c r="BC12772" s="141"/>
    </row>
    <row r="12773">
      <c r="BB12773" s="122"/>
      <c r="BC12773" s="141"/>
    </row>
    <row r="12774">
      <c r="BB12774" s="122"/>
      <c r="BC12774" s="141"/>
    </row>
    <row r="12775">
      <c r="BB12775" s="122"/>
      <c r="BC12775" s="141"/>
    </row>
    <row r="12776">
      <c r="BB12776" s="122"/>
      <c r="BC12776" s="141"/>
    </row>
    <row r="12777">
      <c r="BB12777" s="122"/>
      <c r="BC12777" s="141"/>
    </row>
    <row r="12778">
      <c r="BB12778" s="122"/>
      <c r="BC12778" s="141"/>
    </row>
    <row r="12779">
      <c r="BB12779" s="122"/>
      <c r="BC12779" s="141"/>
    </row>
    <row r="12780">
      <c r="BB12780" s="122"/>
      <c r="BC12780" s="141"/>
    </row>
    <row r="12781">
      <c r="BB12781" s="122"/>
      <c r="BC12781" s="141"/>
    </row>
    <row r="12782">
      <c r="BB12782" s="122"/>
      <c r="BC12782" s="141"/>
    </row>
    <row r="12783">
      <c r="BB12783" s="122"/>
      <c r="BC12783" s="141"/>
    </row>
    <row r="12784">
      <c r="BB12784" s="122"/>
      <c r="BC12784" s="141"/>
    </row>
    <row r="12785">
      <c r="BB12785" s="122"/>
      <c r="BC12785" s="141"/>
    </row>
    <row r="12786">
      <c r="BB12786" s="122"/>
      <c r="BC12786" s="141"/>
    </row>
    <row r="12787">
      <c r="BB12787" s="122"/>
      <c r="BC12787" s="141"/>
    </row>
    <row r="12788">
      <c r="BB12788" s="122"/>
      <c r="BC12788" s="141"/>
    </row>
    <row r="12789">
      <c r="BB12789" s="122"/>
      <c r="BC12789" s="141"/>
    </row>
    <row r="12790">
      <c r="BB12790" s="122"/>
      <c r="BC12790" s="141"/>
    </row>
    <row r="12791">
      <c r="BB12791" s="122"/>
      <c r="BC12791" s="141"/>
    </row>
    <row r="12792">
      <c r="BB12792" s="122"/>
      <c r="BC12792" s="141"/>
    </row>
    <row r="12793">
      <c r="BB12793" s="122"/>
      <c r="BC12793" s="141"/>
    </row>
    <row r="12794">
      <c r="BB12794" s="122"/>
      <c r="BC12794" s="141"/>
    </row>
    <row r="12795">
      <c r="BB12795" s="122"/>
      <c r="BC12795" s="141"/>
    </row>
    <row r="12796">
      <c r="BB12796" s="122"/>
      <c r="BC12796" s="141"/>
    </row>
    <row r="12797">
      <c r="BB12797" s="122"/>
      <c r="BC12797" s="141"/>
    </row>
    <row r="12798">
      <c r="BB12798" s="122"/>
      <c r="BC12798" s="141"/>
    </row>
    <row r="12799">
      <c r="BB12799" s="122"/>
      <c r="BC12799" s="141"/>
    </row>
    <row r="12800">
      <c r="BB12800" s="122"/>
      <c r="BC12800" s="141"/>
    </row>
    <row r="12801">
      <c r="BB12801" s="122"/>
      <c r="BC12801" s="141"/>
    </row>
    <row r="12802">
      <c r="BB12802" s="122"/>
      <c r="BC12802" s="141"/>
    </row>
    <row r="12803">
      <c r="BB12803" s="122"/>
      <c r="BC12803" s="141"/>
    </row>
    <row r="12804">
      <c r="BB12804" s="122"/>
      <c r="BC12804" s="141"/>
    </row>
    <row r="12805">
      <c r="BB12805" s="122"/>
      <c r="BC12805" s="141"/>
    </row>
    <row r="12806">
      <c r="BB12806" s="122"/>
      <c r="BC12806" s="141"/>
    </row>
    <row r="12807">
      <c r="BB12807" s="122"/>
      <c r="BC12807" s="141"/>
    </row>
    <row r="12808">
      <c r="BB12808" s="122"/>
      <c r="BC12808" s="141"/>
    </row>
    <row r="12809">
      <c r="BB12809" s="122"/>
      <c r="BC12809" s="141"/>
    </row>
    <row r="12810">
      <c r="BB12810" s="122"/>
      <c r="BC12810" s="141"/>
    </row>
    <row r="12811">
      <c r="BB12811" s="122"/>
      <c r="BC12811" s="141"/>
    </row>
    <row r="12812">
      <c r="BB12812" s="122"/>
      <c r="BC12812" s="141"/>
    </row>
    <row r="12813">
      <c r="BB12813" s="122"/>
      <c r="BC12813" s="141"/>
    </row>
    <row r="12814">
      <c r="BB12814" s="122"/>
      <c r="BC12814" s="141"/>
    </row>
    <row r="12815">
      <c r="BB12815" s="122"/>
      <c r="BC12815" s="141"/>
    </row>
    <row r="12816">
      <c r="BB12816" s="122"/>
      <c r="BC12816" s="141"/>
    </row>
    <row r="12817">
      <c r="BB12817" s="122"/>
      <c r="BC12817" s="141"/>
    </row>
    <row r="12818">
      <c r="BB12818" s="122"/>
      <c r="BC12818" s="141"/>
    </row>
    <row r="12819">
      <c r="BB12819" s="122"/>
      <c r="BC12819" s="141"/>
    </row>
    <row r="12820">
      <c r="BB12820" s="122"/>
      <c r="BC12820" s="141"/>
    </row>
    <row r="12821">
      <c r="BB12821" s="122"/>
      <c r="BC12821" s="141"/>
    </row>
    <row r="12822">
      <c r="BB12822" s="122"/>
      <c r="BC12822" s="141"/>
    </row>
    <row r="12823">
      <c r="BB12823" s="122"/>
      <c r="BC12823" s="141"/>
    </row>
    <row r="12824">
      <c r="BB12824" s="122"/>
      <c r="BC12824" s="141"/>
    </row>
    <row r="12825">
      <c r="BB12825" s="122"/>
      <c r="BC12825" s="141"/>
    </row>
    <row r="12826">
      <c r="BB12826" s="122"/>
      <c r="BC12826" s="141"/>
    </row>
    <row r="12827">
      <c r="BB12827" s="122"/>
      <c r="BC12827" s="141"/>
    </row>
    <row r="12828">
      <c r="BB12828" s="122"/>
      <c r="BC12828" s="141"/>
    </row>
    <row r="12829">
      <c r="BB12829" s="122"/>
      <c r="BC12829" s="141"/>
    </row>
    <row r="12830">
      <c r="BB12830" s="122"/>
      <c r="BC12830" s="141"/>
    </row>
    <row r="12831">
      <c r="BB12831" s="122"/>
      <c r="BC12831" s="141"/>
    </row>
    <row r="12832">
      <c r="BB12832" s="122"/>
      <c r="BC12832" s="141"/>
    </row>
    <row r="12833">
      <c r="BB12833" s="122"/>
      <c r="BC12833" s="141"/>
    </row>
    <row r="12834">
      <c r="BB12834" s="122"/>
      <c r="BC12834" s="141"/>
    </row>
    <row r="12835">
      <c r="BB12835" s="122"/>
      <c r="BC12835" s="141"/>
    </row>
    <row r="12836">
      <c r="BB12836" s="122"/>
      <c r="BC12836" s="141"/>
    </row>
    <row r="12837">
      <c r="BB12837" s="122"/>
      <c r="BC12837" s="141"/>
    </row>
    <row r="12838">
      <c r="BB12838" s="122"/>
      <c r="BC12838" s="141"/>
    </row>
    <row r="12839">
      <c r="BB12839" s="122"/>
      <c r="BC12839" s="141"/>
    </row>
    <row r="12840">
      <c r="BB12840" s="122"/>
      <c r="BC12840" s="141"/>
    </row>
    <row r="12841">
      <c r="BB12841" s="122"/>
      <c r="BC12841" s="141"/>
    </row>
    <row r="12842">
      <c r="BB12842" s="122"/>
      <c r="BC12842" s="141"/>
    </row>
    <row r="12843">
      <c r="BB12843" s="122"/>
      <c r="BC12843" s="141"/>
    </row>
    <row r="12844">
      <c r="BB12844" s="122"/>
      <c r="BC12844" s="141"/>
    </row>
    <row r="12845">
      <c r="BB12845" s="122"/>
      <c r="BC12845" s="141"/>
    </row>
    <row r="12846">
      <c r="BB12846" s="122"/>
      <c r="BC12846" s="141"/>
    </row>
    <row r="12847">
      <c r="BB12847" s="122"/>
      <c r="BC12847" s="141"/>
    </row>
    <row r="12848">
      <c r="BB12848" s="122"/>
      <c r="BC12848" s="141"/>
    </row>
    <row r="12849">
      <c r="BB12849" s="122"/>
      <c r="BC12849" s="141"/>
    </row>
    <row r="12850">
      <c r="BB12850" s="122"/>
      <c r="BC12850" s="141"/>
    </row>
    <row r="12851">
      <c r="BB12851" s="122"/>
      <c r="BC12851" s="141"/>
    </row>
    <row r="12852">
      <c r="BB12852" s="122"/>
      <c r="BC12852" s="141"/>
    </row>
    <row r="12853">
      <c r="BB12853" s="122"/>
      <c r="BC12853" s="141"/>
    </row>
    <row r="12854">
      <c r="BB12854" s="122"/>
      <c r="BC12854" s="141"/>
    </row>
    <row r="12855">
      <c r="BB12855" s="122"/>
      <c r="BC12855" s="141"/>
    </row>
    <row r="12856">
      <c r="BB12856" s="122"/>
      <c r="BC12856" s="141"/>
    </row>
    <row r="12857">
      <c r="BB12857" s="122"/>
      <c r="BC12857" s="141"/>
    </row>
    <row r="12858">
      <c r="BB12858" s="122"/>
      <c r="BC12858" s="141"/>
    </row>
    <row r="12859">
      <c r="BB12859" s="122"/>
      <c r="BC12859" s="141"/>
    </row>
    <row r="12860">
      <c r="BB12860" s="122"/>
      <c r="BC12860" s="141"/>
    </row>
    <row r="12861">
      <c r="BB12861" s="122"/>
      <c r="BC12861" s="141"/>
    </row>
    <row r="12862">
      <c r="BB12862" s="122"/>
      <c r="BC12862" s="141"/>
    </row>
    <row r="12863">
      <c r="BB12863" s="122"/>
      <c r="BC12863" s="141"/>
    </row>
    <row r="12864">
      <c r="BB12864" s="122"/>
      <c r="BC12864" s="141"/>
    </row>
    <row r="12865">
      <c r="BB12865" s="122"/>
      <c r="BC12865" s="141"/>
    </row>
    <row r="12866">
      <c r="BB12866" s="122"/>
      <c r="BC12866" s="141"/>
    </row>
    <row r="12867">
      <c r="BB12867" s="122"/>
      <c r="BC12867" s="141"/>
    </row>
    <row r="12868">
      <c r="BB12868" s="122"/>
      <c r="BC12868" s="141"/>
    </row>
    <row r="12869">
      <c r="BB12869" s="122"/>
      <c r="BC12869" s="141"/>
    </row>
    <row r="12870">
      <c r="BB12870" s="122"/>
      <c r="BC12870" s="141"/>
    </row>
    <row r="12871">
      <c r="BB12871" s="122"/>
      <c r="BC12871" s="141"/>
    </row>
    <row r="12872">
      <c r="BB12872" s="122"/>
      <c r="BC12872" s="141"/>
    </row>
    <row r="12873">
      <c r="BB12873" s="122"/>
      <c r="BC12873" s="141"/>
    </row>
    <row r="12874">
      <c r="BB12874" s="122"/>
      <c r="BC12874" s="141"/>
    </row>
    <row r="12875">
      <c r="BB12875" s="122"/>
      <c r="BC12875" s="141"/>
    </row>
    <row r="12876">
      <c r="BB12876" s="122"/>
      <c r="BC12876" s="141"/>
    </row>
    <row r="12877">
      <c r="BB12877" s="122"/>
      <c r="BC12877" s="141"/>
    </row>
    <row r="12878">
      <c r="BB12878" s="122"/>
      <c r="BC12878" s="141"/>
    </row>
    <row r="12879">
      <c r="BB12879" s="122"/>
      <c r="BC12879" s="141"/>
    </row>
    <row r="12880">
      <c r="BB12880" s="122"/>
      <c r="BC12880" s="141"/>
    </row>
    <row r="12881">
      <c r="BB12881" s="122"/>
      <c r="BC12881" s="141"/>
    </row>
    <row r="12882">
      <c r="BB12882" s="122"/>
      <c r="BC12882" s="141"/>
    </row>
    <row r="12883">
      <c r="BB12883" s="122"/>
      <c r="BC12883" s="141"/>
    </row>
    <row r="12884">
      <c r="BB12884" s="122"/>
      <c r="BC12884" s="141"/>
    </row>
    <row r="12885">
      <c r="BB12885" s="122"/>
      <c r="BC12885" s="141"/>
    </row>
    <row r="12886">
      <c r="BB12886" s="122"/>
      <c r="BC12886" s="141"/>
    </row>
    <row r="12887">
      <c r="BB12887" s="122"/>
      <c r="BC12887" s="141"/>
    </row>
    <row r="12888">
      <c r="BB12888" s="122"/>
      <c r="BC12888" s="141"/>
    </row>
    <row r="12889">
      <c r="BB12889" s="122"/>
      <c r="BC12889" s="141"/>
    </row>
    <row r="12890">
      <c r="BB12890" s="122"/>
      <c r="BC12890" s="141"/>
    </row>
    <row r="12891">
      <c r="BB12891" s="122"/>
      <c r="BC12891" s="141"/>
    </row>
    <row r="12892">
      <c r="BB12892" s="122"/>
      <c r="BC12892" s="141"/>
    </row>
    <row r="12893">
      <c r="BB12893" s="122"/>
      <c r="BC12893" s="141"/>
    </row>
    <row r="12894">
      <c r="BB12894" s="122"/>
      <c r="BC12894" s="141"/>
    </row>
    <row r="12895">
      <c r="BB12895" s="122"/>
      <c r="BC12895" s="141"/>
    </row>
    <row r="12896">
      <c r="BB12896" s="122"/>
      <c r="BC12896" s="141"/>
    </row>
    <row r="12897">
      <c r="BB12897" s="122"/>
      <c r="BC12897" s="141"/>
    </row>
    <row r="12898">
      <c r="BB12898" s="122"/>
      <c r="BC12898" s="141"/>
    </row>
    <row r="12899">
      <c r="BB12899" s="122"/>
      <c r="BC12899" s="141"/>
    </row>
    <row r="12900">
      <c r="BB12900" s="122"/>
      <c r="BC12900" s="141"/>
    </row>
    <row r="12901">
      <c r="BB12901" s="122"/>
      <c r="BC12901" s="141"/>
    </row>
    <row r="12902">
      <c r="BB12902" s="122"/>
      <c r="BC12902" s="141"/>
    </row>
    <row r="12903">
      <c r="BB12903" s="122"/>
      <c r="BC12903" s="141"/>
    </row>
    <row r="12904">
      <c r="BB12904" s="122"/>
      <c r="BC12904" s="141"/>
    </row>
    <row r="12905">
      <c r="BB12905" s="122"/>
      <c r="BC12905" s="141"/>
    </row>
    <row r="12906">
      <c r="BB12906" s="122"/>
      <c r="BC12906" s="141"/>
    </row>
    <row r="12907">
      <c r="BB12907" s="122"/>
      <c r="BC12907" s="141"/>
    </row>
    <row r="12908">
      <c r="BB12908" s="122"/>
      <c r="BC12908" s="141"/>
    </row>
    <row r="12909">
      <c r="BB12909" s="122"/>
      <c r="BC12909" s="141"/>
    </row>
    <row r="12910">
      <c r="BB12910" s="122"/>
      <c r="BC12910" s="141"/>
    </row>
    <row r="12911">
      <c r="BB12911" s="122"/>
      <c r="BC12911" s="141"/>
    </row>
    <row r="12912">
      <c r="BB12912" s="122"/>
      <c r="BC12912" s="141"/>
    </row>
    <row r="12913">
      <c r="BB12913" s="122"/>
      <c r="BC12913" s="141"/>
    </row>
    <row r="12914">
      <c r="BB12914" s="122"/>
      <c r="BC12914" s="141"/>
    </row>
    <row r="12915">
      <c r="BB12915" s="122"/>
      <c r="BC12915" s="141"/>
    </row>
    <row r="12916">
      <c r="BB12916" s="122"/>
      <c r="BC12916" s="141"/>
    </row>
    <row r="12917">
      <c r="BB12917" s="122"/>
      <c r="BC12917" s="141"/>
    </row>
    <row r="12918">
      <c r="BB12918" s="122"/>
      <c r="BC12918" s="141"/>
    </row>
    <row r="12919">
      <c r="BB12919" s="122"/>
      <c r="BC12919" s="141"/>
    </row>
    <row r="12920">
      <c r="BB12920" s="122"/>
      <c r="BC12920" s="141"/>
    </row>
    <row r="12921">
      <c r="BB12921" s="122"/>
      <c r="BC12921" s="141"/>
    </row>
    <row r="12922">
      <c r="BB12922" s="122"/>
      <c r="BC12922" s="141"/>
    </row>
    <row r="12923">
      <c r="BB12923" s="122"/>
      <c r="BC12923" s="141"/>
    </row>
    <row r="12924">
      <c r="BB12924" s="122"/>
      <c r="BC12924" s="141"/>
    </row>
    <row r="12925">
      <c r="BB12925" s="122"/>
      <c r="BC12925" s="141"/>
    </row>
    <row r="12926">
      <c r="BB12926" s="122"/>
      <c r="BC12926" s="141"/>
    </row>
    <row r="12927">
      <c r="BB12927" s="122"/>
      <c r="BC12927" s="141"/>
    </row>
    <row r="12928">
      <c r="BB12928" s="122"/>
      <c r="BC12928" s="141"/>
    </row>
    <row r="12929">
      <c r="BB12929" s="122"/>
      <c r="BC12929" s="141"/>
    </row>
    <row r="12930">
      <c r="BB12930" s="122"/>
      <c r="BC12930" s="141"/>
    </row>
    <row r="12931">
      <c r="BB12931" s="122"/>
      <c r="BC12931" s="141"/>
    </row>
    <row r="12932">
      <c r="BB12932" s="122"/>
      <c r="BC12932" s="141"/>
    </row>
    <row r="12933">
      <c r="BB12933" s="122"/>
      <c r="BC12933" s="141"/>
    </row>
    <row r="12934">
      <c r="BB12934" s="122"/>
      <c r="BC12934" s="141"/>
    </row>
    <row r="12935">
      <c r="BB12935" s="122"/>
      <c r="BC12935" s="141"/>
    </row>
    <row r="12936">
      <c r="BB12936" s="122"/>
      <c r="BC12936" s="141"/>
    </row>
    <row r="12937">
      <c r="BB12937" s="122"/>
      <c r="BC12937" s="141"/>
    </row>
    <row r="12938">
      <c r="BB12938" s="122"/>
      <c r="BC12938" s="141"/>
    </row>
    <row r="12939">
      <c r="BB12939" s="122"/>
      <c r="BC12939" s="141"/>
    </row>
    <row r="12940">
      <c r="BB12940" s="122"/>
      <c r="BC12940" s="141"/>
    </row>
    <row r="12941">
      <c r="BB12941" s="122"/>
      <c r="BC12941" s="141"/>
    </row>
    <row r="12942">
      <c r="BB12942" s="122"/>
      <c r="BC12942" s="141"/>
    </row>
    <row r="12943">
      <c r="BB12943" s="122"/>
      <c r="BC12943" s="141"/>
    </row>
    <row r="12944">
      <c r="BB12944" s="122"/>
      <c r="BC12944" s="141"/>
    </row>
    <row r="12945">
      <c r="BB12945" s="122"/>
      <c r="BC12945" s="141"/>
    </row>
    <row r="12946">
      <c r="BB12946" s="122"/>
      <c r="BC12946" s="141"/>
    </row>
    <row r="12947">
      <c r="BB12947" s="122"/>
      <c r="BC12947" s="141"/>
    </row>
    <row r="12948">
      <c r="BB12948" s="122"/>
      <c r="BC12948" s="141"/>
    </row>
    <row r="12949">
      <c r="BB12949" s="122"/>
      <c r="BC12949" s="141"/>
    </row>
    <row r="12950">
      <c r="BB12950" s="122"/>
      <c r="BC12950" s="141"/>
    </row>
    <row r="12951">
      <c r="BB12951" s="122"/>
      <c r="BC12951" s="141"/>
    </row>
    <row r="12952">
      <c r="BB12952" s="122"/>
      <c r="BC12952" s="141"/>
    </row>
    <row r="12953">
      <c r="BB12953" s="122"/>
      <c r="BC12953" s="141"/>
    </row>
    <row r="12954">
      <c r="BB12954" s="122"/>
      <c r="BC12954" s="141"/>
    </row>
    <row r="12955">
      <c r="BB12955" s="122"/>
      <c r="BC12955" s="141"/>
    </row>
    <row r="12956">
      <c r="BB12956" s="122"/>
      <c r="BC12956" s="141"/>
    </row>
    <row r="12957">
      <c r="BB12957" s="122"/>
      <c r="BC12957" s="141"/>
    </row>
    <row r="12958">
      <c r="BB12958" s="122"/>
      <c r="BC12958" s="141"/>
    </row>
    <row r="12959">
      <c r="BB12959" s="122"/>
      <c r="BC12959" s="141"/>
    </row>
    <row r="12960">
      <c r="BB12960" s="122"/>
      <c r="BC12960" s="141"/>
    </row>
    <row r="12961">
      <c r="BB12961" s="122"/>
      <c r="BC12961" s="141"/>
    </row>
    <row r="12962">
      <c r="BB12962" s="122"/>
      <c r="BC12962" s="141"/>
    </row>
    <row r="12963">
      <c r="BB12963" s="122"/>
      <c r="BC12963" s="141"/>
    </row>
    <row r="12964">
      <c r="BB12964" s="122"/>
      <c r="BC12964" s="141"/>
    </row>
    <row r="12965">
      <c r="BB12965" s="122"/>
      <c r="BC12965" s="141"/>
    </row>
    <row r="12966">
      <c r="BB12966" s="122"/>
      <c r="BC12966" s="141"/>
    </row>
    <row r="12967">
      <c r="BB12967" s="122"/>
      <c r="BC12967" s="141"/>
    </row>
    <row r="12968">
      <c r="BB12968" s="122"/>
      <c r="BC12968" s="141"/>
    </row>
    <row r="12969">
      <c r="BB12969" s="122"/>
      <c r="BC12969" s="141"/>
    </row>
    <row r="12970">
      <c r="BB12970" s="122"/>
      <c r="BC12970" s="141"/>
    </row>
    <row r="12971">
      <c r="BB12971" s="122"/>
      <c r="BC12971" s="141"/>
    </row>
    <row r="12972">
      <c r="BB12972" s="122"/>
      <c r="BC12972" s="141"/>
    </row>
    <row r="12973">
      <c r="BB12973" s="122"/>
      <c r="BC12973" s="141"/>
    </row>
    <row r="12974">
      <c r="BB12974" s="122"/>
      <c r="BC12974" s="141"/>
    </row>
    <row r="12975">
      <c r="BB12975" s="122"/>
      <c r="BC12975" s="141"/>
    </row>
    <row r="12976">
      <c r="BB12976" s="122"/>
      <c r="BC12976" s="141"/>
    </row>
    <row r="12977">
      <c r="BB12977" s="122"/>
      <c r="BC12977" s="141"/>
    </row>
    <row r="12978">
      <c r="BB12978" s="122"/>
      <c r="BC12978" s="141"/>
    </row>
    <row r="12979">
      <c r="BB12979" s="122"/>
      <c r="BC12979" s="141"/>
    </row>
    <row r="12980">
      <c r="BB12980" s="122"/>
      <c r="BC12980" s="141"/>
    </row>
    <row r="12981">
      <c r="BB12981" s="122"/>
      <c r="BC12981" s="141"/>
    </row>
    <row r="12982">
      <c r="BB12982" s="122"/>
      <c r="BC12982" s="141"/>
    </row>
    <row r="12983">
      <c r="BB12983" s="122"/>
      <c r="BC12983" s="141"/>
    </row>
    <row r="12984">
      <c r="BB12984" s="122"/>
      <c r="BC12984" s="141"/>
    </row>
    <row r="12985">
      <c r="BB12985" s="122"/>
      <c r="BC12985" s="141"/>
    </row>
    <row r="12986">
      <c r="BB12986" s="122"/>
      <c r="BC12986" s="141"/>
    </row>
    <row r="12987">
      <c r="BB12987" s="122"/>
      <c r="BC12987" s="141"/>
    </row>
    <row r="12988">
      <c r="BB12988" s="122"/>
      <c r="BC12988" s="141"/>
    </row>
    <row r="12989">
      <c r="BB12989" s="122"/>
      <c r="BC12989" s="141"/>
    </row>
    <row r="12990">
      <c r="BB12990" s="122"/>
      <c r="BC12990" s="141"/>
    </row>
    <row r="12991">
      <c r="BB12991" s="122"/>
      <c r="BC12991" s="141"/>
    </row>
    <row r="12992">
      <c r="BB12992" s="122"/>
      <c r="BC12992" s="141"/>
    </row>
    <row r="12993">
      <c r="BB12993" s="122"/>
      <c r="BC12993" s="141"/>
    </row>
    <row r="12994">
      <c r="BB12994" s="122"/>
      <c r="BC12994" s="141"/>
    </row>
    <row r="12995">
      <c r="BB12995" s="122"/>
      <c r="BC12995" s="141"/>
    </row>
    <row r="12996">
      <c r="BB12996" s="122"/>
      <c r="BC12996" s="141"/>
    </row>
    <row r="12997">
      <c r="BB12997" s="122"/>
      <c r="BC12997" s="141"/>
    </row>
    <row r="12998">
      <c r="BB12998" s="122"/>
      <c r="BC12998" s="141"/>
    </row>
    <row r="12999">
      <c r="BB12999" s="122"/>
      <c r="BC12999" s="141"/>
    </row>
    <row r="13000">
      <c r="BB13000" s="122"/>
      <c r="BC13000" s="141"/>
    </row>
    <row r="13001">
      <c r="BB13001" s="122"/>
      <c r="BC13001" s="141"/>
    </row>
    <row r="13002">
      <c r="BB13002" s="122"/>
      <c r="BC13002" s="141"/>
    </row>
    <row r="13003">
      <c r="BB13003" s="122"/>
      <c r="BC13003" s="141"/>
    </row>
    <row r="13004">
      <c r="BB13004" s="122"/>
      <c r="BC13004" s="141"/>
    </row>
    <row r="13005">
      <c r="BB13005" s="122"/>
      <c r="BC13005" s="141"/>
    </row>
    <row r="13006">
      <c r="BB13006" s="122"/>
      <c r="BC13006" s="141"/>
    </row>
    <row r="13007">
      <c r="BB13007" s="122"/>
      <c r="BC13007" s="141"/>
    </row>
    <row r="13008">
      <c r="BB13008" s="122"/>
      <c r="BC13008" s="141"/>
    </row>
    <row r="13009">
      <c r="BB13009" s="122"/>
      <c r="BC13009" s="141"/>
    </row>
    <row r="13010">
      <c r="BB13010" s="122"/>
      <c r="BC13010" s="141"/>
    </row>
    <row r="13011">
      <c r="BB13011" s="122"/>
      <c r="BC13011" s="141"/>
    </row>
    <row r="13012">
      <c r="BB13012" s="122"/>
      <c r="BC13012" s="141"/>
    </row>
    <row r="13013">
      <c r="BB13013" s="122"/>
      <c r="BC13013" s="141"/>
    </row>
    <row r="13014">
      <c r="BB13014" s="122"/>
      <c r="BC13014" s="141"/>
    </row>
    <row r="13015">
      <c r="BB13015" s="122"/>
      <c r="BC13015" s="141"/>
    </row>
    <row r="13016">
      <c r="BB13016" s="122"/>
      <c r="BC13016" s="141"/>
    </row>
    <row r="13017">
      <c r="BB13017" s="122"/>
      <c r="BC13017" s="141"/>
    </row>
    <row r="13018">
      <c r="BB13018" s="122"/>
      <c r="BC13018" s="141"/>
    </row>
    <row r="13019">
      <c r="BB13019" s="122"/>
      <c r="BC13019" s="141"/>
    </row>
    <row r="13020">
      <c r="BB13020" s="122"/>
      <c r="BC13020" s="141"/>
    </row>
    <row r="13021">
      <c r="BB13021" s="122"/>
      <c r="BC13021" s="141"/>
    </row>
    <row r="13022">
      <c r="BB13022" s="122"/>
      <c r="BC13022" s="141"/>
    </row>
    <row r="13023">
      <c r="BB13023" s="122"/>
      <c r="BC13023" s="141"/>
    </row>
    <row r="13024">
      <c r="BB13024" s="122"/>
      <c r="BC13024" s="141"/>
    </row>
    <row r="13025">
      <c r="BB13025" s="122"/>
      <c r="BC13025" s="141"/>
    </row>
    <row r="13026">
      <c r="BB13026" s="122"/>
      <c r="BC13026" s="141"/>
    </row>
    <row r="13027">
      <c r="BB13027" s="122"/>
      <c r="BC13027" s="141"/>
    </row>
    <row r="13028">
      <c r="BB13028" s="122"/>
      <c r="BC13028" s="141"/>
    </row>
    <row r="13029">
      <c r="BB13029" s="122"/>
      <c r="BC13029" s="141"/>
    </row>
    <row r="13030">
      <c r="BB13030" s="122"/>
      <c r="BC13030" s="141"/>
    </row>
    <row r="13031">
      <c r="BB13031" s="122"/>
      <c r="BC13031" s="141"/>
    </row>
    <row r="13032">
      <c r="BB13032" s="122"/>
      <c r="BC13032" s="141"/>
    </row>
    <row r="13033">
      <c r="BB13033" s="122"/>
      <c r="BC13033" s="141"/>
    </row>
    <row r="13034">
      <c r="BB13034" s="122"/>
      <c r="BC13034" s="141"/>
    </row>
    <row r="13035">
      <c r="BB13035" s="122"/>
      <c r="BC13035" s="141"/>
    </row>
    <row r="13036">
      <c r="BB13036" s="122"/>
      <c r="BC13036" s="141"/>
    </row>
    <row r="13037">
      <c r="BB13037" s="122"/>
      <c r="BC13037" s="141"/>
    </row>
    <row r="13038">
      <c r="BB13038" s="122"/>
      <c r="BC13038" s="141"/>
    </row>
    <row r="13039">
      <c r="BB13039" s="122"/>
      <c r="BC13039" s="141"/>
    </row>
    <row r="13040">
      <c r="BB13040" s="122"/>
      <c r="BC13040" s="141"/>
    </row>
    <row r="13041">
      <c r="BB13041" s="122"/>
      <c r="BC13041" s="141"/>
    </row>
    <row r="13042">
      <c r="BB13042" s="122"/>
      <c r="BC13042" s="141"/>
    </row>
    <row r="13043">
      <c r="BB13043" s="122"/>
      <c r="BC13043" s="141"/>
    </row>
    <row r="13044">
      <c r="BB13044" s="122"/>
      <c r="BC13044" s="141"/>
    </row>
    <row r="13045">
      <c r="BB13045" s="122"/>
      <c r="BC13045" s="141"/>
    </row>
    <row r="13046">
      <c r="BB13046" s="122"/>
      <c r="BC13046" s="141"/>
    </row>
    <row r="13047">
      <c r="BB13047" s="122"/>
      <c r="BC13047" s="141"/>
    </row>
    <row r="13048">
      <c r="BB13048" s="122"/>
      <c r="BC13048" s="141"/>
    </row>
    <row r="13049">
      <c r="BB13049" s="122"/>
      <c r="BC13049" s="141"/>
    </row>
    <row r="13050">
      <c r="BB13050" s="122"/>
      <c r="BC13050" s="141"/>
    </row>
    <row r="13051">
      <c r="BB13051" s="122"/>
      <c r="BC13051" s="141"/>
    </row>
    <row r="13052">
      <c r="BB13052" s="122"/>
      <c r="BC13052" s="141"/>
    </row>
    <row r="13053">
      <c r="BB13053" s="122"/>
      <c r="BC13053" s="141"/>
    </row>
    <row r="13054">
      <c r="BB13054" s="122"/>
      <c r="BC13054" s="141"/>
    </row>
    <row r="13055">
      <c r="BB13055" s="122"/>
      <c r="BC13055" s="141"/>
    </row>
    <row r="13056">
      <c r="BB13056" s="122"/>
      <c r="BC13056" s="141"/>
    </row>
    <row r="13057">
      <c r="BB13057" s="122"/>
      <c r="BC13057" s="141"/>
    </row>
    <row r="13058">
      <c r="BB13058" s="122"/>
      <c r="BC13058" s="141"/>
    </row>
    <row r="13059">
      <c r="BB13059" s="122"/>
      <c r="BC13059" s="141"/>
    </row>
    <row r="13060">
      <c r="BB13060" s="122"/>
      <c r="BC13060" s="141"/>
    </row>
    <row r="13061">
      <c r="BB13061" s="122"/>
      <c r="BC13061" s="141"/>
    </row>
    <row r="13062">
      <c r="BB13062" s="122"/>
      <c r="BC13062" s="141"/>
    </row>
    <row r="13063">
      <c r="BB13063" s="122"/>
      <c r="BC13063" s="141"/>
    </row>
    <row r="13064">
      <c r="BB13064" s="122"/>
      <c r="BC13064" s="141"/>
    </row>
    <row r="13065">
      <c r="BB13065" s="122"/>
      <c r="BC13065" s="141"/>
    </row>
    <row r="13066">
      <c r="BB13066" s="122"/>
      <c r="BC13066" s="141"/>
    </row>
    <row r="13067">
      <c r="BB13067" s="122"/>
      <c r="BC13067" s="141"/>
    </row>
    <row r="13068">
      <c r="BB13068" s="122"/>
      <c r="BC13068" s="141"/>
    </row>
    <row r="13069">
      <c r="BB13069" s="122"/>
      <c r="BC13069" s="141"/>
    </row>
    <row r="13070">
      <c r="BB13070" s="122"/>
      <c r="BC13070" s="141"/>
    </row>
    <row r="13071">
      <c r="BB13071" s="122"/>
      <c r="BC13071" s="141"/>
    </row>
    <row r="13072">
      <c r="BB13072" s="122"/>
      <c r="BC13072" s="141"/>
    </row>
    <row r="13073">
      <c r="BB13073" s="122"/>
      <c r="BC13073" s="141"/>
    </row>
    <row r="13074">
      <c r="BB13074" s="122"/>
      <c r="BC13074" s="141"/>
    </row>
    <row r="13075">
      <c r="BB13075" s="122"/>
      <c r="BC13075" s="141"/>
    </row>
    <row r="13076">
      <c r="BB13076" s="122"/>
      <c r="BC13076" s="141"/>
    </row>
    <row r="13077">
      <c r="BB13077" s="122"/>
      <c r="BC13077" s="141"/>
    </row>
    <row r="13078">
      <c r="BB13078" s="122"/>
      <c r="BC13078" s="141"/>
    </row>
    <row r="13079">
      <c r="BB13079" s="122"/>
      <c r="BC13079" s="141"/>
    </row>
    <row r="13080">
      <c r="BB13080" s="122"/>
      <c r="BC13080" s="141"/>
    </row>
    <row r="13081">
      <c r="BB13081" s="122"/>
      <c r="BC13081" s="141"/>
    </row>
    <row r="13082">
      <c r="BB13082" s="122"/>
      <c r="BC13082" s="141"/>
    </row>
    <row r="13083">
      <c r="BB13083" s="122"/>
      <c r="BC13083" s="141"/>
    </row>
    <row r="13084">
      <c r="BB13084" s="122"/>
      <c r="BC13084" s="141"/>
    </row>
    <row r="13085">
      <c r="BB13085" s="122"/>
      <c r="BC13085" s="141"/>
    </row>
    <row r="13086">
      <c r="BB13086" s="122"/>
      <c r="BC13086" s="141"/>
    </row>
    <row r="13087">
      <c r="BB13087" s="122"/>
      <c r="BC13087" s="141"/>
    </row>
    <row r="13088">
      <c r="BB13088" s="122"/>
      <c r="BC13088" s="141"/>
    </row>
    <row r="13089">
      <c r="BB13089" s="122"/>
      <c r="BC13089" s="141"/>
    </row>
    <row r="13090">
      <c r="BB13090" s="122"/>
      <c r="BC13090" s="141"/>
    </row>
    <row r="13091">
      <c r="BB13091" s="122"/>
      <c r="BC13091" s="141"/>
    </row>
    <row r="13092">
      <c r="BB13092" s="122"/>
      <c r="BC13092" s="141"/>
    </row>
    <row r="13093">
      <c r="BB13093" s="122"/>
      <c r="BC13093" s="141"/>
    </row>
    <row r="13094">
      <c r="BB13094" s="122"/>
      <c r="BC13094" s="141"/>
    </row>
    <row r="13095">
      <c r="BB13095" s="122"/>
      <c r="BC13095" s="141"/>
    </row>
    <row r="13096">
      <c r="BB13096" s="122"/>
      <c r="BC13096" s="141"/>
    </row>
    <row r="13097">
      <c r="BB13097" s="122"/>
      <c r="BC13097" s="141"/>
    </row>
    <row r="13098">
      <c r="BB13098" s="122"/>
      <c r="BC13098" s="141"/>
    </row>
    <row r="13099">
      <c r="BB13099" s="122"/>
      <c r="BC13099" s="141"/>
    </row>
    <row r="13100">
      <c r="BB13100" s="122"/>
      <c r="BC13100" s="141"/>
    </row>
    <row r="13101">
      <c r="BB13101" s="122"/>
      <c r="BC13101" s="141"/>
    </row>
    <row r="13102">
      <c r="BB13102" s="122"/>
      <c r="BC13102" s="141"/>
    </row>
    <row r="13103">
      <c r="BB13103" s="122"/>
      <c r="BC13103" s="141"/>
    </row>
    <row r="13104">
      <c r="BB13104" s="122"/>
      <c r="BC13104" s="141"/>
    </row>
    <row r="13105">
      <c r="BB13105" s="122"/>
      <c r="BC13105" s="141"/>
    </row>
    <row r="13106">
      <c r="BB13106" s="122"/>
      <c r="BC13106" s="141"/>
    </row>
    <row r="13107">
      <c r="BB13107" s="122"/>
      <c r="BC13107" s="141"/>
    </row>
    <row r="13108">
      <c r="BB13108" s="122"/>
      <c r="BC13108" s="141"/>
    </row>
    <row r="13109">
      <c r="BB13109" s="122"/>
      <c r="BC13109" s="141"/>
    </row>
    <row r="13110">
      <c r="BB13110" s="122"/>
      <c r="BC13110" s="141"/>
    </row>
    <row r="13111">
      <c r="BB13111" s="122"/>
      <c r="BC13111" s="141"/>
    </row>
    <row r="13112">
      <c r="BB13112" s="122"/>
      <c r="BC13112" s="141"/>
    </row>
    <row r="13113">
      <c r="BB13113" s="122"/>
      <c r="BC13113" s="141"/>
    </row>
    <row r="13114">
      <c r="BB13114" s="122"/>
      <c r="BC13114" s="141"/>
    </row>
    <row r="13115">
      <c r="BB13115" s="122"/>
      <c r="BC13115" s="141"/>
    </row>
    <row r="13116">
      <c r="BB13116" s="122"/>
      <c r="BC13116" s="141"/>
    </row>
    <row r="13117">
      <c r="BB13117" s="122"/>
      <c r="BC13117" s="141"/>
    </row>
    <row r="13118">
      <c r="BB13118" s="122"/>
      <c r="BC13118" s="141"/>
    </row>
    <row r="13119">
      <c r="BB13119" s="122"/>
      <c r="BC13119" s="141"/>
    </row>
    <row r="13120">
      <c r="BB13120" s="122"/>
      <c r="BC13120" s="141"/>
    </row>
    <row r="13121">
      <c r="BB13121" s="122"/>
      <c r="BC13121" s="141"/>
    </row>
    <row r="13122">
      <c r="BB13122" s="122"/>
      <c r="BC13122" s="141"/>
    </row>
    <row r="13123">
      <c r="BB13123" s="122"/>
      <c r="BC13123" s="141"/>
    </row>
    <row r="13124">
      <c r="BB13124" s="122"/>
      <c r="BC13124" s="141"/>
    </row>
    <row r="13125">
      <c r="BB13125" s="122"/>
      <c r="BC13125" s="141"/>
    </row>
    <row r="13126">
      <c r="BB13126" s="122"/>
      <c r="BC13126" s="141"/>
    </row>
    <row r="13127">
      <c r="BB13127" s="122"/>
      <c r="BC13127" s="141"/>
    </row>
    <row r="13128">
      <c r="BB13128" s="122"/>
      <c r="BC13128" s="141"/>
    </row>
    <row r="13129">
      <c r="BB13129" s="122"/>
      <c r="BC13129" s="141"/>
    </row>
    <row r="13130">
      <c r="BB13130" s="122"/>
      <c r="BC13130" s="141"/>
    </row>
    <row r="13131">
      <c r="BB13131" s="122"/>
      <c r="BC13131" s="141"/>
    </row>
    <row r="13132">
      <c r="BB13132" s="122"/>
      <c r="BC13132" s="141"/>
    </row>
    <row r="13133">
      <c r="BB13133" s="122"/>
      <c r="BC13133" s="141"/>
    </row>
    <row r="13134">
      <c r="BB13134" s="122"/>
      <c r="BC13134" s="141"/>
    </row>
    <row r="13135">
      <c r="BB13135" s="122"/>
      <c r="BC13135" s="141"/>
    </row>
    <row r="13136">
      <c r="BB13136" s="122"/>
      <c r="BC13136" s="141"/>
    </row>
    <row r="13137">
      <c r="BB13137" s="122"/>
      <c r="BC13137" s="141"/>
    </row>
    <row r="13138">
      <c r="BB13138" s="122"/>
      <c r="BC13138" s="141"/>
    </row>
    <row r="13139">
      <c r="BB13139" s="122"/>
      <c r="BC13139" s="141"/>
    </row>
    <row r="13140">
      <c r="BB13140" s="122"/>
      <c r="BC13140" s="141"/>
    </row>
    <row r="13141">
      <c r="BB13141" s="122"/>
      <c r="BC13141" s="141"/>
    </row>
    <row r="13142">
      <c r="BB13142" s="122"/>
      <c r="BC13142" s="141"/>
    </row>
    <row r="13143">
      <c r="BB13143" s="122"/>
      <c r="BC13143" s="141"/>
    </row>
    <row r="13144">
      <c r="BB13144" s="122"/>
      <c r="BC13144" s="141"/>
    </row>
    <row r="13145">
      <c r="BB13145" s="122"/>
      <c r="BC13145" s="141"/>
    </row>
    <row r="13146">
      <c r="BB13146" s="122"/>
      <c r="BC13146" s="141"/>
    </row>
    <row r="13147">
      <c r="BB13147" s="122"/>
      <c r="BC13147" s="141"/>
    </row>
    <row r="13148">
      <c r="BB13148" s="122"/>
      <c r="BC13148" s="141"/>
    </row>
    <row r="13149">
      <c r="BB13149" s="122"/>
      <c r="BC13149" s="141"/>
    </row>
    <row r="13150">
      <c r="BB13150" s="122"/>
      <c r="BC13150" s="141"/>
    </row>
    <row r="13151">
      <c r="BB13151" s="122"/>
      <c r="BC13151" s="141"/>
    </row>
    <row r="13152">
      <c r="BB13152" s="122"/>
      <c r="BC13152" s="141"/>
    </row>
    <row r="13153">
      <c r="BB13153" s="122"/>
      <c r="BC13153" s="141"/>
    </row>
    <row r="13154">
      <c r="BB13154" s="122"/>
      <c r="BC13154" s="141"/>
    </row>
    <row r="13155">
      <c r="BB13155" s="122"/>
      <c r="BC13155" s="141"/>
    </row>
    <row r="13156">
      <c r="BB13156" s="122"/>
      <c r="BC13156" s="141"/>
    </row>
    <row r="13157">
      <c r="BB13157" s="122"/>
      <c r="BC13157" s="141"/>
    </row>
    <row r="13158">
      <c r="BB13158" s="122"/>
      <c r="BC13158" s="141"/>
    </row>
    <row r="13159">
      <c r="BB13159" s="122"/>
      <c r="BC13159" s="141"/>
    </row>
    <row r="13160">
      <c r="BB13160" s="122"/>
      <c r="BC13160" s="141"/>
    </row>
    <row r="13161">
      <c r="BB13161" s="122"/>
      <c r="BC13161" s="141"/>
    </row>
    <row r="13162">
      <c r="BB13162" s="122"/>
      <c r="BC13162" s="141"/>
    </row>
    <row r="13163">
      <c r="BB13163" s="122"/>
      <c r="BC13163" s="141"/>
    </row>
    <row r="13164">
      <c r="BB13164" s="122"/>
      <c r="BC13164" s="141"/>
    </row>
    <row r="13165">
      <c r="BB13165" s="122"/>
      <c r="BC13165" s="141"/>
    </row>
    <row r="13166">
      <c r="BB13166" s="122"/>
      <c r="BC13166" s="141"/>
    </row>
    <row r="13167">
      <c r="BB13167" s="122"/>
      <c r="BC13167" s="141"/>
    </row>
    <row r="13168">
      <c r="BB13168" s="122"/>
      <c r="BC13168" s="141"/>
    </row>
    <row r="13169">
      <c r="BB13169" s="122"/>
      <c r="BC13169" s="141"/>
    </row>
    <row r="13170">
      <c r="BB13170" s="122"/>
      <c r="BC13170" s="141"/>
    </row>
    <row r="13171">
      <c r="BB13171" s="122"/>
      <c r="BC13171" s="141"/>
    </row>
    <row r="13172">
      <c r="BB13172" s="122"/>
      <c r="BC13172" s="141"/>
    </row>
    <row r="13173">
      <c r="BB13173" s="122"/>
      <c r="BC13173" s="141"/>
    </row>
    <row r="13174">
      <c r="BB13174" s="122"/>
      <c r="BC13174" s="141"/>
    </row>
    <row r="13175">
      <c r="BB13175" s="122"/>
      <c r="BC13175" s="141"/>
    </row>
    <row r="13176">
      <c r="BB13176" s="122"/>
      <c r="BC13176" s="141"/>
    </row>
    <row r="13177">
      <c r="BB13177" s="122"/>
      <c r="BC13177" s="141"/>
    </row>
    <row r="13178">
      <c r="BB13178" s="122"/>
      <c r="BC13178" s="141"/>
    </row>
    <row r="13179">
      <c r="BB13179" s="122"/>
      <c r="BC13179" s="141"/>
    </row>
    <row r="13180">
      <c r="BB13180" s="122"/>
      <c r="BC13180" s="141"/>
    </row>
    <row r="13181">
      <c r="BB13181" s="122"/>
      <c r="BC13181" s="141"/>
    </row>
    <row r="13182">
      <c r="BB13182" s="122"/>
      <c r="BC13182" s="141"/>
    </row>
    <row r="13183">
      <c r="BB13183" s="122"/>
      <c r="BC13183" s="141"/>
    </row>
    <row r="13184">
      <c r="BB13184" s="122"/>
      <c r="BC13184" s="141"/>
    </row>
    <row r="13185">
      <c r="BB13185" s="122"/>
      <c r="BC13185" s="141"/>
    </row>
    <row r="13186">
      <c r="BB13186" s="122"/>
      <c r="BC13186" s="141"/>
    </row>
    <row r="13187">
      <c r="BB13187" s="122"/>
      <c r="BC13187" s="141"/>
    </row>
    <row r="13188">
      <c r="BB13188" s="122"/>
      <c r="BC13188" s="141"/>
    </row>
    <row r="13189">
      <c r="BB13189" s="122"/>
      <c r="BC13189" s="141"/>
    </row>
    <row r="13190">
      <c r="BB13190" s="122"/>
      <c r="BC13190" s="141"/>
    </row>
    <row r="13191">
      <c r="BB13191" s="122"/>
      <c r="BC13191" s="141"/>
    </row>
    <row r="13192">
      <c r="BB13192" s="122"/>
      <c r="BC13192" s="141"/>
    </row>
    <row r="13193">
      <c r="BB13193" s="122"/>
      <c r="BC13193" s="141"/>
    </row>
    <row r="13194">
      <c r="BB13194" s="122"/>
      <c r="BC13194" s="141"/>
    </row>
    <row r="13195">
      <c r="BB13195" s="122"/>
      <c r="BC13195" s="141"/>
    </row>
    <row r="13196">
      <c r="BB13196" s="122"/>
      <c r="BC13196" s="141"/>
    </row>
    <row r="13197">
      <c r="BB13197" s="122"/>
      <c r="BC13197" s="141"/>
    </row>
    <row r="13198">
      <c r="BB13198" s="122"/>
      <c r="BC13198" s="141"/>
    </row>
    <row r="13199">
      <c r="BB13199" s="122"/>
      <c r="BC13199" s="141"/>
    </row>
    <row r="13200">
      <c r="BB13200" s="122"/>
      <c r="BC13200" s="141"/>
    </row>
    <row r="13201">
      <c r="BB13201" s="122"/>
      <c r="BC13201" s="141"/>
    </row>
    <row r="13202">
      <c r="BB13202" s="122"/>
      <c r="BC13202" s="141"/>
    </row>
    <row r="13203">
      <c r="BB13203" s="122"/>
      <c r="BC13203" s="141"/>
    </row>
    <row r="13204">
      <c r="BB13204" s="122"/>
      <c r="BC13204" s="141"/>
    </row>
    <row r="13205">
      <c r="BB13205" s="122"/>
      <c r="BC13205" s="141"/>
    </row>
    <row r="13206">
      <c r="BB13206" s="122"/>
      <c r="BC13206" s="141"/>
    </row>
    <row r="13207">
      <c r="BB13207" s="122"/>
      <c r="BC13207" s="141"/>
    </row>
    <row r="13208">
      <c r="BB13208" s="122"/>
      <c r="BC13208" s="141"/>
    </row>
    <row r="13209">
      <c r="BB13209" s="122"/>
      <c r="BC13209" s="141"/>
    </row>
    <row r="13210">
      <c r="BB13210" s="122"/>
      <c r="BC13210" s="141"/>
    </row>
    <row r="13211">
      <c r="BB13211" s="122"/>
      <c r="BC13211" s="141"/>
    </row>
    <row r="13212">
      <c r="BB13212" s="122"/>
      <c r="BC13212" s="141"/>
    </row>
    <row r="13213">
      <c r="BB13213" s="122"/>
      <c r="BC13213" s="141"/>
    </row>
    <row r="13214">
      <c r="BB13214" s="122"/>
      <c r="BC13214" s="141"/>
    </row>
    <row r="13215">
      <c r="BB13215" s="122"/>
      <c r="BC13215" s="141"/>
    </row>
    <row r="13216">
      <c r="BB13216" s="122"/>
      <c r="BC13216" s="141"/>
    </row>
    <row r="13217">
      <c r="BB13217" s="122"/>
      <c r="BC13217" s="141"/>
    </row>
    <row r="13218">
      <c r="BB13218" s="122"/>
      <c r="BC13218" s="141"/>
    </row>
    <row r="13219">
      <c r="BB13219" s="122"/>
      <c r="BC13219" s="141"/>
    </row>
    <row r="13220">
      <c r="BB13220" s="122"/>
      <c r="BC13220" s="141"/>
    </row>
    <row r="13221">
      <c r="BB13221" s="122"/>
      <c r="BC13221" s="141"/>
    </row>
    <row r="13222">
      <c r="BB13222" s="122"/>
      <c r="BC13222" s="141"/>
    </row>
    <row r="13223">
      <c r="BB13223" s="122"/>
      <c r="BC13223" s="141"/>
    </row>
    <row r="13224">
      <c r="BB13224" s="122"/>
      <c r="BC13224" s="141"/>
    </row>
    <row r="13225">
      <c r="BB13225" s="122"/>
      <c r="BC13225" s="141"/>
    </row>
    <row r="13226">
      <c r="BB13226" s="122"/>
      <c r="BC13226" s="141"/>
    </row>
    <row r="13227">
      <c r="BB13227" s="122"/>
      <c r="BC13227" s="141"/>
    </row>
    <row r="13228">
      <c r="BB13228" s="122"/>
      <c r="BC13228" s="141"/>
    </row>
    <row r="13229">
      <c r="BB13229" s="122"/>
      <c r="BC13229" s="141"/>
    </row>
    <row r="13230">
      <c r="BB13230" s="122"/>
      <c r="BC13230" s="141"/>
    </row>
    <row r="13231">
      <c r="BB13231" s="122"/>
      <c r="BC13231" s="141"/>
    </row>
    <row r="13232">
      <c r="BB13232" s="122"/>
      <c r="BC13232" s="141"/>
    </row>
    <row r="13233">
      <c r="BB13233" s="122"/>
      <c r="BC13233" s="141"/>
    </row>
    <row r="13234">
      <c r="BB13234" s="122"/>
      <c r="BC13234" s="141"/>
    </row>
    <row r="13235">
      <c r="BB13235" s="122"/>
      <c r="BC13235" s="141"/>
    </row>
    <row r="13236">
      <c r="BB13236" s="122"/>
      <c r="BC13236" s="141"/>
    </row>
    <row r="13237">
      <c r="BB13237" s="122"/>
      <c r="BC13237" s="141"/>
    </row>
    <row r="13238">
      <c r="BB13238" s="122"/>
      <c r="BC13238" s="141"/>
    </row>
    <row r="13239">
      <c r="BB13239" s="122"/>
      <c r="BC13239" s="141"/>
    </row>
    <row r="13240">
      <c r="BB13240" s="122"/>
      <c r="BC13240" s="141"/>
    </row>
    <row r="13241">
      <c r="BB13241" s="122"/>
      <c r="BC13241" s="141"/>
    </row>
    <row r="13242">
      <c r="BB13242" s="122"/>
      <c r="BC13242" s="141"/>
    </row>
    <row r="13243">
      <c r="BB13243" s="122"/>
      <c r="BC13243" s="141"/>
    </row>
    <row r="13244">
      <c r="BB13244" s="122"/>
      <c r="BC13244" s="141"/>
    </row>
    <row r="13245">
      <c r="BB13245" s="122"/>
      <c r="BC13245" s="141"/>
    </row>
    <row r="13246">
      <c r="BB13246" s="122"/>
      <c r="BC13246" s="141"/>
    </row>
    <row r="13247">
      <c r="BB13247" s="122"/>
      <c r="BC13247" s="141"/>
    </row>
    <row r="13248">
      <c r="BB13248" s="122"/>
      <c r="BC13248" s="141"/>
    </row>
    <row r="13249">
      <c r="BB13249" s="122"/>
      <c r="BC13249" s="141"/>
    </row>
    <row r="13250">
      <c r="BB13250" s="122"/>
      <c r="BC13250" s="141"/>
    </row>
    <row r="13251">
      <c r="BB13251" s="122"/>
      <c r="BC13251" s="141"/>
    </row>
    <row r="13252">
      <c r="BB13252" s="122"/>
      <c r="BC13252" s="141"/>
    </row>
    <row r="13253">
      <c r="BB13253" s="122"/>
      <c r="BC13253" s="141"/>
    </row>
    <row r="13254">
      <c r="BB13254" s="122"/>
      <c r="BC13254" s="141"/>
    </row>
    <row r="13255">
      <c r="BB13255" s="122"/>
      <c r="BC13255" s="141"/>
    </row>
    <row r="13256">
      <c r="BB13256" s="122"/>
      <c r="BC13256" s="141"/>
    </row>
    <row r="13257">
      <c r="BB13257" s="122"/>
      <c r="BC13257" s="141"/>
    </row>
    <row r="13258">
      <c r="BB13258" s="122"/>
      <c r="BC13258" s="141"/>
    </row>
    <row r="13259">
      <c r="BB13259" s="122"/>
      <c r="BC13259" s="141"/>
    </row>
    <row r="13260">
      <c r="BB13260" s="122"/>
      <c r="BC13260" s="141"/>
    </row>
    <row r="13261">
      <c r="BB13261" s="122"/>
      <c r="BC13261" s="141"/>
    </row>
    <row r="13262">
      <c r="BB13262" s="122"/>
      <c r="BC13262" s="141"/>
    </row>
    <row r="13263">
      <c r="BB13263" s="122"/>
      <c r="BC13263" s="141"/>
    </row>
    <row r="13264">
      <c r="BB13264" s="122"/>
      <c r="BC13264" s="141"/>
    </row>
    <row r="13265">
      <c r="BB13265" s="122"/>
      <c r="BC13265" s="141"/>
    </row>
    <row r="13266">
      <c r="BB13266" s="122"/>
      <c r="BC13266" s="141"/>
    </row>
    <row r="13267">
      <c r="BB13267" s="122"/>
      <c r="BC13267" s="141"/>
    </row>
    <row r="13268">
      <c r="BB13268" s="122"/>
      <c r="BC13268" s="141"/>
    </row>
    <row r="13269">
      <c r="BB13269" s="122"/>
      <c r="BC13269" s="141"/>
    </row>
    <row r="13270">
      <c r="BB13270" s="122"/>
      <c r="BC13270" s="141"/>
    </row>
    <row r="13271">
      <c r="BB13271" s="122"/>
      <c r="BC13271" s="141"/>
    </row>
    <row r="13272">
      <c r="BB13272" s="122"/>
      <c r="BC13272" s="141"/>
    </row>
    <row r="13273">
      <c r="BB13273" s="122"/>
      <c r="BC13273" s="141"/>
    </row>
    <row r="13274">
      <c r="BB13274" s="122"/>
      <c r="BC13274" s="141"/>
    </row>
    <row r="13275">
      <c r="BB13275" s="122"/>
      <c r="BC13275" s="141"/>
    </row>
    <row r="13276">
      <c r="BB13276" s="122"/>
      <c r="BC13276" s="141"/>
    </row>
    <row r="13277">
      <c r="BB13277" s="122"/>
      <c r="BC13277" s="141"/>
    </row>
    <row r="13278">
      <c r="BB13278" s="122"/>
      <c r="BC13278" s="141"/>
    </row>
    <row r="13279">
      <c r="BB13279" s="122"/>
      <c r="BC13279" s="141"/>
    </row>
    <row r="13280">
      <c r="BB13280" s="122"/>
      <c r="BC13280" s="141"/>
    </row>
    <row r="13281">
      <c r="BB13281" s="122"/>
      <c r="BC13281" s="141"/>
    </row>
    <row r="13282">
      <c r="BB13282" s="122"/>
      <c r="BC13282" s="141"/>
    </row>
    <row r="13283">
      <c r="BB13283" s="122"/>
      <c r="BC13283" s="141"/>
    </row>
    <row r="13284">
      <c r="BB13284" s="122"/>
      <c r="BC13284" s="141"/>
    </row>
    <row r="13285">
      <c r="BB13285" s="122"/>
      <c r="BC13285" s="141"/>
    </row>
    <row r="13286">
      <c r="BB13286" s="122"/>
      <c r="BC13286" s="141"/>
    </row>
    <row r="13287">
      <c r="BB13287" s="122"/>
      <c r="BC13287" s="141"/>
    </row>
    <row r="13288">
      <c r="BB13288" s="122"/>
      <c r="BC13288" s="141"/>
    </row>
    <row r="13289">
      <c r="BB13289" s="122"/>
      <c r="BC13289" s="141"/>
    </row>
    <row r="13290">
      <c r="BB13290" s="122"/>
      <c r="BC13290" s="141"/>
    </row>
    <row r="13291">
      <c r="BB13291" s="122"/>
      <c r="BC13291" s="141"/>
    </row>
    <row r="13292">
      <c r="BB13292" s="122"/>
      <c r="BC13292" s="141"/>
    </row>
    <row r="13293">
      <c r="BB13293" s="122"/>
      <c r="BC13293" s="141"/>
    </row>
    <row r="13294">
      <c r="BB13294" s="122"/>
      <c r="BC13294" s="141"/>
    </row>
    <row r="13295">
      <c r="BB13295" s="122"/>
      <c r="BC13295" s="141"/>
    </row>
    <row r="13296">
      <c r="BB13296" s="122"/>
      <c r="BC13296" s="141"/>
    </row>
    <row r="13297">
      <c r="BB13297" s="122"/>
      <c r="BC13297" s="141"/>
    </row>
    <row r="13298">
      <c r="BB13298" s="122"/>
      <c r="BC13298" s="141"/>
    </row>
    <row r="13299">
      <c r="BB13299" s="122"/>
      <c r="BC13299" s="141"/>
    </row>
    <row r="13300">
      <c r="BB13300" s="122"/>
      <c r="BC13300" s="141"/>
    </row>
    <row r="13301">
      <c r="BB13301" s="122"/>
      <c r="BC13301" s="141"/>
    </row>
    <row r="13302">
      <c r="BB13302" s="122"/>
      <c r="BC13302" s="141"/>
    </row>
    <row r="13303">
      <c r="BB13303" s="122"/>
      <c r="BC13303" s="141"/>
    </row>
    <row r="13304">
      <c r="BB13304" s="122"/>
      <c r="BC13304" s="141"/>
    </row>
    <row r="13305">
      <c r="BB13305" s="122"/>
      <c r="BC13305" s="141"/>
    </row>
    <row r="13306">
      <c r="BB13306" s="122"/>
      <c r="BC13306" s="141"/>
    </row>
    <row r="13307">
      <c r="BB13307" s="122"/>
      <c r="BC13307" s="141"/>
    </row>
    <row r="13308">
      <c r="BB13308" s="122"/>
      <c r="BC13308" s="141"/>
    </row>
    <row r="13309">
      <c r="BB13309" s="122"/>
      <c r="BC13309" s="141"/>
    </row>
    <row r="13310">
      <c r="BB13310" s="122"/>
      <c r="BC13310" s="141"/>
    </row>
    <row r="13311">
      <c r="BB13311" s="122"/>
      <c r="BC13311" s="141"/>
    </row>
    <row r="13312">
      <c r="BB13312" s="122"/>
      <c r="BC13312" s="141"/>
    </row>
    <row r="13313">
      <c r="BB13313" s="122"/>
      <c r="BC13313" s="141"/>
    </row>
    <row r="13314">
      <c r="BB13314" s="122"/>
      <c r="BC13314" s="141"/>
    </row>
    <row r="13315">
      <c r="BB13315" s="122"/>
      <c r="BC13315" s="141"/>
    </row>
    <row r="13316">
      <c r="BB13316" s="122"/>
      <c r="BC13316" s="141"/>
    </row>
    <row r="13317">
      <c r="BB13317" s="122"/>
      <c r="BC13317" s="141"/>
    </row>
    <row r="13318">
      <c r="BB13318" s="122"/>
      <c r="BC13318" s="141"/>
    </row>
    <row r="13319">
      <c r="BB13319" s="122"/>
      <c r="BC13319" s="141"/>
    </row>
    <row r="13320">
      <c r="BB13320" s="122"/>
      <c r="BC13320" s="141"/>
    </row>
    <row r="13321">
      <c r="BB13321" s="122"/>
      <c r="BC13321" s="141"/>
    </row>
    <row r="13322">
      <c r="BB13322" s="122"/>
      <c r="BC13322" s="141"/>
    </row>
    <row r="13323">
      <c r="BB13323" s="122"/>
      <c r="BC13323" s="141"/>
    </row>
    <row r="13324">
      <c r="BB13324" s="122"/>
      <c r="BC13324" s="141"/>
    </row>
    <row r="13325">
      <c r="BB13325" s="122"/>
      <c r="BC13325" s="141"/>
    </row>
    <row r="13326">
      <c r="BB13326" s="122"/>
      <c r="BC13326" s="141"/>
    </row>
    <row r="13327">
      <c r="BB13327" s="122"/>
      <c r="BC13327" s="141"/>
    </row>
    <row r="13328">
      <c r="BB13328" s="122"/>
      <c r="BC13328" s="141"/>
    </row>
    <row r="13329">
      <c r="BB13329" s="122"/>
      <c r="BC13329" s="141"/>
    </row>
    <row r="13330">
      <c r="BB13330" s="122"/>
      <c r="BC13330" s="141"/>
    </row>
    <row r="13331">
      <c r="BB13331" s="122"/>
      <c r="BC13331" s="141"/>
    </row>
    <row r="13332">
      <c r="BB13332" s="122"/>
      <c r="BC13332" s="141"/>
    </row>
    <row r="13333">
      <c r="BB13333" s="122"/>
      <c r="BC13333" s="141"/>
    </row>
    <row r="13334">
      <c r="BB13334" s="122"/>
      <c r="BC13334" s="141"/>
    </row>
    <row r="13335">
      <c r="BB13335" s="122"/>
      <c r="BC13335" s="141"/>
    </row>
    <row r="13336">
      <c r="BB13336" s="122"/>
      <c r="BC13336" s="141"/>
    </row>
    <row r="13337">
      <c r="BB13337" s="122"/>
      <c r="BC13337" s="141"/>
    </row>
    <row r="13338">
      <c r="BB13338" s="122"/>
      <c r="BC13338" s="141"/>
    </row>
    <row r="13339">
      <c r="BB13339" s="122"/>
      <c r="BC13339" s="141"/>
    </row>
    <row r="13340">
      <c r="BB13340" s="122"/>
      <c r="BC13340" s="141"/>
    </row>
    <row r="13341">
      <c r="BB13341" s="122"/>
      <c r="BC13341" s="141"/>
    </row>
    <row r="13342">
      <c r="BB13342" s="122"/>
      <c r="BC13342" s="141"/>
    </row>
    <row r="13343">
      <c r="BB13343" s="122"/>
      <c r="BC13343" s="141"/>
    </row>
    <row r="13344">
      <c r="BB13344" s="122"/>
      <c r="BC13344" s="141"/>
    </row>
    <row r="13345">
      <c r="BB13345" s="122"/>
      <c r="BC13345" s="141"/>
    </row>
    <row r="13346">
      <c r="BB13346" s="122"/>
      <c r="BC13346" s="141"/>
    </row>
    <row r="13347">
      <c r="BB13347" s="122"/>
      <c r="BC13347" s="141"/>
    </row>
    <row r="13348">
      <c r="BB13348" s="122"/>
      <c r="BC13348" s="141"/>
    </row>
    <row r="13349">
      <c r="BB13349" s="122"/>
      <c r="BC13349" s="141"/>
    </row>
    <row r="13350">
      <c r="BB13350" s="122"/>
      <c r="BC13350" s="141"/>
    </row>
    <row r="13351">
      <c r="BB13351" s="122"/>
      <c r="BC13351" s="141"/>
    </row>
    <row r="13352">
      <c r="BB13352" s="122"/>
      <c r="BC13352" s="141"/>
    </row>
    <row r="13353">
      <c r="BB13353" s="122"/>
      <c r="BC13353" s="141"/>
    </row>
    <row r="13354">
      <c r="BB13354" s="122"/>
      <c r="BC13354" s="141"/>
    </row>
    <row r="13355">
      <c r="BB13355" s="122"/>
      <c r="BC13355" s="141"/>
    </row>
    <row r="13356">
      <c r="BB13356" s="122"/>
      <c r="BC13356" s="141"/>
    </row>
    <row r="13357">
      <c r="BB13357" s="122"/>
      <c r="BC13357" s="141"/>
    </row>
    <row r="13358">
      <c r="BB13358" s="122"/>
      <c r="BC13358" s="141"/>
    </row>
    <row r="13359">
      <c r="BB13359" s="122"/>
      <c r="BC13359" s="141"/>
    </row>
    <row r="13360">
      <c r="BB13360" s="122"/>
      <c r="BC13360" s="141"/>
    </row>
    <row r="13361">
      <c r="BB13361" s="122"/>
      <c r="BC13361" s="141"/>
    </row>
    <row r="13362">
      <c r="BB13362" s="122"/>
      <c r="BC13362" s="141"/>
    </row>
    <row r="13363">
      <c r="BB13363" s="122"/>
      <c r="BC13363" s="141"/>
    </row>
    <row r="13364">
      <c r="BB13364" s="122"/>
      <c r="BC13364" s="141"/>
    </row>
    <row r="13365">
      <c r="BB13365" s="122"/>
      <c r="BC13365" s="141"/>
    </row>
    <row r="13366">
      <c r="BB13366" s="122"/>
      <c r="BC13366" s="141"/>
    </row>
    <row r="13367">
      <c r="BB13367" s="122"/>
      <c r="BC13367" s="141"/>
    </row>
    <row r="13368">
      <c r="BB13368" s="122"/>
      <c r="BC13368" s="141"/>
    </row>
    <row r="13369">
      <c r="BB13369" s="122"/>
      <c r="BC13369" s="141"/>
    </row>
    <row r="13370">
      <c r="BB13370" s="122"/>
      <c r="BC13370" s="141"/>
    </row>
    <row r="13371">
      <c r="BB13371" s="122"/>
      <c r="BC13371" s="141"/>
    </row>
    <row r="13372">
      <c r="BB13372" s="122"/>
      <c r="BC13372" s="141"/>
    </row>
    <row r="13373">
      <c r="BB13373" s="122"/>
      <c r="BC13373" s="141"/>
    </row>
    <row r="13374">
      <c r="BB13374" s="122"/>
      <c r="BC13374" s="141"/>
    </row>
    <row r="13375">
      <c r="BB13375" s="122"/>
      <c r="BC13375" s="141"/>
    </row>
    <row r="13376">
      <c r="BB13376" s="122"/>
      <c r="BC13376" s="141"/>
    </row>
    <row r="13377">
      <c r="BB13377" s="122"/>
      <c r="BC13377" s="141"/>
    </row>
    <row r="13378">
      <c r="BB13378" s="122"/>
      <c r="BC13378" s="141"/>
    </row>
    <row r="13379">
      <c r="BB13379" s="122"/>
      <c r="BC13379" s="141"/>
    </row>
    <row r="13380">
      <c r="BB13380" s="122"/>
      <c r="BC13380" s="141"/>
    </row>
    <row r="13381">
      <c r="BB13381" s="122"/>
      <c r="BC13381" s="141"/>
    </row>
    <row r="13382">
      <c r="BB13382" s="122"/>
      <c r="BC13382" s="141"/>
    </row>
    <row r="13383">
      <c r="BB13383" s="122"/>
      <c r="BC13383" s="141"/>
    </row>
    <row r="13384">
      <c r="BB13384" s="122"/>
      <c r="BC13384" s="141"/>
    </row>
    <row r="13385">
      <c r="BB13385" s="122"/>
      <c r="BC13385" s="141"/>
    </row>
    <row r="13386">
      <c r="BB13386" s="122"/>
      <c r="BC13386" s="141"/>
    </row>
    <row r="13387">
      <c r="BB13387" s="122"/>
      <c r="BC13387" s="141"/>
    </row>
    <row r="13388">
      <c r="BB13388" s="122"/>
      <c r="BC13388" s="141"/>
    </row>
    <row r="13389">
      <c r="BB13389" s="122"/>
      <c r="BC13389" s="141"/>
    </row>
    <row r="13390">
      <c r="BB13390" s="122"/>
      <c r="BC13390" s="141"/>
    </row>
    <row r="13391">
      <c r="BB13391" s="122"/>
      <c r="BC13391" s="141"/>
    </row>
    <row r="13392">
      <c r="BB13392" s="122"/>
      <c r="BC13392" s="141"/>
    </row>
    <row r="13393">
      <c r="BB13393" s="122"/>
      <c r="BC13393" s="141"/>
    </row>
    <row r="13394">
      <c r="BB13394" s="122"/>
      <c r="BC13394" s="141"/>
    </row>
    <row r="13395">
      <c r="BB13395" s="122"/>
      <c r="BC13395" s="141"/>
    </row>
    <row r="13396">
      <c r="BB13396" s="122"/>
      <c r="BC13396" s="141"/>
    </row>
    <row r="13397">
      <c r="BB13397" s="122"/>
      <c r="BC13397" s="141"/>
    </row>
    <row r="13398">
      <c r="BB13398" s="122"/>
      <c r="BC13398" s="141"/>
    </row>
    <row r="13399">
      <c r="BB13399" s="122"/>
      <c r="BC13399" s="141"/>
    </row>
    <row r="13400">
      <c r="BB13400" s="122"/>
      <c r="BC13400" s="141"/>
    </row>
    <row r="13401">
      <c r="BB13401" s="122"/>
      <c r="BC13401" s="141"/>
    </row>
    <row r="13402">
      <c r="BB13402" s="122"/>
      <c r="BC13402" s="141"/>
    </row>
    <row r="13403">
      <c r="BB13403" s="122"/>
      <c r="BC13403" s="141"/>
    </row>
    <row r="13404">
      <c r="BB13404" s="122"/>
      <c r="BC13404" s="141"/>
    </row>
    <row r="13405">
      <c r="BB13405" s="122"/>
      <c r="BC13405" s="141"/>
    </row>
    <row r="13406">
      <c r="BB13406" s="122"/>
      <c r="BC13406" s="141"/>
    </row>
    <row r="13407">
      <c r="BB13407" s="122"/>
      <c r="BC13407" s="141"/>
    </row>
    <row r="13408">
      <c r="BB13408" s="122"/>
      <c r="BC13408" s="141"/>
    </row>
    <row r="13409">
      <c r="BB13409" s="122"/>
      <c r="BC13409" s="141"/>
    </row>
    <row r="13410">
      <c r="BB13410" s="122"/>
      <c r="BC13410" s="141"/>
    </row>
    <row r="13411">
      <c r="BB13411" s="122"/>
      <c r="BC13411" s="141"/>
    </row>
    <row r="13412">
      <c r="BB13412" s="122"/>
      <c r="BC13412" s="141"/>
    </row>
    <row r="13413">
      <c r="BB13413" s="122"/>
      <c r="BC13413" s="141"/>
    </row>
    <row r="13414">
      <c r="BB13414" s="122"/>
      <c r="BC13414" s="141"/>
    </row>
    <row r="13415">
      <c r="BB13415" s="122"/>
      <c r="BC13415" s="141"/>
    </row>
    <row r="13416">
      <c r="BB13416" s="122"/>
      <c r="BC13416" s="141"/>
    </row>
    <row r="13417">
      <c r="BB13417" s="122"/>
      <c r="BC13417" s="141"/>
    </row>
    <row r="13418">
      <c r="BB13418" s="122"/>
      <c r="BC13418" s="141"/>
    </row>
    <row r="13419">
      <c r="BB13419" s="122"/>
      <c r="BC13419" s="141"/>
    </row>
    <row r="13420">
      <c r="BB13420" s="122"/>
      <c r="BC13420" s="141"/>
    </row>
    <row r="13421">
      <c r="BB13421" s="122"/>
      <c r="BC13421" s="141"/>
    </row>
    <row r="13422">
      <c r="BB13422" s="122"/>
      <c r="BC13422" s="141"/>
    </row>
    <row r="13423">
      <c r="BB13423" s="122"/>
      <c r="BC13423" s="141"/>
    </row>
    <row r="13424">
      <c r="BB13424" s="122"/>
      <c r="BC13424" s="141"/>
    </row>
    <row r="13425">
      <c r="BB13425" s="122"/>
      <c r="BC13425" s="141"/>
    </row>
    <row r="13426">
      <c r="BB13426" s="122"/>
      <c r="BC13426" s="141"/>
    </row>
    <row r="13427">
      <c r="BB13427" s="122"/>
      <c r="BC13427" s="141"/>
    </row>
    <row r="13428">
      <c r="BB13428" s="122"/>
      <c r="BC13428" s="141"/>
    </row>
    <row r="13429">
      <c r="BB13429" s="122"/>
      <c r="BC13429" s="141"/>
    </row>
    <row r="13430">
      <c r="BB13430" s="122"/>
      <c r="BC13430" s="141"/>
    </row>
    <row r="13431">
      <c r="BB13431" s="122"/>
      <c r="BC13431" s="141"/>
    </row>
    <row r="13432">
      <c r="BB13432" s="122"/>
      <c r="BC13432" s="141"/>
    </row>
    <row r="13433">
      <c r="BB13433" s="122"/>
      <c r="BC13433" s="141"/>
    </row>
    <row r="13434">
      <c r="BB13434" s="122"/>
      <c r="BC13434" s="141"/>
    </row>
    <row r="13435">
      <c r="BB13435" s="122"/>
      <c r="BC13435" s="141"/>
    </row>
    <row r="13436">
      <c r="BB13436" s="122"/>
      <c r="BC13436" s="141"/>
    </row>
    <row r="13437">
      <c r="BB13437" s="122"/>
      <c r="BC13437" s="141"/>
    </row>
    <row r="13438">
      <c r="BB13438" s="122"/>
      <c r="BC13438" s="141"/>
    </row>
    <row r="13439">
      <c r="BB13439" s="122"/>
      <c r="BC13439" s="141"/>
    </row>
    <row r="13440">
      <c r="BB13440" s="122"/>
      <c r="BC13440" s="141"/>
    </row>
    <row r="13441">
      <c r="BB13441" s="122"/>
      <c r="BC13441" s="141"/>
    </row>
    <row r="13442">
      <c r="BB13442" s="122"/>
      <c r="BC13442" s="141"/>
    </row>
    <row r="13443">
      <c r="BB13443" s="122"/>
      <c r="BC13443" s="141"/>
    </row>
    <row r="13444">
      <c r="BB13444" s="122"/>
      <c r="BC13444" s="141"/>
    </row>
    <row r="13445">
      <c r="BB13445" s="122"/>
      <c r="BC13445" s="141"/>
    </row>
    <row r="13446">
      <c r="BB13446" s="122"/>
      <c r="BC13446" s="141"/>
    </row>
    <row r="13447">
      <c r="BB13447" s="122"/>
      <c r="BC13447" s="141"/>
    </row>
    <row r="13448">
      <c r="BB13448" s="122"/>
      <c r="BC13448" s="141"/>
    </row>
    <row r="13449">
      <c r="BB13449" s="122"/>
      <c r="BC13449" s="141"/>
    </row>
    <row r="13450">
      <c r="BB13450" s="122"/>
      <c r="BC13450" s="141"/>
    </row>
    <row r="13451">
      <c r="BB13451" s="122"/>
      <c r="BC13451" s="141"/>
    </row>
    <row r="13452">
      <c r="BB13452" s="122"/>
      <c r="BC13452" s="141"/>
    </row>
    <row r="13453">
      <c r="BB13453" s="122"/>
      <c r="BC13453" s="141"/>
    </row>
    <row r="13454">
      <c r="BB13454" s="122"/>
      <c r="BC13454" s="141"/>
    </row>
    <row r="13455">
      <c r="BB13455" s="122"/>
      <c r="BC13455" s="141"/>
    </row>
    <row r="13456">
      <c r="BB13456" s="122"/>
      <c r="BC13456" s="141"/>
    </row>
    <row r="13457">
      <c r="BB13457" s="122"/>
      <c r="BC13457" s="141"/>
    </row>
    <row r="13458">
      <c r="BB13458" s="122"/>
      <c r="BC13458" s="141"/>
    </row>
    <row r="13459">
      <c r="BB13459" s="122"/>
      <c r="BC13459" s="141"/>
    </row>
    <row r="13460">
      <c r="BB13460" s="122"/>
      <c r="BC13460" s="141"/>
    </row>
    <row r="13461">
      <c r="BB13461" s="122"/>
      <c r="BC13461" s="141"/>
    </row>
    <row r="13462">
      <c r="BB13462" s="122"/>
      <c r="BC13462" s="141"/>
    </row>
    <row r="13463">
      <c r="BB13463" s="122"/>
      <c r="BC13463" s="141"/>
    </row>
    <row r="13464">
      <c r="BB13464" s="122"/>
      <c r="BC13464" s="141"/>
    </row>
    <row r="13465">
      <c r="BB13465" s="122"/>
      <c r="BC13465" s="141"/>
    </row>
    <row r="13466">
      <c r="BB13466" s="122"/>
      <c r="BC13466" s="141"/>
    </row>
    <row r="13467">
      <c r="BB13467" s="122"/>
      <c r="BC13467" s="141"/>
    </row>
    <row r="13468">
      <c r="BB13468" s="122"/>
      <c r="BC13468" s="141"/>
    </row>
    <row r="13469">
      <c r="BB13469" s="122"/>
      <c r="BC13469" s="141"/>
    </row>
    <row r="13470">
      <c r="BB13470" s="122"/>
      <c r="BC13470" s="141"/>
    </row>
    <row r="13471">
      <c r="BB13471" s="122"/>
      <c r="BC13471" s="141"/>
    </row>
    <row r="13472">
      <c r="BB13472" s="122"/>
      <c r="BC13472" s="141"/>
    </row>
    <row r="13473">
      <c r="BB13473" s="122"/>
      <c r="BC13473" s="141"/>
    </row>
    <row r="13474">
      <c r="BB13474" s="122"/>
      <c r="BC13474" s="141"/>
    </row>
    <row r="13475">
      <c r="BB13475" s="122"/>
      <c r="BC13475" s="141"/>
    </row>
    <row r="13476">
      <c r="BB13476" s="122"/>
      <c r="BC13476" s="141"/>
    </row>
    <row r="13477">
      <c r="BB13477" s="122"/>
      <c r="BC13477" s="141"/>
    </row>
    <row r="13478">
      <c r="BB13478" s="122"/>
      <c r="BC13478" s="141"/>
    </row>
    <row r="13479">
      <c r="BB13479" s="122"/>
      <c r="BC13479" s="141"/>
    </row>
    <row r="13480">
      <c r="BB13480" s="122"/>
      <c r="BC13480" s="141"/>
    </row>
    <row r="13481">
      <c r="BB13481" s="122"/>
      <c r="BC13481" s="141"/>
    </row>
    <row r="13482">
      <c r="BB13482" s="122"/>
      <c r="BC13482" s="141"/>
    </row>
    <row r="13483">
      <c r="BB13483" s="122"/>
      <c r="BC13483" s="141"/>
    </row>
    <row r="13484">
      <c r="BB13484" s="122"/>
      <c r="BC13484" s="141"/>
    </row>
    <row r="13485">
      <c r="BB13485" s="122"/>
      <c r="BC13485" s="141"/>
    </row>
    <row r="13486">
      <c r="BB13486" s="122"/>
      <c r="BC13486" s="141"/>
    </row>
    <row r="13487">
      <c r="BB13487" s="122"/>
      <c r="BC13487" s="141"/>
    </row>
    <row r="13488">
      <c r="BB13488" s="122"/>
      <c r="BC13488" s="141"/>
    </row>
    <row r="13489">
      <c r="BB13489" s="122"/>
      <c r="BC13489" s="141"/>
    </row>
    <row r="13490">
      <c r="BB13490" s="122"/>
      <c r="BC13490" s="141"/>
    </row>
    <row r="13491">
      <c r="BB13491" s="122"/>
      <c r="BC13491" s="141"/>
    </row>
    <row r="13492">
      <c r="BB13492" s="122"/>
      <c r="BC13492" s="141"/>
    </row>
    <row r="13493">
      <c r="BB13493" s="122"/>
      <c r="BC13493" s="141"/>
    </row>
    <row r="13494">
      <c r="BB13494" s="122"/>
      <c r="BC13494" s="141"/>
    </row>
    <row r="13495">
      <c r="BB13495" s="122"/>
      <c r="BC13495" s="141"/>
    </row>
    <row r="13496">
      <c r="BB13496" s="122"/>
      <c r="BC13496" s="141"/>
    </row>
    <row r="13497">
      <c r="BB13497" s="122"/>
      <c r="BC13497" s="141"/>
    </row>
    <row r="13498">
      <c r="BB13498" s="122"/>
      <c r="BC13498" s="141"/>
    </row>
    <row r="13499">
      <c r="BB13499" s="122"/>
      <c r="BC13499" s="141"/>
    </row>
    <row r="13500">
      <c r="BB13500" s="122"/>
      <c r="BC13500" s="141"/>
    </row>
    <row r="13501">
      <c r="BB13501" s="122"/>
      <c r="BC13501" s="141"/>
    </row>
    <row r="13502">
      <c r="BB13502" s="122"/>
      <c r="BC13502" s="141"/>
    </row>
    <row r="13503">
      <c r="BB13503" s="122"/>
      <c r="BC13503" s="141"/>
    </row>
    <row r="13504">
      <c r="BB13504" s="122"/>
      <c r="BC13504" s="141"/>
    </row>
    <row r="13505">
      <c r="BB13505" s="122"/>
      <c r="BC13505" s="141"/>
    </row>
    <row r="13506">
      <c r="BB13506" s="122"/>
      <c r="BC13506" s="141"/>
    </row>
    <row r="13507">
      <c r="BB13507" s="122"/>
      <c r="BC13507" s="141"/>
    </row>
    <row r="13508">
      <c r="BB13508" s="122"/>
      <c r="BC13508" s="141"/>
    </row>
    <row r="13509">
      <c r="BB13509" s="122"/>
      <c r="BC13509" s="141"/>
    </row>
    <row r="13510">
      <c r="BB13510" s="122"/>
      <c r="BC13510" s="141"/>
    </row>
    <row r="13511">
      <c r="BB13511" s="122"/>
      <c r="BC13511" s="141"/>
    </row>
    <row r="13512">
      <c r="BB13512" s="122"/>
      <c r="BC13512" s="141"/>
    </row>
    <row r="13513">
      <c r="BB13513" s="122"/>
      <c r="BC13513" s="141"/>
    </row>
    <row r="13514">
      <c r="BB13514" s="122"/>
      <c r="BC13514" s="141"/>
    </row>
    <row r="13515">
      <c r="BB13515" s="122"/>
      <c r="BC13515" s="141"/>
    </row>
    <row r="13516">
      <c r="BB13516" s="122"/>
      <c r="BC13516" s="141"/>
    </row>
    <row r="13517">
      <c r="BB13517" s="122"/>
      <c r="BC13517" s="141"/>
    </row>
    <row r="13518">
      <c r="BB13518" s="122"/>
      <c r="BC13518" s="141"/>
    </row>
    <row r="13519">
      <c r="BB13519" s="122"/>
      <c r="BC13519" s="141"/>
    </row>
    <row r="13520">
      <c r="BB13520" s="122"/>
      <c r="BC13520" s="141"/>
    </row>
    <row r="13521">
      <c r="BB13521" s="122"/>
      <c r="BC13521" s="141"/>
    </row>
    <row r="13522">
      <c r="BB13522" s="122"/>
      <c r="BC13522" s="141"/>
    </row>
    <row r="13523">
      <c r="BB13523" s="122"/>
      <c r="BC13523" s="141"/>
    </row>
    <row r="13524">
      <c r="BB13524" s="122"/>
      <c r="BC13524" s="141"/>
    </row>
    <row r="13525">
      <c r="BB13525" s="122"/>
      <c r="BC13525" s="141"/>
    </row>
    <row r="13526">
      <c r="BB13526" s="122"/>
      <c r="BC13526" s="141"/>
    </row>
    <row r="13527">
      <c r="BB13527" s="122"/>
      <c r="BC13527" s="141"/>
    </row>
    <row r="13528">
      <c r="BB13528" s="122"/>
      <c r="BC13528" s="141"/>
    </row>
    <row r="13529">
      <c r="BB13529" s="122"/>
      <c r="BC13529" s="141"/>
    </row>
    <row r="13530">
      <c r="BB13530" s="122"/>
      <c r="BC13530" s="141"/>
    </row>
    <row r="13531">
      <c r="BB13531" s="122"/>
      <c r="BC13531" s="141"/>
    </row>
    <row r="13532">
      <c r="BB13532" s="122"/>
      <c r="BC13532" s="141"/>
    </row>
    <row r="13533">
      <c r="BB13533" s="122"/>
      <c r="BC13533" s="141"/>
    </row>
    <row r="13534">
      <c r="BB13534" s="122"/>
      <c r="BC13534" s="141"/>
    </row>
    <row r="13535">
      <c r="BB13535" s="122"/>
      <c r="BC13535" s="141"/>
    </row>
    <row r="13536">
      <c r="BB13536" s="122"/>
      <c r="BC13536" s="141"/>
    </row>
    <row r="13537">
      <c r="BB13537" s="122"/>
      <c r="BC13537" s="141"/>
    </row>
    <row r="13538">
      <c r="BB13538" s="122"/>
      <c r="BC13538" s="141"/>
    </row>
    <row r="13539">
      <c r="BB13539" s="122"/>
      <c r="BC13539" s="141"/>
    </row>
    <row r="13540">
      <c r="BB13540" s="122"/>
      <c r="BC13540" s="141"/>
    </row>
    <row r="13541">
      <c r="BB13541" s="122"/>
      <c r="BC13541" s="141"/>
    </row>
    <row r="13542">
      <c r="BB13542" s="122"/>
      <c r="BC13542" s="141"/>
    </row>
    <row r="13543">
      <c r="BB13543" s="122"/>
      <c r="BC13543" s="141"/>
    </row>
    <row r="13544">
      <c r="BB13544" s="122"/>
      <c r="BC13544" s="141"/>
    </row>
    <row r="13545">
      <c r="BB13545" s="122"/>
      <c r="BC13545" s="141"/>
    </row>
    <row r="13546">
      <c r="BB13546" s="122"/>
      <c r="BC13546" s="141"/>
    </row>
    <row r="13547">
      <c r="BB13547" s="122"/>
      <c r="BC13547" s="141"/>
    </row>
    <row r="13548">
      <c r="BB13548" s="122"/>
      <c r="BC13548" s="141"/>
    </row>
    <row r="13549">
      <c r="BB13549" s="122"/>
      <c r="BC13549" s="141"/>
    </row>
    <row r="13550">
      <c r="BB13550" s="122"/>
      <c r="BC13550" s="141"/>
    </row>
    <row r="13551">
      <c r="BB13551" s="122"/>
      <c r="BC13551" s="141"/>
    </row>
    <row r="13552">
      <c r="BB13552" s="122"/>
      <c r="BC13552" s="141"/>
    </row>
    <row r="13553">
      <c r="BB13553" s="122"/>
      <c r="BC13553" s="141"/>
    </row>
    <row r="13554">
      <c r="BB13554" s="122"/>
      <c r="BC13554" s="141"/>
    </row>
    <row r="13555">
      <c r="BB13555" s="122"/>
      <c r="BC13555" s="141"/>
    </row>
    <row r="13556">
      <c r="BB13556" s="122"/>
      <c r="BC13556" s="141"/>
    </row>
    <row r="13557">
      <c r="BB13557" s="122"/>
      <c r="BC13557" s="141"/>
    </row>
    <row r="13558">
      <c r="BB13558" s="122"/>
      <c r="BC13558" s="141"/>
    </row>
    <row r="13559">
      <c r="BB13559" s="122"/>
      <c r="BC13559" s="141"/>
    </row>
    <row r="13560">
      <c r="BB13560" s="122"/>
      <c r="BC13560" s="141"/>
    </row>
    <row r="13561">
      <c r="BB13561" s="122"/>
      <c r="BC13561" s="141"/>
    </row>
    <row r="13562">
      <c r="BB13562" s="122"/>
      <c r="BC13562" s="141"/>
    </row>
    <row r="13563">
      <c r="BB13563" s="122"/>
      <c r="BC13563" s="141"/>
    </row>
    <row r="13564">
      <c r="BB13564" s="122"/>
      <c r="BC13564" s="141"/>
    </row>
    <row r="13565">
      <c r="BB13565" s="122"/>
      <c r="BC13565" s="141"/>
    </row>
    <row r="13566">
      <c r="BB13566" s="122"/>
      <c r="BC13566" s="141"/>
    </row>
    <row r="13567">
      <c r="BB13567" s="122"/>
      <c r="BC13567" s="141"/>
    </row>
    <row r="13568">
      <c r="BB13568" s="122"/>
      <c r="BC13568" s="141"/>
    </row>
    <row r="13569">
      <c r="BB13569" s="122"/>
      <c r="BC13569" s="141"/>
    </row>
    <row r="13570">
      <c r="BB13570" s="122"/>
      <c r="BC13570" s="141"/>
    </row>
    <row r="13571">
      <c r="BB13571" s="122"/>
      <c r="BC13571" s="141"/>
    </row>
    <row r="13572">
      <c r="BB13572" s="122"/>
      <c r="BC13572" s="141"/>
    </row>
    <row r="13573">
      <c r="BB13573" s="122"/>
      <c r="BC13573" s="141"/>
    </row>
    <row r="13574">
      <c r="BB13574" s="122"/>
      <c r="BC13574" s="141"/>
    </row>
    <row r="13575">
      <c r="BB13575" s="122"/>
      <c r="BC13575" s="141"/>
    </row>
    <row r="13576">
      <c r="BB13576" s="122"/>
      <c r="BC13576" s="141"/>
    </row>
    <row r="13577">
      <c r="BB13577" s="122"/>
      <c r="BC13577" s="141"/>
    </row>
    <row r="13578">
      <c r="BB13578" s="122"/>
      <c r="BC13578" s="141"/>
    </row>
    <row r="13579">
      <c r="BB13579" s="122"/>
      <c r="BC13579" s="141"/>
    </row>
    <row r="13580">
      <c r="BB13580" s="122"/>
      <c r="BC13580" s="141"/>
    </row>
    <row r="13581">
      <c r="BB13581" s="122"/>
      <c r="BC13581" s="141"/>
    </row>
    <row r="13582">
      <c r="BB13582" s="122"/>
      <c r="BC13582" s="141"/>
    </row>
    <row r="13583">
      <c r="BB13583" s="122"/>
      <c r="BC13583" s="141"/>
    </row>
    <row r="13584">
      <c r="BB13584" s="122"/>
      <c r="BC13584" s="141"/>
    </row>
    <row r="13585">
      <c r="BB13585" s="122"/>
      <c r="BC13585" s="141"/>
    </row>
    <row r="13586">
      <c r="BB13586" s="122"/>
      <c r="BC13586" s="141"/>
    </row>
    <row r="13587">
      <c r="BB13587" s="122"/>
      <c r="BC13587" s="141"/>
    </row>
    <row r="13588">
      <c r="BB13588" s="122"/>
      <c r="BC13588" s="141"/>
    </row>
    <row r="13589">
      <c r="BB13589" s="122"/>
      <c r="BC13589" s="141"/>
    </row>
    <row r="13590">
      <c r="BB13590" s="122"/>
      <c r="BC13590" s="141"/>
    </row>
    <row r="13591">
      <c r="BB13591" s="122"/>
      <c r="BC13591" s="141"/>
    </row>
    <row r="13592">
      <c r="BB13592" s="122"/>
      <c r="BC13592" s="141"/>
    </row>
    <row r="13593">
      <c r="BB13593" s="122"/>
      <c r="BC13593" s="141"/>
    </row>
    <row r="13594">
      <c r="BB13594" s="122"/>
      <c r="BC13594" s="141"/>
    </row>
    <row r="13595">
      <c r="BB13595" s="122"/>
      <c r="BC13595" s="141"/>
    </row>
    <row r="13596">
      <c r="BB13596" s="122"/>
      <c r="BC13596" s="141"/>
    </row>
    <row r="13597">
      <c r="BB13597" s="122"/>
      <c r="BC13597" s="141"/>
    </row>
    <row r="13598">
      <c r="BB13598" s="122"/>
      <c r="BC13598" s="141"/>
    </row>
    <row r="13599">
      <c r="BB13599" s="122"/>
      <c r="BC13599" s="141"/>
    </row>
    <row r="13600">
      <c r="BB13600" s="122"/>
      <c r="BC13600" s="141"/>
    </row>
    <row r="13601">
      <c r="BB13601" s="122"/>
      <c r="BC13601" s="141"/>
    </row>
    <row r="13602">
      <c r="BB13602" s="122"/>
      <c r="BC13602" s="141"/>
    </row>
    <row r="13603">
      <c r="BB13603" s="122"/>
      <c r="BC13603" s="141"/>
    </row>
    <row r="13604">
      <c r="BB13604" s="122"/>
      <c r="BC13604" s="141"/>
    </row>
    <row r="13605">
      <c r="BB13605" s="122"/>
      <c r="BC13605" s="141"/>
    </row>
    <row r="13606">
      <c r="BB13606" s="122"/>
      <c r="BC13606" s="141"/>
    </row>
    <row r="13607">
      <c r="BB13607" s="122"/>
      <c r="BC13607" s="141"/>
    </row>
    <row r="13608">
      <c r="BB13608" s="122"/>
      <c r="BC13608" s="141"/>
    </row>
    <row r="13609">
      <c r="BB13609" s="122"/>
      <c r="BC13609" s="141"/>
    </row>
    <row r="13610">
      <c r="BB13610" s="122"/>
      <c r="BC13610" s="141"/>
    </row>
    <row r="13611">
      <c r="BB13611" s="122"/>
      <c r="BC13611" s="141"/>
    </row>
    <row r="13612">
      <c r="BB13612" s="122"/>
      <c r="BC13612" s="141"/>
    </row>
    <row r="13613">
      <c r="BB13613" s="122"/>
      <c r="BC13613" s="141"/>
    </row>
    <row r="13614">
      <c r="BB13614" s="122"/>
      <c r="BC13614" s="141"/>
    </row>
    <row r="13615">
      <c r="BB13615" s="122"/>
      <c r="BC13615" s="141"/>
    </row>
    <row r="13616">
      <c r="BB13616" s="122"/>
      <c r="BC13616" s="141"/>
    </row>
    <row r="13617">
      <c r="BB13617" s="122"/>
      <c r="BC13617" s="141"/>
    </row>
    <row r="13618">
      <c r="BB13618" s="122"/>
      <c r="BC13618" s="141"/>
    </row>
    <row r="13619">
      <c r="BB13619" s="122"/>
      <c r="BC13619" s="141"/>
    </row>
    <row r="13620">
      <c r="BB13620" s="122"/>
      <c r="BC13620" s="141"/>
    </row>
    <row r="13621">
      <c r="BB13621" s="122"/>
      <c r="BC13621" s="141"/>
    </row>
    <row r="13622">
      <c r="BB13622" s="122"/>
      <c r="BC13622" s="141"/>
    </row>
    <row r="13623">
      <c r="BB13623" s="122"/>
      <c r="BC13623" s="141"/>
    </row>
    <row r="13624">
      <c r="BB13624" s="122"/>
      <c r="BC13624" s="141"/>
    </row>
    <row r="13625">
      <c r="BB13625" s="122"/>
      <c r="BC13625" s="141"/>
    </row>
    <row r="13626">
      <c r="BB13626" s="122"/>
      <c r="BC13626" s="141"/>
    </row>
    <row r="13627">
      <c r="BB13627" s="122"/>
      <c r="BC13627" s="141"/>
    </row>
    <row r="13628">
      <c r="BB13628" s="122"/>
      <c r="BC13628" s="141"/>
    </row>
    <row r="13629">
      <c r="BB13629" s="122"/>
      <c r="BC13629" s="141"/>
    </row>
    <row r="13630">
      <c r="BB13630" s="122"/>
      <c r="BC13630" s="141"/>
    </row>
    <row r="13631">
      <c r="BB13631" s="122"/>
      <c r="BC13631" s="141"/>
    </row>
    <row r="13632">
      <c r="BB13632" s="122"/>
      <c r="BC13632" s="141"/>
    </row>
    <row r="13633">
      <c r="BB13633" s="122"/>
      <c r="BC13633" s="141"/>
    </row>
    <row r="13634">
      <c r="BB13634" s="122"/>
      <c r="BC13634" s="141"/>
    </row>
    <row r="13635">
      <c r="BB13635" s="122"/>
      <c r="BC13635" s="141"/>
    </row>
    <row r="13636">
      <c r="BB13636" s="122"/>
      <c r="BC13636" s="141"/>
    </row>
    <row r="13637">
      <c r="BB13637" s="122"/>
      <c r="BC13637" s="141"/>
    </row>
    <row r="13638">
      <c r="BB13638" s="122"/>
      <c r="BC13638" s="141"/>
    </row>
    <row r="13639">
      <c r="BB13639" s="122"/>
      <c r="BC13639" s="141"/>
    </row>
    <row r="13640">
      <c r="BB13640" s="122"/>
      <c r="BC13640" s="141"/>
    </row>
    <row r="13641">
      <c r="BB13641" s="122"/>
      <c r="BC13641" s="141"/>
    </row>
    <row r="13642">
      <c r="BB13642" s="122"/>
      <c r="BC13642" s="141"/>
    </row>
    <row r="13643">
      <c r="BB13643" s="122"/>
      <c r="BC13643" s="141"/>
    </row>
    <row r="13644">
      <c r="BB13644" s="122"/>
      <c r="BC13644" s="141"/>
    </row>
    <row r="13645">
      <c r="BB13645" s="122"/>
      <c r="BC13645" s="141"/>
    </row>
    <row r="13646">
      <c r="BB13646" s="122"/>
      <c r="BC13646" s="141"/>
    </row>
    <row r="13647">
      <c r="BB13647" s="122"/>
      <c r="BC13647" s="141"/>
    </row>
    <row r="13648">
      <c r="BB13648" s="122"/>
      <c r="BC13648" s="141"/>
    </row>
    <row r="13649">
      <c r="BB13649" s="122"/>
      <c r="BC13649" s="141"/>
    </row>
    <row r="13650">
      <c r="BB13650" s="122"/>
      <c r="BC13650" s="141"/>
    </row>
    <row r="13651">
      <c r="BB13651" s="122"/>
      <c r="BC13651" s="141"/>
    </row>
    <row r="13652">
      <c r="BB13652" s="122"/>
      <c r="BC13652" s="141"/>
    </row>
    <row r="13653">
      <c r="BB13653" s="122"/>
      <c r="BC13653" s="141"/>
    </row>
    <row r="13654">
      <c r="BB13654" s="122"/>
      <c r="BC13654" s="141"/>
    </row>
    <row r="13655">
      <c r="BB13655" s="122"/>
      <c r="BC13655" s="141"/>
    </row>
    <row r="13656">
      <c r="BB13656" s="122"/>
      <c r="BC13656" s="141"/>
    </row>
    <row r="13657">
      <c r="BB13657" s="122"/>
      <c r="BC13657" s="141"/>
    </row>
    <row r="13658">
      <c r="BB13658" s="122"/>
      <c r="BC13658" s="141"/>
    </row>
    <row r="13659">
      <c r="BB13659" s="122"/>
      <c r="BC13659" s="141"/>
    </row>
    <row r="13660">
      <c r="BB13660" s="122"/>
      <c r="BC13660" s="141"/>
    </row>
    <row r="13661">
      <c r="BB13661" s="122"/>
      <c r="BC13661" s="141"/>
    </row>
    <row r="13662">
      <c r="BB13662" s="122"/>
      <c r="BC13662" s="141"/>
    </row>
    <row r="13663">
      <c r="BB13663" s="122"/>
      <c r="BC13663" s="141"/>
    </row>
    <row r="13664">
      <c r="BB13664" s="122"/>
      <c r="BC13664" s="141"/>
    </row>
    <row r="13665">
      <c r="BB13665" s="122"/>
      <c r="BC13665" s="141"/>
    </row>
    <row r="13666">
      <c r="BB13666" s="122"/>
      <c r="BC13666" s="141"/>
    </row>
    <row r="13667">
      <c r="BB13667" s="122"/>
      <c r="BC13667" s="141"/>
    </row>
    <row r="13668">
      <c r="BB13668" s="122"/>
      <c r="BC13668" s="141"/>
    </row>
    <row r="13669">
      <c r="BB13669" s="122"/>
      <c r="BC13669" s="141"/>
    </row>
    <row r="13670">
      <c r="BB13670" s="122"/>
      <c r="BC13670" s="141"/>
    </row>
    <row r="13671">
      <c r="BB13671" s="122"/>
      <c r="BC13671" s="141"/>
    </row>
    <row r="13672">
      <c r="BB13672" s="122"/>
      <c r="BC13672" s="141"/>
    </row>
    <row r="13673">
      <c r="BB13673" s="122"/>
      <c r="BC13673" s="141"/>
    </row>
    <row r="13674">
      <c r="BB13674" s="122"/>
      <c r="BC13674" s="141"/>
    </row>
    <row r="13675">
      <c r="BB13675" s="122"/>
      <c r="BC13675" s="141"/>
    </row>
    <row r="13676">
      <c r="BB13676" s="122"/>
      <c r="BC13676" s="141"/>
    </row>
    <row r="13677">
      <c r="BB13677" s="122"/>
      <c r="BC13677" s="141"/>
    </row>
    <row r="13678">
      <c r="BB13678" s="122"/>
      <c r="BC13678" s="141"/>
    </row>
    <row r="13679">
      <c r="BB13679" s="122"/>
      <c r="BC13679" s="141"/>
    </row>
    <row r="13680">
      <c r="BB13680" s="122"/>
      <c r="BC13680" s="141"/>
    </row>
    <row r="13681">
      <c r="BB13681" s="122"/>
      <c r="BC13681" s="141"/>
    </row>
    <row r="13682">
      <c r="BB13682" s="122"/>
      <c r="BC13682" s="141"/>
    </row>
    <row r="13683">
      <c r="BB13683" s="122"/>
      <c r="BC13683" s="141"/>
    </row>
    <row r="13684">
      <c r="BB13684" s="122"/>
      <c r="BC13684" s="141"/>
    </row>
    <row r="13685">
      <c r="BB13685" s="122"/>
      <c r="BC13685" s="141"/>
    </row>
    <row r="13686">
      <c r="BB13686" s="122"/>
      <c r="BC13686" s="141"/>
    </row>
    <row r="13687">
      <c r="BB13687" s="122"/>
      <c r="BC13687" s="141"/>
    </row>
    <row r="13688">
      <c r="BB13688" s="122"/>
      <c r="BC13688" s="141"/>
    </row>
    <row r="13689">
      <c r="BB13689" s="122"/>
      <c r="BC13689" s="141"/>
    </row>
    <row r="13690">
      <c r="BB13690" s="122"/>
      <c r="BC13690" s="141"/>
    </row>
    <row r="13691">
      <c r="BB13691" s="122"/>
      <c r="BC13691" s="141"/>
    </row>
    <row r="13692">
      <c r="BB13692" s="122"/>
      <c r="BC13692" s="141"/>
    </row>
    <row r="13693">
      <c r="BB13693" s="122"/>
      <c r="BC13693" s="141"/>
    </row>
    <row r="13694">
      <c r="BB13694" s="122"/>
      <c r="BC13694" s="141"/>
    </row>
    <row r="13695">
      <c r="BB13695" s="122"/>
      <c r="BC13695" s="141"/>
    </row>
    <row r="13696">
      <c r="BB13696" s="122"/>
      <c r="BC13696" s="141"/>
    </row>
    <row r="13697">
      <c r="BB13697" s="122"/>
      <c r="BC13697" s="141"/>
    </row>
    <row r="13698">
      <c r="BB13698" s="122"/>
      <c r="BC13698" s="141"/>
    </row>
    <row r="13699">
      <c r="BB13699" s="122"/>
      <c r="BC13699" s="141"/>
    </row>
    <row r="13700">
      <c r="BB13700" s="122"/>
      <c r="BC13700" s="141"/>
    </row>
    <row r="13701">
      <c r="BB13701" s="122"/>
      <c r="BC13701" s="141"/>
    </row>
    <row r="13702">
      <c r="BB13702" s="122"/>
      <c r="BC13702" s="141"/>
    </row>
    <row r="13703">
      <c r="BB13703" s="122"/>
      <c r="BC13703" s="141"/>
    </row>
    <row r="13704">
      <c r="BB13704" s="122"/>
      <c r="BC13704" s="141"/>
    </row>
    <row r="13705">
      <c r="BB13705" s="122"/>
      <c r="BC13705" s="141"/>
    </row>
    <row r="13706">
      <c r="BB13706" s="122"/>
      <c r="BC13706" s="141"/>
    </row>
    <row r="13707">
      <c r="BB13707" s="122"/>
      <c r="BC13707" s="141"/>
    </row>
    <row r="13708">
      <c r="BB13708" s="122"/>
      <c r="BC13708" s="141"/>
    </row>
    <row r="13709">
      <c r="BB13709" s="122"/>
      <c r="BC13709" s="141"/>
    </row>
    <row r="13710">
      <c r="BB13710" s="122"/>
      <c r="BC13710" s="141"/>
    </row>
    <row r="13711">
      <c r="BB13711" s="122"/>
      <c r="BC13711" s="141"/>
    </row>
    <row r="13712">
      <c r="BB13712" s="122"/>
      <c r="BC13712" s="141"/>
    </row>
    <row r="13713">
      <c r="BB13713" s="122"/>
      <c r="BC13713" s="141"/>
    </row>
    <row r="13714">
      <c r="BB13714" s="122"/>
      <c r="BC13714" s="141"/>
    </row>
    <row r="13715">
      <c r="BB13715" s="122"/>
      <c r="BC13715" s="141"/>
    </row>
    <row r="13716">
      <c r="BB13716" s="122"/>
      <c r="BC13716" s="141"/>
    </row>
    <row r="13717">
      <c r="BB13717" s="122"/>
      <c r="BC13717" s="141"/>
    </row>
    <row r="13718">
      <c r="BB13718" s="122"/>
      <c r="BC13718" s="141"/>
    </row>
    <row r="13719">
      <c r="BB13719" s="122"/>
      <c r="BC13719" s="141"/>
    </row>
    <row r="13720">
      <c r="BB13720" s="122"/>
      <c r="BC13720" s="141"/>
    </row>
    <row r="13721">
      <c r="BB13721" s="122"/>
      <c r="BC13721" s="141"/>
    </row>
    <row r="13722">
      <c r="BB13722" s="122"/>
      <c r="BC13722" s="141"/>
    </row>
    <row r="13723">
      <c r="BB13723" s="122"/>
      <c r="BC13723" s="141"/>
    </row>
    <row r="13724">
      <c r="BB13724" s="122"/>
      <c r="BC13724" s="141"/>
    </row>
    <row r="13725">
      <c r="BB13725" s="122"/>
      <c r="BC13725" s="141"/>
    </row>
    <row r="13726">
      <c r="BB13726" s="122"/>
      <c r="BC13726" s="141"/>
    </row>
    <row r="13727">
      <c r="BB13727" s="122"/>
      <c r="BC13727" s="141"/>
    </row>
    <row r="13728">
      <c r="BB13728" s="122"/>
      <c r="BC13728" s="141"/>
    </row>
    <row r="13729">
      <c r="BB13729" s="122"/>
      <c r="BC13729" s="141"/>
    </row>
    <row r="13730">
      <c r="BB13730" s="122"/>
      <c r="BC13730" s="141"/>
    </row>
    <row r="13731">
      <c r="BB13731" s="122"/>
      <c r="BC13731" s="141"/>
    </row>
    <row r="13732">
      <c r="BB13732" s="122"/>
      <c r="BC13732" s="141"/>
    </row>
    <row r="13733">
      <c r="BB13733" s="122"/>
      <c r="BC13733" s="141"/>
    </row>
    <row r="13734">
      <c r="BB13734" s="122"/>
      <c r="BC13734" s="141"/>
    </row>
    <row r="13735">
      <c r="BB13735" s="122"/>
      <c r="BC13735" s="141"/>
    </row>
    <row r="13736">
      <c r="BB13736" s="122"/>
      <c r="BC13736" s="141"/>
    </row>
    <row r="13737">
      <c r="BB13737" s="122"/>
      <c r="BC13737" s="141"/>
    </row>
    <row r="13738">
      <c r="BB13738" s="122"/>
      <c r="BC13738" s="141"/>
    </row>
    <row r="13739">
      <c r="BB13739" s="122"/>
      <c r="BC13739" s="141"/>
    </row>
    <row r="13740">
      <c r="BB13740" s="122"/>
      <c r="BC13740" s="141"/>
    </row>
    <row r="13741">
      <c r="BB13741" s="122"/>
      <c r="BC13741" s="141"/>
    </row>
    <row r="13742">
      <c r="BB13742" s="122"/>
      <c r="BC13742" s="141"/>
    </row>
    <row r="13743">
      <c r="BB13743" s="122"/>
      <c r="BC13743" s="141"/>
    </row>
    <row r="13744">
      <c r="BB13744" s="122"/>
      <c r="BC13744" s="141"/>
    </row>
    <row r="13745">
      <c r="BB13745" s="122"/>
      <c r="BC13745" s="141"/>
    </row>
    <row r="13746">
      <c r="BB13746" s="122"/>
      <c r="BC13746" s="141"/>
    </row>
    <row r="13747">
      <c r="BB13747" s="122"/>
      <c r="BC13747" s="141"/>
    </row>
    <row r="13748">
      <c r="BB13748" s="122"/>
      <c r="BC13748" s="141"/>
    </row>
    <row r="13749">
      <c r="BB13749" s="122"/>
      <c r="BC13749" s="141"/>
    </row>
    <row r="13750">
      <c r="BB13750" s="122"/>
      <c r="BC13750" s="141"/>
    </row>
    <row r="13751">
      <c r="BB13751" s="122"/>
      <c r="BC13751" s="141"/>
    </row>
    <row r="13752">
      <c r="BB13752" s="122"/>
      <c r="BC13752" s="141"/>
    </row>
    <row r="13753">
      <c r="BB13753" s="122"/>
      <c r="BC13753" s="141"/>
    </row>
    <row r="13754">
      <c r="BB13754" s="122"/>
      <c r="BC13754" s="141"/>
    </row>
    <row r="13755">
      <c r="BB13755" s="122"/>
      <c r="BC13755" s="141"/>
    </row>
    <row r="13756">
      <c r="BB13756" s="122"/>
      <c r="BC13756" s="141"/>
    </row>
    <row r="13757">
      <c r="BB13757" s="122"/>
      <c r="BC13757" s="141"/>
    </row>
    <row r="13758">
      <c r="BB13758" s="122"/>
      <c r="BC13758" s="141"/>
    </row>
    <row r="13759">
      <c r="BB13759" s="122"/>
      <c r="BC13759" s="141"/>
    </row>
    <row r="13760">
      <c r="BB13760" s="122"/>
      <c r="BC13760" s="141"/>
    </row>
    <row r="13761">
      <c r="BB13761" s="122"/>
      <c r="BC13761" s="141"/>
    </row>
    <row r="13762">
      <c r="BB13762" s="122"/>
      <c r="BC13762" s="141"/>
    </row>
    <row r="13763">
      <c r="BB13763" s="122"/>
      <c r="BC13763" s="141"/>
    </row>
    <row r="13764">
      <c r="BB13764" s="122"/>
      <c r="BC13764" s="141"/>
    </row>
    <row r="13765">
      <c r="BB13765" s="122"/>
      <c r="BC13765" s="141"/>
    </row>
    <row r="13766">
      <c r="BB13766" s="122"/>
      <c r="BC13766" s="141"/>
    </row>
    <row r="13767">
      <c r="BB13767" s="122"/>
      <c r="BC13767" s="141"/>
    </row>
    <row r="13768">
      <c r="BB13768" s="122"/>
      <c r="BC13768" s="141"/>
    </row>
    <row r="13769">
      <c r="BB13769" s="122"/>
      <c r="BC13769" s="141"/>
    </row>
    <row r="13770">
      <c r="BB13770" s="122"/>
      <c r="BC13770" s="141"/>
    </row>
    <row r="13771">
      <c r="BB13771" s="122"/>
      <c r="BC13771" s="141"/>
    </row>
    <row r="13772">
      <c r="BB13772" s="122"/>
      <c r="BC13772" s="141"/>
    </row>
    <row r="13773">
      <c r="BB13773" s="122"/>
      <c r="BC13773" s="141"/>
    </row>
    <row r="13774">
      <c r="BB13774" s="122"/>
      <c r="BC13774" s="141"/>
    </row>
    <row r="13775">
      <c r="BB13775" s="122"/>
      <c r="BC13775" s="141"/>
    </row>
    <row r="13776">
      <c r="BB13776" s="122"/>
      <c r="BC13776" s="141"/>
    </row>
    <row r="13777">
      <c r="BB13777" s="122"/>
      <c r="BC13777" s="141"/>
    </row>
    <row r="13778">
      <c r="BB13778" s="122"/>
      <c r="BC13778" s="141"/>
    </row>
    <row r="13779">
      <c r="BB13779" s="122"/>
      <c r="BC13779" s="141"/>
    </row>
    <row r="13780">
      <c r="BB13780" s="122"/>
      <c r="BC13780" s="141"/>
    </row>
    <row r="13781">
      <c r="BB13781" s="122"/>
      <c r="BC13781" s="141"/>
    </row>
    <row r="13782">
      <c r="BB13782" s="122"/>
      <c r="BC13782" s="141"/>
    </row>
    <row r="13783">
      <c r="BB13783" s="122"/>
      <c r="BC13783" s="141"/>
    </row>
    <row r="13784">
      <c r="BB13784" s="122"/>
      <c r="BC13784" s="141"/>
    </row>
    <row r="13785">
      <c r="BB13785" s="122"/>
      <c r="BC13785" s="141"/>
    </row>
    <row r="13786">
      <c r="BB13786" s="122"/>
      <c r="BC13786" s="141"/>
    </row>
    <row r="13787">
      <c r="BB13787" s="122"/>
      <c r="BC13787" s="141"/>
    </row>
    <row r="13788">
      <c r="BB13788" s="122"/>
      <c r="BC13788" s="141"/>
    </row>
    <row r="13789">
      <c r="BB13789" s="122"/>
      <c r="BC13789" s="141"/>
    </row>
    <row r="13790">
      <c r="BB13790" s="122"/>
      <c r="BC13790" s="141"/>
    </row>
    <row r="13791">
      <c r="BB13791" s="122"/>
      <c r="BC13791" s="141"/>
    </row>
    <row r="13792">
      <c r="BB13792" s="122"/>
      <c r="BC13792" s="141"/>
    </row>
    <row r="13793">
      <c r="BB13793" s="122"/>
      <c r="BC13793" s="141"/>
    </row>
    <row r="13794">
      <c r="BB13794" s="122"/>
      <c r="BC13794" s="141"/>
    </row>
    <row r="13795">
      <c r="BB13795" s="122"/>
      <c r="BC13795" s="141"/>
    </row>
    <row r="13796">
      <c r="BB13796" s="122"/>
      <c r="BC13796" s="141"/>
    </row>
    <row r="13797">
      <c r="BB13797" s="122"/>
      <c r="BC13797" s="141"/>
    </row>
    <row r="13798">
      <c r="BB13798" s="122"/>
      <c r="BC13798" s="141"/>
    </row>
    <row r="13799">
      <c r="BB13799" s="122"/>
      <c r="BC13799" s="141"/>
    </row>
    <row r="13800">
      <c r="BB13800" s="122"/>
      <c r="BC13800" s="141"/>
    </row>
    <row r="13801">
      <c r="BB13801" s="122"/>
      <c r="BC13801" s="141"/>
    </row>
    <row r="13802">
      <c r="BB13802" s="122"/>
      <c r="BC13802" s="141"/>
    </row>
    <row r="13803">
      <c r="BB13803" s="122"/>
      <c r="BC13803" s="141"/>
    </row>
    <row r="13804">
      <c r="BB13804" s="122"/>
      <c r="BC13804" s="141"/>
    </row>
    <row r="13805">
      <c r="BB13805" s="122"/>
      <c r="BC13805" s="141"/>
    </row>
    <row r="13806">
      <c r="BB13806" s="122"/>
      <c r="BC13806" s="141"/>
    </row>
    <row r="13807">
      <c r="BB13807" s="122"/>
      <c r="BC13807" s="141"/>
    </row>
    <row r="13808">
      <c r="BB13808" s="122"/>
      <c r="BC13808" s="141"/>
    </row>
    <row r="13809">
      <c r="BB13809" s="122"/>
      <c r="BC13809" s="141"/>
    </row>
    <row r="13810">
      <c r="BB13810" s="122"/>
      <c r="BC13810" s="141"/>
    </row>
    <row r="13811">
      <c r="BB13811" s="122"/>
      <c r="BC13811" s="141"/>
    </row>
    <row r="13812">
      <c r="BB13812" s="122"/>
      <c r="BC13812" s="141"/>
    </row>
    <row r="13813">
      <c r="BB13813" s="122"/>
      <c r="BC13813" s="141"/>
    </row>
    <row r="13814">
      <c r="BB13814" s="122"/>
      <c r="BC13814" s="141"/>
    </row>
    <row r="13815">
      <c r="BB13815" s="122"/>
      <c r="BC13815" s="141"/>
    </row>
    <row r="13816">
      <c r="BB13816" s="122"/>
      <c r="BC13816" s="141"/>
    </row>
    <row r="13817">
      <c r="BB13817" s="122"/>
      <c r="BC13817" s="141"/>
    </row>
    <row r="13818">
      <c r="BB13818" s="122"/>
      <c r="BC13818" s="141"/>
    </row>
    <row r="13819">
      <c r="BB13819" s="122"/>
      <c r="BC13819" s="141"/>
    </row>
    <row r="13820">
      <c r="BB13820" s="122"/>
      <c r="BC13820" s="141"/>
    </row>
    <row r="13821">
      <c r="BB13821" s="122"/>
      <c r="BC13821" s="141"/>
    </row>
    <row r="13822">
      <c r="BB13822" s="122"/>
      <c r="BC13822" s="141"/>
    </row>
    <row r="13823">
      <c r="BB13823" s="122"/>
      <c r="BC13823" s="141"/>
    </row>
    <row r="13824">
      <c r="BB13824" s="122"/>
      <c r="BC13824" s="141"/>
    </row>
    <row r="13825">
      <c r="BB13825" s="122"/>
      <c r="BC13825" s="141"/>
    </row>
    <row r="13826">
      <c r="BB13826" s="122"/>
      <c r="BC13826" s="141"/>
    </row>
    <row r="13827">
      <c r="BB13827" s="122"/>
      <c r="BC13827" s="141"/>
    </row>
    <row r="13828">
      <c r="BB13828" s="122"/>
      <c r="BC13828" s="141"/>
    </row>
    <row r="13829">
      <c r="BB13829" s="122"/>
      <c r="BC13829" s="141"/>
    </row>
    <row r="13830">
      <c r="BB13830" s="122"/>
      <c r="BC13830" s="141"/>
    </row>
    <row r="13831">
      <c r="BB13831" s="122"/>
      <c r="BC13831" s="141"/>
    </row>
    <row r="13832">
      <c r="BB13832" s="122"/>
      <c r="BC13832" s="141"/>
    </row>
    <row r="13833">
      <c r="BB13833" s="122"/>
      <c r="BC13833" s="141"/>
    </row>
    <row r="13834">
      <c r="BB13834" s="122"/>
      <c r="BC13834" s="141"/>
    </row>
    <row r="13835">
      <c r="BB13835" s="122"/>
      <c r="BC13835" s="141"/>
    </row>
    <row r="13836">
      <c r="BB13836" s="122"/>
      <c r="BC13836" s="141"/>
    </row>
    <row r="13837">
      <c r="BB13837" s="122"/>
      <c r="BC13837" s="141"/>
    </row>
    <row r="13838">
      <c r="BB13838" s="122"/>
      <c r="BC13838" s="141"/>
    </row>
    <row r="13839">
      <c r="BB13839" s="122"/>
      <c r="BC13839" s="141"/>
    </row>
    <row r="13840">
      <c r="BB13840" s="122"/>
      <c r="BC13840" s="141"/>
    </row>
    <row r="13841">
      <c r="BB13841" s="122"/>
      <c r="BC13841" s="141"/>
    </row>
    <row r="13842">
      <c r="BB13842" s="122"/>
      <c r="BC13842" s="141"/>
    </row>
    <row r="13843">
      <c r="BB13843" s="122"/>
      <c r="BC13843" s="141"/>
    </row>
    <row r="13844">
      <c r="BB13844" s="122"/>
      <c r="BC13844" s="141"/>
    </row>
    <row r="13845">
      <c r="BB13845" s="122"/>
      <c r="BC13845" s="141"/>
    </row>
    <row r="13846">
      <c r="BB13846" s="122"/>
      <c r="BC13846" s="141"/>
    </row>
    <row r="13847">
      <c r="BB13847" s="122"/>
      <c r="BC13847" s="141"/>
    </row>
    <row r="13848">
      <c r="BB13848" s="122"/>
      <c r="BC13848" s="141"/>
    </row>
    <row r="13849">
      <c r="BB13849" s="122"/>
      <c r="BC13849" s="141"/>
    </row>
    <row r="13850">
      <c r="BB13850" s="122"/>
      <c r="BC13850" s="141"/>
    </row>
    <row r="13851">
      <c r="BB13851" s="122"/>
      <c r="BC13851" s="141"/>
    </row>
    <row r="13852">
      <c r="BB13852" s="122"/>
      <c r="BC13852" s="141"/>
    </row>
    <row r="13853">
      <c r="BB13853" s="122"/>
      <c r="BC13853" s="141"/>
    </row>
    <row r="13854">
      <c r="BB13854" s="122"/>
      <c r="BC13854" s="141"/>
    </row>
    <row r="13855">
      <c r="BB13855" s="122"/>
      <c r="BC13855" s="141"/>
    </row>
    <row r="13856">
      <c r="BB13856" s="122"/>
      <c r="BC13856" s="141"/>
    </row>
    <row r="13857">
      <c r="BB13857" s="122"/>
      <c r="BC13857" s="141"/>
    </row>
    <row r="13858">
      <c r="BB13858" s="122"/>
      <c r="BC13858" s="141"/>
    </row>
    <row r="13859">
      <c r="BB13859" s="122"/>
      <c r="BC13859" s="141"/>
    </row>
    <row r="13860">
      <c r="BB13860" s="122"/>
      <c r="BC13860" s="141"/>
    </row>
    <row r="13861">
      <c r="BB13861" s="122"/>
      <c r="BC13861" s="141"/>
    </row>
    <row r="13862">
      <c r="BB13862" s="122"/>
      <c r="BC13862" s="141"/>
    </row>
    <row r="13863">
      <c r="BB13863" s="122"/>
      <c r="BC13863" s="141"/>
    </row>
    <row r="13864">
      <c r="BB13864" s="122"/>
      <c r="BC13864" s="141"/>
    </row>
    <row r="13865">
      <c r="BB13865" s="122"/>
      <c r="BC13865" s="141"/>
    </row>
    <row r="13866">
      <c r="BB13866" s="122"/>
      <c r="BC13866" s="141"/>
    </row>
    <row r="13867">
      <c r="BB13867" s="122"/>
      <c r="BC13867" s="141"/>
    </row>
    <row r="13868">
      <c r="BB13868" s="122"/>
      <c r="BC13868" s="141"/>
    </row>
    <row r="13869">
      <c r="BB13869" s="122"/>
      <c r="BC13869" s="141"/>
    </row>
    <row r="13870">
      <c r="BB13870" s="122"/>
      <c r="BC13870" s="141"/>
    </row>
    <row r="13871">
      <c r="BB13871" s="122"/>
      <c r="BC13871" s="141"/>
    </row>
    <row r="13872">
      <c r="BB13872" s="122"/>
      <c r="BC13872" s="141"/>
    </row>
    <row r="13873">
      <c r="BB13873" s="122"/>
      <c r="BC13873" s="141"/>
    </row>
    <row r="13874">
      <c r="BB13874" s="122"/>
      <c r="BC13874" s="141"/>
    </row>
    <row r="13875">
      <c r="BB13875" s="122"/>
      <c r="BC13875" s="141"/>
    </row>
    <row r="13876">
      <c r="BB13876" s="122"/>
      <c r="BC13876" s="141"/>
    </row>
    <row r="13877">
      <c r="BB13877" s="122"/>
      <c r="BC13877" s="141"/>
    </row>
    <row r="13878">
      <c r="BB13878" s="122"/>
      <c r="BC13878" s="141"/>
    </row>
    <row r="13879">
      <c r="BB13879" s="122"/>
      <c r="BC13879" s="141"/>
    </row>
    <row r="13880">
      <c r="BB13880" s="122"/>
      <c r="BC13880" s="141"/>
    </row>
    <row r="13881">
      <c r="BB13881" s="122"/>
      <c r="BC13881" s="141"/>
    </row>
    <row r="13882">
      <c r="BB13882" s="122"/>
      <c r="BC13882" s="141"/>
    </row>
    <row r="13883">
      <c r="BB13883" s="122"/>
      <c r="BC13883" s="141"/>
    </row>
    <row r="13884">
      <c r="BB13884" s="122"/>
      <c r="BC13884" s="141"/>
    </row>
    <row r="13885">
      <c r="BB13885" s="122"/>
      <c r="BC13885" s="141"/>
    </row>
    <row r="13886">
      <c r="BB13886" s="122"/>
      <c r="BC13886" s="141"/>
    </row>
    <row r="13887">
      <c r="BB13887" s="122"/>
      <c r="BC13887" s="141"/>
    </row>
    <row r="13888">
      <c r="BB13888" s="122"/>
      <c r="BC13888" s="141"/>
    </row>
    <row r="13889">
      <c r="BB13889" s="122"/>
      <c r="BC13889" s="141"/>
    </row>
    <row r="13890">
      <c r="BB13890" s="122"/>
      <c r="BC13890" s="141"/>
    </row>
    <row r="13891">
      <c r="BB13891" s="122"/>
      <c r="BC13891" s="141"/>
    </row>
    <row r="13892">
      <c r="BB13892" s="122"/>
      <c r="BC13892" s="141"/>
    </row>
    <row r="13893">
      <c r="BB13893" s="122"/>
      <c r="BC13893" s="141"/>
    </row>
    <row r="13894">
      <c r="BB13894" s="122"/>
      <c r="BC13894" s="141"/>
    </row>
    <row r="13895">
      <c r="BB13895" s="122"/>
      <c r="BC13895" s="141"/>
    </row>
    <row r="13896">
      <c r="BB13896" s="122"/>
      <c r="BC13896" s="141"/>
    </row>
    <row r="13897">
      <c r="BB13897" s="122"/>
      <c r="BC13897" s="141"/>
    </row>
    <row r="13898">
      <c r="BB13898" s="122"/>
      <c r="BC13898" s="141"/>
    </row>
    <row r="13899">
      <c r="BB13899" s="122"/>
      <c r="BC13899" s="141"/>
    </row>
    <row r="13900">
      <c r="BB13900" s="122"/>
      <c r="BC13900" s="141"/>
    </row>
    <row r="13901">
      <c r="BB13901" s="122"/>
      <c r="BC13901" s="141"/>
    </row>
    <row r="13902">
      <c r="BB13902" s="122"/>
      <c r="BC13902" s="141"/>
    </row>
    <row r="13903">
      <c r="BB13903" s="122"/>
      <c r="BC13903" s="141"/>
    </row>
    <row r="13904">
      <c r="BB13904" s="122"/>
      <c r="BC13904" s="141"/>
    </row>
    <row r="13905">
      <c r="BB13905" s="122"/>
      <c r="BC13905" s="141"/>
    </row>
    <row r="13906">
      <c r="BB13906" s="122"/>
      <c r="BC13906" s="141"/>
    </row>
    <row r="13907">
      <c r="BB13907" s="122"/>
      <c r="BC13907" s="141"/>
    </row>
    <row r="13908">
      <c r="BB13908" s="122"/>
      <c r="BC13908" s="141"/>
    </row>
    <row r="13909">
      <c r="BB13909" s="122"/>
      <c r="BC13909" s="141"/>
    </row>
    <row r="13910">
      <c r="BB13910" s="122"/>
      <c r="BC13910" s="141"/>
    </row>
    <row r="13911">
      <c r="BB13911" s="122"/>
      <c r="BC13911" s="141"/>
    </row>
    <row r="13912">
      <c r="BB13912" s="122"/>
      <c r="BC13912" s="141"/>
    </row>
    <row r="13913">
      <c r="BB13913" s="122"/>
      <c r="BC13913" s="141"/>
    </row>
    <row r="13914">
      <c r="BB13914" s="122"/>
      <c r="BC13914" s="141"/>
    </row>
    <row r="13915">
      <c r="BB13915" s="122"/>
      <c r="BC13915" s="141"/>
    </row>
    <row r="13916">
      <c r="BB13916" s="122"/>
      <c r="BC13916" s="141"/>
    </row>
    <row r="13917">
      <c r="BB13917" s="122"/>
      <c r="BC13917" s="141"/>
    </row>
    <row r="13918">
      <c r="BB13918" s="122"/>
      <c r="BC13918" s="141"/>
    </row>
    <row r="13919">
      <c r="BB13919" s="122"/>
      <c r="BC13919" s="141"/>
    </row>
    <row r="13920">
      <c r="BB13920" s="122"/>
      <c r="BC13920" s="141"/>
    </row>
    <row r="13921">
      <c r="BB13921" s="122"/>
      <c r="BC13921" s="141"/>
    </row>
    <row r="13922">
      <c r="BB13922" s="122"/>
      <c r="BC13922" s="141"/>
    </row>
    <row r="13923">
      <c r="BB13923" s="122"/>
      <c r="BC13923" s="141"/>
    </row>
    <row r="13924">
      <c r="BB13924" s="122"/>
      <c r="BC13924" s="141"/>
    </row>
    <row r="13925">
      <c r="BB13925" s="122"/>
      <c r="BC13925" s="141"/>
    </row>
    <row r="13926">
      <c r="BB13926" s="122"/>
      <c r="BC13926" s="141"/>
    </row>
    <row r="13927">
      <c r="BB13927" s="122"/>
      <c r="BC13927" s="141"/>
    </row>
    <row r="13928">
      <c r="BB13928" s="122"/>
      <c r="BC13928" s="141"/>
    </row>
    <row r="13929">
      <c r="BB13929" s="122"/>
      <c r="BC13929" s="141"/>
    </row>
    <row r="13930">
      <c r="BB13930" s="122"/>
      <c r="BC13930" s="141"/>
    </row>
    <row r="13931">
      <c r="BB13931" s="122"/>
      <c r="BC13931" s="141"/>
    </row>
    <row r="13932">
      <c r="BB13932" s="122"/>
      <c r="BC13932" s="141"/>
    </row>
    <row r="13933">
      <c r="BB13933" s="122"/>
      <c r="BC13933" s="141"/>
    </row>
    <row r="13934">
      <c r="BB13934" s="122"/>
      <c r="BC13934" s="141"/>
    </row>
    <row r="13935">
      <c r="BB13935" s="122"/>
      <c r="BC13935" s="141"/>
    </row>
    <row r="13936">
      <c r="BB13936" s="122"/>
      <c r="BC13936" s="141"/>
    </row>
    <row r="13937">
      <c r="BB13937" s="122"/>
      <c r="BC13937" s="141"/>
    </row>
    <row r="13938">
      <c r="BB13938" s="122"/>
      <c r="BC13938" s="141"/>
    </row>
    <row r="13939">
      <c r="BB13939" s="122"/>
      <c r="BC13939" s="141"/>
    </row>
    <row r="13940">
      <c r="BB13940" s="122"/>
      <c r="BC13940" s="141"/>
    </row>
    <row r="13941">
      <c r="BB13941" s="122"/>
      <c r="BC13941" s="141"/>
    </row>
    <row r="13942">
      <c r="BB13942" s="122"/>
      <c r="BC13942" s="141"/>
    </row>
    <row r="13943">
      <c r="BB13943" s="122"/>
      <c r="BC13943" s="141"/>
    </row>
    <row r="13944">
      <c r="BB13944" s="122"/>
      <c r="BC13944" s="141"/>
    </row>
    <row r="13945">
      <c r="BB13945" s="122"/>
      <c r="BC13945" s="141"/>
    </row>
    <row r="13946">
      <c r="BB13946" s="122"/>
      <c r="BC13946" s="141"/>
    </row>
    <row r="13947">
      <c r="BB13947" s="122"/>
      <c r="BC13947" s="141"/>
    </row>
    <row r="13948">
      <c r="BB13948" s="122"/>
      <c r="BC13948" s="141"/>
    </row>
    <row r="13949">
      <c r="BB13949" s="122"/>
      <c r="BC13949" s="141"/>
    </row>
    <row r="13950">
      <c r="BB13950" s="122"/>
      <c r="BC13950" s="141"/>
    </row>
    <row r="13951">
      <c r="BB13951" s="122"/>
      <c r="BC13951" s="141"/>
    </row>
    <row r="13952">
      <c r="BB13952" s="122"/>
      <c r="BC13952" s="141"/>
    </row>
    <row r="13953">
      <c r="BB13953" s="122"/>
      <c r="BC13953" s="141"/>
    </row>
    <row r="13954">
      <c r="BB13954" s="122"/>
      <c r="BC13954" s="141"/>
    </row>
    <row r="13955">
      <c r="BB13955" s="122"/>
      <c r="BC13955" s="141"/>
    </row>
    <row r="13956">
      <c r="BB13956" s="122"/>
      <c r="BC13956" s="141"/>
    </row>
    <row r="13957">
      <c r="BB13957" s="122"/>
      <c r="BC13957" s="141"/>
    </row>
    <row r="13958">
      <c r="BB13958" s="122"/>
      <c r="BC13958" s="141"/>
    </row>
    <row r="13959">
      <c r="BB13959" s="122"/>
      <c r="BC13959" s="141"/>
    </row>
    <row r="13960">
      <c r="BB13960" s="122"/>
      <c r="BC13960" s="141"/>
    </row>
    <row r="13961">
      <c r="BB13961" s="122"/>
      <c r="BC13961" s="141"/>
    </row>
    <row r="13962">
      <c r="BB13962" s="122"/>
      <c r="BC13962" s="141"/>
    </row>
    <row r="13963">
      <c r="BB13963" s="122"/>
      <c r="BC13963" s="141"/>
    </row>
    <row r="13964">
      <c r="BB13964" s="122"/>
      <c r="BC13964" s="141"/>
    </row>
    <row r="13965">
      <c r="BB13965" s="122"/>
      <c r="BC13965" s="141"/>
    </row>
    <row r="13966">
      <c r="BB13966" s="122"/>
      <c r="BC13966" s="141"/>
    </row>
    <row r="13967">
      <c r="BB13967" s="122"/>
      <c r="BC13967" s="141"/>
    </row>
    <row r="13968">
      <c r="BB13968" s="122"/>
      <c r="BC13968" s="141"/>
    </row>
    <row r="13969">
      <c r="BB13969" s="122"/>
      <c r="BC13969" s="141"/>
    </row>
    <row r="13970">
      <c r="BB13970" s="122"/>
      <c r="BC13970" s="141"/>
    </row>
    <row r="13971">
      <c r="BB13971" s="122"/>
      <c r="BC13971" s="141"/>
    </row>
    <row r="13972">
      <c r="BB13972" s="122"/>
      <c r="BC13972" s="141"/>
    </row>
    <row r="13973">
      <c r="BB13973" s="122"/>
      <c r="BC13973" s="141"/>
    </row>
    <row r="13974">
      <c r="BB13974" s="122"/>
      <c r="BC13974" s="141"/>
    </row>
    <row r="13975">
      <c r="BB13975" s="122"/>
      <c r="BC13975" s="141"/>
    </row>
    <row r="13976">
      <c r="BB13976" s="122"/>
      <c r="BC13976" s="141"/>
    </row>
    <row r="13977">
      <c r="BB13977" s="122"/>
      <c r="BC13977" s="141"/>
    </row>
    <row r="13978">
      <c r="BB13978" s="122"/>
      <c r="BC13978" s="141"/>
    </row>
    <row r="13979">
      <c r="BB13979" s="122"/>
      <c r="BC13979" s="141"/>
    </row>
    <row r="13980">
      <c r="BB13980" s="122"/>
      <c r="BC13980" s="141"/>
    </row>
    <row r="13981">
      <c r="BB13981" s="122"/>
      <c r="BC13981" s="141"/>
    </row>
    <row r="13982">
      <c r="BB13982" s="122"/>
      <c r="BC13982" s="141"/>
    </row>
    <row r="13983">
      <c r="BB13983" s="122"/>
      <c r="BC13983" s="141"/>
    </row>
    <row r="13984">
      <c r="BB13984" s="122"/>
      <c r="BC13984" s="141"/>
    </row>
    <row r="13985">
      <c r="BB13985" s="122"/>
      <c r="BC13985" s="141"/>
    </row>
    <row r="13986">
      <c r="BB13986" s="122"/>
      <c r="BC13986" s="141"/>
    </row>
    <row r="13987">
      <c r="BB13987" s="122"/>
      <c r="BC13987" s="141"/>
    </row>
    <row r="13988">
      <c r="BB13988" s="122"/>
      <c r="BC13988" s="141"/>
    </row>
    <row r="13989">
      <c r="BB13989" s="122"/>
      <c r="BC13989" s="141"/>
    </row>
    <row r="13990">
      <c r="BB13990" s="122"/>
      <c r="BC13990" s="141"/>
    </row>
    <row r="13991">
      <c r="BB13991" s="122"/>
      <c r="BC13991" s="141"/>
    </row>
    <row r="13992">
      <c r="BB13992" s="122"/>
      <c r="BC13992" s="141"/>
    </row>
    <row r="13993">
      <c r="BB13993" s="122"/>
      <c r="BC13993" s="141"/>
    </row>
    <row r="13994">
      <c r="BB13994" s="122"/>
      <c r="BC13994" s="141"/>
    </row>
    <row r="13995">
      <c r="BB13995" s="122"/>
      <c r="BC13995" s="141"/>
    </row>
    <row r="13996">
      <c r="BB13996" s="122"/>
      <c r="BC13996" s="141"/>
    </row>
    <row r="13997">
      <c r="BB13997" s="122"/>
      <c r="BC13997" s="141"/>
    </row>
    <row r="13998">
      <c r="BB13998" s="122"/>
      <c r="BC13998" s="141"/>
    </row>
    <row r="13999">
      <c r="BB13999" s="122"/>
      <c r="BC13999" s="141"/>
    </row>
    <row r="14000">
      <c r="BB14000" s="122"/>
      <c r="BC14000" s="141"/>
    </row>
    <row r="14001">
      <c r="BB14001" s="122"/>
      <c r="BC14001" s="141"/>
    </row>
    <row r="14002">
      <c r="BB14002" s="122"/>
      <c r="BC14002" s="141"/>
    </row>
    <row r="14003">
      <c r="BB14003" s="122"/>
      <c r="BC14003" s="141"/>
    </row>
    <row r="14004">
      <c r="BB14004" s="122"/>
      <c r="BC14004" s="141"/>
    </row>
    <row r="14005">
      <c r="BB14005" s="122"/>
      <c r="BC14005" s="141"/>
    </row>
    <row r="14006">
      <c r="BB14006" s="122"/>
      <c r="BC14006" s="141"/>
    </row>
    <row r="14007">
      <c r="BB14007" s="122"/>
      <c r="BC14007" s="141"/>
    </row>
    <row r="14008">
      <c r="BB14008" s="122"/>
      <c r="BC14008" s="141"/>
    </row>
    <row r="14009">
      <c r="BB14009" s="122"/>
      <c r="BC14009" s="141"/>
    </row>
    <row r="14010">
      <c r="BB14010" s="122"/>
      <c r="BC14010" s="141"/>
    </row>
    <row r="14011">
      <c r="BB14011" s="122"/>
      <c r="BC14011" s="141"/>
    </row>
    <row r="14012">
      <c r="BB14012" s="122"/>
      <c r="BC14012" s="141"/>
    </row>
    <row r="14013">
      <c r="BB14013" s="122"/>
      <c r="BC14013" s="141"/>
    </row>
    <row r="14014">
      <c r="BB14014" s="122"/>
      <c r="BC14014" s="141"/>
    </row>
    <row r="14015">
      <c r="BB14015" s="122"/>
      <c r="BC14015" s="141"/>
    </row>
    <row r="14016">
      <c r="BB14016" s="122"/>
      <c r="BC14016" s="141"/>
    </row>
    <row r="14017">
      <c r="BB14017" s="122"/>
      <c r="BC14017" s="141"/>
    </row>
    <row r="14018">
      <c r="BB14018" s="122"/>
      <c r="BC14018" s="141"/>
    </row>
    <row r="14019">
      <c r="BB14019" s="122"/>
      <c r="BC14019" s="141"/>
    </row>
    <row r="14020">
      <c r="BB14020" s="122"/>
      <c r="BC14020" s="141"/>
    </row>
    <row r="14021">
      <c r="BB14021" s="122"/>
      <c r="BC14021" s="141"/>
    </row>
    <row r="14022">
      <c r="BB14022" s="122"/>
      <c r="BC14022" s="141"/>
    </row>
    <row r="14023">
      <c r="BB14023" s="122"/>
      <c r="BC14023" s="141"/>
    </row>
    <row r="14024">
      <c r="BB14024" s="122"/>
      <c r="BC14024" s="141"/>
    </row>
    <row r="14025">
      <c r="BB14025" s="122"/>
      <c r="BC14025" s="141"/>
    </row>
    <row r="14026">
      <c r="BB14026" s="122"/>
      <c r="BC14026" s="141"/>
    </row>
    <row r="14027">
      <c r="BB14027" s="122"/>
      <c r="BC14027" s="141"/>
    </row>
    <row r="14028">
      <c r="BB14028" s="122"/>
      <c r="BC14028" s="141"/>
    </row>
    <row r="14029">
      <c r="BB14029" s="122"/>
      <c r="BC14029" s="141"/>
    </row>
    <row r="14030">
      <c r="BB14030" s="122"/>
      <c r="BC14030" s="141"/>
    </row>
    <row r="14031">
      <c r="BB14031" s="122"/>
      <c r="BC14031" s="141"/>
    </row>
    <row r="14032">
      <c r="BB14032" s="122"/>
      <c r="BC14032" s="141"/>
    </row>
    <row r="14033">
      <c r="BB14033" s="122"/>
      <c r="BC14033" s="141"/>
    </row>
    <row r="14034">
      <c r="BB14034" s="122"/>
      <c r="BC14034" s="141"/>
    </row>
    <row r="14035">
      <c r="BB14035" s="122"/>
      <c r="BC14035" s="141"/>
    </row>
    <row r="14036">
      <c r="BB14036" s="122"/>
      <c r="BC14036" s="141"/>
    </row>
    <row r="14037">
      <c r="BB14037" s="122"/>
      <c r="BC14037" s="141"/>
    </row>
    <row r="14038">
      <c r="BB14038" s="122"/>
      <c r="BC14038" s="141"/>
    </row>
    <row r="14039">
      <c r="BB14039" s="122"/>
      <c r="BC14039" s="141"/>
    </row>
    <row r="14040">
      <c r="BB14040" s="122"/>
      <c r="BC14040" s="141"/>
    </row>
    <row r="14041">
      <c r="BB14041" s="122"/>
      <c r="BC14041" s="141"/>
    </row>
    <row r="14042">
      <c r="BB14042" s="122"/>
      <c r="BC14042" s="141"/>
    </row>
    <row r="14043">
      <c r="BB14043" s="122"/>
      <c r="BC14043" s="141"/>
    </row>
    <row r="14044">
      <c r="BB14044" s="122"/>
      <c r="BC14044" s="141"/>
    </row>
    <row r="14045">
      <c r="BB14045" s="122"/>
      <c r="BC14045" s="141"/>
    </row>
    <row r="14046">
      <c r="BB14046" s="122"/>
      <c r="BC14046" s="141"/>
    </row>
    <row r="14047">
      <c r="BB14047" s="122"/>
      <c r="BC14047" s="141"/>
    </row>
    <row r="14048">
      <c r="BB14048" s="122"/>
      <c r="BC14048" s="141"/>
    </row>
    <row r="14049">
      <c r="BB14049" s="122"/>
      <c r="BC14049" s="141"/>
    </row>
    <row r="14050">
      <c r="BB14050" s="122"/>
      <c r="BC14050" s="141"/>
    </row>
    <row r="14051">
      <c r="BB14051" s="122"/>
      <c r="BC14051" s="141"/>
    </row>
    <row r="14052">
      <c r="BB14052" s="122"/>
      <c r="BC14052" s="141"/>
    </row>
    <row r="14053">
      <c r="BB14053" s="122"/>
      <c r="BC14053" s="141"/>
    </row>
    <row r="14054">
      <c r="BB14054" s="122"/>
      <c r="BC14054" s="141"/>
    </row>
    <row r="14055">
      <c r="BB14055" s="122"/>
      <c r="BC14055" s="141"/>
    </row>
    <row r="14056">
      <c r="BB14056" s="122"/>
      <c r="BC14056" s="141"/>
    </row>
    <row r="14057">
      <c r="BB14057" s="122"/>
      <c r="BC14057" s="141"/>
    </row>
    <row r="14058">
      <c r="BB14058" s="122"/>
      <c r="BC14058" s="141"/>
    </row>
    <row r="14059">
      <c r="BB14059" s="122"/>
      <c r="BC14059" s="141"/>
    </row>
    <row r="14060">
      <c r="BB14060" s="122"/>
      <c r="BC14060" s="141"/>
    </row>
    <row r="14061">
      <c r="BB14061" s="122"/>
      <c r="BC14061" s="141"/>
    </row>
    <row r="14062">
      <c r="BB14062" s="122"/>
      <c r="BC14062" s="141"/>
    </row>
    <row r="14063">
      <c r="BB14063" s="122"/>
      <c r="BC14063" s="141"/>
    </row>
    <row r="14064">
      <c r="BB14064" s="122"/>
      <c r="BC14064" s="141"/>
    </row>
    <row r="14065">
      <c r="BB14065" s="122"/>
      <c r="BC14065" s="141"/>
    </row>
    <row r="14066">
      <c r="BB14066" s="122"/>
      <c r="BC14066" s="141"/>
    </row>
    <row r="14067">
      <c r="BB14067" s="122"/>
      <c r="BC14067" s="141"/>
    </row>
    <row r="14068">
      <c r="BB14068" s="122"/>
      <c r="BC14068" s="141"/>
    </row>
    <row r="14069">
      <c r="BB14069" s="122"/>
      <c r="BC14069" s="141"/>
    </row>
    <row r="14070">
      <c r="BB14070" s="122"/>
      <c r="BC14070" s="141"/>
    </row>
    <row r="14071">
      <c r="BB14071" s="122"/>
      <c r="BC14071" s="141"/>
    </row>
    <row r="14072">
      <c r="BB14072" s="122"/>
      <c r="BC14072" s="141"/>
    </row>
    <row r="14073">
      <c r="BB14073" s="122"/>
      <c r="BC14073" s="141"/>
    </row>
    <row r="14074">
      <c r="BB14074" s="122"/>
      <c r="BC14074" s="141"/>
    </row>
    <row r="14075">
      <c r="BB14075" s="122"/>
      <c r="BC14075" s="141"/>
    </row>
    <row r="14076">
      <c r="BB14076" s="122"/>
      <c r="BC14076" s="141"/>
    </row>
    <row r="14077">
      <c r="BB14077" s="122"/>
      <c r="BC14077" s="141"/>
    </row>
    <row r="14078">
      <c r="BB14078" s="122"/>
      <c r="BC14078" s="141"/>
    </row>
    <row r="14079">
      <c r="BB14079" s="122"/>
      <c r="BC14079" s="141"/>
    </row>
    <row r="14080">
      <c r="BB14080" s="122"/>
      <c r="BC14080" s="141"/>
    </row>
    <row r="14081">
      <c r="BB14081" s="122"/>
      <c r="BC14081" s="141"/>
    </row>
    <row r="14082">
      <c r="BB14082" s="122"/>
      <c r="BC14082" s="141"/>
    </row>
    <row r="14083">
      <c r="BB14083" s="122"/>
      <c r="BC14083" s="141"/>
    </row>
    <row r="14084">
      <c r="BB14084" s="122"/>
      <c r="BC14084" s="141"/>
    </row>
    <row r="14085">
      <c r="BB14085" s="122"/>
      <c r="BC14085" s="141"/>
    </row>
    <row r="14086">
      <c r="BB14086" s="122"/>
      <c r="BC14086" s="141"/>
    </row>
    <row r="14087">
      <c r="BB14087" s="122"/>
      <c r="BC14087" s="141"/>
    </row>
    <row r="14088">
      <c r="BB14088" s="122"/>
      <c r="BC14088" s="141"/>
    </row>
    <row r="14089">
      <c r="BB14089" s="122"/>
      <c r="BC14089" s="141"/>
    </row>
    <row r="14090">
      <c r="BB14090" s="122"/>
      <c r="BC14090" s="141"/>
    </row>
    <row r="14091">
      <c r="BB14091" s="122"/>
      <c r="BC14091" s="141"/>
    </row>
    <row r="14092">
      <c r="BB14092" s="122"/>
      <c r="BC14092" s="141"/>
    </row>
    <row r="14093">
      <c r="BB14093" s="122"/>
      <c r="BC14093" s="141"/>
    </row>
    <row r="14094">
      <c r="BB14094" s="122"/>
      <c r="BC14094" s="141"/>
    </row>
    <row r="14095">
      <c r="BB14095" s="122"/>
      <c r="BC14095" s="141"/>
    </row>
    <row r="14096">
      <c r="BB14096" s="122"/>
      <c r="BC14096" s="141"/>
    </row>
    <row r="14097">
      <c r="BB14097" s="122"/>
      <c r="BC14097" s="141"/>
    </row>
    <row r="14098">
      <c r="BB14098" s="122"/>
      <c r="BC14098" s="141"/>
    </row>
    <row r="14099">
      <c r="BB14099" s="122"/>
      <c r="BC14099" s="141"/>
    </row>
    <row r="14100">
      <c r="BB14100" s="122"/>
      <c r="BC14100" s="141"/>
    </row>
    <row r="14101">
      <c r="BB14101" s="122"/>
      <c r="BC14101" s="141"/>
    </row>
    <row r="14102">
      <c r="BB14102" s="122"/>
      <c r="BC14102" s="141"/>
    </row>
    <row r="14103">
      <c r="BB14103" s="122"/>
      <c r="BC14103" s="141"/>
    </row>
    <row r="14104">
      <c r="BB14104" s="122"/>
      <c r="BC14104" s="141"/>
    </row>
    <row r="14105">
      <c r="BB14105" s="122"/>
      <c r="BC14105" s="141"/>
    </row>
    <row r="14106">
      <c r="BB14106" s="122"/>
      <c r="BC14106" s="141"/>
    </row>
    <row r="14107">
      <c r="BB14107" s="122"/>
      <c r="BC14107" s="141"/>
    </row>
    <row r="14108">
      <c r="BB14108" s="122"/>
      <c r="BC14108" s="141"/>
    </row>
    <row r="14109">
      <c r="BB14109" s="122"/>
      <c r="BC14109" s="141"/>
    </row>
    <row r="14110">
      <c r="BB14110" s="122"/>
      <c r="BC14110" s="141"/>
    </row>
    <row r="14111">
      <c r="BB14111" s="122"/>
      <c r="BC14111" s="141"/>
    </row>
    <row r="14112">
      <c r="BB14112" s="122"/>
      <c r="BC14112" s="141"/>
    </row>
    <row r="14113">
      <c r="BB14113" s="122"/>
      <c r="BC14113" s="141"/>
    </row>
    <row r="14114">
      <c r="BB14114" s="122"/>
      <c r="BC14114" s="141"/>
    </row>
    <row r="14115">
      <c r="BB14115" s="122"/>
      <c r="BC14115" s="141"/>
    </row>
    <row r="14116">
      <c r="BB14116" s="122"/>
      <c r="BC14116" s="141"/>
    </row>
    <row r="14117">
      <c r="BB14117" s="122"/>
      <c r="BC14117" s="141"/>
    </row>
    <row r="14118">
      <c r="BB14118" s="122"/>
      <c r="BC14118" s="141"/>
    </row>
    <row r="14119">
      <c r="BB14119" s="122"/>
      <c r="BC14119" s="141"/>
    </row>
    <row r="14120">
      <c r="BB14120" s="122"/>
      <c r="BC14120" s="141"/>
    </row>
    <row r="14121">
      <c r="BB14121" s="122"/>
      <c r="BC14121" s="141"/>
    </row>
    <row r="14122">
      <c r="BB14122" s="122"/>
      <c r="BC14122" s="141"/>
    </row>
    <row r="14123">
      <c r="BB14123" s="122"/>
      <c r="BC14123" s="141"/>
    </row>
    <row r="14124">
      <c r="BB14124" s="122"/>
      <c r="BC14124" s="141"/>
    </row>
    <row r="14125">
      <c r="BB14125" s="122"/>
      <c r="BC14125" s="141"/>
    </row>
    <row r="14126">
      <c r="BB14126" s="122"/>
      <c r="BC14126" s="141"/>
    </row>
    <row r="14127">
      <c r="BB14127" s="122"/>
      <c r="BC14127" s="141"/>
    </row>
    <row r="14128">
      <c r="BB14128" s="122"/>
      <c r="BC14128" s="141"/>
    </row>
    <row r="14129">
      <c r="BB14129" s="122"/>
      <c r="BC14129" s="141"/>
    </row>
    <row r="14130">
      <c r="BB14130" s="122"/>
      <c r="BC14130" s="141"/>
    </row>
    <row r="14131">
      <c r="BB14131" s="122"/>
      <c r="BC14131" s="141"/>
    </row>
    <row r="14132">
      <c r="BB14132" s="122"/>
      <c r="BC14132" s="141"/>
    </row>
    <row r="14133">
      <c r="BB14133" s="122"/>
      <c r="BC14133" s="141"/>
    </row>
    <row r="14134">
      <c r="BB14134" s="122"/>
      <c r="BC14134" s="141"/>
    </row>
    <row r="14135">
      <c r="BB14135" s="122"/>
      <c r="BC14135" s="141"/>
    </row>
    <row r="14136">
      <c r="BB14136" s="122"/>
      <c r="BC14136" s="141"/>
    </row>
    <row r="14137">
      <c r="BB14137" s="122"/>
      <c r="BC14137" s="141"/>
    </row>
    <row r="14138">
      <c r="BB14138" s="122"/>
      <c r="BC14138" s="141"/>
    </row>
    <row r="14139">
      <c r="BB14139" s="122"/>
      <c r="BC14139" s="141"/>
    </row>
    <row r="14140">
      <c r="BB14140" s="122"/>
      <c r="BC14140" s="141"/>
    </row>
    <row r="14141">
      <c r="BB14141" s="122"/>
      <c r="BC14141" s="141"/>
    </row>
    <row r="14142">
      <c r="BB14142" s="122"/>
      <c r="BC14142" s="141"/>
    </row>
    <row r="14143">
      <c r="BB14143" s="122"/>
      <c r="BC14143" s="141"/>
    </row>
    <row r="14144">
      <c r="BB14144" s="122"/>
      <c r="BC14144" s="141"/>
    </row>
    <row r="14145">
      <c r="BB14145" s="122"/>
      <c r="BC14145" s="141"/>
    </row>
    <row r="14146">
      <c r="BB14146" s="122"/>
      <c r="BC14146" s="141"/>
    </row>
    <row r="14147">
      <c r="BB14147" s="122"/>
      <c r="BC14147" s="141"/>
    </row>
    <row r="14148">
      <c r="BB14148" s="122"/>
      <c r="BC14148" s="141"/>
    </row>
    <row r="14149">
      <c r="BB14149" s="122"/>
      <c r="BC14149" s="141"/>
    </row>
    <row r="14150">
      <c r="BB14150" s="122"/>
      <c r="BC14150" s="141"/>
    </row>
    <row r="14151">
      <c r="BB14151" s="122"/>
      <c r="BC14151" s="141"/>
    </row>
    <row r="14152">
      <c r="BB14152" s="122"/>
      <c r="BC14152" s="141"/>
    </row>
    <row r="14153">
      <c r="BB14153" s="122"/>
      <c r="BC14153" s="141"/>
    </row>
    <row r="14154">
      <c r="BB14154" s="122"/>
      <c r="BC14154" s="141"/>
    </row>
    <row r="14155">
      <c r="BB14155" s="122"/>
      <c r="BC14155" s="141"/>
    </row>
    <row r="14156">
      <c r="BB14156" s="122"/>
      <c r="BC14156" s="141"/>
    </row>
    <row r="14157">
      <c r="BB14157" s="122"/>
      <c r="BC14157" s="141"/>
    </row>
    <row r="14158">
      <c r="BB14158" s="122"/>
      <c r="BC14158" s="141"/>
    </row>
    <row r="14159">
      <c r="BB14159" s="122"/>
      <c r="BC14159" s="141"/>
    </row>
    <row r="14160">
      <c r="BB14160" s="122"/>
      <c r="BC14160" s="141"/>
    </row>
    <row r="14161">
      <c r="BB14161" s="122"/>
      <c r="BC14161" s="141"/>
    </row>
    <row r="14162">
      <c r="BB14162" s="122"/>
      <c r="BC14162" s="141"/>
    </row>
    <row r="14163">
      <c r="BB14163" s="122"/>
      <c r="BC14163" s="141"/>
    </row>
    <row r="14164">
      <c r="BB14164" s="122"/>
      <c r="BC14164" s="141"/>
    </row>
    <row r="14165">
      <c r="BB14165" s="122"/>
      <c r="BC14165" s="141"/>
    </row>
    <row r="14166">
      <c r="BB14166" s="122"/>
      <c r="BC14166" s="141"/>
    </row>
    <row r="14167">
      <c r="BB14167" s="122"/>
      <c r="BC14167" s="141"/>
    </row>
    <row r="14168">
      <c r="BB14168" s="122"/>
      <c r="BC14168" s="141"/>
    </row>
    <row r="14169">
      <c r="BB14169" s="122"/>
      <c r="BC14169" s="141"/>
    </row>
    <row r="14170">
      <c r="BB14170" s="122"/>
      <c r="BC14170" s="141"/>
    </row>
    <row r="14171">
      <c r="BB14171" s="122"/>
      <c r="BC14171" s="141"/>
    </row>
    <row r="14172">
      <c r="BB14172" s="122"/>
      <c r="BC14172" s="141"/>
    </row>
    <row r="14173">
      <c r="BB14173" s="122"/>
      <c r="BC14173" s="141"/>
    </row>
    <row r="14174">
      <c r="BB14174" s="122"/>
      <c r="BC14174" s="141"/>
    </row>
    <row r="14175">
      <c r="BB14175" s="122"/>
      <c r="BC14175" s="141"/>
    </row>
    <row r="14176">
      <c r="BB14176" s="122"/>
      <c r="BC14176" s="141"/>
    </row>
    <row r="14177">
      <c r="BB14177" s="122"/>
      <c r="BC14177" s="141"/>
    </row>
    <row r="14178">
      <c r="BB14178" s="122"/>
      <c r="BC14178" s="141"/>
    </row>
    <row r="14179">
      <c r="BB14179" s="122"/>
      <c r="BC14179" s="141"/>
    </row>
    <row r="14180">
      <c r="BB14180" s="122"/>
      <c r="BC14180" s="141"/>
    </row>
    <row r="14181">
      <c r="BB14181" s="122"/>
      <c r="BC14181" s="141"/>
    </row>
    <row r="14182">
      <c r="BB14182" s="122"/>
      <c r="BC14182" s="141"/>
    </row>
    <row r="14183">
      <c r="BB14183" s="122"/>
      <c r="BC14183" s="141"/>
    </row>
    <row r="14184">
      <c r="BB14184" s="122"/>
      <c r="BC14184" s="141"/>
    </row>
    <row r="14185">
      <c r="BB14185" s="122"/>
      <c r="BC14185" s="141"/>
    </row>
    <row r="14186">
      <c r="BB14186" s="122"/>
      <c r="BC14186" s="141"/>
    </row>
    <row r="14187">
      <c r="BB14187" s="122"/>
      <c r="BC14187" s="141"/>
    </row>
    <row r="14188">
      <c r="BB14188" s="122"/>
      <c r="BC14188" s="141"/>
    </row>
    <row r="14189">
      <c r="BB14189" s="122"/>
      <c r="BC14189" s="141"/>
    </row>
    <row r="14190">
      <c r="BB14190" s="122"/>
      <c r="BC14190" s="141"/>
    </row>
    <row r="14191">
      <c r="BB14191" s="122"/>
      <c r="BC14191" s="141"/>
    </row>
    <row r="14192">
      <c r="BB14192" s="122"/>
      <c r="BC14192" s="141"/>
    </row>
    <row r="14193">
      <c r="BB14193" s="122"/>
      <c r="BC14193" s="141"/>
    </row>
    <row r="14194">
      <c r="BB14194" s="122"/>
      <c r="BC14194" s="141"/>
    </row>
    <row r="14195">
      <c r="BB14195" s="122"/>
      <c r="BC14195" s="141"/>
    </row>
    <row r="14196">
      <c r="BB14196" s="122"/>
      <c r="BC14196" s="141"/>
    </row>
    <row r="14197">
      <c r="BB14197" s="122"/>
      <c r="BC14197" s="141"/>
    </row>
    <row r="14198">
      <c r="BB14198" s="122"/>
      <c r="BC14198" s="141"/>
    </row>
    <row r="14199">
      <c r="BB14199" s="122"/>
      <c r="BC14199" s="141"/>
    </row>
    <row r="14200">
      <c r="BB14200" s="122"/>
      <c r="BC14200" s="141"/>
    </row>
    <row r="14201">
      <c r="BB14201" s="122"/>
      <c r="BC14201" s="141"/>
    </row>
    <row r="14202">
      <c r="BB14202" s="122"/>
      <c r="BC14202" s="141"/>
    </row>
    <row r="14203">
      <c r="BB14203" s="122"/>
      <c r="BC14203" s="141"/>
    </row>
    <row r="14204">
      <c r="BB14204" s="122"/>
      <c r="BC14204" s="141"/>
    </row>
    <row r="14205">
      <c r="BB14205" s="122"/>
      <c r="BC14205" s="141"/>
    </row>
    <row r="14206">
      <c r="BB14206" s="122"/>
      <c r="BC14206" s="141"/>
    </row>
    <row r="14207">
      <c r="BB14207" s="122"/>
      <c r="BC14207" s="141"/>
    </row>
    <row r="14208">
      <c r="BB14208" s="122"/>
      <c r="BC14208" s="141"/>
    </row>
    <row r="14209">
      <c r="BB14209" s="122"/>
      <c r="BC14209" s="141"/>
    </row>
    <row r="14210">
      <c r="BB14210" s="122"/>
      <c r="BC14210" s="141"/>
    </row>
    <row r="14211">
      <c r="BB14211" s="122"/>
      <c r="BC14211" s="141"/>
    </row>
    <row r="14212">
      <c r="BB14212" s="122"/>
      <c r="BC14212" s="141"/>
    </row>
    <row r="14213">
      <c r="BB14213" s="122"/>
      <c r="BC14213" s="141"/>
    </row>
    <row r="14214">
      <c r="BB14214" s="122"/>
      <c r="BC14214" s="141"/>
    </row>
    <row r="14215">
      <c r="BB14215" s="122"/>
      <c r="BC14215" s="141"/>
    </row>
    <row r="14216">
      <c r="BB14216" s="122"/>
      <c r="BC14216" s="141"/>
    </row>
    <row r="14217">
      <c r="BB14217" s="122"/>
      <c r="BC14217" s="141"/>
    </row>
    <row r="14218">
      <c r="BB14218" s="122"/>
      <c r="BC14218" s="141"/>
    </row>
    <row r="14219">
      <c r="BB14219" s="122"/>
      <c r="BC14219" s="141"/>
    </row>
    <row r="14220">
      <c r="BB14220" s="122"/>
      <c r="BC14220" s="141"/>
    </row>
    <row r="14221">
      <c r="BB14221" s="122"/>
      <c r="BC14221" s="141"/>
    </row>
    <row r="14222">
      <c r="BB14222" s="122"/>
      <c r="BC14222" s="141"/>
    </row>
    <row r="14223">
      <c r="BB14223" s="122"/>
      <c r="BC14223" s="141"/>
    </row>
    <row r="14224">
      <c r="BB14224" s="122"/>
      <c r="BC14224" s="141"/>
    </row>
    <row r="14225">
      <c r="BB14225" s="122"/>
      <c r="BC14225" s="141"/>
    </row>
    <row r="14226">
      <c r="BB14226" s="122"/>
      <c r="BC14226" s="141"/>
    </row>
    <row r="14227">
      <c r="BB14227" s="122"/>
      <c r="BC14227" s="141"/>
    </row>
    <row r="14228">
      <c r="BB14228" s="122"/>
      <c r="BC14228" s="141"/>
    </row>
    <row r="14229">
      <c r="BB14229" s="122"/>
      <c r="BC14229" s="141"/>
    </row>
    <row r="14230">
      <c r="BB14230" s="122"/>
      <c r="BC14230" s="141"/>
    </row>
    <row r="14231">
      <c r="BB14231" s="122"/>
      <c r="BC14231" s="141"/>
    </row>
    <row r="14232">
      <c r="BB14232" s="122"/>
      <c r="BC14232" s="141"/>
    </row>
    <row r="14233">
      <c r="BB14233" s="122"/>
      <c r="BC14233" s="141"/>
    </row>
    <row r="14234">
      <c r="BB14234" s="122"/>
      <c r="BC14234" s="141"/>
    </row>
    <row r="14235">
      <c r="BB14235" s="122"/>
      <c r="BC14235" s="141"/>
    </row>
    <row r="14236">
      <c r="BB14236" s="122"/>
      <c r="BC14236" s="141"/>
    </row>
    <row r="14237">
      <c r="BB14237" s="122"/>
      <c r="BC14237" s="141"/>
    </row>
    <row r="14238">
      <c r="BB14238" s="122"/>
      <c r="BC14238" s="141"/>
    </row>
    <row r="14239">
      <c r="BB14239" s="122"/>
      <c r="BC14239" s="141"/>
    </row>
    <row r="14240">
      <c r="BB14240" s="122"/>
      <c r="BC14240" s="141"/>
    </row>
    <row r="14241">
      <c r="BB14241" s="122"/>
      <c r="BC14241" s="141"/>
    </row>
    <row r="14242">
      <c r="BB14242" s="122"/>
      <c r="BC14242" s="141"/>
    </row>
    <row r="14243">
      <c r="BB14243" s="122"/>
      <c r="BC14243" s="141"/>
    </row>
    <row r="14244">
      <c r="BB14244" s="122"/>
      <c r="BC14244" s="141"/>
    </row>
    <row r="14245">
      <c r="BB14245" s="122"/>
      <c r="BC14245" s="141"/>
    </row>
    <row r="14246">
      <c r="BB14246" s="122"/>
      <c r="BC14246" s="141"/>
    </row>
    <row r="14247">
      <c r="BB14247" s="122"/>
      <c r="BC14247" s="141"/>
    </row>
    <row r="14248">
      <c r="BB14248" s="122"/>
      <c r="BC14248" s="141"/>
    </row>
    <row r="14249">
      <c r="BB14249" s="122"/>
      <c r="BC14249" s="141"/>
    </row>
    <row r="14250">
      <c r="BB14250" s="122"/>
      <c r="BC14250" s="141"/>
    </row>
    <row r="14251">
      <c r="BB14251" s="122"/>
      <c r="BC14251" s="141"/>
    </row>
    <row r="14252">
      <c r="BB14252" s="122"/>
      <c r="BC14252" s="141"/>
    </row>
    <row r="14253">
      <c r="BB14253" s="122"/>
      <c r="BC14253" s="141"/>
    </row>
    <row r="14254">
      <c r="BB14254" s="122"/>
      <c r="BC14254" s="141"/>
    </row>
    <row r="14255">
      <c r="BB14255" s="122"/>
      <c r="BC14255" s="141"/>
    </row>
    <row r="14256">
      <c r="BB14256" s="122"/>
      <c r="BC14256" s="141"/>
    </row>
    <row r="14257">
      <c r="BB14257" s="122"/>
      <c r="BC14257" s="141"/>
    </row>
    <row r="14258">
      <c r="BB14258" s="122"/>
      <c r="BC14258" s="141"/>
    </row>
    <row r="14259">
      <c r="BB14259" s="122"/>
      <c r="BC14259" s="141"/>
    </row>
    <row r="14260">
      <c r="BB14260" s="122"/>
      <c r="BC14260" s="141"/>
    </row>
    <row r="14261">
      <c r="BB14261" s="122"/>
      <c r="BC14261" s="141"/>
    </row>
    <row r="14262">
      <c r="BB14262" s="122"/>
      <c r="BC14262" s="141"/>
    </row>
    <row r="14263">
      <c r="BB14263" s="122"/>
      <c r="BC14263" s="141"/>
    </row>
    <row r="14264">
      <c r="BB14264" s="122"/>
      <c r="BC14264" s="141"/>
    </row>
    <row r="14265">
      <c r="BB14265" s="122"/>
      <c r="BC14265" s="141"/>
    </row>
    <row r="14266">
      <c r="BB14266" s="122"/>
      <c r="BC14266" s="141"/>
    </row>
    <row r="14267">
      <c r="BB14267" s="122"/>
      <c r="BC14267" s="141"/>
    </row>
    <row r="14268">
      <c r="BB14268" s="122"/>
      <c r="BC14268" s="141"/>
    </row>
    <row r="14269">
      <c r="BB14269" s="122"/>
      <c r="BC14269" s="141"/>
    </row>
    <row r="14270">
      <c r="BB14270" s="122"/>
      <c r="BC14270" s="141"/>
    </row>
    <row r="14271">
      <c r="BB14271" s="122"/>
      <c r="BC14271" s="141"/>
    </row>
    <row r="14272">
      <c r="BB14272" s="122"/>
      <c r="BC14272" s="141"/>
    </row>
    <row r="14273">
      <c r="BB14273" s="122"/>
      <c r="BC14273" s="141"/>
    </row>
    <row r="14274">
      <c r="BB14274" s="122"/>
      <c r="BC14274" s="141"/>
    </row>
    <row r="14275">
      <c r="BB14275" s="122"/>
      <c r="BC14275" s="141"/>
    </row>
    <row r="14276">
      <c r="BB14276" s="122"/>
      <c r="BC14276" s="141"/>
    </row>
    <row r="14277">
      <c r="BB14277" s="122"/>
      <c r="BC14277" s="141"/>
    </row>
    <row r="14278">
      <c r="BB14278" s="122"/>
      <c r="BC14278" s="141"/>
    </row>
    <row r="14279">
      <c r="BB14279" s="122"/>
      <c r="BC14279" s="141"/>
    </row>
    <row r="14280">
      <c r="BB14280" s="122"/>
      <c r="BC14280" s="141"/>
    </row>
    <row r="14281">
      <c r="BB14281" s="122"/>
      <c r="BC14281" s="141"/>
    </row>
    <row r="14282">
      <c r="BB14282" s="122"/>
      <c r="BC14282" s="141"/>
    </row>
    <row r="14283">
      <c r="BB14283" s="122"/>
      <c r="BC14283" s="141"/>
    </row>
    <row r="14284">
      <c r="BB14284" s="122"/>
      <c r="BC14284" s="141"/>
    </row>
    <row r="14285">
      <c r="BB14285" s="122"/>
      <c r="BC14285" s="141"/>
    </row>
    <row r="14286">
      <c r="BB14286" s="122"/>
      <c r="BC14286" s="141"/>
    </row>
    <row r="14287">
      <c r="BB14287" s="122"/>
      <c r="BC14287" s="141"/>
    </row>
    <row r="14288">
      <c r="BB14288" s="122"/>
      <c r="BC14288" s="141"/>
    </row>
    <row r="14289">
      <c r="BB14289" s="122"/>
      <c r="BC14289" s="141"/>
    </row>
    <row r="14290">
      <c r="BB14290" s="122"/>
      <c r="BC14290" s="141"/>
    </row>
    <row r="14291">
      <c r="BB14291" s="122"/>
      <c r="BC14291" s="141"/>
    </row>
    <row r="14292">
      <c r="BB14292" s="122"/>
      <c r="BC14292" s="141"/>
    </row>
    <row r="14293">
      <c r="BB14293" s="122"/>
      <c r="BC14293" s="141"/>
    </row>
    <row r="14294">
      <c r="BB14294" s="122"/>
      <c r="BC14294" s="141"/>
    </row>
    <row r="14295">
      <c r="BB14295" s="122"/>
      <c r="BC14295" s="141"/>
    </row>
    <row r="14296">
      <c r="BB14296" s="122"/>
      <c r="BC14296" s="141"/>
    </row>
    <row r="14297">
      <c r="BB14297" s="122"/>
      <c r="BC14297" s="141"/>
    </row>
    <row r="14298">
      <c r="BB14298" s="122"/>
      <c r="BC14298" s="141"/>
    </row>
    <row r="14299">
      <c r="BB14299" s="122"/>
      <c r="BC14299" s="141"/>
    </row>
    <row r="14300">
      <c r="BB14300" s="122"/>
      <c r="BC14300" s="141"/>
    </row>
    <row r="14301">
      <c r="BB14301" s="122"/>
      <c r="BC14301" s="141"/>
    </row>
    <row r="14302">
      <c r="BB14302" s="122"/>
      <c r="BC14302" s="141"/>
    </row>
    <row r="14303">
      <c r="BB14303" s="122"/>
      <c r="BC14303" s="141"/>
    </row>
    <row r="14304">
      <c r="BB14304" s="122"/>
      <c r="BC14304" s="141"/>
    </row>
    <row r="14305">
      <c r="BB14305" s="122"/>
      <c r="BC14305" s="141"/>
    </row>
    <row r="14306">
      <c r="BB14306" s="122"/>
      <c r="BC14306" s="141"/>
    </row>
    <row r="14307">
      <c r="BB14307" s="122"/>
      <c r="BC14307" s="141"/>
    </row>
    <row r="14308">
      <c r="BB14308" s="122"/>
      <c r="BC14308" s="141"/>
    </row>
    <row r="14309">
      <c r="BB14309" s="122"/>
      <c r="BC14309" s="141"/>
    </row>
    <row r="14310">
      <c r="BB14310" s="122"/>
      <c r="BC14310" s="141"/>
    </row>
    <row r="14311">
      <c r="BB14311" s="122"/>
      <c r="BC14311" s="141"/>
    </row>
    <row r="14312">
      <c r="BB14312" s="122"/>
      <c r="BC14312" s="141"/>
    </row>
    <row r="14313">
      <c r="BB14313" s="122"/>
      <c r="BC14313" s="141"/>
    </row>
    <row r="14314">
      <c r="BB14314" s="122"/>
      <c r="BC14314" s="141"/>
    </row>
    <row r="14315">
      <c r="BB14315" s="122"/>
      <c r="BC14315" s="141"/>
    </row>
    <row r="14316">
      <c r="BB14316" s="122"/>
      <c r="BC14316" s="141"/>
    </row>
    <row r="14317">
      <c r="BB14317" s="122"/>
      <c r="BC14317" s="141"/>
    </row>
    <row r="14318">
      <c r="BB14318" s="122"/>
      <c r="BC14318" s="141"/>
    </row>
    <row r="14319">
      <c r="BB14319" s="122"/>
      <c r="BC14319" s="141"/>
    </row>
    <row r="14320">
      <c r="BB14320" s="122"/>
      <c r="BC14320" s="141"/>
    </row>
    <row r="14321">
      <c r="BB14321" s="122"/>
      <c r="BC14321" s="141"/>
    </row>
    <row r="14322">
      <c r="BB14322" s="122"/>
      <c r="BC14322" s="141"/>
    </row>
    <row r="14323">
      <c r="BB14323" s="122"/>
      <c r="BC14323" s="141"/>
    </row>
    <row r="14324">
      <c r="BB14324" s="122"/>
      <c r="BC14324" s="141"/>
    </row>
    <row r="14325">
      <c r="BB14325" s="122"/>
      <c r="BC14325" s="141"/>
    </row>
    <row r="14326">
      <c r="BB14326" s="122"/>
      <c r="BC14326" s="141"/>
    </row>
    <row r="14327">
      <c r="BB14327" s="122"/>
      <c r="BC14327" s="141"/>
    </row>
    <row r="14328">
      <c r="BB14328" s="122"/>
      <c r="BC14328" s="141"/>
    </row>
    <row r="14329">
      <c r="BB14329" s="122"/>
      <c r="BC14329" s="141"/>
    </row>
    <row r="14330">
      <c r="BB14330" s="122"/>
      <c r="BC14330" s="141"/>
    </row>
    <row r="14331">
      <c r="BB14331" s="122"/>
      <c r="BC14331" s="141"/>
    </row>
    <row r="14332">
      <c r="BB14332" s="122"/>
      <c r="BC14332" s="141"/>
    </row>
    <row r="14333">
      <c r="BB14333" s="122"/>
      <c r="BC14333" s="141"/>
    </row>
    <row r="14334">
      <c r="BB14334" s="122"/>
      <c r="BC14334" s="141"/>
    </row>
    <row r="14335">
      <c r="BB14335" s="122"/>
      <c r="BC14335" s="141"/>
    </row>
    <row r="14336">
      <c r="BB14336" s="122"/>
      <c r="BC14336" s="141"/>
    </row>
    <row r="14337">
      <c r="BB14337" s="122"/>
      <c r="BC14337" s="141"/>
    </row>
    <row r="14338">
      <c r="BB14338" s="122"/>
      <c r="BC14338" s="141"/>
    </row>
    <row r="14339">
      <c r="BB14339" s="122"/>
      <c r="BC14339" s="141"/>
    </row>
    <row r="14340">
      <c r="BB14340" s="122"/>
      <c r="BC14340" s="141"/>
    </row>
    <row r="14341">
      <c r="BB14341" s="122"/>
      <c r="BC14341" s="141"/>
    </row>
    <row r="14342">
      <c r="BB14342" s="122"/>
      <c r="BC14342" s="141"/>
    </row>
    <row r="14343">
      <c r="BB14343" s="122"/>
      <c r="BC14343" s="141"/>
    </row>
    <row r="14344">
      <c r="BB14344" s="122"/>
      <c r="BC14344" s="141"/>
    </row>
    <row r="14345">
      <c r="BB14345" s="122"/>
      <c r="BC14345" s="141"/>
    </row>
    <row r="14346">
      <c r="BB14346" s="122"/>
      <c r="BC14346" s="141"/>
    </row>
    <row r="14347">
      <c r="BB14347" s="122"/>
      <c r="BC14347" s="141"/>
    </row>
    <row r="14348">
      <c r="BB14348" s="122"/>
      <c r="BC14348" s="141"/>
    </row>
    <row r="14349">
      <c r="BB14349" s="122"/>
      <c r="BC14349" s="141"/>
    </row>
    <row r="14350">
      <c r="BB14350" s="122"/>
      <c r="BC14350" s="141"/>
    </row>
    <row r="14351">
      <c r="BB14351" s="122"/>
      <c r="BC14351" s="141"/>
    </row>
    <row r="14352">
      <c r="BB14352" s="122"/>
      <c r="BC14352" s="141"/>
    </row>
    <row r="14353">
      <c r="BB14353" s="122"/>
      <c r="BC14353" s="141"/>
    </row>
    <row r="14354">
      <c r="BB14354" s="122"/>
      <c r="BC14354" s="141"/>
    </row>
    <row r="14355">
      <c r="BB14355" s="122"/>
      <c r="BC14355" s="141"/>
    </row>
    <row r="14356">
      <c r="BB14356" s="122"/>
      <c r="BC14356" s="141"/>
    </row>
    <row r="14357">
      <c r="BB14357" s="122"/>
      <c r="BC14357" s="141"/>
    </row>
    <row r="14358">
      <c r="BB14358" s="122"/>
      <c r="BC14358" s="141"/>
    </row>
    <row r="14359">
      <c r="BB14359" s="122"/>
      <c r="BC14359" s="141"/>
    </row>
    <row r="14360">
      <c r="BB14360" s="122"/>
      <c r="BC14360" s="141"/>
    </row>
    <row r="14361">
      <c r="BB14361" s="122"/>
      <c r="BC14361" s="141"/>
    </row>
    <row r="14362">
      <c r="BB14362" s="122"/>
      <c r="BC14362" s="141"/>
    </row>
    <row r="14363">
      <c r="BB14363" s="122"/>
      <c r="BC14363" s="141"/>
    </row>
    <row r="14364">
      <c r="BB14364" s="122"/>
      <c r="BC14364" s="141"/>
    </row>
    <row r="14365">
      <c r="BB14365" s="122"/>
      <c r="BC14365" s="141"/>
    </row>
    <row r="14366">
      <c r="BB14366" s="122"/>
      <c r="BC14366" s="141"/>
    </row>
    <row r="14367">
      <c r="BB14367" s="122"/>
      <c r="BC14367" s="141"/>
    </row>
    <row r="14368">
      <c r="BB14368" s="122"/>
      <c r="BC14368" s="141"/>
    </row>
    <row r="14369">
      <c r="BB14369" s="122"/>
      <c r="BC14369" s="141"/>
    </row>
    <row r="14370">
      <c r="BB14370" s="122"/>
      <c r="BC14370" s="141"/>
    </row>
    <row r="14371">
      <c r="BB14371" s="122"/>
      <c r="BC14371" s="141"/>
    </row>
    <row r="14372">
      <c r="BB14372" s="122"/>
      <c r="BC14372" s="141"/>
    </row>
    <row r="14373">
      <c r="BB14373" s="122"/>
      <c r="BC14373" s="141"/>
    </row>
    <row r="14374">
      <c r="BB14374" s="122"/>
      <c r="BC14374" s="141"/>
    </row>
    <row r="14375">
      <c r="BB14375" s="122"/>
      <c r="BC14375" s="141"/>
    </row>
    <row r="14376">
      <c r="BB14376" s="122"/>
      <c r="BC14376" s="141"/>
    </row>
    <row r="14377">
      <c r="BB14377" s="122"/>
      <c r="BC14377" s="141"/>
    </row>
    <row r="14378">
      <c r="BB14378" s="122"/>
      <c r="BC14378" s="141"/>
    </row>
    <row r="14379">
      <c r="BB14379" s="122"/>
      <c r="BC14379" s="141"/>
    </row>
    <row r="14380">
      <c r="BB14380" s="122"/>
      <c r="BC14380" s="141"/>
    </row>
    <row r="14381">
      <c r="BB14381" s="122"/>
      <c r="BC14381" s="141"/>
    </row>
    <row r="14382">
      <c r="BB14382" s="122"/>
      <c r="BC14382" s="141"/>
    </row>
    <row r="14383">
      <c r="BB14383" s="122"/>
      <c r="BC14383" s="141"/>
    </row>
    <row r="14384">
      <c r="BB14384" s="122"/>
      <c r="BC14384" s="141"/>
    </row>
    <row r="14385">
      <c r="BB14385" s="122"/>
      <c r="BC14385" s="141"/>
    </row>
    <row r="14386">
      <c r="BB14386" s="122"/>
      <c r="BC14386" s="141"/>
    </row>
    <row r="14387">
      <c r="BB14387" s="122"/>
      <c r="BC14387" s="141"/>
    </row>
    <row r="14388">
      <c r="BB14388" s="122"/>
      <c r="BC14388" s="141"/>
    </row>
    <row r="14389">
      <c r="BB14389" s="122"/>
      <c r="BC14389" s="141"/>
    </row>
    <row r="14390">
      <c r="BB14390" s="122"/>
      <c r="BC14390" s="141"/>
    </row>
    <row r="14391">
      <c r="BB14391" s="122"/>
      <c r="BC14391" s="141"/>
    </row>
    <row r="14392">
      <c r="BB14392" s="122"/>
      <c r="BC14392" s="141"/>
    </row>
    <row r="14393">
      <c r="BB14393" s="122"/>
      <c r="BC14393" s="141"/>
    </row>
    <row r="14394">
      <c r="BB14394" s="122"/>
      <c r="BC14394" s="141"/>
    </row>
    <row r="14395">
      <c r="BB14395" s="122"/>
      <c r="BC14395" s="141"/>
    </row>
    <row r="14396">
      <c r="BB14396" s="122"/>
      <c r="BC14396" s="141"/>
    </row>
    <row r="14397">
      <c r="BB14397" s="122"/>
      <c r="BC14397" s="141"/>
    </row>
    <row r="14398">
      <c r="BB14398" s="122"/>
      <c r="BC14398" s="141"/>
    </row>
    <row r="14399">
      <c r="BB14399" s="122"/>
      <c r="BC14399" s="141"/>
    </row>
    <row r="14400">
      <c r="BB14400" s="122"/>
      <c r="BC14400" s="141"/>
    </row>
    <row r="14401">
      <c r="BB14401" s="122"/>
      <c r="BC14401" s="141"/>
    </row>
    <row r="14402">
      <c r="BB14402" s="122"/>
      <c r="BC14402" s="141"/>
    </row>
    <row r="14403">
      <c r="BB14403" s="122"/>
      <c r="BC14403" s="141"/>
    </row>
    <row r="14404">
      <c r="BB14404" s="122"/>
      <c r="BC14404" s="141"/>
    </row>
    <row r="14405">
      <c r="BB14405" s="122"/>
      <c r="BC14405" s="141"/>
    </row>
    <row r="14406">
      <c r="BB14406" s="122"/>
      <c r="BC14406" s="141"/>
    </row>
    <row r="14407">
      <c r="BB14407" s="122"/>
      <c r="BC14407" s="141"/>
    </row>
    <row r="14408">
      <c r="BB14408" s="122"/>
      <c r="BC14408" s="141"/>
    </row>
    <row r="14409">
      <c r="BB14409" s="122"/>
      <c r="BC14409" s="141"/>
    </row>
    <row r="14410">
      <c r="BB14410" s="122"/>
      <c r="BC14410" s="141"/>
    </row>
    <row r="14411">
      <c r="BB14411" s="122"/>
      <c r="BC14411" s="141"/>
    </row>
    <row r="14412">
      <c r="BB14412" s="122"/>
      <c r="BC14412" s="141"/>
    </row>
    <row r="14413">
      <c r="BB14413" s="122"/>
      <c r="BC14413" s="141"/>
    </row>
    <row r="14414">
      <c r="BB14414" s="122"/>
      <c r="BC14414" s="141"/>
    </row>
    <row r="14415">
      <c r="BB14415" s="122"/>
      <c r="BC14415" s="141"/>
    </row>
    <row r="14416">
      <c r="BB14416" s="122"/>
      <c r="BC14416" s="141"/>
    </row>
    <row r="14417">
      <c r="BB14417" s="122"/>
      <c r="BC14417" s="141"/>
    </row>
    <row r="14418">
      <c r="BB14418" s="122"/>
      <c r="BC14418" s="141"/>
    </row>
    <row r="14419">
      <c r="BB14419" s="122"/>
      <c r="BC14419" s="141"/>
    </row>
    <row r="14420">
      <c r="BB14420" s="122"/>
      <c r="BC14420" s="141"/>
    </row>
    <row r="14421">
      <c r="BB14421" s="122"/>
      <c r="BC14421" s="141"/>
    </row>
    <row r="14422">
      <c r="BB14422" s="122"/>
      <c r="BC14422" s="141"/>
    </row>
    <row r="14423">
      <c r="BB14423" s="122"/>
      <c r="BC14423" s="141"/>
    </row>
    <row r="14424">
      <c r="BB14424" s="122"/>
      <c r="BC14424" s="141"/>
    </row>
    <row r="14425">
      <c r="BB14425" s="122"/>
      <c r="BC14425" s="141"/>
    </row>
    <row r="14426">
      <c r="BB14426" s="122"/>
      <c r="BC14426" s="141"/>
    </row>
    <row r="14427">
      <c r="BB14427" s="122"/>
      <c r="BC14427" s="141"/>
    </row>
    <row r="14428">
      <c r="BB14428" s="122"/>
      <c r="BC14428" s="141"/>
    </row>
    <row r="14429">
      <c r="BB14429" s="122"/>
      <c r="BC14429" s="141"/>
    </row>
    <row r="14430">
      <c r="BB14430" s="122"/>
      <c r="BC14430" s="141"/>
    </row>
    <row r="14431">
      <c r="BB14431" s="122"/>
      <c r="BC14431" s="141"/>
    </row>
    <row r="14432">
      <c r="BB14432" s="122"/>
      <c r="BC14432" s="141"/>
    </row>
    <row r="14433">
      <c r="BB14433" s="122"/>
      <c r="BC14433" s="141"/>
    </row>
    <row r="14434">
      <c r="BB14434" s="122"/>
      <c r="BC14434" s="141"/>
    </row>
    <row r="14435">
      <c r="BB14435" s="122"/>
      <c r="BC14435" s="141"/>
    </row>
    <row r="14436">
      <c r="BB14436" s="122"/>
      <c r="BC14436" s="141"/>
    </row>
    <row r="14437">
      <c r="BB14437" s="122"/>
      <c r="BC14437" s="141"/>
    </row>
    <row r="14438">
      <c r="BB14438" s="122"/>
      <c r="BC14438" s="141"/>
    </row>
    <row r="14439">
      <c r="BB14439" s="122"/>
      <c r="BC14439" s="141"/>
    </row>
    <row r="14440">
      <c r="BB14440" s="122"/>
      <c r="BC14440" s="141"/>
    </row>
    <row r="14441">
      <c r="BB14441" s="122"/>
      <c r="BC14441" s="141"/>
    </row>
    <row r="14442">
      <c r="BB14442" s="122"/>
      <c r="BC14442" s="141"/>
    </row>
    <row r="14443">
      <c r="BB14443" s="122"/>
      <c r="BC14443" s="141"/>
    </row>
    <row r="14444">
      <c r="BB14444" s="122"/>
      <c r="BC14444" s="141"/>
    </row>
    <row r="14445">
      <c r="BB14445" s="122"/>
      <c r="BC14445" s="141"/>
    </row>
    <row r="14446">
      <c r="BB14446" s="122"/>
      <c r="BC14446" s="141"/>
    </row>
    <row r="14447">
      <c r="BB14447" s="122"/>
      <c r="BC14447" s="141"/>
    </row>
    <row r="14448">
      <c r="BB14448" s="122"/>
      <c r="BC14448" s="141"/>
    </row>
    <row r="14449">
      <c r="BB14449" s="122"/>
      <c r="BC14449" s="141"/>
    </row>
    <row r="14450">
      <c r="BB14450" s="122"/>
      <c r="BC14450" s="141"/>
    </row>
    <row r="14451">
      <c r="BB14451" s="122"/>
      <c r="BC14451" s="141"/>
    </row>
    <row r="14452">
      <c r="BB14452" s="122"/>
      <c r="BC14452" s="141"/>
    </row>
    <row r="14453">
      <c r="BB14453" s="122"/>
      <c r="BC14453" s="141"/>
    </row>
    <row r="14454">
      <c r="BB14454" s="122"/>
      <c r="BC14454" s="141"/>
    </row>
    <row r="14455">
      <c r="BB14455" s="122"/>
      <c r="BC14455" s="141"/>
    </row>
    <row r="14456">
      <c r="BB14456" s="122"/>
      <c r="BC14456" s="141"/>
    </row>
    <row r="14457">
      <c r="BB14457" s="122"/>
      <c r="BC14457" s="141"/>
    </row>
    <row r="14458">
      <c r="BB14458" s="122"/>
      <c r="BC14458" s="141"/>
    </row>
    <row r="14459">
      <c r="BB14459" s="122"/>
      <c r="BC14459" s="141"/>
    </row>
    <row r="14460">
      <c r="BB14460" s="122"/>
      <c r="BC14460" s="141"/>
    </row>
    <row r="14461">
      <c r="BB14461" s="122"/>
      <c r="BC14461" s="141"/>
    </row>
    <row r="14462">
      <c r="BB14462" s="122"/>
      <c r="BC14462" s="141"/>
    </row>
    <row r="14463">
      <c r="BB14463" s="122"/>
      <c r="BC14463" s="141"/>
    </row>
    <row r="14464">
      <c r="BB14464" s="122"/>
      <c r="BC14464" s="141"/>
    </row>
    <row r="14465">
      <c r="BB14465" s="122"/>
      <c r="BC14465" s="141"/>
    </row>
    <row r="14466">
      <c r="BB14466" s="122"/>
      <c r="BC14466" s="141"/>
    </row>
    <row r="14467">
      <c r="BB14467" s="122"/>
      <c r="BC14467" s="141"/>
    </row>
    <row r="14468">
      <c r="BB14468" s="122"/>
      <c r="BC14468" s="141"/>
    </row>
    <row r="14469">
      <c r="BB14469" s="122"/>
      <c r="BC14469" s="141"/>
    </row>
    <row r="14470">
      <c r="BB14470" s="122"/>
      <c r="BC14470" s="141"/>
    </row>
    <row r="14471">
      <c r="BB14471" s="122"/>
      <c r="BC14471" s="141"/>
    </row>
    <row r="14472">
      <c r="BB14472" s="122"/>
      <c r="BC14472" s="141"/>
    </row>
    <row r="14473">
      <c r="BB14473" s="122"/>
      <c r="BC14473" s="141"/>
    </row>
    <row r="14474">
      <c r="BB14474" s="122"/>
      <c r="BC14474" s="141"/>
    </row>
    <row r="14475">
      <c r="BB14475" s="122"/>
      <c r="BC14475" s="141"/>
    </row>
    <row r="14476">
      <c r="BB14476" s="122"/>
      <c r="BC14476" s="141"/>
    </row>
    <row r="14477">
      <c r="BB14477" s="122"/>
      <c r="BC14477" s="141"/>
    </row>
    <row r="14478">
      <c r="BB14478" s="122"/>
      <c r="BC14478" s="141"/>
    </row>
    <row r="14479">
      <c r="BB14479" s="122"/>
      <c r="BC14479" s="141"/>
    </row>
    <row r="14480">
      <c r="BB14480" s="122"/>
      <c r="BC14480" s="141"/>
    </row>
    <row r="14481">
      <c r="BB14481" s="122"/>
      <c r="BC14481" s="141"/>
    </row>
    <row r="14482">
      <c r="BB14482" s="122"/>
      <c r="BC14482" s="141"/>
    </row>
    <row r="14483">
      <c r="BB14483" s="122"/>
      <c r="BC14483" s="141"/>
    </row>
    <row r="14484">
      <c r="BB14484" s="122"/>
      <c r="BC14484" s="141"/>
    </row>
    <row r="14485">
      <c r="BB14485" s="122"/>
      <c r="BC14485" s="141"/>
    </row>
    <row r="14486">
      <c r="BB14486" s="122"/>
      <c r="BC14486" s="141"/>
    </row>
    <row r="14487">
      <c r="BB14487" s="122"/>
      <c r="BC14487" s="141"/>
    </row>
    <row r="14488">
      <c r="BB14488" s="122"/>
      <c r="BC14488" s="141"/>
    </row>
    <row r="14489">
      <c r="BB14489" s="122"/>
      <c r="BC14489" s="141"/>
    </row>
    <row r="14490">
      <c r="BB14490" s="122"/>
      <c r="BC14490" s="141"/>
    </row>
    <row r="14491">
      <c r="BB14491" s="122"/>
      <c r="BC14491" s="141"/>
    </row>
    <row r="14492">
      <c r="BB14492" s="122"/>
      <c r="BC14492" s="141"/>
    </row>
    <row r="14493">
      <c r="BB14493" s="122"/>
      <c r="BC14493" s="141"/>
    </row>
    <row r="14494">
      <c r="BB14494" s="122"/>
      <c r="BC14494" s="141"/>
    </row>
    <row r="14495">
      <c r="BB14495" s="122"/>
      <c r="BC14495" s="141"/>
    </row>
    <row r="14496">
      <c r="BB14496" s="122"/>
      <c r="BC14496" s="141"/>
    </row>
    <row r="14497">
      <c r="BB14497" s="122"/>
      <c r="BC14497" s="141"/>
    </row>
    <row r="14498">
      <c r="BB14498" s="122"/>
      <c r="BC14498" s="141"/>
    </row>
    <row r="14499">
      <c r="BB14499" s="122"/>
      <c r="BC14499" s="141"/>
    </row>
    <row r="14500">
      <c r="BB14500" s="122"/>
      <c r="BC14500" s="141"/>
    </row>
    <row r="14501">
      <c r="BB14501" s="122"/>
      <c r="BC14501" s="141"/>
    </row>
    <row r="14502">
      <c r="BB14502" s="122"/>
      <c r="BC14502" s="141"/>
    </row>
    <row r="14503">
      <c r="BB14503" s="122"/>
      <c r="BC14503" s="141"/>
    </row>
    <row r="14504">
      <c r="BB14504" s="122"/>
      <c r="BC14504" s="141"/>
    </row>
    <row r="14505">
      <c r="BB14505" s="122"/>
      <c r="BC14505" s="141"/>
    </row>
    <row r="14506">
      <c r="BB14506" s="122"/>
      <c r="BC14506" s="141"/>
    </row>
    <row r="14507">
      <c r="BB14507" s="122"/>
      <c r="BC14507" s="141"/>
    </row>
    <row r="14508">
      <c r="BB14508" s="122"/>
      <c r="BC14508" s="141"/>
    </row>
    <row r="14509">
      <c r="BB14509" s="122"/>
      <c r="BC14509" s="141"/>
    </row>
    <row r="14510">
      <c r="BB14510" s="122"/>
      <c r="BC14510" s="141"/>
    </row>
    <row r="14511">
      <c r="BB14511" s="122"/>
      <c r="BC14511" s="141"/>
    </row>
    <row r="14512">
      <c r="BB14512" s="122"/>
      <c r="BC14512" s="141"/>
    </row>
    <row r="14513">
      <c r="BB14513" s="122"/>
      <c r="BC14513" s="141"/>
    </row>
    <row r="14514">
      <c r="BB14514" s="122"/>
      <c r="BC14514" s="141"/>
    </row>
    <row r="14515">
      <c r="BB14515" s="122"/>
      <c r="BC14515" s="141"/>
    </row>
    <row r="14516">
      <c r="BB14516" s="122"/>
      <c r="BC14516" s="141"/>
    </row>
    <row r="14517">
      <c r="BB14517" s="122"/>
      <c r="BC14517" s="141"/>
    </row>
    <row r="14518">
      <c r="BB14518" s="122"/>
      <c r="BC14518" s="141"/>
    </row>
    <row r="14519">
      <c r="BB14519" s="122"/>
      <c r="BC14519" s="141"/>
    </row>
    <row r="14520">
      <c r="BB14520" s="122"/>
      <c r="BC14520" s="141"/>
    </row>
    <row r="14521">
      <c r="BB14521" s="122"/>
      <c r="BC14521" s="141"/>
    </row>
    <row r="14522">
      <c r="BB14522" s="122"/>
      <c r="BC14522" s="141"/>
    </row>
    <row r="14523">
      <c r="BB14523" s="122"/>
      <c r="BC14523" s="141"/>
    </row>
    <row r="14524">
      <c r="BB14524" s="122"/>
      <c r="BC14524" s="141"/>
    </row>
    <row r="14525">
      <c r="BB14525" s="122"/>
      <c r="BC14525" s="141"/>
    </row>
    <row r="14526">
      <c r="BB14526" s="122"/>
      <c r="BC14526" s="141"/>
    </row>
    <row r="14527">
      <c r="BB14527" s="122"/>
      <c r="BC14527" s="141"/>
    </row>
    <row r="14528">
      <c r="BB14528" s="122"/>
      <c r="BC14528" s="141"/>
    </row>
    <row r="14529">
      <c r="BB14529" s="122"/>
      <c r="BC14529" s="141"/>
    </row>
    <row r="14530">
      <c r="BB14530" s="122"/>
      <c r="BC14530" s="141"/>
    </row>
    <row r="14531">
      <c r="BB14531" s="122"/>
      <c r="BC14531" s="141"/>
    </row>
    <row r="14532">
      <c r="BB14532" s="122"/>
      <c r="BC14532" s="141"/>
    </row>
    <row r="14533">
      <c r="BB14533" s="122"/>
      <c r="BC14533" s="141"/>
    </row>
    <row r="14534">
      <c r="BB14534" s="122"/>
      <c r="BC14534" s="141"/>
    </row>
    <row r="14535">
      <c r="BB14535" s="122"/>
      <c r="BC14535" s="141"/>
    </row>
    <row r="14536">
      <c r="BB14536" s="122"/>
      <c r="BC14536" s="141"/>
    </row>
    <row r="14537">
      <c r="BB14537" s="122"/>
      <c r="BC14537" s="141"/>
    </row>
    <row r="14538">
      <c r="BB14538" s="122"/>
      <c r="BC14538" s="141"/>
    </row>
    <row r="14539">
      <c r="BB14539" s="122"/>
      <c r="BC14539" s="141"/>
    </row>
    <row r="14540">
      <c r="BB14540" s="122"/>
      <c r="BC14540" s="141"/>
    </row>
    <row r="14541">
      <c r="BB14541" s="122"/>
      <c r="BC14541" s="141"/>
    </row>
    <row r="14542">
      <c r="BB14542" s="122"/>
      <c r="BC14542" s="141"/>
    </row>
    <row r="14543">
      <c r="BB14543" s="122"/>
      <c r="BC14543" s="141"/>
    </row>
    <row r="14544">
      <c r="BB14544" s="122"/>
      <c r="BC14544" s="141"/>
    </row>
    <row r="14545">
      <c r="BB14545" s="122"/>
      <c r="BC14545" s="141"/>
    </row>
    <row r="14546">
      <c r="BB14546" s="122"/>
      <c r="BC14546" s="141"/>
    </row>
    <row r="14547">
      <c r="BB14547" s="122"/>
      <c r="BC14547" s="141"/>
    </row>
    <row r="14548">
      <c r="BB14548" s="122"/>
      <c r="BC14548" s="141"/>
    </row>
    <row r="14549">
      <c r="BB14549" s="122"/>
      <c r="BC14549" s="141"/>
    </row>
    <row r="14550">
      <c r="BB14550" s="122"/>
      <c r="BC14550" s="141"/>
    </row>
    <row r="14551">
      <c r="BB14551" s="122"/>
      <c r="BC14551" s="141"/>
    </row>
    <row r="14552">
      <c r="BB14552" s="122"/>
      <c r="BC14552" s="141"/>
    </row>
    <row r="14553">
      <c r="BB14553" s="122"/>
      <c r="BC14553" s="141"/>
    </row>
    <row r="14554">
      <c r="BB14554" s="122"/>
      <c r="BC14554" s="141"/>
    </row>
    <row r="14555">
      <c r="BB14555" s="122"/>
      <c r="BC14555" s="141"/>
    </row>
    <row r="14556">
      <c r="BB14556" s="122"/>
      <c r="BC14556" s="141"/>
    </row>
    <row r="14557">
      <c r="BB14557" s="122"/>
      <c r="BC14557" s="141"/>
    </row>
    <row r="14558">
      <c r="BB14558" s="122"/>
      <c r="BC14558" s="141"/>
    </row>
    <row r="14559">
      <c r="BB14559" s="122"/>
      <c r="BC14559" s="141"/>
    </row>
    <row r="14560">
      <c r="BB14560" s="122"/>
      <c r="BC14560" s="141"/>
    </row>
    <row r="14561">
      <c r="BB14561" s="122"/>
      <c r="BC14561" s="141"/>
    </row>
    <row r="14562">
      <c r="BB14562" s="122"/>
      <c r="BC14562" s="141"/>
    </row>
    <row r="14563">
      <c r="BB14563" s="122"/>
      <c r="BC14563" s="141"/>
    </row>
    <row r="14564">
      <c r="BB14564" s="122"/>
      <c r="BC14564" s="141"/>
    </row>
    <row r="14565">
      <c r="BB14565" s="122"/>
      <c r="BC14565" s="141"/>
    </row>
    <row r="14566">
      <c r="BB14566" s="122"/>
      <c r="BC14566" s="141"/>
    </row>
    <row r="14567">
      <c r="BB14567" s="122"/>
      <c r="BC14567" s="141"/>
    </row>
    <row r="14568">
      <c r="BB14568" s="122"/>
      <c r="BC14568" s="141"/>
    </row>
    <row r="14569">
      <c r="BB14569" s="122"/>
      <c r="BC14569" s="141"/>
    </row>
    <row r="14570">
      <c r="BB14570" s="122"/>
      <c r="BC14570" s="141"/>
    </row>
    <row r="14571">
      <c r="BB14571" s="122"/>
      <c r="BC14571" s="141"/>
    </row>
    <row r="14572">
      <c r="BB14572" s="122"/>
      <c r="BC14572" s="141"/>
    </row>
    <row r="14573">
      <c r="BB14573" s="122"/>
      <c r="BC14573" s="141"/>
    </row>
    <row r="14574">
      <c r="BB14574" s="122"/>
      <c r="BC14574" s="141"/>
    </row>
    <row r="14575">
      <c r="BB14575" s="122"/>
      <c r="BC14575" s="141"/>
    </row>
    <row r="14576">
      <c r="BB14576" s="122"/>
      <c r="BC14576" s="141"/>
    </row>
    <row r="14577">
      <c r="BB14577" s="122"/>
      <c r="BC14577" s="141"/>
    </row>
    <row r="14578">
      <c r="BB14578" s="122"/>
      <c r="BC14578" s="141"/>
    </row>
    <row r="14579">
      <c r="BB14579" s="122"/>
      <c r="BC14579" s="141"/>
    </row>
    <row r="14580">
      <c r="BB14580" s="122"/>
      <c r="BC14580" s="141"/>
    </row>
    <row r="14581">
      <c r="BB14581" s="122"/>
      <c r="BC14581" s="141"/>
    </row>
    <row r="14582">
      <c r="BB14582" s="122"/>
      <c r="BC14582" s="141"/>
    </row>
    <row r="14583">
      <c r="BB14583" s="122"/>
      <c r="BC14583" s="141"/>
    </row>
    <row r="14584">
      <c r="BB14584" s="122"/>
      <c r="BC14584" s="141"/>
    </row>
    <row r="14585">
      <c r="BB14585" s="122"/>
      <c r="BC14585" s="141"/>
    </row>
    <row r="14586">
      <c r="BB14586" s="122"/>
      <c r="BC14586" s="141"/>
    </row>
    <row r="14587">
      <c r="BB14587" s="122"/>
      <c r="BC14587" s="141"/>
    </row>
    <row r="14588">
      <c r="BB14588" s="122"/>
      <c r="BC14588" s="141"/>
    </row>
    <row r="14589">
      <c r="BB14589" s="122"/>
      <c r="BC14589" s="141"/>
    </row>
    <row r="14590">
      <c r="BB14590" s="122"/>
      <c r="BC14590" s="141"/>
    </row>
    <row r="14591">
      <c r="BB14591" s="122"/>
      <c r="BC14591" s="141"/>
    </row>
    <row r="14592">
      <c r="BB14592" s="122"/>
      <c r="BC14592" s="141"/>
    </row>
    <row r="14593">
      <c r="BB14593" s="122"/>
      <c r="BC14593" s="141"/>
    </row>
    <row r="14594">
      <c r="BB14594" s="122"/>
      <c r="BC14594" s="141"/>
    </row>
    <row r="14595">
      <c r="BB14595" s="122"/>
      <c r="BC14595" s="141"/>
    </row>
    <row r="14596">
      <c r="BB14596" s="122"/>
      <c r="BC14596" s="141"/>
    </row>
    <row r="14597">
      <c r="BB14597" s="122"/>
      <c r="BC14597" s="141"/>
    </row>
    <row r="14598">
      <c r="BB14598" s="122"/>
      <c r="BC14598" s="141"/>
    </row>
    <row r="14599">
      <c r="BB14599" s="122"/>
      <c r="BC14599" s="141"/>
    </row>
    <row r="14600">
      <c r="BB14600" s="122"/>
      <c r="BC14600" s="141"/>
    </row>
    <row r="14601">
      <c r="BB14601" s="122"/>
      <c r="BC14601" s="141"/>
    </row>
    <row r="14602">
      <c r="BB14602" s="122"/>
      <c r="BC14602" s="141"/>
    </row>
    <row r="14603">
      <c r="BB14603" s="122"/>
      <c r="BC14603" s="141"/>
    </row>
    <row r="14604">
      <c r="BB14604" s="122"/>
      <c r="BC14604" s="141"/>
    </row>
    <row r="14605">
      <c r="BB14605" s="122"/>
      <c r="BC14605" s="141"/>
    </row>
    <row r="14606">
      <c r="BB14606" s="122"/>
      <c r="BC14606" s="141"/>
    </row>
    <row r="14607">
      <c r="BB14607" s="122"/>
      <c r="BC14607" s="141"/>
    </row>
    <row r="14608">
      <c r="BB14608" s="122"/>
      <c r="BC14608" s="141"/>
    </row>
    <row r="14609">
      <c r="BB14609" s="122"/>
      <c r="BC14609" s="141"/>
    </row>
    <row r="14610">
      <c r="BB14610" s="122"/>
      <c r="BC14610" s="141"/>
    </row>
    <row r="14611">
      <c r="BB14611" s="122"/>
      <c r="BC14611" s="141"/>
    </row>
    <row r="14612">
      <c r="BB14612" s="122"/>
      <c r="BC14612" s="141"/>
    </row>
    <row r="14613">
      <c r="BB14613" s="122"/>
      <c r="BC14613" s="141"/>
    </row>
    <row r="14614">
      <c r="BB14614" s="122"/>
      <c r="BC14614" s="141"/>
    </row>
    <row r="14615">
      <c r="BB14615" s="122"/>
      <c r="BC14615" s="141"/>
    </row>
    <row r="14616">
      <c r="BB14616" s="122"/>
      <c r="BC14616" s="141"/>
    </row>
    <row r="14617">
      <c r="BB14617" s="122"/>
      <c r="BC14617" s="141"/>
    </row>
    <row r="14618">
      <c r="BB14618" s="122"/>
      <c r="BC14618" s="141"/>
    </row>
    <row r="14619">
      <c r="BB14619" s="122"/>
      <c r="BC14619" s="141"/>
    </row>
    <row r="14620">
      <c r="BB14620" s="122"/>
      <c r="BC14620" s="141"/>
    </row>
    <row r="14621">
      <c r="BB14621" s="122"/>
      <c r="BC14621" s="141"/>
    </row>
    <row r="14622">
      <c r="BB14622" s="122"/>
      <c r="BC14622" s="141"/>
    </row>
    <row r="14623">
      <c r="BB14623" s="122"/>
      <c r="BC14623" s="141"/>
    </row>
    <row r="14624">
      <c r="BB14624" s="122"/>
      <c r="BC14624" s="141"/>
    </row>
    <row r="14625">
      <c r="BB14625" s="122"/>
      <c r="BC14625" s="141"/>
    </row>
    <row r="14626">
      <c r="BB14626" s="122"/>
      <c r="BC14626" s="141"/>
    </row>
    <row r="14627">
      <c r="BB14627" s="122"/>
      <c r="BC14627" s="141"/>
    </row>
    <row r="14628">
      <c r="BB14628" s="122"/>
      <c r="BC14628" s="141"/>
    </row>
    <row r="14629">
      <c r="BB14629" s="122"/>
      <c r="BC14629" s="141"/>
    </row>
    <row r="14630">
      <c r="BB14630" s="122"/>
      <c r="BC14630" s="141"/>
    </row>
    <row r="14631">
      <c r="BB14631" s="122"/>
      <c r="BC14631" s="141"/>
    </row>
    <row r="14632">
      <c r="BB14632" s="122"/>
      <c r="BC14632" s="141"/>
    </row>
    <row r="14633">
      <c r="BB14633" s="122"/>
      <c r="BC14633" s="141"/>
    </row>
    <row r="14634">
      <c r="BB14634" s="122"/>
      <c r="BC14634" s="141"/>
    </row>
    <row r="14635">
      <c r="BB14635" s="122"/>
      <c r="BC14635" s="141"/>
    </row>
    <row r="14636">
      <c r="BB14636" s="122"/>
      <c r="BC14636" s="141"/>
    </row>
    <row r="14637">
      <c r="BB14637" s="122"/>
      <c r="BC14637" s="141"/>
    </row>
    <row r="14638">
      <c r="BB14638" s="122"/>
      <c r="BC14638" s="141"/>
    </row>
    <row r="14639">
      <c r="BB14639" s="122"/>
      <c r="BC14639" s="141"/>
    </row>
    <row r="14640">
      <c r="BB14640" s="122"/>
      <c r="BC14640" s="141"/>
    </row>
    <row r="14641">
      <c r="BB14641" s="122"/>
      <c r="BC14641" s="141"/>
    </row>
    <row r="14642">
      <c r="BB14642" s="122"/>
      <c r="BC14642" s="141"/>
    </row>
    <row r="14643">
      <c r="BB14643" s="122"/>
      <c r="BC14643" s="141"/>
    </row>
    <row r="14644">
      <c r="BB14644" s="122"/>
      <c r="BC14644" s="141"/>
    </row>
    <row r="14645">
      <c r="BB14645" s="122"/>
      <c r="BC14645" s="141"/>
    </row>
    <row r="14646">
      <c r="BB14646" s="122"/>
      <c r="BC14646" s="141"/>
    </row>
    <row r="14647">
      <c r="BB14647" s="122"/>
      <c r="BC14647" s="141"/>
    </row>
    <row r="14648">
      <c r="BB14648" s="122"/>
      <c r="BC14648" s="141"/>
    </row>
    <row r="14649">
      <c r="BB14649" s="122"/>
      <c r="BC14649" s="141"/>
    </row>
    <row r="14650">
      <c r="BB14650" s="122"/>
      <c r="BC14650" s="141"/>
    </row>
    <row r="14651">
      <c r="BB14651" s="122"/>
      <c r="BC14651" s="141"/>
    </row>
    <row r="14652">
      <c r="BB14652" s="122"/>
      <c r="BC14652" s="141"/>
    </row>
    <row r="14653">
      <c r="BB14653" s="122"/>
      <c r="BC14653" s="141"/>
    </row>
    <row r="14654">
      <c r="BB14654" s="122"/>
      <c r="BC14654" s="141"/>
    </row>
    <row r="14655">
      <c r="BB14655" s="122"/>
      <c r="BC14655" s="141"/>
    </row>
    <row r="14656">
      <c r="BB14656" s="122"/>
      <c r="BC14656" s="141"/>
    </row>
    <row r="14657">
      <c r="BB14657" s="122"/>
      <c r="BC14657" s="141"/>
    </row>
    <row r="14658">
      <c r="BB14658" s="122"/>
      <c r="BC14658" s="141"/>
    </row>
    <row r="14659">
      <c r="BB14659" s="122"/>
      <c r="BC14659" s="141"/>
    </row>
    <row r="14660">
      <c r="BB14660" s="122"/>
      <c r="BC14660" s="141"/>
    </row>
    <row r="14661">
      <c r="BB14661" s="122"/>
      <c r="BC14661" s="141"/>
    </row>
    <row r="14662">
      <c r="BB14662" s="122"/>
      <c r="BC14662" s="141"/>
    </row>
    <row r="14663">
      <c r="BB14663" s="122"/>
      <c r="BC14663" s="141"/>
    </row>
    <row r="14664">
      <c r="BB14664" s="122"/>
      <c r="BC14664" s="141"/>
    </row>
    <row r="14665">
      <c r="BB14665" s="122"/>
      <c r="BC14665" s="141"/>
    </row>
    <row r="14666">
      <c r="BB14666" s="122"/>
      <c r="BC14666" s="141"/>
    </row>
    <row r="14667">
      <c r="BB14667" s="122"/>
      <c r="BC14667" s="141"/>
    </row>
    <row r="14668">
      <c r="BB14668" s="122"/>
      <c r="BC14668" s="141"/>
    </row>
    <row r="14669">
      <c r="BB14669" s="122"/>
      <c r="BC14669" s="141"/>
    </row>
    <row r="14670">
      <c r="BB14670" s="122"/>
      <c r="BC14670" s="141"/>
    </row>
    <row r="14671">
      <c r="BB14671" s="122"/>
      <c r="BC14671" s="141"/>
    </row>
    <row r="14672">
      <c r="BB14672" s="122"/>
      <c r="BC14672" s="141"/>
    </row>
    <row r="14673">
      <c r="BB14673" s="122"/>
      <c r="BC14673" s="141"/>
    </row>
    <row r="14674">
      <c r="BB14674" s="122"/>
      <c r="BC14674" s="141"/>
    </row>
    <row r="14675">
      <c r="BB14675" s="122"/>
      <c r="BC14675" s="141"/>
    </row>
    <row r="14676">
      <c r="BB14676" s="122"/>
      <c r="BC14676" s="141"/>
    </row>
    <row r="14677">
      <c r="BB14677" s="122"/>
      <c r="BC14677" s="141"/>
    </row>
    <row r="14678">
      <c r="BB14678" s="122"/>
      <c r="BC14678" s="141"/>
    </row>
    <row r="14679">
      <c r="BB14679" s="122"/>
      <c r="BC14679" s="141"/>
    </row>
    <row r="14680">
      <c r="BB14680" s="122"/>
      <c r="BC14680" s="141"/>
    </row>
    <row r="14681">
      <c r="BB14681" s="122"/>
      <c r="BC14681" s="141"/>
    </row>
    <row r="14682">
      <c r="BB14682" s="122"/>
      <c r="BC14682" s="141"/>
    </row>
    <row r="14683">
      <c r="BB14683" s="122"/>
      <c r="BC14683" s="141"/>
    </row>
    <row r="14684">
      <c r="BB14684" s="122"/>
      <c r="BC14684" s="141"/>
    </row>
    <row r="14685">
      <c r="BB14685" s="122"/>
      <c r="BC14685" s="141"/>
    </row>
    <row r="14686">
      <c r="BB14686" s="122"/>
      <c r="BC14686" s="141"/>
    </row>
    <row r="14687">
      <c r="BB14687" s="122"/>
      <c r="BC14687" s="141"/>
    </row>
    <row r="14688">
      <c r="BB14688" s="122"/>
      <c r="BC14688" s="141"/>
    </row>
    <row r="14689">
      <c r="BB14689" s="122"/>
      <c r="BC14689" s="141"/>
    </row>
    <row r="14690">
      <c r="BB14690" s="122"/>
      <c r="BC14690" s="141"/>
    </row>
    <row r="14691">
      <c r="BB14691" s="122"/>
      <c r="BC14691" s="141"/>
    </row>
    <row r="14692">
      <c r="BB14692" s="122"/>
      <c r="BC14692" s="141"/>
    </row>
    <row r="14693">
      <c r="BB14693" s="122"/>
      <c r="BC14693" s="141"/>
    </row>
    <row r="14694">
      <c r="BB14694" s="122"/>
      <c r="BC14694" s="141"/>
    </row>
    <row r="14695">
      <c r="BB14695" s="122"/>
      <c r="BC14695" s="141"/>
    </row>
    <row r="14696">
      <c r="BB14696" s="122"/>
      <c r="BC14696" s="141"/>
    </row>
    <row r="14697">
      <c r="BB14697" s="122"/>
      <c r="BC14697" s="141"/>
    </row>
    <row r="14698">
      <c r="BB14698" s="122"/>
      <c r="BC14698" s="141"/>
    </row>
    <row r="14699">
      <c r="BB14699" s="122"/>
      <c r="BC14699" s="141"/>
    </row>
    <row r="14700">
      <c r="BB14700" s="122"/>
      <c r="BC14700" s="141"/>
    </row>
    <row r="14701">
      <c r="BB14701" s="122"/>
      <c r="BC14701" s="141"/>
    </row>
    <row r="14702">
      <c r="BB14702" s="122"/>
      <c r="BC14702" s="141"/>
    </row>
    <row r="14703">
      <c r="BB14703" s="122"/>
      <c r="BC14703" s="141"/>
    </row>
    <row r="14704">
      <c r="BB14704" s="122"/>
      <c r="BC14704" s="141"/>
    </row>
    <row r="14705">
      <c r="BB14705" s="122"/>
      <c r="BC14705" s="141"/>
    </row>
    <row r="14706">
      <c r="BB14706" s="122"/>
      <c r="BC14706" s="141"/>
    </row>
    <row r="14707">
      <c r="BB14707" s="122"/>
      <c r="BC14707" s="141"/>
    </row>
    <row r="14708">
      <c r="BB14708" s="122"/>
      <c r="BC14708" s="141"/>
    </row>
    <row r="14709">
      <c r="BB14709" s="122"/>
      <c r="BC14709" s="141"/>
    </row>
    <row r="14710">
      <c r="BB14710" s="122"/>
      <c r="BC14710" s="141"/>
    </row>
    <row r="14711">
      <c r="BB14711" s="122"/>
      <c r="BC14711" s="141"/>
    </row>
    <row r="14712">
      <c r="BB14712" s="122"/>
      <c r="BC14712" s="141"/>
    </row>
    <row r="14713">
      <c r="BB14713" s="122"/>
      <c r="BC14713" s="141"/>
    </row>
    <row r="14714">
      <c r="BB14714" s="122"/>
      <c r="BC14714" s="141"/>
    </row>
    <row r="14715">
      <c r="BB14715" s="122"/>
      <c r="BC14715" s="141"/>
    </row>
    <row r="14716">
      <c r="BB14716" s="122"/>
      <c r="BC14716" s="141"/>
    </row>
    <row r="14717">
      <c r="BB14717" s="122"/>
      <c r="BC14717" s="141"/>
    </row>
    <row r="14718">
      <c r="BB14718" s="122"/>
      <c r="BC14718" s="141"/>
    </row>
    <row r="14719">
      <c r="BB14719" s="122"/>
      <c r="BC14719" s="141"/>
    </row>
    <row r="14720">
      <c r="BB14720" s="122"/>
      <c r="BC14720" s="141"/>
    </row>
    <row r="14721">
      <c r="BB14721" s="122"/>
      <c r="BC14721" s="141"/>
    </row>
    <row r="14722">
      <c r="BB14722" s="122"/>
      <c r="BC14722" s="141"/>
    </row>
    <row r="14723">
      <c r="BB14723" s="122"/>
      <c r="BC14723" s="141"/>
    </row>
    <row r="14724">
      <c r="BB14724" s="122"/>
      <c r="BC14724" s="141"/>
    </row>
    <row r="14725">
      <c r="BB14725" s="122"/>
      <c r="BC14725" s="141"/>
    </row>
    <row r="14726">
      <c r="BB14726" s="122"/>
      <c r="BC14726" s="141"/>
    </row>
    <row r="14727">
      <c r="BB14727" s="122"/>
      <c r="BC14727" s="141"/>
    </row>
    <row r="14728">
      <c r="BB14728" s="122"/>
      <c r="BC14728" s="141"/>
    </row>
    <row r="14729">
      <c r="BB14729" s="122"/>
      <c r="BC14729" s="141"/>
    </row>
    <row r="14730">
      <c r="BB14730" s="122"/>
      <c r="BC14730" s="141"/>
    </row>
    <row r="14731">
      <c r="BB14731" s="122"/>
      <c r="BC14731" s="141"/>
    </row>
    <row r="14732">
      <c r="BB14732" s="122"/>
      <c r="BC14732" s="141"/>
    </row>
    <row r="14733">
      <c r="BB14733" s="122"/>
      <c r="BC14733" s="141"/>
    </row>
    <row r="14734">
      <c r="BB14734" s="122"/>
      <c r="BC14734" s="141"/>
    </row>
    <row r="14735">
      <c r="BB14735" s="122"/>
      <c r="BC14735" s="141"/>
    </row>
    <row r="14736">
      <c r="BB14736" s="122"/>
      <c r="BC14736" s="141"/>
    </row>
    <row r="14737">
      <c r="BB14737" s="122"/>
      <c r="BC14737" s="141"/>
    </row>
    <row r="14738">
      <c r="BB14738" s="122"/>
      <c r="BC14738" s="141"/>
    </row>
    <row r="14739">
      <c r="BB14739" s="122"/>
      <c r="BC14739" s="141"/>
    </row>
    <row r="14740">
      <c r="BB14740" s="122"/>
      <c r="BC14740" s="141"/>
    </row>
    <row r="14741">
      <c r="BB14741" s="122"/>
      <c r="BC14741" s="141"/>
    </row>
    <row r="14742">
      <c r="BB14742" s="122"/>
      <c r="BC14742" s="141"/>
    </row>
    <row r="14743">
      <c r="BB14743" s="122"/>
      <c r="BC14743" s="141"/>
    </row>
    <row r="14744">
      <c r="BB14744" s="122"/>
      <c r="BC14744" s="141"/>
    </row>
    <row r="14745">
      <c r="BB14745" s="122"/>
      <c r="BC14745" s="141"/>
    </row>
    <row r="14746">
      <c r="BB14746" s="122"/>
      <c r="BC14746" s="141"/>
    </row>
    <row r="14747">
      <c r="BB14747" s="122"/>
      <c r="BC14747" s="141"/>
    </row>
    <row r="14748">
      <c r="BB14748" s="122"/>
      <c r="BC14748" s="141"/>
    </row>
    <row r="14749">
      <c r="BB14749" s="122"/>
      <c r="BC14749" s="141"/>
    </row>
    <row r="14750">
      <c r="BB14750" s="122"/>
      <c r="BC14750" s="141"/>
    </row>
    <row r="14751">
      <c r="BB14751" s="122"/>
      <c r="BC14751" s="141"/>
    </row>
    <row r="14752">
      <c r="BB14752" s="122"/>
      <c r="BC14752" s="141"/>
    </row>
    <row r="14753">
      <c r="BB14753" s="122"/>
      <c r="BC14753" s="141"/>
    </row>
    <row r="14754">
      <c r="BB14754" s="122"/>
      <c r="BC14754" s="141"/>
    </row>
    <row r="14755">
      <c r="BB14755" s="122"/>
      <c r="BC14755" s="141"/>
    </row>
    <row r="14756">
      <c r="BB14756" s="122"/>
      <c r="BC14756" s="141"/>
    </row>
    <row r="14757">
      <c r="BB14757" s="122"/>
      <c r="BC14757" s="141"/>
    </row>
    <row r="14758">
      <c r="BB14758" s="122"/>
      <c r="BC14758" s="141"/>
    </row>
    <row r="14759">
      <c r="BB14759" s="122"/>
      <c r="BC14759" s="141"/>
    </row>
    <row r="14760">
      <c r="BB14760" s="122"/>
      <c r="BC14760" s="141"/>
    </row>
    <row r="14761">
      <c r="BB14761" s="122"/>
      <c r="BC14761" s="141"/>
    </row>
    <row r="14762">
      <c r="BB14762" s="122"/>
      <c r="BC14762" s="141"/>
    </row>
    <row r="14763">
      <c r="BB14763" s="122"/>
      <c r="BC14763" s="141"/>
    </row>
    <row r="14764">
      <c r="BB14764" s="122"/>
      <c r="BC14764" s="141"/>
    </row>
    <row r="14765">
      <c r="BB14765" s="122"/>
      <c r="BC14765" s="141"/>
    </row>
    <row r="14766">
      <c r="BB14766" s="122"/>
      <c r="BC14766" s="141"/>
    </row>
    <row r="14767">
      <c r="BB14767" s="122"/>
      <c r="BC14767" s="141"/>
    </row>
    <row r="14768">
      <c r="BB14768" s="122"/>
      <c r="BC14768" s="141"/>
    </row>
    <row r="14769">
      <c r="BB14769" s="122"/>
      <c r="BC14769" s="141"/>
    </row>
    <row r="14770">
      <c r="BB14770" s="122"/>
      <c r="BC14770" s="141"/>
    </row>
    <row r="14771">
      <c r="BB14771" s="122"/>
      <c r="BC14771" s="141"/>
    </row>
    <row r="14772">
      <c r="BB14772" s="122"/>
      <c r="BC14772" s="141"/>
    </row>
    <row r="14773">
      <c r="BB14773" s="122"/>
      <c r="BC14773" s="141"/>
    </row>
    <row r="14774">
      <c r="BB14774" s="122"/>
      <c r="BC14774" s="141"/>
    </row>
    <row r="14775">
      <c r="BB14775" s="122"/>
      <c r="BC14775" s="141"/>
    </row>
    <row r="14776">
      <c r="BB14776" s="122"/>
      <c r="BC14776" s="141"/>
    </row>
    <row r="14777">
      <c r="BB14777" s="122"/>
      <c r="BC14777" s="141"/>
    </row>
    <row r="14778">
      <c r="BB14778" s="122"/>
      <c r="BC14778" s="141"/>
    </row>
    <row r="14779">
      <c r="BB14779" s="122"/>
      <c r="BC14779" s="141"/>
    </row>
    <row r="14780">
      <c r="BB14780" s="122"/>
      <c r="BC14780" s="141"/>
    </row>
    <row r="14781">
      <c r="BB14781" s="122"/>
      <c r="BC14781" s="141"/>
    </row>
    <row r="14782">
      <c r="BB14782" s="122"/>
      <c r="BC14782" s="141"/>
    </row>
    <row r="14783">
      <c r="BB14783" s="122"/>
      <c r="BC14783" s="141"/>
    </row>
    <row r="14784">
      <c r="BB14784" s="122"/>
      <c r="BC14784" s="141"/>
    </row>
    <row r="14785">
      <c r="BB14785" s="122"/>
      <c r="BC14785" s="141"/>
    </row>
    <row r="14786">
      <c r="BB14786" s="122"/>
      <c r="BC14786" s="141"/>
    </row>
    <row r="14787">
      <c r="BB14787" s="122"/>
      <c r="BC14787" s="141"/>
    </row>
    <row r="14788">
      <c r="BB14788" s="122"/>
      <c r="BC14788" s="141"/>
    </row>
    <row r="14789">
      <c r="BB14789" s="122"/>
      <c r="BC14789" s="141"/>
    </row>
    <row r="14790">
      <c r="BB14790" s="122"/>
      <c r="BC14790" s="141"/>
    </row>
    <row r="14791">
      <c r="BB14791" s="122"/>
      <c r="BC14791" s="141"/>
    </row>
    <row r="14792">
      <c r="BB14792" s="122"/>
      <c r="BC14792" s="141"/>
    </row>
    <row r="14793">
      <c r="BB14793" s="122"/>
      <c r="BC14793" s="141"/>
    </row>
    <row r="14794">
      <c r="BB14794" s="122"/>
      <c r="BC14794" s="141"/>
    </row>
    <row r="14795">
      <c r="BB14795" s="122"/>
      <c r="BC14795" s="141"/>
    </row>
    <row r="14796">
      <c r="BB14796" s="122"/>
      <c r="BC14796" s="141"/>
    </row>
    <row r="14797">
      <c r="BB14797" s="122"/>
      <c r="BC14797" s="141"/>
    </row>
    <row r="14798">
      <c r="BB14798" s="122"/>
      <c r="BC14798" s="141"/>
    </row>
    <row r="14799">
      <c r="BB14799" s="122"/>
      <c r="BC14799" s="141"/>
    </row>
    <row r="14800">
      <c r="BB14800" s="122"/>
      <c r="BC14800" s="141"/>
    </row>
    <row r="14801">
      <c r="BB14801" s="122"/>
      <c r="BC14801" s="141"/>
    </row>
    <row r="14802">
      <c r="BB14802" s="122"/>
      <c r="BC14802" s="141"/>
    </row>
    <row r="14803">
      <c r="BB14803" s="122"/>
      <c r="BC14803" s="141"/>
    </row>
    <row r="14804">
      <c r="BB14804" s="122"/>
      <c r="BC14804" s="141"/>
    </row>
    <row r="14805">
      <c r="BB14805" s="122"/>
      <c r="BC14805" s="141"/>
    </row>
    <row r="14806">
      <c r="BB14806" s="122"/>
      <c r="BC14806" s="141"/>
    </row>
    <row r="14807">
      <c r="BB14807" s="122"/>
      <c r="BC14807" s="141"/>
    </row>
    <row r="14808">
      <c r="BB14808" s="122"/>
      <c r="BC14808" s="141"/>
    </row>
    <row r="14809">
      <c r="BB14809" s="122"/>
      <c r="BC14809" s="141"/>
    </row>
    <row r="14810">
      <c r="BB14810" s="122"/>
      <c r="BC14810" s="141"/>
    </row>
    <row r="14811">
      <c r="BB14811" s="122"/>
      <c r="BC14811" s="141"/>
    </row>
    <row r="14812">
      <c r="BB14812" s="122"/>
      <c r="BC14812" s="141"/>
    </row>
    <row r="14813">
      <c r="BB14813" s="122"/>
      <c r="BC14813" s="141"/>
    </row>
    <row r="14814">
      <c r="BB14814" s="122"/>
      <c r="BC14814" s="141"/>
    </row>
    <row r="14815">
      <c r="BB14815" s="122"/>
      <c r="BC14815" s="141"/>
    </row>
    <row r="14816">
      <c r="BB14816" s="122"/>
      <c r="BC14816" s="141"/>
    </row>
    <row r="14817">
      <c r="BB14817" s="122"/>
      <c r="BC14817" s="141"/>
    </row>
    <row r="14818">
      <c r="BB14818" s="122"/>
      <c r="BC14818" s="141"/>
    </row>
    <row r="14819">
      <c r="BB14819" s="122"/>
      <c r="BC14819" s="141"/>
    </row>
    <row r="14820">
      <c r="BB14820" s="122"/>
      <c r="BC14820" s="141"/>
    </row>
    <row r="14821">
      <c r="BB14821" s="122"/>
      <c r="BC14821" s="141"/>
    </row>
    <row r="14822">
      <c r="BB14822" s="122"/>
      <c r="BC14822" s="141"/>
    </row>
    <row r="14823">
      <c r="BB14823" s="122"/>
      <c r="BC14823" s="141"/>
    </row>
    <row r="14824">
      <c r="BB14824" s="122"/>
      <c r="BC14824" s="141"/>
    </row>
    <row r="14825">
      <c r="BB14825" s="122"/>
      <c r="BC14825" s="141"/>
    </row>
    <row r="14826">
      <c r="BB14826" s="122"/>
      <c r="BC14826" s="141"/>
    </row>
    <row r="14827">
      <c r="BB14827" s="122"/>
      <c r="BC14827" s="141"/>
    </row>
    <row r="14828">
      <c r="BB14828" s="122"/>
      <c r="BC14828" s="141"/>
    </row>
    <row r="14829">
      <c r="BB14829" s="122"/>
      <c r="BC14829" s="141"/>
    </row>
    <row r="14830">
      <c r="BB14830" s="122"/>
      <c r="BC14830" s="141"/>
    </row>
    <row r="14831">
      <c r="BB14831" s="122"/>
      <c r="BC14831" s="141"/>
    </row>
    <row r="14832">
      <c r="BB14832" s="122"/>
      <c r="BC14832" s="141"/>
    </row>
    <row r="14833">
      <c r="BB14833" s="122"/>
      <c r="BC14833" s="141"/>
    </row>
    <row r="14834">
      <c r="BB14834" s="122"/>
      <c r="BC14834" s="141"/>
    </row>
    <row r="14835">
      <c r="BB14835" s="122"/>
      <c r="BC14835" s="141"/>
    </row>
    <row r="14836">
      <c r="BB14836" s="122"/>
      <c r="BC14836" s="141"/>
    </row>
    <row r="14837">
      <c r="BB14837" s="122"/>
      <c r="BC14837" s="141"/>
    </row>
    <row r="14838">
      <c r="BB14838" s="122"/>
      <c r="BC14838" s="141"/>
    </row>
    <row r="14839">
      <c r="BB14839" s="122"/>
      <c r="BC14839" s="141"/>
    </row>
    <row r="14840">
      <c r="BB14840" s="122"/>
      <c r="BC14840" s="141"/>
    </row>
    <row r="14841">
      <c r="BB14841" s="122"/>
      <c r="BC14841" s="141"/>
    </row>
    <row r="14842">
      <c r="BB14842" s="122"/>
      <c r="BC14842" s="141"/>
    </row>
    <row r="14843">
      <c r="BB14843" s="122"/>
      <c r="BC14843" s="141"/>
    </row>
    <row r="14844">
      <c r="BB14844" s="122"/>
      <c r="BC14844" s="141"/>
    </row>
    <row r="14845">
      <c r="BB14845" s="122"/>
      <c r="BC14845" s="141"/>
    </row>
    <row r="14846">
      <c r="BB14846" s="122"/>
      <c r="BC14846" s="141"/>
    </row>
    <row r="14847">
      <c r="BB14847" s="122"/>
      <c r="BC14847" s="141"/>
    </row>
    <row r="14848">
      <c r="BB14848" s="122"/>
      <c r="BC14848" s="141"/>
    </row>
    <row r="14849">
      <c r="BB14849" s="122"/>
      <c r="BC14849" s="141"/>
    </row>
    <row r="14850">
      <c r="BB14850" s="122"/>
      <c r="BC14850" s="141"/>
    </row>
    <row r="14851">
      <c r="BB14851" s="122"/>
      <c r="BC14851" s="141"/>
    </row>
    <row r="14852">
      <c r="BB14852" s="122"/>
      <c r="BC14852" s="141"/>
    </row>
    <row r="14853">
      <c r="BB14853" s="122"/>
      <c r="BC14853" s="141"/>
    </row>
    <row r="14854">
      <c r="BB14854" s="122"/>
      <c r="BC14854" s="141"/>
    </row>
    <row r="14855">
      <c r="BB14855" s="122"/>
      <c r="BC14855" s="141"/>
    </row>
    <row r="14856">
      <c r="BB14856" s="122"/>
      <c r="BC14856" s="141"/>
    </row>
    <row r="14857">
      <c r="BB14857" s="122"/>
      <c r="BC14857" s="141"/>
    </row>
    <row r="14858">
      <c r="BB14858" s="122"/>
      <c r="BC14858" s="141"/>
    </row>
    <row r="14859">
      <c r="BB14859" s="122"/>
      <c r="BC14859" s="141"/>
    </row>
    <row r="14860">
      <c r="BB14860" s="122"/>
      <c r="BC14860" s="141"/>
    </row>
    <row r="14861">
      <c r="BB14861" s="122"/>
      <c r="BC14861" s="141"/>
    </row>
    <row r="14862">
      <c r="BB14862" s="122"/>
      <c r="BC14862" s="141"/>
    </row>
    <row r="14863">
      <c r="BB14863" s="122"/>
      <c r="BC14863" s="141"/>
    </row>
    <row r="14864">
      <c r="BB14864" s="122"/>
      <c r="BC14864" s="141"/>
    </row>
    <row r="14865">
      <c r="BB14865" s="122"/>
      <c r="BC14865" s="141"/>
    </row>
    <row r="14866">
      <c r="BB14866" s="122"/>
      <c r="BC14866" s="141"/>
    </row>
    <row r="14867">
      <c r="BB14867" s="122"/>
      <c r="BC14867" s="141"/>
    </row>
    <row r="14868">
      <c r="BB14868" s="122"/>
      <c r="BC14868" s="141"/>
    </row>
    <row r="14869">
      <c r="BB14869" s="122"/>
      <c r="BC14869" s="141"/>
    </row>
    <row r="14870">
      <c r="BB14870" s="122"/>
      <c r="BC14870" s="141"/>
    </row>
    <row r="14871">
      <c r="BB14871" s="122"/>
      <c r="BC14871" s="141"/>
    </row>
    <row r="14872">
      <c r="BB14872" s="122"/>
      <c r="BC14872" s="141"/>
    </row>
    <row r="14873">
      <c r="BB14873" s="122"/>
      <c r="BC14873" s="141"/>
    </row>
    <row r="14874">
      <c r="BB14874" s="122"/>
      <c r="BC14874" s="141"/>
    </row>
    <row r="14875">
      <c r="BB14875" s="122"/>
      <c r="BC14875" s="141"/>
    </row>
    <row r="14876">
      <c r="BB14876" s="122"/>
      <c r="BC14876" s="141"/>
    </row>
    <row r="14877">
      <c r="BB14877" s="122"/>
      <c r="BC14877" s="141"/>
    </row>
    <row r="14878">
      <c r="BB14878" s="122"/>
      <c r="BC14878" s="141"/>
    </row>
    <row r="14879">
      <c r="BB14879" s="122"/>
      <c r="BC14879" s="141"/>
    </row>
    <row r="14880">
      <c r="BB14880" s="122"/>
      <c r="BC14880" s="141"/>
    </row>
    <row r="14881">
      <c r="BB14881" s="122"/>
      <c r="BC14881" s="141"/>
    </row>
    <row r="14882">
      <c r="BB14882" s="122"/>
      <c r="BC14882" s="141"/>
    </row>
    <row r="14883">
      <c r="BB14883" s="122"/>
      <c r="BC14883" s="141"/>
    </row>
    <row r="14884">
      <c r="BB14884" s="122"/>
      <c r="BC14884" s="141"/>
    </row>
    <row r="14885">
      <c r="BB14885" s="122"/>
      <c r="BC14885" s="141"/>
    </row>
    <row r="14886">
      <c r="BB14886" s="122"/>
      <c r="BC14886" s="141"/>
    </row>
    <row r="14887">
      <c r="BB14887" s="122"/>
      <c r="BC14887" s="141"/>
    </row>
    <row r="14888">
      <c r="BB14888" s="122"/>
      <c r="BC14888" s="141"/>
    </row>
    <row r="14889">
      <c r="BB14889" s="122"/>
      <c r="BC14889" s="141"/>
    </row>
    <row r="14890">
      <c r="BB14890" s="122"/>
      <c r="BC14890" s="141"/>
    </row>
    <row r="14891">
      <c r="BB14891" s="122"/>
      <c r="BC14891" s="141"/>
    </row>
    <row r="14892">
      <c r="BB14892" s="122"/>
      <c r="BC14892" s="141"/>
    </row>
    <row r="14893">
      <c r="BB14893" s="122"/>
      <c r="BC14893" s="141"/>
    </row>
    <row r="14894">
      <c r="BB14894" s="122"/>
      <c r="BC14894" s="141"/>
    </row>
    <row r="14895">
      <c r="BB14895" s="122"/>
      <c r="BC14895" s="141"/>
    </row>
    <row r="14896">
      <c r="BB14896" s="122"/>
      <c r="BC14896" s="141"/>
    </row>
    <row r="14897">
      <c r="BB14897" s="122"/>
      <c r="BC14897" s="141"/>
    </row>
    <row r="14898">
      <c r="BB14898" s="122"/>
      <c r="BC14898" s="141"/>
    </row>
    <row r="14899">
      <c r="BB14899" s="122"/>
      <c r="BC14899" s="141"/>
    </row>
    <row r="14900">
      <c r="BB14900" s="122"/>
      <c r="BC14900" s="141"/>
    </row>
    <row r="14901">
      <c r="BB14901" s="122"/>
      <c r="BC14901" s="141"/>
    </row>
    <row r="14902">
      <c r="BB14902" s="122"/>
      <c r="BC14902" s="141"/>
    </row>
    <row r="14903">
      <c r="BB14903" s="122"/>
      <c r="BC14903" s="141"/>
    </row>
    <row r="14904">
      <c r="BB14904" s="122"/>
      <c r="BC14904" s="141"/>
    </row>
    <row r="14905">
      <c r="BB14905" s="122"/>
      <c r="BC14905" s="141"/>
    </row>
    <row r="14906">
      <c r="BB14906" s="122"/>
      <c r="BC14906" s="141"/>
    </row>
    <row r="14907">
      <c r="BB14907" s="122"/>
      <c r="BC14907" s="141"/>
    </row>
    <row r="14908">
      <c r="BB14908" s="122"/>
      <c r="BC14908" s="141"/>
    </row>
    <row r="14909">
      <c r="BB14909" s="122"/>
      <c r="BC14909" s="141"/>
    </row>
    <row r="14910">
      <c r="BB14910" s="122"/>
      <c r="BC14910" s="141"/>
    </row>
    <row r="14911">
      <c r="BB14911" s="122"/>
      <c r="BC14911" s="141"/>
    </row>
    <row r="14912">
      <c r="BB14912" s="122"/>
      <c r="BC14912" s="141"/>
    </row>
    <row r="14913">
      <c r="BB14913" s="122"/>
      <c r="BC14913" s="141"/>
    </row>
    <row r="14914">
      <c r="BB14914" s="122"/>
      <c r="BC14914" s="141"/>
    </row>
    <row r="14915">
      <c r="BB14915" s="122"/>
      <c r="BC14915" s="141"/>
    </row>
    <row r="14916">
      <c r="BB14916" s="122"/>
      <c r="BC14916" s="141"/>
    </row>
    <row r="14917">
      <c r="BB14917" s="122"/>
      <c r="BC14917" s="141"/>
    </row>
    <row r="14918">
      <c r="BB14918" s="122"/>
      <c r="BC14918" s="141"/>
    </row>
    <row r="14919">
      <c r="BB14919" s="122"/>
      <c r="BC14919" s="141"/>
    </row>
    <row r="14920">
      <c r="BB14920" s="122"/>
      <c r="BC14920" s="141"/>
    </row>
    <row r="14921">
      <c r="BB14921" s="122"/>
      <c r="BC14921" s="141"/>
    </row>
    <row r="14922">
      <c r="BB14922" s="122"/>
      <c r="BC14922" s="141"/>
    </row>
    <row r="14923">
      <c r="BB14923" s="122"/>
      <c r="BC14923" s="141"/>
    </row>
    <row r="14924">
      <c r="BB14924" s="122"/>
      <c r="BC14924" s="141"/>
    </row>
    <row r="14925">
      <c r="BB14925" s="122"/>
      <c r="BC14925" s="141"/>
    </row>
    <row r="14926">
      <c r="BB14926" s="122"/>
      <c r="BC14926" s="141"/>
    </row>
    <row r="14927">
      <c r="BB14927" s="122"/>
      <c r="BC14927" s="141"/>
    </row>
    <row r="14928">
      <c r="BB14928" s="122"/>
      <c r="BC14928" s="141"/>
    </row>
    <row r="14929">
      <c r="BB14929" s="122"/>
      <c r="BC14929" s="141"/>
    </row>
    <row r="14930">
      <c r="BB14930" s="122"/>
      <c r="BC14930" s="141"/>
    </row>
    <row r="14931">
      <c r="BB14931" s="122"/>
      <c r="BC14931" s="141"/>
    </row>
    <row r="14932">
      <c r="BB14932" s="122"/>
      <c r="BC14932" s="141"/>
    </row>
    <row r="14933">
      <c r="BB14933" s="122"/>
      <c r="BC14933" s="141"/>
    </row>
    <row r="14934">
      <c r="BB14934" s="122"/>
      <c r="BC14934" s="141"/>
    </row>
    <row r="14935">
      <c r="BB14935" s="122"/>
      <c r="BC14935" s="141"/>
    </row>
    <row r="14936">
      <c r="BB14936" s="122"/>
      <c r="BC14936" s="141"/>
    </row>
    <row r="14937">
      <c r="BB14937" s="122"/>
      <c r="BC14937" s="141"/>
    </row>
    <row r="14938">
      <c r="BB14938" s="122"/>
      <c r="BC14938" s="141"/>
    </row>
    <row r="14939">
      <c r="BB14939" s="122"/>
      <c r="BC14939" s="141"/>
    </row>
    <row r="14940">
      <c r="BB14940" s="122"/>
      <c r="BC14940" s="141"/>
    </row>
    <row r="14941">
      <c r="BB14941" s="122"/>
      <c r="BC14941" s="141"/>
    </row>
    <row r="14942">
      <c r="BB14942" s="122"/>
      <c r="BC14942" s="141"/>
    </row>
    <row r="14943">
      <c r="BB14943" s="122"/>
      <c r="BC14943" s="141"/>
    </row>
    <row r="14944">
      <c r="BB14944" s="122"/>
      <c r="BC14944" s="141"/>
    </row>
    <row r="14945">
      <c r="BB14945" s="122"/>
      <c r="BC14945" s="141"/>
    </row>
    <row r="14946">
      <c r="BB14946" s="122"/>
      <c r="BC14946" s="141"/>
    </row>
    <row r="14947">
      <c r="BB14947" s="122"/>
      <c r="BC14947" s="141"/>
    </row>
    <row r="14948">
      <c r="BB14948" s="122"/>
      <c r="BC14948" s="141"/>
    </row>
    <row r="14949">
      <c r="BB14949" s="122"/>
      <c r="BC14949" s="141"/>
    </row>
    <row r="14950">
      <c r="BB14950" s="122"/>
      <c r="BC14950" s="141"/>
    </row>
    <row r="14951">
      <c r="BB14951" s="122"/>
      <c r="BC14951" s="141"/>
    </row>
    <row r="14952">
      <c r="BB14952" s="122"/>
      <c r="BC14952" s="141"/>
    </row>
    <row r="14953">
      <c r="BB14953" s="122"/>
      <c r="BC14953" s="141"/>
    </row>
    <row r="14954">
      <c r="BB14954" s="122"/>
      <c r="BC14954" s="141"/>
    </row>
    <row r="14955">
      <c r="BB14955" s="122"/>
      <c r="BC14955" s="141"/>
    </row>
    <row r="14956">
      <c r="BB14956" s="122"/>
      <c r="BC14956" s="141"/>
    </row>
    <row r="14957">
      <c r="BB14957" s="122"/>
      <c r="BC14957" s="141"/>
    </row>
    <row r="14958">
      <c r="BB14958" s="122"/>
      <c r="BC14958" s="141"/>
    </row>
    <row r="14959">
      <c r="BB14959" s="122"/>
      <c r="BC14959" s="141"/>
    </row>
    <row r="14960">
      <c r="BB14960" s="122"/>
      <c r="BC14960" s="141"/>
    </row>
    <row r="14961">
      <c r="BB14961" s="122"/>
      <c r="BC14961" s="141"/>
    </row>
    <row r="14962">
      <c r="BB14962" s="122"/>
      <c r="BC14962" s="141"/>
    </row>
    <row r="14963">
      <c r="BB14963" s="122"/>
      <c r="BC14963" s="141"/>
    </row>
    <row r="14964">
      <c r="BB14964" s="122"/>
      <c r="BC14964" s="141"/>
    </row>
    <row r="14965">
      <c r="BB14965" s="122"/>
      <c r="BC14965" s="141"/>
    </row>
    <row r="14966">
      <c r="BB14966" s="122"/>
      <c r="BC14966" s="141"/>
    </row>
    <row r="14967">
      <c r="BB14967" s="122"/>
      <c r="BC14967" s="141"/>
    </row>
    <row r="14968">
      <c r="BB14968" s="122"/>
      <c r="BC14968" s="141"/>
    </row>
    <row r="14969">
      <c r="BB14969" s="122"/>
      <c r="BC14969" s="141"/>
    </row>
    <row r="14970">
      <c r="BB14970" s="122"/>
      <c r="BC14970" s="141"/>
    </row>
    <row r="14971">
      <c r="BB14971" s="122"/>
      <c r="BC14971" s="141"/>
    </row>
    <row r="14972">
      <c r="BB14972" s="122"/>
      <c r="BC14972" s="141"/>
    </row>
    <row r="14973">
      <c r="BB14973" s="122"/>
      <c r="BC14973" s="141"/>
    </row>
    <row r="14974">
      <c r="BB14974" s="122"/>
      <c r="BC14974" s="141"/>
    </row>
    <row r="14975">
      <c r="BB14975" s="122"/>
      <c r="BC14975" s="141"/>
    </row>
    <row r="14976">
      <c r="BB14976" s="122"/>
      <c r="BC14976" s="141"/>
    </row>
    <row r="14977">
      <c r="BB14977" s="122"/>
      <c r="BC14977" s="141"/>
    </row>
    <row r="14978">
      <c r="BB14978" s="122"/>
      <c r="BC14978" s="141"/>
    </row>
    <row r="14979">
      <c r="BB14979" s="122"/>
      <c r="BC14979" s="141"/>
    </row>
    <row r="14980">
      <c r="BB14980" s="122"/>
      <c r="BC14980" s="141"/>
    </row>
    <row r="14981">
      <c r="BB14981" s="122"/>
      <c r="BC14981" s="141"/>
    </row>
    <row r="14982">
      <c r="BB14982" s="122"/>
      <c r="BC14982" s="141"/>
    </row>
    <row r="14983">
      <c r="BB14983" s="122"/>
      <c r="BC14983" s="141"/>
    </row>
    <row r="14984">
      <c r="BB14984" s="122"/>
      <c r="BC14984" s="141"/>
    </row>
    <row r="14985">
      <c r="BB14985" s="122"/>
      <c r="BC14985" s="141"/>
    </row>
    <row r="14986">
      <c r="BB14986" s="122"/>
      <c r="BC14986" s="141"/>
    </row>
    <row r="14987">
      <c r="BB14987" s="122"/>
      <c r="BC14987" s="141"/>
    </row>
    <row r="14988">
      <c r="BB14988" s="122"/>
      <c r="BC14988" s="141"/>
    </row>
    <row r="14989">
      <c r="BB14989" s="122"/>
      <c r="BC14989" s="141"/>
    </row>
    <row r="14990">
      <c r="BB14990" s="122"/>
      <c r="BC14990" s="141"/>
    </row>
    <row r="14991">
      <c r="BB14991" s="122"/>
      <c r="BC14991" s="141"/>
    </row>
    <row r="14992">
      <c r="BB14992" s="122"/>
      <c r="BC14992" s="141"/>
    </row>
    <row r="14993">
      <c r="BB14993" s="122"/>
      <c r="BC14993" s="141"/>
    </row>
    <row r="14994">
      <c r="BB14994" s="122"/>
      <c r="BC14994" s="141"/>
    </row>
    <row r="14995">
      <c r="BB14995" s="122"/>
      <c r="BC14995" s="141"/>
    </row>
    <row r="14996">
      <c r="BB14996" s="122"/>
      <c r="BC14996" s="141"/>
    </row>
    <row r="14997">
      <c r="BB14997" s="122"/>
      <c r="BC14997" s="141"/>
    </row>
    <row r="14998">
      <c r="BB14998" s="122"/>
      <c r="BC14998" s="141"/>
    </row>
    <row r="14999">
      <c r="BB14999" s="122"/>
      <c r="BC14999" s="141"/>
    </row>
    <row r="15000">
      <c r="BB15000" s="122"/>
      <c r="BC15000" s="141"/>
    </row>
    <row r="15001">
      <c r="BB15001" s="122"/>
      <c r="BC15001" s="141"/>
    </row>
    <row r="15002">
      <c r="BB15002" s="122"/>
      <c r="BC15002" s="141"/>
    </row>
    <row r="15003">
      <c r="BB15003" s="122"/>
      <c r="BC15003" s="141"/>
    </row>
    <row r="15004">
      <c r="BB15004" s="122"/>
      <c r="BC15004" s="141"/>
    </row>
    <row r="15005">
      <c r="BB15005" s="122"/>
      <c r="BC15005" s="141"/>
    </row>
    <row r="15006">
      <c r="BB15006" s="122"/>
      <c r="BC15006" s="141"/>
    </row>
    <row r="15007">
      <c r="BB15007" s="122"/>
      <c r="BC15007" s="141"/>
    </row>
    <row r="15008">
      <c r="BB15008" s="122"/>
      <c r="BC15008" s="141"/>
    </row>
    <row r="15009">
      <c r="BB15009" s="122"/>
      <c r="BC15009" s="141"/>
    </row>
    <row r="15010">
      <c r="BB15010" s="122"/>
      <c r="BC15010" s="141"/>
    </row>
    <row r="15011">
      <c r="BB15011" s="122"/>
      <c r="BC15011" s="141"/>
    </row>
    <row r="15012">
      <c r="BB15012" s="122"/>
      <c r="BC15012" s="141"/>
    </row>
    <row r="15013">
      <c r="BB15013" s="122"/>
      <c r="BC15013" s="141"/>
    </row>
    <row r="15014">
      <c r="BB15014" s="122"/>
      <c r="BC15014" s="141"/>
    </row>
    <row r="15015">
      <c r="BB15015" s="122"/>
      <c r="BC15015" s="141"/>
    </row>
    <row r="15016">
      <c r="BB15016" s="122"/>
      <c r="BC15016" s="141"/>
    </row>
    <row r="15017">
      <c r="BB15017" s="122"/>
      <c r="BC15017" s="141"/>
    </row>
    <row r="15018">
      <c r="BB15018" s="122"/>
      <c r="BC15018" s="141"/>
    </row>
    <row r="15019">
      <c r="BB15019" s="122"/>
      <c r="BC15019" s="141"/>
    </row>
    <row r="15020">
      <c r="BB15020" s="122"/>
      <c r="BC15020" s="141"/>
    </row>
    <row r="15021">
      <c r="BB15021" s="122"/>
      <c r="BC15021" s="141"/>
    </row>
    <row r="15022">
      <c r="BB15022" s="122"/>
      <c r="BC15022" s="141"/>
    </row>
    <row r="15023">
      <c r="BB15023" s="122"/>
      <c r="BC15023" s="141"/>
    </row>
    <row r="15024">
      <c r="BB15024" s="122"/>
      <c r="BC15024" s="141"/>
    </row>
    <row r="15025">
      <c r="BB15025" s="122"/>
      <c r="BC15025" s="141"/>
    </row>
    <row r="15026">
      <c r="BB15026" s="122"/>
      <c r="BC15026" s="141"/>
    </row>
    <row r="15027">
      <c r="BB15027" s="122"/>
      <c r="BC15027" s="141"/>
    </row>
    <row r="15028">
      <c r="BB15028" s="122"/>
      <c r="BC15028" s="141"/>
    </row>
    <row r="15029">
      <c r="BB15029" s="122"/>
      <c r="BC15029" s="141"/>
    </row>
    <row r="15030">
      <c r="BB15030" s="122"/>
      <c r="BC15030" s="141"/>
    </row>
    <row r="15031">
      <c r="BB15031" s="122"/>
      <c r="BC15031" s="141"/>
    </row>
    <row r="15032">
      <c r="BB15032" s="122"/>
      <c r="BC15032" s="141"/>
    </row>
    <row r="15033">
      <c r="BB15033" s="122"/>
      <c r="BC15033" s="141"/>
    </row>
    <row r="15034">
      <c r="BB15034" s="122"/>
      <c r="BC15034" s="141"/>
    </row>
    <row r="15035">
      <c r="BB15035" s="122"/>
      <c r="BC15035" s="141"/>
    </row>
    <row r="15036">
      <c r="BB15036" s="122"/>
      <c r="BC15036" s="141"/>
    </row>
    <row r="15037">
      <c r="BB15037" s="122"/>
      <c r="BC15037" s="141"/>
    </row>
    <row r="15038">
      <c r="BB15038" s="122"/>
      <c r="BC15038" s="141"/>
    </row>
    <row r="15039">
      <c r="BB15039" s="122"/>
      <c r="BC15039" s="141"/>
    </row>
    <row r="15040">
      <c r="BB15040" s="122"/>
      <c r="BC15040" s="141"/>
    </row>
    <row r="15041">
      <c r="BB15041" s="122"/>
      <c r="BC15041" s="141"/>
    </row>
    <row r="15042">
      <c r="BB15042" s="122"/>
      <c r="BC15042" s="141"/>
    </row>
    <row r="15043">
      <c r="BB15043" s="122"/>
      <c r="BC15043" s="141"/>
    </row>
    <row r="15044">
      <c r="BB15044" s="122"/>
      <c r="BC15044" s="141"/>
    </row>
    <row r="15045">
      <c r="BB15045" s="122"/>
      <c r="BC15045" s="141"/>
    </row>
    <row r="15046">
      <c r="BB15046" s="122"/>
      <c r="BC15046" s="141"/>
    </row>
    <row r="15047">
      <c r="BB15047" s="122"/>
      <c r="BC15047" s="141"/>
    </row>
    <row r="15048">
      <c r="BB15048" s="122"/>
      <c r="BC15048" s="141"/>
    </row>
    <row r="15049">
      <c r="BB15049" s="122"/>
      <c r="BC15049" s="141"/>
    </row>
    <row r="15050">
      <c r="BB15050" s="122"/>
      <c r="BC15050" s="141"/>
    </row>
    <row r="15051">
      <c r="BB15051" s="122"/>
      <c r="BC15051" s="141"/>
    </row>
    <row r="15052">
      <c r="BB15052" s="122"/>
      <c r="BC15052" s="141"/>
    </row>
    <row r="15053">
      <c r="BB15053" s="122"/>
      <c r="BC15053" s="141"/>
    </row>
    <row r="15054">
      <c r="BB15054" s="122"/>
      <c r="BC15054" s="141"/>
    </row>
    <row r="15055">
      <c r="BB15055" s="122"/>
      <c r="BC15055" s="141"/>
    </row>
    <row r="15056">
      <c r="BB15056" s="122"/>
      <c r="BC15056" s="141"/>
    </row>
    <row r="15057">
      <c r="BB15057" s="122"/>
      <c r="BC15057" s="141"/>
    </row>
    <row r="15058">
      <c r="BB15058" s="122"/>
      <c r="BC15058" s="141"/>
    </row>
    <row r="15059">
      <c r="BB15059" s="122"/>
      <c r="BC15059" s="141"/>
    </row>
    <row r="15060">
      <c r="BB15060" s="122"/>
      <c r="BC15060" s="141"/>
    </row>
    <row r="15061">
      <c r="BB15061" s="122"/>
      <c r="BC15061" s="141"/>
    </row>
    <row r="15062">
      <c r="BB15062" s="122"/>
      <c r="BC15062" s="141"/>
    </row>
    <row r="15063">
      <c r="BB15063" s="122"/>
      <c r="BC15063" s="141"/>
    </row>
    <row r="15064">
      <c r="BB15064" s="122"/>
      <c r="BC15064" s="141"/>
    </row>
    <row r="15065">
      <c r="BB15065" s="122"/>
      <c r="BC15065" s="141"/>
    </row>
    <row r="15066">
      <c r="BB15066" s="122"/>
      <c r="BC15066" s="141"/>
    </row>
    <row r="15067">
      <c r="BB15067" s="122"/>
      <c r="BC15067" s="141"/>
    </row>
    <row r="15068">
      <c r="BB15068" s="122"/>
      <c r="BC15068" s="141"/>
    </row>
    <row r="15069">
      <c r="BB15069" s="122"/>
      <c r="BC15069" s="141"/>
    </row>
    <row r="15070">
      <c r="BB15070" s="122"/>
      <c r="BC15070" s="141"/>
    </row>
    <row r="15071">
      <c r="BB15071" s="122"/>
      <c r="BC15071" s="141"/>
    </row>
    <row r="15072">
      <c r="BB15072" s="122"/>
      <c r="BC15072" s="141"/>
    </row>
    <row r="15073">
      <c r="BB15073" s="122"/>
      <c r="BC15073" s="141"/>
    </row>
    <row r="15074">
      <c r="BB15074" s="122"/>
      <c r="BC15074" s="141"/>
    </row>
    <row r="15075">
      <c r="BB15075" s="122"/>
      <c r="BC15075" s="141"/>
    </row>
    <row r="15076">
      <c r="BB15076" s="122"/>
      <c r="BC15076" s="141"/>
    </row>
    <row r="15077">
      <c r="BB15077" s="122"/>
      <c r="BC15077" s="141"/>
    </row>
    <row r="15078">
      <c r="BB15078" s="122"/>
      <c r="BC15078" s="141"/>
    </row>
    <row r="15079">
      <c r="BB15079" s="122"/>
      <c r="BC15079" s="141"/>
    </row>
    <row r="15080">
      <c r="BB15080" s="122"/>
      <c r="BC15080" s="141"/>
    </row>
    <row r="15081">
      <c r="BB15081" s="122"/>
      <c r="BC15081" s="141"/>
    </row>
    <row r="15082">
      <c r="BB15082" s="122"/>
      <c r="BC15082" s="141"/>
    </row>
    <row r="15083">
      <c r="BB15083" s="122"/>
      <c r="BC15083" s="141"/>
    </row>
    <row r="15084">
      <c r="BB15084" s="122"/>
      <c r="BC15084" s="141"/>
    </row>
    <row r="15085">
      <c r="BB15085" s="122"/>
      <c r="BC15085" s="141"/>
    </row>
    <row r="15086">
      <c r="BB15086" s="122"/>
      <c r="BC15086" s="141"/>
    </row>
    <row r="15087">
      <c r="BB15087" s="122"/>
      <c r="BC15087" s="141"/>
    </row>
    <row r="15088">
      <c r="BB15088" s="122"/>
      <c r="BC15088" s="141"/>
    </row>
    <row r="15089">
      <c r="BB15089" s="122"/>
      <c r="BC15089" s="141"/>
    </row>
    <row r="15090">
      <c r="BB15090" s="122"/>
      <c r="BC15090" s="141"/>
    </row>
    <row r="15091">
      <c r="BB15091" s="122"/>
      <c r="BC15091" s="141"/>
    </row>
    <row r="15092">
      <c r="BB15092" s="122"/>
      <c r="BC15092" s="141"/>
    </row>
    <row r="15093">
      <c r="BB15093" s="122"/>
      <c r="BC15093" s="141"/>
    </row>
    <row r="15094">
      <c r="BB15094" s="122"/>
      <c r="BC15094" s="141"/>
    </row>
    <row r="15095">
      <c r="BB15095" s="122"/>
      <c r="BC15095" s="141"/>
    </row>
    <row r="15096">
      <c r="BB15096" s="122"/>
      <c r="BC15096" s="141"/>
    </row>
    <row r="15097">
      <c r="BB15097" s="122"/>
      <c r="BC15097" s="141"/>
    </row>
    <row r="15098">
      <c r="BB15098" s="122"/>
      <c r="BC15098" s="141"/>
    </row>
    <row r="15099">
      <c r="BB15099" s="122"/>
      <c r="BC15099" s="141"/>
    </row>
    <row r="15100">
      <c r="BB15100" s="122"/>
      <c r="BC15100" s="141"/>
    </row>
    <row r="15101">
      <c r="BB15101" s="122"/>
      <c r="BC15101" s="141"/>
    </row>
    <row r="15102">
      <c r="BB15102" s="122"/>
      <c r="BC15102" s="141"/>
    </row>
    <row r="15103">
      <c r="BB15103" s="122"/>
      <c r="BC15103" s="141"/>
    </row>
    <row r="15104">
      <c r="BB15104" s="122"/>
      <c r="BC15104" s="141"/>
    </row>
    <row r="15105">
      <c r="BB15105" s="122"/>
      <c r="BC15105" s="141"/>
    </row>
    <row r="15106">
      <c r="BB15106" s="122"/>
      <c r="BC15106" s="141"/>
    </row>
    <row r="15107">
      <c r="BB15107" s="122"/>
      <c r="BC15107" s="141"/>
    </row>
    <row r="15108">
      <c r="BB15108" s="122"/>
      <c r="BC15108" s="141"/>
    </row>
    <row r="15109">
      <c r="BB15109" s="122"/>
      <c r="BC15109" s="141"/>
    </row>
    <row r="15110">
      <c r="BB15110" s="122"/>
      <c r="BC15110" s="141"/>
    </row>
    <row r="15111">
      <c r="BB15111" s="122"/>
      <c r="BC15111" s="141"/>
    </row>
    <row r="15112">
      <c r="BB15112" s="122"/>
      <c r="BC15112" s="141"/>
    </row>
    <row r="15113">
      <c r="BB15113" s="122"/>
      <c r="BC15113" s="141"/>
    </row>
    <row r="15114">
      <c r="BB15114" s="122"/>
      <c r="BC15114" s="141"/>
    </row>
    <row r="15115">
      <c r="BB15115" s="122"/>
      <c r="BC15115" s="141"/>
    </row>
    <row r="15116">
      <c r="BB15116" s="122"/>
      <c r="BC15116" s="141"/>
    </row>
    <row r="15117">
      <c r="BB15117" s="122"/>
      <c r="BC15117" s="141"/>
    </row>
    <row r="15118">
      <c r="BB15118" s="122"/>
      <c r="BC15118" s="141"/>
    </row>
    <row r="15119">
      <c r="BB15119" s="122"/>
      <c r="BC15119" s="141"/>
    </row>
    <row r="15120">
      <c r="BB15120" s="122"/>
      <c r="BC15120" s="141"/>
    </row>
    <row r="15121">
      <c r="BB15121" s="122"/>
      <c r="BC15121" s="141"/>
    </row>
    <row r="15122">
      <c r="BB15122" s="122"/>
      <c r="BC15122" s="141"/>
    </row>
    <row r="15123">
      <c r="BB15123" s="122"/>
      <c r="BC15123" s="141"/>
    </row>
    <row r="15124">
      <c r="BB15124" s="122"/>
      <c r="BC15124" s="141"/>
    </row>
    <row r="15125">
      <c r="BB15125" s="122"/>
      <c r="BC15125" s="141"/>
    </row>
    <row r="15126">
      <c r="BB15126" s="122"/>
      <c r="BC15126" s="141"/>
    </row>
    <row r="15127">
      <c r="BB15127" s="122"/>
      <c r="BC15127" s="141"/>
    </row>
    <row r="15128">
      <c r="BB15128" s="122"/>
      <c r="BC15128" s="141"/>
    </row>
    <row r="15129">
      <c r="BB15129" s="122"/>
      <c r="BC15129" s="141"/>
    </row>
    <row r="15130">
      <c r="BB15130" s="122"/>
      <c r="BC15130" s="141"/>
    </row>
    <row r="15131">
      <c r="BB15131" s="122"/>
      <c r="BC15131" s="141"/>
    </row>
    <row r="15132">
      <c r="BB15132" s="122"/>
      <c r="BC15132" s="141"/>
    </row>
    <row r="15133">
      <c r="BB15133" s="122"/>
      <c r="BC15133" s="141"/>
    </row>
    <row r="15134">
      <c r="BB15134" s="122"/>
      <c r="BC15134" s="141"/>
    </row>
    <row r="15135">
      <c r="BB15135" s="122"/>
      <c r="BC15135" s="141"/>
    </row>
    <row r="15136">
      <c r="BB15136" s="122"/>
      <c r="BC15136" s="141"/>
    </row>
    <row r="15137">
      <c r="BB15137" s="122"/>
      <c r="BC15137" s="141"/>
    </row>
    <row r="15138">
      <c r="BB15138" s="122"/>
      <c r="BC15138" s="141"/>
    </row>
    <row r="15139">
      <c r="BB15139" s="122"/>
      <c r="BC15139" s="141"/>
    </row>
    <row r="15140">
      <c r="BB15140" s="122"/>
      <c r="BC15140" s="141"/>
    </row>
    <row r="15141">
      <c r="BB15141" s="122"/>
      <c r="BC15141" s="141"/>
    </row>
    <row r="15142">
      <c r="BB15142" s="122"/>
      <c r="BC15142" s="141"/>
    </row>
    <row r="15143">
      <c r="BB15143" s="122"/>
      <c r="BC15143" s="141"/>
    </row>
    <row r="15144">
      <c r="BB15144" s="122"/>
      <c r="BC15144" s="141"/>
    </row>
    <row r="15145">
      <c r="BB15145" s="122"/>
      <c r="BC15145" s="141"/>
    </row>
    <row r="15146">
      <c r="BB15146" s="122"/>
      <c r="BC15146" s="141"/>
    </row>
    <row r="15147">
      <c r="BB15147" s="122"/>
      <c r="BC15147" s="141"/>
    </row>
    <row r="15148">
      <c r="BB15148" s="122"/>
      <c r="BC15148" s="141"/>
    </row>
    <row r="15149">
      <c r="BB15149" s="122"/>
      <c r="BC15149" s="141"/>
    </row>
    <row r="15150">
      <c r="BB15150" s="122"/>
      <c r="BC15150" s="141"/>
    </row>
    <row r="15151">
      <c r="BB15151" s="122"/>
      <c r="BC15151" s="141"/>
    </row>
    <row r="15152">
      <c r="BB15152" s="122"/>
      <c r="BC15152" s="141"/>
    </row>
    <row r="15153">
      <c r="BB15153" s="122"/>
      <c r="BC15153" s="141"/>
    </row>
    <row r="15154">
      <c r="BB15154" s="122"/>
      <c r="BC15154" s="141"/>
    </row>
    <row r="15155">
      <c r="BB15155" s="122"/>
      <c r="BC15155" s="141"/>
    </row>
    <row r="15156">
      <c r="BB15156" s="122"/>
      <c r="BC15156" s="141"/>
    </row>
    <row r="15157">
      <c r="BB15157" s="122"/>
      <c r="BC15157" s="141"/>
    </row>
    <row r="15158">
      <c r="BB15158" s="122"/>
      <c r="BC15158" s="141"/>
    </row>
    <row r="15159">
      <c r="BB15159" s="122"/>
      <c r="BC15159" s="141"/>
    </row>
    <row r="15160">
      <c r="BB15160" s="122"/>
      <c r="BC15160" s="141"/>
    </row>
    <row r="15161">
      <c r="BB15161" s="122"/>
      <c r="BC15161" s="141"/>
    </row>
    <row r="15162">
      <c r="BB15162" s="122"/>
      <c r="BC15162" s="141"/>
    </row>
    <row r="15163">
      <c r="BB15163" s="122"/>
      <c r="BC15163" s="141"/>
    </row>
    <row r="15164">
      <c r="BB15164" s="122"/>
      <c r="BC15164" s="141"/>
    </row>
    <row r="15165">
      <c r="BB15165" s="122"/>
      <c r="BC15165" s="141"/>
    </row>
    <row r="15166">
      <c r="BB15166" s="122"/>
      <c r="BC15166" s="141"/>
    </row>
    <row r="15167">
      <c r="BB15167" s="122"/>
      <c r="BC15167" s="141"/>
    </row>
    <row r="15168">
      <c r="BB15168" s="122"/>
      <c r="BC15168" s="141"/>
    </row>
    <row r="15169">
      <c r="BB15169" s="122"/>
      <c r="BC15169" s="141"/>
    </row>
    <row r="15170">
      <c r="BB15170" s="122"/>
      <c r="BC15170" s="141"/>
    </row>
    <row r="15171">
      <c r="BB15171" s="122"/>
      <c r="BC15171" s="141"/>
    </row>
    <row r="15172">
      <c r="BB15172" s="122"/>
      <c r="BC15172" s="141"/>
    </row>
    <row r="15173">
      <c r="BB15173" s="122"/>
      <c r="BC15173" s="141"/>
    </row>
    <row r="15174">
      <c r="BB15174" s="122"/>
      <c r="BC15174" s="141"/>
    </row>
    <row r="15175">
      <c r="BB15175" s="122"/>
      <c r="BC15175" s="141"/>
    </row>
    <row r="15176">
      <c r="BB15176" s="122"/>
      <c r="BC15176" s="141"/>
    </row>
    <row r="15177">
      <c r="BB15177" s="122"/>
      <c r="BC15177" s="141"/>
    </row>
    <row r="15178">
      <c r="BB15178" s="122"/>
      <c r="BC15178" s="141"/>
    </row>
    <row r="15179">
      <c r="BB15179" s="122"/>
      <c r="BC15179" s="141"/>
    </row>
    <row r="15180">
      <c r="BB15180" s="122"/>
      <c r="BC15180" s="141"/>
    </row>
    <row r="15181">
      <c r="BB15181" s="122"/>
      <c r="BC15181" s="141"/>
    </row>
    <row r="15182">
      <c r="BB15182" s="122"/>
      <c r="BC15182" s="141"/>
    </row>
    <row r="15183">
      <c r="BB15183" s="122"/>
      <c r="BC15183" s="141"/>
    </row>
    <row r="15184">
      <c r="BB15184" s="122"/>
      <c r="BC15184" s="141"/>
    </row>
    <row r="15185">
      <c r="BB15185" s="122"/>
      <c r="BC15185" s="141"/>
    </row>
    <row r="15186">
      <c r="BB15186" s="122"/>
      <c r="BC15186" s="141"/>
    </row>
    <row r="15187">
      <c r="BB15187" s="122"/>
      <c r="BC15187" s="141"/>
    </row>
    <row r="15188">
      <c r="BB15188" s="122"/>
      <c r="BC15188" s="141"/>
    </row>
    <row r="15189">
      <c r="BB15189" s="122"/>
      <c r="BC15189" s="141"/>
    </row>
    <row r="15190">
      <c r="BB15190" s="122"/>
      <c r="BC15190" s="141"/>
    </row>
    <row r="15191">
      <c r="BB15191" s="122"/>
      <c r="BC15191" s="141"/>
    </row>
    <row r="15192">
      <c r="BB15192" s="122"/>
      <c r="BC15192" s="141"/>
    </row>
    <row r="15193">
      <c r="BB15193" s="122"/>
      <c r="BC15193" s="141"/>
    </row>
    <row r="15194">
      <c r="BB15194" s="122"/>
      <c r="BC15194" s="141"/>
    </row>
    <row r="15195">
      <c r="BB15195" s="122"/>
      <c r="BC15195" s="141"/>
    </row>
    <row r="15196">
      <c r="BB15196" s="122"/>
      <c r="BC15196" s="141"/>
    </row>
    <row r="15197">
      <c r="BB15197" s="122"/>
      <c r="BC15197" s="141"/>
    </row>
    <row r="15198">
      <c r="BB15198" s="122"/>
      <c r="BC15198" s="141"/>
    </row>
    <row r="15199">
      <c r="BB15199" s="122"/>
      <c r="BC15199" s="141"/>
    </row>
    <row r="15200">
      <c r="BB15200" s="122"/>
      <c r="BC15200" s="141"/>
    </row>
    <row r="15201">
      <c r="BB15201" s="122"/>
      <c r="BC15201" s="141"/>
    </row>
    <row r="15202">
      <c r="BB15202" s="122"/>
      <c r="BC15202" s="141"/>
    </row>
    <row r="15203">
      <c r="BB15203" s="122"/>
      <c r="BC15203" s="141"/>
    </row>
    <row r="15204">
      <c r="BB15204" s="122"/>
      <c r="BC15204" s="141"/>
    </row>
    <row r="15205">
      <c r="BB15205" s="122"/>
      <c r="BC15205" s="141"/>
    </row>
    <row r="15206">
      <c r="BB15206" s="122"/>
      <c r="BC15206" s="141"/>
    </row>
    <row r="15207">
      <c r="BB15207" s="122"/>
      <c r="BC15207" s="141"/>
    </row>
    <row r="15208">
      <c r="BB15208" s="122"/>
      <c r="BC15208" s="141"/>
    </row>
    <row r="15209">
      <c r="BB15209" s="122"/>
      <c r="BC15209" s="141"/>
    </row>
    <row r="15210">
      <c r="BB15210" s="122"/>
      <c r="BC15210" s="141"/>
    </row>
    <row r="15211">
      <c r="BB15211" s="122"/>
      <c r="BC15211" s="141"/>
    </row>
    <row r="15212">
      <c r="BB15212" s="122"/>
      <c r="BC15212" s="141"/>
    </row>
    <row r="15213">
      <c r="BB15213" s="122"/>
      <c r="BC15213" s="141"/>
    </row>
    <row r="15214">
      <c r="BB15214" s="122"/>
      <c r="BC15214" s="141"/>
    </row>
    <row r="15215">
      <c r="BB15215" s="122"/>
      <c r="BC15215" s="141"/>
    </row>
    <row r="15216">
      <c r="BB15216" s="122"/>
      <c r="BC15216" s="141"/>
    </row>
    <row r="15217">
      <c r="BB15217" s="122"/>
      <c r="BC15217" s="141"/>
    </row>
    <row r="15218">
      <c r="BB15218" s="122"/>
      <c r="BC15218" s="141"/>
    </row>
    <row r="15219">
      <c r="BB15219" s="122"/>
      <c r="BC15219" s="141"/>
    </row>
    <row r="15220">
      <c r="BB15220" s="122"/>
      <c r="BC15220" s="141"/>
    </row>
    <row r="15221">
      <c r="BB15221" s="122"/>
      <c r="BC15221" s="141"/>
    </row>
    <row r="15222">
      <c r="BB15222" s="122"/>
      <c r="BC15222" s="141"/>
    </row>
    <row r="15223">
      <c r="BB15223" s="122"/>
      <c r="BC15223" s="141"/>
    </row>
    <row r="15224">
      <c r="BB15224" s="122"/>
      <c r="BC15224" s="141"/>
    </row>
    <row r="15225">
      <c r="BB15225" s="122"/>
      <c r="BC15225" s="141"/>
    </row>
    <row r="15226">
      <c r="BB15226" s="122"/>
      <c r="BC15226" s="141"/>
    </row>
    <row r="15227">
      <c r="BB15227" s="122"/>
      <c r="BC15227" s="141"/>
    </row>
    <row r="15228">
      <c r="BB15228" s="122"/>
      <c r="BC15228" s="141"/>
    </row>
    <row r="15229">
      <c r="BB15229" s="122"/>
      <c r="BC15229" s="141"/>
    </row>
    <row r="15230">
      <c r="BB15230" s="122"/>
      <c r="BC15230" s="141"/>
    </row>
    <row r="15231">
      <c r="BB15231" s="122"/>
      <c r="BC15231" s="141"/>
    </row>
    <row r="15232">
      <c r="BB15232" s="122"/>
      <c r="BC15232" s="141"/>
    </row>
    <row r="15233">
      <c r="BB15233" s="122"/>
      <c r="BC15233" s="141"/>
    </row>
    <row r="15234">
      <c r="BB15234" s="122"/>
      <c r="BC15234" s="141"/>
    </row>
    <row r="15235">
      <c r="BB15235" s="122"/>
      <c r="BC15235" s="141"/>
    </row>
    <row r="15236">
      <c r="BB15236" s="122"/>
      <c r="BC15236" s="141"/>
    </row>
    <row r="15237">
      <c r="BB15237" s="122"/>
      <c r="BC15237" s="141"/>
    </row>
    <row r="15238">
      <c r="BB15238" s="122"/>
      <c r="BC15238" s="141"/>
    </row>
    <row r="15239">
      <c r="BB15239" s="122"/>
      <c r="BC15239" s="141"/>
    </row>
    <row r="15240">
      <c r="BB15240" s="122"/>
      <c r="BC15240" s="141"/>
    </row>
    <row r="15241">
      <c r="BB15241" s="122"/>
      <c r="BC15241" s="141"/>
    </row>
    <row r="15242">
      <c r="BB15242" s="122"/>
      <c r="BC15242" s="141"/>
    </row>
    <row r="15243">
      <c r="BB15243" s="122"/>
      <c r="BC15243" s="141"/>
    </row>
    <row r="15244">
      <c r="BB15244" s="122"/>
      <c r="BC15244" s="141"/>
    </row>
    <row r="15245">
      <c r="BB15245" s="122"/>
      <c r="BC15245" s="141"/>
    </row>
    <row r="15246">
      <c r="BB15246" s="122"/>
      <c r="BC15246" s="141"/>
    </row>
    <row r="15247">
      <c r="BB15247" s="122"/>
      <c r="BC15247" s="141"/>
    </row>
    <row r="15248">
      <c r="BB15248" s="122"/>
      <c r="BC15248" s="141"/>
    </row>
    <row r="15249">
      <c r="BB15249" s="122"/>
      <c r="BC15249" s="141"/>
    </row>
    <row r="15250">
      <c r="BB15250" s="122"/>
      <c r="BC15250" s="141"/>
    </row>
    <row r="15251">
      <c r="BB15251" s="122"/>
      <c r="BC15251" s="141"/>
    </row>
    <row r="15252">
      <c r="BB15252" s="122"/>
      <c r="BC15252" s="141"/>
    </row>
    <row r="15253">
      <c r="BB15253" s="122"/>
      <c r="BC15253" s="141"/>
    </row>
    <row r="15254">
      <c r="BB15254" s="122"/>
      <c r="BC15254" s="141"/>
    </row>
    <row r="15255">
      <c r="BB15255" s="122"/>
      <c r="BC15255" s="141"/>
    </row>
    <row r="15256">
      <c r="BB15256" s="122"/>
      <c r="BC15256" s="141"/>
    </row>
    <row r="15257">
      <c r="BB15257" s="122"/>
      <c r="BC15257" s="141"/>
    </row>
    <row r="15258">
      <c r="BB15258" s="122"/>
      <c r="BC15258" s="141"/>
    </row>
    <row r="15259">
      <c r="BB15259" s="122"/>
      <c r="BC15259" s="141"/>
    </row>
    <row r="15260">
      <c r="BB15260" s="122"/>
      <c r="BC15260" s="141"/>
    </row>
    <row r="15261">
      <c r="BB15261" s="122"/>
      <c r="BC15261" s="141"/>
    </row>
    <row r="15262">
      <c r="BB15262" s="122"/>
      <c r="BC15262" s="141"/>
    </row>
    <row r="15263">
      <c r="BB15263" s="122"/>
      <c r="BC15263" s="141"/>
    </row>
    <row r="15264">
      <c r="BB15264" s="122"/>
      <c r="BC15264" s="141"/>
    </row>
    <row r="15265">
      <c r="BB15265" s="122"/>
      <c r="BC15265" s="141"/>
    </row>
    <row r="15266">
      <c r="BB15266" s="122"/>
      <c r="BC15266" s="141"/>
    </row>
    <row r="15267">
      <c r="BB15267" s="122"/>
      <c r="BC15267" s="141"/>
    </row>
    <row r="15268">
      <c r="BB15268" s="122"/>
      <c r="BC15268" s="141"/>
    </row>
    <row r="15269">
      <c r="BB15269" s="122"/>
      <c r="BC15269" s="141"/>
    </row>
    <row r="15270">
      <c r="BB15270" s="122"/>
      <c r="BC15270" s="141"/>
    </row>
    <row r="15271">
      <c r="BB15271" s="122"/>
      <c r="BC15271" s="141"/>
    </row>
    <row r="15272">
      <c r="BB15272" s="122"/>
      <c r="BC15272" s="141"/>
    </row>
    <row r="15273">
      <c r="BB15273" s="122"/>
      <c r="BC15273" s="141"/>
    </row>
    <row r="15274">
      <c r="BB15274" s="122"/>
      <c r="BC15274" s="141"/>
    </row>
    <row r="15275">
      <c r="BB15275" s="122"/>
      <c r="BC15275" s="141"/>
    </row>
    <row r="15276">
      <c r="BB15276" s="122"/>
      <c r="BC15276" s="141"/>
    </row>
    <row r="15277">
      <c r="BB15277" s="122"/>
      <c r="BC15277" s="141"/>
    </row>
    <row r="15278">
      <c r="BB15278" s="122"/>
      <c r="BC15278" s="141"/>
    </row>
    <row r="15279">
      <c r="BB15279" s="122"/>
      <c r="BC15279" s="141"/>
    </row>
    <row r="15280">
      <c r="BB15280" s="122"/>
      <c r="BC15280" s="141"/>
    </row>
    <row r="15281">
      <c r="BB15281" s="122"/>
      <c r="BC15281" s="141"/>
    </row>
    <row r="15282">
      <c r="BB15282" s="122"/>
      <c r="BC15282" s="141"/>
    </row>
    <row r="15283">
      <c r="BB15283" s="122"/>
      <c r="BC15283" s="141"/>
    </row>
    <row r="15284">
      <c r="BB15284" s="122"/>
      <c r="BC15284" s="141"/>
    </row>
    <row r="15285">
      <c r="BB15285" s="122"/>
      <c r="BC15285" s="141"/>
    </row>
    <row r="15286">
      <c r="BB15286" s="122"/>
      <c r="BC15286" s="141"/>
    </row>
    <row r="15287">
      <c r="BB15287" s="122"/>
      <c r="BC15287" s="141"/>
    </row>
    <row r="15288">
      <c r="BB15288" s="122"/>
      <c r="BC15288" s="141"/>
    </row>
    <row r="15289">
      <c r="BB15289" s="122"/>
      <c r="BC15289" s="141"/>
    </row>
    <row r="15290">
      <c r="BB15290" s="122"/>
      <c r="BC15290" s="141"/>
    </row>
    <row r="15291">
      <c r="BB15291" s="122"/>
      <c r="BC15291" s="141"/>
    </row>
    <row r="15292">
      <c r="BB15292" s="122"/>
      <c r="BC15292" s="141"/>
    </row>
    <row r="15293">
      <c r="BB15293" s="122"/>
      <c r="BC15293" s="141"/>
    </row>
    <row r="15294">
      <c r="BB15294" s="122"/>
      <c r="BC15294" s="141"/>
    </row>
    <row r="15295">
      <c r="BB15295" s="122"/>
      <c r="BC15295" s="141"/>
    </row>
    <row r="15296">
      <c r="BB15296" s="122"/>
      <c r="BC15296" s="141"/>
    </row>
    <row r="15297">
      <c r="BB15297" s="122"/>
      <c r="BC15297" s="141"/>
    </row>
    <row r="15298">
      <c r="BB15298" s="122"/>
      <c r="BC15298" s="141"/>
    </row>
    <row r="15299">
      <c r="BB15299" s="122"/>
      <c r="BC15299" s="141"/>
    </row>
    <row r="15300">
      <c r="BB15300" s="122"/>
      <c r="BC15300" s="141"/>
    </row>
    <row r="15301">
      <c r="BB15301" s="122"/>
      <c r="BC15301" s="141"/>
    </row>
    <row r="15302">
      <c r="BB15302" s="122"/>
      <c r="BC15302" s="141"/>
    </row>
    <row r="15303">
      <c r="BB15303" s="122"/>
      <c r="BC15303" s="141"/>
    </row>
    <row r="15304">
      <c r="BB15304" s="122"/>
      <c r="BC15304" s="141"/>
    </row>
    <row r="15305">
      <c r="BB15305" s="122"/>
      <c r="BC15305" s="141"/>
    </row>
    <row r="15306">
      <c r="BB15306" s="122"/>
      <c r="BC15306" s="141"/>
    </row>
    <row r="15307">
      <c r="BB15307" s="122"/>
      <c r="BC15307" s="141"/>
    </row>
    <row r="15308">
      <c r="BB15308" s="122"/>
      <c r="BC15308" s="141"/>
    </row>
    <row r="15309">
      <c r="BB15309" s="122"/>
      <c r="BC15309" s="141"/>
    </row>
    <row r="15310">
      <c r="BB15310" s="122"/>
      <c r="BC15310" s="141"/>
    </row>
    <row r="15311">
      <c r="BB15311" s="122"/>
      <c r="BC15311" s="141"/>
    </row>
    <row r="15312">
      <c r="BB15312" s="122"/>
      <c r="BC15312" s="141"/>
    </row>
    <row r="15313">
      <c r="BB15313" s="122"/>
      <c r="BC15313" s="141"/>
    </row>
    <row r="15314">
      <c r="BB15314" s="122"/>
      <c r="BC15314" s="141"/>
    </row>
    <row r="15315">
      <c r="BB15315" s="122"/>
      <c r="BC15315" s="141"/>
    </row>
    <row r="15316">
      <c r="BB15316" s="122"/>
      <c r="BC15316" s="141"/>
    </row>
    <row r="15317">
      <c r="BB15317" s="122"/>
      <c r="BC15317" s="141"/>
    </row>
    <row r="15318">
      <c r="BB15318" s="122"/>
      <c r="BC15318" s="141"/>
    </row>
    <row r="15319">
      <c r="BB15319" s="122"/>
      <c r="BC15319" s="141"/>
    </row>
    <row r="15320">
      <c r="BB15320" s="122"/>
      <c r="BC15320" s="141"/>
    </row>
    <row r="15321">
      <c r="BB15321" s="122"/>
      <c r="BC15321" s="141"/>
    </row>
    <row r="15322">
      <c r="BB15322" s="122"/>
      <c r="BC15322" s="141"/>
    </row>
    <row r="15323">
      <c r="BB15323" s="122"/>
      <c r="BC15323" s="141"/>
    </row>
    <row r="15324">
      <c r="BB15324" s="122"/>
      <c r="BC15324" s="141"/>
    </row>
    <row r="15325">
      <c r="BB15325" s="122"/>
      <c r="BC15325" s="141"/>
    </row>
    <row r="15326">
      <c r="BB15326" s="122"/>
      <c r="BC15326" s="141"/>
    </row>
    <row r="15327">
      <c r="BB15327" s="122"/>
      <c r="BC15327" s="141"/>
    </row>
    <row r="15328">
      <c r="BB15328" s="122"/>
      <c r="BC15328" s="141"/>
    </row>
    <row r="15329">
      <c r="BB15329" s="122"/>
      <c r="BC15329" s="141"/>
    </row>
    <row r="15330">
      <c r="BB15330" s="122"/>
      <c r="BC15330" s="141"/>
    </row>
    <row r="15331">
      <c r="BB15331" s="122"/>
      <c r="BC15331" s="141"/>
    </row>
    <row r="15332">
      <c r="BB15332" s="122"/>
      <c r="BC15332" s="141"/>
    </row>
    <row r="15333">
      <c r="BB15333" s="122"/>
      <c r="BC15333" s="141"/>
    </row>
    <row r="15334">
      <c r="BB15334" s="122"/>
      <c r="BC15334" s="141"/>
    </row>
    <row r="15335">
      <c r="BB15335" s="122"/>
      <c r="BC15335" s="141"/>
    </row>
    <row r="15336">
      <c r="BB15336" s="122"/>
      <c r="BC15336" s="141"/>
    </row>
    <row r="15337">
      <c r="BB15337" s="122"/>
      <c r="BC15337" s="141"/>
    </row>
    <row r="15338">
      <c r="BB15338" s="122"/>
      <c r="BC15338" s="141"/>
    </row>
    <row r="15339">
      <c r="BB15339" s="122"/>
      <c r="BC15339" s="141"/>
    </row>
    <row r="15340">
      <c r="BB15340" s="122"/>
      <c r="BC15340" s="141"/>
    </row>
    <row r="15341">
      <c r="BB15341" s="122"/>
      <c r="BC15341" s="141"/>
    </row>
    <row r="15342">
      <c r="BB15342" s="122"/>
      <c r="BC15342" s="141"/>
    </row>
    <row r="15343">
      <c r="BB15343" s="122"/>
      <c r="BC15343" s="141"/>
    </row>
    <row r="15344">
      <c r="BB15344" s="122"/>
      <c r="BC15344" s="141"/>
    </row>
    <row r="15345">
      <c r="BB15345" s="122"/>
      <c r="BC15345" s="141"/>
    </row>
    <row r="15346">
      <c r="BB15346" s="122"/>
      <c r="BC15346" s="141"/>
    </row>
    <row r="15347">
      <c r="BB15347" s="122"/>
      <c r="BC15347" s="141"/>
    </row>
    <row r="15348">
      <c r="BB15348" s="122"/>
      <c r="BC15348" s="141"/>
    </row>
    <row r="15349">
      <c r="BB15349" s="122"/>
      <c r="BC15349" s="141"/>
    </row>
    <row r="15350">
      <c r="BB15350" s="122"/>
      <c r="BC15350" s="141"/>
    </row>
    <row r="15351">
      <c r="BB15351" s="122"/>
      <c r="BC15351" s="141"/>
    </row>
    <row r="15352">
      <c r="BB15352" s="122"/>
      <c r="BC15352" s="141"/>
    </row>
    <row r="15353">
      <c r="BB15353" s="122"/>
      <c r="BC15353" s="141"/>
    </row>
    <row r="15354">
      <c r="BB15354" s="122"/>
      <c r="BC15354" s="141"/>
    </row>
    <row r="15355">
      <c r="BB15355" s="122"/>
      <c r="BC15355" s="141"/>
    </row>
    <row r="15356">
      <c r="BB15356" s="122"/>
      <c r="BC15356" s="141"/>
    </row>
    <row r="15357">
      <c r="BB15357" s="122"/>
      <c r="BC15357" s="141"/>
    </row>
    <row r="15358">
      <c r="BB15358" s="122"/>
      <c r="BC15358" s="141"/>
    </row>
    <row r="15359">
      <c r="BB15359" s="122"/>
      <c r="BC15359" s="141"/>
    </row>
    <row r="15360">
      <c r="BB15360" s="122"/>
      <c r="BC15360" s="141"/>
    </row>
    <row r="15361">
      <c r="BB15361" s="122"/>
      <c r="BC15361" s="141"/>
    </row>
    <row r="15362">
      <c r="BB15362" s="122"/>
      <c r="BC15362" s="141"/>
    </row>
    <row r="15363">
      <c r="BB15363" s="122"/>
      <c r="BC15363" s="141"/>
    </row>
    <row r="15364">
      <c r="BB15364" s="122"/>
      <c r="BC15364" s="141"/>
    </row>
    <row r="15365">
      <c r="BB15365" s="122"/>
      <c r="BC15365" s="141"/>
    </row>
    <row r="15366">
      <c r="BB15366" s="122"/>
      <c r="BC15366" s="141"/>
    </row>
    <row r="15367">
      <c r="BB15367" s="122"/>
      <c r="BC15367" s="141"/>
    </row>
    <row r="15368">
      <c r="BB15368" s="122"/>
      <c r="BC15368" s="141"/>
    </row>
    <row r="15369">
      <c r="BB15369" s="122"/>
      <c r="BC15369" s="141"/>
    </row>
    <row r="15370">
      <c r="BB15370" s="122"/>
      <c r="BC15370" s="141"/>
    </row>
    <row r="15371">
      <c r="BB15371" s="122"/>
      <c r="BC15371" s="141"/>
    </row>
    <row r="15372">
      <c r="BB15372" s="122"/>
      <c r="BC15372" s="141"/>
    </row>
    <row r="15373">
      <c r="BB15373" s="122"/>
      <c r="BC15373" s="141"/>
    </row>
    <row r="15374">
      <c r="BB15374" s="122"/>
      <c r="BC15374" s="141"/>
    </row>
    <row r="15375">
      <c r="BB15375" s="122"/>
      <c r="BC15375" s="141"/>
    </row>
    <row r="15376">
      <c r="BB15376" s="122"/>
      <c r="BC15376" s="141"/>
    </row>
    <row r="15377">
      <c r="BB15377" s="122"/>
      <c r="BC15377" s="141"/>
    </row>
    <row r="15378">
      <c r="BB15378" s="122"/>
      <c r="BC15378" s="141"/>
    </row>
    <row r="15379">
      <c r="BB15379" s="122"/>
      <c r="BC15379" s="141"/>
    </row>
    <row r="15380">
      <c r="BB15380" s="122"/>
      <c r="BC15380" s="141"/>
    </row>
    <row r="15381">
      <c r="BB15381" s="122"/>
      <c r="BC15381" s="141"/>
    </row>
    <row r="15382">
      <c r="BB15382" s="122"/>
      <c r="BC15382" s="141"/>
    </row>
    <row r="15383">
      <c r="BB15383" s="122"/>
      <c r="BC15383" s="141"/>
    </row>
    <row r="15384">
      <c r="BB15384" s="122"/>
      <c r="BC15384" s="141"/>
    </row>
    <row r="15385">
      <c r="BB15385" s="122"/>
      <c r="BC15385" s="141"/>
    </row>
    <row r="15386">
      <c r="BB15386" s="122"/>
      <c r="BC15386" s="141"/>
    </row>
    <row r="15387">
      <c r="BB15387" s="122"/>
      <c r="BC15387" s="141"/>
    </row>
    <row r="15388">
      <c r="BB15388" s="122"/>
      <c r="BC15388" s="141"/>
    </row>
    <row r="15389">
      <c r="BB15389" s="122"/>
      <c r="BC15389" s="141"/>
    </row>
    <row r="15390">
      <c r="BB15390" s="122"/>
      <c r="BC15390" s="141"/>
    </row>
    <row r="15391">
      <c r="BB15391" s="122"/>
      <c r="BC15391" s="141"/>
    </row>
    <row r="15392">
      <c r="BB15392" s="122"/>
      <c r="BC15392" s="141"/>
    </row>
    <row r="15393">
      <c r="BB15393" s="122"/>
      <c r="BC15393" s="141"/>
    </row>
    <row r="15394">
      <c r="BB15394" s="122"/>
      <c r="BC15394" s="141"/>
    </row>
    <row r="15395">
      <c r="BB15395" s="122"/>
      <c r="BC15395" s="141"/>
    </row>
    <row r="15396">
      <c r="BB15396" s="122"/>
      <c r="BC15396" s="141"/>
    </row>
    <row r="15397">
      <c r="BB15397" s="122"/>
      <c r="BC15397" s="141"/>
    </row>
    <row r="15398">
      <c r="BB15398" s="122"/>
      <c r="BC15398" s="141"/>
    </row>
    <row r="15399">
      <c r="BB15399" s="122"/>
      <c r="BC15399" s="141"/>
    </row>
    <row r="15400">
      <c r="BB15400" s="122"/>
      <c r="BC15400" s="141"/>
    </row>
    <row r="15401">
      <c r="BB15401" s="122"/>
      <c r="BC15401" s="141"/>
    </row>
    <row r="15402">
      <c r="BB15402" s="122"/>
      <c r="BC15402" s="141"/>
    </row>
    <row r="15403">
      <c r="BB15403" s="122"/>
      <c r="BC15403" s="141"/>
    </row>
    <row r="15404">
      <c r="BB15404" s="122"/>
      <c r="BC15404" s="141"/>
    </row>
    <row r="15405">
      <c r="BB15405" s="122"/>
      <c r="BC15405" s="141"/>
    </row>
    <row r="15406">
      <c r="BB15406" s="122"/>
      <c r="BC15406" s="141"/>
    </row>
    <row r="15407">
      <c r="BB15407" s="122"/>
      <c r="BC15407" s="141"/>
    </row>
    <row r="15408">
      <c r="BB15408" s="122"/>
      <c r="BC15408" s="141"/>
    </row>
    <row r="15409">
      <c r="BB15409" s="122"/>
      <c r="BC15409" s="141"/>
    </row>
    <row r="15410">
      <c r="BB15410" s="122"/>
      <c r="BC15410" s="141"/>
    </row>
    <row r="15411">
      <c r="BB15411" s="122"/>
      <c r="BC15411" s="141"/>
    </row>
    <row r="15412">
      <c r="BB15412" s="122"/>
      <c r="BC15412" s="141"/>
    </row>
    <row r="15413">
      <c r="BB15413" s="122"/>
      <c r="BC15413" s="141"/>
    </row>
    <row r="15414">
      <c r="BB15414" s="122"/>
      <c r="BC15414" s="141"/>
    </row>
    <row r="15415">
      <c r="BB15415" s="122"/>
      <c r="BC15415" s="141"/>
    </row>
    <row r="15416">
      <c r="BB15416" s="122"/>
      <c r="BC15416" s="141"/>
    </row>
    <row r="15417">
      <c r="BB15417" s="122"/>
      <c r="BC15417" s="141"/>
    </row>
    <row r="15418">
      <c r="BB15418" s="122"/>
      <c r="BC15418" s="141"/>
    </row>
    <row r="15419">
      <c r="BB15419" s="122"/>
      <c r="BC15419" s="141"/>
    </row>
    <row r="15420">
      <c r="BB15420" s="122"/>
      <c r="BC15420" s="141"/>
    </row>
    <row r="15421">
      <c r="BB15421" s="122"/>
      <c r="BC15421" s="141"/>
    </row>
    <row r="15422">
      <c r="BB15422" s="122"/>
      <c r="BC15422" s="141"/>
    </row>
    <row r="15423">
      <c r="BB15423" s="122"/>
      <c r="BC15423" s="141"/>
    </row>
    <row r="15424">
      <c r="BB15424" s="122"/>
      <c r="BC15424" s="141"/>
    </row>
    <row r="15425">
      <c r="BB15425" s="122"/>
      <c r="BC15425" s="141"/>
    </row>
    <row r="15426">
      <c r="BB15426" s="122"/>
      <c r="BC15426" s="141"/>
    </row>
    <row r="15427">
      <c r="BB15427" s="122"/>
      <c r="BC15427" s="141"/>
    </row>
    <row r="15428">
      <c r="BB15428" s="122"/>
      <c r="BC15428" s="141"/>
    </row>
    <row r="15429">
      <c r="BB15429" s="122"/>
      <c r="BC15429" s="141"/>
    </row>
    <row r="15430">
      <c r="BB15430" s="122"/>
      <c r="BC15430" s="141"/>
    </row>
    <row r="15431">
      <c r="BB15431" s="122"/>
      <c r="BC15431" s="141"/>
    </row>
    <row r="15432">
      <c r="BB15432" s="122"/>
      <c r="BC15432" s="141"/>
    </row>
    <row r="15433">
      <c r="BB15433" s="122"/>
      <c r="BC15433" s="141"/>
    </row>
    <row r="15434">
      <c r="BB15434" s="122"/>
      <c r="BC15434" s="141"/>
    </row>
    <row r="15435">
      <c r="BB15435" s="122"/>
      <c r="BC15435" s="141"/>
    </row>
    <row r="15436">
      <c r="BB15436" s="122"/>
      <c r="BC15436" s="141"/>
    </row>
    <row r="15437">
      <c r="BB15437" s="122"/>
      <c r="BC15437" s="141"/>
    </row>
    <row r="15438">
      <c r="BB15438" s="122"/>
      <c r="BC15438" s="141"/>
    </row>
    <row r="15439">
      <c r="BB15439" s="122"/>
      <c r="BC15439" s="141"/>
    </row>
    <row r="15440">
      <c r="BB15440" s="122"/>
      <c r="BC15440" s="141"/>
    </row>
    <row r="15441">
      <c r="BB15441" s="122"/>
      <c r="BC15441" s="141"/>
    </row>
    <row r="15442">
      <c r="BB15442" s="122"/>
      <c r="BC15442" s="141"/>
    </row>
    <row r="15443">
      <c r="BB15443" s="122"/>
      <c r="BC15443" s="141"/>
    </row>
    <row r="15444">
      <c r="BB15444" s="122"/>
      <c r="BC15444" s="141"/>
    </row>
    <row r="15445">
      <c r="BB15445" s="122"/>
      <c r="BC15445" s="141"/>
    </row>
    <row r="15446">
      <c r="BB15446" s="122"/>
      <c r="BC15446" s="141"/>
    </row>
    <row r="15447">
      <c r="BB15447" s="122"/>
      <c r="BC15447" s="141"/>
    </row>
    <row r="15448">
      <c r="BB15448" s="122"/>
      <c r="BC15448" s="141"/>
    </row>
    <row r="15449">
      <c r="BB15449" s="122"/>
      <c r="BC15449" s="141"/>
    </row>
    <row r="15450">
      <c r="BB15450" s="122"/>
      <c r="BC15450" s="141"/>
    </row>
    <row r="15451">
      <c r="BB15451" s="122"/>
      <c r="BC15451" s="141"/>
    </row>
    <row r="15452">
      <c r="BB15452" s="122"/>
      <c r="BC15452" s="141"/>
    </row>
    <row r="15453">
      <c r="BB15453" s="122"/>
      <c r="BC15453" s="141"/>
    </row>
    <row r="15454">
      <c r="BB15454" s="122"/>
      <c r="BC15454" s="141"/>
    </row>
    <row r="15455">
      <c r="BB15455" s="122"/>
      <c r="BC15455" s="141"/>
    </row>
    <row r="15456">
      <c r="BB15456" s="122"/>
      <c r="BC15456" s="141"/>
    </row>
    <row r="15457">
      <c r="BB15457" s="122"/>
      <c r="BC15457" s="141"/>
    </row>
    <row r="15458">
      <c r="BB15458" s="122"/>
      <c r="BC15458" s="141"/>
    </row>
    <row r="15459">
      <c r="BB15459" s="122"/>
      <c r="BC15459" s="141"/>
    </row>
    <row r="15460">
      <c r="BB15460" s="122"/>
      <c r="BC15460" s="141"/>
    </row>
    <row r="15461">
      <c r="BB15461" s="122"/>
      <c r="BC15461" s="141"/>
    </row>
    <row r="15462">
      <c r="BB15462" s="122"/>
      <c r="BC15462" s="141"/>
    </row>
    <row r="15463">
      <c r="BB15463" s="122"/>
      <c r="BC15463" s="141"/>
    </row>
    <row r="15464">
      <c r="BB15464" s="122"/>
      <c r="BC15464" s="141"/>
    </row>
    <row r="15465">
      <c r="BB15465" s="122"/>
      <c r="BC15465" s="141"/>
    </row>
    <row r="15466">
      <c r="BB15466" s="122"/>
      <c r="BC15466" s="141"/>
    </row>
    <row r="15467">
      <c r="BB15467" s="122"/>
      <c r="BC15467" s="141"/>
    </row>
    <row r="15468">
      <c r="BB15468" s="122"/>
      <c r="BC15468" s="141"/>
    </row>
    <row r="15469">
      <c r="BB15469" s="122"/>
      <c r="BC15469" s="141"/>
    </row>
    <row r="15470">
      <c r="BB15470" s="122"/>
      <c r="BC15470" s="141"/>
    </row>
    <row r="15471">
      <c r="BB15471" s="122"/>
      <c r="BC15471" s="141"/>
    </row>
    <row r="15472">
      <c r="BB15472" s="122"/>
      <c r="BC15472" s="141"/>
    </row>
    <row r="15473">
      <c r="BB15473" s="122"/>
      <c r="BC15473" s="141"/>
    </row>
    <row r="15474">
      <c r="BB15474" s="122"/>
      <c r="BC15474" s="141"/>
    </row>
    <row r="15475">
      <c r="BB15475" s="122"/>
      <c r="BC15475" s="141"/>
    </row>
    <row r="15476">
      <c r="BB15476" s="122"/>
      <c r="BC15476" s="141"/>
    </row>
    <row r="15477">
      <c r="BB15477" s="122"/>
      <c r="BC15477" s="141"/>
    </row>
    <row r="15478">
      <c r="BB15478" s="122"/>
      <c r="BC15478" s="141"/>
    </row>
    <row r="15479">
      <c r="BB15479" s="122"/>
      <c r="BC15479" s="141"/>
    </row>
    <row r="15480">
      <c r="BB15480" s="122"/>
      <c r="BC15480" s="141"/>
    </row>
    <row r="15481">
      <c r="BB15481" s="122"/>
      <c r="BC15481" s="141"/>
    </row>
    <row r="15482">
      <c r="BB15482" s="122"/>
      <c r="BC15482" s="141"/>
    </row>
    <row r="15483">
      <c r="BB15483" s="122"/>
      <c r="BC15483" s="141"/>
    </row>
    <row r="15484">
      <c r="BB15484" s="122"/>
      <c r="BC15484" s="141"/>
    </row>
    <row r="15485">
      <c r="BB15485" s="122"/>
      <c r="BC15485" s="141"/>
    </row>
    <row r="15486">
      <c r="BB15486" s="122"/>
      <c r="BC15486" s="141"/>
    </row>
    <row r="15487">
      <c r="BB15487" s="122"/>
      <c r="BC15487" s="141"/>
    </row>
    <row r="15488">
      <c r="BB15488" s="122"/>
      <c r="BC15488" s="141"/>
    </row>
    <row r="15489">
      <c r="BB15489" s="122"/>
      <c r="BC15489" s="141"/>
    </row>
    <row r="15490">
      <c r="BB15490" s="122"/>
      <c r="BC15490" s="141"/>
    </row>
    <row r="15491">
      <c r="BB15491" s="122"/>
      <c r="BC15491" s="141"/>
    </row>
    <row r="15492">
      <c r="BB15492" s="122"/>
      <c r="BC15492" s="141"/>
    </row>
    <row r="15493">
      <c r="BB15493" s="122"/>
      <c r="BC15493" s="141"/>
    </row>
    <row r="15494">
      <c r="BB15494" s="122"/>
      <c r="BC15494" s="141"/>
    </row>
    <row r="15495">
      <c r="BB15495" s="122"/>
      <c r="BC15495" s="141"/>
    </row>
    <row r="15496">
      <c r="BB15496" s="122"/>
      <c r="BC15496" s="141"/>
    </row>
    <row r="15497">
      <c r="BB15497" s="122"/>
      <c r="BC15497" s="141"/>
    </row>
    <row r="15498">
      <c r="BB15498" s="122"/>
      <c r="BC15498" s="141"/>
    </row>
    <row r="15499">
      <c r="BB15499" s="122"/>
      <c r="BC15499" s="141"/>
    </row>
    <row r="15500">
      <c r="BB15500" s="122"/>
      <c r="BC15500" s="141"/>
    </row>
    <row r="15501">
      <c r="BB15501" s="122"/>
      <c r="BC15501" s="141"/>
    </row>
    <row r="15502">
      <c r="BB15502" s="122"/>
      <c r="BC15502" s="141"/>
    </row>
    <row r="15503">
      <c r="BB15503" s="122"/>
      <c r="BC15503" s="141"/>
    </row>
    <row r="15504">
      <c r="BB15504" s="122"/>
      <c r="BC15504" s="141"/>
    </row>
    <row r="15505">
      <c r="BB15505" s="122"/>
      <c r="BC15505" s="141"/>
    </row>
    <row r="15506">
      <c r="BB15506" s="122"/>
      <c r="BC15506" s="141"/>
    </row>
    <row r="15507">
      <c r="BB15507" s="122"/>
      <c r="BC15507" s="141"/>
    </row>
    <row r="15508">
      <c r="BB15508" s="122"/>
      <c r="BC15508" s="141"/>
    </row>
    <row r="15509">
      <c r="BB15509" s="122"/>
      <c r="BC15509" s="141"/>
    </row>
    <row r="15510">
      <c r="BB15510" s="122"/>
      <c r="BC15510" s="141"/>
    </row>
    <row r="15511">
      <c r="BB15511" s="122"/>
      <c r="BC15511" s="141"/>
    </row>
    <row r="15512">
      <c r="BB15512" s="122"/>
      <c r="BC15512" s="141"/>
    </row>
    <row r="15513">
      <c r="BB15513" s="122"/>
      <c r="BC15513" s="141"/>
    </row>
    <row r="15514">
      <c r="BB15514" s="122"/>
      <c r="BC15514" s="141"/>
    </row>
    <row r="15515">
      <c r="BB15515" s="122"/>
      <c r="BC15515" s="141"/>
    </row>
    <row r="15516">
      <c r="BB15516" s="122"/>
      <c r="BC15516" s="141"/>
    </row>
    <row r="15517">
      <c r="BB15517" s="122"/>
      <c r="BC15517" s="141"/>
    </row>
    <row r="15518">
      <c r="BB15518" s="122"/>
      <c r="BC15518" s="141"/>
    </row>
    <row r="15519">
      <c r="BB15519" s="122"/>
      <c r="BC15519" s="141"/>
    </row>
    <row r="15520">
      <c r="BB15520" s="122"/>
      <c r="BC15520" s="141"/>
    </row>
    <row r="15521">
      <c r="BB15521" s="122"/>
      <c r="BC15521" s="141"/>
    </row>
    <row r="15522">
      <c r="BB15522" s="122"/>
      <c r="BC15522" s="141"/>
    </row>
    <row r="15523">
      <c r="BB15523" s="122"/>
      <c r="BC15523" s="141"/>
    </row>
    <row r="15524">
      <c r="BB15524" s="122"/>
      <c r="BC15524" s="141"/>
    </row>
    <row r="15525">
      <c r="BB15525" s="122"/>
      <c r="BC15525" s="141"/>
    </row>
    <row r="15526">
      <c r="BB15526" s="122"/>
      <c r="BC15526" s="141"/>
    </row>
    <row r="15527">
      <c r="BB15527" s="122"/>
      <c r="BC15527" s="141"/>
    </row>
    <row r="15528">
      <c r="BB15528" s="122"/>
      <c r="BC15528" s="141"/>
    </row>
    <row r="15529">
      <c r="BB15529" s="122"/>
      <c r="BC15529" s="141"/>
    </row>
    <row r="15530">
      <c r="BB15530" s="122"/>
      <c r="BC15530" s="141"/>
    </row>
    <row r="15531">
      <c r="BB15531" s="122"/>
      <c r="BC15531" s="141"/>
    </row>
    <row r="15532">
      <c r="BB15532" s="122"/>
      <c r="BC15532" s="141"/>
    </row>
    <row r="15533">
      <c r="BB15533" s="122"/>
      <c r="BC15533" s="141"/>
    </row>
    <row r="15534">
      <c r="BB15534" s="122"/>
      <c r="BC15534" s="141"/>
    </row>
    <row r="15535">
      <c r="BB15535" s="122"/>
      <c r="BC15535" s="141"/>
    </row>
    <row r="15536">
      <c r="BB15536" s="122"/>
      <c r="BC15536" s="141"/>
    </row>
    <row r="15537">
      <c r="BB15537" s="122"/>
      <c r="BC15537" s="141"/>
    </row>
    <row r="15538">
      <c r="BB15538" s="122"/>
      <c r="BC15538" s="141"/>
    </row>
    <row r="15539">
      <c r="BB15539" s="122"/>
      <c r="BC15539" s="141"/>
    </row>
    <row r="15540">
      <c r="BB15540" s="122"/>
      <c r="BC15540" s="141"/>
    </row>
    <row r="15541">
      <c r="BB15541" s="122"/>
      <c r="BC15541" s="141"/>
    </row>
    <row r="15542">
      <c r="BB15542" s="122"/>
      <c r="BC15542" s="141"/>
    </row>
    <row r="15543">
      <c r="BB15543" s="122"/>
      <c r="BC15543" s="141"/>
    </row>
    <row r="15544">
      <c r="BB15544" s="122"/>
      <c r="BC15544" s="141"/>
    </row>
    <row r="15545">
      <c r="BB15545" s="122"/>
      <c r="BC15545" s="141"/>
    </row>
    <row r="15546">
      <c r="BB15546" s="122"/>
      <c r="BC15546" s="141"/>
    </row>
    <row r="15547">
      <c r="BB15547" s="122"/>
      <c r="BC15547" s="141"/>
    </row>
    <row r="15548">
      <c r="BB15548" s="122"/>
      <c r="BC15548" s="141"/>
    </row>
    <row r="15549">
      <c r="BB15549" s="122"/>
      <c r="BC15549" s="141"/>
    </row>
    <row r="15550">
      <c r="BB15550" s="122"/>
      <c r="BC15550" s="141"/>
    </row>
    <row r="15551">
      <c r="BB15551" s="122"/>
      <c r="BC15551" s="141"/>
    </row>
    <row r="15552">
      <c r="BB15552" s="122"/>
      <c r="BC15552" s="141"/>
    </row>
    <row r="15553">
      <c r="BB15553" s="122"/>
      <c r="BC15553" s="141"/>
    </row>
    <row r="15554">
      <c r="BB15554" s="122"/>
      <c r="BC15554" s="141"/>
    </row>
    <row r="15555">
      <c r="BB15555" s="122"/>
      <c r="BC15555" s="141"/>
    </row>
    <row r="15556">
      <c r="BB15556" s="122"/>
      <c r="BC15556" s="141"/>
    </row>
    <row r="15557">
      <c r="BB15557" s="122"/>
      <c r="BC15557" s="141"/>
    </row>
    <row r="15558">
      <c r="BB15558" s="122"/>
      <c r="BC15558" s="141"/>
    </row>
    <row r="15559">
      <c r="BB15559" s="122"/>
      <c r="BC15559" s="141"/>
    </row>
    <row r="15560">
      <c r="BB15560" s="122"/>
      <c r="BC15560" s="141"/>
    </row>
    <row r="15561">
      <c r="BB15561" s="122"/>
      <c r="BC15561" s="141"/>
    </row>
    <row r="15562">
      <c r="BB15562" s="122"/>
      <c r="BC15562" s="141"/>
    </row>
    <row r="15563">
      <c r="BB15563" s="122"/>
      <c r="BC15563" s="141"/>
    </row>
    <row r="15564">
      <c r="BB15564" s="122"/>
      <c r="BC15564" s="141"/>
    </row>
    <row r="15565">
      <c r="BB15565" s="122"/>
      <c r="BC15565" s="141"/>
    </row>
    <row r="15566">
      <c r="BB15566" s="122"/>
      <c r="BC15566" s="141"/>
    </row>
    <row r="15567">
      <c r="BB15567" s="122"/>
      <c r="BC15567" s="141"/>
    </row>
    <row r="15568">
      <c r="BB15568" s="122"/>
      <c r="BC15568" s="141"/>
    </row>
    <row r="15569">
      <c r="BB15569" s="122"/>
      <c r="BC15569" s="141"/>
    </row>
    <row r="15570">
      <c r="BB15570" s="122"/>
      <c r="BC15570" s="141"/>
    </row>
    <row r="15571">
      <c r="BB15571" s="122"/>
      <c r="BC15571" s="141"/>
    </row>
    <row r="15572">
      <c r="BB15572" s="122"/>
      <c r="BC15572" s="141"/>
    </row>
    <row r="15573">
      <c r="BB15573" s="122"/>
      <c r="BC15573" s="141"/>
    </row>
    <row r="15574">
      <c r="BB15574" s="122"/>
      <c r="BC15574" s="141"/>
    </row>
    <row r="15575">
      <c r="BB15575" s="122"/>
      <c r="BC15575" s="141"/>
    </row>
    <row r="15576">
      <c r="BB15576" s="122"/>
      <c r="BC15576" s="141"/>
    </row>
    <row r="15577">
      <c r="BB15577" s="122"/>
      <c r="BC15577" s="141"/>
    </row>
    <row r="15578">
      <c r="BB15578" s="122"/>
      <c r="BC15578" s="141"/>
    </row>
    <row r="15579">
      <c r="BB15579" s="122"/>
      <c r="BC15579" s="141"/>
    </row>
    <row r="15580">
      <c r="BB15580" s="122"/>
      <c r="BC15580" s="141"/>
    </row>
    <row r="15581">
      <c r="BB15581" s="122"/>
      <c r="BC15581" s="141"/>
    </row>
    <row r="15582">
      <c r="BB15582" s="122"/>
      <c r="BC15582" s="141"/>
    </row>
    <row r="15583">
      <c r="BB15583" s="122"/>
      <c r="BC15583" s="141"/>
    </row>
    <row r="15584">
      <c r="BB15584" s="122"/>
      <c r="BC15584" s="141"/>
    </row>
    <row r="15585">
      <c r="BB15585" s="122"/>
      <c r="BC15585" s="141"/>
    </row>
    <row r="15586">
      <c r="BB15586" s="122"/>
      <c r="BC15586" s="141"/>
    </row>
    <row r="15587">
      <c r="BB15587" s="122"/>
      <c r="BC15587" s="141"/>
    </row>
    <row r="15588">
      <c r="BB15588" s="122"/>
      <c r="BC15588" s="141"/>
    </row>
    <row r="15589">
      <c r="BB15589" s="122"/>
      <c r="BC15589" s="141"/>
    </row>
    <row r="15590">
      <c r="BB15590" s="122"/>
      <c r="BC15590" s="141"/>
    </row>
    <row r="15591">
      <c r="BB15591" s="122"/>
      <c r="BC15591" s="141"/>
    </row>
    <row r="15592">
      <c r="BB15592" s="122"/>
      <c r="BC15592" s="141"/>
    </row>
    <row r="15593">
      <c r="BB15593" s="122"/>
      <c r="BC15593" s="141"/>
    </row>
    <row r="15594">
      <c r="BB15594" s="122"/>
      <c r="BC15594" s="141"/>
    </row>
    <row r="15595">
      <c r="BB15595" s="122"/>
      <c r="BC15595" s="141"/>
    </row>
    <row r="15596">
      <c r="BB15596" s="122"/>
      <c r="BC15596" s="141"/>
    </row>
    <row r="15597">
      <c r="BB15597" s="122"/>
      <c r="BC15597" s="141"/>
    </row>
    <row r="15598">
      <c r="BB15598" s="122"/>
      <c r="BC15598" s="141"/>
    </row>
    <row r="15599">
      <c r="BB15599" s="122"/>
      <c r="BC15599" s="141"/>
    </row>
    <row r="15600">
      <c r="BB15600" s="122"/>
      <c r="BC15600" s="141"/>
    </row>
    <row r="15601">
      <c r="BB15601" s="122"/>
      <c r="BC15601" s="141"/>
    </row>
    <row r="15602">
      <c r="BB15602" s="122"/>
      <c r="BC15602" s="141"/>
    </row>
    <row r="15603">
      <c r="BB15603" s="122"/>
      <c r="BC15603" s="141"/>
    </row>
    <row r="15604">
      <c r="BB15604" s="122"/>
      <c r="BC15604" s="141"/>
    </row>
    <row r="15605">
      <c r="BB15605" s="122"/>
      <c r="BC15605" s="141"/>
    </row>
    <row r="15606">
      <c r="BB15606" s="122"/>
      <c r="BC15606" s="141"/>
    </row>
    <row r="15607">
      <c r="BB15607" s="122"/>
      <c r="BC15607" s="141"/>
    </row>
    <row r="15608">
      <c r="BB15608" s="122"/>
      <c r="BC15608" s="141"/>
    </row>
    <row r="15609">
      <c r="BB15609" s="122"/>
      <c r="BC15609" s="141"/>
    </row>
    <row r="15610">
      <c r="BB15610" s="122"/>
      <c r="BC15610" s="141"/>
    </row>
    <row r="15611">
      <c r="BB15611" s="122"/>
      <c r="BC15611" s="141"/>
    </row>
    <row r="15612">
      <c r="BB15612" s="122"/>
      <c r="BC15612" s="141"/>
    </row>
    <row r="15613">
      <c r="BB15613" s="122"/>
      <c r="BC15613" s="141"/>
    </row>
    <row r="15614">
      <c r="BB15614" s="122"/>
      <c r="BC15614" s="141"/>
    </row>
    <row r="15615">
      <c r="BB15615" s="122"/>
      <c r="BC15615" s="141"/>
    </row>
    <row r="15616">
      <c r="BB15616" s="122"/>
      <c r="BC15616" s="141"/>
    </row>
    <row r="15617">
      <c r="BB15617" s="122"/>
      <c r="BC15617" s="141"/>
    </row>
    <row r="15618">
      <c r="BB15618" s="122"/>
      <c r="BC15618" s="141"/>
    </row>
    <row r="15619">
      <c r="BB15619" s="122"/>
      <c r="BC15619" s="141"/>
    </row>
    <row r="15620">
      <c r="BB15620" s="122"/>
      <c r="BC15620" s="141"/>
    </row>
    <row r="15621">
      <c r="BB15621" s="122"/>
      <c r="BC15621" s="141"/>
    </row>
    <row r="15622">
      <c r="BB15622" s="122"/>
      <c r="BC15622" s="141"/>
    </row>
    <row r="15623">
      <c r="BB15623" s="122"/>
      <c r="BC15623" s="141"/>
    </row>
    <row r="15624">
      <c r="BB15624" s="122"/>
      <c r="BC15624" s="141"/>
    </row>
    <row r="15625">
      <c r="BB15625" s="122"/>
      <c r="BC15625" s="141"/>
    </row>
    <row r="15626">
      <c r="BB15626" s="122"/>
      <c r="BC15626" s="141"/>
    </row>
    <row r="15627">
      <c r="BB15627" s="122"/>
      <c r="BC15627" s="141"/>
    </row>
    <row r="15628">
      <c r="BB15628" s="122"/>
      <c r="BC15628" s="141"/>
    </row>
    <row r="15629">
      <c r="BB15629" s="122"/>
      <c r="BC15629" s="141"/>
    </row>
    <row r="15630">
      <c r="BB15630" s="122"/>
      <c r="BC15630" s="141"/>
    </row>
    <row r="15631">
      <c r="BB15631" s="122"/>
      <c r="BC15631" s="141"/>
    </row>
    <row r="15632">
      <c r="BB15632" s="122"/>
      <c r="BC15632" s="141"/>
    </row>
    <row r="15633">
      <c r="BB15633" s="122"/>
      <c r="BC15633" s="141"/>
    </row>
    <row r="15634">
      <c r="BB15634" s="122"/>
      <c r="BC15634" s="141"/>
    </row>
    <row r="15635">
      <c r="BB15635" s="122"/>
      <c r="BC15635" s="141"/>
    </row>
    <row r="15636">
      <c r="BB15636" s="122"/>
      <c r="BC15636" s="141"/>
    </row>
    <row r="15637">
      <c r="BB15637" s="122"/>
      <c r="BC15637" s="141"/>
    </row>
    <row r="15638">
      <c r="BB15638" s="122"/>
      <c r="BC15638" s="141"/>
    </row>
    <row r="15639">
      <c r="BB15639" s="122"/>
      <c r="BC15639" s="141"/>
    </row>
    <row r="15640">
      <c r="BB15640" s="122"/>
      <c r="BC15640" s="141"/>
    </row>
    <row r="15641">
      <c r="BB15641" s="122"/>
      <c r="BC15641" s="141"/>
    </row>
    <row r="15642">
      <c r="BB15642" s="122"/>
      <c r="BC15642" s="141"/>
    </row>
    <row r="15643">
      <c r="BB15643" s="122"/>
      <c r="BC15643" s="141"/>
    </row>
    <row r="15644">
      <c r="BB15644" s="122"/>
      <c r="BC15644" s="141"/>
    </row>
    <row r="15645">
      <c r="BB15645" s="122"/>
      <c r="BC15645" s="141"/>
    </row>
    <row r="15646">
      <c r="BB15646" s="122"/>
      <c r="BC15646" s="141"/>
    </row>
    <row r="15647">
      <c r="BB15647" s="122"/>
      <c r="BC15647" s="141"/>
    </row>
    <row r="15648">
      <c r="BB15648" s="122"/>
      <c r="BC15648" s="141"/>
    </row>
    <row r="15649">
      <c r="BB15649" s="122"/>
      <c r="BC15649" s="141"/>
    </row>
    <row r="15650">
      <c r="BB15650" s="122"/>
      <c r="BC15650" s="141"/>
    </row>
    <row r="15651">
      <c r="BB15651" s="122"/>
      <c r="BC15651" s="141"/>
    </row>
    <row r="15652">
      <c r="BB15652" s="122"/>
      <c r="BC15652" s="141"/>
    </row>
    <row r="15653">
      <c r="BB15653" s="122"/>
      <c r="BC15653" s="141"/>
    </row>
    <row r="15654">
      <c r="BB15654" s="122"/>
      <c r="BC15654" s="141"/>
    </row>
    <row r="15655">
      <c r="BB15655" s="122"/>
      <c r="BC15655" s="141"/>
    </row>
    <row r="15656">
      <c r="BB15656" s="122"/>
      <c r="BC15656" s="141"/>
    </row>
    <row r="15657">
      <c r="BB15657" s="122"/>
      <c r="BC15657" s="141"/>
    </row>
    <row r="15658">
      <c r="BB15658" s="122"/>
      <c r="BC15658" s="141"/>
    </row>
    <row r="15659">
      <c r="BB15659" s="122"/>
      <c r="BC15659" s="141"/>
    </row>
    <row r="15660">
      <c r="BB15660" s="122"/>
      <c r="BC15660" s="141"/>
    </row>
    <row r="15661">
      <c r="BB15661" s="122"/>
      <c r="BC15661" s="141"/>
    </row>
    <row r="15662">
      <c r="BB15662" s="122"/>
      <c r="BC15662" s="141"/>
    </row>
    <row r="15663">
      <c r="BB15663" s="122"/>
      <c r="BC15663" s="141"/>
    </row>
    <row r="15664">
      <c r="BB15664" s="122"/>
      <c r="BC15664" s="141"/>
    </row>
    <row r="15665">
      <c r="BB15665" s="122"/>
      <c r="BC15665" s="141"/>
    </row>
    <row r="15666">
      <c r="BB15666" s="122"/>
      <c r="BC15666" s="141"/>
    </row>
    <row r="15667">
      <c r="BB15667" s="122"/>
      <c r="BC15667" s="141"/>
    </row>
    <row r="15668">
      <c r="BB15668" s="122"/>
      <c r="BC15668" s="141"/>
    </row>
    <row r="15669">
      <c r="BB15669" s="122"/>
      <c r="BC15669" s="141"/>
    </row>
    <row r="15670">
      <c r="BB15670" s="122"/>
      <c r="BC15670" s="141"/>
    </row>
    <row r="15671">
      <c r="BB15671" s="122"/>
      <c r="BC15671" s="141"/>
    </row>
    <row r="15672">
      <c r="BB15672" s="122"/>
      <c r="BC15672" s="141"/>
    </row>
    <row r="15673">
      <c r="BB15673" s="122"/>
      <c r="BC15673" s="141"/>
    </row>
    <row r="15674">
      <c r="BB15674" s="122"/>
      <c r="BC15674" s="141"/>
    </row>
    <row r="15675">
      <c r="BB15675" s="122"/>
      <c r="BC15675" s="141"/>
    </row>
    <row r="15676">
      <c r="BB15676" s="122"/>
      <c r="BC15676" s="141"/>
    </row>
    <row r="15677">
      <c r="BB15677" s="122"/>
      <c r="BC15677" s="141"/>
    </row>
    <row r="15678">
      <c r="BB15678" s="122"/>
      <c r="BC15678" s="141"/>
    </row>
    <row r="15679">
      <c r="BB15679" s="122"/>
      <c r="BC15679" s="141"/>
    </row>
    <row r="15680">
      <c r="BB15680" s="122"/>
      <c r="BC15680" s="141"/>
    </row>
    <row r="15681">
      <c r="BB15681" s="122"/>
      <c r="BC15681" s="141"/>
    </row>
    <row r="15682">
      <c r="BB15682" s="122"/>
      <c r="BC15682" s="141"/>
    </row>
    <row r="15683">
      <c r="BB15683" s="122"/>
      <c r="BC15683" s="141"/>
    </row>
    <row r="15684">
      <c r="BB15684" s="122"/>
      <c r="BC15684" s="141"/>
    </row>
    <row r="15685">
      <c r="BB15685" s="122"/>
      <c r="BC15685" s="141"/>
    </row>
    <row r="15686">
      <c r="BB15686" s="122"/>
      <c r="BC15686" s="141"/>
    </row>
    <row r="15687">
      <c r="BB15687" s="122"/>
      <c r="BC15687" s="141"/>
    </row>
    <row r="15688">
      <c r="BB15688" s="122"/>
      <c r="BC15688" s="141"/>
    </row>
    <row r="15689">
      <c r="BB15689" s="122"/>
      <c r="BC15689" s="141"/>
    </row>
    <row r="15690">
      <c r="BB15690" s="122"/>
      <c r="BC15690" s="141"/>
    </row>
    <row r="15691">
      <c r="BB15691" s="122"/>
      <c r="BC15691" s="141"/>
    </row>
    <row r="15692">
      <c r="BB15692" s="122"/>
      <c r="BC15692" s="141"/>
    </row>
    <row r="15693">
      <c r="BB15693" s="122"/>
      <c r="BC15693" s="141"/>
    </row>
    <row r="15694">
      <c r="BB15694" s="122"/>
      <c r="BC15694" s="141"/>
    </row>
    <row r="15695">
      <c r="BB15695" s="122"/>
      <c r="BC15695" s="141"/>
    </row>
    <row r="15696">
      <c r="BB15696" s="122"/>
      <c r="BC15696" s="141"/>
    </row>
    <row r="15697">
      <c r="BB15697" s="122"/>
      <c r="BC15697" s="141"/>
    </row>
    <row r="15698">
      <c r="BB15698" s="122"/>
      <c r="BC15698" s="141"/>
    </row>
    <row r="15699">
      <c r="BB15699" s="122"/>
      <c r="BC15699" s="141"/>
    </row>
    <row r="15700">
      <c r="BB15700" s="122"/>
      <c r="BC15700" s="141"/>
    </row>
    <row r="15701">
      <c r="BB15701" s="122"/>
      <c r="BC15701" s="141"/>
    </row>
    <row r="15702">
      <c r="BB15702" s="122"/>
      <c r="BC15702" s="141"/>
    </row>
    <row r="15703">
      <c r="BB15703" s="122"/>
      <c r="BC15703" s="141"/>
    </row>
    <row r="15704">
      <c r="BB15704" s="122"/>
      <c r="BC15704" s="141"/>
    </row>
    <row r="15705">
      <c r="BB15705" s="122"/>
      <c r="BC15705" s="141"/>
    </row>
    <row r="15706">
      <c r="BB15706" s="122"/>
      <c r="BC15706" s="141"/>
    </row>
    <row r="15707">
      <c r="BB15707" s="122"/>
      <c r="BC15707" s="141"/>
    </row>
    <row r="15708">
      <c r="BB15708" s="122"/>
      <c r="BC15708" s="141"/>
    </row>
    <row r="15709">
      <c r="BB15709" s="122"/>
      <c r="BC15709" s="141"/>
    </row>
    <row r="15710">
      <c r="BB15710" s="122"/>
      <c r="BC15710" s="141"/>
    </row>
    <row r="15711">
      <c r="BB15711" s="122"/>
      <c r="BC15711" s="141"/>
    </row>
    <row r="15712">
      <c r="BB15712" s="122"/>
      <c r="BC15712" s="141"/>
    </row>
    <row r="15713">
      <c r="BB15713" s="122"/>
      <c r="BC15713" s="141"/>
    </row>
    <row r="15714">
      <c r="BB15714" s="122"/>
      <c r="BC15714" s="141"/>
    </row>
    <row r="15715">
      <c r="BB15715" s="122"/>
      <c r="BC15715" s="141"/>
    </row>
    <row r="15716">
      <c r="BB15716" s="122"/>
      <c r="BC15716" s="141"/>
    </row>
    <row r="15717">
      <c r="BB15717" s="122"/>
      <c r="BC15717" s="141"/>
    </row>
    <row r="15718">
      <c r="BB15718" s="122"/>
      <c r="BC15718" s="141"/>
    </row>
    <row r="15719">
      <c r="BB15719" s="122"/>
      <c r="BC15719" s="141"/>
    </row>
    <row r="15720">
      <c r="BB15720" s="122"/>
      <c r="BC15720" s="141"/>
    </row>
    <row r="15721">
      <c r="BB15721" s="122"/>
      <c r="BC15721" s="141"/>
    </row>
    <row r="15722">
      <c r="BB15722" s="122"/>
      <c r="BC15722" s="141"/>
    </row>
    <row r="15723">
      <c r="BB15723" s="122"/>
      <c r="BC15723" s="141"/>
    </row>
    <row r="15724">
      <c r="BB15724" s="122"/>
      <c r="BC15724" s="141"/>
    </row>
    <row r="15725">
      <c r="BB15725" s="122"/>
      <c r="BC15725" s="141"/>
    </row>
    <row r="15726">
      <c r="BB15726" s="122"/>
      <c r="BC15726" s="141"/>
    </row>
    <row r="15727">
      <c r="BB15727" s="122"/>
      <c r="BC15727" s="141"/>
    </row>
    <row r="15728">
      <c r="BB15728" s="122"/>
      <c r="BC15728" s="141"/>
    </row>
    <row r="15729">
      <c r="BB15729" s="122"/>
      <c r="BC15729" s="141"/>
    </row>
    <row r="15730">
      <c r="BB15730" s="122"/>
      <c r="BC15730" s="141"/>
    </row>
    <row r="15731">
      <c r="BB15731" s="122"/>
      <c r="BC15731" s="141"/>
    </row>
    <row r="15732">
      <c r="BB15732" s="122"/>
      <c r="BC15732" s="141"/>
    </row>
    <row r="15733">
      <c r="BB15733" s="122"/>
      <c r="BC15733" s="141"/>
    </row>
    <row r="15734">
      <c r="BB15734" s="122"/>
      <c r="BC15734" s="141"/>
    </row>
    <row r="15735">
      <c r="BB15735" s="122"/>
      <c r="BC15735" s="141"/>
    </row>
    <row r="15736">
      <c r="BB15736" s="122"/>
      <c r="BC15736" s="141"/>
    </row>
    <row r="15737">
      <c r="BB15737" s="122"/>
      <c r="BC15737" s="141"/>
    </row>
    <row r="15738">
      <c r="BB15738" s="122"/>
      <c r="BC15738" s="141"/>
    </row>
    <row r="15739">
      <c r="BB15739" s="122"/>
      <c r="BC15739" s="141"/>
    </row>
    <row r="15740">
      <c r="BB15740" s="122"/>
      <c r="BC15740" s="141"/>
    </row>
    <row r="15741">
      <c r="BB15741" s="122"/>
      <c r="BC15741" s="141"/>
    </row>
    <row r="15742">
      <c r="BB15742" s="122"/>
      <c r="BC15742" s="141"/>
    </row>
    <row r="15743">
      <c r="BB15743" s="122"/>
      <c r="BC15743" s="141"/>
    </row>
    <row r="15744">
      <c r="BB15744" s="122"/>
      <c r="BC15744" s="141"/>
    </row>
    <row r="15745">
      <c r="BB15745" s="122"/>
      <c r="BC15745" s="141"/>
    </row>
    <row r="15746">
      <c r="BB15746" s="122"/>
      <c r="BC15746" s="141"/>
    </row>
    <row r="15747">
      <c r="BB15747" s="122"/>
      <c r="BC15747" s="141"/>
    </row>
    <row r="15748">
      <c r="BB15748" s="122"/>
      <c r="BC15748" s="141"/>
    </row>
    <row r="15749">
      <c r="BB15749" s="122"/>
      <c r="BC15749" s="141"/>
    </row>
    <row r="15750">
      <c r="BB15750" s="122"/>
      <c r="BC15750" s="141"/>
    </row>
    <row r="15751">
      <c r="BB15751" s="122"/>
      <c r="BC15751" s="141"/>
    </row>
    <row r="15752">
      <c r="BB15752" s="122"/>
      <c r="BC15752" s="141"/>
    </row>
    <row r="15753">
      <c r="BB15753" s="122"/>
      <c r="BC15753" s="141"/>
    </row>
    <row r="15754">
      <c r="BB15754" s="122"/>
      <c r="BC15754" s="141"/>
    </row>
    <row r="15755">
      <c r="BB15755" s="122"/>
      <c r="BC15755" s="141"/>
    </row>
    <row r="15756">
      <c r="BB15756" s="122"/>
      <c r="BC15756" s="141"/>
    </row>
    <row r="15757">
      <c r="BB15757" s="122"/>
      <c r="BC15757" s="141"/>
    </row>
    <row r="15758">
      <c r="BB15758" s="122"/>
      <c r="BC15758" s="141"/>
    </row>
    <row r="15759">
      <c r="BB15759" s="122"/>
      <c r="BC15759" s="141"/>
    </row>
    <row r="15760">
      <c r="BB15760" s="122"/>
      <c r="BC15760" s="141"/>
    </row>
    <row r="15761">
      <c r="BB15761" s="122"/>
      <c r="BC15761" s="141"/>
    </row>
    <row r="15762">
      <c r="BB15762" s="122"/>
      <c r="BC15762" s="141"/>
    </row>
    <row r="15763">
      <c r="BB15763" s="122"/>
      <c r="BC15763" s="141"/>
    </row>
    <row r="15764">
      <c r="BB15764" s="122"/>
      <c r="BC15764" s="141"/>
    </row>
    <row r="15765">
      <c r="BB15765" s="122"/>
      <c r="BC15765" s="141"/>
    </row>
    <row r="15766">
      <c r="BB15766" s="122"/>
      <c r="BC15766" s="141"/>
    </row>
    <row r="15767">
      <c r="BB15767" s="122"/>
      <c r="BC15767" s="141"/>
    </row>
    <row r="15768">
      <c r="BB15768" s="122"/>
      <c r="BC15768" s="141"/>
    </row>
    <row r="15769">
      <c r="BB15769" s="122"/>
      <c r="BC15769" s="141"/>
    </row>
    <row r="15770">
      <c r="BB15770" s="122"/>
      <c r="BC15770" s="141"/>
    </row>
    <row r="15771">
      <c r="BB15771" s="122"/>
      <c r="BC15771" s="141"/>
    </row>
    <row r="15772">
      <c r="BB15772" s="122"/>
      <c r="BC15772" s="141"/>
    </row>
    <row r="15773">
      <c r="BB15773" s="122"/>
      <c r="BC15773" s="141"/>
    </row>
    <row r="15774">
      <c r="BB15774" s="122"/>
      <c r="BC15774" s="141"/>
    </row>
    <row r="15775">
      <c r="BB15775" s="122"/>
      <c r="BC15775" s="141"/>
    </row>
    <row r="15776">
      <c r="BB15776" s="122"/>
      <c r="BC15776" s="141"/>
    </row>
    <row r="15777">
      <c r="BB15777" s="122"/>
      <c r="BC15777" s="141"/>
    </row>
    <row r="15778">
      <c r="BB15778" s="122"/>
      <c r="BC15778" s="141"/>
    </row>
    <row r="15779">
      <c r="BB15779" s="122"/>
      <c r="BC15779" s="141"/>
    </row>
    <row r="15780">
      <c r="BB15780" s="122"/>
      <c r="BC15780" s="141"/>
    </row>
    <row r="15781">
      <c r="BB15781" s="122"/>
      <c r="BC15781" s="141"/>
    </row>
    <row r="15782">
      <c r="BB15782" s="122"/>
      <c r="BC15782" s="141"/>
    </row>
    <row r="15783">
      <c r="BB15783" s="122"/>
      <c r="BC15783" s="141"/>
    </row>
    <row r="15784">
      <c r="BB15784" s="122"/>
      <c r="BC15784" s="141"/>
    </row>
    <row r="15785">
      <c r="BB15785" s="122"/>
      <c r="BC15785" s="141"/>
    </row>
    <row r="15786">
      <c r="BB15786" s="122"/>
      <c r="BC15786" s="141"/>
    </row>
    <row r="15787">
      <c r="BB15787" s="122"/>
      <c r="BC15787" s="141"/>
    </row>
    <row r="15788">
      <c r="BB15788" s="122"/>
      <c r="BC15788" s="141"/>
    </row>
    <row r="15789">
      <c r="BB15789" s="122"/>
      <c r="BC15789" s="141"/>
    </row>
    <row r="15790">
      <c r="BB15790" s="122"/>
      <c r="BC15790" s="141"/>
    </row>
    <row r="15791">
      <c r="BB15791" s="122"/>
      <c r="BC15791" s="141"/>
    </row>
    <row r="15792">
      <c r="BB15792" s="122"/>
      <c r="BC15792" s="141"/>
    </row>
    <row r="15793">
      <c r="BB15793" s="122"/>
      <c r="BC15793" s="141"/>
    </row>
    <row r="15794">
      <c r="BB15794" s="122"/>
      <c r="BC15794" s="141"/>
    </row>
    <row r="15795">
      <c r="BB15795" s="122"/>
      <c r="BC15795" s="141"/>
    </row>
    <row r="15796">
      <c r="BB15796" s="122"/>
      <c r="BC15796" s="141"/>
    </row>
    <row r="15797">
      <c r="BB15797" s="122"/>
      <c r="BC15797" s="141"/>
    </row>
    <row r="15798">
      <c r="BB15798" s="122"/>
      <c r="BC15798" s="141"/>
    </row>
    <row r="15799">
      <c r="BB15799" s="122"/>
      <c r="BC15799" s="141"/>
    </row>
    <row r="15800">
      <c r="BB15800" s="122"/>
      <c r="BC15800" s="141"/>
    </row>
    <row r="15801">
      <c r="BB15801" s="122"/>
      <c r="BC15801" s="141"/>
    </row>
    <row r="15802">
      <c r="BB15802" s="122"/>
      <c r="BC15802" s="141"/>
    </row>
    <row r="15803">
      <c r="BB15803" s="122"/>
      <c r="BC15803" s="141"/>
    </row>
    <row r="15804">
      <c r="BB15804" s="122"/>
      <c r="BC15804" s="141"/>
    </row>
    <row r="15805">
      <c r="BB15805" s="122"/>
      <c r="BC15805" s="141"/>
    </row>
    <row r="15806">
      <c r="BB15806" s="122"/>
      <c r="BC15806" s="141"/>
    </row>
    <row r="15807">
      <c r="BB15807" s="122"/>
      <c r="BC15807" s="141"/>
    </row>
    <row r="15808">
      <c r="BB15808" s="122"/>
      <c r="BC15808" s="141"/>
    </row>
    <row r="15809">
      <c r="BB15809" s="122"/>
      <c r="BC15809" s="141"/>
    </row>
    <row r="15810">
      <c r="BB15810" s="122"/>
      <c r="BC15810" s="141"/>
    </row>
    <row r="15811">
      <c r="BB15811" s="122"/>
      <c r="BC15811" s="141"/>
    </row>
    <row r="15812">
      <c r="BB15812" s="122"/>
      <c r="BC15812" s="141"/>
    </row>
    <row r="15813">
      <c r="BB15813" s="122"/>
      <c r="BC15813" s="141"/>
    </row>
    <row r="15814">
      <c r="BB15814" s="122"/>
      <c r="BC15814" s="141"/>
    </row>
    <row r="15815">
      <c r="BB15815" s="122"/>
      <c r="BC15815" s="141"/>
    </row>
    <row r="15816">
      <c r="BB15816" s="122"/>
      <c r="BC15816" s="141"/>
    </row>
    <row r="15817">
      <c r="BB15817" s="122"/>
      <c r="BC15817" s="141"/>
    </row>
    <row r="15818">
      <c r="BB15818" s="122"/>
      <c r="BC15818" s="141"/>
    </row>
    <row r="15819">
      <c r="BB15819" s="122"/>
      <c r="BC15819" s="141"/>
    </row>
    <row r="15820">
      <c r="BB15820" s="122"/>
      <c r="BC15820" s="141"/>
    </row>
    <row r="15821">
      <c r="BB15821" s="122"/>
      <c r="BC15821" s="141"/>
    </row>
    <row r="15822">
      <c r="BB15822" s="122"/>
      <c r="BC15822" s="141"/>
    </row>
    <row r="15823">
      <c r="BB15823" s="122"/>
      <c r="BC15823" s="141"/>
    </row>
    <row r="15824">
      <c r="BB15824" s="122"/>
      <c r="BC15824" s="141"/>
    </row>
    <row r="15825">
      <c r="BB15825" s="122"/>
      <c r="BC15825" s="141"/>
    </row>
    <row r="15826">
      <c r="BB15826" s="122"/>
      <c r="BC15826" s="141"/>
    </row>
    <row r="15827">
      <c r="BB15827" s="122"/>
      <c r="BC15827" s="141"/>
    </row>
    <row r="15828">
      <c r="BB15828" s="122"/>
      <c r="BC15828" s="141"/>
    </row>
    <row r="15829">
      <c r="BB15829" s="122"/>
      <c r="BC15829" s="141"/>
    </row>
    <row r="15830">
      <c r="BB15830" s="122"/>
      <c r="BC15830" s="141"/>
    </row>
    <row r="15831">
      <c r="BB15831" s="122"/>
      <c r="BC15831" s="141"/>
    </row>
    <row r="15832">
      <c r="BB15832" s="122"/>
      <c r="BC15832" s="141"/>
    </row>
    <row r="15833">
      <c r="BB15833" s="122"/>
      <c r="BC15833" s="141"/>
    </row>
    <row r="15834">
      <c r="BB15834" s="122"/>
      <c r="BC15834" s="141"/>
    </row>
    <row r="15835">
      <c r="BB15835" s="122"/>
      <c r="BC15835" s="141"/>
    </row>
    <row r="15836">
      <c r="BB15836" s="122"/>
      <c r="BC15836" s="141"/>
    </row>
    <row r="15837">
      <c r="BB15837" s="122"/>
      <c r="BC15837" s="141"/>
    </row>
    <row r="15838">
      <c r="BB15838" s="122"/>
      <c r="BC15838" s="141"/>
    </row>
    <row r="15839">
      <c r="BB15839" s="122"/>
      <c r="BC15839" s="141"/>
    </row>
    <row r="15840">
      <c r="BB15840" s="122"/>
      <c r="BC15840" s="141"/>
    </row>
    <row r="15841">
      <c r="BB15841" s="122"/>
      <c r="BC15841" s="141"/>
    </row>
    <row r="15842">
      <c r="BB15842" s="122"/>
      <c r="BC15842" s="141"/>
    </row>
    <row r="15843">
      <c r="BB15843" s="122"/>
      <c r="BC15843" s="141"/>
    </row>
    <row r="15844">
      <c r="BB15844" s="122"/>
      <c r="BC15844" s="141"/>
    </row>
    <row r="15845">
      <c r="BB15845" s="122"/>
      <c r="BC15845" s="141"/>
    </row>
    <row r="15846">
      <c r="BB15846" s="122"/>
      <c r="BC15846" s="141"/>
    </row>
    <row r="15847">
      <c r="BB15847" s="122"/>
      <c r="BC15847" s="141"/>
    </row>
    <row r="15848">
      <c r="BB15848" s="122"/>
      <c r="BC15848" s="141"/>
    </row>
    <row r="15849">
      <c r="BB15849" s="122"/>
      <c r="BC15849" s="141"/>
    </row>
    <row r="15850">
      <c r="BB15850" s="122"/>
      <c r="BC15850" s="141"/>
    </row>
    <row r="15851">
      <c r="BB15851" s="122"/>
      <c r="BC15851" s="141"/>
    </row>
    <row r="15852">
      <c r="BB15852" s="122"/>
      <c r="BC15852" s="141"/>
    </row>
    <row r="15853">
      <c r="BB15853" s="122"/>
      <c r="BC15853" s="141"/>
    </row>
    <row r="15854">
      <c r="BB15854" s="122"/>
      <c r="BC15854" s="141"/>
    </row>
    <row r="15855">
      <c r="BB15855" s="122"/>
      <c r="BC15855" s="141"/>
    </row>
    <row r="15856">
      <c r="BB15856" s="122"/>
      <c r="BC15856" s="141"/>
    </row>
    <row r="15857">
      <c r="BB15857" s="122"/>
      <c r="BC15857" s="141"/>
    </row>
    <row r="15858">
      <c r="BB15858" s="122"/>
      <c r="BC15858" s="141"/>
    </row>
    <row r="15859">
      <c r="BB15859" s="122"/>
      <c r="BC15859" s="141"/>
    </row>
    <row r="15860">
      <c r="BB15860" s="122"/>
      <c r="BC15860" s="141"/>
    </row>
    <row r="15861">
      <c r="BB15861" s="122"/>
      <c r="BC15861" s="141"/>
    </row>
    <row r="15862">
      <c r="BB15862" s="122"/>
      <c r="BC15862" s="141"/>
    </row>
    <row r="15863">
      <c r="BB15863" s="122"/>
      <c r="BC15863" s="141"/>
    </row>
    <row r="15864">
      <c r="BB15864" s="122"/>
      <c r="BC15864" s="141"/>
    </row>
    <row r="15865">
      <c r="BB15865" s="122"/>
      <c r="BC15865" s="141"/>
    </row>
    <row r="15866">
      <c r="BB15866" s="122"/>
      <c r="BC15866" s="141"/>
    </row>
    <row r="15867">
      <c r="BB15867" s="122"/>
      <c r="BC15867" s="141"/>
    </row>
    <row r="15868">
      <c r="BB15868" s="122"/>
      <c r="BC15868" s="141"/>
    </row>
    <row r="15869">
      <c r="BB15869" s="122"/>
      <c r="BC15869" s="141"/>
    </row>
    <row r="15870">
      <c r="BB15870" s="122"/>
      <c r="BC15870" s="141"/>
    </row>
    <row r="15871">
      <c r="BB15871" s="122"/>
      <c r="BC15871" s="141"/>
    </row>
    <row r="15872">
      <c r="BB15872" s="122"/>
      <c r="BC15872" s="141"/>
    </row>
    <row r="15873">
      <c r="BB15873" s="122"/>
      <c r="BC15873" s="141"/>
    </row>
    <row r="15874">
      <c r="BB15874" s="122"/>
      <c r="BC15874" s="141"/>
    </row>
    <row r="15875">
      <c r="BB15875" s="122"/>
      <c r="BC15875" s="141"/>
    </row>
    <row r="15876">
      <c r="BB15876" s="122"/>
      <c r="BC15876" s="141"/>
    </row>
    <row r="15877">
      <c r="BB15877" s="122"/>
      <c r="BC15877" s="141"/>
    </row>
    <row r="15878">
      <c r="BB15878" s="122"/>
      <c r="BC15878" s="141"/>
    </row>
    <row r="15879">
      <c r="BB15879" s="122"/>
      <c r="BC15879" s="141"/>
    </row>
    <row r="15880">
      <c r="BB15880" s="122"/>
      <c r="BC15880" s="141"/>
    </row>
    <row r="15881">
      <c r="BB15881" s="122"/>
      <c r="BC15881" s="141"/>
    </row>
    <row r="15882">
      <c r="BB15882" s="122"/>
      <c r="BC15882" s="141"/>
    </row>
    <row r="15883">
      <c r="BB15883" s="122"/>
      <c r="BC15883" s="141"/>
    </row>
    <row r="15884">
      <c r="BB15884" s="122"/>
      <c r="BC15884" s="141"/>
    </row>
    <row r="15885">
      <c r="BB15885" s="122"/>
      <c r="BC15885" s="141"/>
    </row>
    <row r="15886">
      <c r="BB15886" s="122"/>
      <c r="BC15886" s="141"/>
    </row>
    <row r="15887">
      <c r="BB15887" s="122"/>
      <c r="BC15887" s="141"/>
    </row>
    <row r="15888">
      <c r="BB15888" s="122"/>
      <c r="BC15888" s="141"/>
    </row>
    <row r="15889">
      <c r="BB15889" s="122"/>
      <c r="BC15889" s="141"/>
    </row>
    <row r="15890">
      <c r="BB15890" s="122"/>
      <c r="BC15890" s="141"/>
    </row>
    <row r="15891">
      <c r="BB15891" s="122"/>
      <c r="BC15891" s="141"/>
    </row>
    <row r="15892">
      <c r="BB15892" s="122"/>
      <c r="BC15892" s="141"/>
    </row>
    <row r="15893">
      <c r="BB15893" s="122"/>
      <c r="BC15893" s="141"/>
    </row>
    <row r="15894">
      <c r="BB15894" s="122"/>
      <c r="BC15894" s="141"/>
    </row>
    <row r="15895">
      <c r="BB15895" s="122"/>
      <c r="BC15895" s="141"/>
    </row>
    <row r="15896">
      <c r="BB15896" s="122"/>
      <c r="BC15896" s="141"/>
    </row>
    <row r="15897">
      <c r="BB15897" s="122"/>
      <c r="BC15897" s="141"/>
    </row>
    <row r="15898">
      <c r="BB15898" s="122"/>
      <c r="BC15898" s="141"/>
    </row>
    <row r="15899">
      <c r="BB15899" s="122"/>
      <c r="BC15899" s="141"/>
    </row>
    <row r="15900">
      <c r="BB15900" s="122"/>
      <c r="BC15900" s="141"/>
    </row>
    <row r="15901">
      <c r="BB15901" s="122"/>
      <c r="BC15901" s="141"/>
    </row>
    <row r="15902">
      <c r="BB15902" s="122"/>
      <c r="BC15902" s="141"/>
    </row>
    <row r="15903">
      <c r="BB15903" s="122"/>
      <c r="BC15903" s="141"/>
    </row>
    <row r="15904">
      <c r="BB15904" s="122"/>
      <c r="BC15904" s="141"/>
    </row>
    <row r="15905">
      <c r="BB15905" s="122"/>
      <c r="BC15905" s="141"/>
    </row>
    <row r="15906">
      <c r="BB15906" s="122"/>
      <c r="BC15906" s="141"/>
    </row>
    <row r="15907">
      <c r="BB15907" s="122"/>
      <c r="BC15907" s="141"/>
    </row>
    <row r="15908">
      <c r="BB15908" s="122"/>
      <c r="BC15908" s="141"/>
    </row>
    <row r="15909">
      <c r="BB15909" s="122"/>
      <c r="BC15909" s="141"/>
    </row>
    <row r="15910">
      <c r="BB15910" s="122"/>
      <c r="BC15910" s="141"/>
    </row>
    <row r="15911">
      <c r="BB15911" s="122"/>
      <c r="BC15911" s="141"/>
    </row>
    <row r="15912">
      <c r="BB15912" s="122"/>
      <c r="BC15912" s="141"/>
    </row>
    <row r="15913">
      <c r="BB15913" s="122"/>
      <c r="BC15913" s="141"/>
    </row>
    <row r="15914">
      <c r="BB15914" s="122"/>
      <c r="BC15914" s="141"/>
    </row>
    <row r="15915">
      <c r="BB15915" s="122"/>
      <c r="BC15915" s="141"/>
    </row>
    <row r="15916">
      <c r="BB15916" s="122"/>
      <c r="BC15916" s="141"/>
    </row>
    <row r="15917">
      <c r="BB15917" s="122"/>
      <c r="BC15917" s="141"/>
    </row>
    <row r="15918">
      <c r="BB15918" s="122"/>
      <c r="BC15918" s="141"/>
    </row>
    <row r="15919">
      <c r="BB15919" s="122"/>
      <c r="BC15919" s="141"/>
    </row>
    <row r="15920">
      <c r="BB15920" s="122"/>
      <c r="BC15920" s="141"/>
    </row>
    <row r="15921">
      <c r="BB15921" s="122"/>
      <c r="BC15921" s="141"/>
    </row>
    <row r="15922">
      <c r="BB15922" s="122"/>
      <c r="BC15922" s="141"/>
    </row>
    <row r="15923">
      <c r="BB15923" s="122"/>
      <c r="BC15923" s="141"/>
    </row>
    <row r="15924">
      <c r="BB15924" s="122"/>
      <c r="BC15924" s="141"/>
    </row>
    <row r="15925">
      <c r="BB15925" s="122"/>
      <c r="BC15925" s="141"/>
    </row>
    <row r="15926">
      <c r="BB15926" s="122"/>
      <c r="BC15926" s="141"/>
    </row>
    <row r="15927">
      <c r="BB15927" s="122"/>
      <c r="BC15927" s="141"/>
    </row>
    <row r="15928">
      <c r="BB15928" s="122"/>
      <c r="BC15928" s="141"/>
    </row>
    <row r="15929">
      <c r="BB15929" s="122"/>
      <c r="BC15929" s="141"/>
    </row>
    <row r="15930">
      <c r="BB15930" s="122"/>
      <c r="BC15930" s="141"/>
    </row>
    <row r="15931">
      <c r="BB15931" s="122"/>
      <c r="BC15931" s="141"/>
    </row>
    <row r="15932">
      <c r="BB15932" s="122"/>
      <c r="BC15932" s="141"/>
    </row>
    <row r="15933">
      <c r="BB15933" s="122"/>
      <c r="BC15933" s="141"/>
    </row>
    <row r="15934">
      <c r="BB15934" s="122"/>
      <c r="BC15934" s="141"/>
    </row>
    <row r="15935">
      <c r="BB15935" s="122"/>
      <c r="BC15935" s="141"/>
    </row>
    <row r="15936">
      <c r="BB15936" s="122"/>
      <c r="BC15936" s="141"/>
    </row>
    <row r="15937">
      <c r="BB15937" s="122"/>
      <c r="BC15937" s="141"/>
    </row>
    <row r="15938">
      <c r="BB15938" s="122"/>
      <c r="BC15938" s="141"/>
    </row>
    <row r="15939">
      <c r="BB15939" s="122"/>
      <c r="BC15939" s="141"/>
    </row>
    <row r="15940">
      <c r="BB15940" s="122"/>
      <c r="BC15940" s="141"/>
    </row>
    <row r="15941">
      <c r="BB15941" s="122"/>
      <c r="BC15941" s="141"/>
    </row>
    <row r="15942">
      <c r="BB15942" s="122"/>
      <c r="BC15942" s="141"/>
    </row>
    <row r="15943">
      <c r="BB15943" s="122"/>
      <c r="BC15943" s="141"/>
    </row>
    <row r="15944">
      <c r="BB15944" s="122"/>
      <c r="BC15944" s="141"/>
    </row>
    <row r="15945">
      <c r="BB15945" s="122"/>
      <c r="BC15945" s="141"/>
    </row>
    <row r="15946">
      <c r="BB15946" s="122"/>
      <c r="BC15946" s="141"/>
    </row>
    <row r="15947">
      <c r="BB15947" s="122"/>
      <c r="BC15947" s="141"/>
    </row>
    <row r="15948">
      <c r="BB15948" s="122"/>
      <c r="BC15948" s="141"/>
    </row>
    <row r="15949">
      <c r="BB15949" s="122"/>
      <c r="BC15949" s="141"/>
    </row>
    <row r="15950">
      <c r="BB15950" s="122"/>
      <c r="BC15950" s="141"/>
    </row>
    <row r="15951">
      <c r="BB15951" s="122"/>
      <c r="BC15951" s="141"/>
    </row>
    <row r="15952">
      <c r="BB15952" s="122"/>
      <c r="BC15952" s="141"/>
    </row>
    <row r="15953">
      <c r="BB15953" s="122"/>
      <c r="BC15953" s="141"/>
    </row>
    <row r="15954">
      <c r="BB15954" s="122"/>
      <c r="BC15954" s="141"/>
    </row>
    <row r="15955">
      <c r="BB15955" s="122"/>
      <c r="BC15955" s="141"/>
    </row>
    <row r="15956">
      <c r="BB15956" s="122"/>
      <c r="BC15956" s="141"/>
    </row>
    <row r="15957">
      <c r="BB15957" s="122"/>
      <c r="BC15957" s="141"/>
    </row>
    <row r="15958">
      <c r="BB15958" s="122"/>
      <c r="BC15958" s="141"/>
    </row>
    <row r="15959">
      <c r="BB15959" s="122"/>
      <c r="BC15959" s="141"/>
    </row>
    <row r="15960">
      <c r="BB15960" s="122"/>
      <c r="BC15960" s="141"/>
    </row>
    <row r="15961">
      <c r="BB15961" s="122"/>
      <c r="BC15961" s="141"/>
    </row>
    <row r="15962">
      <c r="BB15962" s="122"/>
      <c r="BC15962" s="141"/>
    </row>
    <row r="15963">
      <c r="BB15963" s="122"/>
      <c r="BC15963" s="141"/>
    </row>
    <row r="15964">
      <c r="BB15964" s="122"/>
      <c r="BC15964" s="141"/>
    </row>
    <row r="15965">
      <c r="BB15965" s="122"/>
      <c r="BC15965" s="141"/>
    </row>
    <row r="15966">
      <c r="BB15966" s="122"/>
      <c r="BC15966" s="141"/>
    </row>
    <row r="15967">
      <c r="BB15967" s="122"/>
      <c r="BC15967" s="141"/>
    </row>
    <row r="15968">
      <c r="BB15968" s="122"/>
      <c r="BC15968" s="141"/>
    </row>
    <row r="15969">
      <c r="BB15969" s="122"/>
      <c r="BC15969" s="141"/>
    </row>
    <row r="15970">
      <c r="BB15970" s="122"/>
      <c r="BC15970" s="141"/>
    </row>
    <row r="15971">
      <c r="BB15971" s="122"/>
      <c r="BC15971" s="141"/>
    </row>
    <row r="15972">
      <c r="BB15972" s="122"/>
      <c r="BC15972" s="141"/>
    </row>
    <row r="15973">
      <c r="BB15973" s="122"/>
      <c r="BC15973" s="141"/>
    </row>
    <row r="15974">
      <c r="BB15974" s="122"/>
      <c r="BC15974" s="141"/>
    </row>
    <row r="15975">
      <c r="BB15975" s="122"/>
      <c r="BC15975" s="141"/>
    </row>
    <row r="15976">
      <c r="BB15976" s="122"/>
      <c r="BC15976" s="141"/>
    </row>
    <row r="15977">
      <c r="BB15977" s="122"/>
      <c r="BC15977" s="141"/>
    </row>
    <row r="15978">
      <c r="BB15978" s="122"/>
      <c r="BC15978" s="141"/>
    </row>
    <row r="15979">
      <c r="BB15979" s="122"/>
      <c r="BC15979" s="141"/>
    </row>
    <row r="15980">
      <c r="BB15980" s="122"/>
      <c r="BC15980" s="141"/>
    </row>
    <row r="15981">
      <c r="BB15981" s="122"/>
      <c r="BC15981" s="141"/>
    </row>
    <row r="15982">
      <c r="BB15982" s="122"/>
      <c r="BC15982" s="141"/>
    </row>
    <row r="15983">
      <c r="BB15983" s="122"/>
      <c r="BC15983" s="141"/>
    </row>
    <row r="15984">
      <c r="BB15984" s="122"/>
      <c r="BC15984" s="141"/>
    </row>
    <row r="15985">
      <c r="BB15985" s="122"/>
      <c r="BC15985" s="141"/>
    </row>
    <row r="15986">
      <c r="BB15986" s="122"/>
      <c r="BC15986" s="141"/>
    </row>
    <row r="15987">
      <c r="BB15987" s="122"/>
      <c r="BC15987" s="141"/>
    </row>
    <row r="15988">
      <c r="BB15988" s="122"/>
      <c r="BC15988" s="141"/>
    </row>
    <row r="15989">
      <c r="BB15989" s="122"/>
      <c r="BC15989" s="141"/>
    </row>
    <row r="15990">
      <c r="BB15990" s="122"/>
      <c r="BC15990" s="141"/>
    </row>
    <row r="15991">
      <c r="BB15991" s="122"/>
      <c r="BC15991" s="141"/>
    </row>
    <row r="15992">
      <c r="BB15992" s="122"/>
      <c r="BC15992" s="141"/>
    </row>
    <row r="15993">
      <c r="BB15993" s="122"/>
      <c r="BC15993" s="141"/>
    </row>
    <row r="15994">
      <c r="BB15994" s="122"/>
      <c r="BC15994" s="141"/>
    </row>
    <row r="15995">
      <c r="BB15995" s="122"/>
      <c r="BC15995" s="141"/>
    </row>
    <row r="15996">
      <c r="BB15996" s="122"/>
      <c r="BC15996" s="141"/>
    </row>
    <row r="15997">
      <c r="BB15997" s="122"/>
      <c r="BC15997" s="141"/>
    </row>
    <row r="15998">
      <c r="BB15998" s="122"/>
      <c r="BC15998" s="141"/>
    </row>
    <row r="15999">
      <c r="BB15999" s="122"/>
      <c r="BC15999" s="141"/>
    </row>
    <row r="16000">
      <c r="BB16000" s="122"/>
      <c r="BC16000" s="141"/>
    </row>
    <row r="16001">
      <c r="BB16001" s="122"/>
      <c r="BC16001" s="141"/>
    </row>
    <row r="16002">
      <c r="BB16002" s="122"/>
      <c r="BC16002" s="141"/>
    </row>
    <row r="16003">
      <c r="BB16003" s="122"/>
      <c r="BC16003" s="141"/>
    </row>
    <row r="16004">
      <c r="BB16004" s="122"/>
      <c r="BC16004" s="141"/>
    </row>
    <row r="16005">
      <c r="BB16005" s="122"/>
      <c r="BC16005" s="141"/>
    </row>
    <row r="16006">
      <c r="BB16006" s="122"/>
      <c r="BC16006" s="141"/>
    </row>
    <row r="16007">
      <c r="BB16007" s="122"/>
      <c r="BC16007" s="141"/>
    </row>
    <row r="16008">
      <c r="BB16008" s="122"/>
      <c r="BC16008" s="141"/>
    </row>
    <row r="16009">
      <c r="BB16009" s="122"/>
      <c r="BC16009" s="141"/>
    </row>
    <row r="16010">
      <c r="BB16010" s="122"/>
      <c r="BC16010" s="141"/>
    </row>
    <row r="16011">
      <c r="BB16011" s="122"/>
      <c r="BC16011" s="141"/>
    </row>
    <row r="16012">
      <c r="BB16012" s="122"/>
      <c r="BC16012" s="141"/>
    </row>
    <row r="16013">
      <c r="BB16013" s="122"/>
      <c r="BC16013" s="141"/>
    </row>
    <row r="16014">
      <c r="BB16014" s="122"/>
      <c r="BC16014" s="141"/>
    </row>
    <row r="16015">
      <c r="BB16015" s="122"/>
      <c r="BC16015" s="141"/>
    </row>
    <row r="16016">
      <c r="BB16016" s="122"/>
      <c r="BC16016" s="141"/>
    </row>
    <row r="16017">
      <c r="BB16017" s="122"/>
      <c r="BC16017" s="141"/>
    </row>
    <row r="16018">
      <c r="BB16018" s="122"/>
      <c r="BC16018" s="141"/>
    </row>
    <row r="16019">
      <c r="BB16019" s="122"/>
      <c r="BC16019" s="141"/>
    </row>
    <row r="16020">
      <c r="BB16020" s="122"/>
      <c r="BC16020" s="141"/>
    </row>
    <row r="16021">
      <c r="BB16021" s="122"/>
      <c r="BC16021" s="141"/>
    </row>
    <row r="16022">
      <c r="BB16022" s="122"/>
      <c r="BC16022" s="141"/>
    </row>
    <row r="16023">
      <c r="BB16023" s="122"/>
      <c r="BC16023" s="141"/>
    </row>
    <row r="16024">
      <c r="BB16024" s="122"/>
      <c r="BC16024" s="141"/>
    </row>
    <row r="16025">
      <c r="BB16025" s="122"/>
      <c r="BC16025" s="141"/>
    </row>
    <row r="16026">
      <c r="BB16026" s="122"/>
      <c r="BC16026" s="141"/>
    </row>
    <row r="16027">
      <c r="BB16027" s="122"/>
      <c r="BC16027" s="141"/>
    </row>
    <row r="16028">
      <c r="BB16028" s="122"/>
      <c r="BC16028" s="141"/>
    </row>
    <row r="16029">
      <c r="BB16029" s="122"/>
      <c r="BC16029" s="141"/>
    </row>
    <row r="16030">
      <c r="BB16030" s="122"/>
      <c r="BC16030" s="141"/>
    </row>
    <row r="16031">
      <c r="BB16031" s="122"/>
      <c r="BC16031" s="141"/>
    </row>
    <row r="16032">
      <c r="BB16032" s="122"/>
      <c r="BC16032" s="141"/>
    </row>
    <row r="16033">
      <c r="BB16033" s="122"/>
      <c r="BC16033" s="141"/>
    </row>
    <row r="16034">
      <c r="BB16034" s="122"/>
      <c r="BC16034" s="141"/>
    </row>
    <row r="16035">
      <c r="BB16035" s="122"/>
      <c r="BC16035" s="141"/>
    </row>
    <row r="16036">
      <c r="BB16036" s="122"/>
      <c r="BC16036" s="141"/>
    </row>
    <row r="16037">
      <c r="BB16037" s="122"/>
      <c r="BC16037" s="141"/>
    </row>
    <row r="16038">
      <c r="BB16038" s="122"/>
      <c r="BC16038" s="141"/>
    </row>
    <row r="16039">
      <c r="BB16039" s="122"/>
      <c r="BC16039" s="141"/>
    </row>
    <row r="16040">
      <c r="BB16040" s="122"/>
      <c r="BC16040" s="141"/>
    </row>
    <row r="16041">
      <c r="BB16041" s="122"/>
      <c r="BC16041" s="141"/>
    </row>
    <row r="16042">
      <c r="BB16042" s="122"/>
      <c r="BC16042" s="141"/>
    </row>
    <row r="16043">
      <c r="BB16043" s="122"/>
      <c r="BC16043" s="141"/>
    </row>
    <row r="16044">
      <c r="BB16044" s="122"/>
      <c r="BC16044" s="141"/>
    </row>
    <row r="16045">
      <c r="BB16045" s="122"/>
      <c r="BC16045" s="141"/>
    </row>
    <row r="16046">
      <c r="BB16046" s="122"/>
      <c r="BC16046" s="141"/>
    </row>
    <row r="16047">
      <c r="BB16047" s="122"/>
      <c r="BC16047" s="141"/>
    </row>
    <row r="16048">
      <c r="BB16048" s="122"/>
      <c r="BC16048" s="141"/>
    </row>
    <row r="16049">
      <c r="BB16049" s="122"/>
      <c r="BC16049" s="141"/>
    </row>
    <row r="16050">
      <c r="BB16050" s="122"/>
      <c r="BC16050" s="141"/>
    </row>
    <row r="16051">
      <c r="BB16051" s="122"/>
      <c r="BC16051" s="141"/>
    </row>
    <row r="16052">
      <c r="BB16052" s="122"/>
      <c r="BC16052" s="141"/>
    </row>
    <row r="16053">
      <c r="BB16053" s="122"/>
      <c r="BC16053" s="141"/>
    </row>
    <row r="16054">
      <c r="BB16054" s="122"/>
      <c r="BC16054" s="141"/>
    </row>
    <row r="16055">
      <c r="BB16055" s="122"/>
      <c r="BC16055" s="141"/>
    </row>
    <row r="16056">
      <c r="BB16056" s="122"/>
      <c r="BC16056" s="141"/>
    </row>
    <row r="16057">
      <c r="BB16057" s="122"/>
      <c r="BC16057" s="141"/>
    </row>
    <row r="16058">
      <c r="BB16058" s="122"/>
      <c r="BC16058" s="141"/>
    </row>
    <row r="16059">
      <c r="BB16059" s="122"/>
      <c r="BC16059" s="141"/>
    </row>
    <row r="16060">
      <c r="BB16060" s="122"/>
      <c r="BC16060" s="141"/>
    </row>
    <row r="16061">
      <c r="BB16061" s="122"/>
      <c r="BC16061" s="141"/>
    </row>
    <row r="16062">
      <c r="BB16062" s="122"/>
      <c r="BC16062" s="141"/>
    </row>
    <row r="16063">
      <c r="BB16063" s="122"/>
      <c r="BC16063" s="141"/>
    </row>
    <row r="16064">
      <c r="BB16064" s="122"/>
      <c r="BC16064" s="141"/>
    </row>
    <row r="16065">
      <c r="BB16065" s="122"/>
      <c r="BC16065" s="141"/>
    </row>
    <row r="16066">
      <c r="BB16066" s="122"/>
      <c r="BC16066" s="141"/>
    </row>
    <row r="16067">
      <c r="BB16067" s="122"/>
      <c r="BC16067" s="141"/>
    </row>
    <row r="16068">
      <c r="BB16068" s="122"/>
      <c r="BC16068" s="141"/>
    </row>
    <row r="16069">
      <c r="BB16069" s="122"/>
      <c r="BC16069" s="141"/>
    </row>
    <row r="16070">
      <c r="BB16070" s="122"/>
      <c r="BC16070" s="141"/>
    </row>
    <row r="16071">
      <c r="BB16071" s="122"/>
      <c r="BC16071" s="141"/>
    </row>
    <row r="16072">
      <c r="BB16072" s="122"/>
      <c r="BC16072" s="141"/>
    </row>
    <row r="16073">
      <c r="BB16073" s="122"/>
      <c r="BC16073" s="141"/>
    </row>
    <row r="16074">
      <c r="BB16074" s="122"/>
      <c r="BC16074" s="141"/>
    </row>
    <row r="16075">
      <c r="BB16075" s="122"/>
      <c r="BC16075" s="141"/>
    </row>
    <row r="16076">
      <c r="BB16076" s="122"/>
      <c r="BC16076" s="141"/>
    </row>
    <row r="16077">
      <c r="BB16077" s="122"/>
      <c r="BC16077" s="141"/>
    </row>
    <row r="16078">
      <c r="BB16078" s="122"/>
      <c r="BC16078" s="141"/>
    </row>
    <row r="16079">
      <c r="BB16079" s="122"/>
      <c r="BC16079" s="141"/>
    </row>
    <row r="16080">
      <c r="BB16080" s="122"/>
      <c r="BC16080" s="141"/>
    </row>
    <row r="16081">
      <c r="BB16081" s="122"/>
      <c r="BC16081" s="141"/>
    </row>
    <row r="16082">
      <c r="BB16082" s="122"/>
      <c r="BC16082" s="141"/>
    </row>
    <row r="16083">
      <c r="BB16083" s="122"/>
      <c r="BC16083" s="141"/>
    </row>
    <row r="16084">
      <c r="BB16084" s="122"/>
      <c r="BC16084" s="141"/>
    </row>
    <row r="16085">
      <c r="BB16085" s="122"/>
      <c r="BC16085" s="141"/>
    </row>
    <row r="16086">
      <c r="BB16086" s="122"/>
      <c r="BC16086" s="141"/>
    </row>
    <row r="16087">
      <c r="BB16087" s="122"/>
      <c r="BC16087" s="141"/>
    </row>
    <row r="16088">
      <c r="BB16088" s="122"/>
      <c r="BC16088" s="141"/>
    </row>
    <row r="16089">
      <c r="BB16089" s="122"/>
      <c r="BC16089" s="141"/>
    </row>
    <row r="16090">
      <c r="BB16090" s="122"/>
      <c r="BC16090" s="141"/>
    </row>
    <row r="16091">
      <c r="BB16091" s="122"/>
      <c r="BC16091" s="141"/>
    </row>
    <row r="16092">
      <c r="BB16092" s="122"/>
      <c r="BC16092" s="141"/>
    </row>
    <row r="16093">
      <c r="BB16093" s="122"/>
      <c r="BC16093" s="141"/>
    </row>
    <row r="16094">
      <c r="BB16094" s="122"/>
      <c r="BC16094" s="141"/>
    </row>
    <row r="16095">
      <c r="BB16095" s="122"/>
      <c r="BC16095" s="141"/>
    </row>
    <row r="16096">
      <c r="BB16096" s="122"/>
      <c r="BC16096" s="141"/>
    </row>
    <row r="16097">
      <c r="BB16097" s="122"/>
      <c r="BC16097" s="141"/>
    </row>
    <row r="16098">
      <c r="BB16098" s="122"/>
      <c r="BC16098" s="141"/>
    </row>
    <row r="16099">
      <c r="BB16099" s="122"/>
      <c r="BC16099" s="141"/>
    </row>
    <row r="16100">
      <c r="BB16100" s="122"/>
      <c r="BC16100" s="141"/>
    </row>
    <row r="16101">
      <c r="BB16101" s="122"/>
      <c r="BC16101" s="141"/>
    </row>
    <row r="16102">
      <c r="BB16102" s="122"/>
      <c r="BC16102" s="141"/>
    </row>
    <row r="16103">
      <c r="BB16103" s="122"/>
      <c r="BC16103" s="141"/>
    </row>
    <row r="16104">
      <c r="BB16104" s="122"/>
      <c r="BC16104" s="141"/>
    </row>
    <row r="16105">
      <c r="BB16105" s="122"/>
      <c r="BC16105" s="141"/>
    </row>
    <row r="16106">
      <c r="BB16106" s="122"/>
      <c r="BC16106" s="141"/>
    </row>
    <row r="16107">
      <c r="BB16107" s="122"/>
      <c r="BC16107" s="141"/>
    </row>
    <row r="16108">
      <c r="BB16108" s="122"/>
      <c r="BC16108" s="141"/>
    </row>
    <row r="16109">
      <c r="BB16109" s="122"/>
      <c r="BC16109" s="141"/>
    </row>
    <row r="16110">
      <c r="BB16110" s="122"/>
      <c r="BC16110" s="141"/>
    </row>
    <row r="16111">
      <c r="BB16111" s="122"/>
      <c r="BC16111" s="141"/>
    </row>
    <row r="16112">
      <c r="BB16112" s="122"/>
      <c r="BC16112" s="141"/>
    </row>
    <row r="16113">
      <c r="BB16113" s="122"/>
      <c r="BC16113" s="141"/>
    </row>
    <row r="16114">
      <c r="BB16114" s="122"/>
      <c r="BC16114" s="141"/>
    </row>
    <row r="16115">
      <c r="BB16115" s="122"/>
      <c r="BC16115" s="141"/>
    </row>
    <row r="16116">
      <c r="BB16116" s="122"/>
      <c r="BC16116" s="141"/>
    </row>
    <row r="16117">
      <c r="BB16117" s="122"/>
      <c r="BC16117" s="141"/>
    </row>
    <row r="16118">
      <c r="BB16118" s="122"/>
      <c r="BC16118" s="141"/>
    </row>
    <row r="16119">
      <c r="BB16119" s="122"/>
      <c r="BC16119" s="141"/>
    </row>
    <row r="16120">
      <c r="BB16120" s="122"/>
      <c r="BC16120" s="141"/>
    </row>
    <row r="16121">
      <c r="BB16121" s="122"/>
      <c r="BC16121" s="141"/>
    </row>
    <row r="16122">
      <c r="BB16122" s="122"/>
      <c r="BC16122" s="141"/>
    </row>
    <row r="16123">
      <c r="BB16123" s="122"/>
      <c r="BC16123" s="141"/>
    </row>
    <row r="16124">
      <c r="BB16124" s="122"/>
      <c r="BC16124" s="141"/>
    </row>
    <row r="16125">
      <c r="BB16125" s="122"/>
      <c r="BC16125" s="141"/>
    </row>
    <row r="16126">
      <c r="BB16126" s="122"/>
      <c r="BC16126" s="141"/>
    </row>
    <row r="16127">
      <c r="BB16127" s="122"/>
      <c r="BC16127" s="141"/>
    </row>
    <row r="16128">
      <c r="BB16128" s="122"/>
      <c r="BC16128" s="141"/>
    </row>
    <row r="16129">
      <c r="BB16129" s="122"/>
      <c r="BC16129" s="141"/>
    </row>
    <row r="16130">
      <c r="BB16130" s="122"/>
      <c r="BC16130" s="141"/>
    </row>
    <row r="16131">
      <c r="BB16131" s="122"/>
      <c r="BC16131" s="141"/>
    </row>
    <row r="16132">
      <c r="BB16132" s="122"/>
      <c r="BC16132" s="141"/>
    </row>
    <row r="16133">
      <c r="BB16133" s="122"/>
      <c r="BC16133" s="141"/>
    </row>
    <row r="16134">
      <c r="BB16134" s="122"/>
      <c r="BC16134" s="141"/>
    </row>
    <row r="16135">
      <c r="BB16135" s="122"/>
      <c r="BC16135" s="141"/>
    </row>
    <row r="16136">
      <c r="BB16136" s="122"/>
      <c r="BC16136" s="141"/>
    </row>
    <row r="16137">
      <c r="BB16137" s="122"/>
      <c r="BC16137" s="141"/>
    </row>
    <row r="16138">
      <c r="BB16138" s="122"/>
      <c r="BC16138" s="141"/>
    </row>
    <row r="16139">
      <c r="BB16139" s="122"/>
      <c r="BC16139" s="141"/>
    </row>
    <row r="16140">
      <c r="BB16140" s="122"/>
      <c r="BC16140" s="141"/>
    </row>
    <row r="16141">
      <c r="BB16141" s="122"/>
      <c r="BC16141" s="141"/>
    </row>
    <row r="16142">
      <c r="BB16142" s="122"/>
      <c r="BC16142" s="141"/>
    </row>
    <row r="16143">
      <c r="BB16143" s="122"/>
      <c r="BC16143" s="141"/>
    </row>
    <row r="16144">
      <c r="BB16144" s="122"/>
      <c r="BC16144" s="141"/>
    </row>
    <row r="16145">
      <c r="BB16145" s="122"/>
      <c r="BC16145" s="141"/>
    </row>
    <row r="16146">
      <c r="BB16146" s="122"/>
      <c r="BC16146" s="141"/>
    </row>
    <row r="16147">
      <c r="BB16147" s="122"/>
      <c r="BC16147" s="141"/>
    </row>
    <row r="16148">
      <c r="BB16148" s="122"/>
      <c r="BC16148" s="141"/>
    </row>
    <row r="16149">
      <c r="BB16149" s="122"/>
      <c r="BC16149" s="141"/>
    </row>
    <row r="16150">
      <c r="BB16150" s="122"/>
      <c r="BC16150" s="141"/>
    </row>
    <row r="16151">
      <c r="BB16151" s="122"/>
      <c r="BC16151" s="141"/>
    </row>
    <row r="16152">
      <c r="BB16152" s="122"/>
      <c r="BC16152" s="141"/>
    </row>
    <row r="16153">
      <c r="BB16153" s="122"/>
      <c r="BC16153" s="141"/>
    </row>
    <row r="16154">
      <c r="BB16154" s="122"/>
      <c r="BC16154" s="141"/>
    </row>
    <row r="16155">
      <c r="BB16155" s="122"/>
      <c r="BC16155" s="141"/>
    </row>
    <row r="16156">
      <c r="BB16156" s="122"/>
      <c r="BC16156" s="141"/>
    </row>
    <row r="16157">
      <c r="BB16157" s="122"/>
      <c r="BC16157" s="141"/>
    </row>
    <row r="16158">
      <c r="BB16158" s="122"/>
      <c r="BC16158" s="141"/>
    </row>
    <row r="16159">
      <c r="BB16159" s="122"/>
      <c r="BC16159" s="141"/>
    </row>
    <row r="16160">
      <c r="BB16160" s="122"/>
      <c r="BC16160" s="141"/>
    </row>
    <row r="16161">
      <c r="BB16161" s="122"/>
      <c r="BC16161" s="141"/>
    </row>
    <row r="16162">
      <c r="BB16162" s="122"/>
      <c r="BC16162" s="141"/>
    </row>
    <row r="16163">
      <c r="BB16163" s="122"/>
      <c r="BC16163" s="141"/>
    </row>
    <row r="16164">
      <c r="BB16164" s="122"/>
      <c r="BC16164" s="141"/>
    </row>
    <row r="16165">
      <c r="BB16165" s="122"/>
      <c r="BC16165" s="141"/>
    </row>
    <row r="16166">
      <c r="BB16166" s="122"/>
      <c r="BC16166" s="141"/>
    </row>
    <row r="16167">
      <c r="BB16167" s="122"/>
      <c r="BC16167" s="141"/>
    </row>
    <row r="16168">
      <c r="BB16168" s="122"/>
      <c r="BC16168" s="141"/>
    </row>
    <row r="16169">
      <c r="BB16169" s="122"/>
      <c r="BC16169" s="141"/>
    </row>
    <row r="16170">
      <c r="BB16170" s="122"/>
      <c r="BC16170" s="141"/>
    </row>
    <row r="16171">
      <c r="BB16171" s="122"/>
      <c r="BC16171" s="141"/>
    </row>
    <row r="16172">
      <c r="BB16172" s="122"/>
      <c r="BC16172" s="141"/>
    </row>
    <row r="16173">
      <c r="BB16173" s="122"/>
      <c r="BC16173" s="141"/>
    </row>
    <row r="16174">
      <c r="BB16174" s="122"/>
      <c r="BC16174" s="141"/>
    </row>
    <row r="16175">
      <c r="BB16175" s="122"/>
      <c r="BC16175" s="141"/>
    </row>
    <row r="16176">
      <c r="BB16176" s="122"/>
      <c r="BC16176" s="141"/>
    </row>
    <row r="16177">
      <c r="BB16177" s="122"/>
      <c r="BC16177" s="141"/>
    </row>
    <row r="16178">
      <c r="BB16178" s="122"/>
      <c r="BC16178" s="141"/>
    </row>
    <row r="16179">
      <c r="BB16179" s="122"/>
      <c r="BC16179" s="141"/>
    </row>
    <row r="16180">
      <c r="BB16180" s="122"/>
      <c r="BC16180" s="141"/>
    </row>
    <row r="16181">
      <c r="BB16181" s="122"/>
      <c r="BC16181" s="141"/>
    </row>
    <row r="16182">
      <c r="BB16182" s="122"/>
      <c r="BC16182" s="141"/>
    </row>
    <row r="16183">
      <c r="BB16183" s="122"/>
      <c r="BC16183" s="141"/>
    </row>
    <row r="16184">
      <c r="BB16184" s="122"/>
      <c r="BC16184" s="141"/>
    </row>
    <row r="16185">
      <c r="BB16185" s="122"/>
      <c r="BC16185" s="141"/>
    </row>
    <row r="16186">
      <c r="BB16186" s="122"/>
      <c r="BC16186" s="141"/>
    </row>
    <row r="16187">
      <c r="BB16187" s="122"/>
      <c r="BC16187" s="141"/>
    </row>
    <row r="16188">
      <c r="BB16188" s="122"/>
      <c r="BC16188" s="141"/>
    </row>
    <row r="16189">
      <c r="BB16189" s="122"/>
      <c r="BC16189" s="141"/>
    </row>
    <row r="16190">
      <c r="BB16190" s="122"/>
      <c r="BC16190" s="141"/>
    </row>
    <row r="16191">
      <c r="BB16191" s="122"/>
      <c r="BC16191" s="141"/>
    </row>
    <row r="16192">
      <c r="BB16192" s="122"/>
      <c r="BC16192" s="141"/>
    </row>
    <row r="16193">
      <c r="BB16193" s="122"/>
      <c r="BC16193" s="141"/>
    </row>
    <row r="16194">
      <c r="BB16194" s="122"/>
      <c r="BC16194" s="141"/>
    </row>
    <row r="16195">
      <c r="BB16195" s="122"/>
      <c r="BC16195" s="141"/>
    </row>
    <row r="16196">
      <c r="BB16196" s="122"/>
      <c r="BC16196" s="141"/>
    </row>
    <row r="16197">
      <c r="BB16197" s="122"/>
      <c r="BC16197" s="141"/>
    </row>
    <row r="16198">
      <c r="BB16198" s="122"/>
      <c r="BC16198" s="141"/>
    </row>
    <row r="16199">
      <c r="BB16199" s="122"/>
      <c r="BC16199" s="141"/>
    </row>
    <row r="16200">
      <c r="BB16200" s="122"/>
      <c r="BC16200" s="141"/>
    </row>
    <row r="16201">
      <c r="BB16201" s="122"/>
      <c r="BC16201" s="141"/>
    </row>
    <row r="16202">
      <c r="BB16202" s="122"/>
      <c r="BC16202" s="141"/>
    </row>
    <row r="16203">
      <c r="BB16203" s="122"/>
      <c r="BC16203" s="141"/>
    </row>
    <row r="16204">
      <c r="BB16204" s="122"/>
      <c r="BC16204" s="141"/>
    </row>
    <row r="16205">
      <c r="BB16205" s="122"/>
      <c r="BC16205" s="141"/>
    </row>
    <row r="16206">
      <c r="BB16206" s="122"/>
      <c r="BC16206" s="141"/>
    </row>
    <row r="16207">
      <c r="BB16207" s="122"/>
      <c r="BC16207" s="141"/>
    </row>
    <row r="16208">
      <c r="BB16208" s="122"/>
      <c r="BC16208" s="141"/>
    </row>
    <row r="16209">
      <c r="BB16209" s="122"/>
      <c r="BC16209" s="141"/>
    </row>
    <row r="16210">
      <c r="BB16210" s="122"/>
      <c r="BC16210" s="141"/>
    </row>
    <row r="16211">
      <c r="BB16211" s="122"/>
      <c r="BC16211" s="141"/>
    </row>
    <row r="16212">
      <c r="BB16212" s="122"/>
      <c r="BC16212" s="141"/>
    </row>
    <row r="16213">
      <c r="BB16213" s="122"/>
      <c r="BC16213" s="141"/>
    </row>
    <row r="16214">
      <c r="BB16214" s="122"/>
      <c r="BC16214" s="141"/>
    </row>
    <row r="16215">
      <c r="BB16215" s="122"/>
      <c r="BC16215" s="141"/>
    </row>
    <row r="16216">
      <c r="BB16216" s="122"/>
      <c r="BC16216" s="141"/>
    </row>
    <row r="16217">
      <c r="BB16217" s="122"/>
      <c r="BC16217" s="141"/>
    </row>
    <row r="16218">
      <c r="BB16218" s="122"/>
      <c r="BC16218" s="141"/>
    </row>
    <row r="16219">
      <c r="BB16219" s="122"/>
      <c r="BC16219" s="141"/>
    </row>
    <row r="16220">
      <c r="BB16220" s="122"/>
      <c r="BC16220" s="141"/>
    </row>
    <row r="16221">
      <c r="BB16221" s="122"/>
      <c r="BC16221" s="141"/>
    </row>
    <row r="16222">
      <c r="BB16222" s="122"/>
      <c r="BC16222" s="141"/>
    </row>
    <row r="16223">
      <c r="BB16223" s="122"/>
      <c r="BC16223" s="141"/>
    </row>
    <row r="16224">
      <c r="BB16224" s="122"/>
      <c r="BC16224" s="141"/>
    </row>
    <row r="16225">
      <c r="BB16225" s="122"/>
      <c r="BC16225" s="141"/>
    </row>
    <row r="16226">
      <c r="BB16226" s="122"/>
      <c r="BC16226" s="141"/>
    </row>
    <row r="16227">
      <c r="BB16227" s="122"/>
      <c r="BC16227" s="141"/>
    </row>
    <row r="16228">
      <c r="BB16228" s="122"/>
      <c r="BC16228" s="141"/>
    </row>
    <row r="16229">
      <c r="BB16229" s="122"/>
      <c r="BC16229" s="141"/>
    </row>
    <row r="16230">
      <c r="BB16230" s="122"/>
      <c r="BC16230" s="141"/>
    </row>
    <row r="16231">
      <c r="BB16231" s="122"/>
      <c r="BC16231" s="141"/>
    </row>
    <row r="16232">
      <c r="BB16232" s="122"/>
      <c r="BC16232" s="141"/>
    </row>
    <row r="16233">
      <c r="BB16233" s="122"/>
      <c r="BC16233" s="141"/>
    </row>
    <row r="16234">
      <c r="BB16234" s="122"/>
      <c r="BC16234" s="141"/>
    </row>
    <row r="16235">
      <c r="BB16235" s="122"/>
      <c r="BC16235" s="141"/>
    </row>
    <row r="16236">
      <c r="BB16236" s="122"/>
      <c r="BC16236" s="141"/>
    </row>
    <row r="16237">
      <c r="BB16237" s="122"/>
      <c r="BC16237" s="141"/>
    </row>
    <row r="16238">
      <c r="BB16238" s="122"/>
      <c r="BC16238" s="141"/>
    </row>
    <row r="16239">
      <c r="BB16239" s="122"/>
      <c r="BC16239" s="141"/>
    </row>
    <row r="16240">
      <c r="BB16240" s="122"/>
      <c r="BC16240" s="141"/>
    </row>
    <row r="16241">
      <c r="BB16241" s="122"/>
      <c r="BC16241" s="141"/>
    </row>
    <row r="16242">
      <c r="BB16242" s="122"/>
      <c r="BC16242" s="141"/>
    </row>
    <row r="16243">
      <c r="BB16243" s="122"/>
      <c r="BC16243" s="141"/>
    </row>
    <row r="16244">
      <c r="BB16244" s="122"/>
      <c r="BC16244" s="141"/>
    </row>
    <row r="16245">
      <c r="BB16245" s="122"/>
      <c r="BC16245" s="141"/>
    </row>
    <row r="16246">
      <c r="BB16246" s="122"/>
      <c r="BC16246" s="141"/>
    </row>
    <row r="16247">
      <c r="BB16247" s="122"/>
      <c r="BC16247" s="141"/>
    </row>
    <row r="16248">
      <c r="BB16248" s="122"/>
      <c r="BC16248" s="141"/>
    </row>
    <row r="16249">
      <c r="BB16249" s="122"/>
      <c r="BC16249" s="141"/>
    </row>
    <row r="16250">
      <c r="BB16250" s="122"/>
      <c r="BC16250" s="141"/>
    </row>
    <row r="16251">
      <c r="BB16251" s="122"/>
      <c r="BC16251" s="141"/>
    </row>
    <row r="16252">
      <c r="BB16252" s="122"/>
      <c r="BC16252" s="141"/>
    </row>
    <row r="16253">
      <c r="BB16253" s="122"/>
      <c r="BC16253" s="141"/>
    </row>
    <row r="16254">
      <c r="BB16254" s="122"/>
      <c r="BC16254" s="141"/>
    </row>
    <row r="16255">
      <c r="BB16255" s="122"/>
      <c r="BC16255" s="141"/>
    </row>
    <row r="16256">
      <c r="BB16256" s="122"/>
      <c r="BC16256" s="141"/>
    </row>
    <row r="16257">
      <c r="BB16257" s="122"/>
      <c r="BC16257" s="141"/>
    </row>
    <row r="16258">
      <c r="BB16258" s="122"/>
      <c r="BC16258" s="141"/>
    </row>
    <row r="16259">
      <c r="BB16259" s="122"/>
      <c r="BC16259" s="141"/>
    </row>
    <row r="16260">
      <c r="BB16260" s="122"/>
      <c r="BC16260" s="141"/>
    </row>
    <row r="16261">
      <c r="BB16261" s="122"/>
      <c r="BC16261" s="141"/>
    </row>
    <row r="16262">
      <c r="BB16262" s="122"/>
      <c r="BC16262" s="141"/>
    </row>
    <row r="16263">
      <c r="BB16263" s="122"/>
      <c r="BC16263" s="141"/>
    </row>
    <row r="16264">
      <c r="BB16264" s="122"/>
      <c r="BC16264" s="141"/>
    </row>
    <row r="16265">
      <c r="BB16265" s="122"/>
      <c r="BC16265" s="141"/>
    </row>
    <row r="16266">
      <c r="BB16266" s="122"/>
      <c r="BC16266" s="141"/>
    </row>
    <row r="16267">
      <c r="BB16267" s="122"/>
      <c r="BC16267" s="141"/>
    </row>
    <row r="16268">
      <c r="BB16268" s="122"/>
      <c r="BC16268" s="141"/>
    </row>
    <row r="16269">
      <c r="BB16269" s="122"/>
      <c r="BC16269" s="141"/>
    </row>
    <row r="16270">
      <c r="BB16270" s="122"/>
      <c r="BC16270" s="141"/>
    </row>
    <row r="16271">
      <c r="BB16271" s="122"/>
      <c r="BC16271" s="141"/>
    </row>
    <row r="16272">
      <c r="BB16272" s="122"/>
      <c r="BC16272" s="141"/>
    </row>
    <row r="16273">
      <c r="BB16273" s="122"/>
      <c r="BC16273" s="141"/>
    </row>
    <row r="16274">
      <c r="BB16274" s="122"/>
      <c r="BC16274" s="141"/>
    </row>
    <row r="16275">
      <c r="BB16275" s="122"/>
      <c r="BC16275" s="141"/>
    </row>
    <row r="16276">
      <c r="BB16276" s="122"/>
      <c r="BC16276" s="141"/>
    </row>
    <row r="16277">
      <c r="BB16277" s="122"/>
      <c r="BC16277" s="141"/>
    </row>
    <row r="16278">
      <c r="BB16278" s="122"/>
      <c r="BC16278" s="141"/>
    </row>
    <row r="16279">
      <c r="BB16279" s="122"/>
      <c r="BC16279" s="141"/>
    </row>
    <row r="16280">
      <c r="BB16280" s="122"/>
      <c r="BC16280" s="141"/>
    </row>
    <row r="16281">
      <c r="BB16281" s="122"/>
      <c r="BC16281" s="141"/>
    </row>
    <row r="16282">
      <c r="BB16282" s="122"/>
      <c r="BC16282" s="141"/>
    </row>
    <row r="16283">
      <c r="BB16283" s="122"/>
      <c r="BC16283" s="141"/>
    </row>
    <row r="16284">
      <c r="BB16284" s="122"/>
      <c r="BC16284" s="141"/>
    </row>
    <row r="16285">
      <c r="BB16285" s="122"/>
      <c r="BC16285" s="141"/>
    </row>
    <row r="16286">
      <c r="BB16286" s="122"/>
      <c r="BC16286" s="141"/>
    </row>
    <row r="16287">
      <c r="BB16287" s="122"/>
      <c r="BC16287" s="141"/>
    </row>
    <row r="16288">
      <c r="BB16288" s="122"/>
      <c r="BC16288" s="141"/>
    </row>
    <row r="16289">
      <c r="BB16289" s="122"/>
      <c r="BC16289" s="141"/>
    </row>
    <row r="16290">
      <c r="BB16290" s="122"/>
      <c r="BC16290" s="141"/>
    </row>
    <row r="16291">
      <c r="BB16291" s="122"/>
      <c r="BC16291" s="141"/>
    </row>
    <row r="16292">
      <c r="BB16292" s="122"/>
      <c r="BC16292" s="141"/>
    </row>
    <row r="16293">
      <c r="BB16293" s="122"/>
      <c r="BC16293" s="141"/>
    </row>
    <row r="16294">
      <c r="BB16294" s="122"/>
      <c r="BC16294" s="141"/>
    </row>
    <row r="16295">
      <c r="BB16295" s="122"/>
      <c r="BC16295" s="141"/>
    </row>
    <row r="16296">
      <c r="BB16296" s="122"/>
      <c r="BC16296" s="141"/>
    </row>
    <row r="16297">
      <c r="BB16297" s="122"/>
      <c r="BC16297" s="141"/>
    </row>
    <row r="16298">
      <c r="BB16298" s="122"/>
      <c r="BC16298" s="141"/>
    </row>
    <row r="16299">
      <c r="BB16299" s="122"/>
      <c r="BC16299" s="141"/>
    </row>
    <row r="16300">
      <c r="BB16300" s="122"/>
      <c r="BC16300" s="141"/>
    </row>
    <row r="16301">
      <c r="BB16301" s="122"/>
      <c r="BC16301" s="141"/>
    </row>
    <row r="16302">
      <c r="BB16302" s="122"/>
      <c r="BC16302" s="141"/>
    </row>
    <row r="16303">
      <c r="BB16303" s="122"/>
      <c r="BC16303" s="141"/>
    </row>
    <row r="16304">
      <c r="BB16304" s="122"/>
      <c r="BC16304" s="141"/>
    </row>
    <row r="16305">
      <c r="BB16305" s="122"/>
      <c r="BC16305" s="141"/>
    </row>
    <row r="16306">
      <c r="BB16306" s="122"/>
      <c r="BC16306" s="141"/>
    </row>
    <row r="16307">
      <c r="BB16307" s="122"/>
      <c r="BC16307" s="141"/>
    </row>
    <row r="16308">
      <c r="BB16308" s="122"/>
      <c r="BC16308" s="141"/>
    </row>
    <row r="16309">
      <c r="BB16309" s="122"/>
      <c r="BC16309" s="141"/>
    </row>
    <row r="16310">
      <c r="BB16310" s="122"/>
      <c r="BC16310" s="141"/>
    </row>
    <row r="16311">
      <c r="BB16311" s="122"/>
      <c r="BC16311" s="141"/>
    </row>
    <row r="16312">
      <c r="BB16312" s="122"/>
      <c r="BC16312" s="141"/>
    </row>
    <row r="16313">
      <c r="BB16313" s="122"/>
      <c r="BC16313" s="141"/>
    </row>
    <row r="16314">
      <c r="BB16314" s="122"/>
      <c r="BC16314" s="141"/>
    </row>
    <row r="16315">
      <c r="BB16315" s="122"/>
      <c r="BC16315" s="141"/>
    </row>
    <row r="16316">
      <c r="BB16316" s="122"/>
      <c r="BC16316" s="141"/>
    </row>
    <row r="16317">
      <c r="BB16317" s="122"/>
      <c r="BC16317" s="141"/>
    </row>
    <row r="16318">
      <c r="BB16318" s="122"/>
      <c r="BC16318" s="141"/>
    </row>
    <row r="16319">
      <c r="BB16319" s="122"/>
      <c r="BC16319" s="141"/>
    </row>
    <row r="16320">
      <c r="BB16320" s="122"/>
      <c r="BC16320" s="141"/>
    </row>
    <row r="16321">
      <c r="BB16321" s="122"/>
      <c r="BC16321" s="141"/>
    </row>
    <row r="16322">
      <c r="BB16322" s="122"/>
      <c r="BC16322" s="141"/>
    </row>
    <row r="16323">
      <c r="BB16323" s="122"/>
      <c r="BC16323" s="141"/>
    </row>
    <row r="16324">
      <c r="BB16324" s="122"/>
      <c r="BC16324" s="141"/>
    </row>
    <row r="16325">
      <c r="BB16325" s="122"/>
      <c r="BC16325" s="141"/>
    </row>
    <row r="16326">
      <c r="BB16326" s="122"/>
      <c r="BC16326" s="141"/>
    </row>
    <row r="16327">
      <c r="BB16327" s="122"/>
      <c r="BC16327" s="141"/>
    </row>
    <row r="16328">
      <c r="BB16328" s="122"/>
      <c r="BC16328" s="141"/>
    </row>
    <row r="16329">
      <c r="BB16329" s="122"/>
      <c r="BC16329" s="141"/>
    </row>
    <row r="16330">
      <c r="BB16330" s="122"/>
      <c r="BC16330" s="141"/>
    </row>
    <row r="16331">
      <c r="BB16331" s="122"/>
      <c r="BC16331" s="141"/>
    </row>
    <row r="16332">
      <c r="BB16332" s="122"/>
      <c r="BC16332" s="141"/>
    </row>
    <row r="16333">
      <c r="BB16333" s="122"/>
      <c r="BC16333" s="141"/>
    </row>
    <row r="16334">
      <c r="BB16334" s="122"/>
      <c r="BC16334" s="141"/>
    </row>
    <row r="16335">
      <c r="BB16335" s="122"/>
      <c r="BC16335" s="141"/>
    </row>
    <row r="16336">
      <c r="BB16336" s="122"/>
      <c r="BC16336" s="141"/>
    </row>
    <row r="16337">
      <c r="BB16337" s="122"/>
      <c r="BC16337" s="141"/>
    </row>
    <row r="16338">
      <c r="BB16338" s="122"/>
      <c r="BC16338" s="141"/>
    </row>
    <row r="16339">
      <c r="BB16339" s="122"/>
      <c r="BC16339" s="141"/>
    </row>
    <row r="16340">
      <c r="BB16340" s="122"/>
      <c r="BC16340" s="141"/>
    </row>
    <row r="16341">
      <c r="BB16341" s="122"/>
      <c r="BC16341" s="141"/>
    </row>
    <row r="16342">
      <c r="BB16342" s="122"/>
      <c r="BC16342" s="141"/>
    </row>
    <row r="16343">
      <c r="BB16343" s="122"/>
      <c r="BC16343" s="141"/>
    </row>
    <row r="16344">
      <c r="BB16344" s="122"/>
      <c r="BC16344" s="141"/>
    </row>
    <row r="16345">
      <c r="BB16345" s="122"/>
      <c r="BC16345" s="141"/>
    </row>
    <row r="16346">
      <c r="BB16346" s="122"/>
      <c r="BC16346" s="141"/>
    </row>
    <row r="16347">
      <c r="BB16347" s="122"/>
      <c r="BC16347" s="141"/>
    </row>
    <row r="16348">
      <c r="BB16348" s="122"/>
      <c r="BC16348" s="141"/>
    </row>
    <row r="16349">
      <c r="BB16349" s="122"/>
      <c r="BC16349" s="141"/>
    </row>
    <row r="16350">
      <c r="BB16350" s="122"/>
      <c r="BC16350" s="141"/>
    </row>
    <row r="16351">
      <c r="BB16351" s="122"/>
      <c r="BC16351" s="141"/>
    </row>
    <row r="16352">
      <c r="BB16352" s="122"/>
      <c r="BC16352" s="141"/>
    </row>
    <row r="16353">
      <c r="BB16353" s="122"/>
      <c r="BC16353" s="141"/>
    </row>
    <row r="16354">
      <c r="BB16354" s="122"/>
      <c r="BC16354" s="141"/>
    </row>
    <row r="16355">
      <c r="BB16355" s="122"/>
      <c r="BC16355" s="141"/>
    </row>
    <row r="16356">
      <c r="BB16356" s="122"/>
      <c r="BC16356" s="141"/>
    </row>
    <row r="16357">
      <c r="BB16357" s="122"/>
      <c r="BC16357" s="141"/>
    </row>
    <row r="16358">
      <c r="BB16358" s="122"/>
      <c r="BC16358" s="141"/>
    </row>
    <row r="16359">
      <c r="BB16359" s="122"/>
      <c r="BC16359" s="141"/>
    </row>
    <row r="16360">
      <c r="BB16360" s="122"/>
      <c r="BC16360" s="141"/>
    </row>
    <row r="16361">
      <c r="BB16361" s="122"/>
      <c r="BC16361" s="141"/>
    </row>
    <row r="16362">
      <c r="BB16362" s="122"/>
      <c r="BC16362" s="141"/>
    </row>
    <row r="16363">
      <c r="BB16363" s="122"/>
      <c r="BC16363" s="141"/>
    </row>
    <row r="16364">
      <c r="BB16364" s="122"/>
      <c r="BC16364" s="141"/>
    </row>
    <row r="16365">
      <c r="BB16365" s="122"/>
      <c r="BC16365" s="141"/>
    </row>
    <row r="16366">
      <c r="BB16366" s="122"/>
      <c r="BC16366" s="141"/>
    </row>
    <row r="16367">
      <c r="BB16367" s="122"/>
      <c r="BC16367" s="141"/>
    </row>
    <row r="16368">
      <c r="BB16368" s="122"/>
      <c r="BC16368" s="141"/>
    </row>
    <row r="16369">
      <c r="BB16369" s="122"/>
      <c r="BC16369" s="141"/>
    </row>
    <row r="16370">
      <c r="BB16370" s="122"/>
      <c r="BC16370" s="141"/>
    </row>
    <row r="16371">
      <c r="BB16371" s="122"/>
      <c r="BC16371" s="141"/>
    </row>
    <row r="16372">
      <c r="BB16372" s="122"/>
      <c r="BC16372" s="141"/>
    </row>
    <row r="16373">
      <c r="BB16373" s="122"/>
      <c r="BC16373" s="141"/>
    </row>
    <row r="16374">
      <c r="BB16374" s="122"/>
      <c r="BC16374" s="141"/>
    </row>
    <row r="16375">
      <c r="BB16375" s="122"/>
      <c r="BC16375" s="141"/>
    </row>
    <row r="16376">
      <c r="BB16376" s="122"/>
      <c r="BC16376" s="141"/>
    </row>
    <row r="16377">
      <c r="BB16377" s="122"/>
      <c r="BC16377" s="141"/>
    </row>
    <row r="16378">
      <c r="BB16378" s="122"/>
      <c r="BC16378" s="141"/>
    </row>
    <row r="16379">
      <c r="BB16379" s="122"/>
      <c r="BC16379" s="141"/>
    </row>
    <row r="16380">
      <c r="BB16380" s="122"/>
      <c r="BC16380" s="141"/>
    </row>
    <row r="16381">
      <c r="BB16381" s="122"/>
      <c r="BC16381" s="141"/>
    </row>
    <row r="16382">
      <c r="BB16382" s="122"/>
      <c r="BC16382" s="141"/>
    </row>
    <row r="16383">
      <c r="BB16383" s="122"/>
      <c r="BC16383" s="141"/>
    </row>
    <row r="16384">
      <c r="BB16384" s="122"/>
      <c r="BC16384" s="141"/>
    </row>
    <row r="16385">
      <c r="BB16385" s="122"/>
      <c r="BC16385" s="141"/>
    </row>
    <row r="16386">
      <c r="BB16386" s="122"/>
      <c r="BC16386" s="141"/>
    </row>
    <row r="16387">
      <c r="BB16387" s="122"/>
      <c r="BC16387" s="141"/>
    </row>
    <row r="16388">
      <c r="BB16388" s="122"/>
      <c r="BC16388" s="141"/>
    </row>
    <row r="16389">
      <c r="BB16389" s="122"/>
      <c r="BC16389" s="141"/>
    </row>
    <row r="16390">
      <c r="BB16390" s="122"/>
      <c r="BC16390" s="141"/>
    </row>
    <row r="16391">
      <c r="BB16391" s="122"/>
      <c r="BC16391" s="141"/>
    </row>
    <row r="16392">
      <c r="BB16392" s="122"/>
      <c r="BC16392" s="141"/>
    </row>
    <row r="16393">
      <c r="BB16393" s="122"/>
      <c r="BC16393" s="141"/>
    </row>
    <row r="16394">
      <c r="BB16394" s="122"/>
      <c r="BC16394" s="141"/>
    </row>
    <row r="16395">
      <c r="BB16395" s="122"/>
      <c r="BC16395" s="141"/>
    </row>
    <row r="16396">
      <c r="BB16396" s="122"/>
      <c r="BC16396" s="141"/>
    </row>
    <row r="16397">
      <c r="BB16397" s="122"/>
      <c r="BC16397" s="141"/>
    </row>
    <row r="16398">
      <c r="BB16398" s="122"/>
      <c r="BC16398" s="141"/>
    </row>
    <row r="16399">
      <c r="BB16399" s="122"/>
      <c r="BC16399" s="141"/>
    </row>
    <row r="16400">
      <c r="BB16400" s="122"/>
      <c r="BC16400" s="141"/>
    </row>
    <row r="16401">
      <c r="BB16401" s="122"/>
      <c r="BC16401" s="141"/>
    </row>
    <row r="16402">
      <c r="BB16402" s="122"/>
      <c r="BC16402" s="141"/>
    </row>
    <row r="16403">
      <c r="BB16403" s="122"/>
      <c r="BC16403" s="141"/>
    </row>
    <row r="16404">
      <c r="BB16404" s="122"/>
      <c r="BC16404" s="141"/>
    </row>
    <row r="16405">
      <c r="BB16405" s="122"/>
      <c r="BC16405" s="141"/>
    </row>
    <row r="16406">
      <c r="BB16406" s="122"/>
      <c r="BC16406" s="141"/>
    </row>
    <row r="16407">
      <c r="BB16407" s="122"/>
      <c r="BC16407" s="141"/>
    </row>
    <row r="16408">
      <c r="BB16408" s="122"/>
      <c r="BC16408" s="141"/>
    </row>
    <row r="16409">
      <c r="BB16409" s="122"/>
      <c r="BC16409" s="141"/>
    </row>
    <row r="16410">
      <c r="BB16410" s="122"/>
      <c r="BC16410" s="141"/>
    </row>
    <row r="16411">
      <c r="BB16411" s="122"/>
      <c r="BC16411" s="141"/>
    </row>
    <row r="16412">
      <c r="BB16412" s="122"/>
      <c r="BC16412" s="141"/>
    </row>
    <row r="16413">
      <c r="BB16413" s="122"/>
      <c r="BC16413" s="141"/>
    </row>
    <row r="16414">
      <c r="BB16414" s="122"/>
      <c r="BC16414" s="141"/>
    </row>
    <row r="16415">
      <c r="BB16415" s="122"/>
      <c r="BC16415" s="141"/>
    </row>
    <row r="16416">
      <c r="BB16416" s="122"/>
      <c r="BC16416" s="141"/>
    </row>
    <row r="16417">
      <c r="BB16417" s="122"/>
      <c r="BC16417" s="141"/>
    </row>
    <row r="16418">
      <c r="BB16418" s="122"/>
      <c r="BC16418" s="141"/>
    </row>
    <row r="16419">
      <c r="BB16419" s="122"/>
      <c r="BC16419" s="141"/>
    </row>
    <row r="16420">
      <c r="BB16420" s="122"/>
      <c r="BC16420" s="141"/>
    </row>
    <row r="16421">
      <c r="BB16421" s="122"/>
      <c r="BC16421" s="141"/>
    </row>
    <row r="16422">
      <c r="BB16422" s="122"/>
      <c r="BC16422" s="141"/>
    </row>
    <row r="16423">
      <c r="BB16423" s="122"/>
      <c r="BC16423" s="141"/>
    </row>
    <row r="16424">
      <c r="BB16424" s="122"/>
      <c r="BC16424" s="141"/>
    </row>
    <row r="16425">
      <c r="BB16425" s="122"/>
      <c r="BC16425" s="141"/>
    </row>
    <row r="16426">
      <c r="BB16426" s="122"/>
      <c r="BC16426" s="141"/>
    </row>
    <row r="16427">
      <c r="BB16427" s="122"/>
      <c r="BC16427" s="141"/>
    </row>
    <row r="16428">
      <c r="BB16428" s="122"/>
      <c r="BC16428" s="141"/>
    </row>
    <row r="16429">
      <c r="BB16429" s="122"/>
      <c r="BC16429" s="141"/>
    </row>
    <row r="16430">
      <c r="BB16430" s="122"/>
      <c r="BC16430" s="141"/>
    </row>
    <row r="16431">
      <c r="BB16431" s="122"/>
      <c r="BC16431" s="141"/>
    </row>
    <row r="16432">
      <c r="BB16432" s="122"/>
      <c r="BC16432" s="141"/>
    </row>
    <row r="16433">
      <c r="BB16433" s="122"/>
      <c r="BC16433" s="141"/>
    </row>
    <row r="16434">
      <c r="BB16434" s="122"/>
      <c r="BC16434" s="141"/>
    </row>
    <row r="16435">
      <c r="BB16435" s="122"/>
      <c r="BC16435" s="141"/>
    </row>
    <row r="16436">
      <c r="BB16436" s="122"/>
      <c r="BC16436" s="141"/>
    </row>
    <row r="16437">
      <c r="BB16437" s="122"/>
      <c r="BC16437" s="141"/>
    </row>
    <row r="16438">
      <c r="BB16438" s="122"/>
      <c r="BC16438" s="141"/>
    </row>
    <row r="16439">
      <c r="BB16439" s="122"/>
      <c r="BC16439" s="141"/>
    </row>
    <row r="16440">
      <c r="BB16440" s="122"/>
      <c r="BC16440" s="141"/>
    </row>
    <row r="16441">
      <c r="BB16441" s="122"/>
      <c r="BC16441" s="141"/>
    </row>
    <row r="16442">
      <c r="BB16442" s="122"/>
      <c r="BC16442" s="141"/>
    </row>
    <row r="16443">
      <c r="BB16443" s="122"/>
      <c r="BC16443" s="141"/>
    </row>
    <row r="16444">
      <c r="BB16444" s="122"/>
      <c r="BC16444" s="141"/>
    </row>
    <row r="16445">
      <c r="BB16445" s="122"/>
      <c r="BC16445" s="141"/>
    </row>
    <row r="16446">
      <c r="BB16446" s="122"/>
      <c r="BC16446" s="141"/>
    </row>
    <row r="16447">
      <c r="BB16447" s="122"/>
      <c r="BC16447" s="141"/>
    </row>
    <row r="16448">
      <c r="BB16448" s="122"/>
      <c r="BC16448" s="141"/>
    </row>
    <row r="16449">
      <c r="BB16449" s="122"/>
      <c r="BC16449" s="141"/>
    </row>
    <row r="16450">
      <c r="BB16450" s="122"/>
      <c r="BC16450" s="141"/>
    </row>
    <row r="16451">
      <c r="BB16451" s="122"/>
      <c r="BC16451" s="141"/>
    </row>
    <row r="16452">
      <c r="BB16452" s="122"/>
      <c r="BC16452" s="141"/>
    </row>
    <row r="16453">
      <c r="BB16453" s="122"/>
      <c r="BC16453" s="141"/>
    </row>
    <row r="16454">
      <c r="BB16454" s="122"/>
      <c r="BC16454" s="141"/>
    </row>
    <row r="16455">
      <c r="BB16455" s="122"/>
      <c r="BC16455" s="141"/>
    </row>
    <row r="16456">
      <c r="BB16456" s="122"/>
      <c r="BC16456" s="141"/>
    </row>
    <row r="16457">
      <c r="BB16457" s="122"/>
      <c r="BC16457" s="141"/>
    </row>
    <row r="16458">
      <c r="BB16458" s="122"/>
      <c r="BC16458" s="141"/>
    </row>
    <row r="16459">
      <c r="BB16459" s="122"/>
      <c r="BC16459" s="141"/>
    </row>
    <row r="16460">
      <c r="BB16460" s="122"/>
      <c r="BC16460" s="141"/>
    </row>
    <row r="16461">
      <c r="BB16461" s="122"/>
      <c r="BC16461" s="141"/>
    </row>
    <row r="16462">
      <c r="BB16462" s="122"/>
      <c r="BC16462" s="141"/>
    </row>
    <row r="16463">
      <c r="BB16463" s="122"/>
      <c r="BC16463" s="141"/>
    </row>
    <row r="16464">
      <c r="BB16464" s="122"/>
      <c r="BC16464" s="141"/>
    </row>
    <row r="16465">
      <c r="BB16465" s="122"/>
      <c r="BC16465" s="141"/>
    </row>
    <row r="16466">
      <c r="BB16466" s="122"/>
      <c r="BC16466" s="141"/>
    </row>
    <row r="16467">
      <c r="BB16467" s="122"/>
      <c r="BC16467" s="141"/>
    </row>
    <row r="16468">
      <c r="BB16468" s="122"/>
      <c r="BC16468" s="141"/>
    </row>
    <row r="16469">
      <c r="BB16469" s="122"/>
      <c r="BC16469" s="141"/>
    </row>
    <row r="16470">
      <c r="BB16470" s="122"/>
      <c r="BC16470" s="141"/>
    </row>
    <row r="16471">
      <c r="BB16471" s="122"/>
      <c r="BC16471" s="141"/>
    </row>
    <row r="16472">
      <c r="BB16472" s="122"/>
      <c r="BC16472" s="141"/>
    </row>
    <row r="16473">
      <c r="BB16473" s="122"/>
      <c r="BC16473" s="141"/>
    </row>
    <row r="16474">
      <c r="BB16474" s="122"/>
      <c r="BC16474" s="141"/>
    </row>
    <row r="16475">
      <c r="BB16475" s="122"/>
      <c r="BC16475" s="141"/>
    </row>
    <row r="16476">
      <c r="BB16476" s="122"/>
      <c r="BC16476" s="141"/>
    </row>
    <row r="16477">
      <c r="BB16477" s="122"/>
      <c r="BC16477" s="141"/>
    </row>
    <row r="16478">
      <c r="BB16478" s="122"/>
      <c r="BC16478" s="141"/>
    </row>
    <row r="16479">
      <c r="BB16479" s="122"/>
      <c r="BC16479" s="141"/>
    </row>
    <row r="16480">
      <c r="BB16480" s="122"/>
      <c r="BC16480" s="141"/>
    </row>
    <row r="16481">
      <c r="BB16481" s="122"/>
      <c r="BC16481" s="141"/>
    </row>
    <row r="16482">
      <c r="BB16482" s="122"/>
      <c r="BC16482" s="141"/>
    </row>
    <row r="16483">
      <c r="BB16483" s="122"/>
      <c r="BC16483" s="141"/>
    </row>
    <row r="16484">
      <c r="BB16484" s="122"/>
      <c r="BC16484" s="141"/>
    </row>
    <row r="16485">
      <c r="BB16485" s="122"/>
      <c r="BC16485" s="141"/>
    </row>
    <row r="16486">
      <c r="BB16486" s="122"/>
      <c r="BC16486" s="141"/>
    </row>
    <row r="16487">
      <c r="BB16487" s="122"/>
      <c r="BC16487" s="141"/>
    </row>
    <row r="16488">
      <c r="BB16488" s="122"/>
      <c r="BC16488" s="141"/>
    </row>
    <row r="16489">
      <c r="BB16489" s="122"/>
      <c r="BC16489" s="141"/>
    </row>
    <row r="16490">
      <c r="BB16490" s="122"/>
      <c r="BC16490" s="141"/>
    </row>
    <row r="16491">
      <c r="BB16491" s="122"/>
      <c r="BC16491" s="141"/>
    </row>
    <row r="16492">
      <c r="BB16492" s="122"/>
      <c r="BC16492" s="141"/>
    </row>
    <row r="16493">
      <c r="BB16493" s="122"/>
      <c r="BC16493" s="141"/>
    </row>
    <row r="16494">
      <c r="BB16494" s="122"/>
      <c r="BC16494" s="141"/>
    </row>
    <row r="16495">
      <c r="BB16495" s="122"/>
      <c r="BC16495" s="141"/>
    </row>
    <row r="16496">
      <c r="BB16496" s="122"/>
      <c r="BC16496" s="141"/>
    </row>
    <row r="16497">
      <c r="BB16497" s="122"/>
      <c r="BC16497" s="141"/>
    </row>
    <row r="16498">
      <c r="BB16498" s="122"/>
      <c r="BC16498" s="141"/>
    </row>
    <row r="16499">
      <c r="BB16499" s="122"/>
      <c r="BC16499" s="141"/>
    </row>
    <row r="16500">
      <c r="BB16500" s="122"/>
      <c r="BC16500" s="141"/>
    </row>
    <row r="16501">
      <c r="BB16501" s="122"/>
      <c r="BC16501" s="141"/>
    </row>
    <row r="16502">
      <c r="BB16502" s="122"/>
      <c r="BC16502" s="141"/>
    </row>
    <row r="16503">
      <c r="BB16503" s="122"/>
      <c r="BC16503" s="141"/>
    </row>
    <row r="16504">
      <c r="BB16504" s="122"/>
      <c r="BC16504" s="141"/>
    </row>
    <row r="16505">
      <c r="BB16505" s="122"/>
      <c r="BC16505" s="141"/>
    </row>
    <row r="16506">
      <c r="BB16506" s="122"/>
      <c r="BC16506" s="141"/>
    </row>
    <row r="16507">
      <c r="BB16507" s="122"/>
      <c r="BC16507" s="141"/>
    </row>
    <row r="16508">
      <c r="BB16508" s="122"/>
      <c r="BC16508" s="141"/>
    </row>
    <row r="16509">
      <c r="BB16509" s="122"/>
      <c r="BC16509" s="141"/>
    </row>
    <row r="16510">
      <c r="BB16510" s="122"/>
      <c r="BC16510" s="141"/>
    </row>
    <row r="16511">
      <c r="BB16511" s="122"/>
      <c r="BC16511" s="141"/>
    </row>
    <row r="16512">
      <c r="BB16512" s="122"/>
      <c r="BC16512" s="141"/>
    </row>
    <row r="16513">
      <c r="BB16513" s="122"/>
      <c r="BC16513" s="141"/>
    </row>
    <row r="16514">
      <c r="BB16514" s="122"/>
      <c r="BC16514" s="141"/>
    </row>
    <row r="16515">
      <c r="BB16515" s="122"/>
      <c r="BC16515" s="141"/>
    </row>
    <row r="16516">
      <c r="BB16516" s="122"/>
      <c r="BC16516" s="141"/>
    </row>
    <row r="16517">
      <c r="BB16517" s="122"/>
      <c r="BC16517" s="141"/>
    </row>
    <row r="16518">
      <c r="BB16518" s="122"/>
      <c r="BC16518" s="141"/>
    </row>
    <row r="16519">
      <c r="BB16519" s="122"/>
      <c r="BC16519" s="141"/>
    </row>
    <row r="16520">
      <c r="BB16520" s="122"/>
      <c r="BC16520" s="141"/>
    </row>
    <row r="16521">
      <c r="BB16521" s="122"/>
      <c r="BC16521" s="141"/>
    </row>
    <row r="16522">
      <c r="BB16522" s="122"/>
      <c r="BC16522" s="141"/>
    </row>
    <row r="16523">
      <c r="BB16523" s="122"/>
      <c r="BC16523" s="141"/>
    </row>
    <row r="16524">
      <c r="BB16524" s="122"/>
      <c r="BC16524" s="141"/>
    </row>
    <row r="16525">
      <c r="BB16525" s="122"/>
      <c r="BC16525" s="141"/>
    </row>
    <row r="16526">
      <c r="BB16526" s="122"/>
      <c r="BC16526" s="141"/>
    </row>
    <row r="16527">
      <c r="BB16527" s="122"/>
      <c r="BC16527" s="141"/>
    </row>
    <row r="16528">
      <c r="BB16528" s="122"/>
      <c r="BC16528" s="141"/>
    </row>
    <row r="16529">
      <c r="BB16529" s="122"/>
      <c r="BC16529" s="141"/>
    </row>
    <row r="16530">
      <c r="BB16530" s="122"/>
      <c r="BC16530" s="141"/>
    </row>
    <row r="16531">
      <c r="BB16531" s="122"/>
      <c r="BC16531" s="141"/>
    </row>
    <row r="16532">
      <c r="BB16532" s="122"/>
      <c r="BC16532" s="141"/>
    </row>
    <row r="16533">
      <c r="BB16533" s="122"/>
      <c r="BC16533" s="141"/>
    </row>
    <row r="16534">
      <c r="BB16534" s="122"/>
      <c r="BC16534" s="141"/>
    </row>
    <row r="16535">
      <c r="BB16535" s="122"/>
      <c r="BC16535" s="141"/>
    </row>
    <row r="16536">
      <c r="BB16536" s="122"/>
      <c r="BC16536" s="141"/>
    </row>
    <row r="16537">
      <c r="BB16537" s="122"/>
      <c r="BC16537" s="141"/>
    </row>
    <row r="16538">
      <c r="BB16538" s="122"/>
      <c r="BC16538" s="141"/>
    </row>
    <row r="16539">
      <c r="BB16539" s="122"/>
      <c r="BC16539" s="141"/>
    </row>
    <row r="16540">
      <c r="BB16540" s="122"/>
      <c r="BC16540" s="141"/>
    </row>
    <row r="16541">
      <c r="BB16541" s="122"/>
      <c r="BC16541" s="141"/>
    </row>
    <row r="16542">
      <c r="BB16542" s="122"/>
      <c r="BC16542" s="141"/>
    </row>
    <row r="16543">
      <c r="BB16543" s="122"/>
      <c r="BC16543" s="141"/>
    </row>
    <row r="16544">
      <c r="BB16544" s="122"/>
      <c r="BC16544" s="141"/>
    </row>
    <row r="16545">
      <c r="BB16545" s="122"/>
      <c r="BC16545" s="141"/>
    </row>
    <row r="16546">
      <c r="BB16546" s="122"/>
      <c r="BC16546" s="141"/>
    </row>
    <row r="16547">
      <c r="BB16547" s="122"/>
      <c r="BC16547" s="141"/>
    </row>
    <row r="16548">
      <c r="BB16548" s="122"/>
      <c r="BC16548" s="141"/>
    </row>
    <row r="16549">
      <c r="BB16549" s="122"/>
      <c r="BC16549" s="141"/>
    </row>
    <row r="16550">
      <c r="BB16550" s="122"/>
      <c r="BC16550" s="141"/>
    </row>
    <row r="16551">
      <c r="BB16551" s="122"/>
      <c r="BC16551" s="141"/>
    </row>
    <row r="16552">
      <c r="BB16552" s="122"/>
      <c r="BC16552" s="141"/>
    </row>
    <row r="16553">
      <c r="BB16553" s="122"/>
      <c r="BC16553" s="141"/>
    </row>
    <row r="16554">
      <c r="BB16554" s="122"/>
      <c r="BC16554" s="141"/>
    </row>
    <row r="16555">
      <c r="BB16555" s="122"/>
      <c r="BC16555" s="141"/>
    </row>
    <row r="16556">
      <c r="BB16556" s="122"/>
      <c r="BC16556" s="141"/>
    </row>
    <row r="16557">
      <c r="BB16557" s="122"/>
      <c r="BC16557" s="141"/>
    </row>
    <row r="16558">
      <c r="BB16558" s="122"/>
      <c r="BC16558" s="141"/>
    </row>
    <row r="16559">
      <c r="BB16559" s="122"/>
      <c r="BC16559" s="141"/>
    </row>
    <row r="16560">
      <c r="BB16560" s="122"/>
      <c r="BC16560" s="141"/>
    </row>
    <row r="16561">
      <c r="BB16561" s="122"/>
      <c r="BC16561" s="141"/>
    </row>
    <row r="16562">
      <c r="BB16562" s="122"/>
      <c r="BC16562" s="141"/>
    </row>
    <row r="16563">
      <c r="BB16563" s="122"/>
      <c r="BC16563" s="141"/>
    </row>
    <row r="16564">
      <c r="BB16564" s="122"/>
      <c r="BC16564" s="141"/>
    </row>
    <row r="16565">
      <c r="BB16565" s="122"/>
      <c r="BC16565" s="141"/>
    </row>
    <row r="16566">
      <c r="BB16566" s="122"/>
      <c r="BC16566" s="141"/>
    </row>
    <row r="16567">
      <c r="BB16567" s="122"/>
      <c r="BC16567" s="141"/>
    </row>
    <row r="16568">
      <c r="BB16568" s="122"/>
      <c r="BC16568" s="141"/>
    </row>
    <row r="16569">
      <c r="BB16569" s="122"/>
      <c r="BC16569" s="141"/>
    </row>
    <row r="16570">
      <c r="BB16570" s="122"/>
      <c r="BC16570" s="141"/>
    </row>
    <row r="16571">
      <c r="BB16571" s="122"/>
      <c r="BC16571" s="141"/>
    </row>
    <row r="16572">
      <c r="BB16572" s="122"/>
      <c r="BC16572" s="141"/>
    </row>
    <row r="16573">
      <c r="BB16573" s="122"/>
      <c r="BC16573" s="141"/>
    </row>
    <row r="16574">
      <c r="BB16574" s="122"/>
      <c r="BC16574" s="141"/>
    </row>
    <row r="16575">
      <c r="BB16575" s="122"/>
      <c r="BC16575" s="141"/>
    </row>
    <row r="16576">
      <c r="BB16576" s="122"/>
      <c r="BC16576" s="141"/>
    </row>
    <row r="16577">
      <c r="BB16577" s="122"/>
      <c r="BC16577" s="141"/>
    </row>
    <row r="16578">
      <c r="BB16578" s="122"/>
      <c r="BC16578" s="141"/>
    </row>
    <row r="16579">
      <c r="BB16579" s="122"/>
      <c r="BC16579" s="141"/>
    </row>
    <row r="16580">
      <c r="BB16580" s="122"/>
      <c r="BC16580" s="141"/>
    </row>
    <row r="16581">
      <c r="BB16581" s="122"/>
      <c r="BC16581" s="141"/>
    </row>
    <row r="16582">
      <c r="BB16582" s="122"/>
      <c r="BC16582" s="141"/>
    </row>
    <row r="16583">
      <c r="BB16583" s="122"/>
      <c r="BC16583" s="141"/>
    </row>
    <row r="16584">
      <c r="BB16584" s="122"/>
      <c r="BC16584" s="141"/>
    </row>
    <row r="16585">
      <c r="BB16585" s="122"/>
      <c r="BC16585" s="141"/>
    </row>
    <row r="16586">
      <c r="BB16586" s="122"/>
      <c r="BC16586" s="141"/>
    </row>
    <row r="16587">
      <c r="BB16587" s="122"/>
      <c r="BC16587" s="141"/>
    </row>
    <row r="16588">
      <c r="BB16588" s="122"/>
      <c r="BC16588" s="141"/>
    </row>
    <row r="16589">
      <c r="BB16589" s="122"/>
      <c r="BC16589" s="141"/>
    </row>
    <row r="16590">
      <c r="BB16590" s="122"/>
      <c r="BC16590" s="141"/>
    </row>
    <row r="16591">
      <c r="BB16591" s="122"/>
      <c r="BC16591" s="141"/>
    </row>
    <row r="16592">
      <c r="BB16592" s="122"/>
      <c r="BC16592" s="141"/>
    </row>
    <row r="16593">
      <c r="BB16593" s="122"/>
      <c r="BC16593" s="141"/>
    </row>
    <row r="16594">
      <c r="BB16594" s="122"/>
      <c r="BC16594" s="141"/>
    </row>
    <row r="16595">
      <c r="BB16595" s="122"/>
      <c r="BC16595" s="141"/>
    </row>
    <row r="16596">
      <c r="BB16596" s="122"/>
      <c r="BC16596" s="141"/>
    </row>
    <row r="16597">
      <c r="BB16597" s="122"/>
      <c r="BC16597" s="141"/>
    </row>
    <row r="16598">
      <c r="BB16598" s="122"/>
      <c r="BC16598" s="141"/>
    </row>
    <row r="16599">
      <c r="BB16599" s="122"/>
      <c r="BC16599" s="141"/>
    </row>
    <row r="16600">
      <c r="BB16600" s="122"/>
      <c r="BC16600" s="141"/>
    </row>
    <row r="16601">
      <c r="BB16601" s="122"/>
      <c r="BC16601" s="141"/>
    </row>
    <row r="16602">
      <c r="BB16602" s="122"/>
      <c r="BC16602" s="141"/>
    </row>
    <row r="16603">
      <c r="BB16603" s="122"/>
      <c r="BC16603" s="141"/>
    </row>
    <row r="16604">
      <c r="BB16604" s="122"/>
      <c r="BC16604" s="141"/>
    </row>
    <row r="16605">
      <c r="BB16605" s="122"/>
      <c r="BC16605" s="141"/>
    </row>
    <row r="16606">
      <c r="BB16606" s="122"/>
      <c r="BC16606" s="141"/>
    </row>
    <row r="16607">
      <c r="BB16607" s="122"/>
      <c r="BC16607" s="141"/>
    </row>
    <row r="16608">
      <c r="BB16608" s="122"/>
      <c r="BC16608" s="141"/>
    </row>
    <row r="16609">
      <c r="BB16609" s="122"/>
      <c r="BC16609" s="141"/>
    </row>
    <row r="16610">
      <c r="BB16610" s="122"/>
      <c r="BC16610" s="141"/>
    </row>
    <row r="16611">
      <c r="BB16611" s="122"/>
      <c r="BC16611" s="141"/>
    </row>
    <row r="16612">
      <c r="BB16612" s="122"/>
      <c r="BC16612" s="141"/>
    </row>
    <row r="16613">
      <c r="BB16613" s="122"/>
      <c r="BC16613" s="141"/>
    </row>
    <row r="16614">
      <c r="BB16614" s="122"/>
      <c r="BC16614" s="141"/>
    </row>
    <row r="16615">
      <c r="BB16615" s="122"/>
      <c r="BC16615" s="141"/>
    </row>
    <row r="16616">
      <c r="BB16616" s="122"/>
      <c r="BC16616" s="141"/>
    </row>
    <row r="16617">
      <c r="BB16617" s="122"/>
      <c r="BC16617" s="141"/>
    </row>
    <row r="16618">
      <c r="BB16618" s="122"/>
      <c r="BC16618" s="141"/>
    </row>
    <row r="16619">
      <c r="BB16619" s="122"/>
      <c r="BC16619" s="141"/>
    </row>
    <row r="16620">
      <c r="BB16620" s="122"/>
      <c r="BC16620" s="141"/>
    </row>
    <row r="16621">
      <c r="BB16621" s="122"/>
      <c r="BC16621" s="141"/>
    </row>
    <row r="16622">
      <c r="BB16622" s="122"/>
      <c r="BC16622" s="141"/>
    </row>
    <row r="16623">
      <c r="BB16623" s="122"/>
      <c r="BC16623" s="141"/>
    </row>
    <row r="16624">
      <c r="BB16624" s="122"/>
      <c r="BC16624" s="141"/>
    </row>
    <row r="16625">
      <c r="BB16625" s="122"/>
      <c r="BC16625" s="141"/>
    </row>
    <row r="16626">
      <c r="BB16626" s="122"/>
      <c r="BC16626" s="141"/>
    </row>
    <row r="16627">
      <c r="BB16627" s="122"/>
      <c r="BC16627" s="141"/>
    </row>
    <row r="16628">
      <c r="BB16628" s="122"/>
      <c r="BC16628" s="141"/>
    </row>
    <row r="16629">
      <c r="BB16629" s="122"/>
      <c r="BC16629" s="141"/>
    </row>
    <row r="16630">
      <c r="BB16630" s="122"/>
      <c r="BC16630" s="141"/>
    </row>
    <row r="16631">
      <c r="BB16631" s="122"/>
      <c r="BC16631" s="141"/>
    </row>
    <row r="16632">
      <c r="BB16632" s="122"/>
      <c r="BC16632" s="141"/>
    </row>
    <row r="16633">
      <c r="BB16633" s="122"/>
      <c r="BC16633" s="141"/>
    </row>
    <row r="16634">
      <c r="BB16634" s="122"/>
      <c r="BC16634" s="141"/>
    </row>
    <row r="16635">
      <c r="BB16635" s="122"/>
      <c r="BC16635" s="141"/>
    </row>
    <row r="16636">
      <c r="BB16636" s="122"/>
      <c r="BC16636" s="141"/>
    </row>
    <row r="16637">
      <c r="BB16637" s="122"/>
      <c r="BC16637" s="141"/>
    </row>
    <row r="16638">
      <c r="BB16638" s="122"/>
      <c r="BC16638" s="141"/>
    </row>
    <row r="16639">
      <c r="BB16639" s="122"/>
      <c r="BC16639" s="141"/>
    </row>
    <row r="16640">
      <c r="BB16640" s="122"/>
      <c r="BC16640" s="141"/>
    </row>
    <row r="16641">
      <c r="BB16641" s="122"/>
      <c r="BC16641" s="141"/>
    </row>
    <row r="16642">
      <c r="BB16642" s="122"/>
      <c r="BC16642" s="141"/>
    </row>
    <row r="16643">
      <c r="BB16643" s="122"/>
      <c r="BC16643" s="141"/>
    </row>
    <row r="16644">
      <c r="BB16644" s="122"/>
      <c r="BC16644" s="141"/>
    </row>
    <row r="16645">
      <c r="BB16645" s="122"/>
      <c r="BC16645" s="141"/>
    </row>
    <row r="16646">
      <c r="BB16646" s="122"/>
      <c r="BC16646" s="141"/>
    </row>
    <row r="16647">
      <c r="BB16647" s="122"/>
      <c r="BC16647" s="141"/>
    </row>
    <row r="16648">
      <c r="BB16648" s="122"/>
      <c r="BC16648" s="141"/>
    </row>
    <row r="16649">
      <c r="BB16649" s="122"/>
      <c r="BC16649" s="141"/>
    </row>
    <row r="16650">
      <c r="BB16650" s="122"/>
      <c r="BC16650" s="141"/>
    </row>
    <row r="16651">
      <c r="BB16651" s="122"/>
      <c r="BC16651" s="141"/>
    </row>
    <row r="16652">
      <c r="BB16652" s="122"/>
      <c r="BC16652" s="141"/>
    </row>
    <row r="16653">
      <c r="BB16653" s="122"/>
      <c r="BC16653" s="141"/>
    </row>
    <row r="16654">
      <c r="BB16654" s="122"/>
      <c r="BC16654" s="141"/>
    </row>
    <row r="16655">
      <c r="BB16655" s="122"/>
      <c r="BC16655" s="141"/>
    </row>
    <row r="16656">
      <c r="BB16656" s="122"/>
      <c r="BC16656" s="141"/>
    </row>
    <row r="16657">
      <c r="BB16657" s="122"/>
      <c r="BC16657" s="141"/>
    </row>
    <row r="16658">
      <c r="BB16658" s="122"/>
      <c r="BC16658" s="141"/>
    </row>
    <row r="16659">
      <c r="BB16659" s="122"/>
      <c r="BC16659" s="141"/>
    </row>
    <row r="16660">
      <c r="BB16660" s="122"/>
      <c r="BC16660" s="141"/>
    </row>
    <row r="16661">
      <c r="BB16661" s="122"/>
      <c r="BC16661" s="141"/>
    </row>
    <row r="16662">
      <c r="BB16662" s="122"/>
      <c r="BC16662" s="141"/>
    </row>
    <row r="16663">
      <c r="BB16663" s="122"/>
      <c r="BC16663" s="141"/>
    </row>
    <row r="16664">
      <c r="BB16664" s="122"/>
      <c r="BC16664" s="141"/>
    </row>
    <row r="16665">
      <c r="BB16665" s="122"/>
      <c r="BC16665" s="141"/>
    </row>
    <row r="16666">
      <c r="BB16666" s="122"/>
      <c r="BC16666" s="141"/>
    </row>
    <row r="16667">
      <c r="BB16667" s="122"/>
      <c r="BC16667" s="141"/>
    </row>
    <row r="16668">
      <c r="BB16668" s="122"/>
      <c r="BC16668" s="141"/>
    </row>
    <row r="16669">
      <c r="BB16669" s="122"/>
      <c r="BC16669" s="141"/>
    </row>
    <row r="16670">
      <c r="BB16670" s="122"/>
      <c r="BC16670" s="141"/>
    </row>
    <row r="16671">
      <c r="BB16671" s="122"/>
      <c r="BC16671" s="141"/>
    </row>
    <row r="16672">
      <c r="BB16672" s="122"/>
      <c r="BC16672" s="141"/>
    </row>
    <row r="16673">
      <c r="BB16673" s="122"/>
      <c r="BC16673" s="141"/>
    </row>
    <row r="16674">
      <c r="BB16674" s="122"/>
      <c r="BC16674" s="141"/>
    </row>
    <row r="16675">
      <c r="BB16675" s="122"/>
      <c r="BC16675" s="141"/>
    </row>
    <row r="16676">
      <c r="BB16676" s="122"/>
      <c r="BC16676" s="141"/>
    </row>
    <row r="16677">
      <c r="BB16677" s="122"/>
      <c r="BC16677" s="141"/>
    </row>
    <row r="16678">
      <c r="BB16678" s="122"/>
      <c r="BC16678" s="141"/>
    </row>
    <row r="16679">
      <c r="BB16679" s="122"/>
      <c r="BC16679" s="141"/>
    </row>
    <row r="16680">
      <c r="BB16680" s="122"/>
      <c r="BC16680" s="141"/>
    </row>
    <row r="16681">
      <c r="BB16681" s="122"/>
      <c r="BC16681" s="141"/>
    </row>
    <row r="16682">
      <c r="BB16682" s="122"/>
      <c r="BC16682" s="141"/>
    </row>
    <row r="16683">
      <c r="BB16683" s="122"/>
      <c r="BC16683" s="141"/>
    </row>
    <row r="16684">
      <c r="BB16684" s="122"/>
      <c r="BC16684" s="141"/>
    </row>
    <row r="16685">
      <c r="BB16685" s="122"/>
      <c r="BC16685" s="141"/>
    </row>
    <row r="16686">
      <c r="BB16686" s="122"/>
      <c r="BC16686" s="141"/>
    </row>
    <row r="16687">
      <c r="BB16687" s="122"/>
      <c r="BC16687" s="141"/>
    </row>
    <row r="16688">
      <c r="BB16688" s="122"/>
      <c r="BC16688" s="141"/>
    </row>
    <row r="16689">
      <c r="BB16689" s="122"/>
      <c r="BC16689" s="141"/>
    </row>
    <row r="16690">
      <c r="BB16690" s="122"/>
      <c r="BC16690" s="141"/>
    </row>
    <row r="16691">
      <c r="BB16691" s="122"/>
      <c r="BC16691" s="141"/>
    </row>
    <row r="16692">
      <c r="BB16692" s="122"/>
      <c r="BC16692" s="141"/>
    </row>
    <row r="16693">
      <c r="BB16693" s="122"/>
      <c r="BC16693" s="141"/>
    </row>
    <row r="16694">
      <c r="BB16694" s="122"/>
      <c r="BC16694" s="141"/>
    </row>
    <row r="16695">
      <c r="BB16695" s="122"/>
      <c r="BC16695" s="141"/>
    </row>
    <row r="16696">
      <c r="BB16696" s="122"/>
      <c r="BC16696" s="141"/>
    </row>
    <row r="16697">
      <c r="BB16697" s="122"/>
      <c r="BC16697" s="141"/>
    </row>
    <row r="16698">
      <c r="BB16698" s="122"/>
      <c r="BC16698" s="141"/>
    </row>
    <row r="16699">
      <c r="BB16699" s="122"/>
      <c r="BC16699" s="141"/>
    </row>
    <row r="16700">
      <c r="BB16700" s="122"/>
      <c r="BC16700" s="141"/>
    </row>
    <row r="16701">
      <c r="BB16701" s="122"/>
      <c r="BC16701" s="141"/>
    </row>
    <row r="16702">
      <c r="BB16702" s="122"/>
      <c r="BC16702" s="141"/>
    </row>
    <row r="16703">
      <c r="BB16703" s="122"/>
      <c r="BC16703" s="141"/>
    </row>
    <row r="16704">
      <c r="BB16704" s="122"/>
      <c r="BC16704" s="141"/>
    </row>
    <row r="16705">
      <c r="BB16705" s="122"/>
      <c r="BC16705" s="141"/>
    </row>
    <row r="16706">
      <c r="BB16706" s="122"/>
      <c r="BC16706" s="141"/>
    </row>
    <row r="16707">
      <c r="BB16707" s="122"/>
      <c r="BC16707" s="141"/>
    </row>
    <row r="16708">
      <c r="BB16708" s="122"/>
      <c r="BC16708" s="141"/>
    </row>
    <row r="16709">
      <c r="BB16709" s="122"/>
      <c r="BC16709" s="141"/>
    </row>
    <row r="16710">
      <c r="BB16710" s="122"/>
      <c r="BC16710" s="141"/>
    </row>
    <row r="16711">
      <c r="BB16711" s="122"/>
      <c r="BC16711" s="141"/>
    </row>
    <row r="16712">
      <c r="BB16712" s="122"/>
      <c r="BC16712" s="141"/>
    </row>
    <row r="16713">
      <c r="BB16713" s="122"/>
      <c r="BC16713" s="141"/>
    </row>
    <row r="16714">
      <c r="BB16714" s="122"/>
      <c r="BC16714" s="141"/>
    </row>
    <row r="16715">
      <c r="BB16715" s="122"/>
      <c r="BC16715" s="141"/>
    </row>
    <row r="16716">
      <c r="BB16716" s="122"/>
      <c r="BC16716" s="141"/>
    </row>
    <row r="16717">
      <c r="BB16717" s="122"/>
      <c r="BC16717" s="141"/>
    </row>
    <row r="16718">
      <c r="BB16718" s="122"/>
      <c r="BC16718" s="141"/>
    </row>
    <row r="16719">
      <c r="BB16719" s="122"/>
      <c r="BC16719" s="141"/>
    </row>
    <row r="16720">
      <c r="BB16720" s="122"/>
      <c r="BC16720" s="141"/>
    </row>
    <row r="16721">
      <c r="BB16721" s="122"/>
      <c r="BC16721" s="141"/>
    </row>
    <row r="16722">
      <c r="BB16722" s="122"/>
      <c r="BC16722" s="141"/>
    </row>
    <row r="16723">
      <c r="BB16723" s="122"/>
      <c r="BC16723" s="141"/>
    </row>
    <row r="16724">
      <c r="BB16724" s="122"/>
      <c r="BC16724" s="141"/>
    </row>
    <row r="16725">
      <c r="BB16725" s="122"/>
      <c r="BC16725" s="141"/>
    </row>
    <row r="16726">
      <c r="BB16726" s="122"/>
      <c r="BC16726" s="141"/>
    </row>
    <row r="16727">
      <c r="BB16727" s="122"/>
      <c r="BC16727" s="141"/>
    </row>
    <row r="16728">
      <c r="BB16728" s="122"/>
      <c r="BC16728" s="141"/>
    </row>
    <row r="16729">
      <c r="BB16729" s="122"/>
      <c r="BC16729" s="141"/>
    </row>
    <row r="16730">
      <c r="BB16730" s="122"/>
      <c r="BC16730" s="141"/>
    </row>
    <row r="16731">
      <c r="BB16731" s="122"/>
      <c r="BC16731" s="141"/>
    </row>
    <row r="16732">
      <c r="BB16732" s="122"/>
      <c r="BC16732" s="141"/>
    </row>
    <row r="16733">
      <c r="BB16733" s="122"/>
      <c r="BC16733" s="141"/>
    </row>
    <row r="16734">
      <c r="BB16734" s="122"/>
      <c r="BC16734" s="141"/>
    </row>
    <row r="16735">
      <c r="BB16735" s="122"/>
      <c r="BC16735" s="141"/>
    </row>
    <row r="16736">
      <c r="BB16736" s="122"/>
      <c r="BC16736" s="141"/>
    </row>
    <row r="16737">
      <c r="BB16737" s="122"/>
      <c r="BC16737" s="141"/>
    </row>
    <row r="16738">
      <c r="BB16738" s="122"/>
      <c r="BC16738" s="141"/>
    </row>
    <row r="16739">
      <c r="BB16739" s="122"/>
      <c r="BC16739" s="141"/>
    </row>
    <row r="16740">
      <c r="BB16740" s="122"/>
      <c r="BC16740" s="141"/>
    </row>
    <row r="16741">
      <c r="BB16741" s="122"/>
      <c r="BC16741" s="141"/>
    </row>
    <row r="16742">
      <c r="BB16742" s="122"/>
      <c r="BC16742" s="141"/>
    </row>
    <row r="16743">
      <c r="BB16743" s="122"/>
      <c r="BC16743" s="141"/>
    </row>
    <row r="16744">
      <c r="BB16744" s="122"/>
      <c r="BC16744" s="141"/>
    </row>
    <row r="16745">
      <c r="BB16745" s="122"/>
      <c r="BC16745" s="141"/>
    </row>
    <row r="16746">
      <c r="BB16746" s="122"/>
      <c r="BC16746" s="141"/>
    </row>
    <row r="16747">
      <c r="BB16747" s="122"/>
      <c r="BC16747" s="141"/>
    </row>
    <row r="16748">
      <c r="BB16748" s="122"/>
      <c r="BC16748" s="141"/>
    </row>
    <row r="16749">
      <c r="BB16749" s="122"/>
      <c r="BC16749" s="141"/>
    </row>
    <row r="16750">
      <c r="BB16750" s="122"/>
      <c r="BC16750" s="141"/>
    </row>
    <row r="16751">
      <c r="BB16751" s="122"/>
      <c r="BC16751" s="141"/>
    </row>
    <row r="16752">
      <c r="BB16752" s="122"/>
      <c r="BC16752" s="141"/>
    </row>
    <row r="16753">
      <c r="BB16753" s="122"/>
      <c r="BC16753" s="141"/>
    </row>
    <row r="16754">
      <c r="BB16754" s="122"/>
      <c r="BC16754" s="141"/>
    </row>
    <row r="16755">
      <c r="BB16755" s="122"/>
      <c r="BC16755" s="141"/>
    </row>
    <row r="16756">
      <c r="BB16756" s="122"/>
      <c r="BC16756" s="141"/>
    </row>
    <row r="16757">
      <c r="BB16757" s="122"/>
      <c r="BC16757" s="141"/>
    </row>
    <row r="16758">
      <c r="BB16758" s="122"/>
      <c r="BC16758" s="141"/>
    </row>
    <row r="16759">
      <c r="BB16759" s="122"/>
      <c r="BC16759" s="141"/>
    </row>
    <row r="16760">
      <c r="BB16760" s="122"/>
      <c r="BC16760" s="141"/>
    </row>
    <row r="16761">
      <c r="BB16761" s="122"/>
      <c r="BC16761" s="141"/>
    </row>
    <row r="16762">
      <c r="BB16762" s="122"/>
      <c r="BC16762" s="141"/>
    </row>
    <row r="16763">
      <c r="BB16763" s="122"/>
      <c r="BC16763" s="141"/>
    </row>
    <row r="16764">
      <c r="BB16764" s="122"/>
      <c r="BC16764" s="141"/>
    </row>
    <row r="16765">
      <c r="BB16765" s="122"/>
      <c r="BC16765" s="141"/>
    </row>
    <row r="16766">
      <c r="BB16766" s="122"/>
      <c r="BC16766" s="141"/>
    </row>
    <row r="16767">
      <c r="BB16767" s="122"/>
      <c r="BC16767" s="141"/>
    </row>
    <row r="16768">
      <c r="BB16768" s="122"/>
      <c r="BC16768" s="141"/>
    </row>
    <row r="16769">
      <c r="BB16769" s="122"/>
      <c r="BC16769" s="141"/>
    </row>
    <row r="16770">
      <c r="BB16770" s="122"/>
      <c r="BC16770" s="141"/>
    </row>
    <row r="16771">
      <c r="BB16771" s="122"/>
      <c r="BC16771" s="141"/>
    </row>
    <row r="16772">
      <c r="BB16772" s="122"/>
      <c r="BC16772" s="141"/>
    </row>
    <row r="16773">
      <c r="BB16773" s="122"/>
      <c r="BC16773" s="141"/>
    </row>
    <row r="16774">
      <c r="BB16774" s="122"/>
      <c r="BC16774" s="141"/>
    </row>
    <row r="16775">
      <c r="BB16775" s="122"/>
      <c r="BC16775" s="141"/>
    </row>
    <row r="16776">
      <c r="BB16776" s="122"/>
      <c r="BC16776" s="141"/>
    </row>
    <row r="16777">
      <c r="BB16777" s="122"/>
      <c r="BC16777" s="141"/>
    </row>
    <row r="16778">
      <c r="BB16778" s="122"/>
      <c r="BC16778" s="141"/>
    </row>
    <row r="16779">
      <c r="BB16779" s="122"/>
      <c r="BC16779" s="141"/>
    </row>
    <row r="16780">
      <c r="BB16780" s="122"/>
      <c r="BC16780" s="141"/>
    </row>
    <row r="16781">
      <c r="BB16781" s="122"/>
      <c r="BC16781" s="141"/>
    </row>
    <row r="16782">
      <c r="BB16782" s="122"/>
      <c r="BC16782" s="141"/>
    </row>
    <row r="16783">
      <c r="BB16783" s="122"/>
      <c r="BC16783" s="141"/>
    </row>
    <row r="16784">
      <c r="BB16784" s="122"/>
      <c r="BC16784" s="141"/>
    </row>
    <row r="16785">
      <c r="BB16785" s="122"/>
      <c r="BC16785" s="141"/>
    </row>
    <row r="16786">
      <c r="BB16786" s="122"/>
      <c r="BC16786" s="141"/>
    </row>
    <row r="16787">
      <c r="BB16787" s="122"/>
      <c r="BC16787" s="141"/>
    </row>
    <row r="16788">
      <c r="BB16788" s="122"/>
      <c r="BC16788" s="141"/>
    </row>
    <row r="16789">
      <c r="BB16789" s="122"/>
      <c r="BC16789" s="141"/>
    </row>
    <row r="16790">
      <c r="BB16790" s="122"/>
      <c r="BC16790" s="141"/>
    </row>
    <row r="16791">
      <c r="BB16791" s="122"/>
      <c r="BC16791" s="141"/>
    </row>
    <row r="16792">
      <c r="BB16792" s="122"/>
      <c r="BC16792" s="141"/>
    </row>
    <row r="16793">
      <c r="BB16793" s="122"/>
      <c r="BC16793" s="141"/>
    </row>
    <row r="16794">
      <c r="BB16794" s="122"/>
      <c r="BC16794" s="141"/>
    </row>
    <row r="16795">
      <c r="BB16795" s="122"/>
      <c r="BC16795" s="141"/>
    </row>
    <row r="16796">
      <c r="BB16796" s="122"/>
      <c r="BC16796" s="141"/>
    </row>
    <row r="16797">
      <c r="BB16797" s="122"/>
      <c r="BC16797" s="141"/>
    </row>
    <row r="16798">
      <c r="BB16798" s="122"/>
      <c r="BC16798" s="141"/>
    </row>
    <row r="16799">
      <c r="BB16799" s="122"/>
      <c r="BC16799" s="141"/>
    </row>
    <row r="16800">
      <c r="BB16800" s="122"/>
      <c r="BC16800" s="141"/>
    </row>
    <row r="16801">
      <c r="BB16801" s="122"/>
      <c r="BC16801" s="141"/>
    </row>
    <row r="16802">
      <c r="BB16802" s="122"/>
      <c r="BC16802" s="141"/>
    </row>
    <row r="16803">
      <c r="BB16803" s="122"/>
      <c r="BC16803" s="141"/>
    </row>
    <row r="16804">
      <c r="BB16804" s="122"/>
      <c r="BC16804" s="141"/>
    </row>
    <row r="16805">
      <c r="BB16805" s="122"/>
      <c r="BC16805" s="141"/>
    </row>
    <row r="16806">
      <c r="BB16806" s="122"/>
      <c r="BC16806" s="141"/>
    </row>
    <row r="16807">
      <c r="BB16807" s="122"/>
      <c r="BC16807" s="141"/>
    </row>
    <row r="16808">
      <c r="BB16808" s="122"/>
      <c r="BC16808" s="141"/>
    </row>
    <row r="16809">
      <c r="BB16809" s="122"/>
      <c r="BC16809" s="141"/>
    </row>
    <row r="16810">
      <c r="BB16810" s="122"/>
      <c r="BC16810" s="141"/>
    </row>
    <row r="16811">
      <c r="BB16811" s="122"/>
      <c r="BC16811" s="141"/>
    </row>
    <row r="16812">
      <c r="BB16812" s="122"/>
      <c r="BC16812" s="141"/>
    </row>
    <row r="16813">
      <c r="BB16813" s="122"/>
      <c r="BC16813" s="141"/>
    </row>
    <row r="16814">
      <c r="BB16814" s="122"/>
      <c r="BC16814" s="141"/>
    </row>
    <row r="16815">
      <c r="BB16815" s="122"/>
      <c r="BC16815" s="141"/>
    </row>
    <row r="16816">
      <c r="BB16816" s="122"/>
      <c r="BC16816" s="141"/>
    </row>
    <row r="16817">
      <c r="BB16817" s="122"/>
      <c r="BC16817" s="141"/>
    </row>
    <row r="16818">
      <c r="BB16818" s="122"/>
      <c r="BC16818" s="141"/>
    </row>
    <row r="16819">
      <c r="BB16819" s="122"/>
      <c r="BC16819" s="141"/>
    </row>
    <row r="16820">
      <c r="BB16820" s="122"/>
      <c r="BC16820" s="141"/>
    </row>
    <row r="16821">
      <c r="BB16821" s="122"/>
      <c r="BC16821" s="141"/>
    </row>
    <row r="16822">
      <c r="BB16822" s="122"/>
      <c r="BC16822" s="141"/>
    </row>
    <row r="16823">
      <c r="BB16823" s="122"/>
      <c r="BC16823" s="141"/>
    </row>
    <row r="16824">
      <c r="BB16824" s="122"/>
      <c r="BC16824" s="141"/>
    </row>
    <row r="16825">
      <c r="BB16825" s="122"/>
      <c r="BC16825" s="141"/>
    </row>
    <row r="16826">
      <c r="BB16826" s="122"/>
      <c r="BC16826" s="141"/>
    </row>
    <row r="16827">
      <c r="BB16827" s="122"/>
      <c r="BC16827" s="141"/>
    </row>
    <row r="16828">
      <c r="BB16828" s="122"/>
      <c r="BC16828" s="141"/>
    </row>
    <row r="16829">
      <c r="BB16829" s="122"/>
      <c r="BC16829" s="141"/>
    </row>
    <row r="16830">
      <c r="BB16830" s="122"/>
      <c r="BC16830" s="141"/>
    </row>
    <row r="16831">
      <c r="BB16831" s="122"/>
      <c r="BC16831" s="141"/>
    </row>
    <row r="16832">
      <c r="BB16832" s="122"/>
      <c r="BC16832" s="141"/>
    </row>
    <row r="16833">
      <c r="BB16833" s="122"/>
      <c r="BC16833" s="141"/>
    </row>
    <row r="16834">
      <c r="BB16834" s="122"/>
      <c r="BC16834" s="141"/>
    </row>
    <row r="16835">
      <c r="BB16835" s="122"/>
      <c r="BC16835" s="141"/>
    </row>
    <row r="16836">
      <c r="BB16836" s="122"/>
      <c r="BC16836" s="141"/>
    </row>
    <row r="16837">
      <c r="BB16837" s="122"/>
      <c r="BC16837" s="141"/>
    </row>
    <row r="16838">
      <c r="BB16838" s="122"/>
      <c r="BC16838" s="141"/>
    </row>
    <row r="16839">
      <c r="BB16839" s="122"/>
      <c r="BC16839" s="141"/>
    </row>
    <row r="16840">
      <c r="BB16840" s="122"/>
      <c r="BC16840" s="141"/>
    </row>
    <row r="16841">
      <c r="BB16841" s="122"/>
      <c r="BC16841" s="141"/>
    </row>
    <row r="16842">
      <c r="BB16842" s="122"/>
      <c r="BC16842" s="141"/>
    </row>
    <row r="16843">
      <c r="BB16843" s="122"/>
      <c r="BC16843" s="141"/>
    </row>
    <row r="16844">
      <c r="BB16844" s="122"/>
      <c r="BC16844" s="141"/>
    </row>
    <row r="16845">
      <c r="BB16845" s="122"/>
      <c r="BC16845" s="141"/>
    </row>
    <row r="16846">
      <c r="BB16846" s="122"/>
      <c r="BC16846" s="141"/>
    </row>
    <row r="16847">
      <c r="BB16847" s="122"/>
      <c r="BC16847" s="141"/>
    </row>
    <row r="16848">
      <c r="BB16848" s="122"/>
      <c r="BC16848" s="141"/>
    </row>
    <row r="16849">
      <c r="BB16849" s="122"/>
      <c r="BC16849" s="141"/>
    </row>
    <row r="16850">
      <c r="BB16850" s="122"/>
      <c r="BC16850" s="141"/>
    </row>
    <row r="16851">
      <c r="BB16851" s="122"/>
      <c r="BC16851" s="141"/>
    </row>
    <row r="16852">
      <c r="BB16852" s="122"/>
      <c r="BC16852" s="141"/>
    </row>
    <row r="16853">
      <c r="BB16853" s="122"/>
      <c r="BC16853" s="141"/>
    </row>
    <row r="16854">
      <c r="BB16854" s="122"/>
      <c r="BC16854" s="141"/>
    </row>
    <row r="16855">
      <c r="BB16855" s="122"/>
      <c r="BC16855" s="141"/>
    </row>
    <row r="16856">
      <c r="BB16856" s="122"/>
      <c r="BC16856" s="141"/>
    </row>
    <row r="16857">
      <c r="BB16857" s="122"/>
      <c r="BC16857" s="141"/>
    </row>
    <row r="16858">
      <c r="BB16858" s="122"/>
      <c r="BC16858" s="141"/>
    </row>
    <row r="16859">
      <c r="BB16859" s="122"/>
      <c r="BC16859" s="141"/>
    </row>
    <row r="16860">
      <c r="BB16860" s="122"/>
      <c r="BC16860" s="141"/>
    </row>
    <row r="16861">
      <c r="BB16861" s="122"/>
      <c r="BC16861" s="141"/>
    </row>
    <row r="16862">
      <c r="BB16862" s="122"/>
      <c r="BC16862" s="141"/>
    </row>
    <row r="16863">
      <c r="BB16863" s="122"/>
      <c r="BC16863" s="141"/>
    </row>
    <row r="16864">
      <c r="BB16864" s="122"/>
      <c r="BC16864" s="141"/>
    </row>
    <row r="16865">
      <c r="BB16865" s="122"/>
      <c r="BC16865" s="141"/>
    </row>
    <row r="16866">
      <c r="BB16866" s="122"/>
      <c r="BC16866" s="141"/>
    </row>
    <row r="16867">
      <c r="BB16867" s="122"/>
      <c r="BC16867" s="141"/>
    </row>
    <row r="16868">
      <c r="BB16868" s="122"/>
      <c r="BC16868" s="141"/>
    </row>
    <row r="16869">
      <c r="BB16869" s="122"/>
      <c r="BC16869" s="141"/>
    </row>
    <row r="16870">
      <c r="BB16870" s="122"/>
      <c r="BC16870" s="141"/>
    </row>
    <row r="16871">
      <c r="BB16871" s="122"/>
      <c r="BC16871" s="141"/>
    </row>
    <row r="16872">
      <c r="BB16872" s="122"/>
      <c r="BC16872" s="141"/>
    </row>
    <row r="16873">
      <c r="BB16873" s="122"/>
      <c r="BC16873" s="141"/>
    </row>
    <row r="16874">
      <c r="BB16874" s="122"/>
      <c r="BC16874" s="141"/>
    </row>
    <row r="16875">
      <c r="BB16875" s="122"/>
      <c r="BC16875" s="141"/>
    </row>
    <row r="16876">
      <c r="BB16876" s="122"/>
      <c r="BC16876" s="141"/>
    </row>
    <row r="16877">
      <c r="BB16877" s="122"/>
      <c r="BC16877" s="141"/>
    </row>
    <row r="16878">
      <c r="BB16878" s="122"/>
      <c r="BC16878" s="141"/>
    </row>
    <row r="16879">
      <c r="BB16879" s="122"/>
      <c r="BC16879" s="141"/>
    </row>
    <row r="16880">
      <c r="BB16880" s="122"/>
      <c r="BC16880" s="141"/>
    </row>
    <row r="16881">
      <c r="BB16881" s="122"/>
      <c r="BC16881" s="141"/>
    </row>
    <row r="16882">
      <c r="BB16882" s="122"/>
      <c r="BC16882" s="141"/>
    </row>
    <row r="16883">
      <c r="BB16883" s="122"/>
      <c r="BC16883" s="141"/>
    </row>
    <row r="16884">
      <c r="BB16884" s="122"/>
      <c r="BC16884" s="141"/>
    </row>
    <row r="16885">
      <c r="BB16885" s="122"/>
      <c r="BC16885" s="141"/>
    </row>
    <row r="16886">
      <c r="BB16886" s="122"/>
      <c r="BC16886" s="141"/>
    </row>
    <row r="16887">
      <c r="BB16887" s="122"/>
      <c r="BC16887" s="141"/>
    </row>
    <row r="16888">
      <c r="BB16888" s="122"/>
      <c r="BC16888" s="141"/>
    </row>
    <row r="16889">
      <c r="BB16889" s="122"/>
      <c r="BC16889" s="141"/>
    </row>
    <row r="16890">
      <c r="BB16890" s="122"/>
      <c r="BC16890" s="141"/>
    </row>
    <row r="16891">
      <c r="BB16891" s="122"/>
      <c r="BC16891" s="141"/>
    </row>
    <row r="16892">
      <c r="BB16892" s="122"/>
      <c r="BC16892" s="141"/>
    </row>
    <row r="16893">
      <c r="BB16893" s="122"/>
      <c r="BC16893" s="141"/>
    </row>
    <row r="16894">
      <c r="BB16894" s="122"/>
      <c r="BC16894" s="141"/>
    </row>
    <row r="16895">
      <c r="BB16895" s="122"/>
      <c r="BC16895" s="141"/>
    </row>
    <row r="16896">
      <c r="BB16896" s="122"/>
      <c r="BC16896" s="141"/>
    </row>
    <row r="16897">
      <c r="BB16897" s="122"/>
      <c r="BC16897" s="141"/>
    </row>
    <row r="16898">
      <c r="BB16898" s="122"/>
      <c r="BC16898" s="141"/>
    </row>
    <row r="16899">
      <c r="BB16899" s="122"/>
      <c r="BC16899" s="141"/>
    </row>
    <row r="16900">
      <c r="BB16900" s="122"/>
      <c r="BC16900" s="141"/>
    </row>
    <row r="16901">
      <c r="BB16901" s="122"/>
      <c r="BC16901" s="141"/>
    </row>
    <row r="16902">
      <c r="BB16902" s="122"/>
      <c r="BC16902" s="141"/>
    </row>
    <row r="16903">
      <c r="BB16903" s="122"/>
      <c r="BC16903" s="141"/>
    </row>
    <row r="16904">
      <c r="BB16904" s="122"/>
      <c r="BC16904" s="141"/>
    </row>
    <row r="16905">
      <c r="BB16905" s="122"/>
      <c r="BC16905" s="141"/>
    </row>
    <row r="16906">
      <c r="BB16906" s="122"/>
      <c r="BC16906" s="141"/>
    </row>
    <row r="16907">
      <c r="BB16907" s="122"/>
      <c r="BC16907" s="141"/>
    </row>
    <row r="16908">
      <c r="BB16908" s="122"/>
      <c r="BC16908" s="141"/>
    </row>
    <row r="16909">
      <c r="BB16909" s="122"/>
      <c r="BC16909" s="141"/>
    </row>
    <row r="16910">
      <c r="BB16910" s="122"/>
      <c r="BC16910" s="141"/>
    </row>
    <row r="16911">
      <c r="BB16911" s="122"/>
      <c r="BC16911" s="141"/>
    </row>
    <row r="16912">
      <c r="BB16912" s="122"/>
      <c r="BC16912" s="141"/>
    </row>
    <row r="16913">
      <c r="BB16913" s="122"/>
      <c r="BC16913" s="141"/>
    </row>
    <row r="16914">
      <c r="BB16914" s="122"/>
      <c r="BC16914" s="141"/>
    </row>
    <row r="16915">
      <c r="BB16915" s="122"/>
      <c r="BC16915" s="141"/>
    </row>
    <row r="16916">
      <c r="BB16916" s="122"/>
      <c r="BC16916" s="141"/>
    </row>
    <row r="16917">
      <c r="BB16917" s="122"/>
      <c r="BC16917" s="141"/>
    </row>
    <row r="16918">
      <c r="BB16918" s="122"/>
      <c r="BC16918" s="141"/>
    </row>
    <row r="16919">
      <c r="BB16919" s="122"/>
      <c r="BC16919" s="141"/>
    </row>
    <row r="16920">
      <c r="BB16920" s="122"/>
      <c r="BC16920" s="141"/>
    </row>
    <row r="16921">
      <c r="BB16921" s="122"/>
      <c r="BC16921" s="141"/>
    </row>
    <row r="16922">
      <c r="BB16922" s="122"/>
      <c r="BC16922" s="141"/>
    </row>
    <row r="16923">
      <c r="BB16923" s="122"/>
      <c r="BC16923" s="141"/>
    </row>
    <row r="16924">
      <c r="BB16924" s="122"/>
      <c r="BC16924" s="141"/>
    </row>
    <row r="16925">
      <c r="BB16925" s="122"/>
      <c r="BC16925" s="141"/>
    </row>
    <row r="16926">
      <c r="BB16926" s="122"/>
      <c r="BC16926" s="141"/>
    </row>
    <row r="16927">
      <c r="BB16927" s="122"/>
      <c r="BC16927" s="141"/>
    </row>
    <row r="16928">
      <c r="BB16928" s="122"/>
      <c r="BC16928" s="141"/>
    </row>
    <row r="16929">
      <c r="BB16929" s="122"/>
      <c r="BC16929" s="141"/>
    </row>
    <row r="16930">
      <c r="BB16930" s="122"/>
      <c r="BC16930" s="141"/>
    </row>
    <row r="16931">
      <c r="BB16931" s="122"/>
      <c r="BC16931" s="141"/>
    </row>
    <row r="16932">
      <c r="BB16932" s="122"/>
      <c r="BC16932" s="141"/>
    </row>
    <row r="16933">
      <c r="BB16933" s="122"/>
      <c r="BC16933" s="141"/>
    </row>
    <row r="16934">
      <c r="BB16934" s="122"/>
      <c r="BC16934" s="141"/>
    </row>
    <row r="16935">
      <c r="BB16935" s="122"/>
      <c r="BC16935" s="141"/>
    </row>
    <row r="16936">
      <c r="BB16936" s="122"/>
      <c r="BC16936" s="141"/>
    </row>
    <row r="16937">
      <c r="BB16937" s="122"/>
      <c r="BC16937" s="141"/>
    </row>
    <row r="16938">
      <c r="BB16938" s="122"/>
      <c r="BC16938" s="141"/>
    </row>
    <row r="16939">
      <c r="BB16939" s="122"/>
      <c r="BC16939" s="141"/>
    </row>
    <row r="16940">
      <c r="BB16940" s="122"/>
      <c r="BC16940" s="141"/>
    </row>
    <row r="16941">
      <c r="BB16941" s="122"/>
      <c r="BC16941" s="141"/>
    </row>
    <row r="16942">
      <c r="BB16942" s="122"/>
      <c r="BC16942" s="141"/>
    </row>
    <row r="16943">
      <c r="BB16943" s="122"/>
      <c r="BC16943" s="141"/>
    </row>
    <row r="16944">
      <c r="BB16944" s="122"/>
      <c r="BC16944" s="141"/>
    </row>
    <row r="16945">
      <c r="BB16945" s="122"/>
      <c r="BC16945" s="141"/>
    </row>
    <row r="16946">
      <c r="BB16946" s="122"/>
      <c r="BC16946" s="141"/>
    </row>
    <row r="16947">
      <c r="BB16947" s="122"/>
      <c r="BC16947" s="141"/>
    </row>
    <row r="16948">
      <c r="BB16948" s="122"/>
      <c r="BC16948" s="141"/>
    </row>
    <row r="16949">
      <c r="BB16949" s="122"/>
      <c r="BC16949" s="141"/>
    </row>
    <row r="16950">
      <c r="BB16950" s="122"/>
      <c r="BC16950" s="141"/>
    </row>
    <row r="16951">
      <c r="BB16951" s="122"/>
      <c r="BC16951" s="141"/>
    </row>
    <row r="16952">
      <c r="BB16952" s="122"/>
      <c r="BC16952" s="141"/>
    </row>
    <row r="16953">
      <c r="BB16953" s="122"/>
      <c r="BC16953" s="141"/>
    </row>
    <row r="16954">
      <c r="BB16954" s="122"/>
      <c r="BC16954" s="141"/>
    </row>
    <row r="16955">
      <c r="BB16955" s="122"/>
      <c r="BC16955" s="141"/>
    </row>
    <row r="16956">
      <c r="BB16956" s="122"/>
      <c r="BC16956" s="141"/>
    </row>
    <row r="16957">
      <c r="BB16957" s="122"/>
      <c r="BC16957" s="141"/>
    </row>
    <row r="16958">
      <c r="BB16958" s="122"/>
      <c r="BC16958" s="141"/>
    </row>
    <row r="16959">
      <c r="BB16959" s="122"/>
      <c r="BC16959" s="141"/>
    </row>
    <row r="16960">
      <c r="BB16960" s="122"/>
      <c r="BC16960" s="141"/>
    </row>
    <row r="16961">
      <c r="BB16961" s="122"/>
      <c r="BC16961" s="141"/>
    </row>
    <row r="16962">
      <c r="BB16962" s="122"/>
      <c r="BC16962" s="141"/>
    </row>
    <row r="16963">
      <c r="BB16963" s="122"/>
      <c r="BC16963" s="141"/>
    </row>
    <row r="16964">
      <c r="BB16964" s="122"/>
      <c r="BC16964" s="141"/>
    </row>
    <row r="16965">
      <c r="BB16965" s="122"/>
      <c r="BC16965" s="141"/>
    </row>
    <row r="16966">
      <c r="BB16966" s="122"/>
      <c r="BC16966" s="141"/>
    </row>
    <row r="16967">
      <c r="BB16967" s="122"/>
      <c r="BC16967" s="141"/>
    </row>
    <row r="16968">
      <c r="BB16968" s="122"/>
      <c r="BC16968" s="141"/>
    </row>
    <row r="16969">
      <c r="BB16969" s="122"/>
      <c r="BC16969" s="141"/>
    </row>
    <row r="16970">
      <c r="BB16970" s="122"/>
      <c r="BC16970" s="141"/>
    </row>
    <row r="16971">
      <c r="BB16971" s="122"/>
      <c r="BC16971" s="141"/>
    </row>
    <row r="16972">
      <c r="BB16972" s="122"/>
      <c r="BC16972" s="141"/>
    </row>
    <row r="16973">
      <c r="BB16973" s="122"/>
      <c r="BC16973" s="141"/>
    </row>
    <row r="16974">
      <c r="BB16974" s="122"/>
      <c r="BC16974" s="141"/>
    </row>
    <row r="16975">
      <c r="BB16975" s="122"/>
      <c r="BC16975" s="141"/>
    </row>
    <row r="16976">
      <c r="BB16976" s="122"/>
      <c r="BC16976" s="141"/>
    </row>
    <row r="16977">
      <c r="BB16977" s="122"/>
      <c r="BC16977" s="141"/>
    </row>
    <row r="16978">
      <c r="BB16978" s="122"/>
      <c r="BC16978" s="141"/>
    </row>
    <row r="16979">
      <c r="BB16979" s="122"/>
      <c r="BC16979" s="141"/>
    </row>
    <row r="16980">
      <c r="BB16980" s="122"/>
      <c r="BC16980" s="141"/>
    </row>
    <row r="16981">
      <c r="BB16981" s="122"/>
      <c r="BC16981" s="141"/>
    </row>
    <row r="16982">
      <c r="BB16982" s="122"/>
      <c r="BC16982" s="141"/>
    </row>
    <row r="16983">
      <c r="BB16983" s="122"/>
      <c r="BC16983" s="141"/>
    </row>
    <row r="16984">
      <c r="BB16984" s="122"/>
      <c r="BC16984" s="141"/>
    </row>
    <row r="16985">
      <c r="BB16985" s="122"/>
      <c r="BC16985" s="141"/>
    </row>
    <row r="16986">
      <c r="BB16986" s="122"/>
      <c r="BC16986" s="141"/>
    </row>
    <row r="16987">
      <c r="BB16987" s="122"/>
      <c r="BC16987" s="141"/>
    </row>
    <row r="16988">
      <c r="BB16988" s="122"/>
      <c r="BC16988" s="141"/>
    </row>
    <row r="16989">
      <c r="BB16989" s="122"/>
      <c r="BC16989" s="141"/>
    </row>
    <row r="16990">
      <c r="BB16990" s="122"/>
      <c r="BC16990" s="141"/>
    </row>
    <row r="16991">
      <c r="BB16991" s="122"/>
      <c r="BC16991" s="141"/>
    </row>
    <row r="16992">
      <c r="BB16992" s="122"/>
      <c r="BC16992" s="141"/>
    </row>
    <row r="16993">
      <c r="BB16993" s="122"/>
      <c r="BC16993" s="141"/>
    </row>
    <row r="16994">
      <c r="BB16994" s="122"/>
      <c r="BC16994" s="141"/>
    </row>
    <row r="16995">
      <c r="BB16995" s="122"/>
      <c r="BC16995" s="141"/>
    </row>
    <row r="16996">
      <c r="BB16996" s="122"/>
      <c r="BC16996" s="141"/>
    </row>
    <row r="16997">
      <c r="BB16997" s="122"/>
      <c r="BC16997" s="141"/>
    </row>
    <row r="16998">
      <c r="BB16998" s="122"/>
      <c r="BC16998" s="141"/>
    </row>
    <row r="16999">
      <c r="BB16999" s="122"/>
      <c r="BC16999" s="141"/>
    </row>
    <row r="17000">
      <c r="BB17000" s="122"/>
      <c r="BC17000" s="141"/>
    </row>
    <row r="17001">
      <c r="BB17001" s="122"/>
      <c r="BC17001" s="141"/>
    </row>
    <row r="17002">
      <c r="BB17002" s="122"/>
      <c r="BC17002" s="141"/>
    </row>
    <row r="17003">
      <c r="BB17003" s="122"/>
      <c r="BC17003" s="141"/>
    </row>
    <row r="17004">
      <c r="BB17004" s="122"/>
      <c r="BC17004" s="141"/>
    </row>
    <row r="17005">
      <c r="BB17005" s="122"/>
      <c r="BC17005" s="141"/>
    </row>
    <row r="17006">
      <c r="BB17006" s="122"/>
      <c r="BC17006" s="141"/>
    </row>
    <row r="17007">
      <c r="BB17007" s="122"/>
      <c r="BC17007" s="141"/>
    </row>
    <row r="17008">
      <c r="BB17008" s="122"/>
      <c r="BC17008" s="141"/>
    </row>
    <row r="17009">
      <c r="BB17009" s="122"/>
      <c r="BC17009" s="141"/>
    </row>
    <row r="17010">
      <c r="BB17010" s="122"/>
      <c r="BC17010" s="141"/>
    </row>
    <row r="17011">
      <c r="BB17011" s="122"/>
      <c r="BC17011" s="141"/>
    </row>
    <row r="17012">
      <c r="BB17012" s="122"/>
      <c r="BC17012" s="141"/>
    </row>
    <row r="17013">
      <c r="BB17013" s="122"/>
      <c r="BC17013" s="141"/>
    </row>
    <row r="17014">
      <c r="BB17014" s="122"/>
      <c r="BC17014" s="141"/>
    </row>
    <row r="17015">
      <c r="BB17015" s="122"/>
      <c r="BC17015" s="141"/>
    </row>
    <row r="17016">
      <c r="BB17016" s="122"/>
      <c r="BC17016" s="141"/>
    </row>
    <row r="17017">
      <c r="BB17017" s="122"/>
      <c r="BC17017" s="141"/>
    </row>
    <row r="17018">
      <c r="BB17018" s="122"/>
      <c r="BC17018" s="141"/>
    </row>
    <row r="17019">
      <c r="BB17019" s="122"/>
      <c r="BC17019" s="141"/>
    </row>
    <row r="17020">
      <c r="BB17020" s="122"/>
      <c r="BC17020" s="141"/>
    </row>
    <row r="17021">
      <c r="BB17021" s="122"/>
      <c r="BC17021" s="141"/>
    </row>
    <row r="17022">
      <c r="BB17022" s="122"/>
      <c r="BC17022" s="141"/>
    </row>
    <row r="17023">
      <c r="BB17023" s="122"/>
      <c r="BC17023" s="141"/>
    </row>
    <row r="17024">
      <c r="BB17024" s="122"/>
      <c r="BC17024" s="141"/>
    </row>
    <row r="17025">
      <c r="BB17025" s="122"/>
      <c r="BC17025" s="141"/>
    </row>
    <row r="17026">
      <c r="BB17026" s="122"/>
      <c r="BC17026" s="141"/>
    </row>
    <row r="17027">
      <c r="BB17027" s="122"/>
      <c r="BC17027" s="141"/>
    </row>
    <row r="17028">
      <c r="BB17028" s="122"/>
      <c r="BC17028" s="141"/>
    </row>
    <row r="17029">
      <c r="BB17029" s="122"/>
      <c r="BC17029" s="141"/>
    </row>
    <row r="17030">
      <c r="BB17030" s="122"/>
      <c r="BC17030" s="141"/>
    </row>
    <row r="17031">
      <c r="BB17031" s="122"/>
      <c r="BC17031" s="141"/>
    </row>
    <row r="17032">
      <c r="BB17032" s="122"/>
      <c r="BC17032" s="141"/>
    </row>
    <row r="17033">
      <c r="BB17033" s="122"/>
      <c r="BC17033" s="141"/>
    </row>
    <row r="17034">
      <c r="BB17034" s="122"/>
      <c r="BC17034" s="141"/>
    </row>
    <row r="17035">
      <c r="BB17035" s="122"/>
      <c r="BC17035" s="141"/>
    </row>
    <row r="17036">
      <c r="BB17036" s="122"/>
      <c r="BC17036" s="141"/>
    </row>
    <row r="17037">
      <c r="BB17037" s="122"/>
      <c r="BC17037" s="141"/>
    </row>
    <row r="17038">
      <c r="BB17038" s="122"/>
      <c r="BC17038" s="141"/>
    </row>
    <row r="17039">
      <c r="BB17039" s="122"/>
      <c r="BC17039" s="141"/>
    </row>
    <row r="17040">
      <c r="BB17040" s="122"/>
      <c r="BC17040" s="141"/>
    </row>
    <row r="17041">
      <c r="BB17041" s="122"/>
      <c r="BC17041" s="141"/>
    </row>
    <row r="17042">
      <c r="BB17042" s="122"/>
      <c r="BC17042" s="141"/>
    </row>
    <row r="17043">
      <c r="BB17043" s="122"/>
      <c r="BC17043" s="141"/>
    </row>
    <row r="17044">
      <c r="BB17044" s="122"/>
      <c r="BC17044" s="141"/>
    </row>
    <row r="17045">
      <c r="BB17045" s="122"/>
      <c r="BC17045" s="141"/>
    </row>
    <row r="17046">
      <c r="BB17046" s="122"/>
      <c r="BC17046" s="141"/>
    </row>
    <row r="17047">
      <c r="BB17047" s="122"/>
      <c r="BC17047" s="141"/>
    </row>
    <row r="17048">
      <c r="BB17048" s="122"/>
      <c r="BC17048" s="141"/>
    </row>
    <row r="17049">
      <c r="BB17049" s="122"/>
      <c r="BC17049" s="141"/>
    </row>
    <row r="17050">
      <c r="BB17050" s="122"/>
      <c r="BC17050" s="141"/>
    </row>
    <row r="17051">
      <c r="BB17051" s="122"/>
      <c r="BC17051" s="141"/>
    </row>
    <row r="17052">
      <c r="BB17052" s="122"/>
      <c r="BC17052" s="141"/>
    </row>
    <row r="17053">
      <c r="BB17053" s="122"/>
      <c r="BC17053" s="141"/>
    </row>
    <row r="17054">
      <c r="BB17054" s="122"/>
      <c r="BC17054" s="141"/>
    </row>
    <row r="17055">
      <c r="BB17055" s="122"/>
      <c r="BC17055" s="141"/>
    </row>
    <row r="17056">
      <c r="BB17056" s="122"/>
      <c r="BC17056" s="141"/>
    </row>
    <row r="17057">
      <c r="BB17057" s="122"/>
      <c r="BC17057" s="141"/>
    </row>
    <row r="17058">
      <c r="BB17058" s="122"/>
      <c r="BC17058" s="141"/>
    </row>
    <row r="17059">
      <c r="BB17059" s="122"/>
      <c r="BC17059" s="141"/>
    </row>
    <row r="17060">
      <c r="BB17060" s="122"/>
      <c r="BC17060" s="141"/>
    </row>
    <row r="17061">
      <c r="BB17061" s="122"/>
      <c r="BC17061" s="141"/>
    </row>
    <row r="17062">
      <c r="BB17062" s="122"/>
      <c r="BC17062" s="141"/>
    </row>
    <row r="17063">
      <c r="BB17063" s="122"/>
      <c r="BC17063" s="141"/>
    </row>
    <row r="17064">
      <c r="BB17064" s="122"/>
      <c r="BC17064" s="141"/>
    </row>
    <row r="17065">
      <c r="BB17065" s="122"/>
      <c r="BC17065" s="141"/>
    </row>
    <row r="17066">
      <c r="BB17066" s="122"/>
      <c r="BC17066" s="141"/>
    </row>
    <row r="17067">
      <c r="BB17067" s="122"/>
      <c r="BC17067" s="141"/>
    </row>
    <row r="17068">
      <c r="BB17068" s="122"/>
      <c r="BC17068" s="141"/>
    </row>
    <row r="17069">
      <c r="BB17069" s="122"/>
      <c r="BC17069" s="141"/>
    </row>
    <row r="17070">
      <c r="BB17070" s="122"/>
      <c r="BC17070" s="141"/>
    </row>
    <row r="17071">
      <c r="BB17071" s="122"/>
      <c r="BC17071" s="141"/>
    </row>
    <row r="17072">
      <c r="BB17072" s="122"/>
      <c r="BC17072" s="141"/>
    </row>
    <row r="17073">
      <c r="BB17073" s="122"/>
      <c r="BC17073" s="141"/>
    </row>
    <row r="17074">
      <c r="BB17074" s="122"/>
      <c r="BC17074" s="141"/>
    </row>
    <row r="17075">
      <c r="BB17075" s="122"/>
      <c r="BC17075" s="141"/>
    </row>
    <row r="17076">
      <c r="BB17076" s="122"/>
      <c r="BC17076" s="141"/>
    </row>
    <row r="17077">
      <c r="BB17077" s="122"/>
      <c r="BC17077" s="141"/>
    </row>
    <row r="17078">
      <c r="BB17078" s="122"/>
      <c r="BC17078" s="141"/>
    </row>
    <row r="17079">
      <c r="BB17079" s="122"/>
      <c r="BC17079" s="141"/>
    </row>
    <row r="17080">
      <c r="BB17080" s="122"/>
      <c r="BC17080" s="141"/>
    </row>
    <row r="17081">
      <c r="BB17081" s="122"/>
      <c r="BC17081" s="141"/>
    </row>
    <row r="17082">
      <c r="BB17082" s="122"/>
      <c r="BC17082" s="141"/>
    </row>
    <row r="17083">
      <c r="BB17083" s="122"/>
      <c r="BC17083" s="141"/>
    </row>
    <row r="17084">
      <c r="BB17084" s="122"/>
      <c r="BC17084" s="141"/>
    </row>
    <row r="17085">
      <c r="BB17085" s="122"/>
      <c r="BC17085" s="141"/>
    </row>
    <row r="17086">
      <c r="BB17086" s="122"/>
      <c r="BC17086" s="141"/>
    </row>
    <row r="17087">
      <c r="BB17087" s="122"/>
      <c r="BC17087" s="141"/>
    </row>
    <row r="17088">
      <c r="BB17088" s="122"/>
      <c r="BC17088" s="141"/>
    </row>
    <row r="17089">
      <c r="BB17089" s="122"/>
      <c r="BC17089" s="141"/>
    </row>
    <row r="17090">
      <c r="BB17090" s="122"/>
      <c r="BC17090" s="141"/>
    </row>
    <row r="17091">
      <c r="BB17091" s="122"/>
      <c r="BC17091" s="141"/>
    </row>
    <row r="17092">
      <c r="BB17092" s="122"/>
      <c r="BC17092" s="141"/>
    </row>
    <row r="17093">
      <c r="BB17093" s="122"/>
      <c r="BC17093" s="141"/>
    </row>
    <row r="17094">
      <c r="BB17094" s="122"/>
      <c r="BC17094" s="141"/>
    </row>
    <row r="17095">
      <c r="BB17095" s="122"/>
      <c r="BC17095" s="141"/>
    </row>
    <row r="17096">
      <c r="BB17096" s="122"/>
      <c r="BC17096" s="141"/>
    </row>
    <row r="17097">
      <c r="BB17097" s="122"/>
      <c r="BC17097" s="141"/>
    </row>
    <row r="17098">
      <c r="BB17098" s="122"/>
      <c r="BC17098" s="141"/>
    </row>
    <row r="17099">
      <c r="BB17099" s="122"/>
      <c r="BC17099" s="141"/>
    </row>
    <row r="17100">
      <c r="BB17100" s="122"/>
      <c r="BC17100" s="141"/>
    </row>
    <row r="17101">
      <c r="BB17101" s="122"/>
      <c r="BC17101" s="141"/>
    </row>
    <row r="17102">
      <c r="BB17102" s="122"/>
      <c r="BC17102" s="141"/>
    </row>
    <row r="17103">
      <c r="BB17103" s="122"/>
      <c r="BC17103" s="141"/>
    </row>
    <row r="17104">
      <c r="BB17104" s="122"/>
      <c r="BC17104" s="141"/>
    </row>
    <row r="17105">
      <c r="BB17105" s="122"/>
      <c r="BC17105" s="141"/>
    </row>
    <row r="17106">
      <c r="BB17106" s="122"/>
      <c r="BC17106" s="141"/>
    </row>
    <row r="17107">
      <c r="BB17107" s="122"/>
      <c r="BC17107" s="141"/>
    </row>
    <row r="17108">
      <c r="BB17108" s="122"/>
      <c r="BC17108" s="141"/>
    </row>
    <row r="17109">
      <c r="BB17109" s="122"/>
      <c r="BC17109" s="141"/>
    </row>
    <row r="17110">
      <c r="BB17110" s="122"/>
      <c r="BC17110" s="141"/>
    </row>
    <row r="17111">
      <c r="BB17111" s="122"/>
      <c r="BC17111" s="141"/>
    </row>
    <row r="17112">
      <c r="BB17112" s="122"/>
      <c r="BC17112" s="141"/>
    </row>
    <row r="17113">
      <c r="BB17113" s="122"/>
      <c r="BC17113" s="141"/>
    </row>
    <row r="17114">
      <c r="BB17114" s="122"/>
      <c r="BC17114" s="141"/>
    </row>
    <row r="17115">
      <c r="BB17115" s="122"/>
      <c r="BC17115" s="141"/>
    </row>
    <row r="17116">
      <c r="BB17116" s="122"/>
      <c r="BC17116" s="141"/>
    </row>
    <row r="17117">
      <c r="BB17117" s="122"/>
      <c r="BC17117" s="141"/>
    </row>
    <row r="17118">
      <c r="BB17118" s="122"/>
      <c r="BC17118" s="141"/>
    </row>
    <row r="17119">
      <c r="BB17119" s="122"/>
      <c r="BC17119" s="141"/>
    </row>
    <row r="17120">
      <c r="BB17120" s="122"/>
      <c r="BC17120" s="141"/>
    </row>
    <row r="17121">
      <c r="BB17121" s="122"/>
      <c r="BC17121" s="141"/>
    </row>
    <row r="17122">
      <c r="BB17122" s="122"/>
      <c r="BC17122" s="141"/>
    </row>
    <row r="17123">
      <c r="BB17123" s="122"/>
      <c r="BC17123" s="141"/>
    </row>
    <row r="17124">
      <c r="BB17124" s="122"/>
      <c r="BC17124" s="141"/>
    </row>
    <row r="17125">
      <c r="BB17125" s="122"/>
      <c r="BC17125" s="141"/>
    </row>
    <row r="17126">
      <c r="BB17126" s="122"/>
      <c r="BC17126" s="141"/>
    </row>
    <row r="17127">
      <c r="BB17127" s="122"/>
      <c r="BC17127" s="141"/>
    </row>
    <row r="17128">
      <c r="BB17128" s="122"/>
      <c r="BC17128" s="141"/>
    </row>
    <row r="17129">
      <c r="BB17129" s="122"/>
      <c r="BC17129" s="141"/>
    </row>
    <row r="17130">
      <c r="BB17130" s="122"/>
      <c r="BC17130" s="141"/>
    </row>
    <row r="17131">
      <c r="BB17131" s="122"/>
      <c r="BC17131" s="141"/>
    </row>
    <row r="17132">
      <c r="BB17132" s="122"/>
      <c r="BC17132" s="141"/>
    </row>
    <row r="17133">
      <c r="BB17133" s="122"/>
      <c r="BC17133" s="141"/>
    </row>
    <row r="17134">
      <c r="BB17134" s="122"/>
      <c r="BC17134" s="141"/>
    </row>
    <row r="17135">
      <c r="BB17135" s="122"/>
      <c r="BC17135" s="141"/>
    </row>
    <row r="17136">
      <c r="BB17136" s="122"/>
      <c r="BC17136" s="141"/>
    </row>
    <row r="17137">
      <c r="BB17137" s="122"/>
      <c r="BC17137" s="141"/>
    </row>
    <row r="17138">
      <c r="BB17138" s="122"/>
      <c r="BC17138" s="141"/>
    </row>
    <row r="17139">
      <c r="BB17139" s="122"/>
      <c r="BC17139" s="141"/>
    </row>
    <row r="17140">
      <c r="BB17140" s="122"/>
      <c r="BC17140" s="141"/>
    </row>
    <row r="17141">
      <c r="BB17141" s="122"/>
      <c r="BC17141" s="141"/>
    </row>
    <row r="17142">
      <c r="BB17142" s="122"/>
      <c r="BC17142" s="141"/>
    </row>
    <row r="17143">
      <c r="BB17143" s="122"/>
      <c r="BC17143" s="141"/>
    </row>
    <row r="17144">
      <c r="BB17144" s="122"/>
      <c r="BC17144" s="141"/>
    </row>
    <row r="17145">
      <c r="BB17145" s="122"/>
      <c r="BC17145" s="141"/>
    </row>
    <row r="17146">
      <c r="BB17146" s="122"/>
      <c r="BC17146" s="141"/>
    </row>
    <row r="17147">
      <c r="BB17147" s="122"/>
      <c r="BC17147" s="141"/>
    </row>
    <row r="17148">
      <c r="BB17148" s="122"/>
      <c r="BC17148" s="141"/>
    </row>
    <row r="17149">
      <c r="BB17149" s="122"/>
      <c r="BC17149" s="141"/>
    </row>
    <row r="17150">
      <c r="BB17150" s="122"/>
      <c r="BC17150" s="141"/>
    </row>
    <row r="17151">
      <c r="BB17151" s="122"/>
      <c r="BC17151" s="141"/>
    </row>
    <row r="17152">
      <c r="BB17152" s="122"/>
      <c r="BC17152" s="141"/>
    </row>
    <row r="17153">
      <c r="BB17153" s="122"/>
      <c r="BC17153" s="141"/>
    </row>
    <row r="17154">
      <c r="BB17154" s="122"/>
      <c r="BC17154" s="141"/>
    </row>
    <row r="17155">
      <c r="BB17155" s="122"/>
      <c r="BC17155" s="141"/>
    </row>
    <row r="17156">
      <c r="BB17156" s="122"/>
      <c r="BC17156" s="141"/>
    </row>
    <row r="17157">
      <c r="BB17157" s="122"/>
      <c r="BC17157" s="141"/>
    </row>
    <row r="17158">
      <c r="BB17158" s="122"/>
      <c r="BC17158" s="141"/>
    </row>
    <row r="17159">
      <c r="BB17159" s="122"/>
      <c r="BC17159" s="141"/>
    </row>
    <row r="17160">
      <c r="BB17160" s="122"/>
      <c r="BC17160" s="141"/>
    </row>
    <row r="17161">
      <c r="BB17161" s="122"/>
      <c r="BC17161" s="141"/>
    </row>
    <row r="17162">
      <c r="BB17162" s="122"/>
      <c r="BC17162" s="141"/>
    </row>
    <row r="17163">
      <c r="BB17163" s="122"/>
      <c r="BC17163" s="141"/>
    </row>
    <row r="17164">
      <c r="BB17164" s="122"/>
      <c r="BC17164" s="141"/>
    </row>
    <row r="17165">
      <c r="BB17165" s="122"/>
      <c r="BC17165" s="141"/>
    </row>
    <row r="17166">
      <c r="BB17166" s="122"/>
      <c r="BC17166" s="141"/>
    </row>
    <row r="17167">
      <c r="BB17167" s="122"/>
      <c r="BC17167" s="141"/>
    </row>
    <row r="17168">
      <c r="BB17168" s="122"/>
      <c r="BC17168" s="141"/>
    </row>
    <row r="17169">
      <c r="BB17169" s="122"/>
      <c r="BC17169" s="141"/>
    </row>
    <row r="17170">
      <c r="BB17170" s="122"/>
      <c r="BC17170" s="141"/>
    </row>
    <row r="17171">
      <c r="BB17171" s="122"/>
      <c r="BC17171" s="141"/>
    </row>
    <row r="17172">
      <c r="BB17172" s="122"/>
      <c r="BC17172" s="141"/>
    </row>
    <row r="17173">
      <c r="BB17173" s="122"/>
      <c r="BC17173" s="141"/>
    </row>
    <row r="17174">
      <c r="BB17174" s="122"/>
      <c r="BC17174" s="141"/>
    </row>
    <row r="17175">
      <c r="BB17175" s="122"/>
      <c r="BC17175" s="141"/>
    </row>
    <row r="17176">
      <c r="BB17176" s="122"/>
      <c r="BC17176" s="141"/>
    </row>
    <row r="17177">
      <c r="BB17177" s="122"/>
      <c r="BC17177" s="141"/>
    </row>
    <row r="17178">
      <c r="BB17178" s="122"/>
      <c r="BC17178" s="141"/>
    </row>
    <row r="17179">
      <c r="BB17179" s="122"/>
      <c r="BC17179" s="141"/>
    </row>
    <row r="17180">
      <c r="BB17180" s="122"/>
      <c r="BC17180" s="141"/>
    </row>
    <row r="17181">
      <c r="BB17181" s="122"/>
      <c r="BC17181" s="141"/>
    </row>
    <row r="17182">
      <c r="BB17182" s="122"/>
      <c r="BC17182" s="141"/>
    </row>
    <row r="17183">
      <c r="BB17183" s="122"/>
      <c r="BC17183" s="141"/>
    </row>
    <row r="17184">
      <c r="BB17184" s="122"/>
      <c r="BC17184" s="141"/>
    </row>
    <row r="17185">
      <c r="BB17185" s="122"/>
      <c r="BC17185" s="141"/>
    </row>
    <row r="17186">
      <c r="BB17186" s="122"/>
      <c r="BC17186" s="141"/>
    </row>
    <row r="17187">
      <c r="BB17187" s="122"/>
      <c r="BC17187" s="141"/>
    </row>
    <row r="17188">
      <c r="BB17188" s="122"/>
      <c r="BC17188" s="141"/>
    </row>
    <row r="17189">
      <c r="BB17189" s="122"/>
      <c r="BC17189" s="141"/>
    </row>
    <row r="17190">
      <c r="BB17190" s="122"/>
      <c r="BC17190" s="141"/>
    </row>
    <row r="17191">
      <c r="BB17191" s="122"/>
      <c r="BC17191" s="141"/>
    </row>
    <row r="17192">
      <c r="BB17192" s="122"/>
      <c r="BC17192" s="141"/>
    </row>
    <row r="17193">
      <c r="BB17193" s="122"/>
      <c r="BC17193" s="141"/>
    </row>
    <row r="17194">
      <c r="BB17194" s="122"/>
      <c r="BC17194" s="141"/>
    </row>
    <row r="17195">
      <c r="BB17195" s="122"/>
      <c r="BC17195" s="141"/>
    </row>
    <row r="17196">
      <c r="BB17196" s="122"/>
      <c r="BC17196" s="141"/>
    </row>
    <row r="17197">
      <c r="BB17197" s="122"/>
      <c r="BC17197" s="141"/>
    </row>
    <row r="17198">
      <c r="BB17198" s="122"/>
      <c r="BC17198" s="141"/>
    </row>
    <row r="17199">
      <c r="BB17199" s="122"/>
      <c r="BC17199" s="141"/>
    </row>
    <row r="17200">
      <c r="BB17200" s="122"/>
      <c r="BC17200" s="141"/>
    </row>
    <row r="17201">
      <c r="BB17201" s="122"/>
      <c r="BC17201" s="141"/>
    </row>
    <row r="17202">
      <c r="BB17202" s="122"/>
      <c r="BC17202" s="141"/>
    </row>
    <row r="17203">
      <c r="BB17203" s="122"/>
      <c r="BC17203" s="141"/>
    </row>
    <row r="17204">
      <c r="BB17204" s="122"/>
      <c r="BC17204" s="141"/>
    </row>
    <row r="17205">
      <c r="BB17205" s="122"/>
      <c r="BC17205" s="141"/>
    </row>
    <row r="17206">
      <c r="BB17206" s="122"/>
      <c r="BC17206" s="141"/>
    </row>
    <row r="17207">
      <c r="BB17207" s="122"/>
      <c r="BC17207" s="141"/>
    </row>
    <row r="17208">
      <c r="BB17208" s="122"/>
      <c r="BC17208" s="141"/>
    </row>
    <row r="17209">
      <c r="BB17209" s="122"/>
      <c r="BC17209" s="141"/>
    </row>
    <row r="17210">
      <c r="BB17210" s="122"/>
      <c r="BC17210" s="141"/>
    </row>
    <row r="17211">
      <c r="BB17211" s="122"/>
      <c r="BC17211" s="141"/>
    </row>
    <row r="17212">
      <c r="BB17212" s="122"/>
      <c r="BC17212" s="141"/>
    </row>
    <row r="17213">
      <c r="BB17213" s="122"/>
      <c r="BC17213" s="141"/>
    </row>
    <row r="17214">
      <c r="BB17214" s="122"/>
      <c r="BC17214" s="141"/>
    </row>
    <row r="17215">
      <c r="BB17215" s="122"/>
      <c r="BC17215" s="141"/>
    </row>
    <row r="17216">
      <c r="BB17216" s="122"/>
      <c r="BC17216" s="141"/>
    </row>
    <row r="17217">
      <c r="BB17217" s="122"/>
      <c r="BC17217" s="141"/>
    </row>
    <row r="17218">
      <c r="BB17218" s="122"/>
      <c r="BC17218" s="141"/>
    </row>
    <row r="17219">
      <c r="BB17219" s="122"/>
      <c r="BC17219" s="141"/>
    </row>
    <row r="17220">
      <c r="BB17220" s="122"/>
      <c r="BC17220" s="141"/>
    </row>
    <row r="17221">
      <c r="BB17221" s="122"/>
      <c r="BC17221" s="141"/>
    </row>
    <row r="17222">
      <c r="BB17222" s="122"/>
      <c r="BC17222" s="141"/>
    </row>
    <row r="17223">
      <c r="BB17223" s="122"/>
      <c r="BC17223" s="141"/>
    </row>
    <row r="17224">
      <c r="BB17224" s="122"/>
      <c r="BC17224" s="141"/>
    </row>
    <row r="17225">
      <c r="BB17225" s="122"/>
      <c r="BC17225" s="141"/>
    </row>
    <row r="17226">
      <c r="BB17226" s="122"/>
      <c r="BC17226" s="141"/>
    </row>
    <row r="17227">
      <c r="BB17227" s="122"/>
      <c r="BC17227" s="141"/>
    </row>
    <row r="17228">
      <c r="BB17228" s="122"/>
      <c r="BC17228" s="141"/>
    </row>
    <row r="17229">
      <c r="BB17229" s="122"/>
      <c r="BC17229" s="141"/>
    </row>
    <row r="17230">
      <c r="BB17230" s="122"/>
      <c r="BC17230" s="141"/>
    </row>
    <row r="17231">
      <c r="BB17231" s="122"/>
      <c r="BC17231" s="141"/>
    </row>
    <row r="17232">
      <c r="BB17232" s="122"/>
      <c r="BC17232" s="141"/>
    </row>
    <row r="17233">
      <c r="BB17233" s="122"/>
      <c r="BC17233" s="141"/>
    </row>
    <row r="17234">
      <c r="BB17234" s="122"/>
      <c r="BC17234" s="141"/>
    </row>
    <row r="17235">
      <c r="BB17235" s="122"/>
      <c r="BC17235" s="141"/>
    </row>
    <row r="17236">
      <c r="BB17236" s="122"/>
      <c r="BC17236" s="141"/>
    </row>
    <row r="17237">
      <c r="BB17237" s="122"/>
      <c r="BC17237" s="141"/>
    </row>
    <row r="17238">
      <c r="BB17238" s="122"/>
      <c r="BC17238" s="141"/>
    </row>
    <row r="17239">
      <c r="BB17239" s="122"/>
      <c r="BC17239" s="141"/>
    </row>
    <row r="17240">
      <c r="BB17240" s="122"/>
      <c r="BC17240" s="141"/>
    </row>
    <row r="17241">
      <c r="BB17241" s="122"/>
      <c r="BC17241" s="141"/>
    </row>
    <row r="17242">
      <c r="BB17242" s="122"/>
      <c r="BC17242" s="141"/>
    </row>
    <row r="17243">
      <c r="BB17243" s="122"/>
      <c r="BC17243" s="141"/>
    </row>
    <row r="17244">
      <c r="BB17244" s="122"/>
      <c r="BC17244" s="141"/>
    </row>
    <row r="17245">
      <c r="BB17245" s="122"/>
      <c r="BC17245" s="141"/>
    </row>
    <row r="17246">
      <c r="BB17246" s="122"/>
      <c r="BC17246" s="141"/>
    </row>
    <row r="17247">
      <c r="BB17247" s="122"/>
      <c r="BC17247" s="141"/>
    </row>
    <row r="17248">
      <c r="BB17248" s="122"/>
      <c r="BC17248" s="141"/>
    </row>
    <row r="17249">
      <c r="BB17249" s="122"/>
      <c r="BC17249" s="141"/>
    </row>
    <row r="17250">
      <c r="BB17250" s="122"/>
      <c r="BC17250" s="141"/>
    </row>
    <row r="17251">
      <c r="BB17251" s="122"/>
      <c r="BC17251" s="141"/>
    </row>
    <row r="17252">
      <c r="BB17252" s="122"/>
      <c r="BC17252" s="141"/>
    </row>
    <row r="17253">
      <c r="BB17253" s="122"/>
      <c r="BC17253" s="141"/>
    </row>
    <row r="17254">
      <c r="BB17254" s="122"/>
      <c r="BC17254" s="141"/>
    </row>
    <row r="17255">
      <c r="BB17255" s="122"/>
      <c r="BC17255" s="141"/>
    </row>
    <row r="17256">
      <c r="BB17256" s="122"/>
      <c r="BC17256" s="141"/>
    </row>
    <row r="17257">
      <c r="BB17257" s="122"/>
      <c r="BC17257" s="141"/>
    </row>
    <row r="17258">
      <c r="BB17258" s="122"/>
      <c r="BC17258" s="141"/>
    </row>
    <row r="17259">
      <c r="BB17259" s="122"/>
      <c r="BC17259" s="141"/>
    </row>
    <row r="17260">
      <c r="BB17260" s="122"/>
      <c r="BC17260" s="141"/>
    </row>
    <row r="17261">
      <c r="BB17261" s="122"/>
      <c r="BC17261" s="141"/>
    </row>
    <row r="17262">
      <c r="BB17262" s="122"/>
      <c r="BC17262" s="141"/>
    </row>
    <row r="17263">
      <c r="BB17263" s="122"/>
      <c r="BC17263" s="141"/>
    </row>
    <row r="17264">
      <c r="BB17264" s="122"/>
      <c r="BC17264" s="141"/>
    </row>
    <row r="17265">
      <c r="BB17265" s="122"/>
      <c r="BC17265" s="141"/>
    </row>
    <row r="17266">
      <c r="BB17266" s="122"/>
      <c r="BC17266" s="141"/>
    </row>
    <row r="17267">
      <c r="BB17267" s="122"/>
      <c r="BC17267" s="141"/>
    </row>
    <row r="17268">
      <c r="BB17268" s="122"/>
      <c r="BC17268" s="141"/>
    </row>
    <row r="17269">
      <c r="BB17269" s="122"/>
      <c r="BC17269" s="141"/>
    </row>
    <row r="17270">
      <c r="BB17270" s="122"/>
      <c r="BC17270" s="141"/>
    </row>
    <row r="17271">
      <c r="BB17271" s="122"/>
      <c r="BC17271" s="141"/>
    </row>
    <row r="17272">
      <c r="BB17272" s="122"/>
      <c r="BC17272" s="141"/>
    </row>
    <row r="17273">
      <c r="BB17273" s="122"/>
      <c r="BC17273" s="141"/>
    </row>
    <row r="17274">
      <c r="BB17274" s="122"/>
      <c r="BC17274" s="141"/>
    </row>
    <row r="17275">
      <c r="BB17275" s="122"/>
      <c r="BC17275" s="141"/>
    </row>
    <row r="17276">
      <c r="BB17276" s="122"/>
      <c r="BC17276" s="141"/>
    </row>
    <row r="17277">
      <c r="BB17277" s="122"/>
      <c r="BC17277" s="141"/>
    </row>
    <row r="17278">
      <c r="BB17278" s="122"/>
      <c r="BC17278" s="141"/>
    </row>
    <row r="17279">
      <c r="BB17279" s="122"/>
      <c r="BC17279" s="141"/>
    </row>
    <row r="17280">
      <c r="BB17280" s="122"/>
      <c r="BC17280" s="141"/>
    </row>
    <row r="17281">
      <c r="BB17281" s="122"/>
      <c r="BC17281" s="141"/>
    </row>
    <row r="17282">
      <c r="BB17282" s="122"/>
      <c r="BC17282" s="141"/>
    </row>
    <row r="17283">
      <c r="BB17283" s="122"/>
      <c r="BC17283" s="141"/>
    </row>
    <row r="17284">
      <c r="BB17284" s="122"/>
      <c r="BC17284" s="141"/>
    </row>
    <row r="17285">
      <c r="BB17285" s="122"/>
      <c r="BC17285" s="141"/>
    </row>
    <row r="17286">
      <c r="BB17286" s="122"/>
      <c r="BC17286" s="141"/>
    </row>
    <row r="17287">
      <c r="BB17287" s="122"/>
      <c r="BC17287" s="141"/>
    </row>
    <row r="17288">
      <c r="BB17288" s="122"/>
      <c r="BC17288" s="141"/>
    </row>
    <row r="17289">
      <c r="BB17289" s="122"/>
      <c r="BC17289" s="141"/>
    </row>
    <row r="17290">
      <c r="BB17290" s="122"/>
      <c r="BC17290" s="141"/>
    </row>
    <row r="17291">
      <c r="BB17291" s="122"/>
      <c r="BC17291" s="141"/>
    </row>
    <row r="17292">
      <c r="BB17292" s="122"/>
      <c r="BC17292" s="141"/>
    </row>
    <row r="17293">
      <c r="BB17293" s="122"/>
      <c r="BC17293" s="141"/>
    </row>
    <row r="17294">
      <c r="BB17294" s="122"/>
      <c r="BC17294" s="141"/>
    </row>
    <row r="17295">
      <c r="BB17295" s="122"/>
      <c r="BC17295" s="141"/>
    </row>
    <row r="17296">
      <c r="BB17296" s="122"/>
      <c r="BC17296" s="141"/>
    </row>
    <row r="17297">
      <c r="BB17297" s="122"/>
      <c r="BC17297" s="141"/>
    </row>
    <row r="17298">
      <c r="BB17298" s="122"/>
      <c r="BC17298" s="141"/>
    </row>
    <row r="17299">
      <c r="BB17299" s="122"/>
      <c r="BC17299" s="141"/>
    </row>
    <row r="17300">
      <c r="BB17300" s="122"/>
      <c r="BC17300" s="141"/>
    </row>
    <row r="17301">
      <c r="BB17301" s="122"/>
      <c r="BC17301" s="141"/>
    </row>
    <row r="17302">
      <c r="BB17302" s="122"/>
      <c r="BC17302" s="141"/>
    </row>
    <row r="17303">
      <c r="BB17303" s="122"/>
      <c r="BC17303" s="141"/>
    </row>
    <row r="17304">
      <c r="BB17304" s="122"/>
      <c r="BC17304" s="141"/>
    </row>
    <row r="17305">
      <c r="BB17305" s="122"/>
      <c r="BC17305" s="141"/>
    </row>
    <row r="17306">
      <c r="BB17306" s="122"/>
      <c r="BC17306" s="141"/>
    </row>
    <row r="17307">
      <c r="BB17307" s="122"/>
      <c r="BC17307" s="141"/>
    </row>
    <row r="17308">
      <c r="BB17308" s="122"/>
      <c r="BC17308" s="141"/>
    </row>
    <row r="17309">
      <c r="BB17309" s="122"/>
      <c r="BC17309" s="141"/>
    </row>
    <row r="17310">
      <c r="BB17310" s="122"/>
      <c r="BC17310" s="141"/>
    </row>
    <row r="17311">
      <c r="BB17311" s="122"/>
      <c r="BC17311" s="141"/>
    </row>
    <row r="17312">
      <c r="BB17312" s="122"/>
      <c r="BC17312" s="141"/>
    </row>
    <row r="17313">
      <c r="BB17313" s="122"/>
      <c r="BC17313" s="141"/>
    </row>
    <row r="17314">
      <c r="BB17314" s="122"/>
      <c r="BC17314" s="141"/>
    </row>
    <row r="17315">
      <c r="BB17315" s="122"/>
      <c r="BC17315" s="141"/>
    </row>
    <row r="17316">
      <c r="BB17316" s="122"/>
      <c r="BC17316" s="141"/>
    </row>
    <row r="17317">
      <c r="BB17317" s="122"/>
      <c r="BC17317" s="141"/>
    </row>
    <row r="17318">
      <c r="BB17318" s="122"/>
      <c r="BC17318" s="141"/>
    </row>
    <row r="17319">
      <c r="BB17319" s="122"/>
      <c r="BC17319" s="141"/>
    </row>
    <row r="17320">
      <c r="BB17320" s="122"/>
      <c r="BC17320" s="141"/>
    </row>
    <row r="17321">
      <c r="BB17321" s="122"/>
      <c r="BC17321" s="141"/>
    </row>
    <row r="17322">
      <c r="BB17322" s="122"/>
      <c r="BC17322" s="141"/>
    </row>
    <row r="17323">
      <c r="BB17323" s="122"/>
      <c r="BC17323" s="141"/>
    </row>
    <row r="17324">
      <c r="BB17324" s="122"/>
      <c r="BC17324" s="141"/>
    </row>
    <row r="17325">
      <c r="BB17325" s="122"/>
      <c r="BC17325" s="141"/>
    </row>
    <row r="17326">
      <c r="BB17326" s="122"/>
      <c r="BC17326" s="141"/>
    </row>
    <row r="17327">
      <c r="BB17327" s="122"/>
      <c r="BC17327" s="141"/>
    </row>
    <row r="17328">
      <c r="BB17328" s="122"/>
      <c r="BC17328" s="141"/>
    </row>
    <row r="17329">
      <c r="BB17329" s="122"/>
      <c r="BC17329" s="141"/>
    </row>
    <row r="17330">
      <c r="BB17330" s="122"/>
      <c r="BC17330" s="141"/>
    </row>
    <row r="17331">
      <c r="BB17331" s="122"/>
      <c r="BC17331" s="141"/>
    </row>
    <row r="17332">
      <c r="BB17332" s="122"/>
      <c r="BC17332" s="141"/>
    </row>
    <row r="17333">
      <c r="BB17333" s="122"/>
      <c r="BC17333" s="141"/>
    </row>
    <row r="17334">
      <c r="BB17334" s="122"/>
      <c r="BC17334" s="141"/>
    </row>
    <row r="17335">
      <c r="BB17335" s="122"/>
      <c r="BC17335" s="141"/>
    </row>
    <row r="17336">
      <c r="BB17336" s="122"/>
      <c r="BC17336" s="141"/>
    </row>
    <row r="17337">
      <c r="BB17337" s="122"/>
      <c r="BC17337" s="141"/>
    </row>
    <row r="17338">
      <c r="BB17338" s="122"/>
      <c r="BC17338" s="141"/>
    </row>
    <row r="17339">
      <c r="BB17339" s="122"/>
      <c r="BC17339" s="141"/>
    </row>
    <row r="17340">
      <c r="BB17340" s="122"/>
      <c r="BC17340" s="141"/>
    </row>
    <row r="17341">
      <c r="BB17341" s="122"/>
      <c r="BC17341" s="141"/>
    </row>
    <row r="17342">
      <c r="BB17342" s="122"/>
      <c r="BC17342" s="141"/>
    </row>
    <row r="17343">
      <c r="BB17343" s="122"/>
      <c r="BC17343" s="141"/>
    </row>
    <row r="17344">
      <c r="BB17344" s="122"/>
      <c r="BC17344" s="141"/>
    </row>
    <row r="17345">
      <c r="BB17345" s="122"/>
      <c r="BC17345" s="141"/>
    </row>
    <row r="17346">
      <c r="BB17346" s="122"/>
      <c r="BC17346" s="141"/>
    </row>
    <row r="17347">
      <c r="BB17347" s="122"/>
      <c r="BC17347" s="141"/>
    </row>
    <row r="17348">
      <c r="BB17348" s="122"/>
      <c r="BC17348" s="141"/>
    </row>
    <row r="17349">
      <c r="BB17349" s="122"/>
      <c r="BC17349" s="141"/>
    </row>
    <row r="17350">
      <c r="BB17350" s="122"/>
      <c r="BC17350" s="141"/>
    </row>
    <row r="17351">
      <c r="BB17351" s="122"/>
      <c r="BC17351" s="141"/>
    </row>
    <row r="17352">
      <c r="BB17352" s="122"/>
      <c r="BC17352" s="141"/>
    </row>
    <row r="17353">
      <c r="BB17353" s="122"/>
      <c r="BC17353" s="141"/>
    </row>
    <row r="17354">
      <c r="BB17354" s="122"/>
      <c r="BC17354" s="141"/>
    </row>
    <row r="17355">
      <c r="BB17355" s="122"/>
      <c r="BC17355" s="141"/>
    </row>
    <row r="17356">
      <c r="BB17356" s="122"/>
      <c r="BC17356" s="141"/>
    </row>
    <row r="17357">
      <c r="BB17357" s="122"/>
      <c r="BC17357" s="141"/>
    </row>
    <row r="17358">
      <c r="BB17358" s="122"/>
      <c r="BC17358" s="141"/>
    </row>
    <row r="17359">
      <c r="BB17359" s="122"/>
      <c r="BC17359" s="141"/>
    </row>
    <row r="17360">
      <c r="BB17360" s="122"/>
      <c r="BC17360" s="141"/>
    </row>
    <row r="17361">
      <c r="BB17361" s="122"/>
      <c r="BC17361" s="141"/>
    </row>
    <row r="17362">
      <c r="BB17362" s="122"/>
      <c r="BC17362" s="141"/>
    </row>
    <row r="17363">
      <c r="BB17363" s="122"/>
      <c r="BC17363" s="141"/>
    </row>
    <row r="17364">
      <c r="BB17364" s="122"/>
      <c r="BC17364" s="141"/>
    </row>
    <row r="17365">
      <c r="BB17365" s="122"/>
      <c r="BC17365" s="141"/>
    </row>
    <row r="17366">
      <c r="BB17366" s="122"/>
      <c r="BC17366" s="141"/>
    </row>
    <row r="17367">
      <c r="BB17367" s="122"/>
      <c r="BC17367" s="141"/>
    </row>
    <row r="17368">
      <c r="BB17368" s="122"/>
      <c r="BC17368" s="141"/>
    </row>
    <row r="17369">
      <c r="BB17369" s="122"/>
      <c r="BC17369" s="141"/>
    </row>
    <row r="17370">
      <c r="BB17370" s="122"/>
      <c r="BC17370" s="141"/>
    </row>
    <row r="17371">
      <c r="BB17371" s="122"/>
      <c r="BC17371" s="141"/>
    </row>
    <row r="17372">
      <c r="BB17372" s="122"/>
      <c r="BC17372" s="141"/>
    </row>
    <row r="17373">
      <c r="BB17373" s="122"/>
      <c r="BC17373" s="141"/>
    </row>
    <row r="17374">
      <c r="BB17374" s="122"/>
      <c r="BC17374" s="141"/>
    </row>
    <row r="17375">
      <c r="BB17375" s="122"/>
      <c r="BC17375" s="141"/>
    </row>
    <row r="17376">
      <c r="BB17376" s="122"/>
      <c r="BC17376" s="141"/>
    </row>
    <row r="17377">
      <c r="BB17377" s="122"/>
      <c r="BC17377" s="141"/>
    </row>
    <row r="17378">
      <c r="BB17378" s="122"/>
      <c r="BC17378" s="141"/>
    </row>
    <row r="17379">
      <c r="BB17379" s="122"/>
      <c r="BC17379" s="141"/>
    </row>
    <row r="17380">
      <c r="BB17380" s="122"/>
      <c r="BC17380" s="141"/>
    </row>
    <row r="17381">
      <c r="BB17381" s="122"/>
      <c r="BC17381" s="141"/>
    </row>
    <row r="17382">
      <c r="BB17382" s="122"/>
      <c r="BC17382" s="141"/>
    </row>
    <row r="17383">
      <c r="BB17383" s="122"/>
      <c r="BC17383" s="141"/>
    </row>
    <row r="17384">
      <c r="BB17384" s="122"/>
      <c r="BC17384" s="141"/>
    </row>
    <row r="17385">
      <c r="BB17385" s="122"/>
      <c r="BC17385" s="141"/>
    </row>
    <row r="17386">
      <c r="BB17386" s="122"/>
      <c r="BC17386" s="141"/>
    </row>
    <row r="17387">
      <c r="BB17387" s="122"/>
      <c r="BC17387" s="141"/>
    </row>
    <row r="17388">
      <c r="BB17388" s="122"/>
      <c r="BC17388" s="141"/>
    </row>
    <row r="17389">
      <c r="BB17389" s="122"/>
      <c r="BC17389" s="141"/>
    </row>
    <row r="17390">
      <c r="BB17390" s="122"/>
      <c r="BC17390" s="141"/>
    </row>
    <row r="17391">
      <c r="BB17391" s="122"/>
      <c r="BC17391" s="141"/>
    </row>
    <row r="17392">
      <c r="BB17392" s="122"/>
      <c r="BC17392" s="141"/>
    </row>
    <row r="17393">
      <c r="BB17393" s="122"/>
      <c r="BC17393" s="141"/>
    </row>
    <row r="17394">
      <c r="BB17394" s="122"/>
      <c r="BC17394" s="141"/>
    </row>
    <row r="17395">
      <c r="BB17395" s="122"/>
      <c r="BC17395" s="141"/>
    </row>
    <row r="17396">
      <c r="BB17396" s="122"/>
      <c r="BC17396" s="141"/>
    </row>
    <row r="17397">
      <c r="BB17397" s="122"/>
      <c r="BC17397" s="141"/>
    </row>
    <row r="17398">
      <c r="BB17398" s="122"/>
      <c r="BC17398" s="141"/>
    </row>
    <row r="17399">
      <c r="BB17399" s="122"/>
      <c r="BC17399" s="141"/>
    </row>
    <row r="17400">
      <c r="BB17400" s="122"/>
      <c r="BC17400" s="141"/>
    </row>
    <row r="17401">
      <c r="BB17401" s="122"/>
      <c r="BC17401" s="141"/>
    </row>
    <row r="17402">
      <c r="BB17402" s="122"/>
      <c r="BC17402" s="141"/>
    </row>
    <row r="17403">
      <c r="BB17403" s="122"/>
      <c r="BC17403" s="141"/>
    </row>
    <row r="17404">
      <c r="BB17404" s="122"/>
      <c r="BC17404" s="141"/>
    </row>
    <row r="17405">
      <c r="BB17405" s="122"/>
      <c r="BC17405" s="141"/>
    </row>
    <row r="17406">
      <c r="BB17406" s="122"/>
      <c r="BC17406" s="141"/>
    </row>
    <row r="17407">
      <c r="BB17407" s="122"/>
      <c r="BC17407" s="141"/>
    </row>
    <row r="17408">
      <c r="BB17408" s="122"/>
      <c r="BC17408" s="141"/>
    </row>
    <row r="17409">
      <c r="BB17409" s="122"/>
      <c r="BC17409" s="141"/>
    </row>
    <row r="17410">
      <c r="BB17410" s="122"/>
      <c r="BC17410" s="141"/>
    </row>
    <row r="17411">
      <c r="BB17411" s="122"/>
      <c r="BC17411" s="141"/>
    </row>
    <row r="17412">
      <c r="BB17412" s="122"/>
      <c r="BC17412" s="141"/>
    </row>
    <row r="17413">
      <c r="BB17413" s="122"/>
      <c r="BC17413" s="141"/>
    </row>
    <row r="17414">
      <c r="BB17414" s="122"/>
      <c r="BC17414" s="141"/>
    </row>
    <row r="17415">
      <c r="BB17415" s="122"/>
      <c r="BC17415" s="141"/>
    </row>
    <row r="17416">
      <c r="BB17416" s="122"/>
      <c r="BC17416" s="141"/>
    </row>
    <row r="17417">
      <c r="BB17417" s="122"/>
      <c r="BC17417" s="141"/>
    </row>
    <row r="17418">
      <c r="BB17418" s="122"/>
      <c r="BC17418" s="141"/>
    </row>
    <row r="17419">
      <c r="BB17419" s="122"/>
      <c r="BC17419" s="141"/>
    </row>
    <row r="17420">
      <c r="BB17420" s="122"/>
      <c r="BC17420" s="141"/>
    </row>
    <row r="17421">
      <c r="BB17421" s="122"/>
      <c r="BC17421" s="141"/>
    </row>
    <row r="17422">
      <c r="BB17422" s="122"/>
      <c r="BC17422" s="141"/>
    </row>
    <row r="17423">
      <c r="BB17423" s="122"/>
      <c r="BC17423" s="141"/>
    </row>
    <row r="17424">
      <c r="BB17424" s="122"/>
      <c r="BC17424" s="141"/>
    </row>
    <row r="17425">
      <c r="BB17425" s="122"/>
      <c r="BC17425" s="141"/>
    </row>
    <row r="17426">
      <c r="BB17426" s="122"/>
      <c r="BC17426" s="141"/>
    </row>
    <row r="17427">
      <c r="BB17427" s="122"/>
      <c r="BC17427" s="141"/>
    </row>
    <row r="17428">
      <c r="BB17428" s="122"/>
      <c r="BC17428" s="141"/>
    </row>
    <row r="17429">
      <c r="BB17429" s="122"/>
      <c r="BC17429" s="141"/>
    </row>
    <row r="17430">
      <c r="BB17430" s="122"/>
      <c r="BC17430" s="141"/>
    </row>
    <row r="17431">
      <c r="BB17431" s="122"/>
      <c r="BC17431" s="141"/>
    </row>
    <row r="17432">
      <c r="BB17432" s="122"/>
      <c r="BC17432" s="141"/>
    </row>
    <row r="17433">
      <c r="BB17433" s="122"/>
      <c r="BC17433" s="141"/>
    </row>
    <row r="17434">
      <c r="BB17434" s="122"/>
      <c r="BC17434" s="141"/>
    </row>
    <row r="17435">
      <c r="BB17435" s="122"/>
      <c r="BC17435" s="141"/>
    </row>
    <row r="17436">
      <c r="BB17436" s="122"/>
      <c r="BC17436" s="141"/>
    </row>
    <row r="17437">
      <c r="BB17437" s="122"/>
      <c r="BC17437" s="141"/>
    </row>
    <row r="17438">
      <c r="BB17438" s="122"/>
      <c r="BC17438" s="141"/>
    </row>
    <row r="17439">
      <c r="BB17439" s="122"/>
      <c r="BC17439" s="141"/>
    </row>
    <row r="17440">
      <c r="BB17440" s="122"/>
      <c r="BC17440" s="141"/>
    </row>
    <row r="17441">
      <c r="BB17441" s="122"/>
      <c r="BC17441" s="141"/>
    </row>
    <row r="17442">
      <c r="BB17442" s="122"/>
      <c r="BC17442" s="141"/>
    </row>
    <row r="17443">
      <c r="BB17443" s="122"/>
      <c r="BC17443" s="141"/>
    </row>
    <row r="17444">
      <c r="BB17444" s="122"/>
      <c r="BC17444" s="141"/>
    </row>
    <row r="17445">
      <c r="BB17445" s="122"/>
      <c r="BC17445" s="141"/>
    </row>
    <row r="17446">
      <c r="BB17446" s="122"/>
      <c r="BC17446" s="141"/>
    </row>
    <row r="17447">
      <c r="BB17447" s="122"/>
      <c r="BC17447" s="141"/>
    </row>
    <row r="17448">
      <c r="BB17448" s="122"/>
      <c r="BC17448" s="141"/>
    </row>
    <row r="17449">
      <c r="BB17449" s="122"/>
      <c r="BC17449" s="141"/>
    </row>
    <row r="17450">
      <c r="BB17450" s="122"/>
      <c r="BC17450" s="141"/>
    </row>
    <row r="17451">
      <c r="BB17451" s="122"/>
      <c r="BC17451" s="141"/>
    </row>
    <row r="17452">
      <c r="BB17452" s="122"/>
      <c r="BC17452" s="141"/>
    </row>
    <row r="17453">
      <c r="BB17453" s="122"/>
      <c r="BC17453" s="141"/>
    </row>
    <row r="17454">
      <c r="BB17454" s="122"/>
      <c r="BC17454" s="141"/>
    </row>
    <row r="17455">
      <c r="BB17455" s="122"/>
      <c r="BC17455" s="141"/>
    </row>
    <row r="17456">
      <c r="BB17456" s="122"/>
      <c r="BC17456" s="141"/>
    </row>
    <row r="17457">
      <c r="BB17457" s="122"/>
      <c r="BC17457" s="141"/>
    </row>
    <row r="17458">
      <c r="BB17458" s="122"/>
      <c r="BC17458" s="141"/>
    </row>
    <row r="17459">
      <c r="BB17459" s="122"/>
      <c r="BC17459" s="141"/>
    </row>
    <row r="17460">
      <c r="BB17460" s="122"/>
      <c r="BC17460" s="141"/>
    </row>
    <row r="17461">
      <c r="BB17461" s="122"/>
      <c r="BC17461" s="141"/>
    </row>
    <row r="17462">
      <c r="BB17462" s="122"/>
      <c r="BC17462" s="141"/>
    </row>
    <row r="17463">
      <c r="BB17463" s="122"/>
      <c r="BC17463" s="141"/>
    </row>
    <row r="17464">
      <c r="BB17464" s="122"/>
      <c r="BC17464" s="141"/>
    </row>
    <row r="17465">
      <c r="BB17465" s="122"/>
      <c r="BC17465" s="141"/>
    </row>
    <row r="17466">
      <c r="BB17466" s="122"/>
      <c r="BC17466" s="141"/>
    </row>
    <row r="17467">
      <c r="BB17467" s="122"/>
      <c r="BC17467" s="141"/>
    </row>
    <row r="17468">
      <c r="BB17468" s="122"/>
      <c r="BC17468" s="141"/>
    </row>
    <row r="17469">
      <c r="BB17469" s="122"/>
      <c r="BC17469" s="141"/>
    </row>
    <row r="17470">
      <c r="BB17470" s="122"/>
      <c r="BC17470" s="141"/>
    </row>
    <row r="17471">
      <c r="BB17471" s="122"/>
      <c r="BC17471" s="141"/>
    </row>
    <row r="17472">
      <c r="BB17472" s="122"/>
      <c r="BC17472" s="141"/>
    </row>
    <row r="17473">
      <c r="BB17473" s="122"/>
      <c r="BC17473" s="141"/>
    </row>
    <row r="17474">
      <c r="BB17474" s="122"/>
      <c r="BC17474" s="141"/>
    </row>
    <row r="17475">
      <c r="BB17475" s="122"/>
      <c r="BC17475" s="141"/>
    </row>
    <row r="17476">
      <c r="BB17476" s="122"/>
      <c r="BC17476" s="141"/>
    </row>
    <row r="17477">
      <c r="BB17477" s="122"/>
      <c r="BC17477" s="141"/>
    </row>
    <row r="17478">
      <c r="BB17478" s="122"/>
      <c r="BC17478" s="141"/>
    </row>
    <row r="17479">
      <c r="BB17479" s="122"/>
      <c r="BC17479" s="141"/>
    </row>
    <row r="17480">
      <c r="BB17480" s="122"/>
      <c r="BC17480" s="141"/>
    </row>
    <row r="17481">
      <c r="BB17481" s="122"/>
      <c r="BC17481" s="141"/>
    </row>
    <row r="17482">
      <c r="BB17482" s="122"/>
      <c r="BC17482" s="141"/>
    </row>
    <row r="17483">
      <c r="BB17483" s="122"/>
      <c r="BC17483" s="141"/>
    </row>
    <row r="17484">
      <c r="BB17484" s="122"/>
      <c r="BC17484" s="141"/>
    </row>
    <row r="17485">
      <c r="BB17485" s="122"/>
      <c r="BC17485" s="141"/>
    </row>
    <row r="17486">
      <c r="BB17486" s="122"/>
      <c r="BC17486" s="141"/>
    </row>
    <row r="17487">
      <c r="BB17487" s="122"/>
      <c r="BC17487" s="141"/>
    </row>
    <row r="17488">
      <c r="BB17488" s="122"/>
      <c r="BC17488" s="141"/>
    </row>
    <row r="17489">
      <c r="BB17489" s="122"/>
      <c r="BC17489" s="141"/>
    </row>
    <row r="17490">
      <c r="BB17490" s="122"/>
      <c r="BC17490" s="141"/>
    </row>
    <row r="17491">
      <c r="BB17491" s="122"/>
      <c r="BC17491" s="141"/>
    </row>
    <row r="17492">
      <c r="BB17492" s="122"/>
      <c r="BC17492" s="141"/>
    </row>
    <row r="17493">
      <c r="BB17493" s="122"/>
      <c r="BC17493" s="141"/>
    </row>
    <row r="17494">
      <c r="BB17494" s="122"/>
      <c r="BC17494" s="141"/>
    </row>
    <row r="17495">
      <c r="BB17495" s="122"/>
      <c r="BC17495" s="141"/>
    </row>
    <row r="17496">
      <c r="BB17496" s="122"/>
      <c r="BC17496" s="141"/>
    </row>
    <row r="17497">
      <c r="BB17497" s="122"/>
      <c r="BC17497" s="141"/>
    </row>
    <row r="17498">
      <c r="BB17498" s="122"/>
      <c r="BC17498" s="141"/>
    </row>
    <row r="17499">
      <c r="BB17499" s="122"/>
      <c r="BC17499" s="141"/>
    </row>
    <row r="17500">
      <c r="BB17500" s="122"/>
      <c r="BC17500" s="141"/>
    </row>
    <row r="17501">
      <c r="BB17501" s="122"/>
      <c r="BC17501" s="141"/>
    </row>
    <row r="17502">
      <c r="BB17502" s="122"/>
      <c r="BC17502" s="141"/>
    </row>
    <row r="17503">
      <c r="BB17503" s="122"/>
      <c r="BC17503" s="141"/>
    </row>
    <row r="17504">
      <c r="BB17504" s="122"/>
      <c r="BC17504" s="141"/>
    </row>
    <row r="17505">
      <c r="BB17505" s="122"/>
      <c r="BC17505" s="141"/>
    </row>
    <row r="17506">
      <c r="BB17506" s="122"/>
      <c r="BC17506" s="141"/>
    </row>
    <row r="17507">
      <c r="BB17507" s="122"/>
      <c r="BC17507" s="141"/>
    </row>
    <row r="17508">
      <c r="BB17508" s="122"/>
      <c r="BC17508" s="141"/>
    </row>
    <row r="17509">
      <c r="BB17509" s="122"/>
      <c r="BC17509" s="141"/>
    </row>
    <row r="17510">
      <c r="BB17510" s="122"/>
      <c r="BC17510" s="141"/>
    </row>
    <row r="17511">
      <c r="BB17511" s="122"/>
      <c r="BC17511" s="141"/>
    </row>
    <row r="17512">
      <c r="BB17512" s="122"/>
      <c r="BC17512" s="141"/>
    </row>
    <row r="17513">
      <c r="BB17513" s="122"/>
      <c r="BC17513" s="141"/>
    </row>
    <row r="17514">
      <c r="BB17514" s="122"/>
      <c r="BC17514" s="141"/>
    </row>
    <row r="17515">
      <c r="BB17515" s="122"/>
      <c r="BC17515" s="141"/>
    </row>
    <row r="17516">
      <c r="BB17516" s="122"/>
      <c r="BC17516" s="141"/>
    </row>
    <row r="17517">
      <c r="BB17517" s="122"/>
      <c r="BC17517" s="141"/>
    </row>
    <row r="17518">
      <c r="BB17518" s="122"/>
      <c r="BC17518" s="141"/>
    </row>
    <row r="17519">
      <c r="BB17519" s="122"/>
      <c r="BC17519" s="141"/>
    </row>
    <row r="17520">
      <c r="BB17520" s="122"/>
      <c r="BC17520" s="141"/>
    </row>
    <row r="17521">
      <c r="BB17521" s="122"/>
      <c r="BC17521" s="141"/>
    </row>
    <row r="17522">
      <c r="BB17522" s="122"/>
      <c r="BC17522" s="141"/>
    </row>
    <row r="17523">
      <c r="BB17523" s="122"/>
      <c r="BC17523" s="141"/>
    </row>
    <row r="17524">
      <c r="BB17524" s="122"/>
      <c r="BC17524" s="141"/>
    </row>
    <row r="17525">
      <c r="BB17525" s="122"/>
      <c r="BC17525" s="141"/>
    </row>
    <row r="17526">
      <c r="BB17526" s="122"/>
      <c r="BC17526" s="141"/>
    </row>
    <row r="17527">
      <c r="BB17527" s="122"/>
      <c r="BC17527" s="141"/>
    </row>
    <row r="17528">
      <c r="BB17528" s="122"/>
      <c r="BC17528" s="141"/>
    </row>
    <row r="17529">
      <c r="BB17529" s="122"/>
      <c r="BC17529" s="141"/>
    </row>
    <row r="17530">
      <c r="BB17530" s="122"/>
      <c r="BC17530" s="141"/>
    </row>
    <row r="17531">
      <c r="BB17531" s="122"/>
      <c r="BC17531" s="141"/>
    </row>
    <row r="17532">
      <c r="BB17532" s="122"/>
      <c r="BC17532" s="141"/>
    </row>
    <row r="17533">
      <c r="BB17533" s="122"/>
      <c r="BC17533" s="141"/>
    </row>
    <row r="17534">
      <c r="BB17534" s="122"/>
      <c r="BC17534" s="141"/>
    </row>
    <row r="17535">
      <c r="BB17535" s="122"/>
      <c r="BC17535" s="141"/>
    </row>
    <row r="17536">
      <c r="BB17536" s="122"/>
      <c r="BC17536" s="141"/>
    </row>
    <row r="17537">
      <c r="BB17537" s="122"/>
      <c r="BC17537" s="141"/>
    </row>
    <row r="17538">
      <c r="BB17538" s="122"/>
      <c r="BC17538" s="141"/>
    </row>
    <row r="17539">
      <c r="BB17539" s="122"/>
      <c r="BC17539" s="141"/>
    </row>
    <row r="17540">
      <c r="BB17540" s="122"/>
      <c r="BC17540" s="141"/>
    </row>
    <row r="17541">
      <c r="BB17541" s="122"/>
      <c r="BC17541" s="141"/>
    </row>
    <row r="17542">
      <c r="BB17542" s="122"/>
      <c r="BC17542" s="141"/>
    </row>
    <row r="17543">
      <c r="BB17543" s="122"/>
      <c r="BC17543" s="141"/>
    </row>
    <row r="17544">
      <c r="BB17544" s="122"/>
      <c r="BC17544" s="141"/>
    </row>
    <row r="17545">
      <c r="BB17545" s="122"/>
      <c r="BC17545" s="141"/>
    </row>
    <row r="17546">
      <c r="BB17546" s="122"/>
      <c r="BC17546" s="141"/>
    </row>
    <row r="17547">
      <c r="BB17547" s="122"/>
      <c r="BC17547" s="141"/>
    </row>
    <row r="17548">
      <c r="BB17548" s="122"/>
      <c r="BC17548" s="141"/>
    </row>
    <row r="17549">
      <c r="BB17549" s="122"/>
      <c r="BC17549" s="141"/>
    </row>
    <row r="17550">
      <c r="BB17550" s="122"/>
      <c r="BC17550" s="141"/>
    </row>
    <row r="17551">
      <c r="BB17551" s="122"/>
      <c r="BC17551" s="141"/>
    </row>
    <row r="17552">
      <c r="BB17552" s="122"/>
      <c r="BC17552" s="141"/>
    </row>
    <row r="17553">
      <c r="BB17553" s="122"/>
      <c r="BC17553" s="141"/>
    </row>
    <row r="17554">
      <c r="BB17554" s="122"/>
      <c r="BC17554" s="141"/>
    </row>
    <row r="17555">
      <c r="BB17555" s="122"/>
      <c r="BC17555" s="141"/>
    </row>
    <row r="17556">
      <c r="BB17556" s="122"/>
      <c r="BC17556" s="141"/>
    </row>
    <row r="17557">
      <c r="BB17557" s="122"/>
      <c r="BC17557" s="141"/>
    </row>
    <row r="17558">
      <c r="BB17558" s="122"/>
      <c r="BC17558" s="141"/>
    </row>
    <row r="17559">
      <c r="BB17559" s="122"/>
      <c r="BC17559" s="141"/>
    </row>
    <row r="17560">
      <c r="BB17560" s="122"/>
      <c r="BC17560" s="141"/>
    </row>
    <row r="17561">
      <c r="BB17561" s="122"/>
      <c r="BC17561" s="141"/>
    </row>
    <row r="17562">
      <c r="BB17562" s="122"/>
      <c r="BC17562" s="141"/>
    </row>
    <row r="17563">
      <c r="BB17563" s="122"/>
      <c r="BC17563" s="141"/>
    </row>
    <row r="17564">
      <c r="BB17564" s="122"/>
      <c r="BC17564" s="141"/>
    </row>
    <row r="17565">
      <c r="BB17565" s="122"/>
      <c r="BC17565" s="141"/>
    </row>
    <row r="17566">
      <c r="BB17566" s="122"/>
      <c r="BC17566" s="141"/>
    </row>
    <row r="17567">
      <c r="BB17567" s="122"/>
      <c r="BC17567" s="141"/>
    </row>
    <row r="17568">
      <c r="BB17568" s="122"/>
      <c r="BC17568" s="141"/>
    </row>
    <row r="17569">
      <c r="BB17569" s="122"/>
      <c r="BC17569" s="141"/>
    </row>
    <row r="17570">
      <c r="BB17570" s="122"/>
      <c r="BC17570" s="141"/>
    </row>
    <row r="17571">
      <c r="BB17571" s="122"/>
      <c r="BC17571" s="141"/>
    </row>
    <row r="17572">
      <c r="BB17572" s="122"/>
      <c r="BC17572" s="141"/>
    </row>
    <row r="17573">
      <c r="BB17573" s="122"/>
      <c r="BC17573" s="141"/>
    </row>
    <row r="17574">
      <c r="BB17574" s="122"/>
      <c r="BC17574" s="141"/>
    </row>
    <row r="17575">
      <c r="BB17575" s="122"/>
      <c r="BC17575" s="141"/>
    </row>
    <row r="17576">
      <c r="BB17576" s="122"/>
      <c r="BC17576" s="141"/>
    </row>
    <row r="17577">
      <c r="BB17577" s="122"/>
      <c r="BC17577" s="141"/>
    </row>
    <row r="17578">
      <c r="BB17578" s="122"/>
      <c r="BC17578" s="141"/>
    </row>
    <row r="17579">
      <c r="BB17579" s="122"/>
      <c r="BC17579" s="141"/>
    </row>
    <row r="17580">
      <c r="BB17580" s="122"/>
      <c r="BC17580" s="141"/>
    </row>
    <row r="17581">
      <c r="BB17581" s="122"/>
      <c r="BC17581" s="141"/>
    </row>
    <row r="17582">
      <c r="BB17582" s="122"/>
      <c r="BC17582" s="141"/>
    </row>
    <row r="17583">
      <c r="BB17583" s="122"/>
      <c r="BC17583" s="141"/>
    </row>
    <row r="17584">
      <c r="BB17584" s="122"/>
      <c r="BC17584" s="141"/>
    </row>
    <row r="17585">
      <c r="BB17585" s="122"/>
      <c r="BC17585" s="141"/>
    </row>
    <row r="17586">
      <c r="BB17586" s="122"/>
      <c r="BC17586" s="141"/>
    </row>
    <row r="17587">
      <c r="BB17587" s="122"/>
      <c r="BC17587" s="141"/>
    </row>
    <row r="17588">
      <c r="BB17588" s="122"/>
      <c r="BC17588" s="141"/>
    </row>
    <row r="17589">
      <c r="BB17589" s="122"/>
      <c r="BC17589" s="141"/>
    </row>
    <row r="17590">
      <c r="BB17590" s="122"/>
      <c r="BC17590" s="141"/>
    </row>
    <row r="17591">
      <c r="BB17591" s="122"/>
      <c r="BC17591" s="141"/>
    </row>
    <row r="17592">
      <c r="BB17592" s="122"/>
      <c r="BC17592" s="141"/>
    </row>
    <row r="17593">
      <c r="BB17593" s="122"/>
      <c r="BC17593" s="141"/>
    </row>
    <row r="17594">
      <c r="BB17594" s="122"/>
      <c r="BC17594" s="141"/>
    </row>
    <row r="17595">
      <c r="BB17595" s="122"/>
      <c r="BC17595" s="141"/>
    </row>
    <row r="17596">
      <c r="BB17596" s="122"/>
      <c r="BC17596" s="141"/>
    </row>
    <row r="17597">
      <c r="BB17597" s="122"/>
      <c r="BC17597" s="141"/>
    </row>
    <row r="17598">
      <c r="BB17598" s="122"/>
      <c r="BC17598" s="141"/>
    </row>
    <row r="17599">
      <c r="BB17599" s="122"/>
      <c r="BC17599" s="141"/>
    </row>
    <row r="17600">
      <c r="BB17600" s="122"/>
      <c r="BC17600" s="141"/>
    </row>
    <row r="17601">
      <c r="BB17601" s="122"/>
      <c r="BC17601" s="141"/>
    </row>
    <row r="17602">
      <c r="BB17602" s="122"/>
      <c r="BC17602" s="141"/>
    </row>
    <row r="17603">
      <c r="BB17603" s="122"/>
      <c r="BC17603" s="141"/>
    </row>
    <row r="17604">
      <c r="BB17604" s="122"/>
      <c r="BC17604" s="141"/>
    </row>
    <row r="17605">
      <c r="BB17605" s="122"/>
      <c r="BC17605" s="141"/>
    </row>
    <row r="17606">
      <c r="BB17606" s="122"/>
      <c r="BC17606" s="141"/>
    </row>
    <row r="17607">
      <c r="BB17607" s="122"/>
      <c r="BC17607" s="141"/>
    </row>
    <row r="17608">
      <c r="BB17608" s="122"/>
      <c r="BC17608" s="141"/>
    </row>
    <row r="17609">
      <c r="BB17609" s="122"/>
      <c r="BC17609" s="141"/>
    </row>
    <row r="17610">
      <c r="BB17610" s="122"/>
      <c r="BC17610" s="141"/>
    </row>
    <row r="17611">
      <c r="BB17611" s="122"/>
      <c r="BC17611" s="141"/>
    </row>
    <row r="17612">
      <c r="BB17612" s="122"/>
      <c r="BC17612" s="141"/>
    </row>
    <row r="17613">
      <c r="BB17613" s="122"/>
      <c r="BC17613" s="141"/>
    </row>
    <row r="17614">
      <c r="BB17614" s="122"/>
      <c r="BC17614" s="141"/>
    </row>
    <row r="17615">
      <c r="BB17615" s="122"/>
      <c r="BC17615" s="141"/>
    </row>
    <row r="17616">
      <c r="BB17616" s="122"/>
      <c r="BC17616" s="141"/>
    </row>
    <row r="17617">
      <c r="BB17617" s="122"/>
      <c r="BC17617" s="141"/>
    </row>
    <row r="17618">
      <c r="BB17618" s="122"/>
      <c r="BC17618" s="141"/>
    </row>
    <row r="17619">
      <c r="BB17619" s="122"/>
      <c r="BC17619" s="141"/>
    </row>
    <row r="17620">
      <c r="BB17620" s="122"/>
      <c r="BC17620" s="141"/>
    </row>
    <row r="17621">
      <c r="BB17621" s="122"/>
      <c r="BC17621" s="141"/>
    </row>
    <row r="17622">
      <c r="BB17622" s="122"/>
      <c r="BC17622" s="141"/>
    </row>
    <row r="17623">
      <c r="BB17623" s="122"/>
      <c r="BC17623" s="141"/>
    </row>
    <row r="17624">
      <c r="BB17624" s="122"/>
      <c r="BC17624" s="141"/>
    </row>
    <row r="17625">
      <c r="BB17625" s="122"/>
      <c r="BC17625" s="141"/>
    </row>
    <row r="17626">
      <c r="BB17626" s="122"/>
      <c r="BC17626" s="141"/>
    </row>
    <row r="17627">
      <c r="BB17627" s="122"/>
      <c r="BC17627" s="141"/>
    </row>
    <row r="17628">
      <c r="BB17628" s="122"/>
      <c r="BC17628" s="141"/>
    </row>
    <row r="17629">
      <c r="BB17629" s="122"/>
      <c r="BC17629" s="141"/>
    </row>
    <row r="17630">
      <c r="BB17630" s="122"/>
      <c r="BC17630" s="141"/>
    </row>
    <row r="17631">
      <c r="BB17631" s="122"/>
      <c r="BC17631" s="141"/>
    </row>
    <row r="17632">
      <c r="BB17632" s="122"/>
      <c r="BC17632" s="141"/>
    </row>
    <row r="17633">
      <c r="BB17633" s="122"/>
      <c r="BC17633" s="141"/>
    </row>
    <row r="17634">
      <c r="BB17634" s="122"/>
      <c r="BC17634" s="141"/>
    </row>
    <row r="17635">
      <c r="BB17635" s="122"/>
      <c r="BC17635" s="141"/>
    </row>
    <row r="17636">
      <c r="BB17636" s="122"/>
      <c r="BC17636" s="141"/>
    </row>
    <row r="17637">
      <c r="BB17637" s="122"/>
      <c r="BC17637" s="141"/>
    </row>
    <row r="17638">
      <c r="BB17638" s="122"/>
      <c r="BC17638" s="141"/>
    </row>
    <row r="17639">
      <c r="BB17639" s="122"/>
      <c r="BC17639" s="141"/>
    </row>
    <row r="17640">
      <c r="BB17640" s="122"/>
      <c r="BC17640" s="141"/>
    </row>
    <row r="17641">
      <c r="BB17641" s="122"/>
      <c r="BC17641" s="141"/>
    </row>
    <row r="17642">
      <c r="BB17642" s="122"/>
      <c r="BC17642" s="141"/>
    </row>
    <row r="17643">
      <c r="BB17643" s="122"/>
      <c r="BC17643" s="141"/>
    </row>
    <row r="17644">
      <c r="BB17644" s="122"/>
      <c r="BC17644" s="141"/>
    </row>
    <row r="17645">
      <c r="BB17645" s="122"/>
      <c r="BC17645" s="141"/>
    </row>
    <row r="17646">
      <c r="BB17646" s="122"/>
      <c r="BC17646" s="141"/>
    </row>
    <row r="17647">
      <c r="BB17647" s="122"/>
      <c r="BC17647" s="141"/>
    </row>
    <row r="17648">
      <c r="BB17648" s="122"/>
      <c r="BC17648" s="141"/>
    </row>
    <row r="17649">
      <c r="BB17649" s="122"/>
      <c r="BC17649" s="141"/>
    </row>
    <row r="17650">
      <c r="BB17650" s="122"/>
      <c r="BC17650" s="141"/>
    </row>
    <row r="17651">
      <c r="BB17651" s="122"/>
      <c r="BC17651" s="141"/>
    </row>
    <row r="17652">
      <c r="BB17652" s="122"/>
      <c r="BC17652" s="141"/>
    </row>
    <row r="17653">
      <c r="BB17653" s="122"/>
      <c r="BC17653" s="141"/>
    </row>
    <row r="17654">
      <c r="BB17654" s="122"/>
      <c r="BC17654" s="141"/>
    </row>
    <row r="17655">
      <c r="BB17655" s="122"/>
      <c r="BC17655" s="141"/>
    </row>
    <row r="17656">
      <c r="BB17656" s="122"/>
      <c r="BC17656" s="141"/>
    </row>
    <row r="17657">
      <c r="BB17657" s="122"/>
      <c r="BC17657" s="141"/>
    </row>
    <row r="17658">
      <c r="BB17658" s="122"/>
      <c r="BC17658" s="141"/>
    </row>
    <row r="17659">
      <c r="BB17659" s="122"/>
      <c r="BC17659" s="141"/>
    </row>
    <row r="17660">
      <c r="BB17660" s="122"/>
      <c r="BC17660" s="141"/>
    </row>
    <row r="17661">
      <c r="BB17661" s="122"/>
      <c r="BC17661" s="141"/>
    </row>
    <row r="17662">
      <c r="BB17662" s="122"/>
      <c r="BC17662" s="141"/>
    </row>
    <row r="17663">
      <c r="BB17663" s="122"/>
      <c r="BC17663" s="141"/>
    </row>
    <row r="17664">
      <c r="BB17664" s="122"/>
      <c r="BC17664" s="141"/>
    </row>
    <row r="17665">
      <c r="BB17665" s="122"/>
      <c r="BC17665" s="141"/>
    </row>
    <row r="17666">
      <c r="BB17666" s="122"/>
      <c r="BC17666" s="141"/>
    </row>
    <row r="17667">
      <c r="BB17667" s="122"/>
      <c r="BC17667" s="141"/>
    </row>
    <row r="17668">
      <c r="BB17668" s="122"/>
      <c r="BC17668" s="141"/>
    </row>
    <row r="17669">
      <c r="BB17669" s="122"/>
      <c r="BC17669" s="141"/>
    </row>
    <row r="17670">
      <c r="BB17670" s="122"/>
      <c r="BC17670" s="141"/>
    </row>
    <row r="17671">
      <c r="BB17671" s="122"/>
      <c r="BC17671" s="141"/>
    </row>
    <row r="17672">
      <c r="BB17672" s="122"/>
      <c r="BC17672" s="141"/>
    </row>
    <row r="17673">
      <c r="BB17673" s="122"/>
      <c r="BC17673" s="141"/>
    </row>
    <row r="17674">
      <c r="BB17674" s="122"/>
      <c r="BC17674" s="141"/>
    </row>
    <row r="17675">
      <c r="BB17675" s="122"/>
      <c r="BC17675" s="141"/>
    </row>
    <row r="17676">
      <c r="BB17676" s="122"/>
      <c r="BC17676" s="141"/>
    </row>
    <row r="17677">
      <c r="BB17677" s="122"/>
      <c r="BC17677" s="141"/>
    </row>
    <row r="17678">
      <c r="BB17678" s="122"/>
      <c r="BC17678" s="141"/>
    </row>
    <row r="17679">
      <c r="BB17679" s="122"/>
      <c r="BC17679" s="141"/>
    </row>
    <row r="17680">
      <c r="BB17680" s="122"/>
      <c r="BC17680" s="141"/>
    </row>
    <row r="17681">
      <c r="BB17681" s="122"/>
      <c r="BC17681" s="141"/>
    </row>
    <row r="17682">
      <c r="BB17682" s="122"/>
      <c r="BC17682" s="141"/>
    </row>
    <row r="17683">
      <c r="BB17683" s="122"/>
      <c r="BC17683" s="141"/>
    </row>
    <row r="17684">
      <c r="BB17684" s="122"/>
      <c r="BC17684" s="141"/>
    </row>
    <row r="17685">
      <c r="BB17685" s="122"/>
      <c r="BC17685" s="141"/>
    </row>
    <row r="17686">
      <c r="BB17686" s="122"/>
      <c r="BC17686" s="141"/>
    </row>
    <row r="17687">
      <c r="BB17687" s="122"/>
      <c r="BC17687" s="141"/>
    </row>
    <row r="17688">
      <c r="BB17688" s="122"/>
      <c r="BC17688" s="141"/>
    </row>
    <row r="17689">
      <c r="BB17689" s="122"/>
      <c r="BC17689" s="141"/>
    </row>
    <row r="17690">
      <c r="BB17690" s="122"/>
      <c r="BC17690" s="141"/>
    </row>
    <row r="17691">
      <c r="BB17691" s="122"/>
      <c r="BC17691" s="141"/>
    </row>
    <row r="17692">
      <c r="BB17692" s="122"/>
      <c r="BC17692" s="141"/>
    </row>
    <row r="17693">
      <c r="BB17693" s="122"/>
      <c r="BC17693" s="141"/>
    </row>
    <row r="17694">
      <c r="BB17694" s="122"/>
      <c r="BC17694" s="141"/>
    </row>
    <row r="17695">
      <c r="BB17695" s="122"/>
      <c r="BC17695" s="141"/>
    </row>
    <row r="17696">
      <c r="BB17696" s="122"/>
      <c r="BC17696" s="141"/>
    </row>
    <row r="17697">
      <c r="BB17697" s="122"/>
      <c r="BC17697" s="141"/>
    </row>
    <row r="17698">
      <c r="BB17698" s="122"/>
      <c r="BC17698" s="141"/>
    </row>
    <row r="17699">
      <c r="BB17699" s="122"/>
      <c r="BC17699" s="141"/>
    </row>
    <row r="17700">
      <c r="BB17700" s="122"/>
      <c r="BC17700" s="141"/>
    </row>
    <row r="17701">
      <c r="BB17701" s="122"/>
      <c r="BC17701" s="141"/>
    </row>
    <row r="17702">
      <c r="BB17702" s="122"/>
      <c r="BC17702" s="141"/>
    </row>
    <row r="17703">
      <c r="BB17703" s="122"/>
      <c r="BC17703" s="141"/>
    </row>
    <row r="17704">
      <c r="BB17704" s="122"/>
      <c r="BC17704" s="141"/>
    </row>
    <row r="17705">
      <c r="BB17705" s="122"/>
      <c r="BC17705" s="141"/>
    </row>
    <row r="17706">
      <c r="BB17706" s="122"/>
      <c r="BC17706" s="141"/>
    </row>
    <row r="17707">
      <c r="BB17707" s="122"/>
      <c r="BC17707" s="141"/>
    </row>
    <row r="17708">
      <c r="BB17708" s="122"/>
      <c r="BC17708" s="141"/>
    </row>
    <row r="17709">
      <c r="BB17709" s="122"/>
      <c r="BC17709" s="141"/>
    </row>
    <row r="17710">
      <c r="BB17710" s="122"/>
      <c r="BC17710" s="141"/>
    </row>
    <row r="17711">
      <c r="BB17711" s="122"/>
      <c r="BC17711" s="141"/>
    </row>
    <row r="17712">
      <c r="BB17712" s="122"/>
      <c r="BC17712" s="141"/>
    </row>
    <row r="17713">
      <c r="BB17713" s="122"/>
      <c r="BC17713" s="141"/>
    </row>
    <row r="17714">
      <c r="BB17714" s="122"/>
      <c r="BC17714" s="141"/>
    </row>
    <row r="17715">
      <c r="BB17715" s="122"/>
      <c r="BC17715" s="141"/>
    </row>
    <row r="17716">
      <c r="BB17716" s="122"/>
      <c r="BC17716" s="141"/>
    </row>
    <row r="17717">
      <c r="BB17717" s="122"/>
      <c r="BC17717" s="141"/>
    </row>
    <row r="17718">
      <c r="BB17718" s="122"/>
      <c r="BC17718" s="141"/>
    </row>
    <row r="17719">
      <c r="BB17719" s="122"/>
      <c r="BC17719" s="141"/>
    </row>
    <row r="17720">
      <c r="BB17720" s="122"/>
      <c r="BC17720" s="141"/>
    </row>
    <row r="17721">
      <c r="BB17721" s="122"/>
      <c r="BC17721" s="141"/>
    </row>
    <row r="17722">
      <c r="BB17722" s="122"/>
      <c r="BC17722" s="141"/>
    </row>
    <row r="17723">
      <c r="BB17723" s="122"/>
      <c r="BC17723" s="141"/>
    </row>
    <row r="17724">
      <c r="BB17724" s="122"/>
      <c r="BC17724" s="141"/>
    </row>
    <row r="17725">
      <c r="BB17725" s="122"/>
      <c r="BC17725" s="141"/>
    </row>
    <row r="17726">
      <c r="BB17726" s="122"/>
      <c r="BC17726" s="141"/>
    </row>
    <row r="17727">
      <c r="BB17727" s="122"/>
      <c r="BC17727" s="141"/>
    </row>
    <row r="17728">
      <c r="BB17728" s="122"/>
      <c r="BC17728" s="141"/>
    </row>
    <row r="17729">
      <c r="BB17729" s="122"/>
      <c r="BC17729" s="141"/>
    </row>
    <row r="17730">
      <c r="BB17730" s="122"/>
      <c r="BC17730" s="141"/>
    </row>
    <row r="17731">
      <c r="BB17731" s="122"/>
      <c r="BC17731" s="141"/>
    </row>
    <row r="17732">
      <c r="BB17732" s="122"/>
      <c r="BC17732" s="141"/>
    </row>
    <row r="17733">
      <c r="BB17733" s="122"/>
      <c r="BC17733" s="141"/>
    </row>
    <row r="17734">
      <c r="BB17734" s="122"/>
      <c r="BC17734" s="141"/>
    </row>
    <row r="17735">
      <c r="BB17735" s="122"/>
      <c r="BC17735" s="141"/>
    </row>
    <row r="17736">
      <c r="BB17736" s="122"/>
      <c r="BC17736" s="141"/>
    </row>
    <row r="17737">
      <c r="BB17737" s="122"/>
      <c r="BC17737" s="141"/>
    </row>
    <row r="17738">
      <c r="BB17738" s="122"/>
      <c r="BC17738" s="141"/>
    </row>
    <row r="17739">
      <c r="BB17739" s="122"/>
      <c r="BC17739" s="141"/>
    </row>
    <row r="17740">
      <c r="BB17740" s="122"/>
      <c r="BC17740" s="141"/>
    </row>
    <row r="17741">
      <c r="BB17741" s="122"/>
      <c r="BC17741" s="141"/>
    </row>
    <row r="17742">
      <c r="BB17742" s="122"/>
      <c r="BC17742" s="141"/>
    </row>
    <row r="17743">
      <c r="BB17743" s="122"/>
      <c r="BC17743" s="141"/>
    </row>
    <row r="17744">
      <c r="BB17744" s="122"/>
      <c r="BC17744" s="141"/>
    </row>
    <row r="17745">
      <c r="BB17745" s="122"/>
      <c r="BC17745" s="141"/>
    </row>
    <row r="17746">
      <c r="BB17746" s="122"/>
      <c r="BC17746" s="141"/>
    </row>
    <row r="17747">
      <c r="BB17747" s="122"/>
      <c r="BC17747" s="141"/>
    </row>
    <row r="17748">
      <c r="BB17748" s="122"/>
      <c r="BC17748" s="141"/>
    </row>
    <row r="17749">
      <c r="BB17749" s="122"/>
      <c r="BC17749" s="141"/>
    </row>
    <row r="17750">
      <c r="BB17750" s="122"/>
      <c r="BC17750" s="141"/>
    </row>
    <row r="17751">
      <c r="BB17751" s="122"/>
      <c r="BC17751" s="141"/>
    </row>
    <row r="17752">
      <c r="BB17752" s="122"/>
      <c r="BC17752" s="141"/>
    </row>
    <row r="17753">
      <c r="BB17753" s="122"/>
      <c r="BC17753" s="141"/>
    </row>
    <row r="17754">
      <c r="BB17754" s="122"/>
      <c r="BC17754" s="141"/>
    </row>
    <row r="17755">
      <c r="BB17755" s="122"/>
      <c r="BC17755" s="141"/>
    </row>
    <row r="17756">
      <c r="BB17756" s="122"/>
      <c r="BC17756" s="141"/>
    </row>
    <row r="17757">
      <c r="BB17757" s="122"/>
      <c r="BC17757" s="141"/>
    </row>
    <row r="17758">
      <c r="BB17758" s="122"/>
      <c r="BC17758" s="141"/>
    </row>
    <row r="17759">
      <c r="BB17759" s="122"/>
      <c r="BC17759" s="141"/>
    </row>
    <row r="17760">
      <c r="BB17760" s="122"/>
      <c r="BC17760" s="141"/>
    </row>
    <row r="17761">
      <c r="BB17761" s="122"/>
      <c r="BC17761" s="141"/>
    </row>
    <row r="17762">
      <c r="BB17762" s="122"/>
      <c r="BC17762" s="141"/>
    </row>
    <row r="17763">
      <c r="BB17763" s="122"/>
      <c r="BC17763" s="141"/>
    </row>
    <row r="17764">
      <c r="BB17764" s="122"/>
      <c r="BC17764" s="141"/>
    </row>
    <row r="17765">
      <c r="BB17765" s="122"/>
      <c r="BC17765" s="141"/>
    </row>
    <row r="17766">
      <c r="BB17766" s="122"/>
      <c r="BC17766" s="141"/>
    </row>
    <row r="17767">
      <c r="BB17767" s="122"/>
      <c r="BC17767" s="141"/>
    </row>
    <row r="17768">
      <c r="BB17768" s="122"/>
      <c r="BC17768" s="141"/>
    </row>
    <row r="17769">
      <c r="BB17769" s="122"/>
      <c r="BC17769" s="141"/>
    </row>
    <row r="17770">
      <c r="BB17770" s="122"/>
      <c r="BC17770" s="141"/>
    </row>
    <row r="17771">
      <c r="BB17771" s="122"/>
      <c r="BC17771" s="141"/>
    </row>
    <row r="17772">
      <c r="BB17772" s="122"/>
      <c r="BC17772" s="141"/>
    </row>
    <row r="17773">
      <c r="BB17773" s="122"/>
      <c r="BC17773" s="141"/>
    </row>
    <row r="17774">
      <c r="BB17774" s="122"/>
      <c r="BC17774" s="141"/>
    </row>
    <row r="17775">
      <c r="BB17775" s="122"/>
      <c r="BC17775" s="141"/>
    </row>
    <row r="17776">
      <c r="BB17776" s="122"/>
      <c r="BC17776" s="141"/>
    </row>
    <row r="17777">
      <c r="BB17777" s="122"/>
      <c r="BC17777" s="141"/>
    </row>
    <row r="17778">
      <c r="BB17778" s="122"/>
      <c r="BC17778" s="141"/>
    </row>
    <row r="17779">
      <c r="BB17779" s="122"/>
      <c r="BC17779" s="141"/>
    </row>
    <row r="17780">
      <c r="BB17780" s="122"/>
      <c r="BC17780" s="141"/>
    </row>
    <row r="17781">
      <c r="BB17781" s="122"/>
      <c r="BC17781" s="141"/>
    </row>
    <row r="17782">
      <c r="BB17782" s="122"/>
      <c r="BC17782" s="141"/>
    </row>
    <row r="17783">
      <c r="BB17783" s="122"/>
      <c r="BC17783" s="141"/>
    </row>
    <row r="17784">
      <c r="BB17784" s="122"/>
      <c r="BC17784" s="141"/>
    </row>
    <row r="17785">
      <c r="BB17785" s="122"/>
      <c r="BC17785" s="141"/>
    </row>
    <row r="17786">
      <c r="BB17786" s="122"/>
      <c r="BC17786" s="141"/>
    </row>
    <row r="17787">
      <c r="BB17787" s="122"/>
      <c r="BC17787" s="141"/>
    </row>
    <row r="17788">
      <c r="BB17788" s="122"/>
      <c r="BC17788" s="141"/>
    </row>
    <row r="17789">
      <c r="BB17789" s="122"/>
      <c r="BC17789" s="141"/>
    </row>
    <row r="17790">
      <c r="BB17790" s="122"/>
      <c r="BC17790" s="141"/>
    </row>
    <row r="17791">
      <c r="BB17791" s="122"/>
      <c r="BC17791" s="141"/>
    </row>
    <row r="17792">
      <c r="BB17792" s="122"/>
      <c r="BC17792" s="141"/>
    </row>
    <row r="17793">
      <c r="BB17793" s="122"/>
      <c r="BC17793" s="141"/>
    </row>
    <row r="17794">
      <c r="BB17794" s="122"/>
      <c r="BC17794" s="141"/>
    </row>
    <row r="17795">
      <c r="BB17795" s="122"/>
      <c r="BC17795" s="141"/>
    </row>
    <row r="17796">
      <c r="BB17796" s="122"/>
      <c r="BC17796" s="141"/>
    </row>
    <row r="17797">
      <c r="BB17797" s="122"/>
      <c r="BC17797" s="141"/>
    </row>
    <row r="17798">
      <c r="BB17798" s="122"/>
      <c r="BC17798" s="141"/>
    </row>
    <row r="17799">
      <c r="BB17799" s="122"/>
      <c r="BC17799" s="141"/>
    </row>
    <row r="17800">
      <c r="BB17800" s="122"/>
      <c r="BC17800" s="141"/>
    </row>
    <row r="17801">
      <c r="BB17801" s="122"/>
      <c r="BC17801" s="141"/>
    </row>
    <row r="17802">
      <c r="BB17802" s="122"/>
      <c r="BC17802" s="141"/>
    </row>
    <row r="17803">
      <c r="BB17803" s="122"/>
      <c r="BC17803" s="141"/>
    </row>
    <row r="17804">
      <c r="BB17804" s="122"/>
      <c r="BC17804" s="141"/>
    </row>
    <row r="17805">
      <c r="BB17805" s="122"/>
      <c r="BC17805" s="141"/>
    </row>
    <row r="17806">
      <c r="BB17806" s="122"/>
      <c r="BC17806" s="141"/>
    </row>
    <row r="17807">
      <c r="BB17807" s="122"/>
      <c r="BC17807" s="141"/>
    </row>
    <row r="17808">
      <c r="BB17808" s="122"/>
      <c r="BC17808" s="141"/>
    </row>
    <row r="17809">
      <c r="BB17809" s="122"/>
      <c r="BC17809" s="141"/>
    </row>
    <row r="17810">
      <c r="BB17810" s="122"/>
      <c r="BC17810" s="141"/>
    </row>
    <row r="17811">
      <c r="BB17811" s="122"/>
      <c r="BC17811" s="141"/>
    </row>
    <row r="17812">
      <c r="BB17812" s="122"/>
      <c r="BC17812" s="141"/>
    </row>
    <row r="17813">
      <c r="BB17813" s="122"/>
      <c r="BC17813" s="141"/>
    </row>
    <row r="17814">
      <c r="BB17814" s="122"/>
      <c r="BC17814" s="141"/>
    </row>
    <row r="17815">
      <c r="BB17815" s="122"/>
      <c r="BC17815" s="141"/>
    </row>
    <row r="17816">
      <c r="BB17816" s="122"/>
      <c r="BC17816" s="141"/>
    </row>
    <row r="17817">
      <c r="BB17817" s="122"/>
      <c r="BC17817" s="141"/>
    </row>
    <row r="17818">
      <c r="BB17818" s="122"/>
      <c r="BC17818" s="141"/>
    </row>
    <row r="17819">
      <c r="BB17819" s="122"/>
      <c r="BC17819" s="141"/>
    </row>
    <row r="17820">
      <c r="BB17820" s="122"/>
      <c r="BC17820" s="141"/>
    </row>
    <row r="17821">
      <c r="BB17821" s="122"/>
      <c r="BC17821" s="141"/>
    </row>
    <row r="17822">
      <c r="BB17822" s="122"/>
      <c r="BC17822" s="141"/>
    </row>
    <row r="17823">
      <c r="BB17823" s="122"/>
      <c r="BC17823" s="141"/>
    </row>
    <row r="17824">
      <c r="BB17824" s="122"/>
      <c r="BC17824" s="141"/>
    </row>
    <row r="17825">
      <c r="BB17825" s="122"/>
      <c r="BC17825" s="141"/>
    </row>
    <row r="17826">
      <c r="BB17826" s="122"/>
      <c r="BC17826" s="141"/>
    </row>
    <row r="17827">
      <c r="BB17827" s="122"/>
      <c r="BC17827" s="141"/>
    </row>
    <row r="17828">
      <c r="BB17828" s="122"/>
      <c r="BC17828" s="141"/>
    </row>
    <row r="17829">
      <c r="BB17829" s="122"/>
      <c r="BC17829" s="141"/>
    </row>
    <row r="17830">
      <c r="BB17830" s="122"/>
      <c r="BC17830" s="141"/>
    </row>
    <row r="17831">
      <c r="BB17831" s="122"/>
      <c r="BC17831" s="141"/>
    </row>
    <row r="17832">
      <c r="BB17832" s="122"/>
      <c r="BC17832" s="141"/>
    </row>
    <row r="17833">
      <c r="BB17833" s="122"/>
      <c r="BC17833" s="141"/>
    </row>
    <row r="17834">
      <c r="BB17834" s="122"/>
      <c r="BC17834" s="141"/>
    </row>
    <row r="17835">
      <c r="BB17835" s="122"/>
      <c r="BC17835" s="141"/>
    </row>
    <row r="17836">
      <c r="BB17836" s="122"/>
      <c r="BC17836" s="141"/>
    </row>
    <row r="17837">
      <c r="BB17837" s="122"/>
      <c r="BC17837" s="141"/>
    </row>
    <row r="17838">
      <c r="BB17838" s="122"/>
      <c r="BC17838" s="141"/>
    </row>
    <row r="17839">
      <c r="BB17839" s="122"/>
      <c r="BC17839" s="141"/>
    </row>
    <row r="17840">
      <c r="BB17840" s="122"/>
      <c r="BC17840" s="141"/>
    </row>
    <row r="17841">
      <c r="BB17841" s="122"/>
      <c r="BC17841" s="141"/>
    </row>
    <row r="17842">
      <c r="BB17842" s="122"/>
      <c r="BC17842" s="141"/>
    </row>
    <row r="17843">
      <c r="BB17843" s="122"/>
      <c r="BC17843" s="141"/>
    </row>
    <row r="17844">
      <c r="BB17844" s="122"/>
      <c r="BC17844" s="141"/>
    </row>
    <row r="17845">
      <c r="BB17845" s="122"/>
      <c r="BC17845" s="141"/>
    </row>
    <row r="17846">
      <c r="BB17846" s="122"/>
      <c r="BC17846" s="141"/>
    </row>
    <row r="17847">
      <c r="BB17847" s="122"/>
      <c r="BC17847" s="141"/>
    </row>
    <row r="17848">
      <c r="BB17848" s="122"/>
      <c r="BC17848" s="141"/>
    </row>
    <row r="17849">
      <c r="BB17849" s="122"/>
      <c r="BC17849" s="141"/>
    </row>
    <row r="17850">
      <c r="BB17850" s="122"/>
      <c r="BC17850" s="141"/>
    </row>
    <row r="17851">
      <c r="BB17851" s="122"/>
      <c r="BC17851" s="141"/>
    </row>
    <row r="17852">
      <c r="BB17852" s="122"/>
      <c r="BC17852" s="141"/>
    </row>
    <row r="17853">
      <c r="BB17853" s="122"/>
      <c r="BC17853" s="141"/>
    </row>
    <row r="17854">
      <c r="BB17854" s="122"/>
      <c r="BC17854" s="141"/>
    </row>
    <row r="17855">
      <c r="BB17855" s="122"/>
      <c r="BC17855" s="141"/>
    </row>
    <row r="17856">
      <c r="BB17856" s="122"/>
      <c r="BC17856" s="141"/>
    </row>
    <row r="17857">
      <c r="BB17857" s="122"/>
      <c r="BC17857" s="141"/>
    </row>
    <row r="17858">
      <c r="BB17858" s="122"/>
      <c r="BC17858" s="141"/>
    </row>
    <row r="17859">
      <c r="BB17859" s="122"/>
      <c r="BC17859" s="141"/>
    </row>
    <row r="17860">
      <c r="BB17860" s="122"/>
      <c r="BC17860" s="141"/>
    </row>
    <row r="17861">
      <c r="BB17861" s="122"/>
      <c r="BC17861" s="141"/>
    </row>
    <row r="17862">
      <c r="BB17862" s="122"/>
      <c r="BC17862" s="141"/>
    </row>
    <row r="17863">
      <c r="BB17863" s="122"/>
      <c r="BC17863" s="141"/>
    </row>
    <row r="17864">
      <c r="BB17864" s="122"/>
      <c r="BC17864" s="141"/>
    </row>
    <row r="17865">
      <c r="BB17865" s="122"/>
      <c r="BC17865" s="141"/>
    </row>
    <row r="17866">
      <c r="BB17866" s="122"/>
      <c r="BC17866" s="141"/>
    </row>
    <row r="17867">
      <c r="BB17867" s="122"/>
      <c r="BC17867" s="141"/>
    </row>
    <row r="17868">
      <c r="BB17868" s="122"/>
      <c r="BC17868" s="141"/>
    </row>
    <row r="17869">
      <c r="BB17869" s="122"/>
      <c r="BC17869" s="141"/>
    </row>
    <row r="17870">
      <c r="BB17870" s="122"/>
      <c r="BC17870" s="141"/>
    </row>
    <row r="17871">
      <c r="BB17871" s="122"/>
      <c r="BC17871" s="141"/>
    </row>
    <row r="17872">
      <c r="BB17872" s="122"/>
      <c r="BC17872" s="141"/>
    </row>
    <row r="17873">
      <c r="BB17873" s="122"/>
      <c r="BC17873" s="141"/>
    </row>
    <row r="17874">
      <c r="BB17874" s="122"/>
      <c r="BC17874" s="141"/>
    </row>
    <row r="17875">
      <c r="BB17875" s="122"/>
      <c r="BC17875" s="141"/>
    </row>
    <row r="17876">
      <c r="BB17876" s="122"/>
      <c r="BC17876" s="141"/>
    </row>
    <row r="17877">
      <c r="BB17877" s="122"/>
      <c r="BC17877" s="141"/>
    </row>
    <row r="17878">
      <c r="BB17878" s="122"/>
      <c r="BC17878" s="141"/>
    </row>
    <row r="17879">
      <c r="BB17879" s="122"/>
      <c r="BC17879" s="141"/>
    </row>
    <row r="17880">
      <c r="BB17880" s="122"/>
      <c r="BC17880" s="141"/>
    </row>
    <row r="17881">
      <c r="BB17881" s="122"/>
      <c r="BC17881" s="141"/>
    </row>
    <row r="17882">
      <c r="BB17882" s="122"/>
      <c r="BC17882" s="141"/>
    </row>
    <row r="17883">
      <c r="BB17883" s="122"/>
      <c r="BC17883" s="141"/>
    </row>
    <row r="17884">
      <c r="BB17884" s="122"/>
      <c r="BC17884" s="141"/>
    </row>
    <row r="17885">
      <c r="BB17885" s="122"/>
      <c r="BC17885" s="141"/>
    </row>
    <row r="17886">
      <c r="BB17886" s="122"/>
      <c r="BC17886" s="141"/>
    </row>
    <row r="17887">
      <c r="BB17887" s="122"/>
      <c r="BC17887" s="141"/>
    </row>
    <row r="17888">
      <c r="BB17888" s="122"/>
      <c r="BC17888" s="141"/>
    </row>
    <row r="17889">
      <c r="BB17889" s="122"/>
      <c r="BC17889" s="141"/>
    </row>
    <row r="17890">
      <c r="BB17890" s="122"/>
      <c r="BC17890" s="141"/>
    </row>
    <row r="17891">
      <c r="BB17891" s="122"/>
      <c r="BC17891" s="141"/>
    </row>
    <row r="17892">
      <c r="BB17892" s="122"/>
      <c r="BC17892" s="141"/>
    </row>
    <row r="17893">
      <c r="BB17893" s="122"/>
      <c r="BC17893" s="141"/>
    </row>
    <row r="17894">
      <c r="BB17894" s="122"/>
      <c r="BC17894" s="141"/>
    </row>
    <row r="17895">
      <c r="BB17895" s="122"/>
      <c r="BC17895" s="141"/>
    </row>
    <row r="17896">
      <c r="BB17896" s="122"/>
      <c r="BC17896" s="141"/>
    </row>
    <row r="17897">
      <c r="BB17897" s="122"/>
      <c r="BC17897" s="141"/>
    </row>
    <row r="17898">
      <c r="BB17898" s="122"/>
      <c r="BC17898" s="141"/>
    </row>
    <row r="17899">
      <c r="BB17899" s="122"/>
      <c r="BC17899" s="141"/>
    </row>
    <row r="17900">
      <c r="BB17900" s="122"/>
      <c r="BC17900" s="141"/>
    </row>
    <row r="17901">
      <c r="BB17901" s="122"/>
      <c r="BC17901" s="141"/>
    </row>
    <row r="17902">
      <c r="BB17902" s="122"/>
      <c r="BC17902" s="141"/>
    </row>
    <row r="17903">
      <c r="BB17903" s="122"/>
      <c r="BC17903" s="141"/>
    </row>
    <row r="17904">
      <c r="BB17904" s="122"/>
      <c r="BC17904" s="141"/>
    </row>
    <row r="17905">
      <c r="BB17905" s="122"/>
      <c r="BC17905" s="141"/>
    </row>
    <row r="17906">
      <c r="BB17906" s="122"/>
      <c r="BC17906" s="141"/>
    </row>
    <row r="17907">
      <c r="BB17907" s="122"/>
      <c r="BC17907" s="141"/>
    </row>
    <row r="17908">
      <c r="BB17908" s="122"/>
      <c r="BC17908" s="141"/>
    </row>
    <row r="17909">
      <c r="BB17909" s="122"/>
      <c r="BC17909" s="141"/>
    </row>
    <row r="17910">
      <c r="BB17910" s="122"/>
      <c r="BC17910" s="141"/>
    </row>
    <row r="17911">
      <c r="BB17911" s="122"/>
      <c r="BC17911" s="141"/>
    </row>
    <row r="17912">
      <c r="BB17912" s="122"/>
      <c r="BC17912" s="141"/>
    </row>
    <row r="17913">
      <c r="BB17913" s="122"/>
      <c r="BC17913" s="141"/>
    </row>
    <row r="17914">
      <c r="BB17914" s="122"/>
      <c r="BC17914" s="141"/>
    </row>
    <row r="17915">
      <c r="BB17915" s="122"/>
      <c r="BC17915" s="141"/>
    </row>
    <row r="17916">
      <c r="BB17916" s="122"/>
      <c r="BC17916" s="141"/>
    </row>
    <row r="17917">
      <c r="BB17917" s="122"/>
      <c r="BC17917" s="141"/>
    </row>
    <row r="17918">
      <c r="BB17918" s="122"/>
      <c r="BC17918" s="141"/>
    </row>
    <row r="17919">
      <c r="BB17919" s="122"/>
      <c r="BC17919" s="141"/>
    </row>
    <row r="17920">
      <c r="BB17920" s="122"/>
      <c r="BC17920" s="141"/>
    </row>
    <row r="17921">
      <c r="BB17921" s="122"/>
      <c r="BC17921" s="141"/>
    </row>
    <row r="17922">
      <c r="BB17922" s="122"/>
      <c r="BC17922" s="141"/>
    </row>
    <row r="17923">
      <c r="BB17923" s="122"/>
      <c r="BC17923" s="141"/>
    </row>
    <row r="17924">
      <c r="BB17924" s="122"/>
      <c r="BC17924" s="141"/>
    </row>
    <row r="17925">
      <c r="BB17925" s="122"/>
      <c r="BC17925" s="141"/>
    </row>
    <row r="17926">
      <c r="BB17926" s="122"/>
      <c r="BC17926" s="141"/>
    </row>
    <row r="17927">
      <c r="BB17927" s="122"/>
      <c r="BC17927" s="141"/>
    </row>
    <row r="17928">
      <c r="BB17928" s="122"/>
      <c r="BC17928" s="141"/>
    </row>
    <row r="17929">
      <c r="BB17929" s="122"/>
      <c r="BC17929" s="141"/>
    </row>
    <row r="17930">
      <c r="BB17930" s="122"/>
      <c r="BC17930" s="141"/>
    </row>
    <row r="17931">
      <c r="BB17931" s="122"/>
      <c r="BC17931" s="141"/>
    </row>
    <row r="17932">
      <c r="BB17932" s="122"/>
      <c r="BC17932" s="141"/>
    </row>
    <row r="17933">
      <c r="BB17933" s="122"/>
      <c r="BC17933" s="141"/>
    </row>
    <row r="17934">
      <c r="BB17934" s="122"/>
      <c r="BC17934" s="141"/>
    </row>
    <row r="17935">
      <c r="BB17935" s="122"/>
      <c r="BC17935" s="141"/>
    </row>
    <row r="17936">
      <c r="BB17936" s="122"/>
      <c r="BC17936" s="141"/>
    </row>
    <row r="17937">
      <c r="BB17937" s="122"/>
      <c r="BC17937" s="141"/>
    </row>
    <row r="17938">
      <c r="BB17938" s="122"/>
      <c r="BC17938" s="141"/>
    </row>
    <row r="17939">
      <c r="BB17939" s="122"/>
      <c r="BC17939" s="141"/>
    </row>
    <row r="17940">
      <c r="BB17940" s="122"/>
      <c r="BC17940" s="141"/>
    </row>
    <row r="17941">
      <c r="BB17941" s="122"/>
      <c r="BC17941" s="141"/>
    </row>
    <row r="17942">
      <c r="BB17942" s="122"/>
      <c r="BC17942" s="141"/>
    </row>
    <row r="17943">
      <c r="BB17943" s="122"/>
      <c r="BC17943" s="141"/>
    </row>
    <row r="17944">
      <c r="BB17944" s="122"/>
      <c r="BC17944" s="141"/>
    </row>
    <row r="17945">
      <c r="BB17945" s="122"/>
      <c r="BC17945" s="141"/>
    </row>
    <row r="17946">
      <c r="BB17946" s="122"/>
      <c r="BC17946" s="141"/>
    </row>
    <row r="17947">
      <c r="BB17947" s="122"/>
      <c r="BC17947" s="141"/>
    </row>
    <row r="17948">
      <c r="BB17948" s="122"/>
      <c r="BC17948" s="141"/>
    </row>
    <row r="17949">
      <c r="BB17949" s="122"/>
      <c r="BC17949" s="141"/>
    </row>
    <row r="17950">
      <c r="BB17950" s="122"/>
      <c r="BC17950" s="141"/>
    </row>
    <row r="17951">
      <c r="BB17951" s="122"/>
      <c r="BC17951" s="141"/>
    </row>
    <row r="17952">
      <c r="BB17952" s="122"/>
      <c r="BC17952" s="141"/>
    </row>
    <row r="17953">
      <c r="BB17953" s="122"/>
      <c r="BC17953" s="141"/>
    </row>
    <row r="17954">
      <c r="BB17954" s="122"/>
      <c r="BC17954" s="141"/>
    </row>
    <row r="17955">
      <c r="BB17955" s="122"/>
      <c r="BC17955" s="141"/>
    </row>
    <row r="17956">
      <c r="BB17956" s="122"/>
      <c r="BC17956" s="141"/>
    </row>
    <row r="17957">
      <c r="BB17957" s="122"/>
      <c r="BC17957" s="141"/>
    </row>
    <row r="17958">
      <c r="BB17958" s="122"/>
      <c r="BC17958" s="141"/>
    </row>
    <row r="17959">
      <c r="BB17959" s="122"/>
      <c r="BC17959" s="141"/>
    </row>
    <row r="17960">
      <c r="BB17960" s="122"/>
      <c r="BC17960" s="141"/>
    </row>
    <row r="17961">
      <c r="BB17961" s="122"/>
      <c r="BC17961" s="141"/>
    </row>
    <row r="17962">
      <c r="BB17962" s="122"/>
      <c r="BC17962" s="141"/>
    </row>
    <row r="17963">
      <c r="BB17963" s="122"/>
      <c r="BC17963" s="141"/>
    </row>
    <row r="17964">
      <c r="BB17964" s="122"/>
      <c r="BC17964" s="141"/>
    </row>
    <row r="17965">
      <c r="BB17965" s="122"/>
      <c r="BC17965" s="141"/>
    </row>
    <row r="17966">
      <c r="BB17966" s="122"/>
      <c r="BC17966" s="141"/>
    </row>
    <row r="17967">
      <c r="BB17967" s="122"/>
      <c r="BC17967" s="141"/>
    </row>
    <row r="17968">
      <c r="BB17968" s="122"/>
      <c r="BC17968" s="141"/>
    </row>
    <row r="17969">
      <c r="BB17969" s="122"/>
      <c r="BC17969" s="141"/>
    </row>
    <row r="17970">
      <c r="BB17970" s="122"/>
      <c r="BC17970" s="141"/>
    </row>
    <row r="17971">
      <c r="BB17971" s="122"/>
      <c r="BC17971" s="141"/>
    </row>
    <row r="17972">
      <c r="BB17972" s="122"/>
      <c r="BC17972" s="141"/>
    </row>
    <row r="17973">
      <c r="BB17973" s="122"/>
      <c r="BC17973" s="141"/>
    </row>
    <row r="17974">
      <c r="BB17974" s="122"/>
      <c r="BC17974" s="141"/>
    </row>
    <row r="17975">
      <c r="BB17975" s="122"/>
      <c r="BC17975" s="141"/>
    </row>
    <row r="17976">
      <c r="BB17976" s="122"/>
      <c r="BC17976" s="141"/>
    </row>
    <row r="17977">
      <c r="BB17977" s="122"/>
      <c r="BC17977" s="141"/>
    </row>
    <row r="17978">
      <c r="BB17978" s="122"/>
      <c r="BC17978" s="141"/>
    </row>
    <row r="17979">
      <c r="BB17979" s="122"/>
      <c r="BC17979" s="141"/>
    </row>
    <row r="17980">
      <c r="BB17980" s="122"/>
      <c r="BC17980" s="141"/>
    </row>
    <row r="17981">
      <c r="BB17981" s="122"/>
      <c r="BC17981" s="141"/>
    </row>
    <row r="17982">
      <c r="BB17982" s="122"/>
      <c r="BC17982" s="141"/>
    </row>
    <row r="17983">
      <c r="BB17983" s="122"/>
      <c r="BC17983" s="141"/>
    </row>
    <row r="17984">
      <c r="BB17984" s="122"/>
      <c r="BC17984" s="141"/>
    </row>
    <row r="17985">
      <c r="BB17985" s="122"/>
      <c r="BC17985" s="141"/>
    </row>
    <row r="17986">
      <c r="BB17986" s="122"/>
      <c r="BC17986" s="141"/>
    </row>
    <row r="17987">
      <c r="BB17987" s="122"/>
      <c r="BC17987" s="141"/>
    </row>
    <row r="17988">
      <c r="BB17988" s="122"/>
      <c r="BC17988" s="141"/>
    </row>
    <row r="17989">
      <c r="BB17989" s="122"/>
      <c r="BC17989" s="141"/>
    </row>
    <row r="17990">
      <c r="BB17990" s="122"/>
      <c r="BC17990" s="141"/>
    </row>
    <row r="17991">
      <c r="BB17991" s="122"/>
      <c r="BC17991" s="141"/>
    </row>
    <row r="17992">
      <c r="BB17992" s="122"/>
      <c r="BC17992" s="141"/>
    </row>
    <row r="17993">
      <c r="BB17993" s="122"/>
      <c r="BC17993" s="141"/>
    </row>
    <row r="17994">
      <c r="BB17994" s="122"/>
      <c r="BC17994" s="141"/>
    </row>
    <row r="17995">
      <c r="BB17995" s="122"/>
      <c r="BC17995" s="141"/>
    </row>
    <row r="17996">
      <c r="BB17996" s="122"/>
      <c r="BC17996" s="141"/>
    </row>
    <row r="17997">
      <c r="BB17997" s="122"/>
      <c r="BC17997" s="141"/>
    </row>
    <row r="17998">
      <c r="BB17998" s="122"/>
      <c r="BC17998" s="141"/>
    </row>
    <row r="17999">
      <c r="BB17999" s="122"/>
      <c r="BC17999" s="141"/>
    </row>
    <row r="18000">
      <c r="BB18000" s="122"/>
      <c r="BC18000" s="141"/>
    </row>
    <row r="18001">
      <c r="BB18001" s="122"/>
      <c r="BC18001" s="141"/>
    </row>
    <row r="18002">
      <c r="BB18002" s="122"/>
      <c r="BC18002" s="141"/>
    </row>
    <row r="18003">
      <c r="BB18003" s="122"/>
      <c r="BC18003" s="141"/>
    </row>
    <row r="18004">
      <c r="BB18004" s="122"/>
      <c r="BC18004" s="141"/>
    </row>
    <row r="18005">
      <c r="BB18005" s="122"/>
      <c r="BC18005" s="141"/>
    </row>
    <row r="18006">
      <c r="BB18006" s="122"/>
      <c r="BC18006" s="141"/>
    </row>
    <row r="18007">
      <c r="BB18007" s="122"/>
      <c r="BC18007" s="141"/>
    </row>
    <row r="18008">
      <c r="BB18008" s="122"/>
      <c r="BC18008" s="141"/>
    </row>
    <row r="18009">
      <c r="BB18009" s="122"/>
      <c r="BC18009" s="141"/>
    </row>
    <row r="18010">
      <c r="BB18010" s="122"/>
      <c r="BC18010" s="141"/>
    </row>
    <row r="18011">
      <c r="BB18011" s="122"/>
      <c r="BC18011" s="141"/>
    </row>
    <row r="18012">
      <c r="BB18012" s="122"/>
      <c r="BC18012" s="141"/>
    </row>
    <row r="18013">
      <c r="BB18013" s="122"/>
      <c r="BC18013" s="141"/>
    </row>
    <row r="18014">
      <c r="BB18014" s="122"/>
      <c r="BC18014" s="141"/>
    </row>
    <row r="18015">
      <c r="BB18015" s="122"/>
      <c r="BC18015" s="141"/>
    </row>
    <row r="18016">
      <c r="BB18016" s="122"/>
      <c r="BC18016" s="141"/>
    </row>
    <row r="18017">
      <c r="BB18017" s="122"/>
      <c r="BC18017" s="141"/>
    </row>
    <row r="18018">
      <c r="BB18018" s="122"/>
      <c r="BC18018" s="141"/>
    </row>
    <row r="18019">
      <c r="BB18019" s="122"/>
      <c r="BC18019" s="141"/>
    </row>
    <row r="18020">
      <c r="BB18020" s="122"/>
      <c r="BC18020" s="141"/>
    </row>
    <row r="18021">
      <c r="BB18021" s="122"/>
      <c r="BC18021" s="141"/>
    </row>
    <row r="18022">
      <c r="BB18022" s="122"/>
      <c r="BC18022" s="141"/>
    </row>
    <row r="18023">
      <c r="BB18023" s="122"/>
      <c r="BC18023" s="141"/>
    </row>
    <row r="18024">
      <c r="BB18024" s="122"/>
      <c r="BC18024" s="141"/>
    </row>
    <row r="18025">
      <c r="BB18025" s="122"/>
      <c r="BC18025" s="141"/>
    </row>
    <row r="18026">
      <c r="BB18026" s="122"/>
      <c r="BC18026" s="141"/>
    </row>
    <row r="18027">
      <c r="BB18027" s="122"/>
      <c r="BC18027" s="141"/>
    </row>
    <row r="18028">
      <c r="BB18028" s="122"/>
      <c r="BC18028" s="141"/>
    </row>
    <row r="18029">
      <c r="BB18029" s="122"/>
      <c r="BC18029" s="141"/>
    </row>
    <row r="18030">
      <c r="BB18030" s="122"/>
      <c r="BC18030" s="141"/>
    </row>
    <row r="18031">
      <c r="BB18031" s="122"/>
      <c r="BC18031" s="141"/>
    </row>
    <row r="18032">
      <c r="BB18032" s="122"/>
      <c r="BC18032" s="141"/>
    </row>
    <row r="18033">
      <c r="BB18033" s="122"/>
      <c r="BC18033" s="141"/>
    </row>
    <row r="18034">
      <c r="BB18034" s="122"/>
      <c r="BC18034" s="141"/>
    </row>
    <row r="18035">
      <c r="BB18035" s="122"/>
      <c r="BC18035" s="141"/>
    </row>
    <row r="18036">
      <c r="BB18036" s="122"/>
      <c r="BC18036" s="141"/>
    </row>
    <row r="18037">
      <c r="BB18037" s="122"/>
      <c r="BC18037" s="141"/>
    </row>
    <row r="18038">
      <c r="BB18038" s="122"/>
      <c r="BC18038" s="141"/>
    </row>
    <row r="18039">
      <c r="BB18039" s="122"/>
      <c r="BC18039" s="141"/>
    </row>
    <row r="18040">
      <c r="BB18040" s="122"/>
      <c r="BC18040" s="141"/>
    </row>
    <row r="18041">
      <c r="BB18041" s="122"/>
      <c r="BC18041" s="141"/>
    </row>
    <row r="18042">
      <c r="BB18042" s="122"/>
      <c r="BC18042" s="141"/>
    </row>
    <row r="18043">
      <c r="BB18043" s="122"/>
      <c r="BC18043" s="141"/>
    </row>
    <row r="18044">
      <c r="BB18044" s="122"/>
      <c r="BC18044" s="141"/>
    </row>
    <row r="18045">
      <c r="BB18045" s="122"/>
      <c r="BC18045" s="141"/>
    </row>
    <row r="18046">
      <c r="BB18046" s="122"/>
      <c r="BC18046" s="141"/>
    </row>
    <row r="18047">
      <c r="BB18047" s="122"/>
      <c r="BC18047" s="141"/>
    </row>
    <row r="18048">
      <c r="BB18048" s="122"/>
      <c r="BC18048" s="141"/>
    </row>
    <row r="18049">
      <c r="BB18049" s="122"/>
      <c r="BC18049" s="141"/>
    </row>
    <row r="18050">
      <c r="BB18050" s="122"/>
      <c r="BC18050" s="141"/>
    </row>
    <row r="18051">
      <c r="BB18051" s="122"/>
      <c r="BC18051" s="141"/>
    </row>
    <row r="18052">
      <c r="BB18052" s="122"/>
      <c r="BC18052" s="141"/>
    </row>
    <row r="18053">
      <c r="BB18053" s="122"/>
      <c r="BC18053" s="141"/>
    </row>
    <row r="18054">
      <c r="BB18054" s="122"/>
      <c r="BC18054" s="141"/>
    </row>
    <row r="18055">
      <c r="BB18055" s="122"/>
      <c r="BC18055" s="141"/>
    </row>
    <row r="18056">
      <c r="BB18056" s="122"/>
      <c r="BC18056" s="141"/>
    </row>
    <row r="18057">
      <c r="BB18057" s="122"/>
      <c r="BC18057" s="141"/>
    </row>
    <row r="18058">
      <c r="BB18058" s="122"/>
      <c r="BC18058" s="141"/>
    </row>
    <row r="18059">
      <c r="BB18059" s="122"/>
      <c r="BC18059" s="141"/>
    </row>
    <row r="18060">
      <c r="BB18060" s="122"/>
      <c r="BC18060" s="141"/>
    </row>
    <row r="18061">
      <c r="BB18061" s="122"/>
      <c r="BC18061" s="141"/>
    </row>
    <row r="18062">
      <c r="BB18062" s="122"/>
      <c r="BC18062" s="141"/>
    </row>
    <row r="18063">
      <c r="BB18063" s="122"/>
      <c r="BC18063" s="141"/>
    </row>
    <row r="18064">
      <c r="BB18064" s="122"/>
      <c r="BC18064" s="141"/>
    </row>
    <row r="18065">
      <c r="BB18065" s="122"/>
      <c r="BC18065" s="141"/>
    </row>
    <row r="18066">
      <c r="BB18066" s="122"/>
      <c r="BC18066" s="141"/>
    </row>
    <row r="18067">
      <c r="BB18067" s="122"/>
      <c r="BC18067" s="141"/>
    </row>
    <row r="18068">
      <c r="BB18068" s="122"/>
      <c r="BC18068" s="141"/>
    </row>
    <row r="18069">
      <c r="BB18069" s="122"/>
      <c r="BC18069" s="141"/>
    </row>
    <row r="18070">
      <c r="BB18070" s="122"/>
      <c r="BC18070" s="141"/>
    </row>
    <row r="18071">
      <c r="BB18071" s="122"/>
      <c r="BC18071" s="141"/>
    </row>
    <row r="18072">
      <c r="BB18072" s="122"/>
      <c r="BC18072" s="141"/>
    </row>
    <row r="18073">
      <c r="BB18073" s="122"/>
      <c r="BC18073" s="141"/>
    </row>
    <row r="18074">
      <c r="BB18074" s="122"/>
      <c r="BC18074" s="141"/>
    </row>
    <row r="18075">
      <c r="BB18075" s="122"/>
      <c r="BC18075" s="141"/>
    </row>
    <row r="18076">
      <c r="BB18076" s="122"/>
      <c r="BC18076" s="141"/>
    </row>
    <row r="18077">
      <c r="BB18077" s="122"/>
      <c r="BC18077" s="141"/>
    </row>
    <row r="18078">
      <c r="BB18078" s="122"/>
      <c r="BC18078" s="141"/>
    </row>
    <row r="18079">
      <c r="BB18079" s="122"/>
      <c r="BC18079" s="141"/>
    </row>
    <row r="18080">
      <c r="BB18080" s="122"/>
      <c r="BC18080" s="141"/>
    </row>
    <row r="18081">
      <c r="BB18081" s="122"/>
      <c r="BC18081" s="141"/>
    </row>
    <row r="18082">
      <c r="BB18082" s="122"/>
      <c r="BC18082" s="141"/>
    </row>
    <row r="18083">
      <c r="BB18083" s="122"/>
      <c r="BC18083" s="141"/>
    </row>
    <row r="18084">
      <c r="BB18084" s="122"/>
      <c r="BC18084" s="141"/>
    </row>
    <row r="18085">
      <c r="BB18085" s="122"/>
      <c r="BC18085" s="141"/>
    </row>
    <row r="18086">
      <c r="BB18086" s="122"/>
      <c r="BC18086" s="141"/>
    </row>
    <row r="18087">
      <c r="BB18087" s="122"/>
      <c r="BC18087" s="141"/>
    </row>
    <row r="18088">
      <c r="BB18088" s="122"/>
      <c r="BC18088" s="141"/>
    </row>
    <row r="18089">
      <c r="BB18089" s="122"/>
      <c r="BC18089" s="141"/>
    </row>
    <row r="18090">
      <c r="BB18090" s="122"/>
      <c r="BC18090" s="141"/>
    </row>
    <row r="18091">
      <c r="BB18091" s="122"/>
      <c r="BC18091" s="141"/>
    </row>
    <row r="18092">
      <c r="BB18092" s="122"/>
      <c r="BC18092" s="141"/>
    </row>
    <row r="18093">
      <c r="BB18093" s="122"/>
      <c r="BC18093" s="141"/>
    </row>
    <row r="18094">
      <c r="BB18094" s="122"/>
      <c r="BC18094" s="141"/>
    </row>
    <row r="18095">
      <c r="BB18095" s="122"/>
      <c r="BC18095" s="141"/>
    </row>
    <row r="18096">
      <c r="BB18096" s="122"/>
      <c r="BC18096" s="141"/>
    </row>
    <row r="18097">
      <c r="BB18097" s="122"/>
      <c r="BC18097" s="141"/>
    </row>
    <row r="18098">
      <c r="BB18098" s="122"/>
      <c r="BC18098" s="141"/>
    </row>
    <row r="18099">
      <c r="BB18099" s="122"/>
      <c r="BC18099" s="141"/>
    </row>
    <row r="18100">
      <c r="BB18100" s="122"/>
      <c r="BC18100" s="141"/>
    </row>
    <row r="18101">
      <c r="BB18101" s="122"/>
      <c r="BC18101" s="141"/>
    </row>
    <row r="18102">
      <c r="BB18102" s="122"/>
      <c r="BC18102" s="141"/>
    </row>
    <row r="18103">
      <c r="BB18103" s="122"/>
      <c r="BC18103" s="141"/>
    </row>
    <row r="18104">
      <c r="BB18104" s="122"/>
      <c r="BC18104" s="141"/>
    </row>
    <row r="18105">
      <c r="BB18105" s="122"/>
      <c r="BC18105" s="141"/>
    </row>
    <row r="18106">
      <c r="BB18106" s="122"/>
      <c r="BC18106" s="141"/>
    </row>
    <row r="18107">
      <c r="BB18107" s="122"/>
      <c r="BC18107" s="141"/>
    </row>
    <row r="18108">
      <c r="BB18108" s="122"/>
      <c r="BC18108" s="141"/>
    </row>
    <row r="18109">
      <c r="BB18109" s="122"/>
      <c r="BC18109" s="141"/>
    </row>
    <row r="18110">
      <c r="BB18110" s="122"/>
      <c r="BC18110" s="141"/>
    </row>
    <row r="18111">
      <c r="BB18111" s="122"/>
      <c r="BC18111" s="141"/>
    </row>
    <row r="18112">
      <c r="BB18112" s="122"/>
      <c r="BC18112" s="141"/>
    </row>
    <row r="18113">
      <c r="BB18113" s="122"/>
      <c r="BC18113" s="141"/>
    </row>
    <row r="18114">
      <c r="BB18114" s="122"/>
      <c r="BC18114" s="141"/>
    </row>
    <row r="18115">
      <c r="BB18115" s="122"/>
      <c r="BC18115" s="141"/>
    </row>
    <row r="18116">
      <c r="BB18116" s="122"/>
      <c r="BC18116" s="141"/>
    </row>
    <row r="18117">
      <c r="BB18117" s="122"/>
      <c r="BC18117" s="141"/>
    </row>
    <row r="18118">
      <c r="BB18118" s="122"/>
      <c r="BC18118" s="141"/>
    </row>
    <row r="18119">
      <c r="BB18119" s="122"/>
      <c r="BC18119" s="141"/>
    </row>
    <row r="18120">
      <c r="BB18120" s="122"/>
      <c r="BC18120" s="141"/>
    </row>
    <row r="18121">
      <c r="BB18121" s="122"/>
      <c r="BC18121" s="141"/>
    </row>
    <row r="18122">
      <c r="BB18122" s="122"/>
      <c r="BC18122" s="141"/>
    </row>
    <row r="18123">
      <c r="BB18123" s="122"/>
      <c r="BC18123" s="141"/>
    </row>
    <row r="18124">
      <c r="BB18124" s="122"/>
      <c r="BC18124" s="141"/>
    </row>
    <row r="18125">
      <c r="BB18125" s="122"/>
      <c r="BC18125" s="141"/>
    </row>
    <row r="18126">
      <c r="BB18126" s="122"/>
      <c r="BC18126" s="141"/>
    </row>
    <row r="18127">
      <c r="BB18127" s="122"/>
      <c r="BC18127" s="141"/>
    </row>
    <row r="18128">
      <c r="BB18128" s="122"/>
      <c r="BC18128" s="141"/>
    </row>
    <row r="18129">
      <c r="BB18129" s="122"/>
      <c r="BC18129" s="141"/>
    </row>
    <row r="18130">
      <c r="BB18130" s="122"/>
      <c r="BC18130" s="141"/>
    </row>
    <row r="18131">
      <c r="BB18131" s="122"/>
      <c r="BC18131" s="141"/>
    </row>
    <row r="18132">
      <c r="BB18132" s="122"/>
      <c r="BC18132" s="141"/>
    </row>
    <row r="18133">
      <c r="BB18133" s="122"/>
      <c r="BC18133" s="141"/>
    </row>
    <row r="18134">
      <c r="BB18134" s="122"/>
      <c r="BC18134" s="141"/>
    </row>
    <row r="18135">
      <c r="BB18135" s="122"/>
      <c r="BC18135" s="141"/>
    </row>
    <row r="18136">
      <c r="BB18136" s="122"/>
      <c r="BC18136" s="141"/>
    </row>
    <row r="18137">
      <c r="BB18137" s="122"/>
      <c r="BC18137" s="141"/>
    </row>
    <row r="18138">
      <c r="BB18138" s="122"/>
      <c r="BC18138" s="141"/>
    </row>
    <row r="18139">
      <c r="BB18139" s="122"/>
      <c r="BC18139" s="141"/>
    </row>
    <row r="18140">
      <c r="BB18140" s="122"/>
      <c r="BC18140" s="141"/>
    </row>
    <row r="18141">
      <c r="BB18141" s="122"/>
      <c r="BC18141" s="141"/>
    </row>
    <row r="18142">
      <c r="BB18142" s="122"/>
      <c r="BC18142" s="141"/>
    </row>
    <row r="18143">
      <c r="BB18143" s="122"/>
      <c r="BC18143" s="141"/>
    </row>
    <row r="18144">
      <c r="BB18144" s="122"/>
      <c r="BC18144" s="141"/>
    </row>
    <row r="18145">
      <c r="BB18145" s="122"/>
      <c r="BC18145" s="141"/>
    </row>
    <row r="18146">
      <c r="BB18146" s="122"/>
      <c r="BC18146" s="141"/>
    </row>
    <row r="18147">
      <c r="BB18147" s="122"/>
      <c r="BC18147" s="141"/>
    </row>
    <row r="18148">
      <c r="BB18148" s="122"/>
      <c r="BC18148" s="141"/>
    </row>
    <row r="18149">
      <c r="BB18149" s="122"/>
      <c r="BC18149" s="141"/>
    </row>
    <row r="18150">
      <c r="BB18150" s="122"/>
      <c r="BC18150" s="141"/>
    </row>
    <row r="18151">
      <c r="BB18151" s="122"/>
      <c r="BC18151" s="141"/>
    </row>
    <row r="18152">
      <c r="BB18152" s="122"/>
      <c r="BC18152" s="141"/>
    </row>
    <row r="18153">
      <c r="BB18153" s="122"/>
      <c r="BC18153" s="141"/>
    </row>
    <row r="18154">
      <c r="BB18154" s="122"/>
      <c r="BC18154" s="141"/>
    </row>
    <row r="18155">
      <c r="BB18155" s="122"/>
      <c r="BC18155" s="141"/>
    </row>
    <row r="18156">
      <c r="BB18156" s="122"/>
      <c r="BC18156" s="141"/>
    </row>
    <row r="18157">
      <c r="BB18157" s="122"/>
      <c r="BC18157" s="141"/>
    </row>
    <row r="18158">
      <c r="BB18158" s="122"/>
      <c r="BC18158" s="141"/>
    </row>
    <row r="18159">
      <c r="BB18159" s="122"/>
      <c r="BC18159" s="141"/>
    </row>
    <row r="18160">
      <c r="BB18160" s="122"/>
      <c r="BC18160" s="141"/>
    </row>
    <row r="18161">
      <c r="BB18161" s="122"/>
      <c r="BC18161" s="141"/>
    </row>
    <row r="18162">
      <c r="BB18162" s="122"/>
      <c r="BC18162" s="141"/>
    </row>
    <row r="18163">
      <c r="BB18163" s="122"/>
      <c r="BC18163" s="141"/>
    </row>
    <row r="18164">
      <c r="BB18164" s="122"/>
      <c r="BC18164" s="141"/>
    </row>
    <row r="18165">
      <c r="BB18165" s="122"/>
      <c r="BC18165" s="141"/>
    </row>
    <row r="18166">
      <c r="BB18166" s="122"/>
      <c r="BC18166" s="141"/>
    </row>
    <row r="18167">
      <c r="BB18167" s="122"/>
      <c r="BC18167" s="141"/>
    </row>
    <row r="18168">
      <c r="BB18168" s="122"/>
      <c r="BC18168" s="141"/>
    </row>
    <row r="18169">
      <c r="BB18169" s="122"/>
      <c r="BC18169" s="141"/>
    </row>
    <row r="18170">
      <c r="BB18170" s="122"/>
      <c r="BC18170" s="141"/>
    </row>
    <row r="18171">
      <c r="BB18171" s="122"/>
      <c r="BC18171" s="141"/>
    </row>
    <row r="18172">
      <c r="BB18172" s="122"/>
      <c r="BC18172" s="141"/>
    </row>
    <row r="18173">
      <c r="BB18173" s="122"/>
      <c r="BC18173" s="141"/>
    </row>
    <row r="18174">
      <c r="BB18174" s="122"/>
      <c r="BC18174" s="141"/>
    </row>
    <row r="18175">
      <c r="BB18175" s="122"/>
      <c r="BC18175" s="141"/>
    </row>
    <row r="18176">
      <c r="BB18176" s="122"/>
      <c r="BC18176" s="141"/>
    </row>
    <row r="18177">
      <c r="BB18177" s="122"/>
      <c r="BC18177" s="141"/>
    </row>
    <row r="18178">
      <c r="BB18178" s="122"/>
      <c r="BC18178" s="141"/>
    </row>
    <row r="18179">
      <c r="BB18179" s="122"/>
      <c r="BC18179" s="141"/>
    </row>
    <row r="18180">
      <c r="BB18180" s="122"/>
      <c r="BC18180" s="141"/>
    </row>
    <row r="18181">
      <c r="BB18181" s="122"/>
      <c r="BC18181" s="141"/>
    </row>
    <row r="18182">
      <c r="BB18182" s="122"/>
      <c r="BC18182" s="141"/>
    </row>
    <row r="18183">
      <c r="BB18183" s="122"/>
      <c r="BC18183" s="141"/>
    </row>
    <row r="18184">
      <c r="BB18184" s="122"/>
      <c r="BC18184" s="141"/>
    </row>
    <row r="18185">
      <c r="BB18185" s="122"/>
      <c r="BC18185" s="141"/>
    </row>
    <row r="18186">
      <c r="BB18186" s="122"/>
      <c r="BC18186" s="141"/>
    </row>
    <row r="18187">
      <c r="BB18187" s="122"/>
      <c r="BC18187" s="141"/>
    </row>
    <row r="18188">
      <c r="BB18188" s="122"/>
      <c r="BC18188" s="141"/>
    </row>
    <row r="18189">
      <c r="BB18189" s="122"/>
      <c r="BC18189" s="141"/>
    </row>
    <row r="18190">
      <c r="BB18190" s="122"/>
      <c r="BC18190" s="141"/>
    </row>
    <row r="18191">
      <c r="BB18191" s="122"/>
      <c r="BC18191" s="141"/>
    </row>
    <row r="18192">
      <c r="BB18192" s="122"/>
      <c r="BC18192" s="141"/>
    </row>
    <row r="18193">
      <c r="BB18193" s="122"/>
      <c r="BC18193" s="141"/>
    </row>
    <row r="18194">
      <c r="BB18194" s="122"/>
      <c r="BC18194" s="141"/>
    </row>
    <row r="18195">
      <c r="BB18195" s="122"/>
      <c r="BC18195" s="141"/>
    </row>
    <row r="18196">
      <c r="BB18196" s="122"/>
      <c r="BC18196" s="141"/>
    </row>
    <row r="18197">
      <c r="BB18197" s="122"/>
      <c r="BC18197" s="141"/>
    </row>
    <row r="18198">
      <c r="BB18198" s="122"/>
      <c r="BC18198" s="141"/>
    </row>
    <row r="18199">
      <c r="BB18199" s="122"/>
      <c r="BC18199" s="141"/>
    </row>
    <row r="18200">
      <c r="BB18200" s="122"/>
      <c r="BC18200" s="141"/>
    </row>
    <row r="18201">
      <c r="BB18201" s="122"/>
      <c r="BC18201" s="141"/>
    </row>
    <row r="18202">
      <c r="BB18202" s="122"/>
      <c r="BC18202" s="141"/>
    </row>
    <row r="18203">
      <c r="BB18203" s="122"/>
      <c r="BC18203" s="141"/>
    </row>
    <row r="18204">
      <c r="BB18204" s="122"/>
      <c r="BC18204" s="141"/>
    </row>
    <row r="18205">
      <c r="BB18205" s="122"/>
      <c r="BC18205" s="141"/>
    </row>
    <row r="18206">
      <c r="BB18206" s="122"/>
      <c r="BC18206" s="141"/>
    </row>
    <row r="18207">
      <c r="BB18207" s="122"/>
      <c r="BC18207" s="141"/>
    </row>
    <row r="18208">
      <c r="BB18208" s="122"/>
      <c r="BC18208" s="141"/>
    </row>
    <row r="18209">
      <c r="BB18209" s="122"/>
      <c r="BC18209" s="141"/>
    </row>
    <row r="18210">
      <c r="BB18210" s="122"/>
      <c r="BC18210" s="141"/>
    </row>
    <row r="18211">
      <c r="BB18211" s="122"/>
      <c r="BC18211" s="141"/>
    </row>
    <row r="18212">
      <c r="BB18212" s="122"/>
      <c r="BC18212" s="141"/>
    </row>
    <row r="18213">
      <c r="BB18213" s="122"/>
      <c r="BC18213" s="141"/>
    </row>
    <row r="18214">
      <c r="BB18214" s="122"/>
      <c r="BC18214" s="141"/>
    </row>
    <row r="18215">
      <c r="BB18215" s="122"/>
      <c r="BC18215" s="141"/>
    </row>
    <row r="18216">
      <c r="BB18216" s="122"/>
      <c r="BC18216" s="141"/>
    </row>
    <row r="18217">
      <c r="BB18217" s="122"/>
      <c r="BC18217" s="141"/>
    </row>
    <row r="18218">
      <c r="BB18218" s="122"/>
      <c r="BC18218" s="141"/>
    </row>
    <row r="18219">
      <c r="BB18219" s="122"/>
      <c r="BC18219" s="141"/>
    </row>
    <row r="18220">
      <c r="BB18220" s="122"/>
      <c r="BC18220" s="141"/>
    </row>
    <row r="18221">
      <c r="BB18221" s="122"/>
      <c r="BC18221" s="141"/>
    </row>
    <row r="18222">
      <c r="BB18222" s="122"/>
      <c r="BC18222" s="141"/>
    </row>
    <row r="18223">
      <c r="BB18223" s="122"/>
      <c r="BC18223" s="141"/>
    </row>
    <row r="18224">
      <c r="BB18224" s="122"/>
      <c r="BC18224" s="141"/>
    </row>
    <row r="18225">
      <c r="BB18225" s="122"/>
      <c r="BC18225" s="141"/>
    </row>
    <row r="18226">
      <c r="BB18226" s="122"/>
      <c r="BC18226" s="141"/>
    </row>
    <row r="18227">
      <c r="BB18227" s="122"/>
      <c r="BC18227" s="141"/>
    </row>
    <row r="18228">
      <c r="BB18228" s="122"/>
      <c r="BC18228" s="141"/>
    </row>
    <row r="18229">
      <c r="BB18229" s="122"/>
      <c r="BC18229" s="141"/>
    </row>
    <row r="18230">
      <c r="BB18230" s="122"/>
      <c r="BC18230" s="141"/>
    </row>
    <row r="18231">
      <c r="BB18231" s="122"/>
      <c r="BC18231" s="141"/>
    </row>
    <row r="18232">
      <c r="BB18232" s="122"/>
      <c r="BC18232" s="141"/>
    </row>
    <row r="18233">
      <c r="BB18233" s="122"/>
      <c r="BC18233" s="141"/>
    </row>
    <row r="18234">
      <c r="BB18234" s="122"/>
      <c r="BC18234" s="141"/>
    </row>
    <row r="18235">
      <c r="BB18235" s="122"/>
      <c r="BC18235" s="141"/>
    </row>
    <row r="18236">
      <c r="BB18236" s="122"/>
      <c r="BC18236" s="141"/>
    </row>
    <row r="18237">
      <c r="BB18237" s="122"/>
      <c r="BC18237" s="141"/>
    </row>
    <row r="18238">
      <c r="BB18238" s="122"/>
      <c r="BC18238" s="141"/>
    </row>
    <row r="18239">
      <c r="BB18239" s="122"/>
      <c r="BC18239" s="141"/>
    </row>
    <row r="18240">
      <c r="BB18240" s="122"/>
      <c r="BC18240" s="141"/>
    </row>
    <row r="18241">
      <c r="BB18241" s="122"/>
      <c r="BC18241" s="141"/>
    </row>
    <row r="18242">
      <c r="BB18242" s="122"/>
      <c r="BC18242" s="141"/>
    </row>
    <row r="18243">
      <c r="BB18243" s="122"/>
      <c r="BC18243" s="141"/>
    </row>
    <row r="18244">
      <c r="BB18244" s="122"/>
      <c r="BC18244" s="141"/>
    </row>
    <row r="18245">
      <c r="BB18245" s="122"/>
      <c r="BC18245" s="141"/>
    </row>
    <row r="18246">
      <c r="BB18246" s="122"/>
      <c r="BC18246" s="141"/>
    </row>
    <row r="18247">
      <c r="BB18247" s="122"/>
      <c r="BC18247" s="141"/>
    </row>
    <row r="18248">
      <c r="BB18248" s="122"/>
      <c r="BC18248" s="141"/>
    </row>
    <row r="18249">
      <c r="BB18249" s="122"/>
      <c r="BC18249" s="141"/>
    </row>
    <row r="18250">
      <c r="BB18250" s="122"/>
      <c r="BC18250" s="141"/>
    </row>
    <row r="18251">
      <c r="BB18251" s="122"/>
      <c r="BC18251" s="141"/>
    </row>
    <row r="18252">
      <c r="BB18252" s="122"/>
      <c r="BC18252" s="141"/>
    </row>
    <row r="18253">
      <c r="BB18253" s="122"/>
      <c r="BC18253" s="141"/>
    </row>
    <row r="18254">
      <c r="BB18254" s="122"/>
      <c r="BC18254" s="141"/>
    </row>
    <row r="18255">
      <c r="BB18255" s="122"/>
      <c r="BC18255" s="141"/>
    </row>
    <row r="18256">
      <c r="BB18256" s="122"/>
      <c r="BC18256" s="141"/>
    </row>
    <row r="18257">
      <c r="BB18257" s="122"/>
      <c r="BC18257" s="141"/>
    </row>
    <row r="18258">
      <c r="BB18258" s="122"/>
      <c r="BC18258" s="141"/>
    </row>
    <row r="18259">
      <c r="BB18259" s="122"/>
      <c r="BC18259" s="141"/>
    </row>
    <row r="18260">
      <c r="BB18260" s="122"/>
      <c r="BC18260" s="141"/>
    </row>
    <row r="18261">
      <c r="BB18261" s="122"/>
      <c r="BC18261" s="141"/>
    </row>
    <row r="18262">
      <c r="BB18262" s="122"/>
      <c r="BC18262" s="141"/>
    </row>
    <row r="18263">
      <c r="BB18263" s="122"/>
      <c r="BC18263" s="141"/>
    </row>
    <row r="18264">
      <c r="BB18264" s="122"/>
      <c r="BC18264" s="141"/>
    </row>
    <row r="18265">
      <c r="BB18265" s="122"/>
      <c r="BC18265" s="141"/>
    </row>
    <row r="18266">
      <c r="BB18266" s="122"/>
      <c r="BC18266" s="141"/>
    </row>
    <row r="18267">
      <c r="BB18267" s="122"/>
      <c r="BC18267" s="141"/>
    </row>
    <row r="18268">
      <c r="BB18268" s="122"/>
      <c r="BC18268" s="141"/>
    </row>
    <row r="18269">
      <c r="BB18269" s="122"/>
      <c r="BC18269" s="141"/>
    </row>
    <row r="18270">
      <c r="BB18270" s="122"/>
      <c r="BC18270" s="141"/>
    </row>
    <row r="18271">
      <c r="BB18271" s="122"/>
      <c r="BC18271" s="141"/>
    </row>
    <row r="18272">
      <c r="BB18272" s="122"/>
      <c r="BC18272" s="141"/>
    </row>
    <row r="18273">
      <c r="BB18273" s="122"/>
      <c r="BC18273" s="141"/>
    </row>
    <row r="18274">
      <c r="BB18274" s="122"/>
      <c r="BC18274" s="141"/>
    </row>
    <row r="18275">
      <c r="BB18275" s="122"/>
      <c r="BC18275" s="141"/>
    </row>
    <row r="18276">
      <c r="BB18276" s="122"/>
      <c r="BC18276" s="141"/>
    </row>
    <row r="18277">
      <c r="BB18277" s="122"/>
      <c r="BC18277" s="141"/>
    </row>
    <row r="18278">
      <c r="BB18278" s="122"/>
      <c r="BC18278" s="141"/>
    </row>
    <row r="18279">
      <c r="BB18279" s="122"/>
      <c r="BC18279" s="141"/>
    </row>
    <row r="18280">
      <c r="BB18280" s="122"/>
      <c r="BC18280" s="141"/>
    </row>
    <row r="18281">
      <c r="BB18281" s="122"/>
      <c r="BC18281" s="141"/>
    </row>
    <row r="18282">
      <c r="BB18282" s="122"/>
      <c r="BC18282" s="141"/>
    </row>
    <row r="18283">
      <c r="BB18283" s="122"/>
      <c r="BC18283" s="141"/>
    </row>
    <row r="18284">
      <c r="BB18284" s="122"/>
      <c r="BC18284" s="141"/>
    </row>
    <row r="18285">
      <c r="BB18285" s="122"/>
      <c r="BC18285" s="141"/>
    </row>
    <row r="18286">
      <c r="BB18286" s="122"/>
      <c r="BC18286" s="141"/>
    </row>
    <row r="18287">
      <c r="BB18287" s="122"/>
      <c r="BC18287" s="141"/>
    </row>
    <row r="18288">
      <c r="BB18288" s="122"/>
      <c r="BC18288" s="141"/>
    </row>
    <row r="18289">
      <c r="BB18289" s="122"/>
      <c r="BC18289" s="141"/>
    </row>
    <row r="18290">
      <c r="BB18290" s="122"/>
      <c r="BC18290" s="141"/>
    </row>
    <row r="18291">
      <c r="BB18291" s="122"/>
      <c r="BC18291" s="141"/>
    </row>
    <row r="18292">
      <c r="BB18292" s="122"/>
      <c r="BC18292" s="141"/>
    </row>
    <row r="18293">
      <c r="BB18293" s="122"/>
      <c r="BC18293" s="141"/>
    </row>
    <row r="18294">
      <c r="BB18294" s="122"/>
      <c r="BC18294" s="141"/>
    </row>
    <row r="18295">
      <c r="BB18295" s="122"/>
      <c r="BC18295" s="141"/>
    </row>
    <row r="18296">
      <c r="BB18296" s="122"/>
      <c r="BC18296" s="141"/>
    </row>
    <row r="18297">
      <c r="BB18297" s="122"/>
      <c r="BC18297" s="141"/>
    </row>
    <row r="18298">
      <c r="BB18298" s="122"/>
      <c r="BC18298" s="141"/>
    </row>
    <row r="18299">
      <c r="BB18299" s="122"/>
      <c r="BC18299" s="141"/>
    </row>
    <row r="18300">
      <c r="BB18300" s="122"/>
      <c r="BC18300" s="141"/>
    </row>
    <row r="18301">
      <c r="BB18301" s="122"/>
      <c r="BC18301" s="141"/>
    </row>
    <row r="18302">
      <c r="BB18302" s="122"/>
      <c r="BC18302" s="141"/>
    </row>
    <row r="18303">
      <c r="BB18303" s="122"/>
      <c r="BC18303" s="141"/>
    </row>
    <row r="18304">
      <c r="BB18304" s="122"/>
      <c r="BC18304" s="141"/>
    </row>
    <row r="18305">
      <c r="BB18305" s="122"/>
      <c r="BC18305" s="141"/>
    </row>
    <row r="18306">
      <c r="BB18306" s="122"/>
      <c r="BC18306" s="141"/>
    </row>
    <row r="18307">
      <c r="BB18307" s="122"/>
      <c r="BC18307" s="141"/>
    </row>
    <row r="18308">
      <c r="BB18308" s="122"/>
      <c r="BC18308" s="141"/>
    </row>
    <row r="18309">
      <c r="BB18309" s="122"/>
      <c r="BC18309" s="141"/>
    </row>
    <row r="18310">
      <c r="BB18310" s="122"/>
      <c r="BC18310" s="141"/>
    </row>
    <row r="18311">
      <c r="BB18311" s="122"/>
      <c r="BC18311" s="141"/>
    </row>
    <row r="18312">
      <c r="BB18312" s="122"/>
      <c r="BC18312" s="141"/>
    </row>
    <row r="18313">
      <c r="BB18313" s="122"/>
      <c r="BC18313" s="141"/>
    </row>
    <row r="18314">
      <c r="BB18314" s="122"/>
      <c r="BC18314" s="141"/>
    </row>
    <row r="18315">
      <c r="BB18315" s="122"/>
      <c r="BC18315" s="141"/>
    </row>
    <row r="18316">
      <c r="BB18316" s="122"/>
      <c r="BC18316" s="141"/>
    </row>
    <row r="18317">
      <c r="BB18317" s="122"/>
      <c r="BC18317" s="141"/>
    </row>
    <row r="18318">
      <c r="BB18318" s="122"/>
      <c r="BC18318" s="141"/>
    </row>
    <row r="18319">
      <c r="BB18319" s="122"/>
      <c r="BC18319" s="141"/>
    </row>
    <row r="18320">
      <c r="BB18320" s="122"/>
      <c r="BC18320" s="141"/>
    </row>
    <row r="18321">
      <c r="BB18321" s="122"/>
      <c r="BC18321" s="141"/>
    </row>
    <row r="18322">
      <c r="BB18322" s="122"/>
      <c r="BC18322" s="141"/>
    </row>
    <row r="18323">
      <c r="BB18323" s="122"/>
      <c r="BC18323" s="141"/>
    </row>
    <row r="18324">
      <c r="BB18324" s="122"/>
      <c r="BC18324" s="141"/>
    </row>
    <row r="18325">
      <c r="BB18325" s="122"/>
      <c r="BC18325" s="141"/>
    </row>
    <row r="18326">
      <c r="BB18326" s="122"/>
      <c r="BC18326" s="141"/>
    </row>
    <row r="18327">
      <c r="BB18327" s="122"/>
      <c r="BC18327" s="141"/>
    </row>
    <row r="18328">
      <c r="BB18328" s="122"/>
      <c r="BC18328" s="141"/>
    </row>
    <row r="18329">
      <c r="BB18329" s="122"/>
      <c r="BC18329" s="141"/>
    </row>
    <row r="18330">
      <c r="BB18330" s="122"/>
      <c r="BC18330" s="141"/>
    </row>
    <row r="18331">
      <c r="BB18331" s="122"/>
      <c r="BC18331" s="141"/>
    </row>
    <row r="18332">
      <c r="BB18332" s="122"/>
      <c r="BC18332" s="141"/>
    </row>
    <row r="18333">
      <c r="BB18333" s="122"/>
      <c r="BC18333" s="141"/>
    </row>
    <row r="18334">
      <c r="BB18334" s="122"/>
      <c r="BC18334" s="141"/>
    </row>
    <row r="18335">
      <c r="BB18335" s="122"/>
      <c r="BC18335" s="141"/>
    </row>
    <row r="18336">
      <c r="BB18336" s="122"/>
      <c r="BC18336" s="141"/>
    </row>
    <row r="18337">
      <c r="BB18337" s="122"/>
      <c r="BC18337" s="141"/>
    </row>
    <row r="18338">
      <c r="BB18338" s="122"/>
      <c r="BC18338" s="141"/>
    </row>
    <row r="18339">
      <c r="BB18339" s="122"/>
      <c r="BC18339" s="141"/>
    </row>
    <row r="18340">
      <c r="BB18340" s="122"/>
      <c r="BC18340" s="141"/>
    </row>
    <row r="18341">
      <c r="BB18341" s="122"/>
      <c r="BC18341" s="141"/>
    </row>
    <row r="18342">
      <c r="BB18342" s="122"/>
      <c r="BC18342" s="141"/>
    </row>
    <row r="18343">
      <c r="BB18343" s="122"/>
      <c r="BC18343" s="141"/>
    </row>
    <row r="18344">
      <c r="BB18344" s="122"/>
      <c r="BC18344" s="141"/>
    </row>
    <row r="18345">
      <c r="BB18345" s="122"/>
      <c r="BC18345" s="141"/>
    </row>
    <row r="18346">
      <c r="BB18346" s="122"/>
      <c r="BC18346" s="141"/>
    </row>
    <row r="18347">
      <c r="BB18347" s="122"/>
      <c r="BC18347" s="141"/>
    </row>
    <row r="18348">
      <c r="BB18348" s="122"/>
      <c r="BC18348" s="141"/>
    </row>
    <row r="18349">
      <c r="BB18349" s="122"/>
      <c r="BC18349" s="141"/>
    </row>
    <row r="18350">
      <c r="BB18350" s="122"/>
      <c r="BC18350" s="141"/>
    </row>
    <row r="18351">
      <c r="BB18351" s="122"/>
      <c r="BC18351" s="141"/>
    </row>
    <row r="18352">
      <c r="BB18352" s="122"/>
      <c r="BC18352" s="141"/>
    </row>
    <row r="18353">
      <c r="BB18353" s="122"/>
      <c r="BC18353" s="141"/>
    </row>
    <row r="18354">
      <c r="BB18354" s="122"/>
      <c r="BC18354" s="141"/>
    </row>
    <row r="18355">
      <c r="BB18355" s="122"/>
      <c r="BC18355" s="141"/>
    </row>
    <row r="18356">
      <c r="BB18356" s="122"/>
      <c r="BC18356" s="141"/>
    </row>
    <row r="18357">
      <c r="BB18357" s="122"/>
      <c r="BC18357" s="141"/>
    </row>
    <row r="18358">
      <c r="BB18358" s="122"/>
      <c r="BC18358" s="141"/>
    </row>
    <row r="18359">
      <c r="BB18359" s="122"/>
      <c r="BC18359" s="141"/>
    </row>
    <row r="18360">
      <c r="BB18360" s="122"/>
      <c r="BC18360" s="141"/>
    </row>
    <row r="18361">
      <c r="BB18361" s="122"/>
      <c r="BC18361" s="141"/>
    </row>
    <row r="18362">
      <c r="BB18362" s="122"/>
      <c r="BC18362" s="141"/>
    </row>
    <row r="18363">
      <c r="BB18363" s="122"/>
      <c r="BC18363" s="141"/>
    </row>
    <row r="18364">
      <c r="BB18364" s="122"/>
      <c r="BC18364" s="141"/>
    </row>
    <row r="18365">
      <c r="BB18365" s="122"/>
      <c r="BC18365" s="141"/>
    </row>
    <row r="18366">
      <c r="BB18366" s="122"/>
      <c r="BC18366" s="141"/>
    </row>
    <row r="18367">
      <c r="BB18367" s="122"/>
      <c r="BC18367" s="141"/>
    </row>
    <row r="18368">
      <c r="BB18368" s="122"/>
      <c r="BC18368" s="141"/>
    </row>
    <row r="18369">
      <c r="BB18369" s="122"/>
      <c r="BC18369" s="141"/>
    </row>
    <row r="18370">
      <c r="BB18370" s="122"/>
      <c r="BC18370" s="141"/>
    </row>
    <row r="18371">
      <c r="BB18371" s="122"/>
      <c r="BC18371" s="141"/>
    </row>
    <row r="18372">
      <c r="BB18372" s="122"/>
      <c r="BC18372" s="141"/>
    </row>
    <row r="18373">
      <c r="BB18373" s="122"/>
      <c r="BC18373" s="141"/>
    </row>
    <row r="18374">
      <c r="BB18374" s="122"/>
      <c r="BC18374" s="141"/>
    </row>
    <row r="18375">
      <c r="BB18375" s="122"/>
      <c r="BC18375" s="141"/>
    </row>
    <row r="18376">
      <c r="BB18376" s="122"/>
      <c r="BC18376" s="141"/>
    </row>
    <row r="18377">
      <c r="BB18377" s="122"/>
      <c r="BC18377" s="141"/>
    </row>
    <row r="18378">
      <c r="BB18378" s="122"/>
      <c r="BC18378" s="141"/>
    </row>
    <row r="18379">
      <c r="BB18379" s="122"/>
      <c r="BC18379" s="141"/>
    </row>
    <row r="18380">
      <c r="BB18380" s="122"/>
      <c r="BC18380" s="141"/>
    </row>
    <row r="18381">
      <c r="BB18381" s="122"/>
      <c r="BC18381" s="141"/>
    </row>
    <row r="18382">
      <c r="BB18382" s="122"/>
      <c r="BC18382" s="141"/>
    </row>
    <row r="18383">
      <c r="BB18383" s="122"/>
      <c r="BC18383" s="141"/>
    </row>
    <row r="18384">
      <c r="BB18384" s="122"/>
      <c r="BC18384" s="141"/>
    </row>
    <row r="18385">
      <c r="BB18385" s="122"/>
      <c r="BC18385" s="141"/>
    </row>
    <row r="18386">
      <c r="BB18386" s="122"/>
      <c r="BC18386" s="141"/>
    </row>
    <row r="18387">
      <c r="BB18387" s="122"/>
      <c r="BC18387" s="141"/>
    </row>
    <row r="18388">
      <c r="BB18388" s="122"/>
      <c r="BC18388" s="141"/>
    </row>
    <row r="18389">
      <c r="BB18389" s="122"/>
      <c r="BC18389" s="141"/>
    </row>
    <row r="18390">
      <c r="BB18390" s="122"/>
      <c r="BC18390" s="141"/>
    </row>
    <row r="18391">
      <c r="BB18391" s="122"/>
      <c r="BC18391" s="141"/>
    </row>
    <row r="18392">
      <c r="BB18392" s="122"/>
      <c r="BC18392" s="141"/>
    </row>
    <row r="18393">
      <c r="BB18393" s="122"/>
      <c r="BC18393" s="141"/>
    </row>
    <row r="18394">
      <c r="BB18394" s="122"/>
      <c r="BC18394" s="141"/>
    </row>
    <row r="18395">
      <c r="BB18395" s="122"/>
      <c r="BC18395" s="141"/>
    </row>
    <row r="18396">
      <c r="BB18396" s="122"/>
      <c r="BC18396" s="141"/>
    </row>
    <row r="18397">
      <c r="BB18397" s="122"/>
      <c r="BC18397" s="141"/>
    </row>
    <row r="18398">
      <c r="BB18398" s="122"/>
      <c r="BC18398" s="141"/>
    </row>
    <row r="18399">
      <c r="BB18399" s="122"/>
      <c r="BC18399" s="141"/>
    </row>
    <row r="18400">
      <c r="BB18400" s="122"/>
      <c r="BC18400" s="141"/>
    </row>
    <row r="18401">
      <c r="BB18401" s="122"/>
      <c r="BC18401" s="141"/>
    </row>
    <row r="18402">
      <c r="BB18402" s="122"/>
      <c r="BC18402" s="141"/>
    </row>
    <row r="18403">
      <c r="BB18403" s="122"/>
      <c r="BC18403" s="141"/>
    </row>
    <row r="18404">
      <c r="BB18404" s="122"/>
      <c r="BC18404" s="141"/>
    </row>
    <row r="18405">
      <c r="BB18405" s="122"/>
      <c r="BC18405" s="141"/>
    </row>
    <row r="18406">
      <c r="BB18406" s="122"/>
      <c r="BC18406" s="141"/>
    </row>
    <row r="18407">
      <c r="BB18407" s="122"/>
      <c r="BC18407" s="141"/>
    </row>
    <row r="18408">
      <c r="BB18408" s="122"/>
      <c r="BC18408" s="141"/>
    </row>
    <row r="18409">
      <c r="BB18409" s="122"/>
      <c r="BC18409" s="141"/>
    </row>
    <row r="18410">
      <c r="BB18410" s="122"/>
      <c r="BC18410" s="141"/>
    </row>
    <row r="18411">
      <c r="BB18411" s="122"/>
      <c r="BC18411" s="141"/>
    </row>
    <row r="18412">
      <c r="BB18412" s="122"/>
      <c r="BC18412" s="141"/>
    </row>
    <row r="18413">
      <c r="BB18413" s="122"/>
      <c r="BC18413" s="141"/>
    </row>
    <row r="18414">
      <c r="BB18414" s="122"/>
      <c r="BC18414" s="141"/>
    </row>
    <row r="18415">
      <c r="BB18415" s="122"/>
      <c r="BC18415" s="141"/>
    </row>
    <row r="18416">
      <c r="BB18416" s="122"/>
      <c r="BC18416" s="141"/>
    </row>
    <row r="18417">
      <c r="BB18417" s="122"/>
      <c r="BC18417" s="141"/>
    </row>
    <row r="18418">
      <c r="BB18418" s="122"/>
      <c r="BC18418" s="141"/>
    </row>
    <row r="18419">
      <c r="BB18419" s="122"/>
      <c r="BC18419" s="141"/>
    </row>
    <row r="18420">
      <c r="BB18420" s="122"/>
      <c r="BC18420" s="141"/>
    </row>
    <row r="18421">
      <c r="BB18421" s="122"/>
      <c r="BC18421" s="141"/>
    </row>
    <row r="18422">
      <c r="BB18422" s="122"/>
      <c r="BC18422" s="141"/>
    </row>
    <row r="18423">
      <c r="BB18423" s="122"/>
      <c r="BC18423" s="141"/>
    </row>
    <row r="18424">
      <c r="BB18424" s="122"/>
      <c r="BC18424" s="141"/>
    </row>
    <row r="18425">
      <c r="BB18425" s="122"/>
      <c r="BC18425" s="141"/>
    </row>
    <row r="18426">
      <c r="BB18426" s="122"/>
      <c r="BC18426" s="141"/>
    </row>
    <row r="18427">
      <c r="BB18427" s="122"/>
      <c r="BC18427" s="141"/>
    </row>
    <row r="18428">
      <c r="BB18428" s="122"/>
      <c r="BC18428" s="141"/>
    </row>
    <row r="18429">
      <c r="BB18429" s="122"/>
      <c r="BC18429" s="141"/>
    </row>
    <row r="18430">
      <c r="BB18430" s="122"/>
      <c r="BC18430" s="141"/>
    </row>
    <row r="18431">
      <c r="BB18431" s="122"/>
      <c r="BC18431" s="141"/>
    </row>
    <row r="18432">
      <c r="BB18432" s="122"/>
      <c r="BC18432" s="141"/>
    </row>
    <row r="18433">
      <c r="BB18433" s="122"/>
      <c r="BC18433" s="141"/>
    </row>
    <row r="18434">
      <c r="BB18434" s="122"/>
      <c r="BC18434" s="141"/>
    </row>
    <row r="18435">
      <c r="BB18435" s="122"/>
      <c r="BC18435" s="141"/>
    </row>
    <row r="18436">
      <c r="BB18436" s="122"/>
      <c r="BC18436" s="141"/>
    </row>
    <row r="18437">
      <c r="BB18437" s="122"/>
      <c r="BC18437" s="141"/>
    </row>
    <row r="18438">
      <c r="BB18438" s="122"/>
      <c r="BC18438" s="141"/>
    </row>
    <row r="18439">
      <c r="BB18439" s="122"/>
      <c r="BC18439" s="141"/>
    </row>
    <row r="18440">
      <c r="BB18440" s="122"/>
      <c r="BC18440" s="141"/>
    </row>
    <row r="18441">
      <c r="BB18441" s="122"/>
      <c r="BC18441" s="141"/>
    </row>
    <row r="18442">
      <c r="BB18442" s="122"/>
      <c r="BC18442" s="141"/>
    </row>
    <row r="18443">
      <c r="BB18443" s="122"/>
      <c r="BC18443" s="141"/>
    </row>
    <row r="18444">
      <c r="BB18444" s="122"/>
      <c r="BC18444" s="141"/>
    </row>
    <row r="18445">
      <c r="BB18445" s="122"/>
      <c r="BC18445" s="141"/>
    </row>
    <row r="18446">
      <c r="BB18446" s="122"/>
      <c r="BC18446" s="141"/>
    </row>
    <row r="18447">
      <c r="BB18447" s="122"/>
      <c r="BC18447" s="141"/>
    </row>
    <row r="18448">
      <c r="BB18448" s="122"/>
      <c r="BC18448" s="141"/>
    </row>
    <row r="18449">
      <c r="BB18449" s="122"/>
      <c r="BC18449" s="141"/>
    </row>
    <row r="18450">
      <c r="BB18450" s="122"/>
      <c r="BC18450" s="141"/>
    </row>
    <row r="18451">
      <c r="BB18451" s="122"/>
      <c r="BC18451" s="141"/>
    </row>
    <row r="18452">
      <c r="BB18452" s="122"/>
      <c r="BC18452" s="141"/>
    </row>
    <row r="18453">
      <c r="BB18453" s="122"/>
      <c r="BC18453" s="141"/>
    </row>
    <row r="18454">
      <c r="BB18454" s="122"/>
      <c r="BC18454" s="141"/>
    </row>
    <row r="18455">
      <c r="BB18455" s="122"/>
      <c r="BC18455" s="141"/>
    </row>
    <row r="18456">
      <c r="BB18456" s="122"/>
      <c r="BC18456" s="141"/>
    </row>
    <row r="18457">
      <c r="BB18457" s="122"/>
      <c r="BC18457" s="141"/>
    </row>
    <row r="18458">
      <c r="BB18458" s="122"/>
      <c r="BC18458" s="141"/>
    </row>
    <row r="18459">
      <c r="BB18459" s="122"/>
      <c r="BC18459" s="141"/>
    </row>
    <row r="18460">
      <c r="BB18460" s="122"/>
      <c r="BC18460" s="141"/>
    </row>
    <row r="18461">
      <c r="BB18461" s="122"/>
      <c r="BC18461" s="141"/>
    </row>
    <row r="18462">
      <c r="BB18462" s="122"/>
      <c r="BC18462" s="141"/>
    </row>
    <row r="18463">
      <c r="BB18463" s="122"/>
      <c r="BC18463" s="141"/>
    </row>
    <row r="18464">
      <c r="BB18464" s="122"/>
      <c r="BC18464" s="141"/>
    </row>
    <row r="18465">
      <c r="BB18465" s="122"/>
      <c r="BC18465" s="141"/>
    </row>
    <row r="18466">
      <c r="BB18466" s="122"/>
      <c r="BC18466" s="141"/>
    </row>
    <row r="18467">
      <c r="BB18467" s="122"/>
      <c r="BC18467" s="141"/>
    </row>
    <row r="18468">
      <c r="BB18468" s="122"/>
      <c r="BC18468" s="141"/>
    </row>
    <row r="18469">
      <c r="BB18469" s="122"/>
      <c r="BC18469" s="141"/>
    </row>
    <row r="18470">
      <c r="BB18470" s="122"/>
      <c r="BC18470" s="141"/>
    </row>
    <row r="18471">
      <c r="BB18471" s="122"/>
      <c r="BC18471" s="141"/>
    </row>
    <row r="18472">
      <c r="BB18472" s="122"/>
      <c r="BC18472" s="141"/>
    </row>
    <row r="18473">
      <c r="BB18473" s="122"/>
      <c r="BC18473" s="141"/>
    </row>
    <row r="18474">
      <c r="BB18474" s="122"/>
      <c r="BC18474" s="141"/>
    </row>
    <row r="18475">
      <c r="BB18475" s="122"/>
      <c r="BC18475" s="141"/>
    </row>
    <row r="18476">
      <c r="BB18476" s="122"/>
      <c r="BC18476" s="141"/>
    </row>
    <row r="18477">
      <c r="BB18477" s="122"/>
      <c r="BC18477" s="141"/>
    </row>
    <row r="18478">
      <c r="BB18478" s="122"/>
      <c r="BC18478" s="141"/>
    </row>
    <row r="18479">
      <c r="BB18479" s="122"/>
      <c r="BC18479" s="141"/>
    </row>
    <row r="18480">
      <c r="BB18480" s="122"/>
      <c r="BC18480" s="141"/>
    </row>
    <row r="18481">
      <c r="BB18481" s="122"/>
      <c r="BC18481" s="141"/>
    </row>
    <row r="18482">
      <c r="BB18482" s="122"/>
      <c r="BC18482" s="141"/>
    </row>
    <row r="18483">
      <c r="BB18483" s="122"/>
      <c r="BC18483" s="141"/>
    </row>
    <row r="18484">
      <c r="BB18484" s="122"/>
      <c r="BC18484" s="141"/>
    </row>
    <row r="18485">
      <c r="BB18485" s="122"/>
      <c r="BC18485" s="141"/>
    </row>
    <row r="18486">
      <c r="BB18486" s="122"/>
      <c r="BC18486" s="141"/>
    </row>
    <row r="18487">
      <c r="BB18487" s="122"/>
      <c r="BC18487" s="141"/>
    </row>
    <row r="18488">
      <c r="BB18488" s="122"/>
      <c r="BC18488" s="141"/>
    </row>
    <row r="18489">
      <c r="BB18489" s="122"/>
      <c r="BC18489" s="141"/>
    </row>
    <row r="18490">
      <c r="BB18490" s="122"/>
      <c r="BC18490" s="141"/>
    </row>
    <row r="18491">
      <c r="BB18491" s="122"/>
      <c r="BC18491" s="141"/>
    </row>
    <row r="18492">
      <c r="BB18492" s="122"/>
      <c r="BC18492" s="141"/>
    </row>
    <row r="18493">
      <c r="BB18493" s="122"/>
      <c r="BC18493" s="141"/>
    </row>
    <row r="18494">
      <c r="BB18494" s="122"/>
      <c r="BC18494" s="141"/>
    </row>
    <row r="18495">
      <c r="BB18495" s="122"/>
      <c r="BC18495" s="141"/>
    </row>
    <row r="18496">
      <c r="BB18496" s="122"/>
      <c r="BC18496" s="141"/>
    </row>
    <row r="18497">
      <c r="BB18497" s="122"/>
      <c r="BC18497" s="141"/>
    </row>
    <row r="18498">
      <c r="BB18498" s="122"/>
      <c r="BC18498" s="141"/>
    </row>
    <row r="18499">
      <c r="BB18499" s="122"/>
      <c r="BC18499" s="141"/>
    </row>
    <row r="18500">
      <c r="BB18500" s="122"/>
      <c r="BC18500" s="141"/>
    </row>
    <row r="18501">
      <c r="BB18501" s="122"/>
      <c r="BC18501" s="141"/>
    </row>
    <row r="18502">
      <c r="BB18502" s="122"/>
      <c r="BC18502" s="141"/>
    </row>
    <row r="18503">
      <c r="BB18503" s="122"/>
      <c r="BC18503" s="141"/>
    </row>
    <row r="18504">
      <c r="BB18504" s="122"/>
      <c r="BC18504" s="141"/>
    </row>
    <row r="18505">
      <c r="BB18505" s="122"/>
      <c r="BC18505" s="141"/>
    </row>
    <row r="18506">
      <c r="BB18506" s="122"/>
      <c r="BC18506" s="141"/>
    </row>
    <row r="18507">
      <c r="BB18507" s="122"/>
      <c r="BC18507" s="141"/>
    </row>
    <row r="18508">
      <c r="BB18508" s="122"/>
      <c r="BC18508" s="141"/>
    </row>
    <row r="18509">
      <c r="BB18509" s="122"/>
      <c r="BC18509" s="141"/>
    </row>
    <row r="18510">
      <c r="BB18510" s="122"/>
      <c r="BC18510" s="141"/>
    </row>
    <row r="18511">
      <c r="BB18511" s="122"/>
      <c r="BC18511" s="141"/>
    </row>
    <row r="18512">
      <c r="BB18512" s="122"/>
      <c r="BC18512" s="141"/>
    </row>
    <row r="18513">
      <c r="BB18513" s="122"/>
      <c r="BC18513" s="141"/>
    </row>
    <row r="18514">
      <c r="BB18514" s="122"/>
      <c r="BC18514" s="141"/>
    </row>
    <row r="18515">
      <c r="BB18515" s="122"/>
      <c r="BC18515" s="141"/>
    </row>
    <row r="18516">
      <c r="BB18516" s="122"/>
      <c r="BC18516" s="141"/>
    </row>
    <row r="18517">
      <c r="BB18517" s="122"/>
      <c r="BC18517" s="141"/>
    </row>
    <row r="18518">
      <c r="BB18518" s="122"/>
      <c r="BC18518" s="141"/>
    </row>
    <row r="18519">
      <c r="BB18519" s="122"/>
      <c r="BC18519" s="141"/>
    </row>
    <row r="18520">
      <c r="BB18520" s="122"/>
      <c r="BC18520" s="141"/>
    </row>
    <row r="18521">
      <c r="BB18521" s="122"/>
      <c r="BC18521" s="141"/>
    </row>
    <row r="18522">
      <c r="BB18522" s="122"/>
      <c r="BC18522" s="141"/>
    </row>
    <row r="18523">
      <c r="BB18523" s="122"/>
      <c r="BC18523" s="141"/>
    </row>
    <row r="18524">
      <c r="BB18524" s="122"/>
      <c r="BC18524" s="141"/>
    </row>
    <row r="18525">
      <c r="BB18525" s="122"/>
      <c r="BC18525" s="141"/>
    </row>
    <row r="18526">
      <c r="BB18526" s="122"/>
      <c r="BC18526" s="141"/>
    </row>
    <row r="18527">
      <c r="BB18527" s="122"/>
      <c r="BC18527" s="141"/>
    </row>
    <row r="18528">
      <c r="BB18528" s="122"/>
      <c r="BC18528" s="141"/>
    </row>
    <row r="18529">
      <c r="BB18529" s="122"/>
      <c r="BC18529" s="141"/>
    </row>
    <row r="18530">
      <c r="BB18530" s="122"/>
      <c r="BC18530" s="141"/>
    </row>
    <row r="18531">
      <c r="BB18531" s="122"/>
      <c r="BC18531" s="141"/>
    </row>
    <row r="18532">
      <c r="BB18532" s="122"/>
      <c r="BC18532" s="141"/>
    </row>
    <row r="18533">
      <c r="BB18533" s="122"/>
      <c r="BC18533" s="141"/>
    </row>
    <row r="18534">
      <c r="BB18534" s="122"/>
      <c r="BC18534" s="141"/>
    </row>
    <row r="18535">
      <c r="BB18535" s="122"/>
      <c r="BC18535" s="141"/>
    </row>
    <row r="18536">
      <c r="BB18536" s="122"/>
      <c r="BC18536" s="141"/>
    </row>
    <row r="18537">
      <c r="BB18537" s="122"/>
      <c r="BC18537" s="141"/>
    </row>
    <row r="18538">
      <c r="BB18538" s="122"/>
      <c r="BC18538" s="141"/>
    </row>
    <row r="18539">
      <c r="BB18539" s="122"/>
      <c r="BC18539" s="141"/>
    </row>
    <row r="18540">
      <c r="BB18540" s="122"/>
      <c r="BC18540" s="141"/>
    </row>
    <row r="18541">
      <c r="BB18541" s="122"/>
      <c r="BC18541" s="141"/>
    </row>
    <row r="18542">
      <c r="BB18542" s="122"/>
      <c r="BC18542" s="141"/>
    </row>
    <row r="18543">
      <c r="BB18543" s="122"/>
      <c r="BC18543" s="141"/>
    </row>
    <row r="18544">
      <c r="BB18544" s="122"/>
      <c r="BC18544" s="141"/>
    </row>
    <row r="18545">
      <c r="BB18545" s="122"/>
      <c r="BC18545" s="141"/>
    </row>
    <row r="18546">
      <c r="BB18546" s="122"/>
      <c r="BC18546" s="141"/>
    </row>
    <row r="18547">
      <c r="BB18547" s="122"/>
      <c r="BC18547" s="141"/>
    </row>
    <row r="18548">
      <c r="BB18548" s="122"/>
      <c r="BC18548" s="141"/>
    </row>
    <row r="18549">
      <c r="BB18549" s="122"/>
      <c r="BC18549" s="141"/>
    </row>
    <row r="18550">
      <c r="BB18550" s="122"/>
      <c r="BC18550" s="141"/>
    </row>
    <row r="18551">
      <c r="BB18551" s="122"/>
      <c r="BC18551" s="141"/>
    </row>
    <row r="18552">
      <c r="BB18552" s="122"/>
      <c r="BC18552" s="141"/>
    </row>
    <row r="18553">
      <c r="BB18553" s="122"/>
      <c r="BC18553" s="141"/>
    </row>
    <row r="18554">
      <c r="BB18554" s="122"/>
      <c r="BC18554" s="141"/>
    </row>
    <row r="18555">
      <c r="BB18555" s="122"/>
      <c r="BC18555" s="141"/>
    </row>
    <row r="18556">
      <c r="BB18556" s="122"/>
      <c r="BC18556" s="141"/>
    </row>
    <row r="18557">
      <c r="BB18557" s="122"/>
      <c r="BC18557" s="141"/>
    </row>
    <row r="18558">
      <c r="BB18558" s="122"/>
      <c r="BC18558" s="141"/>
    </row>
    <row r="18559">
      <c r="BB18559" s="122"/>
      <c r="BC18559" s="141"/>
    </row>
    <row r="18560">
      <c r="BB18560" s="122"/>
      <c r="BC18560" s="141"/>
    </row>
    <row r="18561">
      <c r="BB18561" s="122"/>
      <c r="BC18561" s="141"/>
    </row>
    <row r="18562">
      <c r="BB18562" s="122"/>
      <c r="BC18562" s="141"/>
    </row>
    <row r="18563">
      <c r="BB18563" s="122"/>
      <c r="BC18563" s="141"/>
    </row>
    <row r="18564">
      <c r="BB18564" s="122"/>
      <c r="BC18564" s="141"/>
    </row>
    <row r="18565">
      <c r="BB18565" s="122"/>
      <c r="BC18565" s="141"/>
    </row>
    <row r="18566">
      <c r="BB18566" s="122"/>
      <c r="BC18566" s="141"/>
    </row>
    <row r="18567">
      <c r="BB18567" s="122"/>
      <c r="BC18567" s="141"/>
    </row>
    <row r="18568">
      <c r="BB18568" s="122"/>
      <c r="BC18568" s="141"/>
    </row>
    <row r="18569">
      <c r="BB18569" s="122"/>
      <c r="BC18569" s="141"/>
    </row>
    <row r="18570">
      <c r="BB18570" s="122"/>
      <c r="BC18570" s="141"/>
    </row>
    <row r="18571">
      <c r="BB18571" s="122"/>
      <c r="BC18571" s="141"/>
    </row>
    <row r="18572">
      <c r="BB18572" s="122"/>
      <c r="BC18572" s="141"/>
    </row>
    <row r="18573">
      <c r="BB18573" s="122"/>
      <c r="BC18573" s="141"/>
    </row>
    <row r="18574">
      <c r="BB18574" s="122"/>
      <c r="BC18574" s="141"/>
    </row>
    <row r="18575">
      <c r="BB18575" s="122"/>
      <c r="BC18575" s="141"/>
    </row>
    <row r="18576">
      <c r="BB18576" s="122"/>
      <c r="BC18576" s="141"/>
    </row>
    <row r="18577">
      <c r="BB18577" s="122"/>
      <c r="BC18577" s="141"/>
    </row>
    <row r="18578">
      <c r="BB18578" s="122"/>
      <c r="BC18578" s="141"/>
    </row>
    <row r="18579">
      <c r="BB18579" s="122"/>
      <c r="BC18579" s="141"/>
    </row>
    <row r="18580">
      <c r="BB18580" s="122"/>
      <c r="BC18580" s="141"/>
    </row>
    <row r="18581">
      <c r="BB18581" s="122"/>
      <c r="BC18581" s="141"/>
    </row>
    <row r="18582">
      <c r="BB18582" s="122"/>
      <c r="BC18582" s="141"/>
    </row>
    <row r="18583">
      <c r="BB18583" s="122"/>
      <c r="BC18583" s="141"/>
    </row>
    <row r="18584">
      <c r="BB18584" s="122"/>
      <c r="BC18584" s="141"/>
    </row>
    <row r="18585">
      <c r="BB18585" s="122"/>
      <c r="BC18585" s="141"/>
    </row>
    <row r="18586">
      <c r="BB18586" s="122"/>
      <c r="BC18586" s="141"/>
    </row>
    <row r="18587">
      <c r="BB18587" s="122"/>
      <c r="BC18587" s="141"/>
    </row>
    <row r="18588">
      <c r="BB18588" s="122"/>
      <c r="BC18588" s="141"/>
    </row>
    <row r="18589">
      <c r="BB18589" s="122"/>
      <c r="BC18589" s="141"/>
    </row>
    <row r="18590">
      <c r="BB18590" s="122"/>
      <c r="BC18590" s="141"/>
    </row>
    <row r="18591">
      <c r="BB18591" s="122"/>
      <c r="BC18591" s="141"/>
    </row>
    <row r="18592">
      <c r="BB18592" s="122"/>
      <c r="BC18592" s="141"/>
    </row>
    <row r="18593">
      <c r="BB18593" s="122"/>
      <c r="BC18593" s="141"/>
    </row>
    <row r="18594">
      <c r="BB18594" s="122"/>
      <c r="BC18594" s="141"/>
    </row>
    <row r="18595">
      <c r="BB18595" s="122"/>
      <c r="BC18595" s="141"/>
    </row>
    <row r="18596">
      <c r="BB18596" s="122"/>
      <c r="BC18596" s="141"/>
    </row>
    <row r="18597">
      <c r="BB18597" s="122"/>
      <c r="BC18597" s="141"/>
    </row>
    <row r="18598">
      <c r="BB18598" s="122"/>
      <c r="BC18598" s="141"/>
    </row>
    <row r="18599">
      <c r="BB18599" s="122"/>
      <c r="BC18599" s="141"/>
    </row>
    <row r="18600">
      <c r="BB18600" s="122"/>
      <c r="BC18600" s="141"/>
    </row>
    <row r="18601">
      <c r="BB18601" s="122"/>
      <c r="BC18601" s="141"/>
    </row>
    <row r="18602">
      <c r="BB18602" s="122"/>
      <c r="BC18602" s="141"/>
    </row>
    <row r="18603">
      <c r="BB18603" s="122"/>
      <c r="BC18603" s="141"/>
    </row>
    <row r="18604">
      <c r="BB18604" s="122"/>
      <c r="BC18604" s="141"/>
    </row>
    <row r="18605">
      <c r="BB18605" s="122"/>
      <c r="BC18605" s="141"/>
    </row>
    <row r="18606">
      <c r="BB18606" s="122"/>
      <c r="BC18606" s="141"/>
    </row>
    <row r="18607">
      <c r="BB18607" s="122"/>
      <c r="BC18607" s="141"/>
    </row>
    <row r="18608">
      <c r="BB18608" s="122"/>
      <c r="BC18608" s="141"/>
    </row>
    <row r="18609">
      <c r="BB18609" s="122"/>
      <c r="BC18609" s="141"/>
    </row>
    <row r="18610">
      <c r="BB18610" s="122"/>
      <c r="BC18610" s="141"/>
    </row>
    <row r="18611">
      <c r="BB18611" s="122"/>
      <c r="BC18611" s="141"/>
    </row>
    <row r="18612">
      <c r="BB18612" s="122"/>
      <c r="BC18612" s="141"/>
    </row>
    <row r="18613">
      <c r="BB18613" s="122"/>
      <c r="BC18613" s="141"/>
    </row>
    <row r="18614">
      <c r="BB18614" s="122"/>
      <c r="BC18614" s="141"/>
    </row>
    <row r="18615">
      <c r="BB18615" s="122"/>
      <c r="BC18615" s="141"/>
    </row>
    <row r="18616">
      <c r="BB18616" s="122"/>
      <c r="BC18616" s="141"/>
    </row>
    <row r="18617">
      <c r="BB18617" s="122"/>
      <c r="BC18617" s="141"/>
    </row>
    <row r="18618">
      <c r="BB18618" s="122"/>
      <c r="BC18618" s="141"/>
    </row>
    <row r="18619">
      <c r="BB18619" s="122"/>
      <c r="BC18619" s="141"/>
    </row>
    <row r="18620">
      <c r="BB18620" s="122"/>
      <c r="BC18620" s="141"/>
    </row>
    <row r="18621">
      <c r="BB18621" s="122"/>
      <c r="BC18621" s="141"/>
    </row>
    <row r="18622">
      <c r="BB18622" s="122"/>
      <c r="BC18622" s="141"/>
    </row>
    <row r="18623">
      <c r="BB18623" s="122"/>
      <c r="BC18623" s="141"/>
    </row>
    <row r="18624">
      <c r="BB18624" s="122"/>
      <c r="BC18624" s="141"/>
    </row>
    <row r="18625">
      <c r="BB18625" s="122"/>
      <c r="BC18625" s="141"/>
    </row>
    <row r="18626">
      <c r="BB18626" s="122"/>
      <c r="BC18626" s="141"/>
    </row>
    <row r="18627">
      <c r="BB18627" s="122"/>
      <c r="BC18627" s="141"/>
    </row>
    <row r="18628">
      <c r="BB18628" s="122"/>
      <c r="BC18628" s="141"/>
    </row>
    <row r="18629">
      <c r="BB18629" s="122"/>
      <c r="BC18629" s="141"/>
    </row>
    <row r="18630">
      <c r="BB18630" s="122"/>
      <c r="BC18630" s="141"/>
    </row>
    <row r="18631">
      <c r="BB18631" s="122"/>
      <c r="BC18631" s="141"/>
    </row>
    <row r="18632">
      <c r="BB18632" s="122"/>
      <c r="BC18632" s="141"/>
    </row>
    <row r="18633">
      <c r="BB18633" s="122"/>
      <c r="BC18633" s="141"/>
    </row>
    <row r="18634">
      <c r="BB18634" s="122"/>
      <c r="BC18634" s="141"/>
    </row>
    <row r="18635">
      <c r="BB18635" s="122"/>
      <c r="BC18635" s="141"/>
    </row>
    <row r="18636">
      <c r="BB18636" s="122"/>
      <c r="BC18636" s="141"/>
    </row>
    <row r="18637">
      <c r="BB18637" s="122"/>
      <c r="BC18637" s="141"/>
    </row>
    <row r="18638">
      <c r="BB18638" s="122"/>
      <c r="BC18638" s="141"/>
    </row>
    <row r="18639">
      <c r="BB18639" s="122"/>
      <c r="BC18639" s="141"/>
    </row>
    <row r="18640">
      <c r="BB18640" s="122"/>
      <c r="BC18640" s="141"/>
    </row>
    <row r="18641">
      <c r="BB18641" s="122"/>
      <c r="BC18641" s="141"/>
    </row>
    <row r="18642">
      <c r="BB18642" s="122"/>
      <c r="BC18642" s="141"/>
    </row>
    <row r="18643">
      <c r="BB18643" s="122"/>
      <c r="BC18643" s="141"/>
    </row>
    <row r="18644">
      <c r="BB18644" s="122"/>
      <c r="BC18644" s="141"/>
    </row>
    <row r="18645">
      <c r="BB18645" s="122"/>
      <c r="BC18645" s="141"/>
    </row>
    <row r="18646">
      <c r="BB18646" s="122"/>
      <c r="BC18646" s="141"/>
    </row>
    <row r="18647">
      <c r="BB18647" s="122"/>
      <c r="BC18647" s="141"/>
    </row>
    <row r="18648">
      <c r="BB18648" s="122"/>
      <c r="BC18648" s="141"/>
    </row>
    <row r="18649">
      <c r="BB18649" s="122"/>
      <c r="BC18649" s="141"/>
    </row>
    <row r="18650">
      <c r="BB18650" s="122"/>
      <c r="BC18650" s="141"/>
    </row>
    <row r="18651">
      <c r="BB18651" s="122"/>
      <c r="BC18651" s="141"/>
    </row>
    <row r="18652">
      <c r="BB18652" s="122"/>
      <c r="BC18652" s="141"/>
    </row>
    <row r="18653">
      <c r="BB18653" s="122"/>
      <c r="BC18653" s="141"/>
    </row>
    <row r="18654">
      <c r="BB18654" s="122"/>
      <c r="BC18654" s="141"/>
    </row>
    <row r="18655">
      <c r="BB18655" s="122"/>
      <c r="BC18655" s="141"/>
    </row>
    <row r="18656">
      <c r="BB18656" s="122"/>
      <c r="BC18656" s="141"/>
    </row>
    <row r="18657">
      <c r="BB18657" s="122"/>
      <c r="BC18657" s="141"/>
    </row>
    <row r="18658">
      <c r="BB18658" s="122"/>
      <c r="BC18658" s="141"/>
    </row>
    <row r="18659">
      <c r="BB18659" s="122"/>
      <c r="BC18659" s="141"/>
    </row>
    <row r="18660">
      <c r="BB18660" s="122"/>
      <c r="BC18660" s="141"/>
    </row>
    <row r="18661">
      <c r="BB18661" s="122"/>
      <c r="BC18661" s="141"/>
    </row>
    <row r="18662">
      <c r="BB18662" s="122"/>
      <c r="BC18662" s="141"/>
    </row>
    <row r="18663">
      <c r="BB18663" s="122"/>
      <c r="BC18663" s="141"/>
    </row>
    <row r="18664">
      <c r="BB18664" s="122"/>
      <c r="BC18664" s="141"/>
    </row>
    <row r="18665">
      <c r="BB18665" s="122"/>
      <c r="BC18665" s="141"/>
    </row>
    <row r="18666">
      <c r="BB18666" s="122"/>
      <c r="BC18666" s="141"/>
    </row>
    <row r="18667">
      <c r="BB18667" s="122"/>
      <c r="BC18667" s="141"/>
    </row>
    <row r="18668">
      <c r="BB18668" s="122"/>
      <c r="BC18668" s="141"/>
    </row>
    <row r="18669">
      <c r="BB18669" s="122"/>
      <c r="BC18669" s="141"/>
    </row>
    <row r="18670">
      <c r="BB18670" s="122"/>
      <c r="BC18670" s="141"/>
    </row>
    <row r="18671">
      <c r="BB18671" s="122"/>
      <c r="BC18671" s="141"/>
    </row>
    <row r="18672">
      <c r="BB18672" s="122"/>
      <c r="BC18672" s="141"/>
    </row>
    <row r="18673">
      <c r="BB18673" s="122"/>
      <c r="BC18673" s="141"/>
    </row>
    <row r="18674">
      <c r="BB18674" s="122"/>
      <c r="BC18674" s="141"/>
    </row>
    <row r="18675">
      <c r="BB18675" s="122"/>
      <c r="BC18675" s="141"/>
    </row>
    <row r="18676">
      <c r="BB18676" s="122"/>
      <c r="BC18676" s="141"/>
    </row>
    <row r="18677">
      <c r="BB18677" s="122"/>
      <c r="BC18677" s="141"/>
    </row>
    <row r="18678">
      <c r="BB18678" s="122"/>
      <c r="BC18678" s="141"/>
    </row>
    <row r="18679">
      <c r="BB18679" s="122"/>
      <c r="BC18679" s="141"/>
    </row>
    <row r="18680">
      <c r="BB18680" s="122"/>
      <c r="BC18680" s="141"/>
    </row>
    <row r="18681">
      <c r="BB18681" s="122"/>
      <c r="BC18681" s="141"/>
    </row>
    <row r="18682">
      <c r="BB18682" s="122"/>
      <c r="BC18682" s="141"/>
    </row>
    <row r="18683">
      <c r="BB18683" s="122"/>
      <c r="BC18683" s="141"/>
    </row>
    <row r="18684">
      <c r="BB18684" s="122"/>
      <c r="BC18684" s="141"/>
    </row>
    <row r="18685">
      <c r="BB18685" s="122"/>
      <c r="BC18685" s="141"/>
    </row>
    <row r="18686">
      <c r="BB18686" s="122"/>
      <c r="BC18686" s="141"/>
    </row>
    <row r="18687">
      <c r="BB18687" s="122"/>
      <c r="BC18687" s="141"/>
    </row>
    <row r="18688">
      <c r="BB18688" s="122"/>
      <c r="BC18688" s="141"/>
    </row>
    <row r="18689">
      <c r="BB18689" s="122"/>
      <c r="BC18689" s="141"/>
    </row>
    <row r="18690">
      <c r="BB18690" s="122"/>
      <c r="BC18690" s="141"/>
    </row>
    <row r="18691">
      <c r="BB18691" s="122"/>
      <c r="BC18691" s="141"/>
    </row>
    <row r="18692">
      <c r="BB18692" s="122"/>
      <c r="BC18692" s="141"/>
    </row>
    <row r="18693">
      <c r="BB18693" s="122"/>
      <c r="BC18693" s="141"/>
    </row>
    <row r="18694">
      <c r="BB18694" s="122"/>
      <c r="BC18694" s="141"/>
    </row>
    <row r="18695">
      <c r="BB18695" s="122"/>
      <c r="BC18695" s="141"/>
    </row>
    <row r="18696">
      <c r="BB18696" s="122"/>
      <c r="BC18696" s="141"/>
    </row>
    <row r="18697">
      <c r="BB18697" s="122"/>
      <c r="BC18697" s="141"/>
    </row>
    <row r="18698">
      <c r="BB18698" s="122"/>
      <c r="BC18698" s="141"/>
    </row>
    <row r="18699">
      <c r="BB18699" s="122"/>
      <c r="BC18699" s="141"/>
    </row>
    <row r="18700">
      <c r="BB18700" s="122"/>
      <c r="BC18700" s="141"/>
    </row>
    <row r="18701">
      <c r="BB18701" s="122"/>
      <c r="BC18701" s="141"/>
    </row>
    <row r="18702">
      <c r="BB18702" s="122"/>
      <c r="BC18702" s="141"/>
    </row>
    <row r="18703">
      <c r="BB18703" s="122"/>
      <c r="BC18703" s="141"/>
    </row>
    <row r="18704">
      <c r="BB18704" s="122"/>
      <c r="BC18704" s="141"/>
    </row>
    <row r="18705">
      <c r="BB18705" s="122"/>
      <c r="BC18705" s="141"/>
    </row>
    <row r="18706">
      <c r="BB18706" s="122"/>
      <c r="BC18706" s="141"/>
    </row>
    <row r="18707">
      <c r="BB18707" s="122"/>
      <c r="BC18707" s="141"/>
    </row>
    <row r="18708">
      <c r="BB18708" s="122"/>
      <c r="BC18708" s="141"/>
    </row>
    <row r="18709">
      <c r="BB18709" s="122"/>
      <c r="BC18709" s="141"/>
    </row>
    <row r="18710">
      <c r="BB18710" s="122"/>
      <c r="BC18710" s="141"/>
    </row>
    <row r="18711">
      <c r="BB18711" s="122"/>
      <c r="BC18711" s="141"/>
    </row>
    <row r="18712">
      <c r="BB18712" s="122"/>
      <c r="BC18712" s="141"/>
    </row>
    <row r="18713">
      <c r="BB18713" s="122"/>
      <c r="BC18713" s="141"/>
    </row>
    <row r="18714">
      <c r="BB18714" s="122"/>
      <c r="BC18714" s="141"/>
    </row>
    <row r="18715">
      <c r="BB18715" s="122"/>
      <c r="BC18715" s="141"/>
    </row>
    <row r="18716">
      <c r="BB18716" s="122"/>
      <c r="BC18716" s="141"/>
    </row>
    <row r="18717">
      <c r="BB18717" s="122"/>
      <c r="BC18717" s="141"/>
    </row>
    <row r="18718">
      <c r="BB18718" s="122"/>
      <c r="BC18718" s="141"/>
    </row>
    <row r="18719">
      <c r="BB18719" s="122"/>
      <c r="BC18719" s="141"/>
    </row>
    <row r="18720">
      <c r="BB18720" s="122"/>
      <c r="BC18720" s="141"/>
    </row>
    <row r="18721">
      <c r="BB18721" s="122"/>
      <c r="BC18721" s="141"/>
    </row>
    <row r="18722">
      <c r="BB18722" s="122"/>
      <c r="BC18722" s="141"/>
    </row>
    <row r="18723">
      <c r="BB18723" s="122"/>
      <c r="BC18723" s="141"/>
    </row>
    <row r="18724">
      <c r="BB18724" s="122"/>
      <c r="BC18724" s="141"/>
    </row>
    <row r="18725">
      <c r="BB18725" s="122"/>
      <c r="BC18725" s="141"/>
    </row>
    <row r="18726">
      <c r="BB18726" s="122"/>
      <c r="BC18726" s="141"/>
    </row>
    <row r="18727">
      <c r="BB18727" s="122"/>
      <c r="BC18727" s="141"/>
    </row>
    <row r="18728">
      <c r="BB18728" s="122"/>
      <c r="BC18728" s="141"/>
    </row>
    <row r="18729">
      <c r="BB18729" s="122"/>
      <c r="BC18729" s="141"/>
    </row>
    <row r="18730">
      <c r="BB18730" s="122"/>
      <c r="BC18730" s="141"/>
    </row>
    <row r="18731">
      <c r="BB18731" s="122"/>
      <c r="BC18731" s="141"/>
    </row>
    <row r="18732">
      <c r="BB18732" s="122"/>
      <c r="BC18732" s="141"/>
    </row>
    <row r="18733">
      <c r="BB18733" s="122"/>
      <c r="BC18733" s="141"/>
    </row>
    <row r="18734">
      <c r="BB18734" s="122"/>
      <c r="BC18734" s="141"/>
    </row>
    <row r="18735">
      <c r="BB18735" s="122"/>
      <c r="BC18735" s="141"/>
    </row>
    <row r="18736">
      <c r="BB18736" s="122"/>
      <c r="BC18736" s="141"/>
    </row>
    <row r="18737">
      <c r="BB18737" s="122"/>
      <c r="BC18737" s="141"/>
    </row>
    <row r="18738">
      <c r="BB18738" s="122"/>
      <c r="BC18738" s="141"/>
    </row>
    <row r="18739">
      <c r="BB18739" s="122"/>
      <c r="BC18739" s="141"/>
    </row>
    <row r="18740">
      <c r="BB18740" s="122"/>
      <c r="BC18740" s="141"/>
    </row>
    <row r="18741">
      <c r="BB18741" s="122"/>
      <c r="BC18741" s="141"/>
    </row>
    <row r="18742">
      <c r="BB18742" s="122"/>
      <c r="BC18742" s="141"/>
    </row>
    <row r="18743">
      <c r="BB18743" s="122"/>
      <c r="BC18743" s="141"/>
    </row>
    <row r="18744">
      <c r="BB18744" s="122"/>
      <c r="BC18744" s="141"/>
    </row>
    <row r="18745">
      <c r="BB18745" s="122"/>
      <c r="BC18745" s="141"/>
    </row>
    <row r="18746">
      <c r="BB18746" s="122"/>
      <c r="BC18746" s="141"/>
    </row>
    <row r="18747">
      <c r="BB18747" s="122"/>
      <c r="BC18747" s="141"/>
    </row>
    <row r="18748">
      <c r="BB18748" s="122"/>
      <c r="BC18748" s="141"/>
    </row>
    <row r="18749">
      <c r="BB18749" s="122"/>
      <c r="BC18749" s="141"/>
    </row>
    <row r="18750">
      <c r="BB18750" s="122"/>
      <c r="BC18750" s="141"/>
    </row>
    <row r="18751">
      <c r="BB18751" s="122"/>
      <c r="BC18751" s="141"/>
    </row>
    <row r="18752">
      <c r="BB18752" s="122"/>
      <c r="BC18752" s="141"/>
    </row>
    <row r="18753">
      <c r="BB18753" s="122"/>
      <c r="BC18753" s="141"/>
    </row>
    <row r="18754">
      <c r="BB18754" s="122"/>
      <c r="BC18754" s="141"/>
    </row>
    <row r="18755">
      <c r="BB18755" s="122"/>
      <c r="BC18755" s="141"/>
    </row>
    <row r="18756">
      <c r="BB18756" s="122"/>
      <c r="BC18756" s="141"/>
    </row>
    <row r="18757">
      <c r="BB18757" s="122"/>
      <c r="BC18757" s="141"/>
    </row>
    <row r="18758">
      <c r="BB18758" s="122"/>
      <c r="BC18758" s="141"/>
    </row>
    <row r="18759">
      <c r="BB18759" s="122"/>
      <c r="BC18759" s="141"/>
    </row>
    <row r="18760">
      <c r="BB18760" s="122"/>
      <c r="BC18760" s="141"/>
    </row>
    <row r="18761">
      <c r="BB18761" s="122"/>
      <c r="BC18761" s="141"/>
    </row>
    <row r="18762">
      <c r="BB18762" s="122"/>
      <c r="BC18762" s="141"/>
    </row>
    <row r="18763">
      <c r="BB18763" s="122"/>
      <c r="BC18763" s="141"/>
    </row>
    <row r="18764">
      <c r="BB18764" s="122"/>
      <c r="BC18764" s="141"/>
    </row>
    <row r="18765">
      <c r="BB18765" s="122"/>
      <c r="BC18765" s="141"/>
    </row>
    <row r="18766">
      <c r="BB18766" s="122"/>
      <c r="BC18766" s="141"/>
    </row>
    <row r="18767">
      <c r="BB18767" s="122"/>
      <c r="BC18767" s="141"/>
    </row>
    <row r="18768">
      <c r="BB18768" s="122"/>
      <c r="BC18768" s="141"/>
    </row>
    <row r="18769">
      <c r="BB18769" s="122"/>
      <c r="BC18769" s="141"/>
    </row>
    <row r="18770">
      <c r="BB18770" s="122"/>
      <c r="BC18770" s="141"/>
    </row>
    <row r="18771">
      <c r="BB18771" s="122"/>
      <c r="BC18771" s="141"/>
    </row>
    <row r="18772">
      <c r="BB18772" s="122"/>
      <c r="BC18772" s="141"/>
    </row>
    <row r="18773">
      <c r="BB18773" s="122"/>
      <c r="BC18773" s="141"/>
    </row>
    <row r="18774">
      <c r="BB18774" s="122"/>
      <c r="BC18774" s="141"/>
    </row>
    <row r="18775">
      <c r="BB18775" s="122"/>
      <c r="BC18775" s="141"/>
    </row>
    <row r="18776">
      <c r="BB18776" s="122"/>
      <c r="BC18776" s="141"/>
    </row>
    <row r="18777">
      <c r="BB18777" s="122"/>
      <c r="BC18777" s="141"/>
    </row>
    <row r="18778">
      <c r="BB18778" s="122"/>
      <c r="BC18778" s="141"/>
    </row>
    <row r="18779">
      <c r="BB18779" s="122"/>
      <c r="BC18779" s="141"/>
    </row>
    <row r="18780">
      <c r="BB18780" s="122"/>
      <c r="BC18780" s="141"/>
    </row>
    <row r="18781">
      <c r="BB18781" s="122"/>
      <c r="BC18781" s="141"/>
    </row>
    <row r="18782">
      <c r="BB18782" s="122"/>
      <c r="BC18782" s="141"/>
    </row>
    <row r="18783">
      <c r="BB18783" s="122"/>
      <c r="BC18783" s="141"/>
    </row>
    <row r="18784">
      <c r="BB18784" s="122"/>
      <c r="BC18784" s="141"/>
    </row>
    <row r="18785">
      <c r="BB18785" s="122"/>
      <c r="BC18785" s="141"/>
    </row>
    <row r="18786">
      <c r="BB18786" s="122"/>
      <c r="BC18786" s="141"/>
    </row>
    <row r="18787">
      <c r="BB18787" s="122"/>
      <c r="BC18787" s="141"/>
    </row>
    <row r="18788">
      <c r="BB18788" s="122"/>
      <c r="BC18788" s="141"/>
    </row>
    <row r="18789">
      <c r="BB18789" s="122"/>
      <c r="BC18789" s="141"/>
    </row>
    <row r="18790">
      <c r="BB18790" s="122"/>
      <c r="BC18790" s="141"/>
    </row>
    <row r="18791">
      <c r="BB18791" s="122"/>
      <c r="BC18791" s="141"/>
    </row>
    <row r="18792">
      <c r="BB18792" s="122"/>
      <c r="BC18792" s="141"/>
    </row>
    <row r="18793">
      <c r="BB18793" s="122"/>
      <c r="BC18793" s="141"/>
    </row>
    <row r="18794">
      <c r="BB18794" s="122"/>
      <c r="BC18794" s="141"/>
    </row>
    <row r="18795">
      <c r="BB18795" s="122"/>
      <c r="BC18795" s="141"/>
    </row>
    <row r="18796">
      <c r="BB18796" s="122"/>
      <c r="BC18796" s="141"/>
    </row>
    <row r="18797">
      <c r="BB18797" s="122"/>
      <c r="BC18797" s="141"/>
    </row>
    <row r="18798">
      <c r="BB18798" s="122"/>
      <c r="BC18798" s="141"/>
    </row>
    <row r="18799">
      <c r="BB18799" s="122"/>
      <c r="BC18799" s="141"/>
    </row>
    <row r="18800">
      <c r="BB18800" s="122"/>
      <c r="BC18800" s="141"/>
    </row>
    <row r="18801">
      <c r="BB18801" s="122"/>
      <c r="BC18801" s="141"/>
    </row>
    <row r="18802">
      <c r="BB18802" s="122"/>
      <c r="BC18802" s="141"/>
    </row>
    <row r="18803">
      <c r="BB18803" s="122"/>
      <c r="BC18803" s="141"/>
    </row>
    <row r="18804">
      <c r="BB18804" s="122"/>
      <c r="BC18804" s="141"/>
    </row>
    <row r="18805">
      <c r="BB18805" s="122"/>
      <c r="BC18805" s="141"/>
    </row>
    <row r="18806">
      <c r="BB18806" s="122"/>
      <c r="BC18806" s="141"/>
    </row>
    <row r="18807">
      <c r="BB18807" s="122"/>
      <c r="BC18807" s="141"/>
    </row>
    <row r="18808">
      <c r="BB18808" s="122"/>
      <c r="BC18808" s="141"/>
    </row>
    <row r="18809">
      <c r="BB18809" s="122"/>
      <c r="BC18809" s="141"/>
    </row>
    <row r="18810">
      <c r="BB18810" s="122"/>
      <c r="BC18810" s="141"/>
    </row>
    <row r="18811">
      <c r="BB18811" s="122"/>
      <c r="BC18811" s="141"/>
    </row>
    <row r="18812">
      <c r="BB18812" s="122"/>
      <c r="BC18812" s="141"/>
    </row>
    <row r="18813">
      <c r="BB18813" s="122"/>
      <c r="BC18813" s="141"/>
    </row>
    <row r="18814">
      <c r="BB18814" s="122"/>
      <c r="BC18814" s="141"/>
    </row>
    <row r="18815">
      <c r="BB18815" s="122"/>
      <c r="BC18815" s="141"/>
    </row>
    <row r="18816">
      <c r="BB18816" s="122"/>
      <c r="BC18816" s="141"/>
    </row>
    <row r="18817">
      <c r="BB18817" s="122"/>
      <c r="BC18817" s="141"/>
    </row>
    <row r="18818">
      <c r="BB18818" s="122"/>
      <c r="BC18818" s="141"/>
    </row>
    <row r="18819">
      <c r="BB18819" s="122"/>
      <c r="BC18819" s="141"/>
    </row>
    <row r="18820">
      <c r="BB18820" s="122"/>
      <c r="BC18820" s="141"/>
    </row>
    <row r="18821">
      <c r="BB18821" s="122"/>
      <c r="BC18821" s="141"/>
    </row>
    <row r="18822">
      <c r="BB18822" s="122"/>
      <c r="BC18822" s="141"/>
    </row>
    <row r="18823">
      <c r="BB18823" s="122"/>
      <c r="BC18823" s="141"/>
    </row>
    <row r="18824">
      <c r="BB18824" s="122"/>
      <c r="BC18824" s="141"/>
    </row>
    <row r="18825">
      <c r="BB18825" s="122"/>
      <c r="BC18825" s="141"/>
    </row>
    <row r="18826">
      <c r="BB18826" s="122"/>
      <c r="BC18826" s="141"/>
    </row>
    <row r="18827">
      <c r="BB18827" s="122"/>
      <c r="BC18827" s="141"/>
    </row>
    <row r="18828">
      <c r="BB18828" s="122"/>
      <c r="BC18828" s="141"/>
    </row>
    <row r="18829">
      <c r="BB18829" s="122"/>
      <c r="BC18829" s="141"/>
    </row>
    <row r="18830">
      <c r="BB18830" s="122"/>
      <c r="BC18830" s="141"/>
    </row>
    <row r="18831">
      <c r="BB18831" s="122"/>
      <c r="BC18831" s="141"/>
    </row>
    <row r="18832">
      <c r="BB18832" s="122"/>
      <c r="BC18832" s="141"/>
    </row>
    <row r="18833">
      <c r="BB18833" s="122"/>
      <c r="BC18833" s="141"/>
    </row>
    <row r="18834">
      <c r="BB18834" s="122"/>
      <c r="BC18834" s="141"/>
    </row>
    <row r="18835">
      <c r="BB18835" s="122"/>
      <c r="BC18835" s="141"/>
    </row>
    <row r="18836">
      <c r="BB18836" s="122"/>
      <c r="BC18836" s="141"/>
    </row>
    <row r="18837">
      <c r="BB18837" s="122"/>
      <c r="BC18837" s="141"/>
    </row>
    <row r="18838">
      <c r="BB18838" s="122"/>
      <c r="BC18838" s="141"/>
    </row>
    <row r="18839">
      <c r="BB18839" s="122"/>
      <c r="BC18839" s="141"/>
    </row>
    <row r="18840">
      <c r="BB18840" s="122"/>
      <c r="BC18840" s="141"/>
    </row>
    <row r="18841">
      <c r="BB18841" s="122"/>
      <c r="BC18841" s="141"/>
    </row>
    <row r="18842">
      <c r="BB18842" s="122"/>
      <c r="BC18842" s="141"/>
    </row>
    <row r="18843">
      <c r="BB18843" s="122"/>
      <c r="BC18843" s="141"/>
    </row>
    <row r="18844">
      <c r="BB18844" s="122"/>
      <c r="BC18844" s="141"/>
    </row>
    <row r="18845">
      <c r="BB18845" s="122"/>
      <c r="BC18845" s="141"/>
    </row>
    <row r="18846">
      <c r="BB18846" s="122"/>
      <c r="BC18846" s="141"/>
    </row>
    <row r="18847">
      <c r="BB18847" s="122"/>
      <c r="BC18847" s="141"/>
    </row>
    <row r="18848">
      <c r="BB18848" s="122"/>
      <c r="BC18848" s="141"/>
    </row>
    <row r="18849">
      <c r="BB18849" s="122"/>
      <c r="BC18849" s="141"/>
    </row>
    <row r="18850">
      <c r="BB18850" s="122"/>
      <c r="BC18850" s="141"/>
    </row>
    <row r="18851">
      <c r="BB18851" s="122"/>
      <c r="BC18851" s="141"/>
    </row>
    <row r="18852">
      <c r="BB18852" s="122"/>
      <c r="BC18852" s="141"/>
    </row>
    <row r="18853">
      <c r="BB18853" s="122"/>
      <c r="BC18853" s="141"/>
    </row>
    <row r="18854">
      <c r="BB18854" s="122"/>
      <c r="BC18854" s="141"/>
    </row>
    <row r="18855">
      <c r="BB18855" s="122"/>
      <c r="BC18855" s="141"/>
    </row>
    <row r="18856">
      <c r="BB18856" s="122"/>
      <c r="BC18856" s="141"/>
    </row>
    <row r="18857">
      <c r="BB18857" s="122"/>
      <c r="BC18857" s="141"/>
    </row>
    <row r="18858">
      <c r="BB18858" s="122"/>
      <c r="BC18858" s="141"/>
    </row>
    <row r="18859">
      <c r="BB18859" s="122"/>
      <c r="BC18859" s="141"/>
    </row>
    <row r="18860">
      <c r="BB18860" s="122"/>
      <c r="BC18860" s="141"/>
    </row>
    <row r="18861">
      <c r="BB18861" s="122"/>
      <c r="BC18861" s="141"/>
    </row>
    <row r="18862">
      <c r="BB18862" s="122"/>
      <c r="BC18862" s="141"/>
    </row>
    <row r="18863">
      <c r="BB18863" s="122"/>
      <c r="BC18863" s="141"/>
    </row>
    <row r="18864">
      <c r="BB18864" s="122"/>
      <c r="BC18864" s="141"/>
    </row>
    <row r="18865">
      <c r="BB18865" s="122"/>
      <c r="BC18865" s="141"/>
    </row>
    <row r="18866">
      <c r="BB18866" s="122"/>
      <c r="BC18866" s="141"/>
    </row>
    <row r="18867">
      <c r="BB18867" s="122"/>
      <c r="BC18867" s="141"/>
    </row>
    <row r="18868">
      <c r="BB18868" s="122"/>
      <c r="BC18868" s="141"/>
    </row>
    <row r="18869">
      <c r="BB18869" s="122"/>
      <c r="BC18869" s="141"/>
    </row>
    <row r="18870">
      <c r="BB18870" s="122"/>
      <c r="BC18870" s="141"/>
    </row>
    <row r="18871">
      <c r="BB18871" s="122"/>
      <c r="BC18871" s="141"/>
    </row>
    <row r="18872">
      <c r="BB18872" s="122"/>
      <c r="BC18872" s="141"/>
    </row>
    <row r="18873">
      <c r="BB18873" s="122"/>
      <c r="BC18873" s="141"/>
    </row>
    <row r="18874">
      <c r="BB18874" s="122"/>
      <c r="BC18874" s="141"/>
    </row>
    <row r="18875">
      <c r="BB18875" s="122"/>
      <c r="BC18875" s="141"/>
    </row>
    <row r="18876">
      <c r="BB18876" s="122"/>
      <c r="BC18876" s="141"/>
    </row>
    <row r="18877">
      <c r="BB18877" s="122"/>
      <c r="BC18877" s="141"/>
    </row>
    <row r="18878">
      <c r="BB18878" s="122"/>
      <c r="BC18878" s="141"/>
    </row>
    <row r="18879">
      <c r="BB18879" s="122"/>
      <c r="BC18879" s="141"/>
    </row>
    <row r="18880">
      <c r="BB18880" s="122"/>
      <c r="BC18880" s="141"/>
    </row>
    <row r="18881">
      <c r="BB18881" s="122"/>
      <c r="BC18881" s="141"/>
    </row>
    <row r="18882">
      <c r="BB18882" s="122"/>
      <c r="BC18882" s="141"/>
    </row>
    <row r="18883">
      <c r="BB18883" s="122"/>
      <c r="BC18883" s="141"/>
    </row>
    <row r="18884">
      <c r="BB18884" s="122"/>
      <c r="BC18884" s="141"/>
    </row>
    <row r="18885">
      <c r="BB18885" s="122"/>
      <c r="BC18885" s="141"/>
    </row>
    <row r="18886">
      <c r="BB18886" s="122"/>
      <c r="BC18886" s="141"/>
    </row>
    <row r="18887">
      <c r="BB18887" s="122"/>
      <c r="BC18887" s="141"/>
    </row>
    <row r="18888">
      <c r="BB18888" s="122"/>
      <c r="BC18888" s="141"/>
    </row>
    <row r="18889">
      <c r="BB18889" s="122"/>
      <c r="BC18889" s="141"/>
    </row>
    <row r="18890">
      <c r="BB18890" s="122"/>
      <c r="BC18890" s="141"/>
    </row>
    <row r="18891">
      <c r="BB18891" s="122"/>
      <c r="BC18891" s="141"/>
    </row>
    <row r="18892">
      <c r="BB18892" s="122"/>
      <c r="BC18892" s="141"/>
    </row>
    <row r="18893">
      <c r="BB18893" s="122"/>
      <c r="BC18893" s="141"/>
    </row>
    <row r="18894">
      <c r="BB18894" s="122"/>
      <c r="BC18894" s="141"/>
    </row>
    <row r="18895">
      <c r="BB18895" s="122"/>
      <c r="BC18895" s="141"/>
    </row>
    <row r="18896">
      <c r="BB18896" s="122"/>
      <c r="BC18896" s="141"/>
    </row>
    <row r="18897">
      <c r="BB18897" s="122"/>
      <c r="BC18897" s="141"/>
    </row>
    <row r="18898">
      <c r="BB18898" s="122"/>
      <c r="BC18898" s="141"/>
    </row>
    <row r="18899">
      <c r="BB18899" s="122"/>
      <c r="BC18899" s="141"/>
    </row>
    <row r="18900">
      <c r="BB18900" s="122"/>
      <c r="BC18900" s="141"/>
    </row>
    <row r="18901">
      <c r="BB18901" s="122"/>
      <c r="BC18901" s="141"/>
    </row>
    <row r="18902">
      <c r="BB18902" s="122"/>
      <c r="BC18902" s="141"/>
    </row>
    <row r="18903">
      <c r="BB18903" s="122"/>
      <c r="BC18903" s="141"/>
    </row>
    <row r="18904">
      <c r="BB18904" s="122"/>
      <c r="BC18904" s="141"/>
    </row>
    <row r="18905">
      <c r="BB18905" s="122"/>
      <c r="BC18905" s="141"/>
    </row>
    <row r="18906">
      <c r="BB18906" s="122"/>
      <c r="BC18906" s="141"/>
    </row>
    <row r="18907">
      <c r="BB18907" s="122"/>
      <c r="BC18907" s="141"/>
    </row>
    <row r="18908">
      <c r="BB18908" s="122"/>
      <c r="BC18908" s="141"/>
    </row>
    <row r="18909">
      <c r="BB18909" s="122"/>
      <c r="BC18909" s="141"/>
    </row>
    <row r="18910">
      <c r="BB18910" s="122"/>
      <c r="BC18910" s="141"/>
    </row>
    <row r="18911">
      <c r="BB18911" s="122"/>
      <c r="BC18911" s="141"/>
    </row>
    <row r="18912">
      <c r="BB18912" s="122"/>
      <c r="BC18912" s="141"/>
    </row>
    <row r="18913">
      <c r="BB18913" s="122"/>
      <c r="BC18913" s="141"/>
    </row>
    <row r="18914">
      <c r="BB18914" s="122"/>
      <c r="BC18914" s="141"/>
    </row>
    <row r="18915">
      <c r="BB18915" s="122"/>
      <c r="BC18915" s="141"/>
    </row>
    <row r="18916">
      <c r="BB18916" s="122"/>
      <c r="BC18916" s="141"/>
    </row>
    <row r="18917">
      <c r="BB18917" s="122"/>
      <c r="BC18917" s="141"/>
    </row>
    <row r="18918">
      <c r="BB18918" s="122"/>
      <c r="BC18918" s="141"/>
    </row>
    <row r="18919">
      <c r="BB18919" s="122"/>
      <c r="BC18919" s="141"/>
    </row>
    <row r="18920">
      <c r="BB18920" s="122"/>
      <c r="BC18920" s="141"/>
    </row>
    <row r="18921">
      <c r="BB18921" s="122"/>
      <c r="BC18921" s="141"/>
    </row>
    <row r="18922">
      <c r="BB18922" s="122"/>
      <c r="BC18922" s="141"/>
    </row>
    <row r="18923">
      <c r="BB18923" s="122"/>
      <c r="BC18923" s="141"/>
    </row>
    <row r="18924">
      <c r="BB18924" s="122"/>
      <c r="BC18924" s="141"/>
    </row>
    <row r="18925">
      <c r="BB18925" s="122"/>
      <c r="BC18925" s="141"/>
    </row>
    <row r="18926">
      <c r="BB18926" s="122"/>
      <c r="BC18926" s="141"/>
    </row>
    <row r="18927">
      <c r="BB18927" s="122"/>
      <c r="BC18927" s="141"/>
    </row>
    <row r="18928">
      <c r="BB18928" s="122"/>
      <c r="BC18928" s="141"/>
    </row>
    <row r="18929">
      <c r="BB18929" s="122"/>
      <c r="BC18929" s="141"/>
    </row>
    <row r="18930">
      <c r="BB18930" s="122"/>
      <c r="BC18930" s="141"/>
    </row>
    <row r="18931">
      <c r="BB18931" s="122"/>
      <c r="BC18931" s="141"/>
    </row>
    <row r="18932">
      <c r="BB18932" s="122"/>
      <c r="BC18932" s="141"/>
    </row>
    <row r="18933">
      <c r="BB18933" s="122"/>
      <c r="BC18933" s="141"/>
    </row>
    <row r="18934">
      <c r="BB18934" s="122"/>
      <c r="BC18934" s="141"/>
    </row>
    <row r="18935">
      <c r="BB18935" s="122"/>
      <c r="BC18935" s="141"/>
    </row>
    <row r="18936">
      <c r="BB18936" s="122"/>
      <c r="BC18936" s="141"/>
    </row>
    <row r="18937">
      <c r="BB18937" s="122"/>
      <c r="BC18937" s="141"/>
    </row>
    <row r="18938">
      <c r="BB18938" s="122"/>
      <c r="BC18938" s="141"/>
    </row>
    <row r="18939">
      <c r="BB18939" s="122"/>
      <c r="BC18939" s="141"/>
    </row>
    <row r="18940">
      <c r="BB18940" s="122"/>
      <c r="BC18940" s="141"/>
    </row>
    <row r="18941">
      <c r="BB18941" s="122"/>
      <c r="BC18941" s="141"/>
    </row>
    <row r="18942">
      <c r="BB18942" s="122"/>
      <c r="BC18942" s="141"/>
    </row>
    <row r="18943">
      <c r="BB18943" s="122"/>
      <c r="BC18943" s="141"/>
    </row>
    <row r="18944">
      <c r="BB18944" s="122"/>
      <c r="BC18944" s="141"/>
    </row>
    <row r="18945">
      <c r="BB18945" s="122"/>
      <c r="BC18945" s="141"/>
    </row>
    <row r="18946">
      <c r="BB18946" s="122"/>
      <c r="BC18946" s="141"/>
    </row>
    <row r="18947">
      <c r="BB18947" s="122"/>
      <c r="BC18947" s="141"/>
    </row>
    <row r="18948">
      <c r="BB18948" s="122"/>
      <c r="BC18948" s="141"/>
    </row>
    <row r="18949">
      <c r="BB18949" s="122"/>
      <c r="BC18949" s="141"/>
    </row>
    <row r="18950">
      <c r="BB18950" s="122"/>
      <c r="BC18950" s="141"/>
    </row>
    <row r="18951">
      <c r="BB18951" s="122"/>
      <c r="BC18951" s="141"/>
    </row>
    <row r="18952">
      <c r="BB18952" s="122"/>
      <c r="BC18952" s="141"/>
    </row>
    <row r="18953">
      <c r="BB18953" s="122"/>
      <c r="BC18953" s="141"/>
    </row>
    <row r="18954">
      <c r="BB18954" s="122"/>
      <c r="BC18954" s="141"/>
    </row>
    <row r="18955">
      <c r="BB18955" s="122"/>
      <c r="BC18955" s="141"/>
    </row>
    <row r="18956">
      <c r="BB18956" s="122"/>
      <c r="BC18956" s="141"/>
    </row>
    <row r="18957">
      <c r="BB18957" s="122"/>
      <c r="BC18957" s="141"/>
    </row>
    <row r="18958">
      <c r="BB18958" s="122"/>
      <c r="BC18958" s="141"/>
    </row>
    <row r="18959">
      <c r="BB18959" s="122"/>
      <c r="BC18959" s="141"/>
    </row>
    <row r="18960">
      <c r="BB18960" s="122"/>
      <c r="BC18960" s="141"/>
    </row>
    <row r="18961">
      <c r="BB18961" s="122"/>
      <c r="BC18961" s="141"/>
    </row>
    <row r="18962">
      <c r="BB18962" s="122"/>
      <c r="BC18962" s="141"/>
    </row>
    <row r="18963">
      <c r="BB18963" s="122"/>
      <c r="BC18963" s="141"/>
    </row>
    <row r="18964">
      <c r="BB18964" s="122"/>
      <c r="BC18964" s="141"/>
    </row>
    <row r="18965">
      <c r="BB18965" s="122"/>
      <c r="BC18965" s="141"/>
    </row>
    <row r="18966">
      <c r="BB18966" s="122"/>
      <c r="BC18966" s="141"/>
    </row>
    <row r="18967">
      <c r="BB18967" s="122"/>
      <c r="BC18967" s="141"/>
    </row>
    <row r="18968">
      <c r="BB18968" s="122"/>
      <c r="BC18968" s="141"/>
    </row>
    <row r="18969">
      <c r="BB18969" s="122"/>
      <c r="BC18969" s="141"/>
    </row>
    <row r="18970">
      <c r="BB18970" s="122"/>
      <c r="BC18970" s="141"/>
    </row>
    <row r="18971">
      <c r="BB18971" s="122"/>
      <c r="BC18971" s="141"/>
    </row>
    <row r="18972">
      <c r="BB18972" s="122"/>
      <c r="BC18972" s="141"/>
    </row>
    <row r="18973">
      <c r="BB18973" s="122"/>
      <c r="BC18973" s="141"/>
    </row>
    <row r="18974">
      <c r="BB18974" s="122"/>
      <c r="BC18974" s="141"/>
    </row>
    <row r="18975">
      <c r="BB18975" s="122"/>
      <c r="BC18975" s="141"/>
    </row>
    <row r="18976">
      <c r="BB18976" s="122"/>
      <c r="BC18976" s="141"/>
    </row>
    <row r="18977">
      <c r="BB18977" s="122"/>
      <c r="BC18977" s="141"/>
    </row>
    <row r="18978">
      <c r="BB18978" s="122"/>
      <c r="BC18978" s="141"/>
    </row>
    <row r="18979">
      <c r="BB18979" s="122"/>
      <c r="BC18979" s="141"/>
    </row>
    <row r="18980">
      <c r="BB18980" s="122"/>
      <c r="BC18980" s="141"/>
    </row>
    <row r="18981">
      <c r="BB18981" s="122"/>
      <c r="BC18981" s="141"/>
    </row>
    <row r="18982">
      <c r="BB18982" s="122"/>
      <c r="BC18982" s="141"/>
    </row>
    <row r="18983">
      <c r="BB18983" s="122"/>
      <c r="BC18983" s="141"/>
    </row>
    <row r="18984">
      <c r="BB18984" s="122"/>
      <c r="BC18984" s="141"/>
    </row>
    <row r="18985">
      <c r="BB18985" s="122"/>
      <c r="BC18985" s="141"/>
    </row>
    <row r="18986">
      <c r="BB18986" s="122"/>
      <c r="BC18986" s="141"/>
    </row>
    <row r="18987">
      <c r="BB18987" s="122"/>
      <c r="BC18987" s="141"/>
    </row>
    <row r="18988">
      <c r="BB18988" s="122"/>
      <c r="BC18988" s="141"/>
    </row>
    <row r="18989">
      <c r="BB18989" s="122"/>
      <c r="BC18989" s="141"/>
    </row>
    <row r="18990">
      <c r="BB18990" s="122"/>
      <c r="BC18990" s="141"/>
    </row>
    <row r="18991">
      <c r="BB18991" s="122"/>
      <c r="BC18991" s="141"/>
    </row>
    <row r="18992">
      <c r="BB18992" s="122"/>
      <c r="BC18992" s="141"/>
    </row>
    <row r="18993">
      <c r="BB18993" s="122"/>
      <c r="BC18993" s="141"/>
    </row>
    <row r="18994">
      <c r="BB18994" s="122"/>
      <c r="BC18994" s="141"/>
    </row>
    <row r="18995">
      <c r="BB18995" s="122"/>
      <c r="BC18995" s="141"/>
    </row>
    <row r="18996">
      <c r="BB18996" s="122"/>
      <c r="BC18996" s="141"/>
    </row>
    <row r="18997">
      <c r="BB18997" s="122"/>
      <c r="BC18997" s="141"/>
    </row>
    <row r="18998">
      <c r="BB18998" s="122"/>
      <c r="BC18998" s="141"/>
    </row>
    <row r="18999">
      <c r="BB18999" s="122"/>
      <c r="BC18999" s="141"/>
    </row>
    <row r="19000">
      <c r="BB19000" s="122"/>
      <c r="BC19000" s="141"/>
    </row>
    <row r="19001">
      <c r="BB19001" s="122"/>
      <c r="BC19001" s="141"/>
    </row>
    <row r="19002">
      <c r="BB19002" s="122"/>
      <c r="BC19002" s="141"/>
    </row>
    <row r="19003">
      <c r="BB19003" s="122"/>
      <c r="BC19003" s="141"/>
    </row>
    <row r="19004">
      <c r="BB19004" s="122"/>
      <c r="BC19004" s="141"/>
    </row>
    <row r="19005">
      <c r="BB19005" s="122"/>
      <c r="BC19005" s="141"/>
    </row>
    <row r="19006">
      <c r="BB19006" s="122"/>
      <c r="BC19006" s="141"/>
    </row>
    <row r="19007">
      <c r="BB19007" s="122"/>
      <c r="BC19007" s="141"/>
    </row>
    <row r="19008">
      <c r="BB19008" s="122"/>
      <c r="BC19008" s="141"/>
    </row>
    <row r="19009">
      <c r="BB19009" s="122"/>
      <c r="BC19009" s="141"/>
    </row>
    <row r="19010">
      <c r="BB19010" s="122"/>
      <c r="BC19010" s="141"/>
    </row>
    <row r="19011">
      <c r="BB19011" s="122"/>
      <c r="BC19011" s="141"/>
    </row>
    <row r="19012">
      <c r="BB19012" s="122"/>
      <c r="BC19012" s="141"/>
    </row>
    <row r="19013">
      <c r="BB19013" s="122"/>
      <c r="BC19013" s="141"/>
    </row>
    <row r="19014">
      <c r="BB19014" s="122"/>
      <c r="BC19014" s="141"/>
    </row>
    <row r="19015">
      <c r="BB19015" s="122"/>
      <c r="BC19015" s="141"/>
    </row>
    <row r="19016">
      <c r="BB19016" s="122"/>
      <c r="BC19016" s="141"/>
    </row>
    <row r="19017">
      <c r="BB19017" s="122"/>
      <c r="BC19017" s="141"/>
    </row>
    <row r="19018">
      <c r="BB19018" s="122"/>
      <c r="BC19018" s="141"/>
    </row>
    <row r="19019">
      <c r="BB19019" s="122"/>
      <c r="BC19019" s="141"/>
    </row>
    <row r="19020">
      <c r="BB19020" s="122"/>
      <c r="BC19020" s="141"/>
    </row>
    <row r="19021">
      <c r="BB19021" s="122"/>
      <c r="BC19021" s="141"/>
    </row>
    <row r="19022">
      <c r="BB19022" s="122"/>
      <c r="BC19022" s="141"/>
    </row>
    <row r="19023">
      <c r="BB19023" s="122"/>
      <c r="BC19023" s="141"/>
    </row>
    <row r="19024">
      <c r="BB19024" s="122"/>
      <c r="BC19024" s="141"/>
    </row>
    <row r="19025">
      <c r="BB19025" s="122"/>
      <c r="BC19025" s="141"/>
    </row>
    <row r="19026">
      <c r="BB19026" s="122"/>
      <c r="BC19026" s="141"/>
    </row>
    <row r="19027">
      <c r="BB19027" s="122"/>
      <c r="BC19027" s="141"/>
    </row>
    <row r="19028">
      <c r="BB19028" s="122"/>
      <c r="BC19028" s="141"/>
    </row>
    <row r="19029">
      <c r="BB19029" s="122"/>
      <c r="BC19029" s="141"/>
    </row>
    <row r="19030">
      <c r="BB19030" s="122"/>
      <c r="BC19030" s="141"/>
    </row>
    <row r="19031">
      <c r="BB19031" s="122"/>
      <c r="BC19031" s="141"/>
    </row>
    <row r="19032">
      <c r="BB19032" s="122"/>
      <c r="BC19032" s="141"/>
    </row>
    <row r="19033">
      <c r="BB19033" s="122"/>
      <c r="BC19033" s="141"/>
    </row>
    <row r="19034">
      <c r="BB19034" s="122"/>
      <c r="BC19034" s="141"/>
    </row>
    <row r="19035">
      <c r="BB19035" s="122"/>
      <c r="BC19035" s="141"/>
    </row>
    <row r="19036">
      <c r="BB19036" s="122"/>
      <c r="BC19036" s="141"/>
    </row>
    <row r="19037">
      <c r="BB19037" s="122"/>
      <c r="BC19037" s="141"/>
    </row>
    <row r="19038">
      <c r="BB19038" s="122"/>
      <c r="BC19038" s="141"/>
    </row>
    <row r="19039">
      <c r="BB19039" s="122"/>
      <c r="BC19039" s="141"/>
    </row>
    <row r="19040">
      <c r="BB19040" s="122"/>
      <c r="BC19040" s="141"/>
    </row>
    <row r="19041">
      <c r="BB19041" s="122"/>
      <c r="BC19041" s="141"/>
    </row>
    <row r="19042">
      <c r="BB19042" s="122"/>
      <c r="BC19042" s="141"/>
    </row>
    <row r="19043">
      <c r="BB19043" s="122"/>
      <c r="BC19043" s="141"/>
    </row>
    <row r="19044">
      <c r="BB19044" s="122"/>
      <c r="BC19044" s="141"/>
    </row>
    <row r="19045">
      <c r="BB19045" s="122"/>
      <c r="BC19045" s="141"/>
    </row>
    <row r="19046">
      <c r="BB19046" s="122"/>
      <c r="BC19046" s="141"/>
    </row>
    <row r="19047">
      <c r="BB19047" s="122"/>
      <c r="BC19047" s="141"/>
    </row>
    <row r="19048">
      <c r="BB19048" s="122"/>
      <c r="BC19048" s="141"/>
    </row>
    <row r="19049">
      <c r="BB19049" s="122"/>
      <c r="BC19049" s="141"/>
    </row>
    <row r="19050">
      <c r="BB19050" s="122"/>
      <c r="BC19050" s="141"/>
    </row>
    <row r="19051">
      <c r="BB19051" s="122"/>
      <c r="BC19051" s="141"/>
    </row>
    <row r="19052">
      <c r="BB19052" s="122"/>
      <c r="BC19052" s="141"/>
    </row>
    <row r="19053">
      <c r="BB19053" s="122"/>
      <c r="BC19053" s="141"/>
    </row>
    <row r="19054">
      <c r="BB19054" s="122"/>
      <c r="BC19054" s="141"/>
    </row>
    <row r="19055">
      <c r="BB19055" s="122"/>
      <c r="BC19055" s="141"/>
    </row>
    <row r="19056">
      <c r="BB19056" s="122"/>
      <c r="BC19056" s="141"/>
    </row>
    <row r="19057">
      <c r="BB19057" s="122"/>
      <c r="BC19057" s="141"/>
    </row>
    <row r="19058">
      <c r="BB19058" s="122"/>
      <c r="BC19058" s="141"/>
    </row>
    <row r="19059">
      <c r="BB19059" s="122"/>
      <c r="BC19059" s="141"/>
    </row>
    <row r="19060">
      <c r="BB19060" s="122"/>
      <c r="BC19060" s="141"/>
    </row>
    <row r="19061">
      <c r="BB19061" s="122"/>
      <c r="BC19061" s="141"/>
    </row>
    <row r="19062">
      <c r="BB19062" s="122"/>
      <c r="BC19062" s="141"/>
    </row>
    <row r="19063">
      <c r="BB19063" s="122"/>
      <c r="BC19063" s="141"/>
    </row>
    <row r="19064">
      <c r="BB19064" s="122"/>
      <c r="BC19064" s="141"/>
    </row>
    <row r="19065">
      <c r="BB19065" s="122"/>
      <c r="BC19065" s="141"/>
    </row>
    <row r="19066">
      <c r="BB19066" s="122"/>
      <c r="BC19066" s="141"/>
    </row>
    <row r="19067">
      <c r="BB19067" s="122"/>
      <c r="BC19067" s="141"/>
    </row>
    <row r="19068">
      <c r="BB19068" s="122"/>
      <c r="BC19068" s="141"/>
    </row>
    <row r="19069">
      <c r="BB19069" s="122"/>
      <c r="BC19069" s="141"/>
    </row>
    <row r="19070">
      <c r="BB19070" s="122"/>
      <c r="BC19070" s="141"/>
    </row>
    <row r="19071">
      <c r="BB19071" s="122"/>
      <c r="BC19071" s="141"/>
    </row>
    <row r="19072">
      <c r="BB19072" s="122"/>
      <c r="BC19072" s="141"/>
    </row>
    <row r="19073">
      <c r="BB19073" s="122"/>
      <c r="BC19073" s="141"/>
    </row>
    <row r="19074">
      <c r="BB19074" s="122"/>
      <c r="BC19074" s="141"/>
    </row>
    <row r="19075">
      <c r="BB19075" s="122"/>
      <c r="BC19075" s="141"/>
    </row>
    <row r="19076">
      <c r="BB19076" s="122"/>
      <c r="BC19076" s="141"/>
    </row>
    <row r="19077">
      <c r="BB19077" s="122"/>
      <c r="BC19077" s="141"/>
    </row>
    <row r="19078">
      <c r="BB19078" s="122"/>
      <c r="BC19078" s="141"/>
    </row>
    <row r="19079">
      <c r="BB19079" s="122"/>
      <c r="BC19079" s="141"/>
    </row>
    <row r="19080">
      <c r="BB19080" s="122"/>
      <c r="BC19080" s="141"/>
    </row>
    <row r="19081">
      <c r="BB19081" s="122"/>
      <c r="BC19081" s="141"/>
    </row>
    <row r="19082">
      <c r="BB19082" s="122"/>
      <c r="BC19082" s="141"/>
    </row>
    <row r="19083">
      <c r="BB19083" s="122"/>
      <c r="BC19083" s="141"/>
    </row>
    <row r="19084">
      <c r="BB19084" s="122"/>
      <c r="BC19084" s="141"/>
    </row>
    <row r="19085">
      <c r="BB19085" s="122"/>
      <c r="BC19085" s="141"/>
    </row>
    <row r="19086">
      <c r="BB19086" s="122"/>
      <c r="BC19086" s="141"/>
    </row>
    <row r="19087">
      <c r="BB19087" s="122"/>
      <c r="BC19087" s="141"/>
    </row>
    <row r="19088">
      <c r="BB19088" s="122"/>
      <c r="BC19088" s="141"/>
    </row>
    <row r="19089">
      <c r="BB19089" s="122"/>
      <c r="BC19089" s="141"/>
    </row>
    <row r="19090">
      <c r="BB19090" s="122"/>
      <c r="BC19090" s="141"/>
    </row>
    <row r="19091">
      <c r="BB19091" s="122"/>
      <c r="BC19091" s="141"/>
    </row>
    <row r="19092">
      <c r="BB19092" s="122"/>
      <c r="BC19092" s="141"/>
    </row>
    <row r="19093">
      <c r="BB19093" s="122"/>
      <c r="BC19093" s="141"/>
    </row>
    <row r="19094">
      <c r="BB19094" s="122"/>
      <c r="BC19094" s="141"/>
    </row>
    <row r="19095">
      <c r="BB19095" s="122"/>
      <c r="BC19095" s="141"/>
    </row>
    <row r="19096">
      <c r="BB19096" s="122"/>
      <c r="BC19096" s="141"/>
    </row>
    <row r="19097">
      <c r="BB19097" s="122"/>
      <c r="BC19097" s="141"/>
    </row>
    <row r="19098">
      <c r="BB19098" s="122"/>
      <c r="BC19098" s="141"/>
    </row>
    <row r="19099">
      <c r="BB19099" s="122"/>
      <c r="BC19099" s="141"/>
    </row>
    <row r="19100">
      <c r="BB19100" s="122"/>
      <c r="BC19100" s="141"/>
    </row>
    <row r="19101">
      <c r="BB19101" s="122"/>
      <c r="BC19101" s="141"/>
    </row>
    <row r="19102">
      <c r="BB19102" s="122"/>
      <c r="BC19102" s="141"/>
    </row>
    <row r="19103">
      <c r="BB19103" s="122"/>
      <c r="BC19103" s="141"/>
    </row>
    <row r="19104">
      <c r="BB19104" s="122"/>
      <c r="BC19104" s="141"/>
    </row>
    <row r="19105">
      <c r="BB19105" s="122"/>
      <c r="BC19105" s="141"/>
    </row>
    <row r="19106">
      <c r="BB19106" s="122"/>
      <c r="BC19106" s="141"/>
    </row>
    <row r="19107">
      <c r="BB19107" s="122"/>
      <c r="BC19107" s="141"/>
    </row>
    <row r="19108">
      <c r="BB19108" s="122"/>
      <c r="BC19108" s="141"/>
    </row>
    <row r="19109">
      <c r="BB19109" s="122"/>
      <c r="BC19109" s="141"/>
    </row>
    <row r="19110">
      <c r="BB19110" s="122"/>
      <c r="BC19110" s="141"/>
    </row>
    <row r="19111">
      <c r="BB19111" s="122"/>
      <c r="BC19111" s="141"/>
    </row>
    <row r="19112">
      <c r="BB19112" s="122"/>
      <c r="BC19112" s="141"/>
    </row>
    <row r="19113">
      <c r="BB19113" s="122"/>
      <c r="BC19113" s="141"/>
    </row>
    <row r="19114">
      <c r="BB19114" s="122"/>
      <c r="BC19114" s="141"/>
    </row>
    <row r="19115">
      <c r="BB19115" s="122"/>
      <c r="BC19115" s="141"/>
    </row>
    <row r="19116">
      <c r="BB19116" s="122"/>
      <c r="BC19116" s="141"/>
    </row>
    <row r="19117">
      <c r="BB19117" s="122"/>
      <c r="BC19117" s="141"/>
    </row>
    <row r="19118">
      <c r="BB19118" s="122"/>
      <c r="BC19118" s="141"/>
    </row>
    <row r="19119">
      <c r="BB19119" s="122"/>
      <c r="BC19119" s="141"/>
    </row>
    <row r="19120">
      <c r="BB19120" s="122"/>
      <c r="BC19120" s="141"/>
    </row>
    <row r="19121">
      <c r="BB19121" s="122"/>
      <c r="BC19121" s="141"/>
    </row>
    <row r="19122">
      <c r="BB19122" s="122"/>
      <c r="BC19122" s="141"/>
    </row>
    <row r="19123">
      <c r="BB19123" s="122"/>
      <c r="BC19123" s="141"/>
    </row>
    <row r="19124">
      <c r="BB19124" s="122"/>
      <c r="BC19124" s="141"/>
    </row>
    <row r="19125">
      <c r="BB19125" s="122"/>
      <c r="BC19125" s="141"/>
    </row>
    <row r="19126">
      <c r="BB19126" s="122"/>
      <c r="BC19126" s="141"/>
    </row>
    <row r="19127">
      <c r="BB19127" s="122"/>
      <c r="BC19127" s="141"/>
    </row>
    <row r="19128">
      <c r="BB19128" s="122"/>
      <c r="BC19128" s="141"/>
    </row>
    <row r="19129">
      <c r="BB19129" s="122"/>
      <c r="BC19129" s="141"/>
    </row>
    <row r="19130">
      <c r="BB19130" s="122"/>
      <c r="BC19130" s="141"/>
    </row>
    <row r="19131">
      <c r="BB19131" s="122"/>
      <c r="BC19131" s="141"/>
    </row>
    <row r="19132">
      <c r="BB19132" s="122"/>
      <c r="BC19132" s="141"/>
    </row>
    <row r="19133">
      <c r="BB19133" s="122"/>
      <c r="BC19133" s="141"/>
    </row>
    <row r="19134">
      <c r="BB19134" s="122"/>
      <c r="BC19134" s="141"/>
    </row>
    <row r="19135">
      <c r="BB19135" s="122"/>
      <c r="BC19135" s="141"/>
    </row>
    <row r="19136">
      <c r="BB19136" s="122"/>
      <c r="BC19136" s="141"/>
    </row>
    <row r="19137">
      <c r="BB19137" s="122"/>
      <c r="BC19137" s="141"/>
    </row>
    <row r="19138">
      <c r="BB19138" s="122"/>
      <c r="BC19138" s="141"/>
    </row>
    <row r="19139">
      <c r="BB19139" s="122"/>
      <c r="BC19139" s="141"/>
    </row>
    <row r="19140">
      <c r="BB19140" s="122"/>
      <c r="BC19140" s="141"/>
    </row>
    <row r="19141">
      <c r="BB19141" s="122"/>
      <c r="BC19141" s="141"/>
    </row>
    <row r="19142">
      <c r="BB19142" s="122"/>
      <c r="BC19142" s="141"/>
    </row>
    <row r="19143">
      <c r="BB19143" s="122"/>
      <c r="BC19143" s="141"/>
    </row>
    <row r="19144">
      <c r="BB19144" s="122"/>
      <c r="BC19144" s="141"/>
    </row>
    <row r="19145">
      <c r="BB19145" s="122"/>
      <c r="BC19145" s="141"/>
    </row>
    <row r="19146">
      <c r="BB19146" s="122"/>
      <c r="BC19146" s="141"/>
    </row>
    <row r="19147">
      <c r="BB19147" s="122"/>
      <c r="BC19147" s="141"/>
    </row>
    <row r="19148">
      <c r="BB19148" s="122"/>
      <c r="BC19148" s="141"/>
    </row>
    <row r="19149">
      <c r="BB19149" s="122"/>
      <c r="BC19149" s="141"/>
    </row>
    <row r="19150">
      <c r="BB19150" s="122"/>
      <c r="BC19150" s="141"/>
    </row>
    <row r="19151">
      <c r="BB19151" s="122"/>
      <c r="BC19151" s="141"/>
    </row>
    <row r="19152">
      <c r="BB19152" s="122"/>
      <c r="BC19152" s="141"/>
    </row>
    <row r="19153">
      <c r="BB19153" s="122"/>
      <c r="BC19153" s="141"/>
    </row>
    <row r="19154">
      <c r="BB19154" s="122"/>
      <c r="BC19154" s="141"/>
    </row>
    <row r="19155">
      <c r="BB19155" s="122"/>
      <c r="BC19155" s="141"/>
    </row>
    <row r="19156">
      <c r="BB19156" s="122"/>
      <c r="BC19156" s="141"/>
    </row>
    <row r="19157">
      <c r="BB19157" s="122"/>
      <c r="BC19157" s="141"/>
    </row>
    <row r="19158">
      <c r="BB19158" s="122"/>
      <c r="BC19158" s="141"/>
    </row>
    <row r="19159">
      <c r="BB19159" s="122"/>
      <c r="BC19159" s="141"/>
    </row>
    <row r="19160">
      <c r="BB19160" s="122"/>
      <c r="BC19160" s="141"/>
    </row>
    <row r="19161">
      <c r="BB19161" s="122"/>
      <c r="BC19161" s="141"/>
    </row>
    <row r="19162">
      <c r="BB19162" s="122"/>
      <c r="BC19162" s="141"/>
    </row>
    <row r="19163">
      <c r="BB19163" s="122"/>
      <c r="BC19163" s="141"/>
    </row>
    <row r="19164">
      <c r="BB19164" s="122"/>
      <c r="BC19164" s="141"/>
    </row>
    <row r="19165">
      <c r="BB19165" s="122"/>
      <c r="BC19165" s="141"/>
    </row>
    <row r="19166">
      <c r="BB19166" s="122"/>
      <c r="BC19166" s="141"/>
    </row>
    <row r="19167">
      <c r="BB19167" s="122"/>
      <c r="BC19167" s="141"/>
    </row>
    <row r="19168">
      <c r="BB19168" s="122"/>
      <c r="BC19168" s="141"/>
    </row>
    <row r="19169">
      <c r="BB19169" s="122"/>
      <c r="BC19169" s="141"/>
    </row>
    <row r="19170">
      <c r="BB19170" s="122"/>
      <c r="BC19170" s="141"/>
    </row>
    <row r="19171">
      <c r="BB19171" s="122"/>
      <c r="BC19171" s="141"/>
    </row>
    <row r="19172">
      <c r="BB19172" s="122"/>
      <c r="BC19172" s="141"/>
    </row>
    <row r="19173">
      <c r="BB19173" s="122"/>
      <c r="BC19173" s="141"/>
    </row>
    <row r="19174">
      <c r="BB19174" s="122"/>
      <c r="BC19174" s="141"/>
    </row>
    <row r="19175">
      <c r="BB19175" s="122"/>
      <c r="BC19175" s="141"/>
    </row>
    <row r="19176">
      <c r="BB19176" s="122"/>
      <c r="BC19176" s="141"/>
    </row>
    <row r="19177">
      <c r="BB19177" s="122"/>
      <c r="BC19177" s="141"/>
    </row>
    <row r="19178">
      <c r="BB19178" s="122"/>
      <c r="BC19178" s="141"/>
    </row>
    <row r="19179">
      <c r="BB19179" s="122"/>
      <c r="BC19179" s="141"/>
    </row>
    <row r="19180">
      <c r="BB19180" s="122"/>
      <c r="BC19180" s="141"/>
    </row>
    <row r="19181">
      <c r="BB19181" s="122"/>
      <c r="BC19181" s="141"/>
    </row>
    <row r="19182">
      <c r="BB19182" s="122"/>
      <c r="BC19182" s="141"/>
    </row>
    <row r="19183">
      <c r="BB19183" s="122"/>
      <c r="BC19183" s="141"/>
    </row>
    <row r="19184">
      <c r="BB19184" s="122"/>
      <c r="BC19184" s="141"/>
    </row>
    <row r="19185">
      <c r="BB19185" s="122"/>
      <c r="BC19185" s="141"/>
    </row>
    <row r="19186">
      <c r="BB19186" s="122"/>
      <c r="BC19186" s="141"/>
    </row>
    <row r="19187">
      <c r="BB19187" s="122"/>
      <c r="BC19187" s="141"/>
    </row>
    <row r="19188">
      <c r="BB19188" s="122"/>
      <c r="BC19188" s="141"/>
    </row>
    <row r="19189">
      <c r="BB19189" s="122"/>
      <c r="BC19189" s="141"/>
    </row>
    <row r="19190">
      <c r="BB19190" s="122"/>
      <c r="BC19190" s="141"/>
    </row>
    <row r="19191">
      <c r="BB19191" s="122"/>
      <c r="BC19191" s="141"/>
    </row>
    <row r="19192">
      <c r="BB19192" s="122"/>
      <c r="BC19192" s="141"/>
    </row>
    <row r="19193">
      <c r="BB19193" s="122"/>
      <c r="BC19193" s="141"/>
    </row>
    <row r="19194">
      <c r="BB19194" s="122"/>
      <c r="BC19194" s="141"/>
    </row>
    <row r="19195">
      <c r="BB19195" s="122"/>
      <c r="BC19195" s="141"/>
    </row>
    <row r="19196">
      <c r="BB19196" s="122"/>
      <c r="BC19196" s="141"/>
    </row>
    <row r="19197">
      <c r="BB19197" s="122"/>
      <c r="BC19197" s="141"/>
    </row>
    <row r="19198">
      <c r="BB19198" s="122"/>
      <c r="BC19198" s="141"/>
    </row>
    <row r="19199">
      <c r="BB19199" s="122"/>
      <c r="BC19199" s="141"/>
    </row>
    <row r="19200">
      <c r="BB19200" s="122"/>
      <c r="BC19200" s="141"/>
    </row>
    <row r="19201">
      <c r="BB19201" s="122"/>
      <c r="BC19201" s="141"/>
    </row>
    <row r="19202">
      <c r="BB19202" s="122"/>
      <c r="BC19202" s="141"/>
    </row>
    <row r="19203">
      <c r="BB19203" s="122"/>
      <c r="BC19203" s="141"/>
    </row>
    <row r="19204">
      <c r="BB19204" s="122"/>
      <c r="BC19204" s="141"/>
    </row>
    <row r="19205">
      <c r="BB19205" s="122"/>
      <c r="BC19205" s="141"/>
    </row>
    <row r="19206">
      <c r="BB19206" s="122"/>
      <c r="BC19206" s="141"/>
    </row>
    <row r="19207">
      <c r="BB19207" s="122"/>
      <c r="BC19207" s="141"/>
    </row>
    <row r="19208">
      <c r="BB19208" s="122"/>
      <c r="BC19208" s="141"/>
    </row>
    <row r="19209">
      <c r="BB19209" s="122"/>
      <c r="BC19209" s="141"/>
    </row>
    <row r="19210">
      <c r="BB19210" s="122"/>
      <c r="BC19210" s="141"/>
    </row>
    <row r="19211">
      <c r="BB19211" s="122"/>
      <c r="BC19211" s="141"/>
    </row>
    <row r="19212">
      <c r="BB19212" s="122"/>
      <c r="BC19212" s="141"/>
    </row>
    <row r="19213">
      <c r="BB19213" s="122"/>
      <c r="BC19213" s="141"/>
    </row>
    <row r="19214">
      <c r="BB19214" s="122"/>
      <c r="BC19214" s="141"/>
    </row>
    <row r="19215">
      <c r="BB19215" s="122"/>
      <c r="BC19215" s="141"/>
    </row>
    <row r="19216">
      <c r="BB19216" s="122"/>
      <c r="BC19216" s="141"/>
    </row>
    <row r="19217">
      <c r="BB19217" s="122"/>
      <c r="BC19217" s="141"/>
    </row>
    <row r="19218">
      <c r="BB19218" s="122"/>
      <c r="BC19218" s="141"/>
    </row>
    <row r="19219">
      <c r="BB19219" s="122"/>
      <c r="BC19219" s="141"/>
    </row>
    <row r="19220">
      <c r="BB19220" s="122"/>
      <c r="BC19220" s="141"/>
    </row>
    <row r="19221">
      <c r="BB19221" s="122"/>
      <c r="BC19221" s="141"/>
    </row>
    <row r="19222">
      <c r="BB19222" s="122"/>
      <c r="BC19222" s="141"/>
    </row>
    <row r="19223">
      <c r="BB19223" s="122"/>
      <c r="BC19223" s="141"/>
    </row>
    <row r="19224">
      <c r="BB19224" s="122"/>
      <c r="BC19224" s="141"/>
    </row>
    <row r="19225">
      <c r="BB19225" s="122"/>
      <c r="BC19225" s="141"/>
    </row>
    <row r="19226">
      <c r="BB19226" s="122"/>
      <c r="BC19226" s="141"/>
    </row>
    <row r="19227">
      <c r="BB19227" s="122"/>
      <c r="BC19227" s="141"/>
    </row>
    <row r="19228">
      <c r="BB19228" s="122"/>
      <c r="BC19228" s="141"/>
    </row>
    <row r="19229">
      <c r="BB19229" s="122"/>
      <c r="BC19229" s="141"/>
    </row>
    <row r="19230">
      <c r="BB19230" s="122"/>
      <c r="BC19230" s="141"/>
    </row>
    <row r="19231">
      <c r="BB19231" s="122"/>
      <c r="BC19231" s="141"/>
    </row>
    <row r="19232">
      <c r="BB19232" s="122"/>
      <c r="BC19232" s="141"/>
    </row>
    <row r="19233">
      <c r="BB19233" s="122"/>
      <c r="BC19233" s="141"/>
    </row>
    <row r="19234">
      <c r="BB19234" s="122"/>
      <c r="BC19234" s="141"/>
    </row>
    <row r="19235">
      <c r="BB19235" s="122"/>
      <c r="BC19235" s="141"/>
    </row>
    <row r="19236">
      <c r="BB19236" s="122"/>
      <c r="BC19236" s="141"/>
    </row>
    <row r="19237">
      <c r="BB19237" s="122"/>
      <c r="BC19237" s="141"/>
    </row>
    <row r="19238">
      <c r="BB19238" s="122"/>
      <c r="BC19238" s="141"/>
    </row>
    <row r="19239">
      <c r="BB19239" s="122"/>
      <c r="BC19239" s="141"/>
    </row>
    <row r="19240">
      <c r="BB19240" s="122"/>
      <c r="BC19240" s="141"/>
    </row>
    <row r="19241">
      <c r="BB19241" s="122"/>
      <c r="BC19241" s="141"/>
    </row>
    <row r="19242">
      <c r="BB19242" s="122"/>
      <c r="BC19242" s="141"/>
    </row>
    <row r="19243">
      <c r="BB19243" s="122"/>
      <c r="BC19243" s="141"/>
    </row>
    <row r="19244">
      <c r="BB19244" s="122"/>
      <c r="BC19244" s="141"/>
    </row>
    <row r="19245">
      <c r="BB19245" s="122"/>
      <c r="BC19245" s="141"/>
    </row>
    <row r="19246">
      <c r="BB19246" s="122"/>
      <c r="BC19246" s="141"/>
    </row>
    <row r="19247">
      <c r="BB19247" s="122"/>
      <c r="BC19247" s="141"/>
    </row>
    <row r="19248">
      <c r="BB19248" s="122"/>
      <c r="BC19248" s="141"/>
    </row>
    <row r="19249">
      <c r="BB19249" s="122"/>
      <c r="BC19249" s="141"/>
    </row>
    <row r="19250">
      <c r="BB19250" s="122"/>
      <c r="BC19250" s="141"/>
    </row>
    <row r="19251">
      <c r="BB19251" s="122"/>
      <c r="BC19251" s="141"/>
    </row>
    <row r="19252">
      <c r="BB19252" s="122"/>
      <c r="BC19252" s="141"/>
    </row>
    <row r="19253">
      <c r="BB19253" s="122"/>
      <c r="BC19253" s="141"/>
    </row>
    <row r="19254">
      <c r="BB19254" s="122"/>
      <c r="BC19254" s="141"/>
    </row>
    <row r="19255">
      <c r="BB19255" s="122"/>
      <c r="BC19255" s="141"/>
    </row>
    <row r="19256">
      <c r="BB19256" s="122"/>
      <c r="BC19256" s="141"/>
    </row>
    <row r="19257">
      <c r="BB19257" s="122"/>
      <c r="BC19257" s="141"/>
    </row>
    <row r="19258">
      <c r="BB19258" s="122"/>
      <c r="BC19258" s="141"/>
    </row>
    <row r="19259">
      <c r="BB19259" s="122"/>
      <c r="BC19259" s="141"/>
    </row>
    <row r="19260">
      <c r="BB19260" s="122"/>
      <c r="BC19260" s="141"/>
    </row>
    <row r="19261">
      <c r="BB19261" s="122"/>
      <c r="BC19261" s="141"/>
    </row>
    <row r="19262">
      <c r="BB19262" s="122"/>
      <c r="BC19262" s="141"/>
    </row>
    <row r="19263">
      <c r="BB19263" s="122"/>
      <c r="BC19263" s="141"/>
    </row>
    <row r="19264">
      <c r="BB19264" s="122"/>
      <c r="BC19264" s="141"/>
    </row>
    <row r="19265">
      <c r="BB19265" s="122"/>
      <c r="BC19265" s="141"/>
    </row>
    <row r="19266">
      <c r="BB19266" s="122"/>
      <c r="BC19266" s="141"/>
    </row>
    <row r="19267">
      <c r="BB19267" s="122"/>
      <c r="BC19267" s="141"/>
    </row>
    <row r="19268">
      <c r="BB19268" s="122"/>
      <c r="BC19268" s="141"/>
    </row>
    <row r="19269">
      <c r="BB19269" s="122"/>
      <c r="BC19269" s="141"/>
    </row>
    <row r="19270">
      <c r="BB19270" s="122"/>
      <c r="BC19270" s="141"/>
    </row>
    <row r="19271">
      <c r="BB19271" s="122"/>
      <c r="BC19271" s="141"/>
    </row>
    <row r="19272">
      <c r="BB19272" s="122"/>
      <c r="BC19272" s="141"/>
    </row>
    <row r="19273">
      <c r="BB19273" s="122"/>
      <c r="BC19273" s="141"/>
    </row>
    <row r="19274">
      <c r="BB19274" s="122"/>
      <c r="BC19274" s="141"/>
    </row>
    <row r="19275">
      <c r="BB19275" s="122"/>
      <c r="BC19275" s="141"/>
    </row>
    <row r="19276">
      <c r="BB19276" s="122"/>
      <c r="BC19276" s="141"/>
    </row>
    <row r="19277">
      <c r="BB19277" s="122"/>
      <c r="BC19277" s="141"/>
    </row>
    <row r="19278">
      <c r="BB19278" s="122"/>
      <c r="BC19278" s="141"/>
    </row>
    <row r="19279">
      <c r="BB19279" s="122"/>
      <c r="BC19279" s="141"/>
    </row>
    <row r="19280">
      <c r="BB19280" s="122"/>
      <c r="BC19280" s="141"/>
    </row>
    <row r="19281">
      <c r="BB19281" s="122"/>
      <c r="BC19281" s="141"/>
    </row>
    <row r="19282">
      <c r="BB19282" s="122"/>
      <c r="BC19282" s="141"/>
    </row>
    <row r="19283">
      <c r="BB19283" s="122"/>
      <c r="BC19283" s="141"/>
    </row>
    <row r="19284">
      <c r="BB19284" s="122"/>
      <c r="BC19284" s="141"/>
    </row>
    <row r="19285">
      <c r="BB19285" s="122"/>
      <c r="BC19285" s="141"/>
    </row>
    <row r="19286">
      <c r="BB19286" s="122"/>
      <c r="BC19286" s="141"/>
    </row>
    <row r="19287">
      <c r="BB19287" s="122"/>
      <c r="BC19287" s="141"/>
    </row>
    <row r="19288">
      <c r="BB19288" s="122"/>
      <c r="BC19288" s="141"/>
    </row>
    <row r="19289">
      <c r="BB19289" s="122"/>
      <c r="BC19289" s="141"/>
    </row>
    <row r="19290">
      <c r="BB19290" s="122"/>
      <c r="BC19290" s="141"/>
    </row>
    <row r="19291">
      <c r="BB19291" s="122"/>
      <c r="BC19291" s="141"/>
    </row>
    <row r="19292">
      <c r="BB19292" s="122"/>
      <c r="BC19292" s="141"/>
    </row>
    <row r="19293">
      <c r="BB19293" s="122"/>
      <c r="BC19293" s="141"/>
    </row>
    <row r="19294">
      <c r="BB19294" s="122"/>
      <c r="BC19294" s="141"/>
    </row>
    <row r="19295">
      <c r="BB19295" s="122"/>
      <c r="BC19295" s="141"/>
    </row>
    <row r="19296">
      <c r="BB19296" s="122"/>
      <c r="BC19296" s="141"/>
    </row>
    <row r="19297">
      <c r="BB19297" s="122"/>
      <c r="BC19297" s="141"/>
    </row>
    <row r="19298">
      <c r="BB19298" s="122"/>
      <c r="BC19298" s="141"/>
    </row>
    <row r="19299">
      <c r="BB19299" s="122"/>
      <c r="BC19299" s="141"/>
    </row>
    <row r="19300">
      <c r="BB19300" s="122"/>
      <c r="BC19300" s="141"/>
    </row>
    <row r="19301">
      <c r="BB19301" s="122"/>
      <c r="BC19301" s="141"/>
    </row>
    <row r="19302">
      <c r="BB19302" s="122"/>
      <c r="BC19302" s="141"/>
    </row>
    <row r="19303">
      <c r="BB19303" s="122"/>
      <c r="BC19303" s="141"/>
    </row>
    <row r="19304">
      <c r="BB19304" s="122"/>
      <c r="BC19304" s="141"/>
    </row>
    <row r="19305">
      <c r="BB19305" s="122"/>
      <c r="BC19305" s="141"/>
    </row>
    <row r="19306">
      <c r="BB19306" s="122"/>
      <c r="BC19306" s="141"/>
    </row>
    <row r="19307">
      <c r="BB19307" s="122"/>
      <c r="BC19307" s="141"/>
    </row>
    <row r="19308">
      <c r="BB19308" s="122"/>
      <c r="BC19308" s="141"/>
    </row>
    <row r="19309">
      <c r="BB19309" s="122"/>
      <c r="BC19309" s="141"/>
    </row>
    <row r="19310">
      <c r="BB19310" s="122"/>
      <c r="BC19310" s="141"/>
    </row>
    <row r="19311">
      <c r="BB19311" s="122"/>
      <c r="BC19311" s="141"/>
    </row>
    <row r="19312">
      <c r="BB19312" s="122"/>
      <c r="BC19312" s="141"/>
    </row>
    <row r="19313">
      <c r="BB19313" s="122"/>
      <c r="BC19313" s="141"/>
    </row>
    <row r="19314">
      <c r="BB19314" s="122"/>
      <c r="BC19314" s="141"/>
    </row>
    <row r="19315">
      <c r="BB19315" s="122"/>
      <c r="BC19315" s="141"/>
    </row>
    <row r="19316">
      <c r="BB19316" s="122"/>
      <c r="BC19316" s="141"/>
    </row>
    <row r="19317">
      <c r="BB19317" s="122"/>
      <c r="BC19317" s="141"/>
    </row>
    <row r="19318">
      <c r="BB19318" s="122"/>
      <c r="BC19318" s="141"/>
    </row>
    <row r="19319">
      <c r="BB19319" s="122"/>
      <c r="BC19319" s="141"/>
    </row>
    <row r="19320">
      <c r="BB19320" s="122"/>
      <c r="BC19320" s="141"/>
    </row>
    <row r="19321">
      <c r="BB19321" s="122"/>
      <c r="BC19321" s="141"/>
    </row>
    <row r="19322">
      <c r="BB19322" s="122"/>
      <c r="BC19322" s="141"/>
    </row>
    <row r="19323">
      <c r="BB19323" s="122"/>
      <c r="BC19323" s="141"/>
    </row>
    <row r="19324">
      <c r="BB19324" s="122"/>
      <c r="BC19324" s="141"/>
    </row>
    <row r="19325">
      <c r="BB19325" s="122"/>
      <c r="BC19325" s="141"/>
    </row>
    <row r="19326">
      <c r="BB19326" s="122"/>
      <c r="BC19326" s="141"/>
    </row>
    <row r="19327">
      <c r="BB19327" s="122"/>
      <c r="BC19327" s="141"/>
    </row>
    <row r="19328">
      <c r="BB19328" s="122"/>
      <c r="BC19328" s="141"/>
    </row>
    <row r="19329">
      <c r="BB19329" s="122"/>
      <c r="BC19329" s="141"/>
    </row>
    <row r="19330">
      <c r="BB19330" s="122"/>
      <c r="BC19330" s="141"/>
    </row>
    <row r="19331">
      <c r="BB19331" s="122"/>
      <c r="BC19331" s="141"/>
    </row>
    <row r="19332">
      <c r="BB19332" s="122"/>
      <c r="BC19332" s="141"/>
    </row>
    <row r="19333">
      <c r="BB19333" s="122"/>
      <c r="BC19333" s="141"/>
    </row>
    <row r="19334">
      <c r="BB19334" s="122"/>
      <c r="BC19334" s="141"/>
    </row>
    <row r="19335">
      <c r="BB19335" s="122"/>
      <c r="BC19335" s="141"/>
    </row>
    <row r="19336">
      <c r="BB19336" s="122"/>
      <c r="BC19336" s="141"/>
    </row>
    <row r="19337">
      <c r="BB19337" s="122"/>
      <c r="BC19337" s="141"/>
    </row>
    <row r="19338">
      <c r="BB19338" s="122"/>
      <c r="BC19338" s="141"/>
    </row>
    <row r="19339">
      <c r="BB19339" s="122"/>
      <c r="BC19339" s="141"/>
    </row>
    <row r="19340">
      <c r="BB19340" s="122"/>
      <c r="BC19340" s="141"/>
    </row>
    <row r="19341">
      <c r="BB19341" s="122"/>
      <c r="BC19341" s="141"/>
    </row>
    <row r="19342">
      <c r="BB19342" s="122"/>
      <c r="BC19342" s="141"/>
    </row>
    <row r="19343">
      <c r="BB19343" s="122"/>
      <c r="BC19343" s="141"/>
    </row>
    <row r="19344">
      <c r="BB19344" s="122"/>
      <c r="BC19344" s="141"/>
    </row>
    <row r="19345">
      <c r="BB19345" s="122"/>
      <c r="BC19345" s="141"/>
    </row>
    <row r="19346">
      <c r="BB19346" s="122"/>
      <c r="BC19346" s="141"/>
    </row>
    <row r="19347">
      <c r="BB19347" s="122"/>
      <c r="BC19347" s="141"/>
    </row>
    <row r="19348">
      <c r="BB19348" s="122"/>
      <c r="BC19348" s="141"/>
    </row>
    <row r="19349">
      <c r="BB19349" s="122"/>
      <c r="BC19349" s="141"/>
    </row>
    <row r="19350">
      <c r="BB19350" s="122"/>
      <c r="BC19350" s="141"/>
    </row>
    <row r="19351">
      <c r="BB19351" s="122"/>
      <c r="BC19351" s="141"/>
    </row>
    <row r="19352">
      <c r="BB19352" s="122"/>
      <c r="BC19352" s="141"/>
    </row>
    <row r="19353">
      <c r="BB19353" s="122"/>
      <c r="BC19353" s="141"/>
    </row>
    <row r="19354">
      <c r="BB19354" s="122"/>
      <c r="BC19354" s="141"/>
    </row>
    <row r="19355">
      <c r="BB19355" s="122"/>
      <c r="BC19355" s="141"/>
    </row>
    <row r="19356">
      <c r="BB19356" s="122"/>
      <c r="BC19356" s="141"/>
    </row>
    <row r="19357">
      <c r="BB19357" s="122"/>
      <c r="BC19357" s="141"/>
    </row>
    <row r="19358">
      <c r="BB19358" s="122"/>
      <c r="BC19358" s="141"/>
    </row>
    <row r="19359">
      <c r="BB19359" s="122"/>
      <c r="BC19359" s="141"/>
    </row>
    <row r="19360">
      <c r="BB19360" s="122"/>
      <c r="BC19360" s="141"/>
    </row>
    <row r="19361">
      <c r="BB19361" s="122"/>
      <c r="BC19361" s="141"/>
    </row>
    <row r="19362">
      <c r="BB19362" s="122"/>
      <c r="BC19362" s="141"/>
    </row>
    <row r="19363">
      <c r="BB19363" s="122"/>
      <c r="BC19363" s="141"/>
    </row>
    <row r="19364">
      <c r="BB19364" s="122"/>
      <c r="BC19364" s="141"/>
    </row>
    <row r="19365">
      <c r="BB19365" s="122"/>
      <c r="BC19365" s="141"/>
    </row>
    <row r="19366">
      <c r="BB19366" s="122"/>
      <c r="BC19366" s="141"/>
    </row>
    <row r="19367">
      <c r="BB19367" s="122"/>
      <c r="BC19367" s="141"/>
    </row>
    <row r="19368">
      <c r="BB19368" s="122"/>
      <c r="BC19368" s="141"/>
    </row>
    <row r="19369">
      <c r="BB19369" s="122"/>
      <c r="BC19369" s="141"/>
    </row>
    <row r="19370">
      <c r="BB19370" s="122"/>
      <c r="BC19370" s="141"/>
    </row>
    <row r="19371">
      <c r="BB19371" s="122"/>
      <c r="BC19371" s="141"/>
    </row>
    <row r="19372">
      <c r="BB19372" s="122"/>
      <c r="BC19372" s="141"/>
    </row>
    <row r="19373">
      <c r="BB19373" s="122"/>
      <c r="BC19373" s="141"/>
    </row>
    <row r="19374">
      <c r="BB19374" s="122"/>
      <c r="BC19374" s="141"/>
    </row>
    <row r="19375">
      <c r="BB19375" s="122"/>
      <c r="BC19375" s="141"/>
    </row>
    <row r="19376">
      <c r="BB19376" s="122"/>
      <c r="BC19376" s="141"/>
    </row>
    <row r="19377">
      <c r="BB19377" s="122"/>
      <c r="BC19377" s="141"/>
    </row>
    <row r="19378">
      <c r="BB19378" s="122"/>
      <c r="BC19378" s="141"/>
    </row>
    <row r="19379">
      <c r="BB19379" s="122"/>
      <c r="BC19379" s="141"/>
    </row>
    <row r="19380">
      <c r="BB19380" s="122"/>
      <c r="BC19380" s="141"/>
    </row>
    <row r="19381">
      <c r="BB19381" s="122"/>
      <c r="BC19381" s="141"/>
    </row>
    <row r="19382">
      <c r="BB19382" s="122"/>
      <c r="BC19382" s="141"/>
    </row>
    <row r="19383">
      <c r="BB19383" s="122"/>
      <c r="BC19383" s="141"/>
    </row>
    <row r="19384">
      <c r="BB19384" s="122"/>
      <c r="BC19384" s="141"/>
    </row>
    <row r="19385">
      <c r="BB19385" s="122"/>
      <c r="BC19385" s="141"/>
    </row>
    <row r="19386">
      <c r="BB19386" s="122"/>
      <c r="BC19386" s="141"/>
    </row>
    <row r="19387">
      <c r="BB19387" s="122"/>
      <c r="BC19387" s="141"/>
    </row>
    <row r="19388">
      <c r="BB19388" s="122"/>
      <c r="BC19388" s="141"/>
    </row>
    <row r="19389">
      <c r="BB19389" s="122"/>
      <c r="BC19389" s="141"/>
    </row>
    <row r="19390">
      <c r="BB19390" s="122"/>
      <c r="BC19390" s="141"/>
    </row>
    <row r="19391">
      <c r="BB19391" s="122"/>
      <c r="BC19391" s="141"/>
    </row>
    <row r="19392">
      <c r="BB19392" s="122"/>
      <c r="BC19392" s="141"/>
    </row>
    <row r="19393">
      <c r="BB19393" s="122"/>
      <c r="BC19393" s="141"/>
    </row>
    <row r="19394">
      <c r="BB19394" s="122"/>
      <c r="BC19394" s="141"/>
    </row>
    <row r="19395">
      <c r="BB19395" s="122"/>
      <c r="BC19395" s="141"/>
    </row>
    <row r="19396">
      <c r="BB19396" s="122"/>
      <c r="BC19396" s="141"/>
    </row>
    <row r="19397">
      <c r="BB19397" s="122"/>
      <c r="BC19397" s="141"/>
    </row>
    <row r="19398">
      <c r="BB19398" s="122"/>
      <c r="BC19398" s="141"/>
    </row>
    <row r="19399">
      <c r="BB19399" s="122"/>
      <c r="BC19399" s="141"/>
    </row>
    <row r="19400">
      <c r="BB19400" s="122"/>
      <c r="BC19400" s="141"/>
    </row>
    <row r="19401">
      <c r="BB19401" s="122"/>
      <c r="BC19401" s="141"/>
    </row>
    <row r="19402">
      <c r="BB19402" s="122"/>
      <c r="BC19402" s="141"/>
    </row>
    <row r="19403">
      <c r="BB19403" s="122"/>
      <c r="BC19403" s="141"/>
    </row>
    <row r="19404">
      <c r="BB19404" s="122"/>
      <c r="BC19404" s="141"/>
    </row>
    <row r="19405">
      <c r="BB19405" s="122"/>
      <c r="BC19405" s="141"/>
    </row>
    <row r="19406">
      <c r="BB19406" s="122"/>
      <c r="BC19406" s="141"/>
    </row>
    <row r="19407">
      <c r="BB19407" s="122"/>
      <c r="BC19407" s="141"/>
    </row>
    <row r="19408">
      <c r="BB19408" s="122"/>
      <c r="BC19408" s="141"/>
    </row>
    <row r="19409">
      <c r="BB19409" s="122"/>
      <c r="BC19409" s="141"/>
    </row>
    <row r="19410">
      <c r="BB19410" s="122"/>
      <c r="BC19410" s="141"/>
    </row>
    <row r="19411">
      <c r="BB19411" s="122"/>
      <c r="BC19411" s="141"/>
    </row>
    <row r="19412">
      <c r="BB19412" s="122"/>
      <c r="BC19412" s="141"/>
    </row>
    <row r="19413">
      <c r="BB19413" s="122"/>
      <c r="BC19413" s="141"/>
    </row>
    <row r="19414">
      <c r="BB19414" s="122"/>
      <c r="BC19414" s="141"/>
    </row>
    <row r="19415">
      <c r="BB19415" s="122"/>
      <c r="BC19415" s="141"/>
    </row>
    <row r="19416">
      <c r="BB19416" s="122"/>
      <c r="BC19416" s="141"/>
    </row>
    <row r="19417">
      <c r="BB19417" s="122"/>
      <c r="BC19417" s="141"/>
    </row>
    <row r="19418">
      <c r="BB19418" s="122"/>
      <c r="BC19418" s="141"/>
    </row>
    <row r="19419">
      <c r="BB19419" s="122"/>
      <c r="BC19419" s="141"/>
    </row>
    <row r="19420">
      <c r="BB19420" s="122"/>
      <c r="BC19420" s="141"/>
    </row>
    <row r="19421">
      <c r="BB19421" s="122"/>
      <c r="BC19421" s="141"/>
    </row>
    <row r="19422">
      <c r="BB19422" s="122"/>
      <c r="BC19422" s="141"/>
    </row>
    <row r="19423">
      <c r="BB19423" s="122"/>
      <c r="BC19423" s="141"/>
    </row>
    <row r="19424">
      <c r="BB19424" s="122"/>
      <c r="BC19424" s="141"/>
    </row>
    <row r="19425">
      <c r="BB19425" s="122"/>
      <c r="BC19425" s="141"/>
    </row>
    <row r="19426">
      <c r="BB19426" s="122"/>
      <c r="BC19426" s="141"/>
    </row>
    <row r="19427">
      <c r="BB19427" s="122"/>
      <c r="BC19427" s="141"/>
    </row>
    <row r="19428">
      <c r="BB19428" s="122"/>
      <c r="BC19428" s="141"/>
    </row>
    <row r="19429">
      <c r="BB19429" s="122"/>
      <c r="BC19429" s="141"/>
    </row>
    <row r="19430">
      <c r="BB19430" s="122"/>
      <c r="BC19430" s="141"/>
    </row>
    <row r="19431">
      <c r="BB19431" s="122"/>
      <c r="BC19431" s="141"/>
    </row>
    <row r="19432">
      <c r="BB19432" s="122"/>
      <c r="BC19432" s="141"/>
    </row>
    <row r="19433">
      <c r="BB19433" s="122"/>
      <c r="BC19433" s="141"/>
    </row>
    <row r="19434">
      <c r="BB19434" s="122"/>
      <c r="BC19434" s="141"/>
    </row>
    <row r="19435">
      <c r="BB19435" s="122"/>
      <c r="BC19435" s="141"/>
    </row>
    <row r="19436">
      <c r="BB19436" s="122"/>
      <c r="BC19436" s="141"/>
    </row>
    <row r="19437">
      <c r="BB19437" s="122"/>
      <c r="BC19437" s="141"/>
    </row>
    <row r="19438">
      <c r="BB19438" s="122"/>
      <c r="BC19438" s="141"/>
    </row>
    <row r="19439">
      <c r="BB19439" s="122"/>
      <c r="BC19439" s="141"/>
    </row>
    <row r="19440">
      <c r="BB19440" s="122"/>
      <c r="BC19440" s="141"/>
    </row>
    <row r="19441">
      <c r="BB19441" s="122"/>
      <c r="BC19441" s="141"/>
    </row>
    <row r="19442">
      <c r="BB19442" s="122"/>
      <c r="BC19442" s="141"/>
    </row>
    <row r="19443">
      <c r="BB19443" s="122"/>
      <c r="BC19443" s="141"/>
    </row>
    <row r="19444">
      <c r="BB19444" s="122"/>
      <c r="BC19444" s="141"/>
    </row>
    <row r="19445">
      <c r="BB19445" s="122"/>
      <c r="BC19445" s="141"/>
    </row>
    <row r="19446">
      <c r="BB19446" s="122"/>
      <c r="BC19446" s="141"/>
    </row>
    <row r="19447">
      <c r="BB19447" s="122"/>
      <c r="BC19447" s="141"/>
    </row>
    <row r="19448">
      <c r="BB19448" s="122"/>
      <c r="BC19448" s="141"/>
    </row>
    <row r="19449">
      <c r="BB19449" s="122"/>
      <c r="BC19449" s="141"/>
    </row>
    <row r="19450">
      <c r="BB19450" s="122"/>
      <c r="BC19450" s="141"/>
    </row>
    <row r="19451">
      <c r="BB19451" s="122"/>
      <c r="BC19451" s="141"/>
    </row>
    <row r="19452">
      <c r="BB19452" s="122"/>
      <c r="BC19452" s="141"/>
    </row>
    <row r="19453">
      <c r="BB19453" s="122"/>
      <c r="BC19453" s="141"/>
    </row>
    <row r="19454">
      <c r="BB19454" s="122"/>
      <c r="BC19454" s="141"/>
    </row>
    <row r="19455">
      <c r="BB19455" s="122"/>
      <c r="BC19455" s="141"/>
    </row>
    <row r="19456">
      <c r="BB19456" s="122"/>
      <c r="BC19456" s="141"/>
    </row>
    <row r="19457">
      <c r="BB19457" s="122"/>
      <c r="BC19457" s="141"/>
    </row>
    <row r="19458">
      <c r="BB19458" s="122"/>
      <c r="BC19458" s="141"/>
    </row>
    <row r="19459">
      <c r="BB19459" s="122"/>
      <c r="BC19459" s="141"/>
    </row>
    <row r="19460">
      <c r="BB19460" s="122"/>
      <c r="BC19460" s="141"/>
    </row>
    <row r="19461">
      <c r="BB19461" s="122"/>
      <c r="BC19461" s="141"/>
    </row>
    <row r="19462">
      <c r="BB19462" s="122"/>
      <c r="BC19462" s="141"/>
    </row>
    <row r="19463">
      <c r="BB19463" s="122"/>
      <c r="BC19463" s="141"/>
    </row>
    <row r="19464">
      <c r="BB19464" s="122"/>
      <c r="BC19464" s="141"/>
    </row>
    <row r="19465">
      <c r="BB19465" s="122"/>
      <c r="BC19465" s="141"/>
    </row>
    <row r="19466">
      <c r="BB19466" s="122"/>
      <c r="BC19466" s="141"/>
    </row>
    <row r="19467">
      <c r="BB19467" s="122"/>
      <c r="BC19467" s="141"/>
    </row>
    <row r="19468">
      <c r="BB19468" s="122"/>
      <c r="BC19468" s="141"/>
    </row>
    <row r="19469">
      <c r="BB19469" s="122"/>
      <c r="BC19469" s="141"/>
    </row>
    <row r="19470">
      <c r="BB19470" s="122"/>
      <c r="BC19470" s="141"/>
    </row>
    <row r="19471">
      <c r="BB19471" s="122"/>
      <c r="BC19471" s="141"/>
    </row>
    <row r="19472">
      <c r="BB19472" s="122"/>
      <c r="BC19472" s="141"/>
    </row>
    <row r="19473">
      <c r="BB19473" s="122"/>
      <c r="BC19473" s="141"/>
    </row>
    <row r="19474">
      <c r="BB19474" s="122"/>
      <c r="BC19474" s="141"/>
    </row>
    <row r="19475">
      <c r="BB19475" s="122"/>
      <c r="BC19475" s="141"/>
    </row>
    <row r="19476">
      <c r="BB19476" s="122"/>
      <c r="BC19476" s="141"/>
    </row>
    <row r="19477">
      <c r="BB19477" s="122"/>
      <c r="BC19477" s="141"/>
    </row>
    <row r="19478">
      <c r="BB19478" s="122"/>
      <c r="BC19478" s="141"/>
    </row>
    <row r="19479">
      <c r="BB19479" s="122"/>
      <c r="BC19479" s="141"/>
    </row>
    <row r="19480">
      <c r="BB19480" s="122"/>
      <c r="BC19480" s="141"/>
    </row>
    <row r="19481">
      <c r="BB19481" s="122"/>
      <c r="BC19481" s="141"/>
    </row>
    <row r="19482">
      <c r="BB19482" s="122"/>
      <c r="BC19482" s="141"/>
    </row>
    <row r="19483">
      <c r="BB19483" s="122"/>
      <c r="BC19483" s="141"/>
    </row>
    <row r="19484">
      <c r="BB19484" s="122"/>
      <c r="BC19484" s="141"/>
    </row>
    <row r="19485">
      <c r="BB19485" s="122"/>
      <c r="BC19485" s="141"/>
    </row>
    <row r="19486">
      <c r="BB19486" s="122"/>
      <c r="BC19486" s="141"/>
    </row>
    <row r="19487">
      <c r="BB19487" s="122"/>
      <c r="BC19487" s="141"/>
    </row>
    <row r="19488">
      <c r="BB19488" s="122"/>
      <c r="BC19488" s="141"/>
    </row>
    <row r="19489">
      <c r="BB19489" s="122"/>
      <c r="BC19489" s="141"/>
    </row>
    <row r="19490">
      <c r="BB19490" s="122"/>
      <c r="BC19490" s="141"/>
    </row>
    <row r="19491">
      <c r="BB19491" s="122"/>
      <c r="BC19491" s="141"/>
    </row>
    <row r="19492">
      <c r="BB19492" s="122"/>
      <c r="BC19492" s="141"/>
    </row>
    <row r="19493">
      <c r="BB19493" s="122"/>
      <c r="BC19493" s="141"/>
    </row>
    <row r="19494">
      <c r="BB19494" s="122"/>
      <c r="BC19494" s="141"/>
    </row>
    <row r="19495">
      <c r="BB19495" s="122"/>
      <c r="BC19495" s="141"/>
    </row>
    <row r="19496">
      <c r="BB19496" s="122"/>
      <c r="BC19496" s="141"/>
    </row>
    <row r="19497">
      <c r="BB19497" s="122"/>
      <c r="BC19497" s="141"/>
    </row>
    <row r="19498">
      <c r="BB19498" s="122"/>
      <c r="BC19498" s="141"/>
    </row>
    <row r="19499">
      <c r="BB19499" s="122"/>
      <c r="BC19499" s="141"/>
    </row>
    <row r="19500">
      <c r="BB19500" s="122"/>
      <c r="BC19500" s="141"/>
    </row>
    <row r="19501">
      <c r="BB19501" s="122"/>
      <c r="BC19501" s="141"/>
    </row>
    <row r="19502">
      <c r="BB19502" s="122"/>
      <c r="BC19502" s="141"/>
    </row>
    <row r="19503">
      <c r="BB19503" s="122"/>
      <c r="BC19503" s="141"/>
    </row>
    <row r="19504">
      <c r="BB19504" s="122"/>
      <c r="BC19504" s="141"/>
    </row>
    <row r="19505">
      <c r="BB19505" s="122"/>
      <c r="BC19505" s="141"/>
    </row>
    <row r="19506">
      <c r="BB19506" s="122"/>
      <c r="BC19506" s="141"/>
    </row>
    <row r="19507">
      <c r="BB19507" s="122"/>
      <c r="BC19507" s="141"/>
    </row>
    <row r="19508">
      <c r="BB19508" s="122"/>
      <c r="BC19508" s="141"/>
    </row>
    <row r="19509">
      <c r="BB19509" s="122"/>
      <c r="BC19509" s="141"/>
    </row>
    <row r="19510">
      <c r="BB19510" s="122"/>
      <c r="BC19510" s="141"/>
    </row>
    <row r="19511">
      <c r="BB19511" s="122"/>
      <c r="BC19511" s="141"/>
    </row>
    <row r="19512">
      <c r="BB19512" s="122"/>
      <c r="BC19512" s="141"/>
    </row>
    <row r="19513">
      <c r="BB19513" s="122"/>
      <c r="BC19513" s="141"/>
    </row>
    <row r="19514">
      <c r="BB19514" s="122"/>
      <c r="BC19514" s="141"/>
    </row>
    <row r="19515">
      <c r="BB19515" s="122"/>
      <c r="BC19515" s="141"/>
    </row>
    <row r="19516">
      <c r="BB19516" s="122"/>
      <c r="BC19516" s="141"/>
    </row>
    <row r="19517">
      <c r="BB19517" s="122"/>
      <c r="BC19517" s="141"/>
    </row>
    <row r="19518">
      <c r="BB19518" s="122"/>
      <c r="BC19518" s="141"/>
    </row>
    <row r="19519">
      <c r="BB19519" s="122"/>
      <c r="BC19519" s="141"/>
    </row>
    <row r="19520">
      <c r="BB19520" s="122"/>
      <c r="BC19520" s="141"/>
    </row>
    <row r="19521">
      <c r="BB19521" s="122"/>
      <c r="BC19521" s="141"/>
    </row>
    <row r="19522">
      <c r="BB19522" s="122"/>
      <c r="BC19522" s="141"/>
    </row>
    <row r="19523">
      <c r="BB19523" s="122"/>
      <c r="BC19523" s="141"/>
    </row>
    <row r="19524">
      <c r="BB19524" s="122"/>
      <c r="BC19524" s="141"/>
    </row>
    <row r="19525">
      <c r="BB19525" s="122"/>
      <c r="BC19525" s="141"/>
    </row>
    <row r="19526">
      <c r="BB19526" s="122"/>
      <c r="BC19526" s="141"/>
    </row>
    <row r="19527">
      <c r="BB19527" s="122"/>
      <c r="BC19527" s="141"/>
    </row>
    <row r="19528">
      <c r="BB19528" s="122"/>
      <c r="BC19528" s="141"/>
    </row>
    <row r="19529">
      <c r="BB19529" s="122"/>
      <c r="BC19529" s="141"/>
    </row>
    <row r="19530">
      <c r="BB19530" s="122"/>
      <c r="BC19530" s="141"/>
    </row>
    <row r="19531">
      <c r="BB19531" s="122"/>
      <c r="BC19531" s="141"/>
    </row>
    <row r="19532">
      <c r="BB19532" s="122"/>
      <c r="BC19532" s="141"/>
    </row>
    <row r="19533">
      <c r="BB19533" s="122"/>
      <c r="BC19533" s="141"/>
    </row>
    <row r="19534">
      <c r="BB19534" s="122"/>
      <c r="BC19534" s="141"/>
    </row>
    <row r="19535">
      <c r="BB19535" s="122"/>
      <c r="BC19535" s="141"/>
    </row>
    <row r="19536">
      <c r="BB19536" s="122"/>
      <c r="BC19536" s="141"/>
    </row>
    <row r="19537">
      <c r="BB19537" s="122"/>
      <c r="BC19537" s="141"/>
    </row>
    <row r="19538">
      <c r="BB19538" s="122"/>
      <c r="BC19538" s="141"/>
    </row>
    <row r="19539">
      <c r="BB19539" s="122"/>
      <c r="BC19539" s="141"/>
    </row>
    <row r="19540">
      <c r="BB19540" s="122"/>
      <c r="BC19540" s="141"/>
    </row>
    <row r="19541">
      <c r="BB19541" s="122"/>
      <c r="BC19541" s="141"/>
    </row>
    <row r="19542">
      <c r="BB19542" s="122"/>
      <c r="BC19542" s="141"/>
    </row>
    <row r="19543">
      <c r="BB19543" s="122"/>
      <c r="BC19543" s="141"/>
    </row>
    <row r="19544">
      <c r="BB19544" s="122"/>
      <c r="BC19544" s="141"/>
    </row>
    <row r="19545">
      <c r="BB19545" s="122"/>
      <c r="BC19545" s="141"/>
    </row>
    <row r="19546">
      <c r="BB19546" s="122"/>
      <c r="BC19546" s="141"/>
    </row>
    <row r="19547">
      <c r="BB19547" s="122"/>
      <c r="BC19547" s="141"/>
    </row>
    <row r="19548">
      <c r="BB19548" s="122"/>
      <c r="BC19548" s="141"/>
    </row>
    <row r="19549">
      <c r="BB19549" s="122"/>
      <c r="BC19549" s="141"/>
    </row>
    <row r="19550">
      <c r="BB19550" s="122"/>
      <c r="BC19550" s="141"/>
    </row>
    <row r="19551">
      <c r="BB19551" s="122"/>
      <c r="BC19551" s="141"/>
    </row>
    <row r="19552">
      <c r="BB19552" s="122"/>
      <c r="BC19552" s="141"/>
    </row>
    <row r="19553">
      <c r="BB19553" s="122"/>
      <c r="BC19553" s="141"/>
    </row>
    <row r="19554">
      <c r="BB19554" s="122"/>
      <c r="BC19554" s="141"/>
    </row>
    <row r="19555">
      <c r="BB19555" s="122"/>
      <c r="BC19555" s="141"/>
    </row>
    <row r="19556">
      <c r="BB19556" s="122"/>
      <c r="BC19556" s="141"/>
    </row>
    <row r="19557">
      <c r="BB19557" s="122"/>
      <c r="BC19557" s="141"/>
    </row>
    <row r="19558">
      <c r="BB19558" s="122"/>
      <c r="BC19558" s="141"/>
    </row>
    <row r="19559">
      <c r="BB19559" s="122"/>
      <c r="BC19559" s="141"/>
    </row>
    <row r="19560">
      <c r="BB19560" s="122"/>
      <c r="BC19560" s="141"/>
    </row>
    <row r="19561">
      <c r="BB19561" s="122"/>
      <c r="BC19561" s="141"/>
    </row>
    <row r="19562">
      <c r="BB19562" s="122"/>
      <c r="BC19562" s="141"/>
    </row>
    <row r="19563">
      <c r="BB19563" s="122"/>
      <c r="BC19563" s="141"/>
    </row>
    <row r="19564">
      <c r="BB19564" s="122"/>
      <c r="BC19564" s="141"/>
    </row>
    <row r="19565">
      <c r="BB19565" s="122"/>
      <c r="BC19565" s="141"/>
    </row>
    <row r="19566">
      <c r="BB19566" s="122"/>
      <c r="BC19566" s="141"/>
    </row>
    <row r="19567">
      <c r="BB19567" s="122"/>
      <c r="BC19567" s="141"/>
    </row>
    <row r="19568">
      <c r="BB19568" s="122"/>
      <c r="BC19568" s="141"/>
    </row>
    <row r="19569">
      <c r="BB19569" s="122"/>
      <c r="BC19569" s="141"/>
    </row>
    <row r="19570">
      <c r="BB19570" s="122"/>
      <c r="BC19570" s="141"/>
    </row>
    <row r="19571">
      <c r="BB19571" s="122"/>
      <c r="BC19571" s="141"/>
    </row>
    <row r="19572">
      <c r="BB19572" s="122"/>
      <c r="BC19572" s="141"/>
    </row>
    <row r="19573">
      <c r="BB19573" s="122"/>
      <c r="BC19573" s="141"/>
    </row>
    <row r="19574">
      <c r="BB19574" s="122"/>
      <c r="BC19574" s="141"/>
    </row>
    <row r="19575">
      <c r="BB19575" s="122"/>
      <c r="BC19575" s="141"/>
    </row>
    <row r="19576">
      <c r="BB19576" s="122"/>
      <c r="BC19576" s="141"/>
    </row>
    <row r="19577">
      <c r="BB19577" s="122"/>
      <c r="BC19577" s="141"/>
    </row>
    <row r="19578">
      <c r="BB19578" s="122"/>
      <c r="BC19578" s="141"/>
    </row>
    <row r="19579">
      <c r="BB19579" s="122"/>
      <c r="BC19579" s="141"/>
    </row>
    <row r="19580">
      <c r="BB19580" s="122"/>
      <c r="BC19580" s="141"/>
    </row>
    <row r="19581">
      <c r="BB19581" s="122"/>
      <c r="BC19581" s="141"/>
    </row>
    <row r="19582">
      <c r="BB19582" s="122"/>
      <c r="BC19582" s="141"/>
    </row>
    <row r="19583">
      <c r="BB19583" s="122"/>
      <c r="BC19583" s="141"/>
    </row>
    <row r="19584">
      <c r="BB19584" s="122"/>
      <c r="BC19584" s="141"/>
    </row>
    <row r="19585">
      <c r="BB19585" s="122"/>
      <c r="BC19585" s="141"/>
    </row>
    <row r="19586">
      <c r="BB19586" s="122"/>
      <c r="BC19586" s="141"/>
    </row>
    <row r="19587">
      <c r="BB19587" s="122"/>
      <c r="BC19587" s="141"/>
    </row>
    <row r="19588">
      <c r="BB19588" s="122"/>
      <c r="BC19588" s="141"/>
    </row>
    <row r="19589">
      <c r="BB19589" s="122"/>
      <c r="BC19589" s="141"/>
    </row>
    <row r="19590">
      <c r="BB19590" s="122"/>
      <c r="BC19590" s="141"/>
    </row>
    <row r="19591">
      <c r="BB19591" s="122"/>
      <c r="BC19591" s="141"/>
    </row>
    <row r="19592">
      <c r="BB19592" s="122"/>
      <c r="BC19592" s="141"/>
    </row>
    <row r="19593">
      <c r="BB19593" s="122"/>
      <c r="BC19593" s="141"/>
    </row>
    <row r="19594">
      <c r="BB19594" s="122"/>
      <c r="BC19594" s="141"/>
    </row>
    <row r="19595">
      <c r="BB19595" s="122"/>
      <c r="BC19595" s="141"/>
    </row>
    <row r="19596">
      <c r="BB19596" s="122"/>
      <c r="BC19596" s="141"/>
    </row>
    <row r="19597">
      <c r="BB19597" s="122"/>
      <c r="BC19597" s="141"/>
    </row>
    <row r="19598">
      <c r="BB19598" s="122"/>
      <c r="BC19598" s="141"/>
    </row>
    <row r="19599">
      <c r="BB19599" s="122"/>
      <c r="BC19599" s="141"/>
    </row>
    <row r="19600">
      <c r="BB19600" s="122"/>
      <c r="BC19600" s="141"/>
    </row>
    <row r="19601">
      <c r="BB19601" s="122"/>
      <c r="BC19601" s="141"/>
    </row>
    <row r="19602">
      <c r="BB19602" s="122"/>
      <c r="BC19602" s="141"/>
    </row>
    <row r="19603">
      <c r="BB19603" s="122"/>
      <c r="BC19603" s="141"/>
    </row>
    <row r="19604">
      <c r="BB19604" s="122"/>
      <c r="BC19604" s="141"/>
    </row>
    <row r="19605">
      <c r="BB19605" s="122"/>
      <c r="BC19605" s="141"/>
    </row>
    <row r="19606">
      <c r="BB19606" s="122"/>
      <c r="BC19606" s="141"/>
    </row>
    <row r="19607">
      <c r="BB19607" s="122"/>
      <c r="BC19607" s="141"/>
    </row>
    <row r="19608">
      <c r="BB19608" s="122"/>
      <c r="BC19608" s="141"/>
    </row>
    <row r="19609">
      <c r="BB19609" s="122"/>
      <c r="BC19609" s="141"/>
    </row>
    <row r="19610">
      <c r="BB19610" s="122"/>
      <c r="BC19610" s="141"/>
    </row>
    <row r="19611">
      <c r="BB19611" s="122"/>
      <c r="BC19611" s="141"/>
    </row>
    <row r="19612">
      <c r="BB19612" s="122"/>
      <c r="BC19612" s="141"/>
    </row>
    <row r="19613">
      <c r="BB19613" s="122"/>
      <c r="BC19613" s="141"/>
    </row>
    <row r="19614">
      <c r="BB19614" s="122"/>
      <c r="BC19614" s="141"/>
    </row>
    <row r="19615">
      <c r="BB19615" s="122"/>
      <c r="BC19615" s="141"/>
    </row>
    <row r="19616">
      <c r="BB19616" s="122"/>
      <c r="BC19616" s="141"/>
    </row>
    <row r="19617">
      <c r="BB19617" s="122"/>
      <c r="BC19617" s="141"/>
    </row>
    <row r="19618">
      <c r="BB19618" s="122"/>
      <c r="BC19618" s="141"/>
    </row>
    <row r="19619">
      <c r="BB19619" s="122"/>
      <c r="BC19619" s="141"/>
    </row>
    <row r="19620">
      <c r="BB19620" s="122"/>
      <c r="BC19620" s="141"/>
    </row>
    <row r="19621">
      <c r="BB19621" s="122"/>
      <c r="BC19621" s="141"/>
    </row>
    <row r="19622">
      <c r="BB19622" s="122"/>
      <c r="BC19622" s="141"/>
    </row>
    <row r="19623">
      <c r="BB19623" s="122"/>
      <c r="BC19623" s="141"/>
    </row>
    <row r="19624">
      <c r="BB19624" s="122"/>
      <c r="BC19624" s="141"/>
    </row>
    <row r="19625">
      <c r="BB19625" s="122"/>
      <c r="BC19625" s="141"/>
    </row>
    <row r="19626">
      <c r="BB19626" s="122"/>
      <c r="BC19626" s="141"/>
    </row>
    <row r="19627">
      <c r="BB19627" s="122"/>
      <c r="BC19627" s="141"/>
    </row>
    <row r="19628">
      <c r="BB19628" s="122"/>
      <c r="BC19628" s="141"/>
    </row>
    <row r="19629">
      <c r="BB19629" s="122"/>
      <c r="BC19629" s="141"/>
    </row>
    <row r="19630">
      <c r="BB19630" s="122"/>
      <c r="BC19630" s="141"/>
    </row>
    <row r="19631">
      <c r="BB19631" s="122"/>
      <c r="BC19631" s="141"/>
    </row>
    <row r="19632">
      <c r="BB19632" s="122"/>
      <c r="BC19632" s="141"/>
    </row>
    <row r="19633">
      <c r="BB19633" s="122"/>
      <c r="BC19633" s="141"/>
    </row>
    <row r="19634">
      <c r="BB19634" s="122"/>
      <c r="BC19634" s="141"/>
    </row>
    <row r="19635">
      <c r="BB19635" s="122"/>
      <c r="BC19635" s="141"/>
    </row>
    <row r="19636">
      <c r="BB19636" s="122"/>
      <c r="BC19636" s="141"/>
    </row>
    <row r="19637">
      <c r="BB19637" s="122"/>
      <c r="BC19637" s="141"/>
    </row>
    <row r="19638">
      <c r="BB19638" s="122"/>
      <c r="BC19638" s="141"/>
    </row>
    <row r="19639">
      <c r="BB19639" s="122"/>
      <c r="BC19639" s="141"/>
    </row>
    <row r="19640">
      <c r="BB19640" s="122"/>
      <c r="BC19640" s="141"/>
    </row>
    <row r="19641">
      <c r="BB19641" s="122"/>
      <c r="BC19641" s="141"/>
    </row>
    <row r="19642">
      <c r="BB19642" s="122"/>
      <c r="BC19642" s="141"/>
    </row>
    <row r="19643">
      <c r="BB19643" s="122"/>
      <c r="BC19643" s="141"/>
    </row>
    <row r="19644">
      <c r="BB19644" s="122"/>
      <c r="BC19644" s="141"/>
    </row>
    <row r="19645">
      <c r="BB19645" s="122"/>
      <c r="BC19645" s="141"/>
    </row>
    <row r="19646">
      <c r="BB19646" s="122"/>
      <c r="BC19646" s="141"/>
    </row>
    <row r="19647">
      <c r="BB19647" s="122"/>
      <c r="BC19647" s="141"/>
    </row>
    <row r="19648">
      <c r="BB19648" s="122"/>
      <c r="BC19648" s="141"/>
    </row>
    <row r="19649">
      <c r="BB19649" s="122"/>
      <c r="BC19649" s="141"/>
    </row>
    <row r="19650">
      <c r="BB19650" s="122"/>
      <c r="BC19650" s="141"/>
    </row>
    <row r="19651">
      <c r="BB19651" s="122"/>
      <c r="BC19651" s="141"/>
    </row>
    <row r="19652">
      <c r="BB19652" s="122"/>
      <c r="BC19652" s="141"/>
    </row>
    <row r="19653">
      <c r="BB19653" s="122"/>
      <c r="BC19653" s="141"/>
    </row>
    <row r="19654">
      <c r="BB19654" s="122"/>
      <c r="BC19654" s="141"/>
    </row>
    <row r="19655">
      <c r="BB19655" s="122"/>
      <c r="BC19655" s="141"/>
    </row>
    <row r="19656">
      <c r="BB19656" s="122"/>
      <c r="BC19656" s="141"/>
    </row>
    <row r="19657">
      <c r="BB19657" s="122"/>
      <c r="BC19657" s="141"/>
    </row>
    <row r="19658">
      <c r="BB19658" s="122"/>
      <c r="BC19658" s="141"/>
    </row>
    <row r="19659">
      <c r="BB19659" s="122"/>
      <c r="BC19659" s="141"/>
    </row>
    <row r="19660">
      <c r="BB19660" s="122"/>
      <c r="BC19660" s="141"/>
    </row>
    <row r="19661">
      <c r="BB19661" s="122"/>
      <c r="BC19661" s="141"/>
    </row>
    <row r="19662">
      <c r="BB19662" s="122"/>
      <c r="BC19662" s="141"/>
    </row>
    <row r="19663">
      <c r="BB19663" s="122"/>
      <c r="BC19663" s="141"/>
    </row>
    <row r="19664">
      <c r="BB19664" s="122"/>
      <c r="BC19664" s="141"/>
    </row>
    <row r="19665">
      <c r="BB19665" s="122"/>
      <c r="BC19665" s="141"/>
    </row>
    <row r="19666">
      <c r="BB19666" s="122"/>
      <c r="BC19666" s="141"/>
    </row>
    <row r="19667">
      <c r="BB19667" s="122"/>
      <c r="BC19667" s="141"/>
    </row>
    <row r="19668">
      <c r="BB19668" s="122"/>
      <c r="BC19668" s="141"/>
    </row>
    <row r="19669">
      <c r="BB19669" s="122"/>
      <c r="BC19669" s="141"/>
    </row>
    <row r="19670">
      <c r="BB19670" s="122"/>
      <c r="BC19670" s="141"/>
    </row>
    <row r="19671">
      <c r="BB19671" s="122"/>
      <c r="BC19671" s="141"/>
    </row>
    <row r="19672">
      <c r="BB19672" s="122"/>
      <c r="BC19672" s="141"/>
    </row>
    <row r="19673">
      <c r="BB19673" s="122"/>
      <c r="BC19673" s="141"/>
    </row>
    <row r="19674">
      <c r="BB19674" s="122"/>
      <c r="BC19674" s="141"/>
    </row>
    <row r="19675">
      <c r="BB19675" s="122"/>
      <c r="BC19675" s="141"/>
    </row>
    <row r="19676">
      <c r="BB19676" s="122"/>
      <c r="BC19676" s="141"/>
    </row>
    <row r="19677">
      <c r="BB19677" s="122"/>
      <c r="BC19677" s="141"/>
    </row>
    <row r="19678">
      <c r="BB19678" s="122"/>
      <c r="BC19678" s="141"/>
    </row>
    <row r="19679">
      <c r="BB19679" s="122"/>
      <c r="BC19679" s="141"/>
    </row>
    <row r="19680">
      <c r="BB19680" s="122"/>
      <c r="BC19680" s="141"/>
    </row>
    <row r="19681">
      <c r="BB19681" s="122"/>
      <c r="BC19681" s="141"/>
    </row>
    <row r="19682">
      <c r="BB19682" s="122"/>
      <c r="BC19682" s="141"/>
    </row>
    <row r="19683">
      <c r="BB19683" s="122"/>
      <c r="BC19683" s="141"/>
    </row>
    <row r="19684">
      <c r="BB19684" s="122"/>
      <c r="BC19684" s="141"/>
    </row>
    <row r="19685">
      <c r="BB19685" s="122"/>
      <c r="BC19685" s="141"/>
    </row>
    <row r="19686">
      <c r="BB19686" s="122"/>
      <c r="BC19686" s="141"/>
    </row>
    <row r="19687">
      <c r="BB19687" s="122"/>
      <c r="BC19687" s="141"/>
    </row>
    <row r="19688">
      <c r="BB19688" s="122"/>
      <c r="BC19688" s="141"/>
    </row>
    <row r="19689">
      <c r="BB19689" s="122"/>
      <c r="BC19689" s="141"/>
    </row>
    <row r="19690">
      <c r="BB19690" s="122"/>
      <c r="BC19690" s="141"/>
    </row>
    <row r="19691">
      <c r="BB19691" s="122"/>
      <c r="BC19691" s="141"/>
    </row>
    <row r="19692">
      <c r="BB19692" s="122"/>
      <c r="BC19692" s="141"/>
    </row>
    <row r="19693">
      <c r="BB19693" s="122"/>
      <c r="BC19693" s="141"/>
    </row>
    <row r="19694">
      <c r="BB19694" s="122"/>
      <c r="BC19694" s="141"/>
    </row>
    <row r="19695">
      <c r="BB19695" s="122"/>
      <c r="BC19695" s="141"/>
    </row>
    <row r="19696">
      <c r="BB19696" s="122"/>
      <c r="BC19696" s="141"/>
    </row>
    <row r="19697">
      <c r="BB19697" s="122"/>
      <c r="BC19697" s="141"/>
    </row>
    <row r="19698">
      <c r="BB19698" s="122"/>
      <c r="BC19698" s="141"/>
    </row>
    <row r="19699">
      <c r="BB19699" s="122"/>
      <c r="BC19699" s="141"/>
    </row>
    <row r="19700">
      <c r="BB19700" s="122"/>
      <c r="BC19700" s="141"/>
    </row>
    <row r="19701">
      <c r="BB19701" s="122"/>
      <c r="BC19701" s="141"/>
    </row>
    <row r="19702">
      <c r="BB19702" s="122"/>
      <c r="BC19702" s="141"/>
    </row>
    <row r="19703">
      <c r="BB19703" s="122"/>
      <c r="BC19703" s="141"/>
    </row>
    <row r="19704">
      <c r="BB19704" s="122"/>
      <c r="BC19704" s="141"/>
    </row>
    <row r="19705">
      <c r="BB19705" s="122"/>
      <c r="BC19705" s="141"/>
    </row>
    <row r="19706">
      <c r="BB19706" s="122"/>
      <c r="BC19706" s="141"/>
    </row>
    <row r="19707">
      <c r="BB19707" s="122"/>
      <c r="BC19707" s="141"/>
    </row>
    <row r="19708">
      <c r="BB19708" s="122"/>
      <c r="BC19708" s="141"/>
    </row>
    <row r="19709">
      <c r="BB19709" s="122"/>
      <c r="BC19709" s="141"/>
    </row>
    <row r="19710">
      <c r="BB19710" s="122"/>
      <c r="BC19710" s="141"/>
    </row>
    <row r="19711">
      <c r="BB19711" s="122"/>
      <c r="BC19711" s="141"/>
    </row>
    <row r="19712">
      <c r="BB19712" s="122"/>
      <c r="BC19712" s="141"/>
    </row>
    <row r="19713">
      <c r="BB19713" s="122"/>
      <c r="BC19713" s="141"/>
    </row>
    <row r="19714">
      <c r="BB19714" s="122"/>
      <c r="BC19714" s="141"/>
    </row>
    <row r="19715">
      <c r="BB19715" s="122"/>
      <c r="BC19715" s="141"/>
    </row>
    <row r="19716">
      <c r="BB19716" s="122"/>
      <c r="BC19716" s="141"/>
    </row>
    <row r="19717">
      <c r="BB19717" s="122"/>
      <c r="BC19717" s="141"/>
    </row>
    <row r="19718">
      <c r="BB19718" s="122"/>
      <c r="BC19718" s="141"/>
    </row>
    <row r="19719">
      <c r="BB19719" s="122"/>
      <c r="BC19719" s="141"/>
    </row>
    <row r="19720">
      <c r="BB19720" s="122"/>
      <c r="BC19720" s="141"/>
    </row>
    <row r="19721">
      <c r="BB19721" s="122"/>
      <c r="BC19721" s="141"/>
    </row>
    <row r="19722">
      <c r="BB19722" s="122"/>
      <c r="BC19722" s="141"/>
    </row>
    <row r="19723">
      <c r="BB19723" s="122"/>
      <c r="BC19723" s="141"/>
    </row>
    <row r="19724">
      <c r="BB19724" s="122"/>
      <c r="BC19724" s="141"/>
    </row>
    <row r="19725">
      <c r="BB19725" s="122"/>
      <c r="BC19725" s="141"/>
    </row>
    <row r="19726">
      <c r="BB19726" s="122"/>
      <c r="BC19726" s="141"/>
    </row>
    <row r="19727">
      <c r="BB19727" s="122"/>
      <c r="BC19727" s="141"/>
    </row>
    <row r="19728">
      <c r="BB19728" s="122"/>
      <c r="BC19728" s="141"/>
    </row>
    <row r="19729">
      <c r="BB19729" s="122"/>
      <c r="BC19729" s="141"/>
    </row>
    <row r="19730">
      <c r="BB19730" s="122"/>
      <c r="BC19730" s="141"/>
    </row>
    <row r="19731">
      <c r="BB19731" s="122"/>
      <c r="BC19731" s="141"/>
    </row>
    <row r="19732">
      <c r="BB19732" s="122"/>
      <c r="BC19732" s="141"/>
    </row>
    <row r="19733">
      <c r="BB19733" s="122"/>
      <c r="BC19733" s="141"/>
    </row>
    <row r="19734">
      <c r="BB19734" s="122"/>
      <c r="BC19734" s="141"/>
    </row>
    <row r="19735">
      <c r="BB19735" s="122"/>
      <c r="BC19735" s="141"/>
    </row>
    <row r="19736">
      <c r="BB19736" s="122"/>
      <c r="BC19736" s="141"/>
    </row>
    <row r="19737">
      <c r="BB19737" s="122"/>
      <c r="BC19737" s="141"/>
    </row>
    <row r="19738">
      <c r="BB19738" s="122"/>
      <c r="BC19738" s="141"/>
    </row>
    <row r="19739">
      <c r="BB19739" s="122"/>
      <c r="BC19739" s="141"/>
    </row>
    <row r="19740">
      <c r="BB19740" s="122"/>
      <c r="BC19740" s="141"/>
    </row>
    <row r="19741">
      <c r="BB19741" s="122"/>
      <c r="BC19741" s="141"/>
    </row>
    <row r="19742">
      <c r="BB19742" s="122"/>
      <c r="BC19742" s="141"/>
    </row>
    <row r="19743">
      <c r="BB19743" s="122"/>
      <c r="BC19743" s="141"/>
    </row>
    <row r="19744">
      <c r="BB19744" s="122"/>
      <c r="BC19744" s="141"/>
    </row>
    <row r="19745">
      <c r="BB19745" s="122"/>
      <c r="BC19745" s="141"/>
    </row>
    <row r="19746">
      <c r="BB19746" s="122"/>
      <c r="BC19746" s="141"/>
    </row>
    <row r="19747">
      <c r="BB19747" s="122"/>
      <c r="BC19747" s="141"/>
    </row>
    <row r="19748">
      <c r="BB19748" s="122"/>
      <c r="BC19748" s="141"/>
    </row>
    <row r="19749">
      <c r="BB19749" s="122"/>
      <c r="BC19749" s="141"/>
    </row>
    <row r="19750">
      <c r="BB19750" s="122"/>
      <c r="BC19750" s="141"/>
    </row>
    <row r="19751">
      <c r="BB19751" s="122"/>
      <c r="BC19751" s="141"/>
    </row>
    <row r="19752">
      <c r="BB19752" s="122"/>
      <c r="BC19752" s="141"/>
    </row>
    <row r="19753">
      <c r="BB19753" s="122"/>
      <c r="BC19753" s="141"/>
    </row>
    <row r="19754">
      <c r="BB19754" s="122"/>
      <c r="BC19754" s="141"/>
    </row>
    <row r="19755">
      <c r="BB19755" s="122"/>
      <c r="BC19755" s="141"/>
    </row>
    <row r="19756">
      <c r="BB19756" s="122"/>
      <c r="BC19756" s="141"/>
    </row>
    <row r="19757">
      <c r="BB19757" s="122"/>
      <c r="BC19757" s="141"/>
    </row>
    <row r="19758">
      <c r="BB19758" s="122"/>
      <c r="BC19758" s="141"/>
    </row>
    <row r="19759">
      <c r="BB19759" s="122"/>
      <c r="BC19759" s="141"/>
    </row>
    <row r="19760">
      <c r="BB19760" s="122"/>
      <c r="BC19760" s="141"/>
    </row>
    <row r="19761">
      <c r="BB19761" s="122"/>
      <c r="BC19761" s="141"/>
    </row>
    <row r="19762">
      <c r="BB19762" s="122"/>
      <c r="BC19762" s="141"/>
    </row>
    <row r="19763">
      <c r="BB19763" s="122"/>
      <c r="BC19763" s="141"/>
    </row>
    <row r="19764">
      <c r="BB19764" s="122"/>
      <c r="BC19764" s="141"/>
    </row>
    <row r="19765">
      <c r="BB19765" s="122"/>
      <c r="BC19765" s="141"/>
    </row>
    <row r="19766">
      <c r="BB19766" s="122"/>
      <c r="BC19766" s="141"/>
    </row>
    <row r="19767">
      <c r="BB19767" s="122"/>
      <c r="BC19767" s="141"/>
    </row>
    <row r="19768">
      <c r="BB19768" s="122"/>
      <c r="BC19768" s="141"/>
    </row>
    <row r="19769">
      <c r="BB19769" s="122"/>
      <c r="BC19769" s="141"/>
    </row>
    <row r="19770">
      <c r="BB19770" s="122"/>
      <c r="BC19770" s="141"/>
    </row>
    <row r="19771">
      <c r="BB19771" s="122"/>
      <c r="BC19771" s="141"/>
    </row>
    <row r="19772">
      <c r="BB19772" s="122"/>
      <c r="BC19772" s="141"/>
    </row>
    <row r="19773">
      <c r="BB19773" s="122"/>
      <c r="BC19773" s="141"/>
    </row>
    <row r="19774">
      <c r="BB19774" s="122"/>
      <c r="BC19774" s="141"/>
    </row>
    <row r="19775">
      <c r="BB19775" s="122"/>
      <c r="BC19775" s="141"/>
    </row>
    <row r="19776">
      <c r="BB19776" s="122"/>
      <c r="BC19776" s="141"/>
    </row>
    <row r="19777">
      <c r="BB19777" s="122"/>
      <c r="BC19777" s="141"/>
    </row>
    <row r="19778">
      <c r="BB19778" s="122"/>
      <c r="BC19778" s="141"/>
    </row>
    <row r="19779">
      <c r="BB19779" s="122"/>
      <c r="BC19779" s="141"/>
    </row>
    <row r="19780">
      <c r="BB19780" s="122"/>
      <c r="BC19780" s="141"/>
    </row>
    <row r="19781">
      <c r="BB19781" s="122"/>
      <c r="BC19781" s="141"/>
    </row>
    <row r="19782">
      <c r="BB19782" s="122"/>
      <c r="BC19782" s="141"/>
    </row>
    <row r="19783">
      <c r="BB19783" s="122"/>
      <c r="BC19783" s="141"/>
    </row>
    <row r="19784">
      <c r="BB19784" s="122"/>
      <c r="BC19784" s="141"/>
    </row>
    <row r="19785">
      <c r="BB19785" s="122"/>
      <c r="BC19785" s="141"/>
    </row>
    <row r="19786">
      <c r="BB19786" s="122"/>
      <c r="BC19786" s="141"/>
    </row>
    <row r="19787">
      <c r="BB19787" s="122"/>
      <c r="BC19787" s="141"/>
    </row>
    <row r="19788">
      <c r="BB19788" s="122"/>
      <c r="BC19788" s="141"/>
    </row>
    <row r="19789">
      <c r="BB19789" s="122"/>
      <c r="BC19789" s="141"/>
    </row>
    <row r="19790">
      <c r="BB19790" s="122"/>
      <c r="BC19790" s="141"/>
    </row>
    <row r="19791">
      <c r="BB19791" s="122"/>
      <c r="BC19791" s="141"/>
    </row>
    <row r="19792">
      <c r="BB19792" s="122"/>
      <c r="BC19792" s="141"/>
    </row>
    <row r="19793">
      <c r="BB19793" s="122"/>
      <c r="BC19793" s="141"/>
    </row>
    <row r="19794">
      <c r="BB19794" s="122"/>
      <c r="BC19794" s="141"/>
    </row>
    <row r="19795">
      <c r="BB19795" s="122"/>
      <c r="BC19795" s="141"/>
    </row>
    <row r="19796">
      <c r="BB19796" s="122"/>
      <c r="BC19796" s="141"/>
    </row>
    <row r="19797">
      <c r="BB19797" s="122"/>
      <c r="BC19797" s="141"/>
    </row>
    <row r="19798">
      <c r="BB19798" s="122"/>
      <c r="BC19798" s="141"/>
    </row>
    <row r="19799">
      <c r="BB19799" s="122"/>
      <c r="BC19799" s="141"/>
    </row>
    <row r="19800">
      <c r="BB19800" s="122"/>
      <c r="BC19800" s="141"/>
    </row>
    <row r="19801">
      <c r="BB19801" s="122"/>
      <c r="BC19801" s="141"/>
    </row>
    <row r="19802">
      <c r="BB19802" s="122"/>
      <c r="BC19802" s="141"/>
    </row>
    <row r="19803">
      <c r="BB19803" s="122"/>
      <c r="BC19803" s="141"/>
    </row>
    <row r="19804">
      <c r="BB19804" s="122"/>
      <c r="BC19804" s="141"/>
    </row>
    <row r="19805">
      <c r="BB19805" s="122"/>
      <c r="BC19805" s="141"/>
    </row>
    <row r="19806">
      <c r="BB19806" s="122"/>
      <c r="BC19806" s="141"/>
    </row>
    <row r="19807">
      <c r="BB19807" s="122"/>
      <c r="BC19807" s="141"/>
    </row>
    <row r="19808">
      <c r="BB19808" s="122"/>
      <c r="BC19808" s="141"/>
    </row>
    <row r="19809">
      <c r="BB19809" s="122"/>
      <c r="BC19809" s="141"/>
    </row>
    <row r="19810">
      <c r="BB19810" s="122"/>
      <c r="BC19810" s="141"/>
    </row>
    <row r="19811">
      <c r="BB19811" s="122"/>
      <c r="BC19811" s="141"/>
    </row>
    <row r="19812">
      <c r="BB19812" s="122"/>
      <c r="BC19812" s="141"/>
    </row>
    <row r="19813">
      <c r="BB19813" s="122"/>
      <c r="BC19813" s="141"/>
    </row>
    <row r="19814">
      <c r="BB19814" s="122"/>
      <c r="BC19814" s="141"/>
    </row>
    <row r="19815">
      <c r="BB19815" s="122"/>
      <c r="BC19815" s="141"/>
    </row>
    <row r="19816">
      <c r="BB19816" s="122"/>
      <c r="BC19816" s="141"/>
    </row>
    <row r="19817">
      <c r="BB19817" s="122"/>
      <c r="BC19817" s="141"/>
    </row>
    <row r="19818">
      <c r="BB19818" s="122"/>
      <c r="BC19818" s="141"/>
    </row>
    <row r="19819">
      <c r="BB19819" s="122"/>
      <c r="BC19819" s="141"/>
    </row>
    <row r="19820">
      <c r="BB19820" s="122"/>
      <c r="BC19820" s="141"/>
    </row>
    <row r="19821">
      <c r="BB19821" s="122"/>
      <c r="BC19821" s="141"/>
    </row>
    <row r="19822">
      <c r="BB19822" s="122"/>
      <c r="BC19822" s="141"/>
    </row>
    <row r="19823">
      <c r="BB19823" s="122"/>
      <c r="BC19823" s="141"/>
    </row>
    <row r="19824">
      <c r="BB19824" s="122"/>
      <c r="BC19824" s="141"/>
    </row>
    <row r="19825">
      <c r="BB19825" s="122"/>
      <c r="BC19825" s="141"/>
    </row>
    <row r="19826">
      <c r="BB19826" s="122"/>
      <c r="BC19826" s="141"/>
    </row>
    <row r="19827">
      <c r="BB19827" s="122"/>
      <c r="BC19827" s="141"/>
    </row>
    <row r="19828">
      <c r="BB19828" s="122"/>
      <c r="BC19828" s="141"/>
    </row>
    <row r="19829">
      <c r="BB19829" s="122"/>
      <c r="BC19829" s="141"/>
    </row>
    <row r="19830">
      <c r="BB19830" s="122"/>
      <c r="BC19830" s="141"/>
    </row>
    <row r="19831">
      <c r="BB19831" s="122"/>
      <c r="BC19831" s="141"/>
    </row>
    <row r="19832">
      <c r="BB19832" s="122"/>
      <c r="BC19832" s="141"/>
    </row>
    <row r="19833">
      <c r="BB19833" s="122"/>
      <c r="BC19833" s="141"/>
    </row>
    <row r="19834">
      <c r="BB19834" s="122"/>
      <c r="BC19834" s="141"/>
    </row>
    <row r="19835">
      <c r="BB19835" s="122"/>
      <c r="BC19835" s="141"/>
    </row>
    <row r="19836">
      <c r="BB19836" s="122"/>
      <c r="BC19836" s="141"/>
    </row>
    <row r="19837">
      <c r="BB19837" s="122"/>
      <c r="BC19837" s="141"/>
    </row>
    <row r="19838">
      <c r="BB19838" s="122"/>
      <c r="BC19838" s="141"/>
    </row>
    <row r="19839">
      <c r="BB19839" s="122"/>
      <c r="BC19839" s="141"/>
    </row>
    <row r="19840">
      <c r="BB19840" s="122"/>
      <c r="BC19840" s="141"/>
    </row>
    <row r="19841">
      <c r="BB19841" s="122"/>
      <c r="BC19841" s="141"/>
    </row>
    <row r="19842">
      <c r="BB19842" s="122"/>
      <c r="BC19842" s="141"/>
    </row>
    <row r="19843">
      <c r="BB19843" s="122"/>
      <c r="BC19843" s="141"/>
    </row>
    <row r="19844">
      <c r="BB19844" s="122"/>
      <c r="BC19844" s="141"/>
    </row>
    <row r="19845">
      <c r="BB19845" s="122"/>
      <c r="BC19845" s="141"/>
    </row>
    <row r="19846">
      <c r="BB19846" s="122"/>
      <c r="BC19846" s="141"/>
    </row>
    <row r="19847">
      <c r="BB19847" s="122"/>
      <c r="BC19847" s="141"/>
    </row>
    <row r="19848">
      <c r="BB19848" s="122"/>
      <c r="BC19848" s="141"/>
    </row>
    <row r="19849">
      <c r="BB19849" s="122"/>
      <c r="BC19849" s="141"/>
    </row>
    <row r="19850">
      <c r="BB19850" s="122"/>
      <c r="BC19850" s="141"/>
    </row>
    <row r="19851">
      <c r="BB19851" s="122"/>
      <c r="BC19851" s="141"/>
    </row>
    <row r="19852">
      <c r="BB19852" s="122"/>
      <c r="BC19852" s="141"/>
    </row>
    <row r="19853">
      <c r="BB19853" s="122"/>
      <c r="BC19853" s="141"/>
    </row>
    <row r="19854">
      <c r="BB19854" s="122"/>
      <c r="BC19854" s="141"/>
    </row>
    <row r="19855">
      <c r="BB19855" s="122"/>
      <c r="BC19855" s="141"/>
    </row>
    <row r="19856">
      <c r="BB19856" s="122"/>
      <c r="BC19856" s="141"/>
    </row>
    <row r="19857">
      <c r="BB19857" s="122"/>
      <c r="BC19857" s="141"/>
    </row>
    <row r="19858">
      <c r="BB19858" s="122"/>
      <c r="BC19858" s="141"/>
    </row>
    <row r="19859">
      <c r="BB19859" s="122"/>
      <c r="BC19859" s="141"/>
    </row>
    <row r="19860">
      <c r="BB19860" s="122"/>
      <c r="BC19860" s="141"/>
    </row>
    <row r="19861">
      <c r="BB19861" s="122"/>
      <c r="BC19861" s="141"/>
    </row>
    <row r="19862">
      <c r="BB19862" s="122"/>
      <c r="BC19862" s="141"/>
    </row>
    <row r="19863">
      <c r="BB19863" s="122"/>
      <c r="BC19863" s="141"/>
    </row>
    <row r="19864">
      <c r="BB19864" s="122"/>
      <c r="BC19864" s="141"/>
    </row>
    <row r="19865">
      <c r="BB19865" s="122"/>
      <c r="BC19865" s="141"/>
    </row>
    <row r="19866">
      <c r="BB19866" s="122"/>
      <c r="BC19866" s="141"/>
    </row>
    <row r="19867">
      <c r="BB19867" s="122"/>
      <c r="BC19867" s="141"/>
    </row>
    <row r="19868">
      <c r="BB19868" s="122"/>
      <c r="BC19868" s="141"/>
    </row>
    <row r="19869">
      <c r="BB19869" s="122"/>
      <c r="BC19869" s="141"/>
    </row>
    <row r="19870">
      <c r="BB19870" s="122"/>
      <c r="BC19870" s="141"/>
    </row>
    <row r="19871">
      <c r="BB19871" s="122"/>
      <c r="BC19871" s="141"/>
    </row>
    <row r="19872">
      <c r="BB19872" s="122"/>
      <c r="BC19872" s="141"/>
    </row>
    <row r="19873">
      <c r="BB19873" s="122"/>
      <c r="BC19873" s="141"/>
    </row>
    <row r="19874">
      <c r="BB19874" s="122"/>
      <c r="BC19874" s="141"/>
    </row>
    <row r="19875">
      <c r="BB19875" s="122"/>
      <c r="BC19875" s="141"/>
    </row>
    <row r="19876">
      <c r="BB19876" s="122"/>
      <c r="BC19876" s="141"/>
    </row>
    <row r="19877">
      <c r="BB19877" s="122"/>
      <c r="BC19877" s="141"/>
    </row>
    <row r="19878">
      <c r="BB19878" s="122"/>
      <c r="BC19878" s="141"/>
    </row>
    <row r="19879">
      <c r="BB19879" s="122"/>
      <c r="BC19879" s="141"/>
    </row>
    <row r="19880">
      <c r="BB19880" s="122"/>
      <c r="BC19880" s="141"/>
    </row>
    <row r="19881">
      <c r="BB19881" s="122"/>
      <c r="BC19881" s="141"/>
    </row>
    <row r="19882">
      <c r="BB19882" s="122"/>
      <c r="BC19882" s="141"/>
    </row>
    <row r="19883">
      <c r="BB19883" s="122"/>
      <c r="BC19883" s="141"/>
    </row>
    <row r="19884">
      <c r="BB19884" s="122"/>
      <c r="BC19884" s="141"/>
    </row>
    <row r="19885">
      <c r="BB19885" s="122"/>
      <c r="BC19885" s="141"/>
    </row>
    <row r="19886">
      <c r="BB19886" s="122"/>
      <c r="BC19886" s="141"/>
    </row>
    <row r="19887">
      <c r="BB19887" s="122"/>
      <c r="BC19887" s="141"/>
    </row>
    <row r="19888">
      <c r="BB19888" s="122"/>
      <c r="BC19888" s="141"/>
    </row>
    <row r="19889">
      <c r="BB19889" s="122"/>
      <c r="BC19889" s="141"/>
    </row>
    <row r="19890">
      <c r="BB19890" s="122"/>
      <c r="BC19890" s="141"/>
    </row>
    <row r="19891">
      <c r="BB19891" s="122"/>
      <c r="BC19891" s="141"/>
    </row>
    <row r="19892">
      <c r="BB19892" s="122"/>
      <c r="BC19892" s="141"/>
    </row>
    <row r="19893">
      <c r="BB19893" s="122"/>
      <c r="BC19893" s="141"/>
    </row>
    <row r="19894">
      <c r="BB19894" s="122"/>
      <c r="BC19894" s="141"/>
    </row>
    <row r="19895">
      <c r="BB19895" s="122"/>
      <c r="BC19895" s="141"/>
    </row>
    <row r="19896">
      <c r="BB19896" s="122"/>
      <c r="BC19896" s="141"/>
    </row>
    <row r="19897">
      <c r="BB19897" s="122"/>
      <c r="BC19897" s="141"/>
    </row>
    <row r="19898">
      <c r="BB19898" s="122"/>
      <c r="BC19898" s="141"/>
    </row>
    <row r="19899">
      <c r="BB19899" s="122"/>
      <c r="BC19899" s="141"/>
    </row>
    <row r="19900">
      <c r="BB19900" s="122"/>
      <c r="BC19900" s="141"/>
    </row>
    <row r="19901">
      <c r="BB19901" s="122"/>
      <c r="BC19901" s="141"/>
    </row>
    <row r="19902">
      <c r="BB19902" s="122"/>
      <c r="BC19902" s="141"/>
    </row>
    <row r="19903">
      <c r="BB19903" s="122"/>
      <c r="BC19903" s="141"/>
    </row>
    <row r="19904">
      <c r="BB19904" s="122"/>
      <c r="BC19904" s="141"/>
    </row>
    <row r="19905">
      <c r="BB19905" s="122"/>
      <c r="BC19905" s="141"/>
    </row>
    <row r="19906">
      <c r="BB19906" s="122"/>
      <c r="BC19906" s="141"/>
    </row>
    <row r="19907">
      <c r="BB19907" s="122"/>
      <c r="BC19907" s="141"/>
    </row>
    <row r="19908">
      <c r="BB19908" s="122"/>
      <c r="BC19908" s="141"/>
    </row>
    <row r="19909">
      <c r="BB19909" s="122"/>
      <c r="BC19909" s="141"/>
    </row>
    <row r="19910">
      <c r="BB19910" s="122"/>
      <c r="BC19910" s="141"/>
    </row>
    <row r="19911">
      <c r="BB19911" s="122"/>
      <c r="BC19911" s="141"/>
    </row>
    <row r="19912">
      <c r="BB19912" s="122"/>
      <c r="BC19912" s="141"/>
    </row>
    <row r="19913">
      <c r="BB19913" s="122"/>
      <c r="BC19913" s="141"/>
    </row>
    <row r="19914">
      <c r="BB19914" s="122"/>
      <c r="BC19914" s="141"/>
    </row>
    <row r="19915">
      <c r="BB19915" s="122"/>
      <c r="BC19915" s="141"/>
    </row>
    <row r="19916">
      <c r="BB19916" s="122"/>
      <c r="BC19916" s="141"/>
    </row>
    <row r="19917">
      <c r="BB19917" s="122"/>
      <c r="BC19917" s="141"/>
    </row>
    <row r="19918">
      <c r="BB19918" s="122"/>
      <c r="BC19918" s="141"/>
    </row>
    <row r="19919">
      <c r="BB19919" s="122"/>
      <c r="BC19919" s="141"/>
    </row>
    <row r="19920">
      <c r="BB19920" s="122"/>
      <c r="BC19920" s="141"/>
    </row>
    <row r="19921">
      <c r="BB19921" s="122"/>
      <c r="BC19921" s="141"/>
    </row>
    <row r="19922">
      <c r="BB19922" s="122"/>
      <c r="BC19922" s="141"/>
    </row>
    <row r="19923">
      <c r="BB19923" s="122"/>
      <c r="BC19923" s="141"/>
    </row>
    <row r="19924">
      <c r="BB19924" s="122"/>
      <c r="BC19924" s="141"/>
    </row>
    <row r="19925">
      <c r="BB19925" s="122"/>
      <c r="BC19925" s="141"/>
    </row>
    <row r="19926">
      <c r="BB19926" s="122"/>
      <c r="BC19926" s="141"/>
    </row>
    <row r="19927">
      <c r="BB19927" s="122"/>
      <c r="BC19927" s="141"/>
    </row>
    <row r="19928">
      <c r="BB19928" s="122"/>
      <c r="BC19928" s="141"/>
    </row>
    <row r="19929">
      <c r="BB19929" s="122"/>
      <c r="BC19929" s="141"/>
    </row>
    <row r="19930">
      <c r="BB19930" s="122"/>
      <c r="BC19930" s="141"/>
    </row>
    <row r="19931">
      <c r="BB19931" s="122"/>
      <c r="BC19931" s="141"/>
    </row>
    <row r="19932">
      <c r="BB19932" s="122"/>
      <c r="BC19932" s="141"/>
    </row>
    <row r="19933">
      <c r="BB19933" s="122"/>
      <c r="BC19933" s="141"/>
    </row>
    <row r="19934">
      <c r="BB19934" s="122"/>
      <c r="BC19934" s="141"/>
    </row>
    <row r="19935">
      <c r="BB19935" s="122"/>
      <c r="BC19935" s="141"/>
    </row>
    <row r="19936">
      <c r="BB19936" s="122"/>
      <c r="BC19936" s="141"/>
    </row>
    <row r="19937">
      <c r="BB19937" s="122"/>
      <c r="BC19937" s="141"/>
    </row>
    <row r="19938">
      <c r="BB19938" s="122"/>
      <c r="BC19938" s="141"/>
    </row>
    <row r="19939">
      <c r="BB19939" s="122"/>
      <c r="BC19939" s="141"/>
    </row>
    <row r="19940">
      <c r="BB19940" s="122"/>
      <c r="BC19940" s="141"/>
    </row>
    <row r="19941">
      <c r="BB19941" s="122"/>
      <c r="BC19941" s="141"/>
    </row>
    <row r="19942">
      <c r="BB19942" s="122"/>
      <c r="BC19942" s="141"/>
    </row>
    <row r="19943">
      <c r="BB19943" s="122"/>
      <c r="BC19943" s="141"/>
    </row>
    <row r="19944">
      <c r="BB19944" s="122"/>
      <c r="BC19944" s="141"/>
    </row>
    <row r="19945">
      <c r="BB19945" s="122"/>
      <c r="BC19945" s="141"/>
    </row>
    <row r="19946">
      <c r="BB19946" s="122"/>
      <c r="BC19946" s="141"/>
    </row>
    <row r="19947">
      <c r="BB19947" s="122"/>
      <c r="BC19947" s="141"/>
    </row>
    <row r="19948">
      <c r="BB19948" s="122"/>
      <c r="BC19948" s="141"/>
    </row>
    <row r="19949">
      <c r="BB19949" s="122"/>
      <c r="BC19949" s="141"/>
    </row>
    <row r="19950">
      <c r="BB19950" s="122"/>
      <c r="BC19950" s="141"/>
    </row>
    <row r="19951">
      <c r="BB19951" s="122"/>
      <c r="BC19951" s="141"/>
    </row>
    <row r="19952">
      <c r="BB19952" s="122"/>
      <c r="BC19952" s="141"/>
    </row>
    <row r="19953">
      <c r="BB19953" s="122"/>
      <c r="BC19953" s="141"/>
    </row>
    <row r="19954">
      <c r="BB19954" s="122"/>
      <c r="BC19954" s="141"/>
    </row>
    <row r="19955">
      <c r="BB19955" s="122"/>
      <c r="BC19955" s="141"/>
    </row>
    <row r="19956">
      <c r="BB19956" s="122"/>
      <c r="BC19956" s="141"/>
    </row>
    <row r="19957">
      <c r="BB19957" s="122"/>
      <c r="BC19957" s="141"/>
    </row>
    <row r="19958">
      <c r="BB19958" s="122"/>
      <c r="BC19958" s="141"/>
    </row>
    <row r="19959">
      <c r="BB19959" s="122"/>
      <c r="BC19959" s="141"/>
    </row>
    <row r="19960">
      <c r="BB19960" s="122"/>
      <c r="BC19960" s="141"/>
    </row>
    <row r="19961">
      <c r="BB19961" s="122"/>
      <c r="BC19961" s="141"/>
    </row>
    <row r="19962">
      <c r="BB19962" s="122"/>
      <c r="BC19962" s="141"/>
    </row>
    <row r="19963">
      <c r="BB19963" s="122"/>
      <c r="BC19963" s="141"/>
    </row>
    <row r="19964">
      <c r="BB19964" s="122"/>
      <c r="BC19964" s="141"/>
    </row>
    <row r="19965">
      <c r="BB19965" s="122"/>
      <c r="BC19965" s="141"/>
    </row>
    <row r="19966">
      <c r="BB19966" s="122"/>
      <c r="BC19966" s="141"/>
    </row>
    <row r="19967">
      <c r="BB19967" s="122"/>
      <c r="BC19967" s="141"/>
    </row>
    <row r="19968">
      <c r="BB19968" s="122"/>
      <c r="BC19968" s="141"/>
    </row>
    <row r="19969">
      <c r="BB19969" s="122"/>
      <c r="BC19969" s="141"/>
    </row>
    <row r="19970">
      <c r="BB19970" s="122"/>
      <c r="BC19970" s="141"/>
    </row>
    <row r="19971">
      <c r="BB19971" s="122"/>
      <c r="BC19971" s="141"/>
    </row>
    <row r="19972">
      <c r="BB19972" s="122"/>
      <c r="BC19972" s="141"/>
    </row>
    <row r="19973">
      <c r="BB19973" s="122"/>
      <c r="BC19973" s="141"/>
    </row>
    <row r="19974">
      <c r="BB19974" s="122"/>
      <c r="BC19974" s="141"/>
    </row>
    <row r="19975">
      <c r="BB19975" s="122"/>
      <c r="BC19975" s="141"/>
    </row>
    <row r="19976">
      <c r="BB19976" s="122"/>
      <c r="BC19976" s="141"/>
    </row>
    <row r="19977">
      <c r="BB19977" s="122"/>
      <c r="BC19977" s="141"/>
    </row>
    <row r="19978">
      <c r="BB19978" s="122"/>
      <c r="BC19978" s="141"/>
    </row>
    <row r="19979">
      <c r="BB19979" s="122"/>
      <c r="BC19979" s="141"/>
    </row>
    <row r="19980">
      <c r="BB19980" s="122"/>
      <c r="BC19980" s="141"/>
    </row>
    <row r="19981">
      <c r="BB19981" s="122"/>
      <c r="BC19981" s="141"/>
    </row>
    <row r="19982">
      <c r="BB19982" s="122"/>
      <c r="BC19982" s="141"/>
    </row>
    <row r="19983">
      <c r="BB19983" s="122"/>
      <c r="BC19983" s="141"/>
    </row>
    <row r="19984">
      <c r="BB19984" s="122"/>
      <c r="BC19984" s="141"/>
    </row>
    <row r="19985">
      <c r="BB19985" s="122"/>
      <c r="BC19985" s="141"/>
    </row>
    <row r="19986">
      <c r="BB19986" s="122"/>
      <c r="BC19986" s="141"/>
    </row>
    <row r="19987">
      <c r="BB19987" s="122"/>
      <c r="BC19987" s="141"/>
    </row>
    <row r="19988">
      <c r="BB19988" s="122"/>
      <c r="BC19988" s="141"/>
    </row>
    <row r="19989">
      <c r="BB19989" s="122"/>
      <c r="BC19989" s="141"/>
    </row>
    <row r="19990">
      <c r="BB19990" s="122"/>
      <c r="BC19990" s="141"/>
    </row>
    <row r="19991">
      <c r="BB19991" s="122"/>
      <c r="BC19991" s="141"/>
    </row>
    <row r="19992">
      <c r="BB19992" s="122"/>
      <c r="BC19992" s="141"/>
    </row>
    <row r="19993">
      <c r="BB19993" s="122"/>
      <c r="BC19993" s="141"/>
    </row>
    <row r="19994">
      <c r="BB19994" s="122"/>
      <c r="BC19994" s="141"/>
    </row>
    <row r="19995">
      <c r="BB19995" s="122"/>
      <c r="BC19995" s="141"/>
    </row>
    <row r="19996">
      <c r="BB19996" s="122"/>
      <c r="BC19996" s="141"/>
    </row>
    <row r="19997">
      <c r="BB19997" s="122"/>
      <c r="BC19997" s="141"/>
    </row>
    <row r="19998">
      <c r="BB19998" s="122"/>
      <c r="BC19998" s="141"/>
    </row>
    <row r="19999">
      <c r="BB19999" s="122"/>
      <c r="BC19999" s="141"/>
    </row>
    <row r="20000">
      <c r="BB20000" s="122"/>
      <c r="BC20000" s="141"/>
    </row>
    <row r="20001">
      <c r="BB20001" s="122"/>
      <c r="BC20001" s="141"/>
    </row>
    <row r="20002">
      <c r="BB20002" s="122"/>
      <c r="BC20002" s="141"/>
    </row>
    <row r="20003">
      <c r="BB20003" s="122"/>
      <c r="BC20003" s="141"/>
    </row>
    <row r="20004">
      <c r="BB20004" s="122"/>
      <c r="BC20004" s="141"/>
    </row>
    <row r="20005">
      <c r="BB20005" s="122"/>
      <c r="BC20005" s="141"/>
    </row>
    <row r="20006">
      <c r="BB20006" s="122"/>
      <c r="BC20006" s="141"/>
    </row>
    <row r="20007">
      <c r="BB20007" s="122"/>
      <c r="BC20007" s="141"/>
    </row>
    <row r="20008">
      <c r="BB20008" s="122"/>
      <c r="BC20008" s="141"/>
    </row>
    <row r="20009">
      <c r="BB20009" s="122"/>
      <c r="BC20009" s="141"/>
    </row>
    <row r="20010">
      <c r="BB20010" s="122"/>
      <c r="BC20010" s="141"/>
    </row>
    <row r="20011">
      <c r="BB20011" s="122"/>
      <c r="BC20011" s="141"/>
    </row>
    <row r="20012">
      <c r="BB20012" s="122"/>
      <c r="BC20012" s="141"/>
    </row>
    <row r="20013">
      <c r="BB20013" s="122"/>
      <c r="BC20013" s="141"/>
    </row>
    <row r="20014">
      <c r="BB20014" s="122"/>
      <c r="BC20014" s="141"/>
    </row>
    <row r="20015">
      <c r="BB20015" s="122"/>
      <c r="BC20015" s="141"/>
    </row>
    <row r="20016">
      <c r="BB20016" s="122"/>
      <c r="BC20016" s="141"/>
    </row>
    <row r="20017">
      <c r="BB20017" s="122"/>
      <c r="BC20017" s="141"/>
    </row>
    <row r="20018">
      <c r="BB20018" s="122"/>
      <c r="BC20018" s="141"/>
    </row>
    <row r="20019">
      <c r="BB20019" s="122"/>
      <c r="BC20019" s="141"/>
    </row>
    <row r="20020">
      <c r="BB20020" s="122"/>
      <c r="BC20020" s="141"/>
    </row>
    <row r="20021">
      <c r="BB20021" s="122"/>
      <c r="BC20021" s="141"/>
    </row>
    <row r="20022">
      <c r="BB20022" s="122"/>
      <c r="BC20022" s="141"/>
    </row>
    <row r="20023">
      <c r="BB20023" s="122"/>
      <c r="BC20023" s="141"/>
    </row>
    <row r="20024">
      <c r="BB20024" s="122"/>
      <c r="BC20024" s="141"/>
    </row>
    <row r="20025">
      <c r="BB20025" s="122"/>
      <c r="BC20025" s="141"/>
    </row>
    <row r="20026">
      <c r="BB20026" s="122"/>
      <c r="BC20026" s="141"/>
    </row>
    <row r="20027">
      <c r="BB20027" s="122"/>
      <c r="BC20027" s="141"/>
    </row>
    <row r="20028">
      <c r="BB20028" s="122"/>
      <c r="BC20028" s="141"/>
    </row>
    <row r="20029">
      <c r="BB20029" s="122"/>
      <c r="BC20029" s="141"/>
    </row>
    <row r="20030">
      <c r="BB20030" s="122"/>
      <c r="BC20030" s="141"/>
    </row>
    <row r="20031">
      <c r="BB20031" s="122"/>
      <c r="BC20031" s="141"/>
    </row>
    <row r="20032">
      <c r="BB20032" s="122"/>
      <c r="BC20032" s="141"/>
    </row>
    <row r="20033">
      <c r="BB20033" s="122"/>
      <c r="BC20033" s="141"/>
    </row>
    <row r="20034">
      <c r="BB20034" s="122"/>
      <c r="BC20034" s="141"/>
    </row>
    <row r="20035">
      <c r="BB20035" s="122"/>
      <c r="BC20035" s="141"/>
    </row>
    <row r="20036">
      <c r="BB20036" s="122"/>
      <c r="BC20036" s="141"/>
    </row>
    <row r="20037">
      <c r="BB20037" s="122"/>
      <c r="BC20037" s="141"/>
    </row>
    <row r="20038">
      <c r="BB20038" s="122"/>
      <c r="BC20038" s="141"/>
    </row>
    <row r="20039">
      <c r="BB20039" s="122"/>
      <c r="BC20039" s="141"/>
    </row>
    <row r="20040">
      <c r="BB20040" s="122"/>
      <c r="BC20040" s="141"/>
    </row>
    <row r="20041">
      <c r="BB20041" s="122"/>
      <c r="BC20041" s="141"/>
    </row>
    <row r="20042">
      <c r="BB20042" s="122"/>
      <c r="BC20042" s="141"/>
    </row>
    <row r="20043">
      <c r="BB20043" s="122"/>
      <c r="BC20043" s="141"/>
    </row>
    <row r="20044">
      <c r="BB20044" s="122"/>
      <c r="BC20044" s="141"/>
    </row>
    <row r="20045">
      <c r="BB20045" s="122"/>
      <c r="BC20045" s="141"/>
    </row>
    <row r="20046">
      <c r="BB20046" s="122"/>
      <c r="BC20046" s="141"/>
    </row>
    <row r="20047">
      <c r="BB20047" s="122"/>
      <c r="BC20047" s="141"/>
    </row>
    <row r="20048">
      <c r="BB20048" s="122"/>
      <c r="BC20048" s="141"/>
    </row>
    <row r="20049">
      <c r="BB20049" s="122"/>
      <c r="BC20049" s="141"/>
    </row>
    <row r="20050">
      <c r="BB20050" s="122"/>
      <c r="BC20050" s="141"/>
    </row>
    <row r="20051">
      <c r="BB20051" s="122"/>
      <c r="BC20051" s="141"/>
    </row>
    <row r="20052">
      <c r="BB20052" s="122"/>
      <c r="BC20052" s="141"/>
    </row>
    <row r="20053">
      <c r="BB20053" s="122"/>
      <c r="BC20053" s="141"/>
    </row>
    <row r="20054">
      <c r="BB20054" s="122"/>
      <c r="BC20054" s="141"/>
    </row>
    <row r="20055">
      <c r="BB20055" s="122"/>
      <c r="BC20055" s="141"/>
    </row>
    <row r="20056">
      <c r="BB20056" s="122"/>
      <c r="BC20056" s="141"/>
    </row>
    <row r="20057">
      <c r="BB20057" s="122"/>
      <c r="BC20057" s="141"/>
    </row>
    <row r="20058">
      <c r="BB20058" s="122"/>
      <c r="BC20058" s="141"/>
    </row>
    <row r="20059">
      <c r="BB20059" s="122"/>
      <c r="BC20059" s="141"/>
    </row>
    <row r="20060">
      <c r="BB20060" s="122"/>
      <c r="BC20060" s="141"/>
    </row>
    <row r="20061">
      <c r="BB20061" s="122"/>
      <c r="BC20061" s="141"/>
    </row>
    <row r="20062">
      <c r="BB20062" s="122"/>
      <c r="BC20062" s="141"/>
    </row>
    <row r="20063">
      <c r="BB20063" s="122"/>
      <c r="BC20063" s="141"/>
    </row>
    <row r="20064">
      <c r="BB20064" s="122"/>
      <c r="BC20064" s="141"/>
    </row>
    <row r="20065">
      <c r="BB20065" s="122"/>
      <c r="BC20065" s="141"/>
    </row>
    <row r="20066">
      <c r="BB20066" s="122"/>
      <c r="BC20066" s="141"/>
    </row>
    <row r="20067">
      <c r="BB20067" s="122"/>
      <c r="BC20067" s="141"/>
    </row>
    <row r="20068">
      <c r="BB20068" s="122"/>
      <c r="BC20068" s="141"/>
    </row>
    <row r="20069">
      <c r="BB20069" s="122"/>
      <c r="BC20069" s="141"/>
    </row>
    <row r="20070">
      <c r="BB20070" s="122"/>
      <c r="BC20070" s="141"/>
    </row>
    <row r="20071">
      <c r="BB20071" s="122"/>
      <c r="BC20071" s="141"/>
    </row>
    <row r="20072">
      <c r="BB20072" s="122"/>
      <c r="BC20072" s="141"/>
    </row>
    <row r="20073">
      <c r="BB20073" s="122"/>
      <c r="BC20073" s="141"/>
    </row>
    <row r="20074">
      <c r="BB20074" s="122"/>
      <c r="BC20074" s="141"/>
    </row>
    <row r="20075">
      <c r="BB20075" s="122"/>
      <c r="BC20075" s="141"/>
    </row>
    <row r="20076">
      <c r="BB20076" s="122"/>
      <c r="BC20076" s="141"/>
    </row>
    <row r="20077">
      <c r="BB20077" s="122"/>
      <c r="BC20077" s="141"/>
    </row>
    <row r="20078">
      <c r="BB20078" s="122"/>
      <c r="BC20078" s="141"/>
    </row>
    <row r="20079">
      <c r="BB20079" s="122"/>
      <c r="BC20079" s="141"/>
    </row>
    <row r="20080">
      <c r="BB20080" s="122"/>
      <c r="BC20080" s="141"/>
    </row>
    <row r="20081">
      <c r="BB20081" s="122"/>
      <c r="BC20081" s="141"/>
    </row>
    <row r="20082">
      <c r="BB20082" s="122"/>
      <c r="BC20082" s="141"/>
    </row>
    <row r="20083">
      <c r="BB20083" s="122"/>
      <c r="BC20083" s="141"/>
    </row>
    <row r="20084">
      <c r="BB20084" s="122"/>
      <c r="BC20084" s="141"/>
    </row>
    <row r="20085">
      <c r="BB20085" s="122"/>
      <c r="BC20085" s="141"/>
    </row>
    <row r="20086">
      <c r="BB20086" s="122"/>
      <c r="BC20086" s="141"/>
    </row>
    <row r="20087">
      <c r="BB20087" s="122"/>
      <c r="BC20087" s="141"/>
    </row>
    <row r="20088">
      <c r="BB20088" s="122"/>
      <c r="BC20088" s="141"/>
    </row>
    <row r="20089">
      <c r="BB20089" s="122"/>
      <c r="BC20089" s="141"/>
    </row>
    <row r="20090">
      <c r="BB20090" s="122"/>
      <c r="BC20090" s="141"/>
    </row>
    <row r="20091">
      <c r="BB20091" s="122"/>
      <c r="BC20091" s="141"/>
    </row>
    <row r="20092">
      <c r="BB20092" s="122"/>
      <c r="BC20092" s="141"/>
    </row>
    <row r="20093">
      <c r="BB20093" s="122"/>
      <c r="BC20093" s="141"/>
    </row>
    <row r="20094">
      <c r="BB20094" s="122"/>
      <c r="BC20094" s="141"/>
    </row>
    <row r="20095">
      <c r="BB20095" s="122"/>
      <c r="BC20095" s="141"/>
    </row>
    <row r="20096">
      <c r="BB20096" s="122"/>
      <c r="BC20096" s="141"/>
    </row>
    <row r="20097">
      <c r="BB20097" s="122"/>
      <c r="BC20097" s="141"/>
    </row>
    <row r="20098">
      <c r="BB20098" s="122"/>
      <c r="BC20098" s="141"/>
    </row>
    <row r="20099">
      <c r="BB20099" s="122"/>
      <c r="BC20099" s="141"/>
    </row>
    <row r="20100">
      <c r="BB20100" s="122"/>
      <c r="BC20100" s="141"/>
    </row>
    <row r="20101">
      <c r="BB20101" s="122"/>
      <c r="BC20101" s="141"/>
    </row>
    <row r="20102">
      <c r="BB20102" s="122"/>
      <c r="BC20102" s="141"/>
    </row>
    <row r="20103">
      <c r="BB20103" s="122"/>
      <c r="BC20103" s="141"/>
    </row>
    <row r="20104">
      <c r="BB20104" s="122"/>
      <c r="BC20104" s="141"/>
    </row>
    <row r="20105">
      <c r="BB20105" s="122"/>
      <c r="BC20105" s="141"/>
    </row>
    <row r="20106">
      <c r="BB20106" s="122"/>
      <c r="BC20106" s="141"/>
    </row>
    <row r="20107">
      <c r="BB20107" s="122"/>
      <c r="BC20107" s="141"/>
    </row>
    <row r="20108">
      <c r="BB20108" s="122"/>
      <c r="BC20108" s="141"/>
    </row>
    <row r="20109">
      <c r="BB20109" s="122"/>
      <c r="BC20109" s="141"/>
    </row>
    <row r="20110">
      <c r="BB20110" s="122"/>
      <c r="BC20110" s="141"/>
    </row>
    <row r="20111">
      <c r="BB20111" s="122"/>
      <c r="BC20111" s="141"/>
    </row>
    <row r="20112">
      <c r="BB20112" s="122"/>
      <c r="BC20112" s="141"/>
    </row>
    <row r="20113">
      <c r="BB20113" s="122"/>
      <c r="BC20113" s="141"/>
    </row>
    <row r="20114">
      <c r="BB20114" s="122"/>
      <c r="BC20114" s="141"/>
    </row>
    <row r="20115">
      <c r="BB20115" s="122"/>
      <c r="BC20115" s="141"/>
    </row>
    <row r="20116">
      <c r="BB20116" s="122"/>
      <c r="BC20116" s="141"/>
    </row>
    <row r="20117">
      <c r="BB20117" s="122"/>
      <c r="BC20117" s="141"/>
    </row>
    <row r="20118">
      <c r="BB20118" s="122"/>
      <c r="BC20118" s="141"/>
    </row>
    <row r="20119">
      <c r="BB20119" s="122"/>
      <c r="BC20119" s="141"/>
    </row>
    <row r="20120">
      <c r="BB20120" s="122"/>
      <c r="BC20120" s="141"/>
    </row>
    <row r="20121">
      <c r="BB20121" s="122"/>
      <c r="BC20121" s="141"/>
    </row>
    <row r="20122">
      <c r="BB20122" s="122"/>
      <c r="BC20122" s="141"/>
    </row>
    <row r="20123">
      <c r="BB20123" s="122"/>
      <c r="BC20123" s="141"/>
    </row>
    <row r="20124">
      <c r="BB20124" s="122"/>
      <c r="BC20124" s="141"/>
    </row>
    <row r="20125">
      <c r="BB20125" s="122"/>
      <c r="BC20125" s="141"/>
    </row>
    <row r="20126">
      <c r="BB20126" s="122"/>
      <c r="BC20126" s="141"/>
    </row>
    <row r="20127">
      <c r="BB20127" s="122"/>
      <c r="BC20127" s="141"/>
    </row>
    <row r="20128">
      <c r="BB20128" s="122"/>
      <c r="BC20128" s="141"/>
    </row>
    <row r="20129">
      <c r="BB20129" s="122"/>
      <c r="BC20129" s="141"/>
    </row>
    <row r="20130">
      <c r="BB20130" s="122"/>
      <c r="BC20130" s="141"/>
    </row>
    <row r="20131">
      <c r="BB20131" s="122"/>
      <c r="BC20131" s="141"/>
    </row>
    <row r="20132">
      <c r="BB20132" s="122"/>
      <c r="BC20132" s="141"/>
    </row>
    <row r="20133">
      <c r="BB20133" s="122"/>
      <c r="BC20133" s="141"/>
    </row>
    <row r="20134">
      <c r="BB20134" s="122"/>
      <c r="BC20134" s="141"/>
    </row>
    <row r="20135">
      <c r="BB20135" s="122"/>
      <c r="BC20135" s="141"/>
    </row>
    <row r="20136">
      <c r="BB20136" s="122"/>
      <c r="BC20136" s="141"/>
    </row>
    <row r="20137">
      <c r="BB20137" s="122"/>
      <c r="BC20137" s="141"/>
    </row>
    <row r="20138">
      <c r="BB20138" s="122"/>
      <c r="BC20138" s="141"/>
    </row>
    <row r="20139">
      <c r="BB20139" s="122"/>
      <c r="BC20139" s="141"/>
    </row>
    <row r="20140">
      <c r="BB20140" s="122"/>
      <c r="BC20140" s="141"/>
    </row>
    <row r="20141">
      <c r="BB20141" s="122"/>
      <c r="BC20141" s="141"/>
    </row>
    <row r="20142">
      <c r="BB20142" s="122"/>
      <c r="BC20142" s="141"/>
    </row>
    <row r="20143">
      <c r="BB20143" s="122"/>
      <c r="BC20143" s="141"/>
    </row>
    <row r="20144">
      <c r="BB20144" s="122"/>
      <c r="BC20144" s="141"/>
    </row>
    <row r="20145">
      <c r="BB20145" s="122"/>
      <c r="BC20145" s="141"/>
    </row>
    <row r="20146">
      <c r="BB20146" s="122"/>
      <c r="BC20146" s="141"/>
    </row>
    <row r="20147">
      <c r="BB20147" s="122"/>
      <c r="BC20147" s="141"/>
    </row>
    <row r="20148">
      <c r="BB20148" s="122"/>
      <c r="BC20148" s="141"/>
    </row>
    <row r="20149">
      <c r="BB20149" s="122"/>
      <c r="BC20149" s="141"/>
    </row>
    <row r="20150">
      <c r="BB20150" s="122"/>
      <c r="BC20150" s="141"/>
    </row>
    <row r="20151">
      <c r="BB20151" s="122"/>
      <c r="BC20151" s="141"/>
    </row>
    <row r="20152">
      <c r="BB20152" s="122"/>
      <c r="BC20152" s="141"/>
    </row>
    <row r="20153">
      <c r="BB20153" s="122"/>
      <c r="BC20153" s="141"/>
    </row>
    <row r="20154">
      <c r="BB20154" s="122"/>
      <c r="BC20154" s="141"/>
    </row>
    <row r="20155">
      <c r="BB20155" s="122"/>
      <c r="BC20155" s="141"/>
    </row>
    <row r="20156">
      <c r="BB20156" s="122"/>
      <c r="BC20156" s="141"/>
    </row>
    <row r="20157">
      <c r="BB20157" s="122"/>
      <c r="BC20157" s="141"/>
    </row>
    <row r="20158">
      <c r="BB20158" s="122"/>
      <c r="BC20158" s="141"/>
    </row>
    <row r="20159">
      <c r="BB20159" s="122"/>
      <c r="BC20159" s="141"/>
    </row>
    <row r="20160">
      <c r="BB20160" s="122"/>
      <c r="BC20160" s="141"/>
    </row>
    <row r="20161">
      <c r="BB20161" s="122"/>
      <c r="BC20161" s="141"/>
    </row>
    <row r="20162">
      <c r="BB20162" s="122"/>
      <c r="BC20162" s="141"/>
    </row>
    <row r="20163">
      <c r="BB20163" s="122"/>
      <c r="BC20163" s="141"/>
    </row>
    <row r="20164">
      <c r="BB20164" s="122"/>
      <c r="BC20164" s="141"/>
    </row>
    <row r="20165">
      <c r="BB20165" s="122"/>
      <c r="BC20165" s="141"/>
    </row>
    <row r="20166">
      <c r="BB20166" s="122"/>
      <c r="BC20166" s="141"/>
    </row>
    <row r="20167">
      <c r="BB20167" s="122"/>
      <c r="BC20167" s="141"/>
    </row>
    <row r="20168">
      <c r="BB20168" s="122"/>
      <c r="BC20168" s="141"/>
    </row>
    <row r="20169">
      <c r="BB20169" s="122"/>
      <c r="BC20169" s="141"/>
    </row>
    <row r="20170">
      <c r="BB20170" s="122"/>
      <c r="BC20170" s="141"/>
    </row>
    <row r="20171">
      <c r="BB20171" s="122"/>
      <c r="BC20171" s="141"/>
    </row>
    <row r="20172">
      <c r="BB20172" s="122"/>
      <c r="BC20172" s="141"/>
    </row>
    <row r="20173">
      <c r="BB20173" s="122"/>
      <c r="BC20173" s="141"/>
    </row>
    <row r="20174">
      <c r="BB20174" s="122"/>
      <c r="BC20174" s="141"/>
    </row>
    <row r="20175">
      <c r="BB20175" s="122"/>
      <c r="BC20175" s="141"/>
    </row>
    <row r="20176">
      <c r="BB20176" s="122"/>
      <c r="BC20176" s="141"/>
    </row>
    <row r="20177">
      <c r="BB20177" s="122"/>
      <c r="BC20177" s="141"/>
    </row>
    <row r="20178">
      <c r="BB20178" s="122"/>
      <c r="BC20178" s="141"/>
    </row>
    <row r="20179">
      <c r="BB20179" s="122"/>
      <c r="BC20179" s="141"/>
    </row>
    <row r="20180">
      <c r="BB20180" s="122"/>
      <c r="BC20180" s="141"/>
    </row>
    <row r="20181">
      <c r="BB20181" s="122"/>
      <c r="BC20181" s="141"/>
    </row>
    <row r="20182">
      <c r="BB20182" s="122"/>
      <c r="BC20182" s="141"/>
    </row>
    <row r="20183">
      <c r="BB20183" s="122"/>
      <c r="BC20183" s="141"/>
    </row>
    <row r="20184">
      <c r="BB20184" s="122"/>
      <c r="BC20184" s="141"/>
    </row>
    <row r="20185">
      <c r="BB20185" s="122"/>
      <c r="BC20185" s="141"/>
    </row>
    <row r="20186">
      <c r="BB20186" s="122"/>
      <c r="BC20186" s="141"/>
    </row>
    <row r="20187">
      <c r="BB20187" s="122"/>
      <c r="BC20187" s="141"/>
    </row>
    <row r="20188">
      <c r="BB20188" s="122"/>
      <c r="BC20188" s="141"/>
    </row>
    <row r="20189">
      <c r="BB20189" s="122"/>
      <c r="BC20189" s="141"/>
    </row>
    <row r="20190">
      <c r="BB20190" s="122"/>
      <c r="BC20190" s="141"/>
    </row>
    <row r="20191">
      <c r="BB20191" s="122"/>
      <c r="BC20191" s="141"/>
    </row>
    <row r="20192">
      <c r="BB20192" s="122"/>
      <c r="BC20192" s="141"/>
    </row>
    <row r="20193">
      <c r="BB20193" s="122"/>
      <c r="BC20193" s="141"/>
    </row>
    <row r="20194">
      <c r="BB20194" s="122"/>
      <c r="BC20194" s="141"/>
    </row>
    <row r="20195">
      <c r="BB20195" s="122"/>
      <c r="BC20195" s="141"/>
    </row>
    <row r="20196">
      <c r="BB20196" s="122"/>
      <c r="BC20196" s="141"/>
    </row>
    <row r="20197">
      <c r="BB20197" s="122"/>
      <c r="BC20197" s="141"/>
    </row>
    <row r="20198">
      <c r="BB20198" s="122"/>
      <c r="BC20198" s="141"/>
    </row>
    <row r="20199">
      <c r="BB20199" s="122"/>
      <c r="BC20199" s="141"/>
    </row>
    <row r="20200">
      <c r="BB20200" s="122"/>
      <c r="BC20200" s="141"/>
    </row>
    <row r="20201">
      <c r="BB20201" s="122"/>
      <c r="BC20201" s="141"/>
    </row>
    <row r="20202">
      <c r="BB20202" s="122"/>
      <c r="BC20202" s="141"/>
    </row>
    <row r="20203">
      <c r="BB20203" s="122"/>
      <c r="BC20203" s="141"/>
    </row>
    <row r="20204">
      <c r="BB20204" s="122"/>
      <c r="BC20204" s="141"/>
    </row>
    <row r="20205">
      <c r="BB20205" s="122"/>
      <c r="BC20205" s="141"/>
    </row>
    <row r="20206">
      <c r="BB20206" s="122"/>
      <c r="BC20206" s="141"/>
    </row>
    <row r="20207">
      <c r="BB20207" s="122"/>
      <c r="BC20207" s="141"/>
    </row>
    <row r="20208">
      <c r="BB20208" s="122"/>
      <c r="BC20208" s="141"/>
    </row>
    <row r="20209">
      <c r="BB20209" s="122"/>
      <c r="BC20209" s="141"/>
    </row>
    <row r="20210">
      <c r="BB20210" s="122"/>
      <c r="BC20210" s="141"/>
    </row>
    <row r="20211">
      <c r="BB20211" s="122"/>
      <c r="BC20211" s="141"/>
    </row>
    <row r="20212">
      <c r="BB20212" s="122"/>
      <c r="BC20212" s="141"/>
    </row>
    <row r="20213">
      <c r="BB20213" s="122"/>
      <c r="BC20213" s="141"/>
    </row>
    <row r="20214">
      <c r="BB20214" s="122"/>
      <c r="BC20214" s="141"/>
    </row>
    <row r="20215">
      <c r="BB20215" s="122"/>
      <c r="BC20215" s="141"/>
    </row>
    <row r="20216">
      <c r="BB20216" s="122"/>
      <c r="BC20216" s="141"/>
    </row>
    <row r="20217">
      <c r="BB20217" s="122"/>
      <c r="BC20217" s="141"/>
    </row>
    <row r="20218">
      <c r="BB20218" s="122"/>
      <c r="BC20218" s="141"/>
    </row>
    <row r="20219">
      <c r="BB20219" s="122"/>
      <c r="BC20219" s="141"/>
    </row>
    <row r="20220">
      <c r="BB20220" s="122"/>
      <c r="BC20220" s="141"/>
    </row>
    <row r="20221">
      <c r="BB20221" s="122"/>
      <c r="BC20221" s="141"/>
    </row>
    <row r="20222">
      <c r="BB20222" s="122"/>
      <c r="BC20222" s="141"/>
    </row>
    <row r="20223">
      <c r="BB20223" s="122"/>
      <c r="BC20223" s="141"/>
    </row>
    <row r="20224">
      <c r="BB20224" s="122"/>
      <c r="BC20224" s="141"/>
    </row>
    <row r="20225">
      <c r="BB20225" s="122"/>
      <c r="BC20225" s="141"/>
    </row>
    <row r="20226">
      <c r="BB20226" s="122"/>
      <c r="BC20226" s="141"/>
    </row>
    <row r="20227">
      <c r="BB20227" s="122"/>
      <c r="BC20227" s="141"/>
    </row>
    <row r="20228">
      <c r="BB20228" s="122"/>
      <c r="BC20228" s="141"/>
    </row>
    <row r="20229">
      <c r="BB20229" s="122"/>
      <c r="BC20229" s="141"/>
    </row>
    <row r="20230">
      <c r="BB20230" s="122"/>
      <c r="BC20230" s="141"/>
    </row>
    <row r="20231">
      <c r="BB20231" s="122"/>
      <c r="BC20231" s="141"/>
    </row>
    <row r="20232">
      <c r="BB20232" s="122"/>
      <c r="BC20232" s="141"/>
    </row>
    <row r="20233">
      <c r="BB20233" s="122"/>
      <c r="BC20233" s="141"/>
    </row>
    <row r="20234">
      <c r="BB20234" s="122"/>
      <c r="BC20234" s="141"/>
    </row>
    <row r="20235">
      <c r="BB20235" s="122"/>
      <c r="BC20235" s="141"/>
    </row>
    <row r="20236">
      <c r="BB20236" s="122"/>
      <c r="BC20236" s="141"/>
    </row>
    <row r="20237">
      <c r="BB20237" s="122"/>
      <c r="BC20237" s="141"/>
    </row>
    <row r="20238">
      <c r="BB20238" s="122"/>
      <c r="BC20238" s="141"/>
    </row>
    <row r="20239">
      <c r="BB20239" s="122"/>
      <c r="BC20239" s="141"/>
    </row>
    <row r="20240">
      <c r="BB20240" s="122"/>
      <c r="BC20240" s="141"/>
    </row>
    <row r="20241">
      <c r="BB20241" s="122"/>
      <c r="BC20241" s="141"/>
    </row>
    <row r="20242">
      <c r="BB20242" s="122"/>
      <c r="BC20242" s="141"/>
    </row>
    <row r="20243">
      <c r="BB20243" s="122"/>
      <c r="BC20243" s="141"/>
    </row>
    <row r="20244">
      <c r="BB20244" s="122"/>
      <c r="BC20244" s="141"/>
    </row>
    <row r="20245">
      <c r="BB20245" s="122"/>
      <c r="BC20245" s="141"/>
    </row>
    <row r="20246">
      <c r="BB20246" s="122"/>
      <c r="BC20246" s="141"/>
    </row>
    <row r="20247">
      <c r="BB20247" s="122"/>
      <c r="BC20247" s="141"/>
    </row>
    <row r="20248">
      <c r="BB20248" s="122"/>
      <c r="BC20248" s="141"/>
    </row>
    <row r="20249">
      <c r="BB20249" s="122"/>
      <c r="BC20249" s="141"/>
    </row>
    <row r="20250">
      <c r="BB20250" s="122"/>
      <c r="BC20250" s="141"/>
    </row>
    <row r="20251">
      <c r="BB20251" s="122"/>
      <c r="BC20251" s="141"/>
    </row>
    <row r="20252">
      <c r="BB20252" s="122"/>
      <c r="BC20252" s="141"/>
    </row>
    <row r="20253">
      <c r="BB20253" s="122"/>
      <c r="BC20253" s="141"/>
    </row>
    <row r="20254">
      <c r="BB20254" s="122"/>
      <c r="BC20254" s="141"/>
    </row>
    <row r="20255">
      <c r="BB20255" s="122"/>
      <c r="BC20255" s="141"/>
    </row>
    <row r="20256">
      <c r="BB20256" s="122"/>
      <c r="BC20256" s="141"/>
    </row>
    <row r="20257">
      <c r="BB20257" s="122"/>
      <c r="BC20257" s="141"/>
    </row>
    <row r="20258">
      <c r="BB20258" s="122"/>
      <c r="BC20258" s="141"/>
    </row>
    <row r="20259">
      <c r="BB20259" s="122"/>
      <c r="BC20259" s="141"/>
    </row>
    <row r="20260">
      <c r="BB20260" s="122"/>
      <c r="BC20260" s="141"/>
    </row>
    <row r="20261">
      <c r="BB20261" s="122"/>
      <c r="BC20261" s="141"/>
    </row>
    <row r="20262">
      <c r="BB20262" s="122"/>
      <c r="BC20262" s="141"/>
    </row>
    <row r="20263">
      <c r="BB20263" s="122"/>
      <c r="BC20263" s="141"/>
    </row>
    <row r="20264">
      <c r="BB20264" s="122"/>
      <c r="BC20264" s="141"/>
    </row>
    <row r="20265">
      <c r="BB20265" s="122"/>
      <c r="BC20265" s="141"/>
    </row>
    <row r="20266">
      <c r="BB20266" s="122"/>
      <c r="BC20266" s="141"/>
    </row>
    <row r="20267">
      <c r="BB20267" s="122"/>
      <c r="BC20267" s="141"/>
    </row>
    <row r="20268">
      <c r="BB20268" s="122"/>
      <c r="BC20268" s="141"/>
    </row>
    <row r="20269">
      <c r="BB20269" s="122"/>
      <c r="BC20269" s="141"/>
    </row>
    <row r="20270">
      <c r="BB20270" s="122"/>
      <c r="BC20270" s="141"/>
    </row>
    <row r="20271">
      <c r="BB20271" s="122"/>
      <c r="BC20271" s="141"/>
    </row>
    <row r="20272">
      <c r="BB20272" s="122"/>
      <c r="BC20272" s="141"/>
    </row>
    <row r="20273">
      <c r="BB20273" s="122"/>
      <c r="BC20273" s="141"/>
    </row>
    <row r="20274">
      <c r="BB20274" s="122"/>
      <c r="BC20274" s="141"/>
    </row>
    <row r="20275">
      <c r="BB20275" s="122"/>
      <c r="BC20275" s="141"/>
    </row>
    <row r="20276">
      <c r="BB20276" s="122"/>
      <c r="BC20276" s="141"/>
    </row>
    <row r="20277">
      <c r="BB20277" s="122"/>
      <c r="BC20277" s="141"/>
    </row>
    <row r="20278">
      <c r="BB20278" s="122"/>
      <c r="BC20278" s="141"/>
    </row>
    <row r="20279">
      <c r="BB20279" s="122"/>
      <c r="BC20279" s="141"/>
    </row>
    <row r="20280">
      <c r="BB20280" s="122"/>
      <c r="BC20280" s="141"/>
    </row>
    <row r="20281">
      <c r="BB20281" s="122"/>
      <c r="BC20281" s="141"/>
    </row>
    <row r="20282">
      <c r="BB20282" s="122"/>
      <c r="BC20282" s="141"/>
    </row>
    <row r="20283">
      <c r="BB20283" s="122"/>
      <c r="BC20283" s="141"/>
    </row>
    <row r="20284">
      <c r="BB20284" s="122"/>
      <c r="BC20284" s="141"/>
    </row>
    <row r="20285">
      <c r="BB20285" s="122"/>
      <c r="BC20285" s="141"/>
    </row>
    <row r="20286">
      <c r="BB20286" s="122"/>
      <c r="BC20286" s="141"/>
    </row>
    <row r="20287">
      <c r="BB20287" s="122"/>
      <c r="BC20287" s="141"/>
    </row>
    <row r="20288">
      <c r="BB20288" s="122"/>
      <c r="BC20288" s="141"/>
    </row>
    <row r="20289">
      <c r="BB20289" s="122"/>
      <c r="BC20289" s="141"/>
    </row>
    <row r="20290">
      <c r="BB20290" s="122"/>
      <c r="BC20290" s="141"/>
    </row>
    <row r="20291">
      <c r="BB20291" s="122"/>
      <c r="BC20291" s="141"/>
    </row>
    <row r="20292">
      <c r="BB20292" s="122"/>
      <c r="BC20292" s="141"/>
    </row>
    <row r="20293">
      <c r="BB20293" s="122"/>
      <c r="BC20293" s="141"/>
    </row>
    <row r="20294">
      <c r="BB20294" s="122"/>
      <c r="BC20294" s="141"/>
    </row>
    <row r="20295">
      <c r="BB20295" s="122"/>
      <c r="BC20295" s="141"/>
    </row>
    <row r="20296">
      <c r="BB20296" s="122"/>
      <c r="BC20296" s="141"/>
    </row>
    <row r="20297">
      <c r="BB20297" s="122"/>
      <c r="BC20297" s="141"/>
    </row>
    <row r="20298">
      <c r="BB20298" s="122"/>
      <c r="BC20298" s="141"/>
    </row>
    <row r="20299">
      <c r="BB20299" s="122"/>
      <c r="BC20299" s="141"/>
    </row>
    <row r="20300">
      <c r="BB20300" s="122"/>
      <c r="BC20300" s="141"/>
    </row>
    <row r="20301">
      <c r="BB20301" s="122"/>
      <c r="BC20301" s="141"/>
    </row>
    <row r="20302">
      <c r="BB20302" s="122"/>
      <c r="BC20302" s="141"/>
    </row>
    <row r="20303">
      <c r="BB20303" s="122"/>
      <c r="BC20303" s="141"/>
    </row>
    <row r="20304">
      <c r="BB20304" s="122"/>
      <c r="BC20304" s="141"/>
    </row>
    <row r="20305">
      <c r="BB20305" s="122"/>
      <c r="BC20305" s="141"/>
    </row>
    <row r="20306">
      <c r="BB20306" s="122"/>
      <c r="BC20306" s="141"/>
    </row>
    <row r="20307">
      <c r="BB20307" s="122"/>
      <c r="BC20307" s="141"/>
    </row>
    <row r="20308">
      <c r="BB20308" s="122"/>
      <c r="BC20308" s="141"/>
    </row>
    <row r="20309">
      <c r="BB20309" s="122"/>
      <c r="BC20309" s="141"/>
    </row>
    <row r="20310">
      <c r="BB20310" s="122"/>
      <c r="BC20310" s="141"/>
    </row>
    <row r="20311">
      <c r="BB20311" s="122"/>
      <c r="BC20311" s="141"/>
    </row>
    <row r="20312">
      <c r="BB20312" s="122"/>
      <c r="BC20312" s="141"/>
    </row>
    <row r="20313">
      <c r="BB20313" s="122"/>
      <c r="BC20313" s="141"/>
    </row>
    <row r="20314">
      <c r="BB20314" s="122"/>
      <c r="BC20314" s="141"/>
    </row>
    <row r="20315">
      <c r="BB20315" s="122"/>
      <c r="BC20315" s="141"/>
    </row>
    <row r="20316">
      <c r="BB20316" s="122"/>
      <c r="BC20316" s="141"/>
    </row>
    <row r="20317">
      <c r="BB20317" s="122"/>
      <c r="BC20317" s="141"/>
    </row>
    <row r="20318">
      <c r="BB20318" s="122"/>
      <c r="BC20318" s="141"/>
    </row>
    <row r="20319">
      <c r="BB20319" s="122"/>
      <c r="BC20319" s="141"/>
    </row>
    <row r="20320">
      <c r="BB20320" s="122"/>
      <c r="BC20320" s="141"/>
    </row>
    <row r="20321">
      <c r="BB20321" s="122"/>
      <c r="BC20321" s="141"/>
    </row>
    <row r="20322">
      <c r="BB20322" s="122"/>
      <c r="BC20322" s="141"/>
    </row>
    <row r="20323">
      <c r="BB20323" s="122"/>
      <c r="BC20323" s="141"/>
    </row>
    <row r="20324">
      <c r="BB20324" s="122"/>
      <c r="BC20324" s="141"/>
    </row>
    <row r="20325">
      <c r="BB20325" s="122"/>
      <c r="BC20325" s="141"/>
    </row>
    <row r="20326">
      <c r="BB20326" s="122"/>
      <c r="BC20326" s="141"/>
    </row>
    <row r="20327">
      <c r="BB20327" s="122"/>
      <c r="BC20327" s="141"/>
    </row>
    <row r="20328">
      <c r="BB20328" s="122"/>
      <c r="BC20328" s="141"/>
    </row>
    <row r="20329">
      <c r="BB20329" s="122"/>
      <c r="BC20329" s="141"/>
    </row>
    <row r="20330">
      <c r="BB20330" s="122"/>
      <c r="BC20330" s="141"/>
    </row>
    <row r="20331">
      <c r="BB20331" s="122"/>
      <c r="BC20331" s="141"/>
    </row>
    <row r="20332">
      <c r="BB20332" s="122"/>
      <c r="BC20332" s="141"/>
    </row>
    <row r="20333">
      <c r="BB20333" s="122"/>
      <c r="BC20333" s="141"/>
    </row>
    <row r="20334">
      <c r="BB20334" s="122"/>
      <c r="BC20334" s="141"/>
    </row>
    <row r="20335">
      <c r="BB20335" s="122"/>
      <c r="BC20335" s="141"/>
    </row>
    <row r="20336">
      <c r="BB20336" s="122"/>
      <c r="BC20336" s="141"/>
    </row>
    <row r="20337">
      <c r="BB20337" s="122"/>
      <c r="BC20337" s="141"/>
    </row>
    <row r="20338">
      <c r="BB20338" s="122"/>
      <c r="BC20338" s="141"/>
    </row>
    <row r="20339">
      <c r="BB20339" s="122"/>
      <c r="BC20339" s="141"/>
    </row>
    <row r="20340">
      <c r="BB20340" s="122"/>
      <c r="BC20340" s="141"/>
    </row>
    <row r="20341">
      <c r="BB20341" s="122"/>
      <c r="BC20341" s="141"/>
    </row>
    <row r="20342">
      <c r="BB20342" s="122"/>
      <c r="BC20342" s="141"/>
    </row>
    <row r="20343">
      <c r="BB20343" s="122"/>
      <c r="BC20343" s="141"/>
    </row>
    <row r="20344">
      <c r="BB20344" s="122"/>
      <c r="BC20344" s="141"/>
    </row>
    <row r="20345">
      <c r="BB20345" s="122"/>
      <c r="BC20345" s="141"/>
    </row>
    <row r="20346">
      <c r="BB20346" s="122"/>
      <c r="BC20346" s="141"/>
    </row>
    <row r="20347">
      <c r="BB20347" s="122"/>
      <c r="BC20347" s="141"/>
    </row>
    <row r="20348">
      <c r="BB20348" s="122"/>
      <c r="BC20348" s="141"/>
    </row>
    <row r="20349">
      <c r="BB20349" s="122"/>
      <c r="BC20349" s="141"/>
    </row>
    <row r="20350">
      <c r="BB20350" s="122"/>
      <c r="BC20350" s="141"/>
    </row>
    <row r="20351">
      <c r="BB20351" s="122"/>
      <c r="BC20351" s="141"/>
    </row>
    <row r="20352">
      <c r="BB20352" s="122"/>
      <c r="BC20352" s="141"/>
    </row>
    <row r="20353">
      <c r="BB20353" s="122"/>
      <c r="BC20353" s="141"/>
    </row>
    <row r="20354">
      <c r="BB20354" s="122"/>
      <c r="BC20354" s="141"/>
    </row>
    <row r="20355">
      <c r="BB20355" s="122"/>
      <c r="BC20355" s="141"/>
    </row>
    <row r="20356">
      <c r="BB20356" s="122"/>
      <c r="BC20356" s="141"/>
    </row>
    <row r="20357">
      <c r="BB20357" s="122"/>
      <c r="BC20357" s="141"/>
    </row>
    <row r="20358">
      <c r="BB20358" s="122"/>
      <c r="BC20358" s="141"/>
    </row>
    <row r="20359">
      <c r="BB20359" s="122"/>
      <c r="BC20359" s="141"/>
    </row>
    <row r="20360">
      <c r="BB20360" s="122"/>
      <c r="BC20360" s="141"/>
    </row>
    <row r="20361">
      <c r="BB20361" s="122"/>
      <c r="BC20361" s="141"/>
    </row>
    <row r="20362">
      <c r="BB20362" s="122"/>
      <c r="BC20362" s="141"/>
    </row>
    <row r="20363">
      <c r="BB20363" s="122"/>
      <c r="BC20363" s="141"/>
    </row>
    <row r="20364">
      <c r="BB20364" s="122"/>
      <c r="BC20364" s="141"/>
    </row>
    <row r="20365">
      <c r="BB20365" s="122"/>
      <c r="BC20365" s="141"/>
    </row>
    <row r="20366">
      <c r="BB20366" s="122"/>
      <c r="BC20366" s="141"/>
    </row>
    <row r="20367">
      <c r="BB20367" s="122"/>
      <c r="BC20367" s="141"/>
    </row>
    <row r="20368">
      <c r="BB20368" s="122"/>
      <c r="BC20368" s="141"/>
    </row>
    <row r="20369">
      <c r="BB20369" s="122"/>
      <c r="BC20369" s="141"/>
    </row>
    <row r="20370">
      <c r="BB20370" s="122"/>
      <c r="BC20370" s="141"/>
    </row>
    <row r="20371">
      <c r="BB20371" s="122"/>
      <c r="BC20371" s="141"/>
    </row>
    <row r="20372">
      <c r="BB20372" s="122"/>
      <c r="BC20372" s="141"/>
    </row>
    <row r="20373">
      <c r="BB20373" s="122"/>
      <c r="BC20373" s="141"/>
    </row>
    <row r="20374">
      <c r="BB20374" s="122"/>
      <c r="BC20374" s="141"/>
    </row>
    <row r="20375">
      <c r="BB20375" s="122"/>
      <c r="BC20375" s="141"/>
    </row>
    <row r="20376">
      <c r="BB20376" s="122"/>
      <c r="BC20376" s="141"/>
    </row>
    <row r="20377">
      <c r="BB20377" s="122"/>
      <c r="BC20377" s="141"/>
    </row>
    <row r="20378">
      <c r="BB20378" s="122"/>
      <c r="BC20378" s="141"/>
    </row>
    <row r="20379">
      <c r="BB20379" s="122"/>
      <c r="BC20379" s="141"/>
    </row>
    <row r="20380">
      <c r="BB20380" s="122"/>
      <c r="BC20380" s="141"/>
    </row>
    <row r="20381">
      <c r="BB20381" s="122"/>
      <c r="BC20381" s="141"/>
    </row>
    <row r="20382">
      <c r="BB20382" s="122"/>
      <c r="BC20382" s="141"/>
    </row>
    <row r="20383">
      <c r="BB20383" s="122"/>
      <c r="BC20383" s="141"/>
    </row>
    <row r="20384">
      <c r="BB20384" s="122"/>
      <c r="BC20384" s="141"/>
    </row>
    <row r="20385">
      <c r="BB20385" s="122"/>
      <c r="BC20385" s="141"/>
    </row>
    <row r="20386">
      <c r="BB20386" s="122"/>
      <c r="BC20386" s="141"/>
    </row>
    <row r="20387">
      <c r="BB20387" s="122"/>
      <c r="BC20387" s="141"/>
    </row>
    <row r="20388">
      <c r="BB20388" s="122"/>
      <c r="BC20388" s="141"/>
    </row>
    <row r="20389">
      <c r="BB20389" s="122"/>
      <c r="BC20389" s="141"/>
    </row>
    <row r="20390">
      <c r="BB20390" s="122"/>
      <c r="BC20390" s="141"/>
    </row>
    <row r="20391">
      <c r="BB20391" s="122"/>
      <c r="BC20391" s="141"/>
    </row>
    <row r="20392">
      <c r="BB20392" s="122"/>
      <c r="BC20392" s="141"/>
    </row>
    <row r="20393">
      <c r="BB20393" s="122"/>
      <c r="BC20393" s="141"/>
    </row>
    <row r="20394">
      <c r="BB20394" s="122"/>
      <c r="BC20394" s="141"/>
    </row>
    <row r="20395">
      <c r="BB20395" s="122"/>
      <c r="BC20395" s="141"/>
    </row>
    <row r="20396">
      <c r="BB20396" s="122"/>
      <c r="BC20396" s="141"/>
    </row>
    <row r="20397">
      <c r="BB20397" s="122"/>
      <c r="BC20397" s="141"/>
    </row>
    <row r="20398">
      <c r="BB20398" s="122"/>
      <c r="BC20398" s="141"/>
    </row>
    <row r="20399">
      <c r="BB20399" s="122"/>
      <c r="BC20399" s="141"/>
    </row>
    <row r="20400">
      <c r="BB20400" s="122"/>
      <c r="BC20400" s="141"/>
    </row>
    <row r="20401">
      <c r="BB20401" s="122"/>
      <c r="BC20401" s="141"/>
    </row>
    <row r="20402">
      <c r="BB20402" s="122"/>
      <c r="BC20402" s="141"/>
    </row>
    <row r="20403">
      <c r="BB20403" s="122"/>
      <c r="BC20403" s="141"/>
    </row>
    <row r="20404">
      <c r="BB20404" s="122"/>
      <c r="BC20404" s="141"/>
    </row>
    <row r="20405">
      <c r="BB20405" s="122"/>
      <c r="BC20405" s="141"/>
    </row>
    <row r="20406">
      <c r="BB20406" s="122"/>
      <c r="BC20406" s="141"/>
    </row>
    <row r="20407">
      <c r="BB20407" s="122"/>
      <c r="BC20407" s="141"/>
    </row>
    <row r="20408">
      <c r="BB20408" s="122"/>
      <c r="BC20408" s="141"/>
    </row>
    <row r="20409">
      <c r="BB20409" s="122"/>
      <c r="BC20409" s="141"/>
    </row>
    <row r="20410">
      <c r="BB20410" s="122"/>
      <c r="BC20410" s="141"/>
    </row>
    <row r="20411">
      <c r="BB20411" s="122"/>
      <c r="BC20411" s="141"/>
    </row>
    <row r="20412">
      <c r="BB20412" s="122"/>
      <c r="BC20412" s="141"/>
    </row>
    <row r="20413">
      <c r="BB20413" s="122"/>
      <c r="BC20413" s="141"/>
    </row>
    <row r="20414">
      <c r="BB20414" s="122"/>
      <c r="BC20414" s="141"/>
    </row>
    <row r="20415">
      <c r="BB20415" s="122"/>
      <c r="BC20415" s="141"/>
    </row>
    <row r="20416">
      <c r="BB20416" s="122"/>
      <c r="BC20416" s="141"/>
    </row>
    <row r="20417">
      <c r="BB20417" s="122"/>
      <c r="BC20417" s="141"/>
    </row>
    <row r="20418">
      <c r="BB20418" s="122"/>
      <c r="BC20418" s="141"/>
    </row>
    <row r="20419">
      <c r="BB20419" s="122"/>
      <c r="BC20419" s="141"/>
    </row>
    <row r="20420">
      <c r="BB20420" s="122"/>
      <c r="BC20420" s="141"/>
    </row>
    <row r="20421">
      <c r="BB20421" s="122"/>
      <c r="BC20421" s="141"/>
    </row>
    <row r="20422">
      <c r="BB20422" s="122"/>
      <c r="BC20422" s="141"/>
    </row>
    <row r="20423">
      <c r="BB20423" s="122"/>
      <c r="BC20423" s="141"/>
    </row>
    <row r="20424">
      <c r="BB20424" s="122"/>
      <c r="BC20424" s="141"/>
    </row>
    <row r="20425">
      <c r="BB20425" s="122"/>
      <c r="BC20425" s="141"/>
    </row>
    <row r="20426">
      <c r="BB20426" s="122"/>
      <c r="BC20426" s="141"/>
    </row>
    <row r="20427">
      <c r="BB20427" s="122"/>
      <c r="BC20427" s="141"/>
    </row>
    <row r="20428">
      <c r="BB20428" s="122"/>
      <c r="BC20428" s="141"/>
    </row>
    <row r="20429">
      <c r="BB20429" s="122"/>
      <c r="BC20429" s="141"/>
    </row>
    <row r="20430">
      <c r="BB20430" s="122"/>
      <c r="BC20430" s="141"/>
    </row>
    <row r="20431">
      <c r="BB20431" s="122"/>
      <c r="BC20431" s="141"/>
    </row>
    <row r="20432">
      <c r="BB20432" s="122"/>
      <c r="BC20432" s="141"/>
    </row>
    <row r="20433">
      <c r="BB20433" s="122"/>
      <c r="BC20433" s="141"/>
    </row>
    <row r="20434">
      <c r="BB20434" s="122"/>
      <c r="BC20434" s="141"/>
    </row>
    <row r="20435">
      <c r="BB20435" s="122"/>
      <c r="BC20435" s="141"/>
    </row>
    <row r="20436">
      <c r="BB20436" s="122"/>
      <c r="BC20436" s="141"/>
    </row>
    <row r="20437">
      <c r="BB20437" s="122"/>
      <c r="BC20437" s="141"/>
    </row>
    <row r="20438">
      <c r="BB20438" s="122"/>
      <c r="BC20438" s="141"/>
    </row>
    <row r="20439">
      <c r="BB20439" s="122"/>
      <c r="BC20439" s="141"/>
    </row>
    <row r="20440">
      <c r="BB20440" s="122"/>
      <c r="BC20440" s="141"/>
    </row>
    <row r="20441">
      <c r="BB20441" s="122"/>
      <c r="BC20441" s="141"/>
    </row>
    <row r="20442">
      <c r="BB20442" s="122"/>
      <c r="BC20442" s="141"/>
    </row>
    <row r="20443">
      <c r="BB20443" s="122"/>
      <c r="BC20443" s="141"/>
    </row>
    <row r="20444">
      <c r="BB20444" s="122"/>
      <c r="BC20444" s="141"/>
    </row>
    <row r="20445">
      <c r="BB20445" s="122"/>
      <c r="BC20445" s="141"/>
    </row>
    <row r="20446">
      <c r="BB20446" s="122"/>
      <c r="BC20446" s="141"/>
    </row>
    <row r="20447">
      <c r="BB20447" s="122"/>
      <c r="BC20447" s="141"/>
    </row>
    <row r="20448">
      <c r="BB20448" s="122"/>
      <c r="BC20448" s="141"/>
    </row>
    <row r="20449">
      <c r="BB20449" s="122"/>
      <c r="BC20449" s="141"/>
    </row>
    <row r="20450">
      <c r="BB20450" s="122"/>
      <c r="BC20450" s="141"/>
    </row>
    <row r="20451">
      <c r="BB20451" s="122"/>
      <c r="BC20451" s="141"/>
    </row>
    <row r="20452">
      <c r="BB20452" s="122"/>
      <c r="BC20452" s="141"/>
    </row>
    <row r="20453">
      <c r="BB20453" s="122"/>
      <c r="BC20453" s="141"/>
    </row>
    <row r="20454">
      <c r="BB20454" s="122"/>
      <c r="BC20454" s="141"/>
    </row>
    <row r="20455">
      <c r="BB20455" s="122"/>
      <c r="BC20455" s="141"/>
    </row>
    <row r="20456">
      <c r="BB20456" s="122"/>
      <c r="BC20456" s="141"/>
    </row>
    <row r="20457">
      <c r="BB20457" s="122"/>
      <c r="BC20457" s="141"/>
    </row>
    <row r="20458">
      <c r="BB20458" s="122"/>
      <c r="BC20458" s="141"/>
    </row>
    <row r="20459">
      <c r="BB20459" s="122"/>
      <c r="BC20459" s="141"/>
    </row>
    <row r="20460">
      <c r="BB20460" s="122"/>
      <c r="BC20460" s="141"/>
    </row>
    <row r="20461">
      <c r="BB20461" s="122"/>
      <c r="BC20461" s="141"/>
    </row>
    <row r="20462">
      <c r="BB20462" s="122"/>
      <c r="BC20462" s="141"/>
    </row>
    <row r="20463">
      <c r="BB20463" s="122"/>
      <c r="BC20463" s="141"/>
    </row>
    <row r="20464">
      <c r="BB20464" s="122"/>
      <c r="BC20464" s="141"/>
    </row>
    <row r="20465">
      <c r="BB20465" s="122"/>
      <c r="BC20465" s="141"/>
    </row>
    <row r="20466">
      <c r="BB20466" s="122"/>
      <c r="BC20466" s="141"/>
    </row>
    <row r="20467">
      <c r="BB20467" s="122"/>
      <c r="BC20467" s="141"/>
    </row>
    <row r="20468">
      <c r="BB20468" s="122"/>
      <c r="BC20468" s="141"/>
    </row>
    <row r="20469">
      <c r="BB20469" s="122"/>
      <c r="BC20469" s="141"/>
    </row>
    <row r="20470">
      <c r="BB20470" s="122"/>
      <c r="BC20470" s="141"/>
    </row>
    <row r="20471">
      <c r="BB20471" s="122"/>
      <c r="BC20471" s="141"/>
    </row>
    <row r="20472">
      <c r="BB20472" s="122"/>
      <c r="BC20472" s="141"/>
    </row>
    <row r="20473">
      <c r="BB20473" s="122"/>
      <c r="BC20473" s="141"/>
    </row>
    <row r="20474">
      <c r="BB20474" s="122"/>
      <c r="BC20474" s="141"/>
    </row>
    <row r="20475">
      <c r="BB20475" s="122"/>
      <c r="BC20475" s="141"/>
    </row>
    <row r="20476">
      <c r="BB20476" s="122"/>
      <c r="BC20476" s="141"/>
    </row>
    <row r="20477">
      <c r="BB20477" s="122"/>
      <c r="BC20477" s="141"/>
    </row>
    <row r="20478">
      <c r="BB20478" s="122"/>
      <c r="BC20478" s="141"/>
    </row>
    <row r="20479">
      <c r="BB20479" s="122"/>
      <c r="BC20479" s="141"/>
    </row>
    <row r="20480">
      <c r="BB20480" s="122"/>
      <c r="BC20480" s="141"/>
    </row>
    <row r="20481">
      <c r="BB20481" s="122"/>
      <c r="BC20481" s="141"/>
    </row>
    <row r="20482">
      <c r="BB20482" s="122"/>
      <c r="BC20482" s="141"/>
    </row>
    <row r="20483">
      <c r="BB20483" s="122"/>
      <c r="BC20483" s="141"/>
    </row>
    <row r="20484">
      <c r="BB20484" s="122"/>
      <c r="BC20484" s="141"/>
    </row>
    <row r="20485">
      <c r="BB20485" s="122"/>
      <c r="BC20485" s="141"/>
    </row>
    <row r="20486">
      <c r="BB20486" s="122"/>
      <c r="BC20486" s="141"/>
    </row>
    <row r="20487">
      <c r="BB20487" s="122"/>
      <c r="BC20487" s="141"/>
    </row>
    <row r="20488">
      <c r="BB20488" s="122"/>
      <c r="BC20488" s="141"/>
    </row>
    <row r="20489">
      <c r="BB20489" s="122"/>
      <c r="BC20489" s="141"/>
    </row>
    <row r="20490">
      <c r="BB20490" s="122"/>
      <c r="BC20490" s="141"/>
    </row>
    <row r="20491">
      <c r="BB20491" s="122"/>
      <c r="BC20491" s="141"/>
    </row>
    <row r="20492">
      <c r="BB20492" s="122"/>
      <c r="BC20492" s="141"/>
    </row>
    <row r="20493">
      <c r="BB20493" s="122"/>
      <c r="BC20493" s="141"/>
    </row>
    <row r="20494">
      <c r="BB20494" s="122"/>
      <c r="BC20494" s="141"/>
    </row>
    <row r="20495">
      <c r="BB20495" s="122"/>
      <c r="BC20495" s="141"/>
    </row>
    <row r="20496">
      <c r="BB20496" s="122"/>
      <c r="BC20496" s="141"/>
    </row>
    <row r="20497">
      <c r="BB20497" s="122"/>
      <c r="BC20497" s="141"/>
    </row>
    <row r="20498">
      <c r="BB20498" s="122"/>
      <c r="BC20498" s="141"/>
    </row>
    <row r="20499">
      <c r="BB20499" s="122"/>
      <c r="BC20499" s="141"/>
    </row>
    <row r="20500">
      <c r="BB20500" s="122"/>
      <c r="BC20500" s="141"/>
    </row>
    <row r="20501">
      <c r="BB20501" s="122"/>
      <c r="BC20501" s="141"/>
    </row>
    <row r="20502">
      <c r="BB20502" s="122"/>
      <c r="BC20502" s="141"/>
    </row>
    <row r="20503">
      <c r="BB20503" s="122"/>
      <c r="BC20503" s="141"/>
    </row>
    <row r="20504">
      <c r="BB20504" s="122"/>
      <c r="BC20504" s="141"/>
    </row>
    <row r="20505">
      <c r="BB20505" s="122"/>
      <c r="BC20505" s="141"/>
    </row>
    <row r="20506">
      <c r="BB20506" s="122"/>
      <c r="BC20506" s="141"/>
    </row>
    <row r="20507">
      <c r="BB20507" s="122"/>
      <c r="BC20507" s="141"/>
    </row>
    <row r="20508">
      <c r="BB20508" s="122"/>
      <c r="BC20508" s="141"/>
    </row>
    <row r="20509">
      <c r="BB20509" s="122"/>
      <c r="BC20509" s="141"/>
    </row>
    <row r="20510">
      <c r="BB20510" s="122"/>
      <c r="BC20510" s="141"/>
    </row>
    <row r="20511">
      <c r="BB20511" s="122"/>
      <c r="BC20511" s="141"/>
    </row>
    <row r="20512">
      <c r="BB20512" s="122"/>
      <c r="BC20512" s="141"/>
    </row>
    <row r="20513">
      <c r="BB20513" s="122"/>
      <c r="BC20513" s="141"/>
    </row>
    <row r="20514">
      <c r="BB20514" s="122"/>
      <c r="BC20514" s="141"/>
    </row>
    <row r="20515">
      <c r="BB20515" s="122"/>
      <c r="BC20515" s="141"/>
    </row>
    <row r="20516">
      <c r="BB20516" s="122"/>
      <c r="BC20516" s="141"/>
    </row>
    <row r="20517">
      <c r="BB20517" s="122"/>
      <c r="BC20517" s="141"/>
    </row>
    <row r="20518">
      <c r="BB20518" s="122"/>
      <c r="BC20518" s="141"/>
    </row>
    <row r="20519">
      <c r="BB20519" s="122"/>
      <c r="BC20519" s="141"/>
    </row>
    <row r="20520">
      <c r="BB20520" s="122"/>
      <c r="BC20520" s="141"/>
    </row>
    <row r="20521">
      <c r="BB20521" s="122"/>
      <c r="BC20521" s="141"/>
    </row>
    <row r="20522">
      <c r="BB20522" s="122"/>
      <c r="BC20522" s="141"/>
    </row>
    <row r="20523">
      <c r="BB20523" s="122"/>
      <c r="BC20523" s="141"/>
    </row>
    <row r="20524">
      <c r="BB20524" s="122"/>
      <c r="BC20524" s="141"/>
    </row>
    <row r="20525">
      <c r="BB20525" s="122"/>
      <c r="BC20525" s="141"/>
    </row>
    <row r="20526">
      <c r="BB20526" s="122"/>
      <c r="BC20526" s="141"/>
    </row>
    <row r="20527">
      <c r="BB20527" s="122"/>
      <c r="BC20527" s="141"/>
    </row>
    <row r="20528">
      <c r="BB20528" s="122"/>
      <c r="BC20528" s="141"/>
    </row>
    <row r="20529">
      <c r="BB20529" s="122"/>
      <c r="BC20529" s="141"/>
    </row>
    <row r="20530">
      <c r="BB20530" s="122"/>
      <c r="BC20530" s="141"/>
    </row>
    <row r="20531">
      <c r="BB20531" s="122"/>
      <c r="BC20531" s="141"/>
    </row>
    <row r="20532">
      <c r="BB20532" s="122"/>
      <c r="BC20532" s="141"/>
    </row>
    <row r="20533">
      <c r="BB20533" s="122"/>
      <c r="BC20533" s="141"/>
    </row>
    <row r="20534">
      <c r="BB20534" s="122"/>
      <c r="BC20534" s="141"/>
    </row>
    <row r="20535">
      <c r="BB20535" s="122"/>
      <c r="BC20535" s="141"/>
    </row>
    <row r="20536">
      <c r="BB20536" s="122"/>
      <c r="BC20536" s="141"/>
    </row>
    <row r="20537">
      <c r="BB20537" s="122"/>
      <c r="BC20537" s="141"/>
    </row>
    <row r="20538">
      <c r="BB20538" s="122"/>
      <c r="BC20538" s="141"/>
    </row>
    <row r="20539">
      <c r="BB20539" s="122"/>
      <c r="BC20539" s="141"/>
    </row>
    <row r="20540">
      <c r="BB20540" s="122"/>
      <c r="BC20540" s="141"/>
    </row>
    <row r="20541">
      <c r="BB20541" s="122"/>
      <c r="BC20541" s="141"/>
    </row>
    <row r="20542">
      <c r="BB20542" s="122"/>
      <c r="BC20542" s="141"/>
    </row>
    <row r="20543">
      <c r="BB20543" s="122"/>
      <c r="BC20543" s="141"/>
    </row>
    <row r="20544">
      <c r="BB20544" s="122"/>
      <c r="BC20544" s="141"/>
    </row>
    <row r="20545">
      <c r="BB20545" s="122"/>
      <c r="BC20545" s="141"/>
    </row>
    <row r="20546">
      <c r="BB20546" s="122"/>
      <c r="BC20546" s="141"/>
    </row>
    <row r="20547">
      <c r="BB20547" s="122"/>
      <c r="BC20547" s="141"/>
    </row>
    <row r="20548">
      <c r="BB20548" s="122"/>
      <c r="BC20548" s="141"/>
    </row>
    <row r="20549">
      <c r="BB20549" s="122"/>
      <c r="BC20549" s="141"/>
    </row>
    <row r="20550">
      <c r="BB20550" s="122"/>
      <c r="BC20550" s="141"/>
    </row>
    <row r="20551">
      <c r="BB20551" s="122"/>
      <c r="BC20551" s="141"/>
    </row>
    <row r="20552">
      <c r="BB20552" s="122"/>
      <c r="BC20552" s="141"/>
    </row>
    <row r="20553">
      <c r="BB20553" s="122"/>
      <c r="BC20553" s="141"/>
    </row>
    <row r="20554">
      <c r="BB20554" s="122"/>
      <c r="BC20554" s="141"/>
    </row>
    <row r="20555">
      <c r="BB20555" s="122"/>
      <c r="BC20555" s="141"/>
    </row>
    <row r="20556">
      <c r="BB20556" s="122"/>
      <c r="BC20556" s="141"/>
    </row>
    <row r="20557">
      <c r="BB20557" s="122"/>
      <c r="BC20557" s="141"/>
    </row>
    <row r="20558">
      <c r="BB20558" s="122"/>
      <c r="BC20558" s="141"/>
    </row>
    <row r="20559">
      <c r="BB20559" s="122"/>
      <c r="BC20559" s="141"/>
    </row>
    <row r="20560">
      <c r="BB20560" s="122"/>
      <c r="BC20560" s="141"/>
    </row>
    <row r="20561">
      <c r="BB20561" s="122"/>
      <c r="BC20561" s="141"/>
    </row>
    <row r="20562">
      <c r="BB20562" s="122"/>
      <c r="BC20562" s="141"/>
    </row>
    <row r="20563">
      <c r="BB20563" s="122"/>
      <c r="BC20563" s="141"/>
    </row>
    <row r="20564">
      <c r="BB20564" s="122"/>
      <c r="BC20564" s="141"/>
    </row>
    <row r="20565">
      <c r="BB20565" s="122"/>
      <c r="BC20565" s="141"/>
    </row>
    <row r="20566">
      <c r="BB20566" s="122"/>
      <c r="BC20566" s="141"/>
    </row>
    <row r="20567">
      <c r="BB20567" s="122"/>
      <c r="BC20567" s="141"/>
    </row>
    <row r="20568">
      <c r="BB20568" s="122"/>
      <c r="BC20568" s="141"/>
    </row>
    <row r="20569">
      <c r="BB20569" s="122"/>
      <c r="BC20569" s="141"/>
    </row>
    <row r="20570">
      <c r="BB20570" s="122"/>
      <c r="BC20570" s="141"/>
    </row>
    <row r="20571">
      <c r="BB20571" s="122"/>
      <c r="BC20571" s="141"/>
    </row>
    <row r="20572">
      <c r="BB20572" s="122"/>
      <c r="BC20572" s="141"/>
    </row>
    <row r="20573">
      <c r="BB20573" s="122"/>
      <c r="BC20573" s="141"/>
    </row>
    <row r="20574">
      <c r="BB20574" s="122"/>
      <c r="BC20574" s="141"/>
    </row>
    <row r="20575">
      <c r="BB20575" s="122"/>
      <c r="BC20575" s="141"/>
    </row>
    <row r="20576">
      <c r="BB20576" s="122"/>
      <c r="BC20576" s="141"/>
    </row>
    <row r="20577">
      <c r="BB20577" s="122"/>
      <c r="BC20577" s="141"/>
    </row>
    <row r="20578">
      <c r="BB20578" s="122"/>
      <c r="BC20578" s="141"/>
    </row>
    <row r="20579">
      <c r="BB20579" s="122"/>
      <c r="BC20579" s="141"/>
    </row>
    <row r="20580">
      <c r="BB20580" s="122"/>
      <c r="BC20580" s="141"/>
    </row>
    <row r="20581">
      <c r="BB20581" s="122"/>
      <c r="BC20581" s="141"/>
    </row>
    <row r="20582">
      <c r="BB20582" s="122"/>
      <c r="BC20582" s="141"/>
    </row>
    <row r="20583">
      <c r="BB20583" s="122"/>
      <c r="BC20583" s="141"/>
    </row>
    <row r="20584">
      <c r="BB20584" s="122"/>
      <c r="BC20584" s="141"/>
    </row>
    <row r="20585">
      <c r="BB20585" s="122"/>
      <c r="BC20585" s="141"/>
    </row>
    <row r="20586">
      <c r="BB20586" s="122"/>
      <c r="BC20586" s="141"/>
    </row>
    <row r="20587">
      <c r="BB20587" s="122"/>
      <c r="BC20587" s="141"/>
    </row>
    <row r="20588">
      <c r="BB20588" s="122"/>
      <c r="BC20588" s="141"/>
    </row>
    <row r="20589">
      <c r="BB20589" s="122"/>
      <c r="BC20589" s="141"/>
    </row>
    <row r="20590">
      <c r="BB20590" s="122"/>
      <c r="BC20590" s="141"/>
    </row>
    <row r="20591">
      <c r="BB20591" s="122"/>
      <c r="BC20591" s="141"/>
    </row>
    <row r="20592">
      <c r="BB20592" s="122"/>
      <c r="BC20592" s="141"/>
    </row>
    <row r="20593">
      <c r="BB20593" s="122"/>
      <c r="BC20593" s="141"/>
    </row>
    <row r="20594">
      <c r="BB20594" s="122"/>
      <c r="BC20594" s="141"/>
    </row>
    <row r="20595">
      <c r="BB20595" s="122"/>
      <c r="BC20595" s="141"/>
    </row>
    <row r="20596">
      <c r="BB20596" s="122"/>
      <c r="BC20596" s="141"/>
    </row>
    <row r="20597">
      <c r="BB20597" s="122"/>
      <c r="BC20597" s="141"/>
    </row>
    <row r="20598">
      <c r="BB20598" s="122"/>
      <c r="BC20598" s="141"/>
    </row>
    <row r="20599">
      <c r="BB20599" s="122"/>
      <c r="BC20599" s="141"/>
    </row>
    <row r="20600">
      <c r="BB20600" s="122"/>
      <c r="BC20600" s="141"/>
    </row>
    <row r="20601">
      <c r="BB20601" s="122"/>
      <c r="BC20601" s="141"/>
    </row>
    <row r="20602">
      <c r="BB20602" s="122"/>
      <c r="BC20602" s="141"/>
    </row>
    <row r="20603">
      <c r="BB20603" s="122"/>
      <c r="BC20603" s="141"/>
    </row>
    <row r="20604">
      <c r="BB20604" s="122"/>
      <c r="BC20604" s="141"/>
    </row>
    <row r="20605">
      <c r="BB20605" s="122"/>
      <c r="BC20605" s="141"/>
    </row>
    <row r="20606">
      <c r="BB20606" s="122"/>
      <c r="BC20606" s="141"/>
    </row>
    <row r="20607">
      <c r="BB20607" s="122"/>
      <c r="BC20607" s="141"/>
    </row>
    <row r="20608">
      <c r="BB20608" s="122"/>
      <c r="BC20608" s="141"/>
    </row>
    <row r="20609">
      <c r="BB20609" s="122"/>
      <c r="BC20609" s="141"/>
    </row>
    <row r="20610">
      <c r="BB20610" s="122"/>
      <c r="BC20610" s="141"/>
    </row>
    <row r="20611">
      <c r="BB20611" s="122"/>
      <c r="BC20611" s="141"/>
    </row>
    <row r="20612">
      <c r="BB20612" s="122"/>
      <c r="BC20612" s="141"/>
    </row>
    <row r="20613">
      <c r="BB20613" s="122"/>
      <c r="BC20613" s="141"/>
    </row>
    <row r="20614">
      <c r="BB20614" s="122"/>
      <c r="BC20614" s="141"/>
    </row>
    <row r="20615">
      <c r="BB20615" s="122"/>
      <c r="BC20615" s="141"/>
    </row>
    <row r="20616">
      <c r="BB20616" s="122"/>
      <c r="BC20616" s="141"/>
    </row>
    <row r="20617">
      <c r="BB20617" s="122"/>
      <c r="BC20617" s="141"/>
    </row>
    <row r="20618">
      <c r="BB20618" s="122"/>
      <c r="BC20618" s="141"/>
    </row>
    <row r="20619">
      <c r="BB20619" s="122"/>
      <c r="BC20619" s="141"/>
    </row>
    <row r="20620">
      <c r="BB20620" s="122"/>
      <c r="BC20620" s="141"/>
    </row>
    <row r="20621">
      <c r="BB20621" s="122"/>
      <c r="BC20621" s="141"/>
    </row>
    <row r="20622">
      <c r="BB20622" s="122"/>
      <c r="BC20622" s="141"/>
    </row>
    <row r="20623">
      <c r="BB20623" s="122"/>
      <c r="BC20623" s="141"/>
    </row>
    <row r="20624">
      <c r="BB20624" s="122"/>
      <c r="BC20624" s="141"/>
    </row>
    <row r="20625">
      <c r="BB20625" s="122"/>
      <c r="BC20625" s="141"/>
    </row>
    <row r="20626">
      <c r="BB20626" s="122"/>
      <c r="BC20626" s="141"/>
    </row>
    <row r="20627">
      <c r="BB20627" s="122"/>
      <c r="BC20627" s="141"/>
    </row>
    <row r="20628">
      <c r="BB20628" s="122"/>
      <c r="BC20628" s="141"/>
    </row>
    <row r="20629">
      <c r="BB20629" s="122"/>
      <c r="BC20629" s="141"/>
    </row>
    <row r="20630">
      <c r="BB20630" s="122"/>
      <c r="BC20630" s="141"/>
    </row>
    <row r="20631">
      <c r="BB20631" s="122"/>
      <c r="BC20631" s="141"/>
    </row>
    <row r="20632">
      <c r="BB20632" s="122"/>
      <c r="BC20632" s="141"/>
    </row>
    <row r="20633">
      <c r="BB20633" s="122"/>
      <c r="BC20633" s="141"/>
    </row>
    <row r="20634">
      <c r="BB20634" s="122"/>
      <c r="BC20634" s="141"/>
    </row>
    <row r="20635">
      <c r="BB20635" s="122"/>
      <c r="BC20635" s="141"/>
    </row>
    <row r="20636">
      <c r="BB20636" s="122"/>
      <c r="BC20636" s="141"/>
    </row>
    <row r="20637">
      <c r="BB20637" s="122"/>
      <c r="BC20637" s="141"/>
    </row>
    <row r="20638">
      <c r="BB20638" s="122"/>
      <c r="BC20638" s="141"/>
    </row>
    <row r="20639">
      <c r="BB20639" s="122"/>
      <c r="BC20639" s="141"/>
    </row>
    <row r="20640">
      <c r="BB20640" s="122"/>
      <c r="BC20640" s="141"/>
    </row>
    <row r="20641">
      <c r="BB20641" s="122"/>
      <c r="BC20641" s="141"/>
    </row>
    <row r="20642">
      <c r="BB20642" s="122"/>
      <c r="BC20642" s="141"/>
    </row>
    <row r="20643">
      <c r="BB20643" s="122"/>
      <c r="BC20643" s="141"/>
    </row>
    <row r="20644">
      <c r="BB20644" s="122"/>
      <c r="BC20644" s="141"/>
    </row>
    <row r="20645">
      <c r="BB20645" s="122"/>
      <c r="BC20645" s="141"/>
    </row>
    <row r="20646">
      <c r="BB20646" s="122"/>
      <c r="BC20646" s="141"/>
    </row>
    <row r="20647">
      <c r="BB20647" s="122"/>
      <c r="BC20647" s="141"/>
    </row>
    <row r="20648">
      <c r="BB20648" s="122"/>
      <c r="BC20648" s="141"/>
    </row>
    <row r="20649">
      <c r="BB20649" s="122"/>
      <c r="BC20649" s="141"/>
    </row>
    <row r="20650">
      <c r="BB20650" s="122"/>
      <c r="BC20650" s="141"/>
    </row>
    <row r="20651">
      <c r="BB20651" s="122"/>
      <c r="BC20651" s="141"/>
    </row>
    <row r="20652">
      <c r="BB20652" s="122"/>
      <c r="BC20652" s="141"/>
    </row>
    <row r="20653">
      <c r="BB20653" s="122"/>
      <c r="BC20653" s="141"/>
    </row>
    <row r="20654">
      <c r="BB20654" s="122"/>
      <c r="BC20654" s="141"/>
    </row>
    <row r="20655">
      <c r="BB20655" s="122"/>
      <c r="BC20655" s="141"/>
    </row>
    <row r="20656">
      <c r="BB20656" s="122"/>
      <c r="BC20656" s="141"/>
    </row>
    <row r="20657">
      <c r="BB20657" s="122"/>
      <c r="BC20657" s="141"/>
    </row>
    <row r="20658">
      <c r="BB20658" s="122"/>
      <c r="BC20658" s="141"/>
    </row>
    <row r="20659">
      <c r="BB20659" s="122"/>
      <c r="BC20659" s="141"/>
    </row>
    <row r="20660">
      <c r="BB20660" s="122"/>
      <c r="BC20660" s="141"/>
    </row>
    <row r="20661">
      <c r="BB20661" s="122"/>
      <c r="BC20661" s="141"/>
    </row>
    <row r="20662">
      <c r="BB20662" s="122"/>
      <c r="BC20662" s="141"/>
    </row>
    <row r="20663">
      <c r="BB20663" s="122"/>
      <c r="BC20663" s="141"/>
    </row>
    <row r="20664">
      <c r="BB20664" s="122"/>
      <c r="BC20664" s="141"/>
    </row>
    <row r="20665">
      <c r="BB20665" s="122"/>
      <c r="BC20665" s="141"/>
    </row>
    <row r="20666">
      <c r="BB20666" s="122"/>
      <c r="BC20666" s="141"/>
    </row>
    <row r="20667">
      <c r="BB20667" s="122"/>
      <c r="BC20667" s="141"/>
    </row>
    <row r="20668">
      <c r="BB20668" s="122"/>
      <c r="BC20668" s="141"/>
    </row>
    <row r="20669">
      <c r="BB20669" s="122"/>
      <c r="BC20669" s="141"/>
    </row>
    <row r="20670">
      <c r="BB20670" s="122"/>
      <c r="BC20670" s="141"/>
    </row>
    <row r="20671">
      <c r="BB20671" s="122"/>
      <c r="BC20671" s="141"/>
    </row>
    <row r="20672">
      <c r="BB20672" s="122"/>
      <c r="BC20672" s="141"/>
    </row>
    <row r="20673">
      <c r="BB20673" s="122"/>
      <c r="BC20673" s="141"/>
    </row>
    <row r="20674">
      <c r="BB20674" s="122"/>
      <c r="BC20674" s="141"/>
    </row>
    <row r="20675">
      <c r="BB20675" s="122"/>
      <c r="BC20675" s="141"/>
    </row>
    <row r="20676">
      <c r="BB20676" s="122"/>
      <c r="BC20676" s="141"/>
    </row>
    <row r="20677">
      <c r="BB20677" s="122"/>
      <c r="BC20677" s="141"/>
    </row>
    <row r="20678">
      <c r="BB20678" s="122"/>
      <c r="BC20678" s="141"/>
    </row>
    <row r="20679">
      <c r="BB20679" s="122"/>
      <c r="BC20679" s="141"/>
    </row>
    <row r="20680">
      <c r="BB20680" s="122"/>
      <c r="BC20680" s="141"/>
    </row>
    <row r="20681">
      <c r="BB20681" s="122"/>
      <c r="BC20681" s="141"/>
    </row>
    <row r="20682">
      <c r="BB20682" s="122"/>
      <c r="BC20682" s="141"/>
    </row>
    <row r="20683">
      <c r="BB20683" s="122"/>
      <c r="BC20683" s="141"/>
    </row>
    <row r="20684">
      <c r="BB20684" s="122"/>
      <c r="BC20684" s="141"/>
    </row>
    <row r="20685">
      <c r="BB20685" s="122"/>
      <c r="BC20685" s="141"/>
    </row>
    <row r="20686">
      <c r="BB20686" s="122"/>
      <c r="BC20686" s="141"/>
    </row>
    <row r="20687">
      <c r="BB20687" s="122"/>
      <c r="BC20687" s="141"/>
    </row>
    <row r="20688">
      <c r="BB20688" s="122"/>
      <c r="BC20688" s="141"/>
    </row>
    <row r="20689">
      <c r="BB20689" s="122"/>
      <c r="BC20689" s="141"/>
    </row>
    <row r="20690">
      <c r="BB20690" s="122"/>
      <c r="BC20690" s="141"/>
    </row>
    <row r="20691">
      <c r="BB20691" s="122"/>
      <c r="BC20691" s="141"/>
    </row>
    <row r="20692">
      <c r="BB20692" s="122"/>
      <c r="BC20692" s="141"/>
    </row>
    <row r="20693">
      <c r="BB20693" s="122"/>
      <c r="BC20693" s="141"/>
    </row>
    <row r="20694">
      <c r="BB20694" s="122"/>
      <c r="BC20694" s="141"/>
    </row>
    <row r="20695">
      <c r="BB20695" s="122"/>
      <c r="BC20695" s="141"/>
    </row>
    <row r="20696">
      <c r="BB20696" s="122"/>
      <c r="BC20696" s="141"/>
    </row>
    <row r="20697">
      <c r="BB20697" s="122"/>
      <c r="BC20697" s="141"/>
    </row>
    <row r="20698">
      <c r="BB20698" s="122"/>
      <c r="BC20698" s="141"/>
    </row>
    <row r="20699">
      <c r="BB20699" s="122"/>
      <c r="BC20699" s="141"/>
    </row>
    <row r="20700">
      <c r="BB20700" s="122"/>
      <c r="BC20700" s="141"/>
    </row>
    <row r="20701">
      <c r="BB20701" s="122"/>
      <c r="BC20701" s="141"/>
    </row>
    <row r="20702">
      <c r="BB20702" s="122"/>
      <c r="BC20702" s="141"/>
    </row>
    <row r="20703">
      <c r="BB20703" s="122"/>
      <c r="BC20703" s="141"/>
    </row>
    <row r="20704">
      <c r="BB20704" s="122"/>
      <c r="BC20704" s="141"/>
    </row>
    <row r="20705">
      <c r="BB20705" s="122"/>
      <c r="BC20705" s="141"/>
    </row>
    <row r="20706">
      <c r="BB20706" s="122"/>
      <c r="BC20706" s="141"/>
    </row>
    <row r="20707">
      <c r="BB20707" s="122"/>
      <c r="BC20707" s="141"/>
    </row>
    <row r="20708">
      <c r="BB20708" s="122"/>
      <c r="BC20708" s="141"/>
    </row>
    <row r="20709">
      <c r="BB20709" s="122"/>
      <c r="BC20709" s="141"/>
    </row>
    <row r="20710">
      <c r="BB20710" s="122"/>
      <c r="BC20710" s="141"/>
    </row>
    <row r="20711">
      <c r="BB20711" s="122"/>
      <c r="BC20711" s="141"/>
    </row>
    <row r="20712">
      <c r="BB20712" s="122"/>
      <c r="BC20712" s="141"/>
    </row>
    <row r="20713">
      <c r="BB20713" s="122"/>
      <c r="BC20713" s="141"/>
    </row>
    <row r="20714">
      <c r="BB20714" s="122"/>
      <c r="BC20714" s="141"/>
    </row>
    <row r="20715">
      <c r="BB20715" s="122"/>
      <c r="BC20715" s="141"/>
    </row>
    <row r="20716">
      <c r="BB20716" s="122"/>
      <c r="BC20716" s="141"/>
    </row>
    <row r="20717">
      <c r="BB20717" s="122"/>
      <c r="BC20717" s="141"/>
    </row>
    <row r="20718">
      <c r="BB20718" s="122"/>
      <c r="BC20718" s="141"/>
    </row>
    <row r="20719">
      <c r="BB20719" s="122"/>
      <c r="BC20719" s="141"/>
    </row>
    <row r="20720">
      <c r="BB20720" s="122"/>
      <c r="BC20720" s="141"/>
    </row>
    <row r="20721">
      <c r="BB20721" s="122"/>
      <c r="BC20721" s="141"/>
    </row>
    <row r="20722">
      <c r="BB20722" s="122"/>
      <c r="BC20722" s="141"/>
    </row>
    <row r="20723">
      <c r="BB20723" s="122"/>
      <c r="BC20723" s="141"/>
    </row>
    <row r="20724">
      <c r="BB20724" s="122"/>
      <c r="BC20724" s="141"/>
    </row>
    <row r="20725">
      <c r="BB20725" s="122"/>
      <c r="BC20725" s="141"/>
    </row>
    <row r="20726">
      <c r="BB20726" s="122"/>
      <c r="BC20726" s="141"/>
    </row>
    <row r="20727">
      <c r="BB20727" s="122"/>
      <c r="BC20727" s="141"/>
    </row>
    <row r="20728">
      <c r="BB20728" s="122"/>
      <c r="BC20728" s="141"/>
    </row>
    <row r="20729">
      <c r="BB20729" s="122"/>
      <c r="BC20729" s="141"/>
    </row>
    <row r="20730">
      <c r="BB20730" s="122"/>
      <c r="BC20730" s="141"/>
    </row>
    <row r="20731">
      <c r="BB20731" s="122"/>
      <c r="BC20731" s="141"/>
    </row>
    <row r="20732">
      <c r="BB20732" s="122"/>
      <c r="BC20732" s="141"/>
    </row>
    <row r="20733">
      <c r="BB20733" s="122"/>
      <c r="BC20733" s="141"/>
    </row>
    <row r="20734">
      <c r="BB20734" s="122"/>
      <c r="BC20734" s="141"/>
    </row>
    <row r="20735">
      <c r="BB20735" s="122"/>
      <c r="BC20735" s="141"/>
    </row>
    <row r="20736">
      <c r="BB20736" s="122"/>
      <c r="BC20736" s="141"/>
    </row>
    <row r="20737">
      <c r="BB20737" s="122"/>
      <c r="BC20737" s="141"/>
    </row>
    <row r="20738">
      <c r="BB20738" s="122"/>
      <c r="BC20738" s="141"/>
    </row>
    <row r="20739">
      <c r="BB20739" s="122"/>
      <c r="BC20739" s="141"/>
    </row>
    <row r="20740">
      <c r="BB20740" s="122"/>
      <c r="BC20740" s="141"/>
    </row>
    <row r="20741">
      <c r="BB20741" s="122"/>
      <c r="BC20741" s="141"/>
    </row>
    <row r="20742">
      <c r="BB20742" s="122"/>
      <c r="BC20742" s="141"/>
    </row>
    <row r="20743">
      <c r="BB20743" s="122"/>
      <c r="BC20743" s="141"/>
    </row>
    <row r="20744">
      <c r="BB20744" s="122"/>
      <c r="BC20744" s="141"/>
    </row>
    <row r="20745">
      <c r="BB20745" s="122"/>
      <c r="BC20745" s="141"/>
    </row>
    <row r="20746">
      <c r="BB20746" s="122"/>
      <c r="BC20746" s="141"/>
    </row>
    <row r="20747">
      <c r="BB20747" s="122"/>
      <c r="BC20747" s="141"/>
    </row>
    <row r="20748">
      <c r="BB20748" s="122"/>
      <c r="BC20748" s="141"/>
    </row>
    <row r="20749">
      <c r="BB20749" s="122"/>
      <c r="BC20749" s="141"/>
    </row>
    <row r="20750">
      <c r="BB20750" s="122"/>
      <c r="BC20750" s="141"/>
    </row>
    <row r="20751">
      <c r="BB20751" s="122"/>
      <c r="BC20751" s="141"/>
    </row>
    <row r="20752">
      <c r="BB20752" s="122"/>
      <c r="BC20752" s="141"/>
    </row>
    <row r="20753">
      <c r="BB20753" s="122"/>
      <c r="BC20753" s="141"/>
    </row>
    <row r="20754">
      <c r="BB20754" s="122"/>
      <c r="BC20754" s="141"/>
    </row>
    <row r="20755">
      <c r="BB20755" s="122"/>
      <c r="BC20755" s="141"/>
    </row>
    <row r="20756">
      <c r="BB20756" s="122"/>
      <c r="BC20756" s="141"/>
    </row>
    <row r="20757">
      <c r="BB20757" s="122"/>
      <c r="BC20757" s="141"/>
    </row>
    <row r="20758">
      <c r="BB20758" s="122"/>
      <c r="BC20758" s="141"/>
    </row>
    <row r="20759">
      <c r="BB20759" s="122"/>
      <c r="BC20759" s="141"/>
    </row>
    <row r="20760">
      <c r="BB20760" s="122"/>
      <c r="BC20760" s="141"/>
    </row>
    <row r="20761">
      <c r="BB20761" s="122"/>
      <c r="BC20761" s="141"/>
    </row>
    <row r="20762">
      <c r="BB20762" s="122"/>
      <c r="BC20762" s="141"/>
    </row>
    <row r="20763">
      <c r="BB20763" s="122"/>
      <c r="BC20763" s="141"/>
    </row>
    <row r="20764">
      <c r="BB20764" s="122"/>
      <c r="BC20764" s="141"/>
    </row>
    <row r="20765">
      <c r="BB20765" s="122"/>
      <c r="BC20765" s="141"/>
    </row>
    <row r="20766">
      <c r="BB20766" s="122"/>
      <c r="BC20766" s="141"/>
    </row>
    <row r="20767">
      <c r="BB20767" s="122"/>
      <c r="BC20767" s="141"/>
    </row>
    <row r="20768">
      <c r="BB20768" s="122"/>
      <c r="BC20768" s="141"/>
    </row>
    <row r="20769">
      <c r="BB20769" s="122"/>
      <c r="BC20769" s="141"/>
    </row>
    <row r="20770">
      <c r="BB20770" s="122"/>
      <c r="BC20770" s="141"/>
    </row>
    <row r="20771">
      <c r="BB20771" s="122"/>
      <c r="BC20771" s="141"/>
    </row>
    <row r="20772">
      <c r="BB20772" s="122"/>
      <c r="BC20772" s="141"/>
    </row>
    <row r="20773">
      <c r="BB20773" s="122"/>
      <c r="BC20773" s="141"/>
    </row>
    <row r="20774">
      <c r="BB20774" s="122"/>
      <c r="BC20774" s="141"/>
    </row>
    <row r="20775">
      <c r="BB20775" s="122"/>
      <c r="BC20775" s="141"/>
    </row>
    <row r="20776">
      <c r="BB20776" s="122"/>
      <c r="BC20776" s="141"/>
    </row>
    <row r="20777">
      <c r="BB20777" s="122"/>
      <c r="BC20777" s="141"/>
    </row>
    <row r="20778">
      <c r="BB20778" s="122"/>
      <c r="BC20778" s="141"/>
    </row>
    <row r="20779">
      <c r="BB20779" s="122"/>
      <c r="BC20779" s="141"/>
    </row>
    <row r="20780">
      <c r="BB20780" s="122"/>
      <c r="BC20780" s="141"/>
    </row>
    <row r="20781">
      <c r="BB20781" s="122"/>
      <c r="BC20781" s="141"/>
    </row>
    <row r="20782">
      <c r="BB20782" s="122"/>
      <c r="BC20782" s="141"/>
    </row>
    <row r="20783">
      <c r="BB20783" s="122"/>
      <c r="BC20783" s="141"/>
    </row>
    <row r="20784">
      <c r="BB20784" s="122"/>
      <c r="BC20784" s="141"/>
    </row>
    <row r="20785">
      <c r="BB20785" s="122"/>
      <c r="BC20785" s="141"/>
    </row>
    <row r="20786">
      <c r="BB20786" s="122"/>
      <c r="BC20786" s="141"/>
    </row>
    <row r="20787">
      <c r="BB20787" s="122"/>
      <c r="BC20787" s="141"/>
    </row>
    <row r="20788">
      <c r="BB20788" s="122"/>
      <c r="BC20788" s="141"/>
    </row>
    <row r="20789">
      <c r="BB20789" s="122"/>
      <c r="BC20789" s="141"/>
    </row>
    <row r="20790">
      <c r="BB20790" s="122"/>
      <c r="BC20790" s="141"/>
    </row>
    <row r="20791">
      <c r="BB20791" s="122"/>
      <c r="BC20791" s="141"/>
    </row>
    <row r="20792">
      <c r="BB20792" s="122"/>
      <c r="BC20792" s="141"/>
    </row>
    <row r="20793">
      <c r="BB20793" s="122"/>
      <c r="BC20793" s="141"/>
    </row>
    <row r="20794">
      <c r="BB20794" s="122"/>
      <c r="BC20794" s="141"/>
    </row>
    <row r="20795">
      <c r="BB20795" s="122"/>
      <c r="BC20795" s="141"/>
    </row>
    <row r="20796">
      <c r="BB20796" s="122"/>
      <c r="BC20796" s="141"/>
    </row>
    <row r="20797">
      <c r="BB20797" s="122"/>
      <c r="BC20797" s="141"/>
    </row>
    <row r="20798">
      <c r="BB20798" s="122"/>
      <c r="BC20798" s="141"/>
    </row>
    <row r="20799">
      <c r="BB20799" s="122"/>
      <c r="BC20799" s="141"/>
    </row>
    <row r="20800">
      <c r="BB20800" s="122"/>
      <c r="BC20800" s="141"/>
    </row>
    <row r="20801">
      <c r="BB20801" s="122"/>
      <c r="BC20801" s="141"/>
    </row>
    <row r="20802">
      <c r="BB20802" s="122"/>
      <c r="BC20802" s="141"/>
    </row>
    <row r="20803">
      <c r="BB20803" s="122"/>
      <c r="BC20803" s="141"/>
    </row>
    <row r="20804">
      <c r="BB20804" s="122"/>
      <c r="BC20804" s="141"/>
    </row>
    <row r="20805">
      <c r="BB20805" s="122"/>
      <c r="BC20805" s="141"/>
    </row>
    <row r="20806">
      <c r="BB20806" s="122"/>
      <c r="BC20806" s="141"/>
    </row>
    <row r="20807">
      <c r="BB20807" s="122"/>
      <c r="BC20807" s="141"/>
    </row>
    <row r="20808">
      <c r="BB20808" s="122"/>
      <c r="BC20808" s="141"/>
    </row>
    <row r="20809">
      <c r="BB20809" s="122"/>
      <c r="BC20809" s="141"/>
    </row>
    <row r="20810">
      <c r="BB20810" s="122"/>
      <c r="BC20810" s="141"/>
    </row>
    <row r="20811">
      <c r="BB20811" s="122"/>
      <c r="BC20811" s="141"/>
    </row>
    <row r="20812">
      <c r="BB20812" s="122"/>
      <c r="BC20812" s="141"/>
    </row>
    <row r="20813">
      <c r="BB20813" s="122"/>
      <c r="BC20813" s="141"/>
    </row>
    <row r="20814">
      <c r="BB20814" s="122"/>
      <c r="BC20814" s="141"/>
    </row>
    <row r="20815">
      <c r="BB20815" s="122"/>
      <c r="BC20815" s="141"/>
    </row>
    <row r="20816">
      <c r="BB20816" s="122"/>
      <c r="BC20816" s="141"/>
    </row>
    <row r="20817">
      <c r="BB20817" s="122"/>
      <c r="BC20817" s="141"/>
    </row>
    <row r="20818">
      <c r="BB20818" s="122"/>
      <c r="BC20818" s="141"/>
    </row>
    <row r="20819">
      <c r="BB20819" s="122"/>
      <c r="BC20819" s="141"/>
    </row>
    <row r="20820">
      <c r="BB20820" s="122"/>
      <c r="BC20820" s="141"/>
    </row>
    <row r="20821">
      <c r="BB20821" s="122"/>
      <c r="BC20821" s="141"/>
    </row>
    <row r="20822">
      <c r="BB20822" s="122"/>
      <c r="BC20822" s="141"/>
    </row>
    <row r="20823">
      <c r="BB20823" s="122"/>
      <c r="BC20823" s="141"/>
    </row>
    <row r="20824">
      <c r="BB20824" s="122"/>
      <c r="BC20824" s="141"/>
    </row>
    <row r="20825">
      <c r="BB20825" s="122"/>
      <c r="BC20825" s="141"/>
    </row>
    <row r="20826">
      <c r="BB20826" s="122"/>
      <c r="BC20826" s="141"/>
    </row>
    <row r="20827">
      <c r="BB20827" s="122"/>
      <c r="BC20827" s="141"/>
    </row>
    <row r="20828">
      <c r="BB20828" s="122"/>
      <c r="BC20828" s="141"/>
    </row>
    <row r="20829">
      <c r="BB20829" s="122"/>
      <c r="BC20829" s="141"/>
    </row>
    <row r="20830">
      <c r="BB20830" s="122"/>
      <c r="BC20830" s="141"/>
    </row>
    <row r="20831">
      <c r="BB20831" s="122"/>
      <c r="BC20831" s="141"/>
    </row>
    <row r="20832">
      <c r="BB20832" s="122"/>
      <c r="BC20832" s="141"/>
    </row>
    <row r="20833">
      <c r="BB20833" s="122"/>
      <c r="BC20833" s="141"/>
    </row>
    <row r="20834">
      <c r="BB20834" s="122"/>
      <c r="BC20834" s="141"/>
    </row>
    <row r="20835">
      <c r="BB20835" s="122"/>
      <c r="BC20835" s="141"/>
    </row>
    <row r="20836">
      <c r="BB20836" s="122"/>
      <c r="BC20836" s="141"/>
    </row>
    <row r="20837">
      <c r="BB20837" s="122"/>
      <c r="BC20837" s="141"/>
    </row>
    <row r="20838">
      <c r="BB20838" s="122"/>
      <c r="BC20838" s="141"/>
    </row>
    <row r="20839">
      <c r="BB20839" s="122"/>
      <c r="BC20839" s="141"/>
    </row>
    <row r="20840">
      <c r="BB20840" s="122"/>
      <c r="BC20840" s="141"/>
    </row>
    <row r="20841">
      <c r="BB20841" s="122"/>
      <c r="BC20841" s="141"/>
    </row>
    <row r="20842">
      <c r="BB20842" s="122"/>
      <c r="BC20842" s="141"/>
    </row>
    <row r="20843">
      <c r="BB20843" s="122"/>
      <c r="BC20843" s="141"/>
    </row>
    <row r="20844">
      <c r="BB20844" s="122"/>
      <c r="BC20844" s="141"/>
    </row>
    <row r="20845">
      <c r="BB20845" s="122"/>
      <c r="BC20845" s="141"/>
    </row>
    <row r="20846">
      <c r="BB20846" s="122"/>
      <c r="BC20846" s="141"/>
    </row>
    <row r="20847">
      <c r="BB20847" s="122"/>
      <c r="BC20847" s="141"/>
    </row>
    <row r="20848">
      <c r="BB20848" s="122"/>
      <c r="BC20848" s="141"/>
    </row>
    <row r="20849">
      <c r="BB20849" s="122"/>
      <c r="BC20849" s="141"/>
    </row>
    <row r="20850">
      <c r="BB20850" s="122"/>
      <c r="BC20850" s="141"/>
    </row>
    <row r="20851">
      <c r="BB20851" s="122"/>
      <c r="BC20851" s="141"/>
    </row>
    <row r="20852">
      <c r="BB20852" s="122"/>
      <c r="BC20852" s="141"/>
    </row>
    <row r="20853">
      <c r="BB20853" s="122"/>
      <c r="BC20853" s="141"/>
    </row>
    <row r="20854">
      <c r="BB20854" s="122"/>
      <c r="BC20854" s="141"/>
    </row>
    <row r="20855">
      <c r="BB20855" s="122"/>
      <c r="BC20855" s="141"/>
    </row>
    <row r="20856">
      <c r="BB20856" s="122"/>
      <c r="BC20856" s="141"/>
    </row>
    <row r="20857">
      <c r="BB20857" s="122"/>
      <c r="BC20857" s="141"/>
    </row>
    <row r="20858">
      <c r="BB20858" s="122"/>
      <c r="BC20858" s="141"/>
    </row>
    <row r="20859">
      <c r="BB20859" s="122"/>
      <c r="BC20859" s="141"/>
    </row>
    <row r="20860">
      <c r="BB20860" s="122"/>
      <c r="BC20860" s="141"/>
    </row>
    <row r="20861">
      <c r="BB20861" s="122"/>
      <c r="BC20861" s="141"/>
    </row>
    <row r="20862">
      <c r="BB20862" s="122"/>
      <c r="BC20862" s="141"/>
    </row>
    <row r="20863">
      <c r="BB20863" s="122"/>
      <c r="BC20863" s="141"/>
    </row>
    <row r="20864">
      <c r="BB20864" s="122"/>
      <c r="BC20864" s="141"/>
    </row>
    <row r="20865">
      <c r="BB20865" s="122"/>
      <c r="BC20865" s="141"/>
    </row>
    <row r="20866">
      <c r="BB20866" s="122"/>
      <c r="BC20866" s="141"/>
    </row>
    <row r="20867">
      <c r="BB20867" s="122"/>
      <c r="BC20867" s="141"/>
    </row>
    <row r="20868">
      <c r="BB20868" s="122"/>
      <c r="BC20868" s="141"/>
    </row>
    <row r="20869">
      <c r="BB20869" s="122"/>
      <c r="BC20869" s="141"/>
    </row>
    <row r="20870">
      <c r="BB20870" s="122"/>
      <c r="BC20870" s="141"/>
    </row>
    <row r="20871">
      <c r="BB20871" s="122"/>
      <c r="BC20871" s="141"/>
    </row>
    <row r="20872">
      <c r="BB20872" s="122"/>
      <c r="BC20872" s="141"/>
    </row>
    <row r="20873">
      <c r="BB20873" s="122"/>
      <c r="BC20873" s="141"/>
    </row>
    <row r="20874">
      <c r="BB20874" s="122"/>
      <c r="BC20874" s="141"/>
    </row>
    <row r="20875">
      <c r="BB20875" s="122"/>
      <c r="BC20875" s="141"/>
    </row>
    <row r="20876">
      <c r="BB20876" s="122"/>
      <c r="BC20876" s="141"/>
    </row>
    <row r="20877">
      <c r="BB20877" s="122"/>
      <c r="BC20877" s="141"/>
    </row>
    <row r="20878">
      <c r="BB20878" s="122"/>
      <c r="BC20878" s="141"/>
    </row>
    <row r="20879">
      <c r="BB20879" s="122"/>
      <c r="BC20879" s="141"/>
    </row>
    <row r="20880">
      <c r="BB20880" s="122"/>
      <c r="BC20880" s="141"/>
    </row>
    <row r="20881">
      <c r="BB20881" s="122"/>
      <c r="BC20881" s="141"/>
    </row>
    <row r="20882">
      <c r="BB20882" s="122"/>
      <c r="BC20882" s="141"/>
    </row>
    <row r="20883">
      <c r="BB20883" s="122"/>
      <c r="BC20883" s="141"/>
    </row>
    <row r="20884">
      <c r="BB20884" s="122"/>
      <c r="BC20884" s="141"/>
    </row>
    <row r="20885">
      <c r="BB20885" s="122"/>
      <c r="BC20885" s="141"/>
    </row>
    <row r="20886">
      <c r="BB20886" s="122"/>
      <c r="BC20886" s="141"/>
    </row>
    <row r="20887">
      <c r="BB20887" s="122"/>
      <c r="BC20887" s="141"/>
    </row>
    <row r="20888">
      <c r="BB20888" s="122"/>
      <c r="BC20888" s="141"/>
    </row>
    <row r="20889">
      <c r="BB20889" s="122"/>
      <c r="BC20889" s="141"/>
    </row>
    <row r="20890">
      <c r="BB20890" s="122"/>
      <c r="BC20890" s="141"/>
    </row>
    <row r="20891">
      <c r="BB20891" s="122"/>
      <c r="BC20891" s="141"/>
    </row>
    <row r="20892">
      <c r="BB20892" s="122"/>
      <c r="BC20892" s="141"/>
    </row>
    <row r="20893">
      <c r="BB20893" s="122"/>
      <c r="BC20893" s="141"/>
    </row>
    <row r="20894">
      <c r="BB20894" s="122"/>
      <c r="BC20894" s="141"/>
    </row>
    <row r="20895">
      <c r="BB20895" s="122"/>
      <c r="BC20895" s="141"/>
    </row>
    <row r="20896">
      <c r="BB20896" s="122"/>
      <c r="BC20896" s="141"/>
    </row>
    <row r="20897">
      <c r="BB20897" s="122"/>
      <c r="BC20897" s="141"/>
    </row>
    <row r="20898">
      <c r="BB20898" s="122"/>
      <c r="BC20898" s="141"/>
    </row>
    <row r="20899">
      <c r="BB20899" s="122"/>
      <c r="BC20899" s="141"/>
    </row>
    <row r="20900">
      <c r="BB20900" s="122"/>
      <c r="BC20900" s="141"/>
    </row>
    <row r="20901">
      <c r="BB20901" s="122"/>
      <c r="BC20901" s="141"/>
    </row>
    <row r="20902">
      <c r="BB20902" s="122"/>
      <c r="BC20902" s="141"/>
    </row>
    <row r="20903">
      <c r="BB20903" s="122"/>
      <c r="BC20903" s="141"/>
    </row>
    <row r="20904">
      <c r="BB20904" s="122"/>
      <c r="BC20904" s="141"/>
    </row>
    <row r="20905">
      <c r="BB20905" s="122"/>
      <c r="BC20905" s="141"/>
    </row>
    <row r="20906">
      <c r="BB20906" s="122"/>
      <c r="BC20906" s="141"/>
    </row>
    <row r="20907">
      <c r="BB20907" s="122"/>
      <c r="BC20907" s="141"/>
    </row>
    <row r="20908">
      <c r="BB20908" s="122"/>
      <c r="BC20908" s="141"/>
    </row>
    <row r="20909">
      <c r="BB20909" s="122"/>
      <c r="BC20909" s="141"/>
    </row>
    <row r="20910">
      <c r="BB20910" s="122"/>
      <c r="BC20910" s="141"/>
    </row>
    <row r="20911">
      <c r="BB20911" s="122"/>
      <c r="BC20911" s="141"/>
    </row>
    <row r="20912">
      <c r="BB20912" s="122"/>
      <c r="BC20912" s="141"/>
    </row>
    <row r="20913">
      <c r="BB20913" s="122"/>
      <c r="BC20913" s="141"/>
    </row>
    <row r="20914">
      <c r="BB20914" s="122"/>
      <c r="BC20914" s="141"/>
    </row>
    <row r="20915">
      <c r="BB20915" s="122"/>
      <c r="BC20915" s="141"/>
    </row>
    <row r="20916">
      <c r="BB20916" s="122"/>
      <c r="BC20916" s="141"/>
    </row>
    <row r="20917">
      <c r="BB20917" s="122"/>
      <c r="BC20917" s="141"/>
    </row>
    <row r="20918">
      <c r="BB20918" s="122"/>
      <c r="BC20918" s="141"/>
    </row>
    <row r="20919">
      <c r="BB20919" s="122"/>
      <c r="BC20919" s="141"/>
    </row>
    <row r="20920">
      <c r="BB20920" s="122"/>
      <c r="BC20920" s="141"/>
    </row>
    <row r="20921">
      <c r="BB20921" s="122"/>
      <c r="BC20921" s="141"/>
    </row>
    <row r="20922">
      <c r="BB20922" s="122"/>
      <c r="BC20922" s="141"/>
    </row>
    <row r="20923">
      <c r="BB20923" s="122"/>
      <c r="BC20923" s="141"/>
    </row>
    <row r="20924">
      <c r="BB20924" s="122"/>
      <c r="BC20924" s="141"/>
    </row>
    <row r="20925">
      <c r="BB20925" s="122"/>
      <c r="BC20925" s="141"/>
    </row>
    <row r="20926">
      <c r="BB20926" s="122"/>
      <c r="BC20926" s="141"/>
    </row>
    <row r="20927">
      <c r="BB20927" s="122"/>
      <c r="BC20927" s="141"/>
    </row>
    <row r="20928">
      <c r="BB20928" s="122"/>
      <c r="BC20928" s="141"/>
    </row>
    <row r="20929">
      <c r="BB20929" s="122"/>
      <c r="BC20929" s="141"/>
    </row>
    <row r="20930">
      <c r="BB20930" s="122"/>
      <c r="BC20930" s="141"/>
    </row>
    <row r="20931">
      <c r="BB20931" s="122"/>
      <c r="BC20931" s="141"/>
    </row>
    <row r="20932">
      <c r="BB20932" s="122"/>
      <c r="BC20932" s="141"/>
    </row>
    <row r="20933">
      <c r="BB20933" s="122"/>
      <c r="BC20933" s="141"/>
    </row>
    <row r="20934">
      <c r="BB20934" s="122"/>
      <c r="BC20934" s="141"/>
    </row>
    <row r="20935">
      <c r="BB20935" s="122"/>
      <c r="BC20935" s="141"/>
    </row>
    <row r="20936">
      <c r="BB20936" s="122"/>
      <c r="BC20936" s="141"/>
    </row>
    <row r="20937">
      <c r="BB20937" s="122"/>
      <c r="BC20937" s="141"/>
    </row>
    <row r="20938">
      <c r="BB20938" s="122"/>
      <c r="BC20938" s="141"/>
    </row>
    <row r="20939">
      <c r="BB20939" s="122"/>
      <c r="BC20939" s="141"/>
    </row>
    <row r="20940">
      <c r="BB20940" s="122"/>
      <c r="BC20940" s="141"/>
    </row>
    <row r="20941">
      <c r="BB20941" s="122"/>
      <c r="BC20941" s="141"/>
    </row>
    <row r="20942">
      <c r="BB20942" s="122"/>
      <c r="BC20942" s="141"/>
    </row>
    <row r="20943">
      <c r="BB20943" s="122"/>
      <c r="BC20943" s="141"/>
    </row>
    <row r="20944">
      <c r="BB20944" s="122"/>
      <c r="BC20944" s="141"/>
    </row>
    <row r="20945">
      <c r="BB20945" s="122"/>
      <c r="BC20945" s="141"/>
    </row>
    <row r="20946">
      <c r="BB20946" s="122"/>
      <c r="BC20946" s="141"/>
    </row>
    <row r="20947">
      <c r="BB20947" s="122"/>
      <c r="BC20947" s="141"/>
    </row>
    <row r="20948">
      <c r="BB20948" s="122"/>
      <c r="BC20948" s="141"/>
    </row>
    <row r="20949">
      <c r="BB20949" s="122"/>
      <c r="BC20949" s="141"/>
    </row>
    <row r="20950">
      <c r="BB20950" s="122"/>
      <c r="BC20950" s="141"/>
    </row>
    <row r="20951">
      <c r="BB20951" s="122"/>
      <c r="BC20951" s="141"/>
    </row>
    <row r="20952">
      <c r="BB20952" s="122"/>
      <c r="BC20952" s="141"/>
    </row>
    <row r="20953">
      <c r="BB20953" s="122"/>
      <c r="BC20953" s="141"/>
    </row>
    <row r="20954">
      <c r="BB20954" s="122"/>
      <c r="BC20954" s="141"/>
    </row>
    <row r="20955">
      <c r="BB20955" s="122"/>
      <c r="BC20955" s="141"/>
    </row>
    <row r="20956">
      <c r="BB20956" s="122"/>
      <c r="BC20956" s="141"/>
    </row>
    <row r="20957">
      <c r="BB20957" s="122"/>
      <c r="BC20957" s="141"/>
    </row>
    <row r="20958">
      <c r="BB20958" s="122"/>
      <c r="BC20958" s="141"/>
    </row>
    <row r="20959">
      <c r="BB20959" s="122"/>
      <c r="BC20959" s="141"/>
    </row>
    <row r="20960">
      <c r="BB20960" s="122"/>
      <c r="BC20960" s="141"/>
    </row>
    <row r="20961">
      <c r="BB20961" s="122"/>
      <c r="BC20961" s="141"/>
    </row>
    <row r="20962">
      <c r="BB20962" s="122"/>
      <c r="BC20962" s="141"/>
    </row>
    <row r="20963">
      <c r="BB20963" s="122"/>
      <c r="BC20963" s="141"/>
    </row>
    <row r="20964">
      <c r="BB20964" s="122"/>
      <c r="BC20964" s="141"/>
    </row>
    <row r="20965">
      <c r="BB20965" s="122"/>
      <c r="BC20965" s="141"/>
    </row>
    <row r="20966">
      <c r="BB20966" s="122"/>
      <c r="BC20966" s="141"/>
    </row>
    <row r="20967">
      <c r="BB20967" s="122"/>
      <c r="BC20967" s="141"/>
    </row>
    <row r="20968">
      <c r="BB20968" s="122"/>
      <c r="BC20968" s="141"/>
    </row>
    <row r="20969">
      <c r="BB20969" s="122"/>
      <c r="BC20969" s="141"/>
    </row>
    <row r="20970">
      <c r="BB20970" s="122"/>
      <c r="BC20970" s="141"/>
    </row>
    <row r="20971">
      <c r="BB20971" s="122"/>
      <c r="BC20971" s="141"/>
    </row>
    <row r="20972">
      <c r="BB20972" s="122"/>
      <c r="BC20972" s="141"/>
    </row>
    <row r="20973">
      <c r="BB20973" s="122"/>
      <c r="BC20973" s="141"/>
    </row>
    <row r="20974">
      <c r="BB20974" s="122"/>
      <c r="BC20974" s="141"/>
    </row>
    <row r="20975">
      <c r="BB20975" s="122"/>
      <c r="BC20975" s="141"/>
    </row>
    <row r="20976">
      <c r="BB20976" s="122"/>
      <c r="BC20976" s="141"/>
    </row>
    <row r="20977">
      <c r="BB20977" s="122"/>
      <c r="BC20977" s="141"/>
    </row>
    <row r="20978">
      <c r="BB20978" s="122"/>
      <c r="BC20978" s="141"/>
    </row>
    <row r="20979">
      <c r="BB20979" s="122"/>
      <c r="BC20979" s="141"/>
    </row>
    <row r="20980">
      <c r="BB20980" s="122"/>
      <c r="BC20980" s="141"/>
    </row>
    <row r="20981">
      <c r="BB20981" s="122"/>
      <c r="BC20981" s="141"/>
    </row>
    <row r="20982">
      <c r="BB20982" s="122"/>
      <c r="BC20982" s="141"/>
    </row>
    <row r="20983">
      <c r="BB20983" s="122"/>
      <c r="BC20983" s="141"/>
    </row>
    <row r="20984">
      <c r="BB20984" s="122"/>
      <c r="BC20984" s="141"/>
    </row>
    <row r="20985">
      <c r="BB20985" s="122"/>
      <c r="BC20985" s="141"/>
    </row>
    <row r="20986">
      <c r="BB20986" s="122"/>
      <c r="BC20986" s="141"/>
    </row>
    <row r="20987">
      <c r="BB20987" s="122"/>
      <c r="BC20987" s="141"/>
    </row>
    <row r="20988">
      <c r="BB20988" s="122"/>
      <c r="BC20988" s="141"/>
    </row>
    <row r="20989">
      <c r="BB20989" s="122"/>
      <c r="BC20989" s="141"/>
    </row>
    <row r="20990">
      <c r="BB20990" s="122"/>
      <c r="BC20990" s="141"/>
    </row>
    <row r="20991">
      <c r="BB20991" s="122"/>
      <c r="BC20991" s="141"/>
    </row>
    <row r="20992">
      <c r="BB20992" s="122"/>
      <c r="BC20992" s="141"/>
    </row>
    <row r="20993">
      <c r="BB20993" s="122"/>
      <c r="BC20993" s="141"/>
    </row>
    <row r="20994">
      <c r="BB20994" s="122"/>
      <c r="BC20994" s="141"/>
    </row>
    <row r="20995">
      <c r="BB20995" s="122"/>
      <c r="BC20995" s="141"/>
    </row>
    <row r="20996">
      <c r="BB20996" s="122"/>
      <c r="BC20996" s="141"/>
    </row>
    <row r="20997">
      <c r="BB20997" s="122"/>
      <c r="BC20997" s="141"/>
    </row>
    <row r="20998">
      <c r="BB20998" s="122"/>
      <c r="BC20998" s="141"/>
    </row>
    <row r="20999">
      <c r="BB20999" s="122"/>
      <c r="BC20999" s="141"/>
    </row>
    <row r="21000">
      <c r="BB21000" s="122"/>
      <c r="BC21000" s="141"/>
    </row>
    <row r="21001">
      <c r="BB21001" s="122"/>
      <c r="BC21001" s="141"/>
    </row>
    <row r="21002">
      <c r="BB21002" s="122"/>
      <c r="BC21002" s="141"/>
    </row>
    <row r="21003">
      <c r="BB21003" s="122"/>
      <c r="BC21003" s="141"/>
    </row>
    <row r="21004">
      <c r="BB21004" s="122"/>
      <c r="BC21004" s="141"/>
    </row>
    <row r="21005">
      <c r="BB21005" s="122"/>
      <c r="BC21005" s="141"/>
    </row>
    <row r="21006">
      <c r="BB21006" s="122"/>
      <c r="BC21006" s="141"/>
    </row>
    <row r="21007">
      <c r="BB21007" s="122"/>
      <c r="BC21007" s="141"/>
    </row>
    <row r="21008">
      <c r="BB21008" s="122"/>
      <c r="BC21008" s="141"/>
    </row>
    <row r="21009">
      <c r="BB21009" s="122"/>
      <c r="BC21009" s="141"/>
    </row>
    <row r="21010">
      <c r="BB21010" s="122"/>
      <c r="BC21010" s="141"/>
    </row>
    <row r="21011">
      <c r="BB21011" s="122"/>
      <c r="BC21011" s="141"/>
    </row>
    <row r="21012">
      <c r="BB21012" s="122"/>
      <c r="BC21012" s="141"/>
    </row>
    <row r="21013">
      <c r="BB21013" s="122"/>
      <c r="BC21013" s="141"/>
    </row>
    <row r="21014">
      <c r="BB21014" s="122"/>
      <c r="BC21014" s="141"/>
    </row>
    <row r="21015">
      <c r="BB21015" s="122"/>
      <c r="BC21015" s="141"/>
    </row>
    <row r="21016">
      <c r="BB21016" s="122"/>
      <c r="BC21016" s="141"/>
    </row>
    <row r="21017">
      <c r="BB21017" s="122"/>
      <c r="BC21017" s="141"/>
    </row>
    <row r="21018">
      <c r="BB21018" s="122"/>
      <c r="BC21018" s="141"/>
    </row>
    <row r="21019">
      <c r="BB21019" s="122"/>
      <c r="BC21019" s="141"/>
    </row>
    <row r="21020">
      <c r="BB21020" s="122"/>
      <c r="BC21020" s="141"/>
    </row>
    <row r="21021">
      <c r="BB21021" s="122"/>
      <c r="BC21021" s="141"/>
    </row>
    <row r="21022">
      <c r="BB21022" s="122"/>
      <c r="BC21022" s="141"/>
    </row>
    <row r="21023">
      <c r="BB21023" s="122"/>
      <c r="BC21023" s="141"/>
    </row>
    <row r="21024">
      <c r="BB21024" s="122"/>
      <c r="BC21024" s="141"/>
    </row>
    <row r="21025">
      <c r="BB21025" s="122"/>
      <c r="BC21025" s="141"/>
    </row>
    <row r="21026">
      <c r="BB21026" s="122"/>
      <c r="BC21026" s="141"/>
    </row>
    <row r="21027">
      <c r="BB21027" s="122"/>
      <c r="BC21027" s="141"/>
    </row>
    <row r="21028">
      <c r="BB21028" s="122"/>
      <c r="BC21028" s="141"/>
    </row>
    <row r="21029">
      <c r="BB21029" s="122"/>
      <c r="BC21029" s="141"/>
    </row>
    <row r="21030">
      <c r="BB21030" s="122"/>
      <c r="BC21030" s="141"/>
    </row>
    <row r="21031">
      <c r="BB21031" s="122"/>
      <c r="BC21031" s="141"/>
    </row>
    <row r="21032">
      <c r="BB21032" s="122"/>
      <c r="BC21032" s="141"/>
    </row>
    <row r="21033">
      <c r="BB21033" s="122"/>
      <c r="BC21033" s="141"/>
    </row>
    <row r="21034">
      <c r="BB21034" s="122"/>
      <c r="BC21034" s="141"/>
    </row>
    <row r="21035">
      <c r="BB21035" s="122"/>
      <c r="BC21035" s="141"/>
    </row>
    <row r="21036">
      <c r="BB21036" s="122"/>
      <c r="BC21036" s="141"/>
    </row>
    <row r="21037">
      <c r="BB21037" s="122"/>
      <c r="BC21037" s="141"/>
    </row>
    <row r="21038">
      <c r="BB21038" s="122"/>
      <c r="BC21038" s="141"/>
    </row>
    <row r="21039">
      <c r="BB21039" s="122"/>
      <c r="BC21039" s="141"/>
    </row>
    <row r="21040">
      <c r="BB21040" s="122"/>
      <c r="BC21040" s="141"/>
    </row>
    <row r="21041">
      <c r="BB21041" s="122"/>
      <c r="BC21041" s="141"/>
    </row>
    <row r="21042">
      <c r="BB21042" s="122"/>
      <c r="BC21042" s="141"/>
    </row>
    <row r="21043">
      <c r="BB21043" s="122"/>
      <c r="BC21043" s="141"/>
    </row>
    <row r="21044">
      <c r="BB21044" s="122"/>
      <c r="BC21044" s="141"/>
    </row>
    <row r="21045">
      <c r="BB21045" s="122"/>
      <c r="BC21045" s="141"/>
    </row>
    <row r="21046">
      <c r="BB21046" s="122"/>
      <c r="BC21046" s="141"/>
    </row>
    <row r="21047">
      <c r="BB21047" s="122"/>
      <c r="BC21047" s="141"/>
    </row>
    <row r="21048">
      <c r="BB21048" s="122"/>
      <c r="BC21048" s="141"/>
    </row>
    <row r="21049">
      <c r="BB21049" s="122"/>
      <c r="BC21049" s="141"/>
    </row>
    <row r="21050">
      <c r="BB21050" s="122"/>
      <c r="BC21050" s="141"/>
    </row>
    <row r="21051">
      <c r="BB21051" s="122"/>
      <c r="BC21051" s="141"/>
    </row>
    <row r="21052">
      <c r="BB21052" s="122"/>
      <c r="BC21052" s="141"/>
    </row>
    <row r="21053">
      <c r="BB21053" s="122"/>
      <c r="BC21053" s="141"/>
    </row>
    <row r="21054">
      <c r="BB21054" s="122"/>
      <c r="BC21054" s="141"/>
    </row>
    <row r="21055">
      <c r="BB21055" s="122"/>
      <c r="BC21055" s="141"/>
    </row>
    <row r="21056">
      <c r="BB21056" s="122"/>
      <c r="BC21056" s="141"/>
    </row>
    <row r="21057">
      <c r="BB21057" s="122"/>
      <c r="BC21057" s="141"/>
    </row>
    <row r="21058">
      <c r="BB21058" s="122"/>
      <c r="BC21058" s="141"/>
    </row>
    <row r="21059">
      <c r="BB21059" s="122"/>
      <c r="BC21059" s="141"/>
    </row>
    <row r="21060">
      <c r="BB21060" s="122"/>
      <c r="BC21060" s="141"/>
    </row>
    <row r="21061">
      <c r="BB21061" s="122"/>
      <c r="BC21061" s="141"/>
    </row>
    <row r="21062">
      <c r="BB21062" s="122"/>
      <c r="BC21062" s="141"/>
    </row>
    <row r="21063">
      <c r="BB21063" s="122"/>
      <c r="BC21063" s="141"/>
    </row>
    <row r="21064">
      <c r="BB21064" s="122"/>
      <c r="BC21064" s="141"/>
    </row>
    <row r="21065">
      <c r="BB21065" s="122"/>
      <c r="BC21065" s="141"/>
    </row>
    <row r="21066">
      <c r="BB21066" s="122"/>
      <c r="BC21066" s="141"/>
    </row>
    <row r="21067">
      <c r="BB21067" s="122"/>
      <c r="BC21067" s="141"/>
    </row>
    <row r="21068">
      <c r="BB21068" s="122"/>
      <c r="BC21068" s="141"/>
    </row>
    <row r="21069">
      <c r="BB21069" s="122"/>
      <c r="BC21069" s="141"/>
    </row>
    <row r="21070">
      <c r="BB21070" s="122"/>
      <c r="BC21070" s="141"/>
    </row>
    <row r="21071">
      <c r="BB21071" s="122"/>
      <c r="BC21071" s="141"/>
    </row>
    <row r="21072">
      <c r="BB21072" s="122"/>
      <c r="BC21072" s="141"/>
    </row>
    <row r="21073">
      <c r="BB21073" s="122"/>
      <c r="BC21073" s="141"/>
    </row>
    <row r="21074">
      <c r="BB21074" s="122"/>
      <c r="BC21074" s="141"/>
    </row>
    <row r="21075">
      <c r="BB21075" s="122"/>
      <c r="BC21075" s="141"/>
    </row>
    <row r="21076">
      <c r="BB21076" s="122"/>
      <c r="BC21076" s="141"/>
    </row>
    <row r="21077">
      <c r="BB21077" s="122"/>
      <c r="BC21077" s="141"/>
    </row>
    <row r="21078">
      <c r="BB21078" s="122"/>
      <c r="BC21078" s="141"/>
    </row>
    <row r="21079">
      <c r="BB21079" s="122"/>
      <c r="BC21079" s="141"/>
    </row>
    <row r="21080">
      <c r="BB21080" s="122"/>
      <c r="BC21080" s="141"/>
    </row>
    <row r="21081">
      <c r="BB21081" s="122"/>
      <c r="BC21081" s="141"/>
    </row>
    <row r="21082">
      <c r="BB21082" s="122"/>
      <c r="BC21082" s="141"/>
    </row>
    <row r="21083">
      <c r="BB21083" s="122"/>
      <c r="BC21083" s="141"/>
    </row>
    <row r="21084">
      <c r="BB21084" s="122"/>
      <c r="BC21084" s="141"/>
    </row>
    <row r="21085">
      <c r="BB21085" s="122"/>
      <c r="BC21085" s="141"/>
    </row>
    <row r="21086">
      <c r="BB21086" s="122"/>
      <c r="BC21086" s="141"/>
    </row>
    <row r="21087">
      <c r="BB21087" s="122"/>
      <c r="BC21087" s="141"/>
    </row>
    <row r="21088">
      <c r="BB21088" s="122"/>
      <c r="BC21088" s="141"/>
    </row>
    <row r="21089">
      <c r="BB21089" s="122"/>
      <c r="BC21089" s="141"/>
    </row>
    <row r="21090">
      <c r="BB21090" s="122"/>
      <c r="BC21090" s="141"/>
    </row>
    <row r="21091">
      <c r="BB21091" s="122"/>
      <c r="BC21091" s="141"/>
    </row>
    <row r="21092">
      <c r="BB21092" s="122"/>
      <c r="BC21092" s="141"/>
    </row>
    <row r="21093">
      <c r="BB21093" s="122"/>
      <c r="BC21093" s="141"/>
    </row>
    <row r="21094">
      <c r="BB21094" s="122"/>
      <c r="BC21094" s="141"/>
    </row>
    <row r="21095">
      <c r="BB21095" s="122"/>
      <c r="BC21095" s="141"/>
    </row>
    <row r="21096">
      <c r="BB21096" s="122"/>
      <c r="BC21096" s="141"/>
    </row>
    <row r="21097">
      <c r="BB21097" s="122"/>
      <c r="BC21097" s="141"/>
    </row>
    <row r="21098">
      <c r="BB21098" s="122"/>
      <c r="BC21098" s="141"/>
    </row>
    <row r="21099">
      <c r="BB21099" s="122"/>
      <c r="BC21099" s="141"/>
    </row>
    <row r="21100">
      <c r="BB21100" s="122"/>
      <c r="BC21100" s="141"/>
    </row>
    <row r="21101">
      <c r="BB21101" s="122"/>
      <c r="BC21101" s="141"/>
    </row>
    <row r="21102">
      <c r="BB21102" s="122"/>
      <c r="BC21102" s="141"/>
    </row>
    <row r="21103">
      <c r="BB21103" s="122"/>
      <c r="BC21103" s="141"/>
    </row>
    <row r="21104">
      <c r="BB21104" s="122"/>
      <c r="BC21104" s="141"/>
    </row>
    <row r="21105">
      <c r="BB21105" s="122"/>
      <c r="BC21105" s="141"/>
    </row>
    <row r="21106">
      <c r="BB21106" s="122"/>
      <c r="BC21106" s="141"/>
    </row>
    <row r="21107">
      <c r="BB21107" s="122"/>
      <c r="BC21107" s="141"/>
    </row>
    <row r="21108">
      <c r="BB21108" s="122"/>
      <c r="BC21108" s="141"/>
    </row>
    <row r="21109">
      <c r="BB21109" s="122"/>
      <c r="BC21109" s="141"/>
    </row>
    <row r="21110">
      <c r="BB21110" s="122"/>
      <c r="BC21110" s="141"/>
    </row>
    <row r="21111">
      <c r="BB21111" s="122"/>
      <c r="BC21111" s="141"/>
    </row>
    <row r="21112">
      <c r="BB21112" s="122"/>
      <c r="BC21112" s="141"/>
    </row>
    <row r="21113">
      <c r="BB21113" s="122"/>
      <c r="BC21113" s="141"/>
    </row>
    <row r="21114">
      <c r="BB21114" s="122"/>
      <c r="BC21114" s="141"/>
    </row>
    <row r="21115">
      <c r="BB21115" s="122"/>
      <c r="BC21115" s="141"/>
    </row>
    <row r="21116">
      <c r="BB21116" s="122"/>
      <c r="BC21116" s="141"/>
    </row>
    <row r="21117">
      <c r="BB21117" s="122"/>
      <c r="BC21117" s="141"/>
    </row>
    <row r="21118">
      <c r="BB21118" s="122"/>
      <c r="BC21118" s="141"/>
    </row>
    <row r="21119">
      <c r="BB21119" s="122"/>
      <c r="BC21119" s="141"/>
    </row>
    <row r="21120">
      <c r="BB21120" s="122"/>
      <c r="BC21120" s="141"/>
    </row>
    <row r="21121">
      <c r="BB21121" s="122"/>
      <c r="BC21121" s="141"/>
    </row>
    <row r="21122">
      <c r="BB21122" s="122"/>
      <c r="BC21122" s="141"/>
    </row>
    <row r="21123">
      <c r="BB21123" s="122"/>
      <c r="BC21123" s="141"/>
    </row>
    <row r="21124">
      <c r="BB21124" s="122"/>
      <c r="BC21124" s="141"/>
    </row>
    <row r="21125">
      <c r="BB21125" s="122"/>
      <c r="BC21125" s="141"/>
    </row>
    <row r="21126">
      <c r="BB21126" s="122"/>
      <c r="BC21126" s="141"/>
    </row>
    <row r="21127">
      <c r="BB21127" s="122"/>
      <c r="BC21127" s="141"/>
    </row>
    <row r="21128">
      <c r="BB21128" s="122"/>
      <c r="BC21128" s="141"/>
    </row>
    <row r="21129">
      <c r="BB21129" s="122"/>
      <c r="BC21129" s="141"/>
    </row>
    <row r="21130">
      <c r="BB21130" s="122"/>
      <c r="BC21130" s="141"/>
    </row>
    <row r="21131">
      <c r="BB21131" s="122"/>
      <c r="BC21131" s="141"/>
    </row>
    <row r="21132">
      <c r="BB21132" s="122"/>
      <c r="BC21132" s="141"/>
    </row>
    <row r="21133">
      <c r="BB21133" s="122"/>
      <c r="BC21133" s="141"/>
    </row>
    <row r="21134">
      <c r="BB21134" s="122"/>
      <c r="BC21134" s="141"/>
    </row>
    <row r="21135">
      <c r="BB21135" s="122"/>
      <c r="BC21135" s="141"/>
    </row>
    <row r="21136">
      <c r="BB21136" s="122"/>
      <c r="BC21136" s="141"/>
    </row>
    <row r="21137">
      <c r="BB21137" s="122"/>
      <c r="BC21137" s="141"/>
    </row>
    <row r="21138">
      <c r="BB21138" s="122"/>
      <c r="BC21138" s="141"/>
    </row>
    <row r="21139">
      <c r="BB21139" s="122"/>
      <c r="BC21139" s="141"/>
    </row>
    <row r="21140">
      <c r="BB21140" s="122"/>
      <c r="BC21140" s="141"/>
    </row>
    <row r="21141">
      <c r="BB21141" s="122"/>
      <c r="BC21141" s="141"/>
    </row>
    <row r="21142">
      <c r="BB21142" s="122"/>
      <c r="BC21142" s="141"/>
    </row>
    <row r="21143">
      <c r="BB21143" s="122"/>
      <c r="BC21143" s="141"/>
    </row>
    <row r="21144">
      <c r="BB21144" s="122"/>
      <c r="BC21144" s="141"/>
    </row>
    <row r="21145">
      <c r="BB21145" s="122"/>
      <c r="BC21145" s="141"/>
    </row>
    <row r="21146">
      <c r="BB21146" s="122"/>
      <c r="BC21146" s="141"/>
    </row>
    <row r="21147">
      <c r="BB21147" s="122"/>
      <c r="BC21147" s="141"/>
    </row>
    <row r="21148">
      <c r="BB21148" s="122"/>
      <c r="BC21148" s="141"/>
    </row>
    <row r="21149">
      <c r="BB21149" s="122"/>
      <c r="BC21149" s="141"/>
    </row>
    <row r="21150">
      <c r="BB21150" s="122"/>
      <c r="BC21150" s="141"/>
    </row>
    <row r="21151">
      <c r="BB21151" s="122"/>
      <c r="BC21151" s="141"/>
    </row>
    <row r="21152">
      <c r="BB21152" s="122"/>
      <c r="BC21152" s="141"/>
    </row>
    <row r="21153">
      <c r="BB21153" s="122"/>
      <c r="BC21153" s="141"/>
    </row>
    <row r="21154">
      <c r="BB21154" s="122"/>
      <c r="BC21154" s="141"/>
    </row>
    <row r="21155">
      <c r="BB21155" s="122"/>
      <c r="BC21155" s="141"/>
    </row>
    <row r="21156">
      <c r="BB21156" s="122"/>
      <c r="BC21156" s="141"/>
    </row>
    <row r="21157">
      <c r="BB21157" s="122"/>
      <c r="BC21157" s="141"/>
    </row>
    <row r="21158">
      <c r="BB21158" s="122"/>
      <c r="BC21158" s="141"/>
    </row>
    <row r="21159">
      <c r="BB21159" s="122"/>
      <c r="BC21159" s="141"/>
    </row>
    <row r="21160">
      <c r="BB21160" s="122"/>
      <c r="BC21160" s="141"/>
    </row>
    <row r="21161">
      <c r="BB21161" s="122"/>
      <c r="BC21161" s="141"/>
    </row>
    <row r="21162">
      <c r="BB21162" s="122"/>
      <c r="BC21162" s="141"/>
    </row>
    <row r="21163">
      <c r="BB21163" s="122"/>
      <c r="BC21163" s="141"/>
    </row>
    <row r="21164">
      <c r="BB21164" s="122"/>
      <c r="BC21164" s="141"/>
    </row>
    <row r="21165">
      <c r="BB21165" s="122"/>
      <c r="BC21165" s="141"/>
    </row>
    <row r="21166">
      <c r="BB21166" s="122"/>
      <c r="BC21166" s="141"/>
    </row>
    <row r="21167">
      <c r="BB21167" s="122"/>
      <c r="BC21167" s="141"/>
    </row>
    <row r="21168">
      <c r="BB21168" s="122"/>
      <c r="BC21168" s="141"/>
    </row>
    <row r="21169">
      <c r="BB21169" s="122"/>
      <c r="BC21169" s="141"/>
    </row>
    <row r="21170">
      <c r="BB21170" s="122"/>
      <c r="BC21170" s="141"/>
    </row>
    <row r="21171">
      <c r="BB21171" s="122"/>
      <c r="BC21171" s="141"/>
    </row>
    <row r="21172">
      <c r="BB21172" s="122"/>
      <c r="BC21172" s="141"/>
    </row>
    <row r="21173">
      <c r="BB21173" s="122"/>
      <c r="BC21173" s="141"/>
    </row>
    <row r="21174">
      <c r="BB21174" s="122"/>
      <c r="BC21174" s="141"/>
    </row>
    <row r="21175">
      <c r="BB21175" s="122"/>
      <c r="BC21175" s="141"/>
    </row>
    <row r="21176">
      <c r="BB21176" s="122"/>
      <c r="BC21176" s="141"/>
    </row>
    <row r="21177">
      <c r="BB21177" s="122"/>
      <c r="BC21177" s="141"/>
    </row>
    <row r="21178">
      <c r="BB21178" s="122"/>
      <c r="BC21178" s="141"/>
    </row>
    <row r="21179">
      <c r="BB21179" s="122"/>
      <c r="BC21179" s="141"/>
    </row>
    <row r="21180">
      <c r="BB21180" s="122"/>
      <c r="BC21180" s="141"/>
    </row>
    <row r="21181">
      <c r="BB21181" s="122"/>
      <c r="BC21181" s="141"/>
    </row>
    <row r="21182">
      <c r="BB21182" s="122"/>
      <c r="BC21182" s="141"/>
    </row>
    <row r="21183">
      <c r="BB21183" s="122"/>
      <c r="BC21183" s="141"/>
    </row>
    <row r="21184">
      <c r="BB21184" s="122"/>
      <c r="BC21184" s="141"/>
    </row>
    <row r="21185">
      <c r="BB21185" s="122"/>
      <c r="BC21185" s="141"/>
    </row>
    <row r="21186">
      <c r="BB21186" s="122"/>
      <c r="BC21186" s="141"/>
    </row>
    <row r="21187">
      <c r="BB21187" s="122"/>
      <c r="BC21187" s="141"/>
    </row>
    <row r="21188">
      <c r="BB21188" s="122"/>
      <c r="BC21188" s="141"/>
    </row>
    <row r="21189">
      <c r="BB21189" s="122"/>
      <c r="BC21189" s="141"/>
    </row>
    <row r="21190">
      <c r="BB21190" s="122"/>
      <c r="BC21190" s="141"/>
    </row>
    <row r="21191">
      <c r="BB21191" s="122"/>
      <c r="BC21191" s="141"/>
    </row>
    <row r="21192">
      <c r="BB21192" s="122"/>
      <c r="BC21192" s="141"/>
    </row>
    <row r="21193">
      <c r="BB21193" s="122"/>
      <c r="BC21193" s="141"/>
    </row>
    <row r="21194">
      <c r="BB21194" s="122"/>
      <c r="BC21194" s="141"/>
    </row>
    <row r="21195">
      <c r="BB21195" s="122"/>
      <c r="BC21195" s="141"/>
    </row>
    <row r="21196">
      <c r="BB21196" s="122"/>
      <c r="BC21196" s="141"/>
    </row>
    <row r="21197">
      <c r="BB21197" s="122"/>
      <c r="BC21197" s="141"/>
    </row>
    <row r="21198">
      <c r="BB21198" s="122"/>
      <c r="BC21198" s="141"/>
    </row>
    <row r="21199">
      <c r="BB21199" s="122"/>
      <c r="BC21199" s="141"/>
    </row>
    <row r="21200">
      <c r="BB21200" s="122"/>
      <c r="BC21200" s="141"/>
    </row>
    <row r="21201">
      <c r="BB21201" s="122"/>
      <c r="BC21201" s="141"/>
    </row>
    <row r="21202">
      <c r="BB21202" s="122"/>
      <c r="BC21202" s="141"/>
    </row>
    <row r="21203">
      <c r="BB21203" s="122"/>
      <c r="BC21203" s="141"/>
    </row>
    <row r="21204">
      <c r="BB21204" s="122"/>
      <c r="BC21204" s="141"/>
    </row>
    <row r="21205">
      <c r="BB21205" s="122"/>
      <c r="BC21205" s="141"/>
    </row>
    <row r="21206">
      <c r="BB21206" s="122"/>
      <c r="BC21206" s="141"/>
    </row>
    <row r="21207">
      <c r="BB21207" s="122"/>
      <c r="BC21207" s="141"/>
    </row>
    <row r="21208">
      <c r="BB21208" s="122"/>
      <c r="BC21208" s="141"/>
    </row>
    <row r="21209">
      <c r="BB21209" s="122"/>
      <c r="BC21209" s="141"/>
    </row>
    <row r="21210">
      <c r="BB21210" s="122"/>
      <c r="BC21210" s="141"/>
    </row>
    <row r="21211">
      <c r="BB21211" s="122"/>
      <c r="BC21211" s="141"/>
    </row>
    <row r="21212">
      <c r="BB21212" s="122"/>
      <c r="BC21212" s="141"/>
    </row>
    <row r="21213">
      <c r="BB21213" s="122"/>
      <c r="BC21213" s="141"/>
    </row>
    <row r="21214">
      <c r="BB21214" s="122"/>
      <c r="BC21214" s="141"/>
    </row>
    <row r="21215">
      <c r="BB21215" s="122"/>
      <c r="BC21215" s="141"/>
    </row>
    <row r="21216">
      <c r="BB21216" s="122"/>
      <c r="BC21216" s="141"/>
    </row>
    <row r="21217">
      <c r="BB21217" s="122"/>
      <c r="BC21217" s="141"/>
    </row>
    <row r="21218">
      <c r="BB21218" s="122"/>
      <c r="BC21218" s="141"/>
    </row>
    <row r="21219">
      <c r="BB21219" s="122"/>
      <c r="BC21219" s="141"/>
    </row>
    <row r="21220">
      <c r="BB21220" s="122"/>
      <c r="BC21220" s="141"/>
    </row>
    <row r="21221">
      <c r="BB21221" s="122"/>
      <c r="BC21221" s="141"/>
    </row>
    <row r="21222">
      <c r="BB21222" s="122"/>
      <c r="BC21222" s="141"/>
    </row>
    <row r="21223">
      <c r="BB21223" s="122"/>
      <c r="BC21223" s="141"/>
    </row>
    <row r="21224">
      <c r="BB21224" s="122"/>
      <c r="BC21224" s="141"/>
    </row>
    <row r="21225">
      <c r="BB21225" s="122"/>
      <c r="BC21225" s="141"/>
    </row>
    <row r="21226">
      <c r="BB21226" s="122"/>
      <c r="BC21226" s="141"/>
    </row>
    <row r="21227">
      <c r="BB21227" s="122"/>
      <c r="BC21227" s="141"/>
    </row>
    <row r="21228">
      <c r="BB21228" s="122"/>
      <c r="BC21228" s="141"/>
    </row>
    <row r="21229">
      <c r="BB21229" s="122"/>
      <c r="BC21229" s="141"/>
    </row>
    <row r="21230">
      <c r="BB21230" s="122"/>
      <c r="BC21230" s="141"/>
    </row>
    <row r="21231">
      <c r="BB21231" s="122"/>
      <c r="BC21231" s="141"/>
    </row>
    <row r="21232">
      <c r="BB21232" s="122"/>
      <c r="BC21232" s="141"/>
    </row>
    <row r="21233">
      <c r="BB21233" s="122"/>
      <c r="BC21233" s="141"/>
    </row>
    <row r="21234">
      <c r="BB21234" s="122"/>
      <c r="BC21234" s="141"/>
    </row>
    <row r="21235">
      <c r="BB21235" s="122"/>
      <c r="BC21235" s="141"/>
    </row>
    <row r="21236">
      <c r="BB21236" s="122"/>
      <c r="BC21236" s="141"/>
    </row>
    <row r="21237">
      <c r="BB21237" s="122"/>
      <c r="BC21237" s="141"/>
    </row>
    <row r="21238">
      <c r="BB21238" s="122"/>
      <c r="BC21238" s="141"/>
    </row>
    <row r="21239">
      <c r="BB21239" s="122"/>
      <c r="BC21239" s="141"/>
    </row>
    <row r="21240">
      <c r="BB21240" s="122"/>
      <c r="BC21240" s="141"/>
    </row>
    <row r="21241">
      <c r="BB21241" s="122"/>
      <c r="BC21241" s="141"/>
    </row>
    <row r="21242">
      <c r="BB21242" s="122"/>
      <c r="BC21242" s="141"/>
    </row>
    <row r="21243">
      <c r="BB21243" s="122"/>
      <c r="BC21243" s="141"/>
    </row>
    <row r="21244">
      <c r="BB21244" s="122"/>
      <c r="BC21244" s="141"/>
    </row>
    <row r="21245">
      <c r="BB21245" s="122"/>
      <c r="BC21245" s="141"/>
    </row>
    <row r="21246">
      <c r="BB21246" s="122"/>
      <c r="BC21246" s="141"/>
    </row>
    <row r="21247">
      <c r="BB21247" s="122"/>
      <c r="BC21247" s="141"/>
    </row>
    <row r="21248">
      <c r="BB21248" s="122"/>
      <c r="BC21248" s="141"/>
    </row>
    <row r="21249">
      <c r="BB21249" s="122"/>
      <c r="BC21249" s="141"/>
    </row>
    <row r="21250">
      <c r="BB21250" s="122"/>
      <c r="BC21250" s="141"/>
    </row>
    <row r="21251">
      <c r="BB21251" s="122"/>
      <c r="BC21251" s="141"/>
    </row>
    <row r="21252">
      <c r="BB21252" s="122"/>
      <c r="BC21252" s="141"/>
    </row>
    <row r="21253">
      <c r="BB21253" s="122"/>
      <c r="BC21253" s="141"/>
    </row>
    <row r="21254">
      <c r="BB21254" s="122"/>
      <c r="BC21254" s="141"/>
    </row>
    <row r="21255">
      <c r="BB21255" s="122"/>
      <c r="BC21255" s="141"/>
    </row>
    <row r="21256">
      <c r="BB21256" s="122"/>
      <c r="BC21256" s="141"/>
    </row>
    <row r="21257">
      <c r="BB21257" s="122"/>
      <c r="BC21257" s="141"/>
    </row>
    <row r="21258">
      <c r="BB21258" s="122"/>
      <c r="BC21258" s="141"/>
    </row>
    <row r="21259">
      <c r="BB21259" s="122"/>
      <c r="BC21259" s="141"/>
    </row>
    <row r="21260">
      <c r="BB21260" s="122"/>
      <c r="BC21260" s="141"/>
    </row>
    <row r="21261">
      <c r="BB21261" s="122"/>
      <c r="BC21261" s="141"/>
    </row>
    <row r="21262">
      <c r="BB21262" s="122"/>
      <c r="BC21262" s="141"/>
    </row>
    <row r="21263">
      <c r="BB21263" s="122"/>
      <c r="BC21263" s="141"/>
    </row>
    <row r="21264">
      <c r="BB21264" s="122"/>
      <c r="BC21264" s="141"/>
    </row>
    <row r="21265">
      <c r="BB21265" s="122"/>
      <c r="BC21265" s="141"/>
    </row>
    <row r="21266">
      <c r="BB21266" s="122"/>
      <c r="BC21266" s="141"/>
    </row>
    <row r="21267">
      <c r="BB21267" s="122"/>
      <c r="BC21267" s="141"/>
    </row>
    <row r="21268">
      <c r="BB21268" s="122"/>
      <c r="BC21268" s="141"/>
    </row>
    <row r="21269">
      <c r="BB21269" s="122"/>
      <c r="BC21269" s="141"/>
    </row>
    <row r="21270">
      <c r="BB21270" s="122"/>
      <c r="BC21270" s="141"/>
    </row>
    <row r="21271">
      <c r="BB21271" s="122"/>
      <c r="BC21271" s="141"/>
    </row>
    <row r="21272">
      <c r="BB21272" s="122"/>
      <c r="BC21272" s="141"/>
    </row>
    <row r="21273">
      <c r="BB21273" s="122"/>
      <c r="BC21273" s="141"/>
    </row>
    <row r="21274">
      <c r="BB21274" s="122"/>
      <c r="BC21274" s="141"/>
    </row>
    <row r="21275">
      <c r="BB21275" s="122"/>
      <c r="BC21275" s="141"/>
    </row>
    <row r="21276">
      <c r="BB21276" s="122"/>
      <c r="BC21276" s="141"/>
    </row>
    <row r="21277">
      <c r="BB21277" s="122"/>
      <c r="BC21277" s="141"/>
    </row>
    <row r="21278">
      <c r="BB21278" s="122"/>
      <c r="BC21278" s="141"/>
    </row>
    <row r="21279">
      <c r="BB21279" s="122"/>
      <c r="BC21279" s="141"/>
    </row>
    <row r="21280">
      <c r="BB21280" s="122"/>
      <c r="BC21280" s="141"/>
    </row>
    <row r="21281">
      <c r="BB21281" s="122"/>
      <c r="BC21281" s="141"/>
    </row>
    <row r="21282">
      <c r="BB21282" s="122"/>
      <c r="BC21282" s="141"/>
    </row>
    <row r="21283">
      <c r="BB21283" s="122"/>
      <c r="BC21283" s="141"/>
    </row>
    <row r="21284">
      <c r="BB21284" s="122"/>
      <c r="BC21284" s="141"/>
    </row>
    <row r="21285">
      <c r="BB21285" s="122"/>
      <c r="BC21285" s="141"/>
    </row>
    <row r="21286">
      <c r="BB21286" s="122"/>
      <c r="BC21286" s="141"/>
    </row>
    <row r="21287">
      <c r="BB21287" s="122"/>
      <c r="BC21287" s="141"/>
    </row>
    <row r="21288">
      <c r="BB21288" s="122"/>
      <c r="BC21288" s="141"/>
    </row>
    <row r="21289">
      <c r="BB21289" s="122"/>
      <c r="BC21289" s="141"/>
    </row>
    <row r="21290">
      <c r="BB21290" s="122"/>
      <c r="BC21290" s="141"/>
    </row>
    <row r="21291">
      <c r="BB21291" s="122"/>
      <c r="BC21291" s="141"/>
    </row>
    <row r="21292">
      <c r="BB21292" s="122"/>
      <c r="BC21292" s="141"/>
    </row>
    <row r="21293">
      <c r="BB21293" s="122"/>
      <c r="BC21293" s="141"/>
    </row>
    <row r="21294">
      <c r="BB21294" s="122"/>
      <c r="BC21294" s="141"/>
    </row>
    <row r="21295">
      <c r="BB21295" s="122"/>
      <c r="BC21295" s="141"/>
    </row>
    <row r="21296">
      <c r="BB21296" s="122"/>
      <c r="BC21296" s="141"/>
    </row>
    <row r="21297">
      <c r="BB21297" s="122"/>
      <c r="BC21297" s="141"/>
    </row>
    <row r="21298">
      <c r="BB21298" s="122"/>
      <c r="BC21298" s="141"/>
    </row>
    <row r="21299">
      <c r="BB21299" s="122"/>
      <c r="BC21299" s="141"/>
    </row>
    <row r="21300">
      <c r="BB21300" s="122"/>
      <c r="BC21300" s="141"/>
    </row>
    <row r="21301">
      <c r="BB21301" s="122"/>
      <c r="BC21301" s="141"/>
    </row>
    <row r="21302">
      <c r="BB21302" s="122"/>
      <c r="BC21302" s="141"/>
    </row>
    <row r="21303">
      <c r="BB21303" s="122"/>
      <c r="BC21303" s="141"/>
    </row>
    <row r="21304">
      <c r="BB21304" s="122"/>
      <c r="BC21304" s="141"/>
    </row>
    <row r="21305">
      <c r="BB21305" s="122"/>
      <c r="BC21305" s="141"/>
    </row>
    <row r="21306">
      <c r="BB21306" s="122"/>
      <c r="BC21306" s="141"/>
    </row>
    <row r="21307">
      <c r="BB21307" s="122"/>
      <c r="BC21307" s="141"/>
    </row>
    <row r="21308">
      <c r="BB21308" s="122"/>
      <c r="BC21308" s="141"/>
    </row>
    <row r="21309">
      <c r="BB21309" s="122"/>
      <c r="BC21309" s="141"/>
    </row>
    <row r="21310">
      <c r="BB21310" s="122"/>
      <c r="BC21310" s="141"/>
    </row>
    <row r="21311">
      <c r="BB21311" s="122"/>
      <c r="BC21311" s="141"/>
    </row>
    <row r="21312">
      <c r="BB21312" s="122"/>
      <c r="BC21312" s="141"/>
    </row>
    <row r="21313">
      <c r="BB21313" s="122"/>
      <c r="BC21313" s="141"/>
    </row>
    <row r="21314">
      <c r="BB21314" s="122"/>
      <c r="BC21314" s="141"/>
    </row>
    <row r="21315">
      <c r="BB21315" s="122"/>
      <c r="BC21315" s="141"/>
    </row>
    <row r="21316">
      <c r="BB21316" s="122"/>
      <c r="BC21316" s="141"/>
    </row>
    <row r="21317">
      <c r="BB21317" s="122"/>
      <c r="BC21317" s="141"/>
    </row>
    <row r="21318">
      <c r="BB21318" s="122"/>
      <c r="BC21318" s="141"/>
    </row>
    <row r="21319">
      <c r="BB21319" s="122"/>
      <c r="BC21319" s="141"/>
    </row>
    <row r="21320">
      <c r="BB21320" s="122"/>
      <c r="BC21320" s="141"/>
    </row>
    <row r="21321">
      <c r="BB21321" s="122"/>
      <c r="BC21321" s="141"/>
    </row>
    <row r="21322">
      <c r="BB21322" s="122"/>
      <c r="BC21322" s="141"/>
    </row>
    <row r="21323">
      <c r="BB21323" s="122"/>
      <c r="BC21323" s="141"/>
    </row>
    <row r="21324">
      <c r="BB21324" s="122"/>
      <c r="BC21324" s="141"/>
    </row>
    <row r="21325">
      <c r="BB21325" s="122"/>
      <c r="BC21325" s="141"/>
    </row>
    <row r="21326">
      <c r="BB21326" s="122"/>
      <c r="BC21326" s="141"/>
    </row>
    <row r="21327">
      <c r="BB21327" s="122"/>
      <c r="BC21327" s="141"/>
    </row>
    <row r="21328">
      <c r="BB21328" s="122"/>
      <c r="BC21328" s="141"/>
    </row>
    <row r="21329">
      <c r="BB21329" s="122"/>
      <c r="BC21329" s="141"/>
    </row>
    <row r="21330">
      <c r="BB21330" s="122"/>
      <c r="BC21330" s="141"/>
    </row>
    <row r="21331">
      <c r="BB21331" s="122"/>
      <c r="BC21331" s="141"/>
    </row>
    <row r="21332">
      <c r="BB21332" s="122"/>
      <c r="BC21332" s="141"/>
    </row>
    <row r="21333">
      <c r="BB21333" s="122"/>
      <c r="BC21333" s="141"/>
    </row>
    <row r="21334">
      <c r="BB21334" s="122"/>
      <c r="BC21334" s="141"/>
    </row>
    <row r="21335">
      <c r="BB21335" s="122"/>
      <c r="BC21335" s="141"/>
    </row>
    <row r="21336">
      <c r="BB21336" s="122"/>
      <c r="BC21336" s="141"/>
    </row>
    <row r="21337">
      <c r="BB21337" s="122"/>
      <c r="BC21337" s="141"/>
    </row>
    <row r="21338">
      <c r="BB21338" s="122"/>
      <c r="BC21338" s="141"/>
    </row>
    <row r="21339">
      <c r="BB21339" s="122"/>
      <c r="BC21339" s="141"/>
    </row>
    <row r="21340">
      <c r="BB21340" s="122"/>
      <c r="BC21340" s="141"/>
    </row>
    <row r="21341">
      <c r="BB21341" s="122"/>
      <c r="BC21341" s="141"/>
    </row>
    <row r="21342">
      <c r="BB21342" s="122"/>
      <c r="BC21342" s="141"/>
    </row>
    <row r="21343">
      <c r="BB21343" s="122"/>
      <c r="BC21343" s="141"/>
    </row>
    <row r="21344">
      <c r="BB21344" s="122"/>
      <c r="BC21344" s="141"/>
    </row>
    <row r="21345">
      <c r="BB21345" s="122"/>
      <c r="BC21345" s="141"/>
    </row>
    <row r="21346">
      <c r="BB21346" s="122"/>
      <c r="BC21346" s="141"/>
    </row>
    <row r="21347">
      <c r="BB21347" s="122"/>
      <c r="BC21347" s="141"/>
    </row>
    <row r="21348">
      <c r="BB21348" s="122"/>
      <c r="BC21348" s="141"/>
    </row>
    <row r="21349">
      <c r="BB21349" s="122"/>
      <c r="BC21349" s="141"/>
    </row>
    <row r="21350">
      <c r="BB21350" s="122"/>
      <c r="BC21350" s="141"/>
    </row>
    <row r="21351">
      <c r="BB21351" s="122"/>
      <c r="BC21351" s="141"/>
    </row>
    <row r="21352">
      <c r="BB21352" s="122"/>
      <c r="BC21352" s="141"/>
    </row>
    <row r="21353">
      <c r="BB21353" s="122"/>
      <c r="BC21353" s="141"/>
    </row>
    <row r="21354">
      <c r="BB21354" s="122"/>
      <c r="BC21354" s="141"/>
    </row>
    <row r="21355">
      <c r="BB21355" s="122"/>
      <c r="BC21355" s="141"/>
    </row>
    <row r="21356">
      <c r="BB21356" s="122"/>
      <c r="BC21356" s="141"/>
    </row>
    <row r="21357">
      <c r="BB21357" s="122"/>
      <c r="BC21357" s="141"/>
    </row>
    <row r="21358">
      <c r="BB21358" s="122"/>
      <c r="BC21358" s="141"/>
    </row>
    <row r="21359">
      <c r="BB21359" s="122"/>
      <c r="BC21359" s="141"/>
    </row>
    <row r="21360">
      <c r="BB21360" s="122"/>
      <c r="BC21360" s="141"/>
    </row>
    <row r="21361">
      <c r="BB21361" s="122"/>
      <c r="BC21361" s="141"/>
    </row>
    <row r="21362">
      <c r="BB21362" s="122"/>
      <c r="BC21362" s="141"/>
    </row>
    <row r="21363">
      <c r="BB21363" s="122"/>
      <c r="BC21363" s="141"/>
    </row>
    <row r="21364">
      <c r="BB21364" s="122"/>
      <c r="BC21364" s="141"/>
    </row>
    <row r="21365">
      <c r="BB21365" s="122"/>
      <c r="BC21365" s="141"/>
    </row>
    <row r="21366">
      <c r="BB21366" s="122"/>
      <c r="BC21366" s="141"/>
    </row>
    <row r="21367">
      <c r="BB21367" s="122"/>
      <c r="BC21367" s="141"/>
    </row>
    <row r="21368">
      <c r="BB21368" s="122"/>
      <c r="BC21368" s="141"/>
    </row>
    <row r="21369">
      <c r="BB21369" s="122"/>
      <c r="BC21369" s="141"/>
    </row>
    <row r="21370">
      <c r="BB21370" s="122"/>
      <c r="BC21370" s="141"/>
    </row>
    <row r="21371">
      <c r="BB21371" s="122"/>
      <c r="BC21371" s="141"/>
    </row>
    <row r="21372">
      <c r="BB21372" s="122"/>
      <c r="BC21372" s="141"/>
    </row>
    <row r="21373">
      <c r="BB21373" s="122"/>
      <c r="BC21373" s="141"/>
    </row>
    <row r="21374">
      <c r="BB21374" s="122"/>
      <c r="BC21374" s="141"/>
    </row>
    <row r="21375">
      <c r="BB21375" s="122"/>
      <c r="BC21375" s="141"/>
    </row>
    <row r="21376">
      <c r="BB21376" s="122"/>
      <c r="BC21376" s="141"/>
    </row>
    <row r="21377">
      <c r="BB21377" s="122"/>
      <c r="BC21377" s="141"/>
    </row>
    <row r="21378">
      <c r="BB21378" s="122"/>
      <c r="BC21378" s="141"/>
    </row>
    <row r="21379">
      <c r="BB21379" s="122"/>
      <c r="BC21379" s="141"/>
    </row>
    <row r="21380">
      <c r="BB21380" s="122"/>
      <c r="BC21380" s="141"/>
    </row>
    <row r="21381">
      <c r="BB21381" s="122"/>
      <c r="BC21381" s="141"/>
    </row>
    <row r="21382">
      <c r="BB21382" s="122"/>
      <c r="BC21382" s="141"/>
    </row>
    <row r="21383">
      <c r="BB21383" s="122"/>
      <c r="BC21383" s="141"/>
    </row>
    <row r="21384">
      <c r="BB21384" s="122"/>
      <c r="BC21384" s="141"/>
    </row>
    <row r="21385">
      <c r="BB21385" s="122"/>
      <c r="BC21385" s="141"/>
    </row>
    <row r="21386">
      <c r="BB21386" s="122"/>
      <c r="BC21386" s="141"/>
    </row>
    <row r="21387">
      <c r="BB21387" s="122"/>
      <c r="BC21387" s="141"/>
    </row>
    <row r="21388">
      <c r="BB21388" s="122"/>
      <c r="BC21388" s="141"/>
    </row>
    <row r="21389">
      <c r="BB21389" s="122"/>
      <c r="BC21389" s="141"/>
    </row>
    <row r="21390">
      <c r="BB21390" s="122"/>
      <c r="BC21390" s="141"/>
    </row>
    <row r="21391">
      <c r="BB21391" s="122"/>
      <c r="BC21391" s="141"/>
    </row>
    <row r="21392">
      <c r="BB21392" s="122"/>
      <c r="BC21392" s="141"/>
    </row>
    <row r="21393">
      <c r="BB21393" s="122"/>
      <c r="BC21393" s="141"/>
    </row>
    <row r="21394">
      <c r="BB21394" s="122"/>
      <c r="BC21394" s="141"/>
    </row>
    <row r="21395">
      <c r="BB21395" s="122"/>
      <c r="BC21395" s="141"/>
    </row>
    <row r="21396">
      <c r="BB21396" s="122"/>
      <c r="BC21396" s="141"/>
    </row>
    <row r="21397">
      <c r="BB21397" s="122"/>
      <c r="BC21397" s="141"/>
    </row>
    <row r="21398">
      <c r="BB21398" s="122"/>
      <c r="BC21398" s="141"/>
    </row>
    <row r="21399">
      <c r="BB21399" s="122"/>
      <c r="BC21399" s="141"/>
    </row>
    <row r="21400">
      <c r="BB21400" s="122"/>
      <c r="BC21400" s="141"/>
    </row>
    <row r="21401">
      <c r="BB21401" s="122"/>
      <c r="BC21401" s="141"/>
    </row>
    <row r="21402">
      <c r="BB21402" s="122"/>
      <c r="BC21402" s="141"/>
    </row>
    <row r="21403">
      <c r="BB21403" s="122"/>
      <c r="BC21403" s="141"/>
    </row>
    <row r="21404">
      <c r="BB21404" s="122"/>
      <c r="BC21404" s="141"/>
    </row>
    <row r="21405">
      <c r="BB21405" s="122"/>
      <c r="BC21405" s="141"/>
    </row>
    <row r="21406">
      <c r="BB21406" s="122"/>
      <c r="BC21406" s="141"/>
    </row>
    <row r="21407">
      <c r="BB21407" s="122"/>
      <c r="BC21407" s="141"/>
    </row>
    <row r="21408">
      <c r="BB21408" s="122"/>
      <c r="BC21408" s="141"/>
    </row>
    <row r="21409">
      <c r="BB21409" s="122"/>
      <c r="BC21409" s="141"/>
    </row>
    <row r="21410">
      <c r="BB21410" s="122"/>
      <c r="BC21410" s="141"/>
    </row>
    <row r="21411">
      <c r="BB21411" s="122"/>
      <c r="BC21411" s="141"/>
    </row>
    <row r="21412">
      <c r="BB21412" s="122"/>
      <c r="BC21412" s="141"/>
    </row>
    <row r="21413">
      <c r="BB21413" s="122"/>
      <c r="BC21413" s="141"/>
    </row>
    <row r="21414">
      <c r="BB21414" s="122"/>
      <c r="BC21414" s="141"/>
    </row>
    <row r="21415">
      <c r="BB21415" s="122"/>
      <c r="BC21415" s="141"/>
    </row>
    <row r="21416">
      <c r="BB21416" s="122"/>
      <c r="BC21416" s="141"/>
    </row>
    <row r="21417">
      <c r="BB21417" s="122"/>
      <c r="BC21417" s="141"/>
    </row>
    <row r="21418">
      <c r="BB21418" s="122"/>
      <c r="BC21418" s="141"/>
    </row>
    <row r="21419">
      <c r="BB21419" s="122"/>
      <c r="BC21419" s="141"/>
    </row>
    <row r="21420">
      <c r="BB21420" s="122"/>
      <c r="BC21420" s="141"/>
    </row>
    <row r="21421">
      <c r="BB21421" s="122"/>
      <c r="BC21421" s="141"/>
    </row>
    <row r="21422">
      <c r="BB21422" s="122"/>
      <c r="BC21422" s="141"/>
    </row>
    <row r="21423">
      <c r="BB21423" s="122"/>
      <c r="BC21423" s="141"/>
    </row>
    <row r="21424">
      <c r="BB21424" s="122"/>
      <c r="BC21424" s="141"/>
    </row>
    <row r="21425">
      <c r="BB21425" s="122"/>
      <c r="BC21425" s="141"/>
    </row>
    <row r="21426">
      <c r="BB21426" s="122"/>
      <c r="BC21426" s="141"/>
    </row>
    <row r="21427">
      <c r="BB21427" s="122"/>
      <c r="BC21427" s="141"/>
    </row>
    <row r="21428">
      <c r="BB21428" s="122"/>
      <c r="BC21428" s="141"/>
    </row>
    <row r="21429">
      <c r="BB21429" s="122"/>
      <c r="BC21429" s="141"/>
    </row>
    <row r="21430">
      <c r="BB21430" s="122"/>
      <c r="BC21430" s="141"/>
    </row>
    <row r="21431">
      <c r="BB21431" s="122"/>
      <c r="BC21431" s="141"/>
    </row>
    <row r="21432">
      <c r="BB21432" s="122"/>
      <c r="BC21432" s="141"/>
    </row>
    <row r="21433">
      <c r="BB21433" s="122"/>
      <c r="BC21433" s="141"/>
    </row>
    <row r="21434">
      <c r="BB21434" s="122"/>
      <c r="BC21434" s="141"/>
    </row>
    <row r="21435">
      <c r="BB21435" s="122"/>
      <c r="BC21435" s="141"/>
    </row>
    <row r="21436">
      <c r="BB21436" s="122"/>
      <c r="BC21436" s="141"/>
    </row>
    <row r="21437">
      <c r="BB21437" s="122"/>
      <c r="BC21437" s="141"/>
    </row>
    <row r="21438">
      <c r="BB21438" s="122"/>
      <c r="BC21438" s="141"/>
    </row>
    <row r="21439">
      <c r="BB21439" s="122"/>
      <c r="BC21439" s="141"/>
    </row>
    <row r="21440">
      <c r="BB21440" s="122"/>
      <c r="BC21440" s="141"/>
    </row>
    <row r="21441">
      <c r="BB21441" s="122"/>
      <c r="BC21441" s="141"/>
    </row>
    <row r="21442">
      <c r="BB21442" s="122"/>
      <c r="BC21442" s="141"/>
    </row>
    <row r="21443">
      <c r="BB21443" s="122"/>
      <c r="BC21443" s="141"/>
    </row>
    <row r="21444">
      <c r="BB21444" s="122"/>
      <c r="BC21444" s="141"/>
    </row>
    <row r="21445">
      <c r="BB21445" s="122"/>
      <c r="BC21445" s="141"/>
    </row>
    <row r="21446">
      <c r="BB21446" s="122"/>
      <c r="BC21446" s="141"/>
    </row>
    <row r="21447">
      <c r="BB21447" s="122"/>
      <c r="BC21447" s="141"/>
    </row>
    <row r="21448">
      <c r="BB21448" s="122"/>
      <c r="BC21448" s="141"/>
    </row>
    <row r="21449">
      <c r="BB21449" s="122"/>
      <c r="BC21449" s="141"/>
    </row>
    <row r="21450">
      <c r="BB21450" s="122"/>
      <c r="BC21450" s="141"/>
    </row>
    <row r="21451">
      <c r="BB21451" s="122"/>
      <c r="BC21451" s="141"/>
    </row>
    <row r="21452">
      <c r="BB21452" s="122"/>
      <c r="BC21452" s="141"/>
    </row>
    <row r="21453">
      <c r="BB21453" s="122"/>
      <c r="BC21453" s="141"/>
    </row>
    <row r="21454">
      <c r="BB21454" s="122"/>
      <c r="BC21454" s="141"/>
    </row>
    <row r="21455">
      <c r="BB21455" s="122"/>
      <c r="BC21455" s="141"/>
    </row>
    <row r="21456">
      <c r="BB21456" s="122"/>
      <c r="BC21456" s="141"/>
    </row>
    <row r="21457">
      <c r="BB21457" s="122"/>
      <c r="BC21457" s="141"/>
    </row>
    <row r="21458">
      <c r="BB21458" s="122"/>
      <c r="BC21458" s="141"/>
    </row>
    <row r="21459">
      <c r="BB21459" s="122"/>
      <c r="BC21459" s="141"/>
    </row>
    <row r="21460">
      <c r="BB21460" s="122"/>
      <c r="BC21460" s="141"/>
    </row>
    <row r="21461">
      <c r="BB21461" s="122"/>
      <c r="BC21461" s="141"/>
    </row>
    <row r="21462">
      <c r="BB21462" s="122"/>
      <c r="BC21462" s="141"/>
    </row>
    <row r="21463">
      <c r="BB21463" s="122"/>
      <c r="BC21463" s="141"/>
    </row>
    <row r="21464">
      <c r="BB21464" s="122"/>
      <c r="BC21464" s="141"/>
    </row>
    <row r="21465">
      <c r="BB21465" s="122"/>
      <c r="BC21465" s="141"/>
    </row>
    <row r="21466">
      <c r="BB21466" s="122"/>
      <c r="BC21466" s="141"/>
    </row>
    <row r="21467">
      <c r="BB21467" s="122"/>
      <c r="BC21467" s="141"/>
    </row>
    <row r="21468">
      <c r="BB21468" s="122"/>
      <c r="BC21468" s="141"/>
    </row>
    <row r="21469">
      <c r="BB21469" s="122"/>
      <c r="BC21469" s="141"/>
    </row>
    <row r="21470">
      <c r="BB21470" s="122"/>
      <c r="BC21470" s="141"/>
    </row>
    <row r="21471">
      <c r="BB21471" s="122"/>
      <c r="BC21471" s="141"/>
    </row>
    <row r="21472">
      <c r="BB21472" s="122"/>
      <c r="BC21472" s="141"/>
    </row>
    <row r="21473">
      <c r="BB21473" s="122"/>
      <c r="BC21473" s="141"/>
    </row>
    <row r="21474">
      <c r="BB21474" s="122"/>
      <c r="BC21474" s="141"/>
    </row>
    <row r="21475">
      <c r="BB21475" s="122"/>
      <c r="BC21475" s="141"/>
    </row>
    <row r="21476">
      <c r="BB21476" s="122"/>
      <c r="BC21476" s="141"/>
    </row>
    <row r="21477">
      <c r="BB21477" s="122"/>
      <c r="BC21477" s="141"/>
    </row>
    <row r="21478">
      <c r="BB21478" s="122"/>
      <c r="BC21478" s="141"/>
    </row>
    <row r="21479">
      <c r="BB21479" s="122"/>
      <c r="BC21479" s="141"/>
    </row>
    <row r="21480">
      <c r="BB21480" s="122"/>
      <c r="BC21480" s="141"/>
    </row>
    <row r="21481">
      <c r="BB21481" s="122"/>
      <c r="BC21481" s="141"/>
    </row>
    <row r="21482">
      <c r="BB21482" s="122"/>
      <c r="BC21482" s="141"/>
    </row>
    <row r="21483">
      <c r="BB21483" s="122"/>
      <c r="BC21483" s="141"/>
    </row>
    <row r="21484">
      <c r="BB21484" s="122"/>
      <c r="BC21484" s="141"/>
    </row>
    <row r="21485">
      <c r="BB21485" s="122"/>
      <c r="BC21485" s="141"/>
    </row>
    <row r="21486">
      <c r="BB21486" s="122"/>
      <c r="BC21486" s="141"/>
    </row>
    <row r="21487">
      <c r="BB21487" s="122"/>
      <c r="BC21487" s="141"/>
    </row>
    <row r="21488">
      <c r="BB21488" s="122"/>
      <c r="BC21488" s="141"/>
    </row>
    <row r="21489">
      <c r="BB21489" s="122"/>
      <c r="BC21489" s="141"/>
    </row>
    <row r="21490">
      <c r="BB21490" s="122"/>
      <c r="BC21490" s="141"/>
    </row>
    <row r="21491">
      <c r="BB21491" s="122"/>
      <c r="BC21491" s="141"/>
    </row>
    <row r="21492">
      <c r="BB21492" s="122"/>
      <c r="BC21492" s="141"/>
    </row>
    <row r="21493">
      <c r="BB21493" s="122"/>
      <c r="BC21493" s="141"/>
    </row>
    <row r="21494">
      <c r="BB21494" s="122"/>
      <c r="BC21494" s="141"/>
    </row>
    <row r="21495">
      <c r="BB21495" s="122"/>
      <c r="BC21495" s="141"/>
    </row>
    <row r="21496">
      <c r="BB21496" s="122"/>
      <c r="BC21496" s="141"/>
    </row>
    <row r="21497">
      <c r="BB21497" s="122"/>
      <c r="BC21497" s="141"/>
    </row>
    <row r="21498">
      <c r="BB21498" s="122"/>
      <c r="BC21498" s="141"/>
    </row>
    <row r="21499">
      <c r="BB21499" s="122"/>
      <c r="BC21499" s="141"/>
    </row>
    <row r="21500">
      <c r="BB21500" s="122"/>
      <c r="BC21500" s="141"/>
    </row>
    <row r="21501">
      <c r="BB21501" s="122"/>
      <c r="BC21501" s="141"/>
    </row>
    <row r="21502">
      <c r="BB21502" s="122"/>
      <c r="BC21502" s="141"/>
    </row>
    <row r="21503">
      <c r="BB21503" s="122"/>
      <c r="BC21503" s="141"/>
    </row>
    <row r="21504">
      <c r="BB21504" s="122"/>
      <c r="BC21504" s="141"/>
    </row>
    <row r="21505">
      <c r="BB21505" s="122"/>
      <c r="BC21505" s="141"/>
    </row>
    <row r="21506">
      <c r="BB21506" s="122"/>
      <c r="BC21506" s="141"/>
    </row>
    <row r="21507">
      <c r="BB21507" s="122"/>
      <c r="BC21507" s="141"/>
    </row>
    <row r="21508">
      <c r="BB21508" s="122"/>
      <c r="BC21508" s="141"/>
    </row>
    <row r="21509">
      <c r="BB21509" s="122"/>
      <c r="BC21509" s="141"/>
    </row>
    <row r="21510">
      <c r="BB21510" s="122"/>
      <c r="BC21510" s="141"/>
    </row>
    <row r="21511">
      <c r="BB21511" s="122"/>
      <c r="BC21511" s="141"/>
    </row>
    <row r="21512">
      <c r="BB21512" s="122"/>
      <c r="BC21512" s="141"/>
    </row>
    <row r="21513">
      <c r="BB21513" s="122"/>
      <c r="BC21513" s="141"/>
    </row>
    <row r="21514">
      <c r="BB21514" s="122"/>
      <c r="BC21514" s="141"/>
    </row>
    <row r="21515">
      <c r="BB21515" s="122"/>
      <c r="BC21515" s="141"/>
    </row>
    <row r="21516">
      <c r="BB21516" s="122"/>
      <c r="BC21516" s="141"/>
    </row>
    <row r="21517">
      <c r="BB21517" s="122"/>
      <c r="BC21517" s="141"/>
    </row>
    <row r="21518">
      <c r="BB21518" s="122"/>
      <c r="BC21518" s="141"/>
    </row>
    <row r="21519">
      <c r="BB21519" s="122"/>
      <c r="BC21519" s="141"/>
    </row>
    <row r="21520">
      <c r="BB21520" s="122"/>
      <c r="BC21520" s="141"/>
    </row>
    <row r="21521">
      <c r="BB21521" s="122"/>
      <c r="BC21521" s="141"/>
    </row>
    <row r="21522">
      <c r="BB21522" s="122"/>
      <c r="BC21522" s="141"/>
    </row>
    <row r="21523">
      <c r="BB21523" s="122"/>
      <c r="BC21523" s="141"/>
    </row>
    <row r="21524">
      <c r="BB21524" s="122"/>
      <c r="BC21524" s="141"/>
    </row>
    <row r="21525">
      <c r="BB21525" s="122"/>
      <c r="BC21525" s="141"/>
    </row>
    <row r="21526">
      <c r="BB21526" s="122"/>
      <c r="BC21526" s="141"/>
    </row>
    <row r="21527">
      <c r="BB21527" s="122"/>
      <c r="BC21527" s="141"/>
    </row>
    <row r="21528">
      <c r="BB21528" s="122"/>
      <c r="BC21528" s="141"/>
    </row>
    <row r="21529">
      <c r="BB21529" s="122"/>
      <c r="BC21529" s="141"/>
    </row>
    <row r="21530">
      <c r="BB21530" s="122"/>
      <c r="BC21530" s="141"/>
    </row>
    <row r="21531">
      <c r="BB21531" s="122"/>
      <c r="BC21531" s="141"/>
    </row>
    <row r="21532">
      <c r="BB21532" s="122"/>
      <c r="BC21532" s="141"/>
    </row>
    <row r="21533">
      <c r="BB21533" s="122"/>
      <c r="BC21533" s="141"/>
    </row>
    <row r="21534">
      <c r="BB21534" s="122"/>
      <c r="BC21534" s="141"/>
    </row>
    <row r="21535">
      <c r="BB21535" s="122"/>
      <c r="BC21535" s="141"/>
    </row>
    <row r="21536">
      <c r="BB21536" s="122"/>
      <c r="BC21536" s="141"/>
    </row>
    <row r="21537">
      <c r="BB21537" s="122"/>
      <c r="BC21537" s="141"/>
    </row>
    <row r="21538">
      <c r="BB21538" s="122"/>
      <c r="BC21538" s="141"/>
    </row>
    <row r="21539">
      <c r="BB21539" s="122"/>
      <c r="BC21539" s="141"/>
    </row>
    <row r="21540">
      <c r="BB21540" s="122"/>
      <c r="BC21540" s="141"/>
    </row>
    <row r="21541">
      <c r="BB21541" s="122"/>
      <c r="BC21541" s="141"/>
    </row>
    <row r="21542">
      <c r="BB21542" s="122"/>
      <c r="BC21542" s="141"/>
    </row>
    <row r="21543">
      <c r="BB21543" s="122"/>
      <c r="BC21543" s="141"/>
    </row>
    <row r="21544">
      <c r="BB21544" s="122"/>
      <c r="BC21544" s="141"/>
    </row>
    <row r="21545">
      <c r="BB21545" s="122"/>
      <c r="BC21545" s="141"/>
    </row>
    <row r="21546">
      <c r="BB21546" s="122"/>
      <c r="BC21546" s="141"/>
    </row>
    <row r="21547">
      <c r="BB21547" s="122"/>
      <c r="BC21547" s="141"/>
    </row>
    <row r="21548">
      <c r="BB21548" s="122"/>
      <c r="BC21548" s="141"/>
    </row>
    <row r="21549">
      <c r="BB21549" s="122"/>
      <c r="BC21549" s="141"/>
    </row>
    <row r="21550">
      <c r="BB21550" s="122"/>
      <c r="BC21550" s="141"/>
    </row>
    <row r="21551">
      <c r="BB21551" s="122"/>
      <c r="BC21551" s="141"/>
    </row>
    <row r="21552">
      <c r="BB21552" s="122"/>
      <c r="BC21552" s="141"/>
    </row>
    <row r="21553">
      <c r="BB21553" s="122"/>
      <c r="BC21553" s="141"/>
    </row>
    <row r="21554">
      <c r="BB21554" s="122"/>
      <c r="BC21554" s="141"/>
    </row>
    <row r="21555">
      <c r="BB21555" s="122"/>
      <c r="BC21555" s="141"/>
    </row>
    <row r="21556">
      <c r="BB21556" s="122"/>
      <c r="BC21556" s="141"/>
    </row>
    <row r="21557">
      <c r="BB21557" s="122"/>
      <c r="BC21557" s="141"/>
    </row>
    <row r="21558">
      <c r="BB21558" s="122"/>
      <c r="BC21558" s="141"/>
    </row>
    <row r="21559">
      <c r="BB21559" s="122"/>
      <c r="BC21559" s="141"/>
    </row>
    <row r="21560">
      <c r="BB21560" s="122"/>
      <c r="BC21560" s="141"/>
    </row>
    <row r="21561">
      <c r="BB21561" s="122"/>
      <c r="BC21561" s="141"/>
    </row>
    <row r="21562">
      <c r="BB21562" s="122"/>
      <c r="BC21562" s="141"/>
    </row>
    <row r="21563">
      <c r="BB21563" s="122"/>
      <c r="BC21563" s="141"/>
    </row>
    <row r="21564">
      <c r="BB21564" s="122"/>
      <c r="BC21564" s="141"/>
    </row>
    <row r="21565">
      <c r="BB21565" s="122"/>
      <c r="BC21565" s="141"/>
    </row>
    <row r="21566">
      <c r="BB21566" s="122"/>
      <c r="BC21566" s="141"/>
    </row>
    <row r="21567">
      <c r="BB21567" s="122"/>
      <c r="BC21567" s="141"/>
    </row>
    <row r="21568">
      <c r="BB21568" s="122"/>
      <c r="BC21568" s="141"/>
    </row>
    <row r="21569">
      <c r="BB21569" s="122"/>
      <c r="BC21569" s="141"/>
    </row>
    <row r="21570">
      <c r="BB21570" s="122"/>
      <c r="BC21570" s="141"/>
    </row>
    <row r="21571">
      <c r="BB21571" s="122"/>
      <c r="BC21571" s="141"/>
    </row>
    <row r="21572">
      <c r="BB21572" s="122"/>
      <c r="BC21572" s="141"/>
    </row>
    <row r="21573">
      <c r="BB21573" s="122"/>
      <c r="BC21573" s="141"/>
    </row>
    <row r="21574">
      <c r="BB21574" s="122"/>
      <c r="BC21574" s="141"/>
    </row>
    <row r="21575">
      <c r="BB21575" s="122"/>
      <c r="BC21575" s="141"/>
    </row>
    <row r="21576">
      <c r="BB21576" s="122"/>
      <c r="BC21576" s="141"/>
    </row>
    <row r="21577">
      <c r="BB21577" s="122"/>
      <c r="BC21577" s="141"/>
    </row>
    <row r="21578">
      <c r="BB21578" s="122"/>
      <c r="BC21578" s="141"/>
    </row>
    <row r="21579">
      <c r="BB21579" s="122"/>
      <c r="BC21579" s="141"/>
    </row>
    <row r="21580">
      <c r="BB21580" s="122"/>
      <c r="BC21580" s="141"/>
    </row>
    <row r="21581">
      <c r="BB21581" s="122"/>
      <c r="BC21581" s="141"/>
    </row>
    <row r="21582">
      <c r="BB21582" s="122"/>
      <c r="BC21582" s="141"/>
    </row>
    <row r="21583">
      <c r="BB21583" s="122"/>
      <c r="BC21583" s="141"/>
    </row>
    <row r="21584">
      <c r="BB21584" s="122"/>
      <c r="BC21584" s="141"/>
    </row>
    <row r="21585">
      <c r="BB21585" s="122"/>
      <c r="BC21585" s="141"/>
    </row>
    <row r="21586">
      <c r="BB21586" s="122"/>
      <c r="BC21586" s="141"/>
    </row>
    <row r="21587">
      <c r="BB21587" s="122"/>
      <c r="BC21587" s="141"/>
    </row>
    <row r="21588">
      <c r="BB21588" s="122"/>
      <c r="BC21588" s="141"/>
    </row>
    <row r="21589">
      <c r="BB21589" s="122"/>
      <c r="BC21589" s="141"/>
    </row>
    <row r="21590">
      <c r="BB21590" s="122"/>
      <c r="BC21590" s="141"/>
    </row>
    <row r="21591">
      <c r="BB21591" s="122"/>
      <c r="BC21591" s="141"/>
    </row>
    <row r="21592">
      <c r="BB21592" s="122"/>
      <c r="BC21592" s="141"/>
    </row>
    <row r="21593">
      <c r="BB21593" s="122"/>
      <c r="BC21593" s="141"/>
    </row>
    <row r="21594">
      <c r="BB21594" s="122"/>
      <c r="BC21594" s="141"/>
    </row>
    <row r="21595">
      <c r="BB21595" s="122"/>
      <c r="BC21595" s="141"/>
    </row>
    <row r="21596">
      <c r="BB21596" s="122"/>
      <c r="BC21596" s="141"/>
    </row>
    <row r="21597">
      <c r="BB21597" s="122"/>
      <c r="BC21597" s="141"/>
    </row>
    <row r="21598">
      <c r="BB21598" s="122"/>
      <c r="BC21598" s="141"/>
    </row>
    <row r="21599">
      <c r="BB21599" s="122"/>
      <c r="BC21599" s="141"/>
    </row>
    <row r="21600">
      <c r="BB21600" s="122"/>
      <c r="BC21600" s="141"/>
    </row>
    <row r="21601">
      <c r="BB21601" s="122"/>
      <c r="BC21601" s="141"/>
    </row>
    <row r="21602">
      <c r="BB21602" s="122"/>
      <c r="BC21602" s="141"/>
    </row>
    <row r="21603">
      <c r="BB21603" s="122"/>
      <c r="BC21603" s="141"/>
    </row>
    <row r="21604">
      <c r="BB21604" s="122"/>
      <c r="BC21604" s="141"/>
    </row>
    <row r="21605">
      <c r="BB21605" s="122"/>
      <c r="BC21605" s="141"/>
    </row>
    <row r="21606">
      <c r="BB21606" s="122"/>
      <c r="BC21606" s="141"/>
    </row>
    <row r="21607">
      <c r="BB21607" s="122"/>
      <c r="BC21607" s="141"/>
    </row>
    <row r="21608">
      <c r="BB21608" s="122"/>
      <c r="BC21608" s="141"/>
    </row>
    <row r="21609">
      <c r="BB21609" s="122"/>
      <c r="BC21609" s="141"/>
    </row>
    <row r="21610">
      <c r="BB21610" s="122"/>
      <c r="BC21610" s="141"/>
    </row>
    <row r="21611">
      <c r="BB21611" s="122"/>
      <c r="BC21611" s="141"/>
    </row>
    <row r="21612">
      <c r="BB21612" s="122"/>
      <c r="BC21612" s="141"/>
    </row>
    <row r="21613">
      <c r="BB21613" s="122"/>
      <c r="BC21613" s="141"/>
    </row>
    <row r="21614">
      <c r="BB21614" s="122"/>
      <c r="BC21614" s="141"/>
    </row>
    <row r="21615">
      <c r="BB21615" s="122"/>
      <c r="BC21615" s="141"/>
    </row>
    <row r="21616">
      <c r="BB21616" s="122"/>
      <c r="BC21616" s="141"/>
    </row>
    <row r="21617">
      <c r="BB21617" s="122"/>
      <c r="BC21617" s="141"/>
    </row>
    <row r="21618">
      <c r="BB21618" s="122"/>
      <c r="BC21618" s="141"/>
    </row>
    <row r="21619">
      <c r="BB21619" s="122"/>
      <c r="BC21619" s="141"/>
    </row>
    <row r="21620">
      <c r="BB21620" s="122"/>
      <c r="BC21620" s="141"/>
    </row>
    <row r="21621">
      <c r="BB21621" s="122"/>
      <c r="BC21621" s="141"/>
    </row>
    <row r="21622">
      <c r="BB21622" s="122"/>
      <c r="BC21622" s="141"/>
    </row>
    <row r="21623">
      <c r="BB21623" s="122"/>
      <c r="BC21623" s="141"/>
    </row>
    <row r="21624">
      <c r="BB21624" s="122"/>
      <c r="BC21624" s="141"/>
    </row>
    <row r="21625">
      <c r="BB21625" s="122"/>
      <c r="BC21625" s="141"/>
    </row>
    <row r="21626">
      <c r="BB21626" s="122"/>
      <c r="BC21626" s="141"/>
    </row>
    <row r="21627">
      <c r="BB21627" s="122"/>
      <c r="BC21627" s="141"/>
    </row>
    <row r="21628">
      <c r="BB21628" s="122"/>
      <c r="BC21628" s="141"/>
    </row>
    <row r="21629">
      <c r="BB21629" s="122"/>
      <c r="BC21629" s="141"/>
    </row>
    <row r="21630">
      <c r="BB21630" s="122"/>
      <c r="BC21630" s="141"/>
    </row>
    <row r="21631">
      <c r="BB21631" s="122"/>
      <c r="BC21631" s="141"/>
    </row>
    <row r="21632">
      <c r="BB21632" s="122"/>
      <c r="BC21632" s="141"/>
    </row>
    <row r="21633">
      <c r="BB21633" s="122"/>
      <c r="BC21633" s="141"/>
    </row>
    <row r="21634">
      <c r="BB21634" s="122"/>
      <c r="BC21634" s="141"/>
    </row>
    <row r="21635">
      <c r="BB21635" s="122"/>
      <c r="BC21635" s="141"/>
    </row>
    <row r="21636">
      <c r="BB21636" s="122"/>
      <c r="BC21636" s="141"/>
    </row>
    <row r="21637">
      <c r="BB21637" s="122"/>
      <c r="BC21637" s="141"/>
    </row>
    <row r="21638">
      <c r="BB21638" s="122"/>
      <c r="BC21638" s="141"/>
    </row>
    <row r="21639">
      <c r="BB21639" s="122"/>
      <c r="BC21639" s="141"/>
    </row>
    <row r="21640">
      <c r="BB21640" s="122"/>
      <c r="BC21640" s="141"/>
    </row>
    <row r="21641">
      <c r="BB21641" s="122"/>
      <c r="BC21641" s="141"/>
    </row>
    <row r="21642">
      <c r="BB21642" s="122"/>
      <c r="BC21642" s="141"/>
    </row>
    <row r="21643">
      <c r="BB21643" s="122"/>
      <c r="BC21643" s="141"/>
    </row>
    <row r="21644">
      <c r="BB21644" s="122"/>
      <c r="BC21644" s="141"/>
    </row>
    <row r="21645">
      <c r="BB21645" s="122"/>
      <c r="BC21645" s="141"/>
    </row>
    <row r="21646">
      <c r="BB21646" s="122"/>
      <c r="BC21646" s="141"/>
    </row>
    <row r="21647">
      <c r="BB21647" s="122"/>
      <c r="BC21647" s="141"/>
    </row>
    <row r="21648">
      <c r="BB21648" s="122"/>
      <c r="BC21648" s="141"/>
    </row>
    <row r="21649">
      <c r="BB21649" s="122"/>
      <c r="BC21649" s="141"/>
    </row>
    <row r="21650">
      <c r="BB21650" s="122"/>
      <c r="BC21650" s="141"/>
    </row>
    <row r="21651">
      <c r="BB21651" s="122"/>
      <c r="BC21651" s="141"/>
    </row>
    <row r="21652">
      <c r="BB21652" s="122"/>
      <c r="BC21652" s="141"/>
    </row>
    <row r="21653">
      <c r="BB21653" s="122"/>
      <c r="BC21653" s="141"/>
    </row>
    <row r="21654">
      <c r="BB21654" s="122"/>
      <c r="BC21654" s="141"/>
    </row>
    <row r="21655">
      <c r="BB21655" s="122"/>
      <c r="BC21655" s="141"/>
    </row>
    <row r="21656">
      <c r="BB21656" s="122"/>
      <c r="BC21656" s="141"/>
    </row>
    <row r="21657">
      <c r="BB21657" s="122"/>
      <c r="BC21657" s="141"/>
    </row>
    <row r="21658">
      <c r="BB21658" s="122"/>
      <c r="BC21658" s="141"/>
    </row>
    <row r="21659">
      <c r="BB21659" s="122"/>
      <c r="BC21659" s="141"/>
    </row>
    <row r="21660">
      <c r="BB21660" s="122"/>
      <c r="BC21660" s="141"/>
    </row>
    <row r="21661">
      <c r="BB21661" s="122"/>
      <c r="BC21661" s="141"/>
    </row>
    <row r="21662">
      <c r="BB21662" s="122"/>
      <c r="BC21662" s="141"/>
    </row>
    <row r="21663">
      <c r="BB21663" s="122"/>
      <c r="BC21663" s="141"/>
    </row>
    <row r="21664">
      <c r="BB21664" s="122"/>
      <c r="BC21664" s="141"/>
    </row>
    <row r="21665">
      <c r="BB21665" s="122"/>
      <c r="BC21665" s="141"/>
    </row>
    <row r="21666">
      <c r="BB21666" s="122"/>
      <c r="BC21666" s="141"/>
    </row>
    <row r="21667">
      <c r="BB21667" s="122"/>
      <c r="BC21667" s="141"/>
    </row>
    <row r="21668">
      <c r="BB21668" s="122"/>
      <c r="BC21668" s="141"/>
    </row>
    <row r="21669">
      <c r="BB21669" s="122"/>
      <c r="BC21669" s="141"/>
    </row>
    <row r="21670">
      <c r="BB21670" s="122"/>
      <c r="BC21670" s="141"/>
    </row>
    <row r="21671">
      <c r="BB21671" s="122"/>
      <c r="BC21671" s="141"/>
    </row>
    <row r="21672">
      <c r="BB21672" s="122"/>
      <c r="BC21672" s="141"/>
    </row>
    <row r="21673">
      <c r="BB21673" s="122"/>
      <c r="BC21673" s="141"/>
    </row>
    <row r="21674">
      <c r="BB21674" s="122"/>
      <c r="BC21674" s="141"/>
    </row>
    <row r="21675">
      <c r="BB21675" s="122"/>
      <c r="BC21675" s="141"/>
    </row>
    <row r="21676">
      <c r="BB21676" s="122"/>
      <c r="BC21676" s="141"/>
    </row>
    <row r="21677">
      <c r="BB21677" s="122"/>
      <c r="BC21677" s="141"/>
    </row>
    <row r="21678">
      <c r="BB21678" s="122"/>
      <c r="BC21678" s="141"/>
    </row>
    <row r="21679">
      <c r="BB21679" s="122"/>
      <c r="BC21679" s="141"/>
    </row>
    <row r="21680">
      <c r="BB21680" s="122"/>
      <c r="BC21680" s="141"/>
    </row>
    <row r="21681">
      <c r="BB21681" s="122"/>
      <c r="BC21681" s="141"/>
    </row>
    <row r="21682">
      <c r="BB21682" s="122"/>
      <c r="BC21682" s="141"/>
    </row>
    <row r="21683">
      <c r="BB21683" s="122"/>
      <c r="BC21683" s="141"/>
    </row>
    <row r="21684">
      <c r="BB21684" s="122"/>
      <c r="BC21684" s="141"/>
    </row>
    <row r="21685">
      <c r="BB21685" s="122"/>
      <c r="BC21685" s="141"/>
    </row>
    <row r="21686">
      <c r="BB21686" s="122"/>
      <c r="BC21686" s="141"/>
    </row>
    <row r="21687">
      <c r="BB21687" s="122"/>
      <c r="BC21687" s="141"/>
    </row>
    <row r="21688">
      <c r="BB21688" s="122"/>
      <c r="BC21688" s="141"/>
    </row>
    <row r="21689">
      <c r="BB21689" s="122"/>
      <c r="BC21689" s="141"/>
    </row>
    <row r="21690">
      <c r="BB21690" s="122"/>
      <c r="BC21690" s="141"/>
    </row>
    <row r="21691">
      <c r="BB21691" s="122"/>
      <c r="BC21691" s="141"/>
    </row>
    <row r="21692">
      <c r="BB21692" s="122"/>
      <c r="BC21692" s="141"/>
    </row>
    <row r="21693">
      <c r="BB21693" s="122"/>
      <c r="BC21693" s="141"/>
    </row>
    <row r="21694">
      <c r="BB21694" s="122"/>
      <c r="BC21694" s="141"/>
    </row>
    <row r="21695">
      <c r="BB21695" s="122"/>
      <c r="BC21695" s="141"/>
    </row>
    <row r="21696">
      <c r="BB21696" s="122"/>
      <c r="BC21696" s="141"/>
    </row>
    <row r="21697">
      <c r="BB21697" s="122"/>
      <c r="BC21697" s="141"/>
    </row>
    <row r="21698">
      <c r="BB21698" s="122"/>
      <c r="BC21698" s="141"/>
    </row>
    <row r="21699">
      <c r="BB21699" s="122"/>
      <c r="BC21699" s="141"/>
    </row>
    <row r="21700">
      <c r="BB21700" s="122"/>
      <c r="BC21700" s="141"/>
    </row>
    <row r="21701">
      <c r="BB21701" s="122"/>
      <c r="BC21701" s="141"/>
    </row>
    <row r="21702">
      <c r="BB21702" s="122"/>
      <c r="BC21702" s="141"/>
    </row>
    <row r="21703">
      <c r="BB21703" s="122"/>
      <c r="BC21703" s="141"/>
    </row>
    <row r="21704">
      <c r="BB21704" s="122"/>
      <c r="BC21704" s="141"/>
    </row>
    <row r="21705">
      <c r="BB21705" s="122"/>
      <c r="BC21705" s="141"/>
    </row>
    <row r="21706">
      <c r="BB21706" s="122"/>
      <c r="BC21706" s="141"/>
    </row>
    <row r="21707">
      <c r="BB21707" s="122"/>
      <c r="BC21707" s="141"/>
    </row>
    <row r="21708">
      <c r="BB21708" s="122"/>
      <c r="BC21708" s="141"/>
    </row>
    <row r="21709">
      <c r="BB21709" s="122"/>
      <c r="BC21709" s="141"/>
    </row>
    <row r="21710">
      <c r="BB21710" s="122"/>
      <c r="BC21710" s="141"/>
    </row>
    <row r="21711">
      <c r="BB21711" s="122"/>
      <c r="BC21711" s="141"/>
    </row>
    <row r="21712">
      <c r="BB21712" s="122"/>
      <c r="BC21712" s="141"/>
    </row>
    <row r="21713">
      <c r="BB21713" s="122"/>
      <c r="BC21713" s="141"/>
    </row>
    <row r="21714">
      <c r="BB21714" s="122"/>
      <c r="BC21714" s="141"/>
    </row>
    <row r="21715">
      <c r="BB21715" s="122"/>
      <c r="BC21715" s="141"/>
    </row>
    <row r="21716">
      <c r="BB21716" s="122"/>
      <c r="BC21716" s="141"/>
    </row>
    <row r="21717">
      <c r="BB21717" s="122"/>
      <c r="BC21717" s="141"/>
    </row>
    <row r="21718">
      <c r="BB21718" s="122"/>
      <c r="BC21718" s="141"/>
    </row>
    <row r="21719">
      <c r="BB21719" s="122"/>
      <c r="BC21719" s="141"/>
    </row>
    <row r="21720">
      <c r="BB21720" s="122"/>
      <c r="BC21720" s="141"/>
    </row>
    <row r="21721">
      <c r="BB21721" s="122"/>
      <c r="BC21721" s="141"/>
    </row>
    <row r="21722">
      <c r="BB21722" s="122"/>
      <c r="BC21722" s="141"/>
    </row>
    <row r="21723">
      <c r="BB21723" s="122"/>
      <c r="BC21723" s="141"/>
    </row>
    <row r="21724">
      <c r="BB21724" s="122"/>
      <c r="BC21724" s="141"/>
    </row>
    <row r="21725">
      <c r="BB21725" s="122"/>
      <c r="BC21725" s="141"/>
    </row>
    <row r="21726">
      <c r="BB21726" s="122"/>
      <c r="BC21726" s="141"/>
    </row>
    <row r="21727">
      <c r="BB21727" s="122"/>
      <c r="BC21727" s="141"/>
    </row>
    <row r="21728">
      <c r="BB21728" s="122"/>
      <c r="BC21728" s="141"/>
    </row>
    <row r="21729">
      <c r="BB21729" s="122"/>
      <c r="BC21729" s="141"/>
    </row>
    <row r="21730">
      <c r="BB21730" s="122"/>
      <c r="BC21730" s="141"/>
    </row>
    <row r="21731">
      <c r="BB21731" s="122"/>
      <c r="BC21731" s="141"/>
    </row>
    <row r="21732">
      <c r="BB21732" s="122"/>
      <c r="BC21732" s="141"/>
    </row>
    <row r="21733">
      <c r="BB21733" s="122"/>
      <c r="BC21733" s="141"/>
    </row>
    <row r="21734">
      <c r="BB21734" s="122"/>
      <c r="BC21734" s="141"/>
    </row>
    <row r="21735">
      <c r="BB21735" s="122"/>
      <c r="BC21735" s="141"/>
    </row>
    <row r="21736">
      <c r="BB21736" s="122"/>
      <c r="BC21736" s="141"/>
    </row>
    <row r="21737">
      <c r="BB21737" s="122"/>
      <c r="BC21737" s="141"/>
    </row>
    <row r="21738">
      <c r="BB21738" s="122"/>
      <c r="BC21738" s="141"/>
    </row>
    <row r="21739">
      <c r="BB21739" s="122"/>
      <c r="BC21739" s="141"/>
    </row>
    <row r="21740">
      <c r="BB21740" s="122"/>
      <c r="BC21740" s="141"/>
    </row>
    <row r="21741">
      <c r="BB21741" s="122"/>
      <c r="BC21741" s="141"/>
    </row>
    <row r="21742">
      <c r="BB21742" s="122"/>
      <c r="BC21742" s="141"/>
    </row>
    <row r="21743">
      <c r="BB21743" s="122"/>
      <c r="BC21743" s="141"/>
    </row>
    <row r="21744">
      <c r="BB21744" s="122"/>
      <c r="BC21744" s="141"/>
    </row>
    <row r="21745">
      <c r="BB21745" s="122"/>
      <c r="BC21745" s="141"/>
    </row>
    <row r="21746">
      <c r="BB21746" s="122"/>
      <c r="BC21746" s="141"/>
    </row>
    <row r="21747">
      <c r="BB21747" s="122"/>
      <c r="BC21747" s="141"/>
    </row>
    <row r="21748">
      <c r="BB21748" s="122"/>
      <c r="BC21748" s="141"/>
    </row>
    <row r="21749">
      <c r="BB21749" s="122"/>
      <c r="BC21749" s="141"/>
    </row>
    <row r="21750">
      <c r="BB21750" s="122"/>
      <c r="BC21750" s="141"/>
    </row>
    <row r="21751">
      <c r="BB21751" s="122"/>
      <c r="BC21751" s="141"/>
    </row>
    <row r="21752">
      <c r="BB21752" s="122"/>
      <c r="BC21752" s="141"/>
    </row>
    <row r="21753">
      <c r="BB21753" s="122"/>
      <c r="BC21753" s="141"/>
    </row>
    <row r="21754">
      <c r="BB21754" s="122"/>
      <c r="BC21754" s="141"/>
    </row>
    <row r="21755">
      <c r="BB21755" s="122"/>
      <c r="BC21755" s="141"/>
    </row>
    <row r="21756">
      <c r="BB21756" s="122"/>
      <c r="BC21756" s="141"/>
    </row>
    <row r="21757">
      <c r="BB21757" s="122"/>
      <c r="BC21757" s="141"/>
    </row>
    <row r="21758">
      <c r="BB21758" s="122"/>
      <c r="BC21758" s="141"/>
    </row>
    <row r="21759">
      <c r="BB21759" s="122"/>
      <c r="BC21759" s="141"/>
    </row>
    <row r="21760">
      <c r="BB21760" s="122"/>
      <c r="BC21760" s="141"/>
    </row>
    <row r="21761">
      <c r="BB21761" s="122"/>
      <c r="BC21761" s="141"/>
    </row>
    <row r="21762">
      <c r="BB21762" s="122"/>
      <c r="BC21762" s="141"/>
    </row>
    <row r="21763">
      <c r="BB21763" s="122"/>
      <c r="BC21763" s="141"/>
    </row>
    <row r="21764">
      <c r="BB21764" s="122"/>
      <c r="BC21764" s="141"/>
    </row>
    <row r="21765">
      <c r="BB21765" s="122"/>
      <c r="BC21765" s="141"/>
    </row>
    <row r="21766">
      <c r="BB21766" s="122"/>
      <c r="BC21766" s="141"/>
    </row>
    <row r="21767">
      <c r="BB21767" s="122"/>
      <c r="BC21767" s="141"/>
    </row>
    <row r="21768">
      <c r="BB21768" s="122"/>
      <c r="BC21768" s="141"/>
    </row>
    <row r="21769">
      <c r="BB21769" s="122"/>
      <c r="BC21769" s="141"/>
    </row>
    <row r="21770">
      <c r="BB21770" s="122"/>
      <c r="BC21770" s="141"/>
    </row>
    <row r="21771">
      <c r="BB21771" s="122"/>
      <c r="BC21771" s="141"/>
    </row>
    <row r="21772">
      <c r="BB21772" s="122"/>
      <c r="BC21772" s="141"/>
    </row>
    <row r="21773">
      <c r="BB21773" s="122"/>
      <c r="BC21773" s="141"/>
    </row>
    <row r="21774">
      <c r="BB21774" s="122"/>
      <c r="BC21774" s="141"/>
    </row>
    <row r="21775">
      <c r="BB21775" s="122"/>
      <c r="BC21775" s="141"/>
    </row>
    <row r="21776">
      <c r="BB21776" s="122"/>
      <c r="BC21776" s="141"/>
    </row>
    <row r="21777">
      <c r="BB21777" s="122"/>
      <c r="BC21777" s="141"/>
    </row>
    <row r="21778">
      <c r="BB21778" s="122"/>
      <c r="BC21778" s="141"/>
    </row>
    <row r="21779">
      <c r="BB21779" s="122"/>
      <c r="BC21779" s="141"/>
    </row>
    <row r="21780">
      <c r="BB21780" s="122"/>
      <c r="BC21780" s="141"/>
    </row>
    <row r="21781">
      <c r="BB21781" s="122"/>
      <c r="BC21781" s="141"/>
    </row>
    <row r="21782">
      <c r="BB21782" s="122"/>
      <c r="BC21782" s="141"/>
    </row>
    <row r="21783">
      <c r="BB21783" s="122"/>
      <c r="BC21783" s="141"/>
    </row>
    <row r="21784">
      <c r="BB21784" s="122"/>
      <c r="BC21784" s="141"/>
    </row>
    <row r="21785">
      <c r="BB21785" s="122"/>
      <c r="BC21785" s="141"/>
    </row>
    <row r="21786">
      <c r="BB21786" s="122"/>
      <c r="BC21786" s="141"/>
    </row>
    <row r="21787">
      <c r="BB21787" s="122"/>
      <c r="BC21787" s="141"/>
    </row>
    <row r="21788">
      <c r="BB21788" s="122"/>
      <c r="BC21788" s="141"/>
    </row>
    <row r="21789">
      <c r="BB21789" s="122"/>
      <c r="BC21789" s="141"/>
    </row>
    <row r="21790">
      <c r="BB21790" s="122"/>
      <c r="BC21790" s="141"/>
    </row>
    <row r="21791">
      <c r="BB21791" s="122"/>
      <c r="BC21791" s="141"/>
    </row>
    <row r="21792">
      <c r="BB21792" s="122"/>
      <c r="BC21792" s="141"/>
    </row>
    <row r="21793">
      <c r="BB21793" s="122"/>
      <c r="BC21793" s="141"/>
    </row>
    <row r="21794">
      <c r="BB21794" s="122"/>
      <c r="BC21794" s="141"/>
    </row>
    <row r="21795">
      <c r="BB21795" s="122"/>
      <c r="BC21795" s="141"/>
    </row>
    <row r="21796">
      <c r="BB21796" s="122"/>
      <c r="BC21796" s="141"/>
    </row>
    <row r="21797">
      <c r="BB21797" s="122"/>
      <c r="BC21797" s="141"/>
    </row>
    <row r="21798">
      <c r="BB21798" s="122"/>
      <c r="BC21798" s="141"/>
    </row>
    <row r="21799">
      <c r="BB21799" s="122"/>
      <c r="BC21799" s="141"/>
    </row>
    <row r="21800">
      <c r="BB21800" s="122"/>
      <c r="BC21800" s="141"/>
    </row>
    <row r="21801">
      <c r="BB21801" s="122"/>
      <c r="BC21801" s="141"/>
    </row>
    <row r="21802">
      <c r="BB21802" s="122"/>
      <c r="BC21802" s="141"/>
    </row>
    <row r="21803">
      <c r="BB21803" s="122"/>
      <c r="BC21803" s="141"/>
    </row>
    <row r="21804">
      <c r="BB21804" s="122"/>
      <c r="BC21804" s="141"/>
    </row>
    <row r="21805">
      <c r="BB21805" s="122"/>
      <c r="BC21805" s="141"/>
    </row>
    <row r="21806">
      <c r="BB21806" s="122"/>
      <c r="BC21806" s="141"/>
    </row>
    <row r="21807">
      <c r="BB21807" s="122"/>
      <c r="BC21807" s="141"/>
    </row>
    <row r="21808">
      <c r="BB21808" s="122"/>
      <c r="BC21808" s="141"/>
    </row>
    <row r="21809">
      <c r="BB21809" s="122"/>
      <c r="BC21809" s="141"/>
    </row>
    <row r="21810">
      <c r="BB21810" s="122"/>
      <c r="BC21810" s="141"/>
    </row>
    <row r="21811">
      <c r="BB21811" s="122"/>
      <c r="BC21811" s="141"/>
    </row>
    <row r="21812">
      <c r="BB21812" s="122"/>
      <c r="BC21812" s="141"/>
    </row>
    <row r="21813">
      <c r="BB21813" s="122"/>
      <c r="BC21813" s="141"/>
    </row>
    <row r="21814">
      <c r="BB21814" s="122"/>
      <c r="BC21814" s="141"/>
    </row>
    <row r="21815">
      <c r="BB21815" s="122"/>
      <c r="BC21815" s="141"/>
    </row>
    <row r="21816">
      <c r="BB21816" s="122"/>
      <c r="BC21816" s="141"/>
    </row>
    <row r="21817">
      <c r="BB21817" s="122"/>
      <c r="BC21817" s="141"/>
    </row>
    <row r="21818">
      <c r="BB21818" s="122"/>
      <c r="BC21818" s="141"/>
    </row>
    <row r="21819">
      <c r="BB21819" s="122"/>
      <c r="BC21819" s="141"/>
    </row>
    <row r="21820">
      <c r="BB21820" s="122"/>
      <c r="BC21820" s="141"/>
    </row>
    <row r="21821">
      <c r="BB21821" s="122"/>
      <c r="BC21821" s="141"/>
    </row>
    <row r="21822">
      <c r="BB21822" s="122"/>
      <c r="BC21822" s="141"/>
    </row>
    <row r="21823">
      <c r="BB21823" s="122"/>
      <c r="BC21823" s="141"/>
    </row>
    <row r="21824">
      <c r="BB21824" s="122"/>
      <c r="BC21824" s="141"/>
    </row>
    <row r="21825">
      <c r="BB21825" s="122"/>
      <c r="BC21825" s="141"/>
    </row>
    <row r="21826">
      <c r="BB21826" s="122"/>
      <c r="BC21826" s="141"/>
    </row>
    <row r="21827">
      <c r="BB21827" s="122"/>
      <c r="BC21827" s="141"/>
    </row>
    <row r="21828">
      <c r="BB21828" s="122"/>
      <c r="BC21828" s="141"/>
    </row>
    <row r="21829">
      <c r="BB21829" s="122"/>
      <c r="BC21829" s="141"/>
    </row>
    <row r="21830">
      <c r="BB21830" s="122"/>
      <c r="BC21830" s="141"/>
    </row>
    <row r="21831">
      <c r="BB21831" s="122"/>
      <c r="BC21831" s="141"/>
    </row>
    <row r="21832">
      <c r="BB21832" s="122"/>
      <c r="BC21832" s="141"/>
    </row>
    <row r="21833">
      <c r="BB21833" s="122"/>
      <c r="BC21833" s="141"/>
    </row>
    <row r="21834">
      <c r="BB21834" s="122"/>
      <c r="BC21834" s="141"/>
    </row>
    <row r="21835">
      <c r="BB21835" s="122"/>
      <c r="BC21835" s="141"/>
    </row>
    <row r="21836">
      <c r="BB21836" s="122"/>
      <c r="BC21836" s="141"/>
    </row>
    <row r="21837">
      <c r="BB21837" s="122"/>
      <c r="BC21837" s="141"/>
    </row>
    <row r="21838">
      <c r="BB21838" s="122"/>
      <c r="BC21838" s="141"/>
    </row>
    <row r="21839">
      <c r="BB21839" s="122"/>
      <c r="BC21839" s="141"/>
    </row>
    <row r="21840">
      <c r="BB21840" s="122"/>
      <c r="BC21840" s="141"/>
    </row>
    <row r="21841">
      <c r="BB21841" s="122"/>
      <c r="BC21841" s="141"/>
    </row>
    <row r="21842">
      <c r="BB21842" s="122"/>
      <c r="BC21842" s="141"/>
    </row>
    <row r="21843">
      <c r="BB21843" s="122"/>
      <c r="BC21843" s="141"/>
    </row>
    <row r="21844">
      <c r="BB21844" s="122"/>
      <c r="BC21844" s="141"/>
    </row>
    <row r="21845">
      <c r="BB21845" s="122"/>
      <c r="BC21845" s="141"/>
    </row>
    <row r="21846">
      <c r="BB21846" s="122"/>
      <c r="BC21846" s="141"/>
    </row>
    <row r="21847">
      <c r="BB21847" s="122"/>
      <c r="BC21847" s="141"/>
    </row>
    <row r="21848">
      <c r="BB21848" s="122"/>
      <c r="BC21848" s="141"/>
    </row>
    <row r="21849">
      <c r="BB21849" s="122"/>
      <c r="BC21849" s="141"/>
    </row>
    <row r="21850">
      <c r="BB21850" s="122"/>
      <c r="BC21850" s="141"/>
    </row>
    <row r="21851">
      <c r="BB21851" s="122"/>
      <c r="BC21851" s="141"/>
    </row>
    <row r="21852">
      <c r="BB21852" s="122"/>
      <c r="BC21852" s="141"/>
    </row>
    <row r="21853">
      <c r="BB21853" s="122"/>
      <c r="BC21853" s="141"/>
    </row>
    <row r="21854">
      <c r="BB21854" s="122"/>
      <c r="BC21854" s="141"/>
    </row>
    <row r="21855">
      <c r="BB21855" s="122"/>
      <c r="BC21855" s="141"/>
    </row>
    <row r="21856">
      <c r="BB21856" s="122"/>
      <c r="BC21856" s="141"/>
    </row>
    <row r="21857">
      <c r="BB21857" s="122"/>
      <c r="BC21857" s="141"/>
    </row>
    <row r="21858">
      <c r="BB21858" s="122"/>
      <c r="BC21858" s="141"/>
    </row>
    <row r="21859">
      <c r="BB21859" s="122"/>
      <c r="BC21859" s="141"/>
    </row>
    <row r="21860">
      <c r="BB21860" s="122"/>
      <c r="BC21860" s="141"/>
    </row>
    <row r="21861">
      <c r="BB21861" s="122"/>
      <c r="BC21861" s="141"/>
    </row>
    <row r="21862">
      <c r="BB21862" s="122"/>
      <c r="BC21862" s="141"/>
    </row>
    <row r="21863">
      <c r="BB21863" s="122"/>
      <c r="BC21863" s="141"/>
    </row>
    <row r="21864">
      <c r="BB21864" s="122"/>
      <c r="BC21864" s="141"/>
    </row>
    <row r="21865">
      <c r="BB21865" s="122"/>
      <c r="BC21865" s="141"/>
    </row>
    <row r="21866">
      <c r="BB21866" s="122"/>
      <c r="BC21866" s="141"/>
    </row>
    <row r="21867">
      <c r="BB21867" s="122"/>
      <c r="BC21867" s="141"/>
    </row>
    <row r="21868">
      <c r="BB21868" s="122"/>
      <c r="BC21868" s="141"/>
    </row>
    <row r="21869">
      <c r="BB21869" s="122"/>
      <c r="BC21869" s="141"/>
    </row>
    <row r="21870">
      <c r="BB21870" s="122"/>
      <c r="BC21870" s="141"/>
    </row>
    <row r="21871">
      <c r="BB21871" s="122"/>
      <c r="BC21871" s="141"/>
    </row>
    <row r="21872">
      <c r="BB21872" s="122"/>
      <c r="BC21872" s="141"/>
    </row>
    <row r="21873">
      <c r="BB21873" s="122"/>
      <c r="BC21873" s="141"/>
    </row>
    <row r="21874">
      <c r="BB21874" s="122"/>
      <c r="BC21874" s="141"/>
    </row>
    <row r="21875">
      <c r="BB21875" s="122"/>
      <c r="BC21875" s="141"/>
    </row>
    <row r="21876">
      <c r="BB21876" s="122"/>
      <c r="BC21876" s="141"/>
    </row>
    <row r="21877">
      <c r="BB21877" s="122"/>
      <c r="BC21877" s="141"/>
    </row>
    <row r="21878">
      <c r="BB21878" s="122"/>
      <c r="BC21878" s="141"/>
    </row>
    <row r="21879">
      <c r="BB21879" s="122"/>
      <c r="BC21879" s="141"/>
    </row>
    <row r="21880">
      <c r="BB21880" s="122"/>
      <c r="BC21880" s="141"/>
    </row>
    <row r="21881">
      <c r="BB21881" s="122"/>
      <c r="BC21881" s="141"/>
    </row>
    <row r="21882">
      <c r="BB21882" s="122"/>
      <c r="BC21882" s="141"/>
    </row>
    <row r="21883">
      <c r="BB21883" s="122"/>
      <c r="BC21883" s="141"/>
    </row>
    <row r="21884">
      <c r="BB21884" s="122"/>
      <c r="BC21884" s="141"/>
    </row>
    <row r="21885">
      <c r="BB21885" s="122"/>
      <c r="BC21885" s="141"/>
    </row>
    <row r="21886">
      <c r="BB21886" s="122"/>
      <c r="BC21886" s="141"/>
    </row>
    <row r="21887">
      <c r="BB21887" s="122"/>
      <c r="BC21887" s="141"/>
    </row>
    <row r="21888">
      <c r="BB21888" s="122"/>
      <c r="BC21888" s="141"/>
    </row>
    <row r="21889">
      <c r="BB21889" s="122"/>
      <c r="BC21889" s="141"/>
    </row>
    <row r="21890">
      <c r="BB21890" s="122"/>
      <c r="BC21890" s="141"/>
    </row>
    <row r="21891">
      <c r="BB21891" s="122"/>
      <c r="BC21891" s="141"/>
    </row>
    <row r="21892">
      <c r="BB21892" s="122"/>
      <c r="BC21892" s="141"/>
    </row>
    <row r="21893">
      <c r="BB21893" s="122"/>
      <c r="BC21893" s="141"/>
    </row>
    <row r="21894">
      <c r="BB21894" s="122"/>
      <c r="BC21894" s="141"/>
    </row>
    <row r="21895">
      <c r="BB21895" s="122"/>
      <c r="BC21895" s="141"/>
    </row>
    <row r="21896">
      <c r="BB21896" s="122"/>
      <c r="BC21896" s="141"/>
    </row>
    <row r="21897">
      <c r="BB21897" s="122"/>
      <c r="BC21897" s="141"/>
    </row>
    <row r="21898">
      <c r="BB21898" s="122"/>
      <c r="BC21898" s="141"/>
    </row>
    <row r="21899">
      <c r="BB21899" s="122"/>
      <c r="BC21899" s="141"/>
    </row>
    <row r="21900">
      <c r="BB21900" s="122"/>
      <c r="BC21900" s="141"/>
    </row>
    <row r="21901">
      <c r="BB21901" s="122"/>
      <c r="BC21901" s="141"/>
    </row>
    <row r="21902">
      <c r="BB21902" s="122"/>
      <c r="BC21902" s="141"/>
    </row>
    <row r="21903">
      <c r="BB21903" s="122"/>
      <c r="BC21903" s="141"/>
    </row>
    <row r="21904">
      <c r="BB21904" s="122"/>
      <c r="BC21904" s="141"/>
    </row>
    <row r="21905">
      <c r="BB21905" s="122"/>
      <c r="BC21905" s="141"/>
    </row>
    <row r="21906">
      <c r="BB21906" s="122"/>
      <c r="BC21906" s="141"/>
    </row>
    <row r="21907">
      <c r="BB21907" s="122"/>
      <c r="BC21907" s="141"/>
    </row>
    <row r="21908">
      <c r="BB21908" s="122"/>
      <c r="BC21908" s="141"/>
    </row>
    <row r="21909">
      <c r="BB21909" s="122"/>
      <c r="BC21909" s="141"/>
    </row>
    <row r="21910">
      <c r="BB21910" s="122"/>
      <c r="BC21910" s="141"/>
    </row>
    <row r="21911">
      <c r="BB21911" s="122"/>
      <c r="BC21911" s="141"/>
    </row>
    <row r="21912">
      <c r="BB21912" s="122"/>
      <c r="BC21912" s="141"/>
    </row>
    <row r="21913">
      <c r="BB21913" s="122"/>
      <c r="BC21913" s="141"/>
    </row>
    <row r="21914">
      <c r="BB21914" s="122"/>
      <c r="BC21914" s="141"/>
    </row>
    <row r="21915">
      <c r="BB21915" s="122"/>
      <c r="BC21915" s="141"/>
    </row>
    <row r="21916">
      <c r="BB21916" s="122"/>
      <c r="BC21916" s="141"/>
    </row>
    <row r="21917">
      <c r="BB21917" s="122"/>
      <c r="BC21917" s="141"/>
    </row>
    <row r="21918">
      <c r="BB21918" s="122"/>
      <c r="BC21918" s="141"/>
    </row>
    <row r="21919">
      <c r="BB21919" s="122"/>
      <c r="BC21919" s="141"/>
    </row>
    <row r="21920">
      <c r="BB21920" s="122"/>
      <c r="BC21920" s="141"/>
    </row>
    <row r="21921">
      <c r="BB21921" s="122"/>
      <c r="BC21921" s="141"/>
    </row>
    <row r="21922">
      <c r="BB21922" s="122"/>
      <c r="BC21922" s="141"/>
    </row>
    <row r="21923">
      <c r="BB21923" s="122"/>
      <c r="BC21923" s="141"/>
    </row>
    <row r="21924">
      <c r="BB21924" s="122"/>
      <c r="BC21924" s="141"/>
    </row>
    <row r="21925">
      <c r="BB21925" s="122"/>
      <c r="BC21925" s="141"/>
    </row>
    <row r="21926">
      <c r="BB21926" s="122"/>
      <c r="BC21926" s="141"/>
    </row>
    <row r="21927">
      <c r="BB21927" s="122"/>
      <c r="BC21927" s="141"/>
    </row>
    <row r="21928">
      <c r="BB21928" s="122"/>
      <c r="BC21928" s="141"/>
    </row>
    <row r="21929">
      <c r="BB21929" s="122"/>
      <c r="BC21929" s="141"/>
    </row>
    <row r="21930">
      <c r="BB21930" s="122"/>
      <c r="BC21930" s="141"/>
    </row>
    <row r="21931">
      <c r="BB21931" s="122"/>
      <c r="BC21931" s="141"/>
    </row>
    <row r="21932">
      <c r="BB21932" s="122"/>
      <c r="BC21932" s="141"/>
    </row>
    <row r="21933">
      <c r="BB21933" s="122"/>
      <c r="BC21933" s="141"/>
    </row>
    <row r="21934">
      <c r="BB21934" s="122"/>
      <c r="BC21934" s="141"/>
    </row>
    <row r="21935">
      <c r="BB21935" s="122"/>
      <c r="BC21935" s="141"/>
    </row>
    <row r="21936">
      <c r="BB21936" s="122"/>
      <c r="BC21936" s="141"/>
    </row>
    <row r="21937">
      <c r="BB21937" s="122"/>
      <c r="BC21937" s="141"/>
    </row>
    <row r="21938">
      <c r="BB21938" s="122"/>
      <c r="BC21938" s="141"/>
    </row>
    <row r="21939">
      <c r="BB21939" s="122"/>
      <c r="BC21939" s="141"/>
    </row>
    <row r="21940">
      <c r="BB21940" s="122"/>
      <c r="BC21940" s="141"/>
    </row>
    <row r="21941">
      <c r="BB21941" s="122"/>
      <c r="BC21941" s="141"/>
    </row>
    <row r="21942">
      <c r="BB21942" s="122"/>
      <c r="BC21942" s="141"/>
    </row>
    <row r="21943">
      <c r="BB21943" s="122"/>
      <c r="BC21943" s="141"/>
    </row>
    <row r="21944">
      <c r="BB21944" s="122"/>
      <c r="BC21944" s="141"/>
    </row>
    <row r="21945">
      <c r="BB21945" s="122"/>
      <c r="BC21945" s="141"/>
    </row>
    <row r="21946">
      <c r="BB21946" s="122"/>
      <c r="BC21946" s="141"/>
    </row>
    <row r="21947">
      <c r="BB21947" s="122"/>
      <c r="BC21947" s="141"/>
    </row>
    <row r="21948">
      <c r="BB21948" s="122"/>
      <c r="BC21948" s="141"/>
    </row>
    <row r="21949">
      <c r="BB21949" s="122"/>
      <c r="BC21949" s="141"/>
    </row>
    <row r="21950">
      <c r="BB21950" s="122"/>
      <c r="BC21950" s="141"/>
    </row>
    <row r="21951">
      <c r="BB21951" s="122"/>
      <c r="BC21951" s="141"/>
    </row>
    <row r="21952">
      <c r="BB21952" s="122"/>
      <c r="BC21952" s="141"/>
    </row>
    <row r="21953">
      <c r="BB21953" s="122"/>
      <c r="BC21953" s="141"/>
    </row>
    <row r="21954">
      <c r="BB21954" s="122"/>
      <c r="BC21954" s="141"/>
    </row>
    <row r="21955">
      <c r="BB21955" s="122"/>
      <c r="BC21955" s="141"/>
    </row>
    <row r="21956">
      <c r="BB21956" s="122"/>
      <c r="BC21956" s="141"/>
    </row>
    <row r="21957">
      <c r="BB21957" s="122"/>
      <c r="BC21957" s="141"/>
    </row>
    <row r="21958">
      <c r="BB21958" s="122"/>
      <c r="BC21958" s="141"/>
    </row>
    <row r="21959">
      <c r="BB21959" s="122"/>
      <c r="BC21959" s="141"/>
    </row>
    <row r="21960">
      <c r="BB21960" s="122"/>
      <c r="BC21960" s="141"/>
    </row>
    <row r="21961">
      <c r="BB21961" s="122"/>
      <c r="BC21961" s="141"/>
    </row>
    <row r="21962">
      <c r="BB21962" s="122"/>
      <c r="BC21962" s="141"/>
    </row>
    <row r="21963">
      <c r="BB21963" s="122"/>
      <c r="BC21963" s="141"/>
    </row>
    <row r="21964">
      <c r="BB21964" s="122"/>
      <c r="BC21964" s="141"/>
    </row>
    <row r="21965">
      <c r="BB21965" s="122"/>
      <c r="BC21965" s="141"/>
    </row>
    <row r="21966">
      <c r="BB21966" s="122"/>
      <c r="BC21966" s="141"/>
    </row>
    <row r="21967">
      <c r="BB21967" s="122"/>
      <c r="BC21967" s="141"/>
    </row>
    <row r="21968">
      <c r="BB21968" s="122"/>
      <c r="BC21968" s="141"/>
    </row>
    <row r="21969">
      <c r="BB21969" s="122"/>
      <c r="BC21969" s="141"/>
    </row>
    <row r="21970">
      <c r="BB21970" s="122"/>
      <c r="BC21970" s="141"/>
    </row>
    <row r="21971">
      <c r="BB21971" s="122"/>
      <c r="BC21971" s="141"/>
    </row>
    <row r="21972">
      <c r="BB21972" s="122"/>
      <c r="BC21972" s="141"/>
    </row>
    <row r="21973">
      <c r="BB21973" s="122"/>
      <c r="BC21973" s="141"/>
    </row>
    <row r="21974">
      <c r="BB21974" s="122"/>
      <c r="BC21974" s="141"/>
    </row>
    <row r="21975">
      <c r="BB21975" s="122"/>
      <c r="BC21975" s="141"/>
    </row>
    <row r="21976">
      <c r="BB21976" s="122"/>
      <c r="BC21976" s="141"/>
    </row>
    <row r="21977">
      <c r="BB21977" s="122"/>
      <c r="BC21977" s="141"/>
    </row>
    <row r="21978">
      <c r="BB21978" s="122"/>
      <c r="BC21978" s="141"/>
    </row>
    <row r="21979">
      <c r="BB21979" s="122"/>
      <c r="BC21979" s="141"/>
    </row>
    <row r="21980">
      <c r="BB21980" s="122"/>
      <c r="BC21980" s="141"/>
    </row>
    <row r="21981">
      <c r="BB21981" s="122"/>
      <c r="BC21981" s="141"/>
    </row>
    <row r="21982">
      <c r="BB21982" s="122"/>
      <c r="BC21982" s="141"/>
    </row>
    <row r="21983">
      <c r="BB21983" s="122"/>
      <c r="BC21983" s="141"/>
    </row>
    <row r="21984">
      <c r="BB21984" s="122"/>
      <c r="BC21984" s="141"/>
    </row>
    <row r="21985">
      <c r="BB21985" s="122"/>
      <c r="BC21985" s="141"/>
    </row>
    <row r="21986">
      <c r="BB21986" s="122"/>
      <c r="BC21986" s="141"/>
    </row>
    <row r="21987">
      <c r="BB21987" s="122"/>
      <c r="BC21987" s="141"/>
    </row>
    <row r="21988">
      <c r="BB21988" s="122"/>
      <c r="BC21988" s="141"/>
    </row>
    <row r="21989">
      <c r="BB21989" s="122"/>
      <c r="BC21989" s="141"/>
    </row>
    <row r="21990">
      <c r="BB21990" s="122"/>
      <c r="BC21990" s="141"/>
    </row>
    <row r="21991">
      <c r="BB21991" s="122"/>
      <c r="BC21991" s="141"/>
    </row>
    <row r="21992">
      <c r="BB21992" s="122"/>
      <c r="BC21992" s="141"/>
    </row>
    <row r="21993">
      <c r="BB21993" s="122"/>
      <c r="BC21993" s="141"/>
    </row>
    <row r="21994">
      <c r="BB21994" s="122"/>
      <c r="BC21994" s="141"/>
    </row>
    <row r="21995">
      <c r="BB21995" s="122"/>
      <c r="BC21995" s="141"/>
    </row>
    <row r="21996">
      <c r="BB21996" s="122"/>
      <c r="BC21996" s="141"/>
    </row>
    <row r="21997">
      <c r="BB21997" s="122"/>
      <c r="BC21997" s="141"/>
    </row>
    <row r="21998">
      <c r="BB21998" s="122"/>
      <c r="BC21998" s="141"/>
    </row>
    <row r="21999">
      <c r="BB21999" s="122"/>
      <c r="BC21999" s="141"/>
    </row>
    <row r="22000">
      <c r="BB22000" s="122"/>
      <c r="BC22000" s="141"/>
    </row>
    <row r="22001">
      <c r="BB22001" s="122"/>
      <c r="BC22001" s="141"/>
    </row>
    <row r="22002">
      <c r="BB22002" s="122"/>
      <c r="BC22002" s="141"/>
    </row>
    <row r="22003">
      <c r="BB22003" s="122"/>
      <c r="BC22003" s="141"/>
    </row>
    <row r="22004">
      <c r="BB22004" s="122"/>
      <c r="BC22004" s="141"/>
    </row>
    <row r="22005">
      <c r="BB22005" s="122"/>
      <c r="BC22005" s="141"/>
    </row>
    <row r="22006">
      <c r="BB22006" s="122"/>
      <c r="BC22006" s="141"/>
    </row>
    <row r="22007">
      <c r="BB22007" s="122"/>
      <c r="BC22007" s="141"/>
    </row>
    <row r="22008">
      <c r="BB22008" s="122"/>
      <c r="BC22008" s="141"/>
    </row>
    <row r="22009">
      <c r="BB22009" s="122"/>
      <c r="BC22009" s="141"/>
    </row>
    <row r="22010">
      <c r="BB22010" s="122"/>
      <c r="BC22010" s="141"/>
    </row>
    <row r="22011">
      <c r="BB22011" s="122"/>
      <c r="BC22011" s="141"/>
    </row>
    <row r="22012">
      <c r="BB22012" s="122"/>
      <c r="BC22012" s="141"/>
    </row>
    <row r="22013">
      <c r="BB22013" s="122"/>
      <c r="BC22013" s="141"/>
    </row>
    <row r="22014">
      <c r="BB22014" s="122"/>
      <c r="BC22014" s="141"/>
    </row>
    <row r="22015">
      <c r="BB22015" s="122"/>
      <c r="BC22015" s="141"/>
    </row>
    <row r="22016">
      <c r="BB22016" s="122"/>
      <c r="BC22016" s="141"/>
    </row>
    <row r="22017">
      <c r="BB22017" s="122"/>
      <c r="BC22017" s="141"/>
    </row>
    <row r="22018">
      <c r="BB22018" s="122"/>
      <c r="BC22018" s="141"/>
    </row>
    <row r="22019">
      <c r="BB22019" s="122"/>
      <c r="BC22019" s="141"/>
    </row>
    <row r="22020">
      <c r="BB22020" s="122"/>
      <c r="BC22020" s="141"/>
    </row>
    <row r="22021">
      <c r="BB22021" s="122"/>
      <c r="BC22021" s="141"/>
    </row>
    <row r="22022">
      <c r="BB22022" s="122"/>
      <c r="BC22022" s="141"/>
    </row>
    <row r="22023">
      <c r="BB22023" s="122"/>
      <c r="BC22023" s="141"/>
    </row>
    <row r="22024">
      <c r="BB22024" s="122"/>
      <c r="BC22024" s="141"/>
    </row>
    <row r="22025">
      <c r="BB22025" s="122"/>
      <c r="BC22025" s="141"/>
    </row>
    <row r="22026">
      <c r="BB22026" s="122"/>
      <c r="BC22026" s="141"/>
    </row>
    <row r="22027">
      <c r="BB22027" s="122"/>
      <c r="BC22027" s="141"/>
    </row>
    <row r="22028">
      <c r="BB22028" s="122"/>
      <c r="BC22028" s="141"/>
    </row>
    <row r="22029">
      <c r="BB22029" s="122"/>
      <c r="BC22029" s="141"/>
    </row>
    <row r="22030">
      <c r="BB22030" s="122"/>
      <c r="BC22030" s="141"/>
    </row>
    <row r="22031">
      <c r="BB22031" s="122"/>
      <c r="BC22031" s="141"/>
    </row>
    <row r="22032">
      <c r="BB22032" s="122"/>
      <c r="BC22032" s="141"/>
    </row>
    <row r="22033">
      <c r="BB22033" s="122"/>
      <c r="BC22033" s="141"/>
    </row>
    <row r="22034">
      <c r="BB22034" s="122"/>
      <c r="BC22034" s="141"/>
    </row>
    <row r="22035">
      <c r="BB22035" s="122"/>
      <c r="BC22035" s="141"/>
    </row>
    <row r="22036">
      <c r="BB22036" s="122"/>
      <c r="BC22036" s="141"/>
    </row>
    <row r="22037">
      <c r="BB22037" s="122"/>
      <c r="BC22037" s="141"/>
    </row>
    <row r="22038">
      <c r="BB22038" s="122"/>
      <c r="BC22038" s="141"/>
    </row>
    <row r="22039">
      <c r="BB22039" s="122"/>
      <c r="BC22039" s="141"/>
    </row>
    <row r="22040">
      <c r="BB22040" s="122"/>
      <c r="BC22040" s="141"/>
    </row>
    <row r="22041">
      <c r="BB22041" s="122"/>
      <c r="BC22041" s="141"/>
    </row>
    <row r="22042">
      <c r="BB22042" s="122"/>
      <c r="BC22042" s="141"/>
    </row>
    <row r="22043">
      <c r="BB22043" s="122"/>
      <c r="BC22043" s="141"/>
    </row>
    <row r="22044">
      <c r="BB22044" s="122"/>
      <c r="BC22044" s="141"/>
    </row>
    <row r="22045">
      <c r="BB22045" s="122"/>
      <c r="BC22045" s="141"/>
    </row>
    <row r="22046">
      <c r="BB22046" s="122"/>
      <c r="BC22046" s="141"/>
    </row>
    <row r="22047">
      <c r="BB22047" s="122"/>
      <c r="BC22047" s="141"/>
    </row>
    <row r="22048">
      <c r="BB22048" s="122"/>
      <c r="BC22048" s="141"/>
    </row>
    <row r="22049">
      <c r="BB22049" s="122"/>
      <c r="BC22049" s="141"/>
    </row>
    <row r="22050">
      <c r="BB22050" s="122"/>
      <c r="BC22050" s="141"/>
    </row>
    <row r="22051">
      <c r="BB22051" s="122"/>
      <c r="BC22051" s="141"/>
    </row>
    <row r="22052">
      <c r="BB22052" s="122"/>
      <c r="BC22052" s="141"/>
    </row>
    <row r="22053">
      <c r="BB22053" s="122"/>
      <c r="BC22053" s="141"/>
    </row>
    <row r="22054">
      <c r="BB22054" s="122"/>
      <c r="BC22054" s="141"/>
    </row>
    <row r="22055">
      <c r="BB22055" s="122"/>
      <c r="BC22055" s="141"/>
    </row>
    <row r="22056">
      <c r="BB22056" s="122"/>
      <c r="BC22056" s="141"/>
    </row>
    <row r="22057">
      <c r="BB22057" s="122"/>
      <c r="BC22057" s="141"/>
    </row>
    <row r="22058">
      <c r="BB22058" s="122"/>
      <c r="BC22058" s="141"/>
    </row>
    <row r="22059">
      <c r="BB22059" s="122"/>
      <c r="BC22059" s="141"/>
    </row>
    <row r="22060">
      <c r="BB22060" s="122"/>
      <c r="BC22060" s="141"/>
    </row>
    <row r="22061">
      <c r="BB22061" s="122"/>
      <c r="BC22061" s="141"/>
    </row>
    <row r="22062">
      <c r="BB22062" s="122"/>
      <c r="BC22062" s="141"/>
    </row>
    <row r="22063">
      <c r="BB22063" s="122"/>
      <c r="BC22063" s="141"/>
    </row>
    <row r="22064">
      <c r="BB22064" s="122"/>
      <c r="BC22064" s="141"/>
    </row>
    <row r="22065">
      <c r="BB22065" s="122"/>
      <c r="BC22065" s="141"/>
    </row>
    <row r="22066">
      <c r="BB22066" s="122"/>
      <c r="BC22066" s="141"/>
    </row>
    <row r="22067">
      <c r="BB22067" s="122"/>
      <c r="BC22067" s="141"/>
    </row>
    <row r="22068">
      <c r="BB22068" s="122"/>
      <c r="BC22068" s="141"/>
    </row>
    <row r="22069">
      <c r="BB22069" s="122"/>
      <c r="BC22069" s="141"/>
    </row>
    <row r="22070">
      <c r="BB22070" s="122"/>
      <c r="BC22070" s="141"/>
    </row>
    <row r="22071">
      <c r="BB22071" s="122"/>
      <c r="BC22071" s="141"/>
    </row>
    <row r="22072">
      <c r="BB22072" s="122"/>
      <c r="BC22072" s="141"/>
    </row>
    <row r="22073">
      <c r="BB22073" s="122"/>
      <c r="BC22073" s="141"/>
    </row>
    <row r="22074">
      <c r="BB22074" s="122"/>
      <c r="BC22074" s="141"/>
    </row>
    <row r="22075">
      <c r="BB22075" s="122"/>
      <c r="BC22075" s="141"/>
    </row>
    <row r="22076">
      <c r="BB22076" s="122"/>
      <c r="BC22076" s="141"/>
    </row>
    <row r="22077">
      <c r="BB22077" s="122"/>
      <c r="BC22077" s="141"/>
    </row>
    <row r="22078">
      <c r="BB22078" s="122"/>
      <c r="BC22078" s="141"/>
    </row>
    <row r="22079">
      <c r="BB22079" s="122"/>
      <c r="BC22079" s="141"/>
    </row>
    <row r="22080">
      <c r="BB22080" s="122"/>
      <c r="BC22080" s="141"/>
    </row>
    <row r="22081">
      <c r="BB22081" s="122"/>
      <c r="BC22081" s="141"/>
    </row>
    <row r="22082">
      <c r="BB22082" s="122"/>
      <c r="BC22082" s="141"/>
    </row>
    <row r="22083">
      <c r="BB22083" s="122"/>
      <c r="BC22083" s="141"/>
    </row>
    <row r="22084">
      <c r="BB22084" s="122"/>
      <c r="BC22084" s="141"/>
    </row>
    <row r="22085">
      <c r="BB22085" s="122"/>
      <c r="BC22085" s="141"/>
    </row>
    <row r="22086">
      <c r="BB22086" s="122"/>
      <c r="BC22086" s="141"/>
    </row>
    <row r="22087">
      <c r="BB22087" s="122"/>
      <c r="BC22087" s="141"/>
    </row>
    <row r="22088">
      <c r="BB22088" s="122"/>
      <c r="BC22088" s="141"/>
    </row>
    <row r="22089">
      <c r="BB22089" s="122"/>
      <c r="BC22089" s="141"/>
    </row>
    <row r="22090">
      <c r="BB22090" s="122"/>
      <c r="BC22090" s="141"/>
    </row>
    <row r="22091">
      <c r="BB22091" s="122"/>
      <c r="BC22091" s="141"/>
    </row>
    <row r="22092">
      <c r="BB22092" s="122"/>
      <c r="BC22092" s="141"/>
    </row>
    <row r="22093">
      <c r="BB22093" s="122"/>
      <c r="BC22093" s="141"/>
    </row>
    <row r="22094">
      <c r="BB22094" s="122"/>
      <c r="BC22094" s="141"/>
    </row>
    <row r="22095">
      <c r="BB22095" s="122"/>
      <c r="BC22095" s="141"/>
    </row>
    <row r="22096">
      <c r="BB22096" s="122"/>
      <c r="BC22096" s="141"/>
    </row>
    <row r="22097">
      <c r="BB22097" s="122"/>
      <c r="BC22097" s="141"/>
    </row>
    <row r="22098">
      <c r="BB22098" s="122"/>
      <c r="BC22098" s="141"/>
    </row>
    <row r="22099">
      <c r="BB22099" s="122"/>
      <c r="BC22099" s="141"/>
    </row>
    <row r="22100">
      <c r="BB22100" s="122"/>
      <c r="BC22100" s="141"/>
    </row>
    <row r="22101">
      <c r="BB22101" s="122"/>
      <c r="BC22101" s="141"/>
    </row>
    <row r="22102">
      <c r="BB22102" s="122"/>
      <c r="BC22102" s="141"/>
    </row>
    <row r="22103">
      <c r="BB22103" s="122"/>
      <c r="BC22103" s="141"/>
    </row>
    <row r="22104">
      <c r="BB22104" s="122"/>
      <c r="BC22104" s="141"/>
    </row>
    <row r="22105">
      <c r="BB22105" s="122"/>
      <c r="BC22105" s="141"/>
    </row>
    <row r="22106">
      <c r="BB22106" s="122"/>
      <c r="BC22106" s="141"/>
    </row>
    <row r="22107">
      <c r="BB22107" s="122"/>
      <c r="BC22107" s="141"/>
    </row>
    <row r="22108">
      <c r="BB22108" s="122"/>
      <c r="BC22108" s="141"/>
    </row>
    <row r="22109">
      <c r="BB22109" s="122"/>
      <c r="BC22109" s="141"/>
    </row>
    <row r="22110">
      <c r="BB22110" s="122"/>
      <c r="BC22110" s="141"/>
    </row>
    <row r="22111">
      <c r="BB22111" s="122"/>
      <c r="BC22111" s="141"/>
    </row>
    <row r="22112">
      <c r="BB22112" s="122"/>
      <c r="BC22112" s="141"/>
    </row>
    <row r="22113">
      <c r="BB22113" s="122"/>
      <c r="BC22113" s="141"/>
    </row>
    <row r="22114">
      <c r="BB22114" s="122"/>
      <c r="BC22114" s="141"/>
    </row>
    <row r="22115">
      <c r="BB22115" s="122"/>
      <c r="BC22115" s="141"/>
    </row>
    <row r="22116">
      <c r="BB22116" s="122"/>
      <c r="BC22116" s="141"/>
    </row>
    <row r="22117">
      <c r="BB22117" s="122"/>
      <c r="BC22117" s="141"/>
    </row>
    <row r="22118">
      <c r="BB22118" s="122"/>
      <c r="BC22118" s="141"/>
    </row>
    <row r="22119">
      <c r="BB22119" s="122"/>
      <c r="BC22119" s="141"/>
    </row>
    <row r="22120">
      <c r="BB22120" s="122"/>
      <c r="BC22120" s="141"/>
    </row>
    <row r="22121">
      <c r="BB22121" s="122"/>
      <c r="BC22121" s="141"/>
    </row>
    <row r="22122">
      <c r="BB22122" s="122"/>
      <c r="BC22122" s="141"/>
    </row>
    <row r="22123">
      <c r="BB22123" s="122"/>
      <c r="BC22123" s="141"/>
    </row>
    <row r="22124">
      <c r="BB22124" s="122"/>
      <c r="BC22124" s="141"/>
    </row>
    <row r="22125">
      <c r="BB22125" s="122"/>
      <c r="BC22125" s="141"/>
    </row>
    <row r="22126">
      <c r="BB22126" s="122"/>
      <c r="BC22126" s="141"/>
    </row>
    <row r="22127">
      <c r="BB22127" s="122"/>
      <c r="BC22127" s="141"/>
    </row>
    <row r="22128">
      <c r="BB22128" s="122"/>
      <c r="BC22128" s="141"/>
    </row>
    <row r="22129">
      <c r="BB22129" s="122"/>
      <c r="BC22129" s="141"/>
    </row>
    <row r="22130">
      <c r="BB22130" s="122"/>
      <c r="BC22130" s="141"/>
    </row>
    <row r="22131">
      <c r="BB22131" s="122"/>
      <c r="BC22131" s="141"/>
    </row>
    <row r="22132">
      <c r="BB22132" s="122"/>
      <c r="BC22132" s="141"/>
    </row>
    <row r="22133">
      <c r="BB22133" s="122"/>
      <c r="BC22133" s="141"/>
    </row>
    <row r="22134">
      <c r="BB22134" s="122"/>
      <c r="BC22134" s="141"/>
    </row>
    <row r="22135">
      <c r="BB22135" s="122"/>
      <c r="BC22135" s="141"/>
    </row>
    <row r="22136">
      <c r="BB22136" s="122"/>
      <c r="BC22136" s="141"/>
    </row>
    <row r="22137">
      <c r="BB22137" s="122"/>
      <c r="BC22137" s="141"/>
    </row>
    <row r="22138">
      <c r="BB22138" s="122"/>
      <c r="BC22138" s="141"/>
    </row>
    <row r="22139">
      <c r="BB22139" s="122"/>
      <c r="BC22139" s="141"/>
    </row>
    <row r="22140">
      <c r="BB22140" s="122"/>
      <c r="BC22140" s="141"/>
    </row>
    <row r="22141">
      <c r="BB22141" s="122"/>
      <c r="BC22141" s="141"/>
    </row>
    <row r="22142">
      <c r="BB22142" s="122"/>
      <c r="BC22142" s="141"/>
    </row>
    <row r="22143">
      <c r="BB22143" s="122"/>
      <c r="BC22143" s="141"/>
    </row>
    <row r="22144">
      <c r="BB22144" s="122"/>
      <c r="BC22144" s="141"/>
    </row>
    <row r="22145">
      <c r="BB22145" s="122"/>
      <c r="BC22145" s="141"/>
    </row>
    <row r="22146">
      <c r="BB22146" s="122"/>
      <c r="BC22146" s="141"/>
    </row>
    <row r="22147">
      <c r="BB22147" s="122"/>
      <c r="BC22147" s="141"/>
    </row>
    <row r="22148">
      <c r="BB22148" s="122"/>
      <c r="BC22148" s="141"/>
    </row>
    <row r="22149">
      <c r="BB22149" s="122"/>
      <c r="BC22149" s="141"/>
    </row>
    <row r="22150">
      <c r="BB22150" s="122"/>
      <c r="BC22150" s="141"/>
    </row>
    <row r="22151">
      <c r="BB22151" s="122"/>
      <c r="BC22151" s="141"/>
    </row>
    <row r="22152">
      <c r="BB22152" s="122"/>
      <c r="BC22152" s="141"/>
    </row>
    <row r="22153">
      <c r="BB22153" s="122"/>
      <c r="BC22153" s="141"/>
    </row>
    <row r="22154">
      <c r="BB22154" s="122"/>
      <c r="BC22154" s="141"/>
    </row>
    <row r="22155">
      <c r="BB22155" s="122"/>
      <c r="BC22155" s="141"/>
    </row>
    <row r="22156">
      <c r="BB22156" s="122"/>
      <c r="BC22156" s="141"/>
    </row>
    <row r="22157">
      <c r="BB22157" s="122"/>
      <c r="BC22157" s="141"/>
    </row>
    <row r="22158">
      <c r="BB22158" s="122"/>
      <c r="BC22158" s="141"/>
    </row>
    <row r="22159">
      <c r="BB22159" s="122"/>
      <c r="BC22159" s="141"/>
    </row>
    <row r="22160">
      <c r="BB22160" s="122"/>
      <c r="BC22160" s="141"/>
    </row>
    <row r="22161">
      <c r="BB22161" s="122"/>
      <c r="BC22161" s="141"/>
    </row>
    <row r="22162">
      <c r="BB22162" s="122"/>
      <c r="BC22162" s="141"/>
    </row>
    <row r="22163">
      <c r="BB22163" s="122"/>
      <c r="BC22163" s="141"/>
    </row>
    <row r="22164">
      <c r="BB22164" s="122"/>
      <c r="BC22164" s="141"/>
    </row>
    <row r="22165">
      <c r="BB22165" s="122"/>
      <c r="BC22165" s="141"/>
    </row>
    <row r="22166">
      <c r="BB22166" s="122"/>
      <c r="BC22166" s="141"/>
    </row>
    <row r="22167">
      <c r="BB22167" s="122"/>
      <c r="BC22167" s="141"/>
    </row>
    <row r="22168">
      <c r="BB22168" s="122"/>
      <c r="BC22168" s="141"/>
    </row>
    <row r="22169">
      <c r="BB22169" s="122"/>
      <c r="BC22169" s="141"/>
    </row>
    <row r="22170">
      <c r="BB22170" s="122"/>
      <c r="BC22170" s="141"/>
    </row>
    <row r="22171">
      <c r="BB22171" s="122"/>
      <c r="BC22171" s="141"/>
    </row>
    <row r="22172">
      <c r="BB22172" s="122"/>
      <c r="BC22172" s="141"/>
    </row>
    <row r="22173">
      <c r="BB22173" s="122"/>
      <c r="BC22173" s="141"/>
    </row>
    <row r="22174">
      <c r="BB22174" s="122"/>
      <c r="BC22174" s="141"/>
    </row>
    <row r="22175">
      <c r="BB22175" s="122"/>
      <c r="BC22175" s="141"/>
    </row>
    <row r="22176">
      <c r="BB22176" s="122"/>
      <c r="BC22176" s="141"/>
    </row>
    <row r="22177">
      <c r="BB22177" s="122"/>
      <c r="BC22177" s="141"/>
    </row>
    <row r="22178">
      <c r="BB22178" s="122"/>
      <c r="BC22178" s="141"/>
    </row>
    <row r="22179">
      <c r="BB22179" s="122"/>
      <c r="BC22179" s="141"/>
    </row>
    <row r="22180">
      <c r="BB22180" s="122"/>
      <c r="BC22180" s="141"/>
    </row>
    <row r="22181">
      <c r="BB22181" s="122"/>
      <c r="BC22181" s="141"/>
    </row>
    <row r="22182">
      <c r="BB22182" s="122"/>
      <c r="BC22182" s="141"/>
    </row>
    <row r="22183">
      <c r="BB22183" s="122"/>
      <c r="BC22183" s="141"/>
    </row>
    <row r="22184">
      <c r="BB22184" s="122"/>
      <c r="BC22184" s="141"/>
    </row>
    <row r="22185">
      <c r="BB22185" s="122"/>
      <c r="BC22185" s="141"/>
    </row>
    <row r="22186">
      <c r="BB22186" s="122"/>
      <c r="BC22186" s="141"/>
    </row>
    <row r="22187">
      <c r="BB22187" s="122"/>
      <c r="BC22187" s="141"/>
    </row>
    <row r="22188">
      <c r="BB22188" s="122"/>
      <c r="BC22188" s="141"/>
    </row>
    <row r="22189">
      <c r="BB22189" s="122"/>
      <c r="BC22189" s="141"/>
    </row>
    <row r="22190">
      <c r="BB22190" s="122"/>
      <c r="BC22190" s="141"/>
    </row>
    <row r="22191">
      <c r="BB22191" s="122"/>
      <c r="BC22191" s="141"/>
    </row>
    <row r="22192">
      <c r="BB22192" s="122"/>
      <c r="BC22192" s="141"/>
    </row>
    <row r="22193">
      <c r="BB22193" s="122"/>
      <c r="BC22193" s="141"/>
    </row>
    <row r="22194">
      <c r="BB22194" s="122"/>
      <c r="BC22194" s="141"/>
    </row>
    <row r="22195">
      <c r="BB22195" s="122"/>
      <c r="BC22195" s="141"/>
    </row>
    <row r="22196">
      <c r="BB22196" s="122"/>
      <c r="BC22196" s="141"/>
    </row>
    <row r="22197">
      <c r="BB22197" s="122"/>
      <c r="BC22197" s="141"/>
    </row>
    <row r="22198">
      <c r="BB22198" s="122"/>
      <c r="BC22198" s="141"/>
    </row>
    <row r="22199">
      <c r="BB22199" s="122"/>
      <c r="BC22199" s="141"/>
    </row>
    <row r="22200">
      <c r="BB22200" s="122"/>
      <c r="BC22200" s="141"/>
    </row>
    <row r="22201">
      <c r="BB22201" s="122"/>
      <c r="BC22201" s="141"/>
    </row>
    <row r="22202">
      <c r="BB22202" s="122"/>
      <c r="BC22202" s="141"/>
    </row>
    <row r="22203">
      <c r="BB22203" s="122"/>
      <c r="BC22203" s="141"/>
    </row>
    <row r="22204">
      <c r="BB22204" s="122"/>
      <c r="BC22204" s="141"/>
    </row>
    <row r="22205">
      <c r="BB22205" s="122"/>
      <c r="BC22205" s="141"/>
    </row>
    <row r="22206">
      <c r="BB22206" s="122"/>
      <c r="BC22206" s="141"/>
    </row>
    <row r="22207">
      <c r="BB22207" s="122"/>
      <c r="BC22207" s="141"/>
    </row>
    <row r="22208">
      <c r="BB22208" s="122"/>
      <c r="BC22208" s="141"/>
    </row>
    <row r="22209">
      <c r="BB22209" s="122"/>
      <c r="BC22209" s="141"/>
    </row>
    <row r="22210">
      <c r="BB22210" s="122"/>
      <c r="BC22210" s="141"/>
    </row>
    <row r="22211">
      <c r="BB22211" s="122"/>
      <c r="BC22211" s="141"/>
    </row>
    <row r="22212">
      <c r="BB22212" s="122"/>
      <c r="BC22212" s="141"/>
    </row>
    <row r="22213">
      <c r="BB22213" s="122"/>
      <c r="BC22213" s="141"/>
    </row>
    <row r="22214">
      <c r="BB22214" s="122"/>
      <c r="BC22214" s="141"/>
    </row>
    <row r="22215">
      <c r="BB22215" s="122"/>
      <c r="BC22215" s="141"/>
    </row>
    <row r="22216">
      <c r="BB22216" s="122"/>
      <c r="BC22216" s="141"/>
    </row>
    <row r="22217">
      <c r="BB22217" s="122"/>
      <c r="BC22217" s="141"/>
    </row>
    <row r="22218">
      <c r="BB22218" s="122"/>
      <c r="BC22218" s="141"/>
    </row>
    <row r="22219">
      <c r="BB22219" s="122"/>
      <c r="BC22219" s="141"/>
    </row>
    <row r="22220">
      <c r="BB22220" s="122"/>
      <c r="BC22220" s="141"/>
    </row>
    <row r="22221">
      <c r="BB22221" s="122"/>
      <c r="BC22221" s="141"/>
    </row>
    <row r="22222">
      <c r="BB22222" s="122"/>
      <c r="BC22222" s="141"/>
    </row>
    <row r="22223">
      <c r="BB22223" s="122"/>
      <c r="BC22223" s="141"/>
    </row>
    <row r="22224">
      <c r="BB22224" s="122"/>
      <c r="BC22224" s="141"/>
    </row>
    <row r="22225">
      <c r="BB22225" s="122"/>
      <c r="BC22225" s="141"/>
    </row>
    <row r="22226">
      <c r="BB22226" s="122"/>
      <c r="BC22226" s="141"/>
    </row>
    <row r="22227">
      <c r="BB22227" s="122"/>
      <c r="BC22227" s="141"/>
    </row>
    <row r="22228">
      <c r="BB22228" s="122"/>
      <c r="BC22228" s="141"/>
    </row>
    <row r="22229">
      <c r="BB22229" s="122"/>
      <c r="BC22229" s="141"/>
    </row>
    <row r="22230">
      <c r="BB22230" s="122"/>
      <c r="BC22230" s="141"/>
    </row>
    <row r="22231">
      <c r="BB22231" s="122"/>
      <c r="BC22231" s="141"/>
    </row>
    <row r="22232">
      <c r="BB22232" s="122"/>
      <c r="BC22232" s="141"/>
    </row>
    <row r="22233">
      <c r="BB22233" s="122"/>
      <c r="BC22233" s="141"/>
    </row>
    <row r="22234">
      <c r="BB22234" s="122"/>
      <c r="BC22234" s="141"/>
    </row>
    <row r="22235">
      <c r="BB22235" s="122"/>
      <c r="BC22235" s="141"/>
    </row>
    <row r="22236">
      <c r="BB22236" s="122"/>
      <c r="BC22236" s="141"/>
    </row>
    <row r="22237">
      <c r="BB22237" s="122"/>
      <c r="BC22237" s="141"/>
    </row>
    <row r="22238">
      <c r="BB22238" s="122"/>
      <c r="BC22238" s="141"/>
    </row>
    <row r="22239">
      <c r="BB22239" s="122"/>
      <c r="BC22239" s="141"/>
    </row>
    <row r="22240">
      <c r="BB22240" s="122"/>
      <c r="BC22240" s="141"/>
    </row>
    <row r="22241">
      <c r="BB22241" s="122"/>
      <c r="BC22241" s="141"/>
    </row>
    <row r="22242">
      <c r="BB22242" s="122"/>
      <c r="BC22242" s="141"/>
    </row>
    <row r="22243">
      <c r="BB22243" s="122"/>
      <c r="BC22243" s="141"/>
    </row>
    <row r="22244">
      <c r="BB22244" s="122"/>
      <c r="BC22244" s="141"/>
    </row>
    <row r="22245">
      <c r="BB22245" s="122"/>
      <c r="BC22245" s="141"/>
    </row>
    <row r="22246">
      <c r="BB22246" s="122"/>
      <c r="BC22246" s="141"/>
    </row>
    <row r="22247">
      <c r="BB22247" s="122"/>
      <c r="BC22247" s="141"/>
    </row>
    <row r="22248">
      <c r="BB22248" s="122"/>
      <c r="BC22248" s="141"/>
    </row>
    <row r="22249">
      <c r="BB22249" s="122"/>
      <c r="BC22249" s="141"/>
    </row>
    <row r="22250">
      <c r="BB22250" s="122"/>
      <c r="BC22250" s="141"/>
    </row>
    <row r="22251">
      <c r="BB22251" s="122"/>
      <c r="BC22251" s="141"/>
    </row>
    <row r="22252">
      <c r="BB22252" s="122"/>
      <c r="BC22252" s="141"/>
    </row>
    <row r="22253">
      <c r="BB22253" s="122"/>
      <c r="BC22253" s="141"/>
    </row>
    <row r="22254">
      <c r="BB22254" s="122"/>
      <c r="BC22254" s="141"/>
    </row>
    <row r="22255">
      <c r="BB22255" s="122"/>
      <c r="BC22255" s="141"/>
    </row>
    <row r="22256">
      <c r="BB22256" s="122"/>
      <c r="BC22256" s="141"/>
    </row>
    <row r="22257">
      <c r="BB22257" s="122"/>
      <c r="BC22257" s="141"/>
    </row>
    <row r="22258">
      <c r="BB22258" s="122"/>
      <c r="BC22258" s="141"/>
    </row>
    <row r="22259">
      <c r="BB22259" s="122"/>
      <c r="BC22259" s="141"/>
    </row>
    <row r="22260">
      <c r="BB22260" s="122"/>
      <c r="BC22260" s="141"/>
    </row>
    <row r="22261">
      <c r="BB22261" s="122"/>
      <c r="BC22261" s="141"/>
    </row>
    <row r="22262">
      <c r="BB22262" s="122"/>
      <c r="BC22262" s="141"/>
    </row>
    <row r="22263">
      <c r="BB22263" s="122"/>
      <c r="BC22263" s="141"/>
    </row>
    <row r="22264">
      <c r="BB22264" s="122"/>
      <c r="BC22264" s="141"/>
    </row>
    <row r="22265">
      <c r="BB22265" s="122"/>
      <c r="BC22265" s="141"/>
    </row>
    <row r="22266">
      <c r="BB22266" s="122"/>
      <c r="BC22266" s="141"/>
    </row>
    <row r="22267">
      <c r="BB22267" s="122"/>
      <c r="BC22267" s="141"/>
    </row>
    <row r="22268">
      <c r="BB22268" s="122"/>
      <c r="BC22268" s="141"/>
    </row>
    <row r="22269">
      <c r="BB22269" s="122"/>
      <c r="BC22269" s="141"/>
    </row>
    <row r="22270">
      <c r="BB22270" s="122"/>
      <c r="BC22270" s="141"/>
    </row>
    <row r="22271">
      <c r="BB22271" s="122"/>
      <c r="BC22271" s="141"/>
    </row>
    <row r="22272">
      <c r="BB22272" s="122"/>
      <c r="BC22272" s="141"/>
    </row>
    <row r="22273">
      <c r="BB22273" s="122"/>
      <c r="BC22273" s="141"/>
    </row>
    <row r="22274">
      <c r="BB22274" s="122"/>
      <c r="BC22274" s="141"/>
    </row>
    <row r="22275">
      <c r="BB22275" s="122"/>
      <c r="BC22275" s="141"/>
    </row>
    <row r="22276">
      <c r="BB22276" s="122"/>
      <c r="BC22276" s="141"/>
    </row>
    <row r="22277">
      <c r="BB22277" s="122"/>
      <c r="BC22277" s="141"/>
    </row>
    <row r="22278">
      <c r="BB22278" s="122"/>
      <c r="BC22278" s="141"/>
    </row>
    <row r="22279">
      <c r="BB22279" s="122"/>
      <c r="BC22279" s="141"/>
    </row>
    <row r="22280">
      <c r="BB22280" s="122"/>
      <c r="BC22280" s="141"/>
    </row>
    <row r="22281">
      <c r="BB22281" s="122"/>
      <c r="BC22281" s="141"/>
    </row>
    <row r="22282">
      <c r="BB22282" s="122"/>
      <c r="BC22282" s="141"/>
    </row>
    <row r="22283">
      <c r="BB22283" s="122"/>
      <c r="BC22283" s="141"/>
    </row>
    <row r="22284">
      <c r="BB22284" s="122"/>
      <c r="BC22284" s="141"/>
    </row>
    <row r="22285">
      <c r="BB22285" s="122"/>
      <c r="BC22285" s="141"/>
    </row>
    <row r="22286">
      <c r="BB22286" s="122"/>
      <c r="BC22286" s="141"/>
    </row>
    <row r="22287">
      <c r="BB22287" s="122"/>
      <c r="BC22287" s="141"/>
    </row>
    <row r="22288">
      <c r="BB22288" s="122"/>
      <c r="BC22288" s="141"/>
    </row>
    <row r="22289">
      <c r="BB22289" s="122"/>
      <c r="BC22289" s="141"/>
    </row>
    <row r="22290">
      <c r="BB22290" s="122"/>
      <c r="BC22290" s="141"/>
    </row>
    <row r="22291">
      <c r="BB22291" s="122"/>
      <c r="BC22291" s="141"/>
    </row>
    <row r="22292">
      <c r="BB22292" s="122"/>
      <c r="BC22292" s="141"/>
    </row>
    <row r="22293">
      <c r="BB22293" s="122"/>
      <c r="BC22293" s="141"/>
    </row>
    <row r="22294">
      <c r="BB22294" s="122"/>
      <c r="BC22294" s="141"/>
    </row>
    <row r="22295">
      <c r="BB22295" s="122"/>
      <c r="BC22295" s="141"/>
    </row>
    <row r="22296">
      <c r="BB22296" s="122"/>
      <c r="BC22296" s="141"/>
    </row>
    <row r="22297">
      <c r="BB22297" s="122"/>
      <c r="BC22297" s="141"/>
    </row>
    <row r="22298">
      <c r="BB22298" s="122"/>
      <c r="BC22298" s="141"/>
    </row>
    <row r="22299">
      <c r="BB22299" s="122"/>
      <c r="BC22299" s="141"/>
    </row>
    <row r="22300">
      <c r="BB22300" s="122"/>
      <c r="BC22300" s="141"/>
    </row>
    <row r="22301">
      <c r="BB22301" s="122"/>
      <c r="BC22301" s="141"/>
    </row>
    <row r="22302">
      <c r="BB22302" s="122"/>
      <c r="BC22302" s="141"/>
    </row>
    <row r="22303">
      <c r="BB22303" s="122"/>
      <c r="BC22303" s="141"/>
    </row>
    <row r="22304">
      <c r="BB22304" s="122"/>
      <c r="BC22304" s="141"/>
    </row>
    <row r="22305">
      <c r="BB22305" s="122"/>
      <c r="BC22305" s="141"/>
    </row>
    <row r="22306">
      <c r="BB22306" s="122"/>
      <c r="BC22306" s="141"/>
    </row>
    <row r="22307">
      <c r="BB22307" s="122"/>
      <c r="BC22307" s="141"/>
    </row>
    <row r="22308">
      <c r="BB22308" s="122"/>
      <c r="BC22308" s="141"/>
    </row>
    <row r="22309">
      <c r="BB22309" s="122"/>
      <c r="BC22309" s="141"/>
    </row>
    <row r="22310">
      <c r="BB22310" s="122"/>
      <c r="BC22310" s="141"/>
    </row>
    <row r="22311">
      <c r="BB22311" s="122"/>
      <c r="BC22311" s="141"/>
    </row>
    <row r="22312">
      <c r="BB22312" s="122"/>
      <c r="BC22312" s="141"/>
    </row>
    <row r="22313">
      <c r="BB22313" s="122"/>
      <c r="BC22313" s="141"/>
    </row>
    <row r="22314">
      <c r="BB22314" s="122"/>
      <c r="BC22314" s="141"/>
    </row>
    <row r="22315">
      <c r="BB22315" s="122"/>
      <c r="BC22315" s="141"/>
    </row>
    <row r="22316">
      <c r="BB22316" s="122"/>
      <c r="BC22316" s="141"/>
    </row>
    <row r="22317">
      <c r="BB22317" s="122"/>
      <c r="BC22317" s="141"/>
    </row>
    <row r="22318">
      <c r="BB22318" s="122"/>
      <c r="BC22318" s="141"/>
    </row>
    <row r="22319">
      <c r="BB22319" s="122"/>
      <c r="BC22319" s="141"/>
    </row>
    <row r="22320">
      <c r="BB22320" s="122"/>
      <c r="BC22320" s="141"/>
    </row>
    <row r="22321">
      <c r="BB22321" s="122"/>
      <c r="BC22321" s="141"/>
    </row>
    <row r="22322">
      <c r="BB22322" s="122"/>
      <c r="BC22322" s="141"/>
    </row>
    <row r="22323">
      <c r="BB22323" s="122"/>
      <c r="BC22323" s="141"/>
    </row>
    <row r="22324">
      <c r="BB22324" s="122"/>
      <c r="BC22324" s="141"/>
    </row>
    <row r="22325">
      <c r="BB22325" s="122"/>
      <c r="BC22325" s="141"/>
    </row>
    <row r="22326">
      <c r="BB22326" s="122"/>
      <c r="BC22326" s="141"/>
    </row>
    <row r="22327">
      <c r="BB22327" s="122"/>
      <c r="BC22327" s="141"/>
    </row>
    <row r="22328">
      <c r="BB22328" s="122"/>
      <c r="BC22328" s="141"/>
    </row>
    <row r="22329">
      <c r="BB22329" s="122"/>
      <c r="BC22329" s="141"/>
    </row>
    <row r="22330">
      <c r="BB22330" s="122"/>
      <c r="BC22330" s="141"/>
    </row>
    <row r="22331">
      <c r="BB22331" s="122"/>
      <c r="BC22331" s="141"/>
    </row>
    <row r="22332">
      <c r="BB22332" s="122"/>
      <c r="BC22332" s="141"/>
    </row>
    <row r="22333">
      <c r="BB22333" s="122"/>
      <c r="BC22333" s="141"/>
    </row>
    <row r="22334">
      <c r="BB22334" s="122"/>
      <c r="BC22334" s="141"/>
    </row>
    <row r="22335">
      <c r="BB22335" s="122"/>
      <c r="BC22335" s="141"/>
    </row>
    <row r="22336">
      <c r="BB22336" s="122"/>
      <c r="BC22336" s="141"/>
    </row>
    <row r="22337">
      <c r="BB22337" s="122"/>
      <c r="BC22337" s="141"/>
    </row>
    <row r="22338">
      <c r="BB22338" s="122"/>
      <c r="BC22338" s="141"/>
    </row>
    <row r="22339">
      <c r="BB22339" s="122"/>
      <c r="BC22339" s="141"/>
    </row>
    <row r="22340">
      <c r="BB22340" s="122"/>
      <c r="BC22340" s="141"/>
    </row>
    <row r="22341">
      <c r="BB22341" s="122"/>
      <c r="BC22341" s="141"/>
    </row>
    <row r="22342">
      <c r="BB22342" s="122"/>
      <c r="BC22342" s="141"/>
    </row>
    <row r="22343">
      <c r="BB22343" s="122"/>
      <c r="BC22343" s="141"/>
    </row>
    <row r="22344">
      <c r="BB22344" s="122"/>
      <c r="BC22344" s="141"/>
    </row>
    <row r="22345">
      <c r="BB22345" s="122"/>
      <c r="BC22345" s="141"/>
    </row>
    <row r="22346">
      <c r="BB22346" s="122"/>
      <c r="BC22346" s="141"/>
    </row>
    <row r="22347">
      <c r="BB22347" s="122"/>
      <c r="BC22347" s="141"/>
    </row>
    <row r="22348">
      <c r="BB22348" s="122"/>
      <c r="BC22348" s="141"/>
    </row>
    <row r="22349">
      <c r="BB22349" s="122"/>
      <c r="BC22349" s="141"/>
    </row>
    <row r="22350">
      <c r="BB22350" s="122"/>
      <c r="BC22350" s="141"/>
    </row>
    <row r="22351">
      <c r="BB22351" s="122"/>
      <c r="BC22351" s="141"/>
    </row>
    <row r="22352">
      <c r="BB22352" s="122"/>
      <c r="BC22352" s="141"/>
    </row>
    <row r="22353">
      <c r="BB22353" s="122"/>
      <c r="BC22353" s="141"/>
    </row>
    <row r="22354">
      <c r="BB22354" s="122"/>
      <c r="BC22354" s="141"/>
    </row>
    <row r="22355">
      <c r="BB22355" s="122"/>
      <c r="BC22355" s="141"/>
    </row>
    <row r="22356">
      <c r="BB22356" s="122"/>
      <c r="BC22356" s="141"/>
    </row>
    <row r="22357">
      <c r="BB22357" s="122"/>
      <c r="BC22357" s="141"/>
    </row>
    <row r="22358">
      <c r="BB22358" s="122"/>
      <c r="BC22358" s="141"/>
    </row>
    <row r="22359">
      <c r="BB22359" s="122"/>
      <c r="BC22359" s="141"/>
    </row>
    <row r="22360">
      <c r="BB22360" s="122"/>
      <c r="BC22360" s="141"/>
    </row>
    <row r="22361">
      <c r="BB22361" s="122"/>
      <c r="BC22361" s="141"/>
    </row>
    <row r="22362">
      <c r="BB22362" s="122"/>
      <c r="BC22362" s="141"/>
    </row>
    <row r="22363">
      <c r="BB22363" s="122"/>
      <c r="BC22363" s="141"/>
    </row>
    <row r="22364">
      <c r="BB22364" s="122"/>
      <c r="BC22364" s="141"/>
    </row>
    <row r="22365">
      <c r="BB22365" s="122"/>
      <c r="BC22365" s="141"/>
    </row>
    <row r="22366">
      <c r="BB22366" s="122"/>
      <c r="BC22366" s="141"/>
    </row>
    <row r="22367">
      <c r="BB22367" s="122"/>
      <c r="BC22367" s="141"/>
    </row>
    <row r="22368">
      <c r="BB22368" s="122"/>
      <c r="BC22368" s="141"/>
    </row>
    <row r="22369">
      <c r="BB22369" s="122"/>
      <c r="BC22369" s="141"/>
    </row>
    <row r="22370">
      <c r="BB22370" s="122"/>
      <c r="BC22370" s="141"/>
    </row>
    <row r="22371">
      <c r="BB22371" s="122"/>
      <c r="BC22371" s="141"/>
    </row>
    <row r="22372">
      <c r="BB22372" s="122"/>
      <c r="BC22372" s="141"/>
    </row>
    <row r="22373">
      <c r="BB22373" s="122"/>
      <c r="BC22373" s="141"/>
    </row>
    <row r="22374">
      <c r="BB22374" s="122"/>
      <c r="BC22374" s="141"/>
    </row>
    <row r="22375">
      <c r="BB22375" s="122"/>
      <c r="BC22375" s="141"/>
    </row>
    <row r="22376">
      <c r="BB22376" s="122"/>
      <c r="BC22376" s="141"/>
    </row>
    <row r="22377">
      <c r="BB22377" s="122"/>
      <c r="BC22377" s="141"/>
    </row>
    <row r="22378">
      <c r="BB22378" s="122"/>
      <c r="BC22378" s="141"/>
    </row>
    <row r="22379">
      <c r="BB22379" s="122"/>
      <c r="BC22379" s="141"/>
    </row>
    <row r="22380">
      <c r="BB22380" s="122"/>
      <c r="BC22380" s="141"/>
    </row>
    <row r="22381">
      <c r="BB22381" s="122"/>
      <c r="BC22381" s="141"/>
    </row>
    <row r="22382">
      <c r="BB22382" s="122"/>
      <c r="BC22382" s="141"/>
    </row>
    <row r="22383">
      <c r="BB22383" s="122"/>
      <c r="BC22383" s="141"/>
    </row>
    <row r="22384">
      <c r="BB22384" s="122"/>
      <c r="BC22384" s="141"/>
    </row>
    <row r="22385">
      <c r="BB22385" s="122"/>
      <c r="BC22385" s="141"/>
    </row>
    <row r="22386">
      <c r="BB22386" s="122"/>
      <c r="BC22386" s="141"/>
    </row>
    <row r="22387">
      <c r="BB22387" s="122"/>
      <c r="BC22387" s="141"/>
    </row>
    <row r="22388">
      <c r="BB22388" s="122"/>
      <c r="BC22388" s="141"/>
    </row>
    <row r="22389">
      <c r="BB22389" s="122"/>
      <c r="BC22389" s="141"/>
    </row>
    <row r="22390">
      <c r="BB22390" s="122"/>
      <c r="BC22390" s="141"/>
    </row>
    <row r="22391">
      <c r="BB22391" s="122"/>
      <c r="BC22391" s="141"/>
    </row>
    <row r="22392">
      <c r="BB22392" s="122"/>
      <c r="BC22392" s="141"/>
    </row>
    <row r="22393">
      <c r="BB22393" s="122"/>
      <c r="BC22393" s="141"/>
    </row>
    <row r="22394">
      <c r="BB22394" s="122"/>
      <c r="BC22394" s="141"/>
    </row>
    <row r="22395">
      <c r="BB22395" s="122"/>
      <c r="BC22395" s="141"/>
    </row>
    <row r="22396">
      <c r="BB22396" s="122"/>
      <c r="BC22396" s="141"/>
    </row>
    <row r="22397">
      <c r="BB22397" s="122"/>
      <c r="BC22397" s="141"/>
    </row>
    <row r="22398">
      <c r="BB22398" s="122"/>
      <c r="BC22398" s="141"/>
    </row>
    <row r="22399">
      <c r="BB22399" s="122"/>
      <c r="BC22399" s="141"/>
    </row>
    <row r="22400">
      <c r="BB22400" s="122"/>
      <c r="BC22400" s="141"/>
    </row>
    <row r="22401">
      <c r="BB22401" s="122"/>
      <c r="BC22401" s="141"/>
    </row>
    <row r="22402">
      <c r="BB22402" s="122"/>
      <c r="BC22402" s="141"/>
    </row>
    <row r="22403">
      <c r="BB22403" s="122"/>
      <c r="BC22403" s="141"/>
    </row>
    <row r="22404">
      <c r="BB22404" s="122"/>
      <c r="BC22404" s="141"/>
    </row>
    <row r="22405">
      <c r="BB22405" s="122"/>
      <c r="BC22405" s="141"/>
    </row>
    <row r="22406">
      <c r="BB22406" s="122"/>
      <c r="BC22406" s="141"/>
    </row>
    <row r="22407">
      <c r="BB22407" s="122"/>
      <c r="BC22407" s="141"/>
    </row>
    <row r="22408">
      <c r="BB22408" s="122"/>
      <c r="BC22408" s="141"/>
    </row>
    <row r="22409">
      <c r="BB22409" s="122"/>
      <c r="BC22409" s="141"/>
    </row>
    <row r="22410">
      <c r="BB22410" s="122"/>
      <c r="BC22410" s="141"/>
    </row>
    <row r="22411">
      <c r="BB22411" s="122"/>
      <c r="BC22411" s="141"/>
    </row>
    <row r="22412">
      <c r="BB22412" s="122"/>
      <c r="BC22412" s="141"/>
    </row>
    <row r="22413">
      <c r="BB22413" s="122"/>
      <c r="BC22413" s="141"/>
    </row>
    <row r="22414">
      <c r="BB22414" s="122"/>
      <c r="BC22414" s="141"/>
    </row>
    <row r="22415">
      <c r="BB22415" s="122"/>
      <c r="BC22415" s="141"/>
    </row>
    <row r="22416">
      <c r="BB22416" s="122"/>
      <c r="BC22416" s="141"/>
    </row>
    <row r="22417">
      <c r="BB22417" s="122"/>
      <c r="BC22417" s="141"/>
    </row>
    <row r="22418">
      <c r="BB22418" s="122"/>
      <c r="BC22418" s="141"/>
    </row>
    <row r="22419">
      <c r="BB22419" s="122"/>
      <c r="BC22419" s="141"/>
    </row>
    <row r="22420">
      <c r="BB22420" s="122"/>
      <c r="BC22420" s="141"/>
    </row>
    <row r="22421">
      <c r="BB22421" s="122"/>
      <c r="BC22421" s="141"/>
    </row>
    <row r="22422">
      <c r="BB22422" s="122"/>
      <c r="BC22422" s="141"/>
    </row>
    <row r="22423">
      <c r="BB22423" s="122"/>
      <c r="BC22423" s="141"/>
    </row>
    <row r="22424">
      <c r="BB22424" s="122"/>
      <c r="BC22424" s="141"/>
    </row>
    <row r="22425">
      <c r="BB22425" s="122"/>
      <c r="BC22425" s="141"/>
    </row>
    <row r="22426">
      <c r="BB22426" s="122"/>
      <c r="BC22426" s="141"/>
    </row>
    <row r="22427">
      <c r="BB22427" s="122"/>
      <c r="BC22427" s="141"/>
    </row>
    <row r="22428">
      <c r="BB22428" s="122"/>
      <c r="BC22428" s="141"/>
    </row>
    <row r="22429">
      <c r="BB22429" s="122"/>
      <c r="BC22429" s="141"/>
    </row>
    <row r="22430">
      <c r="BB22430" s="122"/>
      <c r="BC22430" s="141"/>
    </row>
    <row r="22431">
      <c r="BB22431" s="122"/>
      <c r="BC22431" s="141"/>
    </row>
    <row r="22432">
      <c r="BB22432" s="122"/>
      <c r="BC22432" s="141"/>
    </row>
    <row r="22433">
      <c r="BB22433" s="122"/>
      <c r="BC22433" s="141"/>
    </row>
    <row r="22434">
      <c r="BB22434" s="122"/>
      <c r="BC22434" s="141"/>
    </row>
    <row r="22435">
      <c r="BB22435" s="122"/>
      <c r="BC22435" s="141"/>
    </row>
    <row r="22436">
      <c r="BB22436" s="122"/>
      <c r="BC22436" s="141"/>
    </row>
    <row r="22437">
      <c r="BB22437" s="122"/>
      <c r="BC22437" s="141"/>
    </row>
    <row r="22438">
      <c r="BB22438" s="122"/>
      <c r="BC22438" s="141"/>
    </row>
    <row r="22439">
      <c r="BB22439" s="122"/>
      <c r="BC22439" s="141"/>
    </row>
    <row r="22440">
      <c r="BB22440" s="122"/>
      <c r="BC22440" s="141"/>
    </row>
    <row r="22441">
      <c r="BB22441" s="122"/>
      <c r="BC22441" s="141"/>
    </row>
    <row r="22442">
      <c r="BB22442" s="122"/>
      <c r="BC22442" s="141"/>
    </row>
    <row r="22443">
      <c r="BB22443" s="122"/>
      <c r="BC22443" s="141"/>
    </row>
    <row r="22444">
      <c r="BB22444" s="122"/>
      <c r="BC22444" s="141"/>
    </row>
    <row r="22445">
      <c r="BB22445" s="122"/>
      <c r="BC22445" s="141"/>
    </row>
    <row r="22446">
      <c r="BB22446" s="122"/>
      <c r="BC22446" s="141"/>
    </row>
    <row r="22447">
      <c r="BB22447" s="122"/>
      <c r="BC22447" s="141"/>
    </row>
    <row r="22448">
      <c r="BB22448" s="122"/>
      <c r="BC22448" s="141"/>
    </row>
    <row r="22449">
      <c r="BB22449" s="122"/>
      <c r="BC22449" s="141"/>
    </row>
    <row r="22450">
      <c r="BB22450" s="122"/>
      <c r="BC22450" s="141"/>
    </row>
    <row r="22451">
      <c r="BB22451" s="122"/>
      <c r="BC22451" s="141"/>
    </row>
    <row r="22452">
      <c r="BB22452" s="122"/>
      <c r="BC22452" s="141"/>
    </row>
    <row r="22453">
      <c r="BB22453" s="122"/>
      <c r="BC22453" s="141"/>
    </row>
    <row r="22454">
      <c r="BB22454" s="122"/>
      <c r="BC22454" s="141"/>
    </row>
    <row r="22455">
      <c r="BB22455" s="122"/>
      <c r="BC22455" s="141"/>
    </row>
    <row r="22456">
      <c r="BB22456" s="122"/>
      <c r="BC22456" s="141"/>
    </row>
    <row r="22457">
      <c r="BB22457" s="122"/>
      <c r="BC22457" s="141"/>
    </row>
    <row r="22458">
      <c r="BB22458" s="122"/>
      <c r="BC22458" s="141"/>
    </row>
    <row r="22459">
      <c r="BB22459" s="122"/>
      <c r="BC22459" s="141"/>
    </row>
    <row r="22460">
      <c r="BB22460" s="122"/>
      <c r="BC22460" s="141"/>
    </row>
    <row r="22461">
      <c r="BB22461" s="122"/>
      <c r="BC22461" s="141"/>
    </row>
    <row r="22462">
      <c r="BB22462" s="122"/>
      <c r="BC22462" s="141"/>
    </row>
    <row r="22463">
      <c r="BB22463" s="122"/>
      <c r="BC22463" s="141"/>
    </row>
    <row r="22464">
      <c r="BB22464" s="122"/>
      <c r="BC22464" s="141"/>
    </row>
    <row r="22465">
      <c r="BB22465" s="122"/>
      <c r="BC22465" s="141"/>
    </row>
    <row r="22466">
      <c r="BB22466" s="122"/>
      <c r="BC22466" s="141"/>
    </row>
    <row r="22467">
      <c r="BB22467" s="122"/>
      <c r="BC22467" s="141"/>
    </row>
    <row r="22468">
      <c r="BB22468" s="122"/>
      <c r="BC22468" s="141"/>
    </row>
    <row r="22469">
      <c r="BB22469" s="122"/>
      <c r="BC22469" s="141"/>
    </row>
    <row r="22470">
      <c r="BB22470" s="122"/>
      <c r="BC22470" s="141"/>
    </row>
    <row r="22471">
      <c r="BB22471" s="122"/>
      <c r="BC22471" s="141"/>
    </row>
    <row r="22472">
      <c r="BB22472" s="122"/>
      <c r="BC22472" s="141"/>
    </row>
    <row r="22473">
      <c r="BB22473" s="122"/>
      <c r="BC22473" s="141"/>
    </row>
    <row r="22474">
      <c r="BB22474" s="122"/>
      <c r="BC22474" s="141"/>
    </row>
    <row r="22475">
      <c r="BB22475" s="122"/>
      <c r="BC22475" s="141"/>
    </row>
    <row r="22476">
      <c r="BB22476" s="122"/>
      <c r="BC22476" s="141"/>
    </row>
    <row r="22477">
      <c r="BB22477" s="122"/>
      <c r="BC22477" s="141"/>
    </row>
    <row r="22478">
      <c r="BB22478" s="122"/>
      <c r="BC22478" s="141"/>
    </row>
    <row r="22479">
      <c r="BB22479" s="122"/>
      <c r="BC22479" s="141"/>
    </row>
    <row r="22480">
      <c r="BB22480" s="122"/>
      <c r="BC22480" s="141"/>
    </row>
    <row r="22481">
      <c r="BB22481" s="122"/>
      <c r="BC22481" s="141"/>
    </row>
    <row r="22482">
      <c r="BB22482" s="122"/>
      <c r="BC22482" s="141"/>
    </row>
    <row r="22483">
      <c r="BB22483" s="122"/>
      <c r="BC22483" s="141"/>
    </row>
    <row r="22484">
      <c r="BB22484" s="122"/>
      <c r="BC22484" s="141"/>
    </row>
    <row r="22485">
      <c r="BB22485" s="122"/>
      <c r="BC22485" s="141"/>
    </row>
    <row r="22486">
      <c r="BB22486" s="122"/>
      <c r="BC22486" s="141"/>
    </row>
    <row r="22487">
      <c r="BB22487" s="122"/>
      <c r="BC22487" s="141"/>
    </row>
    <row r="22488">
      <c r="BB22488" s="122"/>
      <c r="BC22488" s="141"/>
    </row>
    <row r="22489">
      <c r="BB22489" s="122"/>
      <c r="BC22489" s="141"/>
    </row>
    <row r="22490">
      <c r="BB22490" s="122"/>
      <c r="BC22490" s="141"/>
    </row>
    <row r="22491">
      <c r="BB22491" s="122"/>
      <c r="BC22491" s="141"/>
    </row>
    <row r="22492">
      <c r="BB22492" s="122"/>
      <c r="BC22492" s="141"/>
    </row>
    <row r="22493">
      <c r="BB22493" s="122"/>
      <c r="BC22493" s="141"/>
    </row>
    <row r="22494">
      <c r="BB22494" s="122"/>
      <c r="BC22494" s="141"/>
    </row>
    <row r="22495">
      <c r="BB22495" s="122"/>
      <c r="BC22495" s="141"/>
    </row>
    <row r="22496">
      <c r="BB22496" s="122"/>
      <c r="BC22496" s="141"/>
    </row>
    <row r="22497">
      <c r="BB22497" s="122"/>
      <c r="BC22497" s="141"/>
    </row>
    <row r="22498">
      <c r="BB22498" s="122"/>
      <c r="BC22498" s="141"/>
    </row>
    <row r="22499">
      <c r="BB22499" s="122"/>
      <c r="BC22499" s="141"/>
    </row>
    <row r="22500">
      <c r="BB22500" s="122"/>
      <c r="BC22500" s="141"/>
    </row>
    <row r="22501">
      <c r="BB22501" s="122"/>
      <c r="BC22501" s="141"/>
    </row>
    <row r="22502">
      <c r="BB22502" s="122"/>
      <c r="BC22502" s="141"/>
    </row>
    <row r="22503">
      <c r="BB22503" s="122"/>
      <c r="BC22503" s="141"/>
    </row>
    <row r="22504">
      <c r="BB22504" s="122"/>
      <c r="BC22504" s="141"/>
    </row>
    <row r="22505">
      <c r="BB22505" s="122"/>
      <c r="BC22505" s="141"/>
    </row>
    <row r="22506">
      <c r="BB22506" s="122"/>
      <c r="BC22506" s="141"/>
    </row>
    <row r="22507">
      <c r="BB22507" s="122"/>
      <c r="BC22507" s="141"/>
    </row>
    <row r="22508">
      <c r="BB22508" s="122"/>
      <c r="BC22508" s="141"/>
    </row>
    <row r="22509">
      <c r="BB22509" s="122"/>
      <c r="BC22509" s="141"/>
    </row>
    <row r="22510">
      <c r="BB22510" s="122"/>
      <c r="BC22510" s="141"/>
    </row>
    <row r="22511">
      <c r="BB22511" s="122"/>
      <c r="BC22511" s="141"/>
    </row>
    <row r="22512">
      <c r="BB22512" s="122"/>
      <c r="BC22512" s="141"/>
    </row>
    <row r="22513">
      <c r="BB22513" s="122"/>
      <c r="BC22513" s="141"/>
    </row>
    <row r="22514">
      <c r="BB22514" s="122"/>
      <c r="BC22514" s="141"/>
    </row>
    <row r="22515">
      <c r="BB22515" s="122"/>
      <c r="BC22515" s="141"/>
    </row>
    <row r="22516">
      <c r="BB22516" s="122"/>
      <c r="BC22516" s="141"/>
    </row>
    <row r="22517">
      <c r="BB22517" s="122"/>
      <c r="BC22517" s="141"/>
    </row>
    <row r="22518">
      <c r="BB22518" s="122"/>
      <c r="BC22518" s="141"/>
    </row>
    <row r="22519">
      <c r="BB22519" s="122"/>
      <c r="BC22519" s="141"/>
    </row>
    <row r="22520">
      <c r="BB22520" s="122"/>
      <c r="BC22520" s="141"/>
    </row>
    <row r="22521">
      <c r="BB22521" s="122"/>
      <c r="BC22521" s="141"/>
    </row>
    <row r="22522">
      <c r="BB22522" s="122"/>
      <c r="BC22522" s="141"/>
    </row>
    <row r="22523">
      <c r="BB22523" s="122"/>
      <c r="BC22523" s="141"/>
    </row>
    <row r="22524">
      <c r="BB22524" s="122"/>
      <c r="BC22524" s="141"/>
    </row>
    <row r="22525">
      <c r="BB22525" s="122"/>
      <c r="BC22525" s="141"/>
    </row>
    <row r="22526">
      <c r="BB22526" s="122"/>
      <c r="BC22526" s="141"/>
    </row>
    <row r="22527">
      <c r="BB22527" s="122"/>
      <c r="BC22527" s="141"/>
    </row>
    <row r="22528">
      <c r="BB22528" s="122"/>
      <c r="BC22528" s="141"/>
    </row>
    <row r="22529">
      <c r="BB22529" s="122"/>
      <c r="BC22529" s="141"/>
    </row>
    <row r="22530">
      <c r="BB22530" s="122"/>
      <c r="BC22530" s="141"/>
    </row>
    <row r="22531">
      <c r="BB22531" s="122"/>
      <c r="BC22531" s="141"/>
    </row>
    <row r="22532">
      <c r="BB22532" s="122"/>
      <c r="BC22532" s="141"/>
    </row>
    <row r="22533">
      <c r="BB22533" s="122"/>
      <c r="BC22533" s="141"/>
    </row>
    <row r="22534">
      <c r="BB22534" s="122"/>
      <c r="BC22534" s="141"/>
    </row>
    <row r="22535">
      <c r="BB22535" s="122"/>
      <c r="BC22535" s="141"/>
    </row>
    <row r="22536">
      <c r="BB22536" s="122"/>
      <c r="BC22536" s="141"/>
    </row>
    <row r="22537">
      <c r="BB22537" s="122"/>
      <c r="BC22537" s="141"/>
    </row>
    <row r="22538">
      <c r="BB22538" s="122"/>
      <c r="BC22538" s="141"/>
    </row>
    <row r="22539">
      <c r="BB22539" s="122"/>
      <c r="BC22539" s="141"/>
    </row>
    <row r="22540">
      <c r="BB22540" s="122"/>
      <c r="BC22540" s="141"/>
    </row>
    <row r="22541">
      <c r="BB22541" s="122"/>
      <c r="BC22541" s="141"/>
    </row>
    <row r="22542">
      <c r="BB22542" s="122"/>
      <c r="BC22542" s="141"/>
    </row>
    <row r="22543">
      <c r="BB22543" s="122"/>
      <c r="BC22543" s="141"/>
    </row>
    <row r="22544">
      <c r="BB22544" s="122"/>
      <c r="BC22544" s="141"/>
    </row>
    <row r="22545">
      <c r="BB22545" s="122"/>
      <c r="BC22545" s="141"/>
    </row>
    <row r="22546">
      <c r="BB22546" s="122"/>
      <c r="BC22546" s="141"/>
    </row>
    <row r="22547">
      <c r="BB22547" s="122"/>
      <c r="BC22547" s="141"/>
    </row>
    <row r="22548">
      <c r="BB22548" s="122"/>
      <c r="BC22548" s="141"/>
    </row>
    <row r="22549">
      <c r="BB22549" s="122"/>
      <c r="BC22549" s="141"/>
    </row>
    <row r="22550">
      <c r="BB22550" s="122"/>
      <c r="BC22550" s="141"/>
    </row>
    <row r="22551">
      <c r="BB22551" s="122"/>
      <c r="BC22551" s="141"/>
    </row>
    <row r="22552">
      <c r="BB22552" s="122"/>
      <c r="BC22552" s="141"/>
    </row>
    <row r="22553">
      <c r="BB22553" s="122"/>
      <c r="BC22553" s="141"/>
    </row>
    <row r="22554">
      <c r="BB22554" s="122"/>
      <c r="BC22554" s="141"/>
    </row>
    <row r="22555">
      <c r="BB22555" s="122"/>
      <c r="BC22555" s="141"/>
    </row>
    <row r="22556">
      <c r="BB22556" s="122"/>
      <c r="BC22556" s="141"/>
    </row>
    <row r="22557">
      <c r="BB22557" s="122"/>
      <c r="BC22557" s="141"/>
    </row>
    <row r="22558">
      <c r="BB22558" s="122"/>
      <c r="BC22558" s="141"/>
    </row>
    <row r="22559">
      <c r="BB22559" s="122"/>
      <c r="BC22559" s="141"/>
    </row>
    <row r="22560">
      <c r="BB22560" s="122"/>
      <c r="BC22560" s="141"/>
    </row>
    <row r="22561">
      <c r="BB22561" s="122"/>
      <c r="BC22561" s="141"/>
    </row>
    <row r="22562">
      <c r="BB22562" s="122"/>
      <c r="BC22562" s="141"/>
    </row>
    <row r="22563">
      <c r="BB22563" s="122"/>
      <c r="BC22563" s="141"/>
    </row>
    <row r="22564">
      <c r="BB22564" s="122"/>
      <c r="BC22564" s="141"/>
    </row>
    <row r="22565">
      <c r="BB22565" s="122"/>
      <c r="BC22565" s="141"/>
    </row>
    <row r="22566">
      <c r="BB22566" s="122"/>
      <c r="BC22566" s="141"/>
    </row>
    <row r="22567">
      <c r="BB22567" s="122"/>
      <c r="BC22567" s="141"/>
    </row>
    <row r="22568">
      <c r="BB22568" s="122"/>
      <c r="BC22568" s="141"/>
    </row>
    <row r="22569">
      <c r="BB22569" s="122"/>
      <c r="BC22569" s="141"/>
    </row>
    <row r="22570">
      <c r="BB22570" s="122"/>
      <c r="BC22570" s="141"/>
    </row>
    <row r="22571">
      <c r="BB22571" s="122"/>
      <c r="BC22571" s="141"/>
    </row>
    <row r="22572">
      <c r="BB22572" s="122"/>
      <c r="BC22572" s="141"/>
    </row>
    <row r="22573">
      <c r="BB22573" s="122"/>
      <c r="BC22573" s="141"/>
    </row>
    <row r="22574">
      <c r="BB22574" s="122"/>
      <c r="BC22574" s="141"/>
    </row>
    <row r="22575">
      <c r="BB22575" s="122"/>
      <c r="BC22575" s="141"/>
    </row>
    <row r="22576">
      <c r="BB22576" s="122"/>
      <c r="BC22576" s="141"/>
    </row>
    <row r="22577">
      <c r="BB22577" s="122"/>
      <c r="BC22577" s="141"/>
    </row>
    <row r="22578">
      <c r="BB22578" s="122"/>
      <c r="BC22578" s="141"/>
    </row>
    <row r="22579">
      <c r="BB22579" s="122"/>
      <c r="BC22579" s="141"/>
    </row>
    <row r="22580">
      <c r="BB22580" s="122"/>
      <c r="BC22580" s="141"/>
    </row>
    <row r="22581">
      <c r="BB22581" s="122"/>
      <c r="BC22581" s="141"/>
    </row>
    <row r="22582">
      <c r="BB22582" s="122"/>
      <c r="BC22582" s="141"/>
    </row>
    <row r="22583">
      <c r="BB22583" s="122"/>
      <c r="BC22583" s="141"/>
    </row>
    <row r="22584">
      <c r="BB22584" s="122"/>
      <c r="BC22584" s="141"/>
    </row>
    <row r="22585">
      <c r="BB22585" s="122"/>
      <c r="BC22585" s="141"/>
    </row>
    <row r="22586">
      <c r="BB22586" s="122"/>
      <c r="BC22586" s="141"/>
    </row>
    <row r="22587">
      <c r="BB22587" s="122"/>
      <c r="BC22587" s="141"/>
    </row>
    <row r="22588">
      <c r="BB22588" s="122"/>
      <c r="BC22588" s="141"/>
    </row>
    <row r="22589">
      <c r="BB22589" s="122"/>
      <c r="BC22589" s="141"/>
    </row>
    <row r="22590">
      <c r="BB22590" s="122"/>
      <c r="BC22590" s="141"/>
    </row>
    <row r="22591">
      <c r="BB22591" s="122"/>
      <c r="BC22591" s="141"/>
    </row>
    <row r="22592">
      <c r="BB22592" s="122"/>
      <c r="BC22592" s="141"/>
    </row>
    <row r="22593">
      <c r="BB22593" s="122"/>
      <c r="BC22593" s="141"/>
    </row>
    <row r="22594">
      <c r="BB22594" s="122"/>
      <c r="BC22594" s="141"/>
    </row>
    <row r="22595">
      <c r="BB22595" s="122"/>
      <c r="BC22595" s="141"/>
    </row>
    <row r="22596">
      <c r="BB22596" s="122"/>
      <c r="BC22596" s="141"/>
    </row>
    <row r="22597">
      <c r="BB22597" s="122"/>
      <c r="BC22597" s="141"/>
    </row>
    <row r="22598">
      <c r="BB22598" s="122"/>
      <c r="BC22598" s="141"/>
    </row>
    <row r="22599">
      <c r="BB22599" s="122"/>
      <c r="BC22599" s="141"/>
    </row>
    <row r="22600">
      <c r="BB22600" s="122"/>
      <c r="BC22600" s="141"/>
    </row>
    <row r="22601">
      <c r="BB22601" s="122"/>
      <c r="BC22601" s="141"/>
    </row>
    <row r="22602">
      <c r="BB22602" s="122"/>
      <c r="BC22602" s="141"/>
    </row>
    <row r="22603">
      <c r="BB22603" s="122"/>
      <c r="BC22603" s="141"/>
    </row>
    <row r="22604">
      <c r="BB22604" s="122"/>
      <c r="BC22604" s="141"/>
    </row>
    <row r="22605">
      <c r="BB22605" s="122"/>
      <c r="BC22605" s="141"/>
    </row>
    <row r="22606">
      <c r="BB22606" s="122"/>
      <c r="BC22606" s="141"/>
    </row>
    <row r="22607">
      <c r="BB22607" s="122"/>
      <c r="BC22607" s="141"/>
    </row>
    <row r="22608">
      <c r="BB22608" s="122"/>
      <c r="BC22608" s="141"/>
    </row>
    <row r="22609">
      <c r="BB22609" s="122"/>
      <c r="BC22609" s="141"/>
    </row>
    <row r="22610">
      <c r="BB22610" s="122"/>
      <c r="BC22610" s="141"/>
    </row>
    <row r="22611">
      <c r="BB22611" s="122"/>
      <c r="BC22611" s="141"/>
    </row>
    <row r="22612">
      <c r="BB22612" s="122"/>
      <c r="BC22612" s="141"/>
    </row>
    <row r="22613">
      <c r="BB22613" s="122"/>
      <c r="BC22613" s="141"/>
    </row>
    <row r="22614">
      <c r="BB22614" s="122"/>
      <c r="BC22614" s="141"/>
    </row>
    <row r="22615">
      <c r="BB22615" s="122"/>
      <c r="BC22615" s="141"/>
    </row>
    <row r="22616">
      <c r="BB22616" s="122"/>
      <c r="BC22616" s="141"/>
    </row>
    <row r="22617">
      <c r="BB22617" s="122"/>
      <c r="BC22617" s="141"/>
    </row>
    <row r="22618">
      <c r="BB22618" s="122"/>
      <c r="BC22618" s="141"/>
    </row>
    <row r="22619">
      <c r="BB22619" s="122"/>
      <c r="BC22619" s="141"/>
    </row>
    <row r="22620">
      <c r="BB22620" s="122"/>
      <c r="BC22620" s="141"/>
    </row>
    <row r="22621">
      <c r="BB22621" s="122"/>
      <c r="BC22621" s="141"/>
    </row>
    <row r="22622">
      <c r="BB22622" s="122"/>
      <c r="BC22622" s="141"/>
    </row>
    <row r="22623">
      <c r="BB22623" s="122"/>
      <c r="BC22623" s="141"/>
    </row>
    <row r="22624">
      <c r="BB22624" s="122"/>
      <c r="BC22624" s="141"/>
    </row>
    <row r="22625">
      <c r="BB22625" s="122"/>
      <c r="BC22625" s="141"/>
    </row>
    <row r="22626">
      <c r="BB22626" s="122"/>
      <c r="BC22626" s="141"/>
    </row>
    <row r="22627">
      <c r="BB22627" s="122"/>
      <c r="BC22627" s="141"/>
    </row>
    <row r="22628">
      <c r="BB22628" s="122"/>
      <c r="BC22628" s="141"/>
    </row>
    <row r="22629">
      <c r="BB22629" s="122"/>
      <c r="BC22629" s="141"/>
    </row>
    <row r="22630">
      <c r="BB22630" s="122"/>
      <c r="BC22630" s="141"/>
    </row>
    <row r="22631">
      <c r="BB22631" s="122"/>
      <c r="BC22631" s="141"/>
    </row>
    <row r="22632">
      <c r="BB22632" s="122"/>
      <c r="BC22632" s="141"/>
    </row>
    <row r="22633">
      <c r="BB22633" s="122"/>
      <c r="BC22633" s="141"/>
    </row>
    <row r="22634">
      <c r="BB22634" s="122"/>
      <c r="BC22634" s="141"/>
    </row>
    <row r="22635">
      <c r="BB22635" s="122"/>
      <c r="BC22635" s="141"/>
    </row>
    <row r="22636">
      <c r="BB22636" s="122"/>
      <c r="BC22636" s="141"/>
    </row>
    <row r="22637">
      <c r="BB22637" s="122"/>
      <c r="BC22637" s="141"/>
    </row>
    <row r="22638">
      <c r="BB22638" s="122"/>
      <c r="BC22638" s="141"/>
    </row>
    <row r="22639">
      <c r="BB22639" s="122"/>
      <c r="BC22639" s="141"/>
    </row>
    <row r="22640">
      <c r="BB22640" s="122"/>
      <c r="BC22640" s="141"/>
    </row>
    <row r="22641">
      <c r="BB22641" s="122"/>
      <c r="BC22641" s="141"/>
    </row>
    <row r="22642">
      <c r="BB22642" s="122"/>
      <c r="BC22642" s="141"/>
    </row>
    <row r="22643">
      <c r="BB22643" s="122"/>
      <c r="BC22643" s="141"/>
    </row>
    <row r="22644">
      <c r="BB22644" s="122"/>
      <c r="BC22644" s="141"/>
    </row>
    <row r="22645">
      <c r="BB22645" s="122"/>
      <c r="BC22645" s="141"/>
    </row>
    <row r="22646">
      <c r="BB22646" s="122"/>
      <c r="BC22646" s="141"/>
    </row>
    <row r="22647">
      <c r="BB22647" s="122"/>
      <c r="BC22647" s="141"/>
    </row>
    <row r="22648">
      <c r="BB22648" s="122"/>
      <c r="BC22648" s="141"/>
    </row>
    <row r="22649">
      <c r="BB22649" s="122"/>
      <c r="BC22649" s="141"/>
    </row>
    <row r="22650">
      <c r="BB22650" s="122"/>
      <c r="BC22650" s="141"/>
    </row>
    <row r="22651">
      <c r="BB22651" s="122"/>
      <c r="BC22651" s="141"/>
    </row>
    <row r="22652">
      <c r="BB22652" s="122"/>
      <c r="BC22652" s="141"/>
    </row>
    <row r="22653">
      <c r="BB22653" s="122"/>
      <c r="BC22653" s="141"/>
    </row>
    <row r="22654">
      <c r="BB22654" s="122"/>
      <c r="BC22654" s="141"/>
    </row>
    <row r="22655">
      <c r="BB22655" s="122"/>
      <c r="BC22655" s="141"/>
    </row>
    <row r="22656">
      <c r="BB22656" s="122"/>
      <c r="BC22656" s="141"/>
    </row>
    <row r="22657">
      <c r="BB22657" s="122"/>
      <c r="BC22657" s="141"/>
    </row>
    <row r="22658">
      <c r="BB22658" s="122"/>
      <c r="BC22658" s="141"/>
    </row>
    <row r="22659">
      <c r="BB22659" s="122"/>
      <c r="BC22659" s="141"/>
    </row>
    <row r="22660">
      <c r="BB22660" s="122"/>
      <c r="BC22660" s="141"/>
    </row>
    <row r="22661">
      <c r="BB22661" s="122"/>
      <c r="BC22661" s="141"/>
    </row>
    <row r="22662">
      <c r="BB22662" s="122"/>
      <c r="BC22662" s="141"/>
    </row>
    <row r="22663">
      <c r="BB22663" s="122"/>
      <c r="BC22663" s="141"/>
    </row>
    <row r="22664">
      <c r="BB22664" s="122"/>
      <c r="BC22664" s="141"/>
    </row>
    <row r="22665">
      <c r="BB22665" s="122"/>
      <c r="BC22665" s="141"/>
    </row>
    <row r="22666">
      <c r="BB22666" s="122"/>
      <c r="BC22666" s="141"/>
    </row>
    <row r="22667">
      <c r="BB22667" s="122"/>
      <c r="BC22667" s="141"/>
    </row>
    <row r="22668">
      <c r="BB22668" s="122"/>
      <c r="BC22668" s="141"/>
    </row>
    <row r="22669">
      <c r="BB22669" s="122"/>
      <c r="BC22669" s="141"/>
    </row>
    <row r="22670">
      <c r="BB22670" s="122"/>
      <c r="BC22670" s="141"/>
    </row>
    <row r="22671">
      <c r="BB22671" s="122"/>
      <c r="BC22671" s="141"/>
    </row>
    <row r="22672">
      <c r="BB22672" s="122"/>
      <c r="BC22672" s="141"/>
    </row>
    <row r="22673">
      <c r="BB22673" s="122"/>
      <c r="BC22673" s="141"/>
    </row>
    <row r="22674">
      <c r="BB22674" s="122"/>
      <c r="BC22674" s="141"/>
    </row>
    <row r="22675">
      <c r="BB22675" s="122"/>
      <c r="BC22675" s="141"/>
    </row>
    <row r="22676">
      <c r="BB22676" s="122"/>
      <c r="BC22676" s="141"/>
    </row>
    <row r="22677">
      <c r="BB22677" s="122"/>
      <c r="BC22677" s="141"/>
    </row>
    <row r="22678">
      <c r="BB22678" s="122"/>
      <c r="BC22678" s="141"/>
    </row>
    <row r="22679">
      <c r="BB22679" s="122"/>
      <c r="BC22679" s="141"/>
    </row>
    <row r="22680">
      <c r="BB22680" s="122"/>
      <c r="BC22680" s="141"/>
    </row>
    <row r="22681">
      <c r="BB22681" s="122"/>
      <c r="BC22681" s="141"/>
    </row>
    <row r="22682">
      <c r="BB22682" s="122"/>
      <c r="BC22682" s="141"/>
    </row>
    <row r="22683">
      <c r="BB22683" s="122"/>
      <c r="BC22683" s="141"/>
    </row>
    <row r="22684">
      <c r="BB22684" s="122"/>
      <c r="BC22684" s="141"/>
    </row>
    <row r="22685">
      <c r="BB22685" s="122"/>
      <c r="BC22685" s="141"/>
    </row>
    <row r="22686">
      <c r="BB22686" s="122"/>
      <c r="BC22686" s="141"/>
    </row>
    <row r="22687">
      <c r="BB22687" s="122"/>
      <c r="BC22687" s="141"/>
    </row>
    <row r="22688">
      <c r="BB22688" s="122"/>
      <c r="BC22688" s="141"/>
    </row>
    <row r="22689">
      <c r="BB22689" s="122"/>
      <c r="BC22689" s="141"/>
    </row>
    <row r="22690">
      <c r="BB22690" s="122"/>
      <c r="BC22690" s="141"/>
    </row>
    <row r="22691">
      <c r="BB22691" s="122"/>
      <c r="BC22691" s="141"/>
    </row>
    <row r="22692">
      <c r="BB22692" s="122"/>
      <c r="BC22692" s="141"/>
    </row>
    <row r="22693">
      <c r="BB22693" s="122"/>
      <c r="BC22693" s="141"/>
    </row>
    <row r="22694">
      <c r="BB22694" s="122"/>
      <c r="BC22694" s="141"/>
    </row>
    <row r="22695">
      <c r="BB22695" s="122"/>
      <c r="BC22695" s="141"/>
    </row>
    <row r="22696">
      <c r="BB22696" s="122"/>
      <c r="BC22696" s="141"/>
    </row>
    <row r="22697">
      <c r="BB22697" s="122"/>
      <c r="BC22697" s="141"/>
    </row>
    <row r="22698">
      <c r="BB22698" s="122"/>
      <c r="BC22698" s="141"/>
    </row>
    <row r="22699">
      <c r="BB22699" s="122"/>
      <c r="BC22699" s="141"/>
    </row>
    <row r="22700">
      <c r="BB22700" s="122"/>
      <c r="BC22700" s="141"/>
    </row>
    <row r="22701">
      <c r="BB22701" s="122"/>
      <c r="BC22701" s="141"/>
    </row>
    <row r="22702">
      <c r="BB22702" s="122"/>
      <c r="BC22702" s="141"/>
    </row>
    <row r="22703">
      <c r="BB22703" s="122"/>
      <c r="BC22703" s="141"/>
    </row>
    <row r="22704">
      <c r="BB22704" s="122"/>
      <c r="BC22704" s="141"/>
    </row>
    <row r="22705">
      <c r="BB22705" s="122"/>
      <c r="BC22705" s="141"/>
    </row>
    <row r="22706">
      <c r="BB22706" s="122"/>
      <c r="BC22706" s="141"/>
    </row>
    <row r="22707">
      <c r="BB22707" s="122"/>
      <c r="BC22707" s="141"/>
    </row>
    <row r="22708">
      <c r="BB22708" s="122"/>
      <c r="BC22708" s="141"/>
    </row>
    <row r="22709">
      <c r="BB22709" s="122"/>
      <c r="BC22709" s="141"/>
    </row>
    <row r="22710">
      <c r="BB22710" s="122"/>
      <c r="BC22710" s="141"/>
    </row>
    <row r="22711">
      <c r="BB22711" s="122"/>
      <c r="BC22711" s="141"/>
    </row>
    <row r="22712">
      <c r="BB22712" s="122"/>
      <c r="BC22712" s="141"/>
    </row>
    <row r="22713">
      <c r="BB22713" s="122"/>
      <c r="BC22713" s="141"/>
    </row>
    <row r="22714">
      <c r="BB22714" s="122"/>
      <c r="BC22714" s="141"/>
    </row>
    <row r="22715">
      <c r="BB22715" s="122"/>
      <c r="BC22715" s="141"/>
    </row>
    <row r="22716">
      <c r="BB22716" s="122"/>
      <c r="BC22716" s="141"/>
    </row>
    <row r="22717">
      <c r="BB22717" s="122"/>
      <c r="BC22717" s="141"/>
    </row>
    <row r="22718">
      <c r="BB22718" s="122"/>
      <c r="BC22718" s="141"/>
    </row>
    <row r="22719">
      <c r="BB22719" s="122"/>
      <c r="BC22719" s="141"/>
    </row>
    <row r="22720">
      <c r="BB22720" s="122"/>
      <c r="BC22720" s="141"/>
    </row>
    <row r="22721">
      <c r="BB22721" s="122"/>
      <c r="BC22721" s="141"/>
    </row>
    <row r="22722">
      <c r="BB22722" s="122"/>
      <c r="BC22722" s="141"/>
    </row>
    <row r="22723">
      <c r="BB22723" s="122"/>
      <c r="BC22723" s="141"/>
    </row>
    <row r="22724">
      <c r="BB22724" s="122"/>
      <c r="BC22724" s="141"/>
    </row>
    <row r="22725">
      <c r="BB22725" s="122"/>
      <c r="BC22725" s="141"/>
    </row>
    <row r="22726">
      <c r="BB22726" s="122"/>
      <c r="BC22726" s="141"/>
    </row>
    <row r="22727">
      <c r="BB22727" s="122"/>
      <c r="BC22727" s="141"/>
    </row>
    <row r="22728">
      <c r="BB22728" s="122"/>
      <c r="BC22728" s="141"/>
    </row>
    <row r="22729">
      <c r="BB22729" s="122"/>
      <c r="BC22729" s="141"/>
    </row>
    <row r="22730">
      <c r="BB22730" s="122"/>
      <c r="BC22730" s="141"/>
    </row>
    <row r="22731">
      <c r="BB22731" s="122"/>
      <c r="BC22731" s="141"/>
    </row>
    <row r="22732">
      <c r="BB22732" s="122"/>
      <c r="BC22732" s="141"/>
    </row>
    <row r="22733">
      <c r="BB22733" s="122"/>
      <c r="BC22733" s="141"/>
    </row>
    <row r="22734">
      <c r="BB22734" s="122"/>
      <c r="BC22734" s="141"/>
    </row>
    <row r="22735">
      <c r="BB22735" s="122"/>
      <c r="BC22735" s="141"/>
    </row>
    <row r="22736">
      <c r="BB22736" s="122"/>
      <c r="BC22736" s="141"/>
    </row>
    <row r="22737">
      <c r="BB22737" s="122"/>
      <c r="BC22737" s="141"/>
    </row>
    <row r="22738">
      <c r="BB22738" s="122"/>
      <c r="BC22738" s="141"/>
    </row>
    <row r="22739">
      <c r="BB22739" s="122"/>
      <c r="BC22739" s="141"/>
    </row>
    <row r="22740">
      <c r="BB22740" s="122"/>
      <c r="BC22740" s="141"/>
    </row>
    <row r="22741">
      <c r="BB22741" s="122"/>
      <c r="BC22741" s="141"/>
    </row>
    <row r="22742">
      <c r="BB22742" s="122"/>
      <c r="BC22742" s="141"/>
    </row>
    <row r="22743">
      <c r="BB22743" s="122"/>
      <c r="BC22743" s="141"/>
    </row>
    <row r="22744">
      <c r="BB22744" s="122"/>
      <c r="BC22744" s="141"/>
    </row>
    <row r="22745">
      <c r="BB22745" s="122"/>
      <c r="BC22745" s="141"/>
    </row>
    <row r="22746">
      <c r="BB22746" s="122"/>
      <c r="BC22746" s="141"/>
    </row>
    <row r="22747">
      <c r="BB22747" s="122"/>
      <c r="BC22747" s="141"/>
    </row>
    <row r="22748">
      <c r="BB22748" s="122"/>
      <c r="BC22748" s="141"/>
    </row>
    <row r="22749">
      <c r="BB22749" s="122"/>
      <c r="BC22749" s="141"/>
    </row>
    <row r="22750">
      <c r="BB22750" s="122"/>
      <c r="BC22750" s="141"/>
    </row>
    <row r="22751">
      <c r="BB22751" s="122"/>
      <c r="BC22751" s="141"/>
    </row>
    <row r="22752">
      <c r="BB22752" s="122"/>
      <c r="BC22752" s="141"/>
    </row>
    <row r="22753">
      <c r="BB22753" s="122"/>
      <c r="BC22753" s="141"/>
    </row>
    <row r="22754">
      <c r="BB22754" s="122"/>
      <c r="BC22754" s="141"/>
    </row>
    <row r="22755">
      <c r="BB22755" s="122"/>
      <c r="BC22755" s="141"/>
    </row>
    <row r="22756">
      <c r="BB22756" s="122"/>
      <c r="BC22756" s="141"/>
    </row>
    <row r="22757">
      <c r="BB22757" s="122"/>
      <c r="BC22757" s="141"/>
    </row>
    <row r="22758">
      <c r="BB22758" s="122"/>
      <c r="BC22758" s="141"/>
    </row>
    <row r="22759">
      <c r="BB22759" s="122"/>
      <c r="BC22759" s="141"/>
    </row>
    <row r="22760">
      <c r="BB22760" s="122"/>
      <c r="BC22760" s="141"/>
    </row>
    <row r="22761">
      <c r="BB22761" s="122"/>
      <c r="BC22761" s="141"/>
    </row>
    <row r="22762">
      <c r="BB22762" s="122"/>
      <c r="BC22762" s="141"/>
    </row>
    <row r="22763">
      <c r="BB22763" s="122"/>
      <c r="BC22763" s="141"/>
    </row>
    <row r="22764">
      <c r="BB22764" s="122"/>
      <c r="BC22764" s="141"/>
    </row>
    <row r="22765">
      <c r="BB22765" s="122"/>
      <c r="BC22765" s="141"/>
    </row>
    <row r="22766">
      <c r="BB22766" s="122"/>
      <c r="BC22766" s="141"/>
    </row>
    <row r="22767">
      <c r="BB22767" s="122"/>
      <c r="BC22767" s="141"/>
    </row>
    <row r="22768">
      <c r="BB22768" s="122"/>
      <c r="BC22768" s="141"/>
    </row>
    <row r="22769">
      <c r="BB22769" s="122"/>
      <c r="BC22769" s="141"/>
    </row>
    <row r="22770">
      <c r="BB22770" s="122"/>
      <c r="BC22770" s="141"/>
    </row>
    <row r="22771">
      <c r="BB22771" s="122"/>
      <c r="BC22771" s="141"/>
    </row>
    <row r="22772">
      <c r="BB22772" s="122"/>
      <c r="BC22772" s="141"/>
    </row>
    <row r="22773">
      <c r="BB22773" s="122"/>
      <c r="BC22773" s="141"/>
    </row>
    <row r="22774">
      <c r="BB22774" s="122"/>
      <c r="BC22774" s="141"/>
    </row>
    <row r="22775">
      <c r="BB22775" s="122"/>
      <c r="BC22775" s="141"/>
    </row>
    <row r="22776">
      <c r="BB22776" s="122"/>
      <c r="BC22776" s="141"/>
    </row>
    <row r="22777">
      <c r="BB22777" s="122"/>
      <c r="BC22777" s="141"/>
    </row>
    <row r="22778">
      <c r="BB22778" s="122"/>
      <c r="BC22778" s="141"/>
    </row>
    <row r="22779">
      <c r="BB22779" s="122"/>
      <c r="BC22779" s="141"/>
    </row>
    <row r="22780">
      <c r="BB22780" s="122"/>
      <c r="BC22780" s="141"/>
    </row>
    <row r="22781">
      <c r="BB22781" s="122"/>
      <c r="BC22781" s="141"/>
    </row>
    <row r="22782">
      <c r="BB22782" s="122"/>
      <c r="BC22782" s="141"/>
    </row>
    <row r="22783">
      <c r="BB22783" s="122"/>
      <c r="BC22783" s="141"/>
    </row>
    <row r="22784">
      <c r="BB22784" s="122"/>
      <c r="BC22784" s="141"/>
    </row>
    <row r="22785">
      <c r="BB22785" s="122"/>
      <c r="BC22785" s="141"/>
    </row>
    <row r="22786">
      <c r="BB22786" s="122"/>
      <c r="BC22786" s="141"/>
    </row>
    <row r="22787">
      <c r="BB22787" s="122"/>
      <c r="BC22787" s="141"/>
    </row>
    <row r="22788">
      <c r="BB22788" s="122"/>
      <c r="BC22788" s="141"/>
    </row>
    <row r="22789">
      <c r="BB22789" s="122"/>
      <c r="BC22789" s="141"/>
    </row>
    <row r="22790">
      <c r="BB22790" s="122"/>
      <c r="BC22790" s="141"/>
    </row>
    <row r="22791">
      <c r="BB22791" s="122"/>
      <c r="BC22791" s="141"/>
    </row>
    <row r="22792">
      <c r="BB22792" s="122"/>
      <c r="BC22792" s="141"/>
    </row>
    <row r="22793">
      <c r="BB22793" s="122"/>
      <c r="BC22793" s="141"/>
    </row>
    <row r="22794">
      <c r="BB22794" s="122"/>
      <c r="BC22794" s="141"/>
    </row>
    <row r="22795">
      <c r="BB22795" s="122"/>
      <c r="BC22795" s="141"/>
    </row>
    <row r="22796">
      <c r="BB22796" s="122"/>
      <c r="BC22796" s="141"/>
    </row>
    <row r="22797">
      <c r="BB22797" s="122"/>
      <c r="BC22797" s="141"/>
    </row>
    <row r="22798">
      <c r="BB22798" s="122"/>
      <c r="BC22798" s="141"/>
    </row>
    <row r="22799">
      <c r="BB22799" s="122"/>
      <c r="BC22799" s="141"/>
    </row>
    <row r="22800">
      <c r="BB22800" s="122"/>
      <c r="BC22800" s="141"/>
    </row>
    <row r="22801">
      <c r="BB22801" s="122"/>
      <c r="BC22801" s="141"/>
    </row>
    <row r="22802">
      <c r="BB22802" s="122"/>
      <c r="BC22802" s="141"/>
    </row>
    <row r="22803">
      <c r="BB22803" s="122"/>
      <c r="BC22803" s="141"/>
    </row>
    <row r="22804">
      <c r="BB22804" s="122"/>
      <c r="BC22804" s="141"/>
    </row>
    <row r="22805">
      <c r="BB22805" s="122"/>
      <c r="BC22805" s="141"/>
    </row>
    <row r="22806">
      <c r="BB22806" s="122"/>
      <c r="BC22806" s="141"/>
    </row>
    <row r="22807">
      <c r="BB22807" s="122"/>
      <c r="BC22807" s="141"/>
    </row>
    <row r="22808">
      <c r="BB22808" s="122"/>
      <c r="BC22808" s="141"/>
    </row>
    <row r="22809">
      <c r="BB22809" s="122"/>
      <c r="BC22809" s="141"/>
    </row>
    <row r="22810">
      <c r="BB22810" s="122"/>
      <c r="BC22810" s="141"/>
    </row>
    <row r="22811">
      <c r="BB22811" s="122"/>
      <c r="BC22811" s="141"/>
    </row>
    <row r="22812">
      <c r="BB22812" s="122"/>
      <c r="BC22812" s="141"/>
    </row>
    <row r="22813">
      <c r="BB22813" s="122"/>
      <c r="BC22813" s="141"/>
    </row>
    <row r="22814">
      <c r="BB22814" s="122"/>
      <c r="BC22814" s="141"/>
    </row>
    <row r="22815">
      <c r="BB22815" s="122"/>
      <c r="BC22815" s="141"/>
    </row>
    <row r="22816">
      <c r="BB22816" s="122"/>
      <c r="BC22816" s="141"/>
    </row>
    <row r="22817">
      <c r="BB22817" s="122"/>
      <c r="BC22817" s="141"/>
    </row>
    <row r="22818">
      <c r="BB22818" s="122"/>
      <c r="BC22818" s="141"/>
    </row>
    <row r="22819">
      <c r="BB22819" s="122"/>
      <c r="BC22819" s="141"/>
    </row>
    <row r="22820">
      <c r="BB22820" s="122"/>
      <c r="BC22820" s="141"/>
    </row>
    <row r="22821">
      <c r="BB22821" s="122"/>
      <c r="BC22821" s="141"/>
    </row>
    <row r="22822">
      <c r="BB22822" s="122"/>
      <c r="BC22822" s="141"/>
    </row>
    <row r="22823">
      <c r="BB22823" s="122"/>
      <c r="BC22823" s="141"/>
    </row>
    <row r="22824">
      <c r="BB22824" s="122"/>
      <c r="BC22824" s="141"/>
    </row>
    <row r="22825">
      <c r="BB22825" s="122"/>
      <c r="BC22825" s="141"/>
    </row>
    <row r="22826">
      <c r="BB22826" s="122"/>
      <c r="BC22826" s="141"/>
    </row>
    <row r="22827">
      <c r="BB22827" s="122"/>
      <c r="BC22827" s="141"/>
    </row>
    <row r="22828">
      <c r="BB22828" s="122"/>
      <c r="BC22828" s="141"/>
    </row>
    <row r="22829">
      <c r="BB22829" s="122"/>
      <c r="BC22829" s="141"/>
    </row>
    <row r="22830">
      <c r="BB22830" s="122"/>
      <c r="BC22830" s="141"/>
    </row>
    <row r="22831">
      <c r="BB22831" s="122"/>
      <c r="BC22831" s="141"/>
    </row>
    <row r="22832">
      <c r="BB22832" s="122"/>
      <c r="BC22832" s="141"/>
    </row>
    <row r="22833">
      <c r="BB22833" s="122"/>
      <c r="BC22833" s="141"/>
    </row>
    <row r="22834">
      <c r="BB22834" s="122"/>
      <c r="BC22834" s="141"/>
    </row>
    <row r="22835">
      <c r="BB22835" s="122"/>
      <c r="BC22835" s="141"/>
    </row>
    <row r="22836">
      <c r="BB22836" s="122"/>
      <c r="BC22836" s="141"/>
    </row>
    <row r="22837">
      <c r="BB22837" s="122"/>
      <c r="BC22837" s="141"/>
    </row>
    <row r="22838">
      <c r="BB22838" s="122"/>
      <c r="BC22838" s="141"/>
    </row>
    <row r="22839">
      <c r="BB22839" s="122"/>
      <c r="BC22839" s="141"/>
    </row>
    <row r="22840">
      <c r="BB22840" s="122"/>
      <c r="BC22840" s="141"/>
    </row>
    <row r="22841">
      <c r="BB22841" s="122"/>
      <c r="BC22841" s="141"/>
    </row>
    <row r="22842">
      <c r="BB22842" s="122"/>
      <c r="BC22842" s="141"/>
    </row>
    <row r="22843">
      <c r="BB22843" s="122"/>
      <c r="BC22843" s="141"/>
    </row>
    <row r="22844">
      <c r="BB22844" s="122"/>
      <c r="BC22844" s="141"/>
    </row>
    <row r="22845">
      <c r="BB22845" s="122"/>
      <c r="BC22845" s="141"/>
    </row>
    <row r="22846">
      <c r="BB22846" s="122"/>
      <c r="BC22846" s="141"/>
    </row>
    <row r="22847">
      <c r="BB22847" s="122"/>
      <c r="BC22847" s="141"/>
    </row>
    <row r="22848">
      <c r="BB22848" s="122"/>
      <c r="BC22848" s="141"/>
    </row>
    <row r="22849">
      <c r="BB22849" s="122"/>
      <c r="BC22849" s="141"/>
    </row>
    <row r="22850">
      <c r="BB22850" s="122"/>
      <c r="BC22850" s="141"/>
    </row>
    <row r="22851">
      <c r="BB22851" s="122"/>
      <c r="BC22851" s="141"/>
    </row>
    <row r="22852">
      <c r="BB22852" s="122"/>
      <c r="BC22852" s="141"/>
    </row>
    <row r="22853">
      <c r="BB22853" s="122"/>
      <c r="BC22853" s="141"/>
    </row>
    <row r="22854">
      <c r="BB22854" s="122"/>
      <c r="BC22854" s="141"/>
    </row>
    <row r="22855">
      <c r="BB22855" s="122"/>
      <c r="BC22855" s="141"/>
    </row>
    <row r="22856">
      <c r="BB22856" s="122"/>
      <c r="BC22856" s="141"/>
    </row>
    <row r="22857">
      <c r="BB22857" s="122"/>
      <c r="BC22857" s="141"/>
    </row>
    <row r="22858">
      <c r="BB22858" s="122"/>
      <c r="BC22858" s="141"/>
    </row>
    <row r="22859">
      <c r="BB22859" s="122"/>
      <c r="BC22859" s="141"/>
    </row>
    <row r="22860">
      <c r="BB22860" s="122"/>
      <c r="BC22860" s="141"/>
    </row>
    <row r="22861">
      <c r="BB22861" s="122"/>
      <c r="BC22861" s="141"/>
    </row>
    <row r="22862">
      <c r="BB22862" s="122"/>
      <c r="BC22862" s="141"/>
    </row>
    <row r="22863">
      <c r="BB22863" s="122"/>
      <c r="BC22863" s="141"/>
    </row>
    <row r="22864">
      <c r="BB22864" s="122"/>
      <c r="BC22864" s="141"/>
    </row>
    <row r="22865">
      <c r="BB22865" s="122"/>
      <c r="BC22865" s="141"/>
    </row>
    <row r="22866">
      <c r="BB22866" s="122"/>
      <c r="BC22866" s="141"/>
    </row>
    <row r="22867">
      <c r="BB22867" s="122"/>
      <c r="BC22867" s="141"/>
    </row>
    <row r="22868">
      <c r="BB22868" s="122"/>
      <c r="BC22868" s="141"/>
    </row>
    <row r="22869">
      <c r="BB22869" s="122"/>
      <c r="BC22869" s="141"/>
    </row>
    <row r="22870">
      <c r="BB22870" s="122"/>
      <c r="BC22870" s="141"/>
    </row>
    <row r="22871">
      <c r="BB22871" s="122"/>
      <c r="BC22871" s="141"/>
    </row>
    <row r="22872">
      <c r="BB22872" s="122"/>
      <c r="BC22872" s="141"/>
    </row>
    <row r="22873">
      <c r="BB22873" s="122"/>
      <c r="BC22873" s="141"/>
    </row>
    <row r="22874">
      <c r="BB22874" s="122"/>
      <c r="BC22874" s="141"/>
    </row>
    <row r="22875">
      <c r="BB22875" s="122"/>
      <c r="BC22875" s="141"/>
    </row>
    <row r="22876">
      <c r="BB22876" s="122"/>
      <c r="BC22876" s="141"/>
    </row>
    <row r="22877">
      <c r="BB22877" s="122"/>
      <c r="BC22877" s="141"/>
    </row>
    <row r="22878">
      <c r="BB22878" s="122"/>
      <c r="BC22878" s="141"/>
    </row>
    <row r="22879">
      <c r="BB22879" s="122"/>
      <c r="BC22879" s="141"/>
    </row>
    <row r="22880">
      <c r="BB22880" s="122"/>
      <c r="BC22880" s="141"/>
    </row>
    <row r="22881">
      <c r="BB22881" s="122"/>
      <c r="BC22881" s="141"/>
    </row>
    <row r="22882">
      <c r="BB22882" s="122"/>
      <c r="BC22882" s="141"/>
    </row>
    <row r="22883">
      <c r="BB22883" s="122"/>
      <c r="BC22883" s="141"/>
    </row>
    <row r="22884">
      <c r="BB22884" s="122"/>
      <c r="BC22884" s="141"/>
    </row>
    <row r="22885">
      <c r="BB22885" s="122"/>
      <c r="BC22885" s="141"/>
    </row>
    <row r="22886">
      <c r="BB22886" s="122"/>
      <c r="BC22886" s="141"/>
    </row>
    <row r="22887">
      <c r="BB22887" s="122"/>
      <c r="BC22887" s="141"/>
    </row>
    <row r="22888">
      <c r="BB22888" s="122"/>
      <c r="BC22888" s="141"/>
    </row>
    <row r="22889">
      <c r="BB22889" s="122"/>
      <c r="BC22889" s="141"/>
    </row>
    <row r="22890">
      <c r="BB22890" s="122"/>
      <c r="BC22890" s="141"/>
    </row>
    <row r="22891">
      <c r="BB22891" s="122"/>
      <c r="BC22891" s="141"/>
    </row>
    <row r="22892">
      <c r="BB22892" s="122"/>
      <c r="BC22892" s="141"/>
    </row>
    <row r="22893">
      <c r="BB22893" s="122"/>
      <c r="BC22893" s="141"/>
    </row>
    <row r="22894">
      <c r="BB22894" s="122"/>
      <c r="BC22894" s="141"/>
    </row>
    <row r="22895">
      <c r="BB22895" s="122"/>
      <c r="BC22895" s="141"/>
    </row>
    <row r="22896">
      <c r="BB22896" s="122"/>
      <c r="BC22896" s="141"/>
    </row>
    <row r="22897">
      <c r="BB22897" s="122"/>
      <c r="BC22897" s="141"/>
    </row>
    <row r="22898">
      <c r="BB22898" s="122"/>
      <c r="BC22898" s="141"/>
    </row>
    <row r="22899">
      <c r="BB22899" s="122"/>
      <c r="BC22899" s="141"/>
    </row>
    <row r="22900">
      <c r="BB22900" s="122"/>
      <c r="BC22900" s="141"/>
    </row>
    <row r="22901">
      <c r="BB22901" s="122"/>
      <c r="BC22901" s="141"/>
    </row>
    <row r="22902">
      <c r="BB22902" s="122"/>
      <c r="BC22902" s="141"/>
    </row>
    <row r="22903">
      <c r="BB22903" s="122"/>
      <c r="BC22903" s="141"/>
    </row>
    <row r="22904">
      <c r="BB22904" s="122"/>
      <c r="BC22904" s="141"/>
    </row>
    <row r="22905">
      <c r="BB22905" s="122"/>
      <c r="BC22905" s="141"/>
    </row>
    <row r="22906">
      <c r="BB22906" s="122"/>
      <c r="BC22906" s="141"/>
    </row>
    <row r="22907">
      <c r="BB22907" s="122"/>
      <c r="BC22907" s="141"/>
    </row>
    <row r="22908">
      <c r="BB22908" s="122"/>
      <c r="BC22908" s="141"/>
    </row>
    <row r="22909">
      <c r="BB22909" s="122"/>
      <c r="BC22909" s="141"/>
    </row>
    <row r="22910">
      <c r="BB22910" s="122"/>
      <c r="BC22910" s="141"/>
    </row>
    <row r="22911">
      <c r="BB22911" s="122"/>
      <c r="BC22911" s="141"/>
    </row>
    <row r="22912">
      <c r="BB22912" s="122"/>
      <c r="BC22912" s="141"/>
    </row>
    <row r="22913">
      <c r="BB22913" s="122"/>
      <c r="BC22913" s="141"/>
    </row>
    <row r="22914">
      <c r="BB22914" s="122"/>
      <c r="BC22914" s="141"/>
    </row>
    <row r="22915">
      <c r="BB22915" s="122"/>
      <c r="BC22915" s="141"/>
    </row>
    <row r="22916">
      <c r="BB22916" s="122"/>
      <c r="BC22916" s="141"/>
    </row>
    <row r="22917">
      <c r="BB22917" s="122"/>
      <c r="BC22917" s="141"/>
    </row>
    <row r="22918">
      <c r="BB22918" s="122"/>
      <c r="BC22918" s="141"/>
    </row>
    <row r="22919">
      <c r="BB22919" s="122"/>
      <c r="BC22919" s="141"/>
    </row>
    <row r="22920">
      <c r="BB22920" s="122"/>
      <c r="BC22920" s="141"/>
    </row>
    <row r="22921">
      <c r="BB22921" s="122"/>
      <c r="BC22921" s="141"/>
    </row>
    <row r="22922">
      <c r="BB22922" s="122"/>
      <c r="BC22922" s="141"/>
    </row>
    <row r="22923">
      <c r="BB22923" s="122"/>
      <c r="BC22923" s="141"/>
    </row>
    <row r="22924">
      <c r="BB22924" s="122"/>
      <c r="BC22924" s="141"/>
    </row>
    <row r="22925">
      <c r="BB22925" s="122"/>
      <c r="BC22925" s="141"/>
    </row>
    <row r="22926">
      <c r="BB22926" s="122"/>
      <c r="BC22926" s="141"/>
    </row>
    <row r="22927">
      <c r="BB22927" s="122"/>
      <c r="BC22927" s="141"/>
    </row>
    <row r="22928">
      <c r="BB22928" s="122"/>
      <c r="BC22928" s="141"/>
    </row>
    <row r="22929">
      <c r="BB22929" s="122"/>
      <c r="BC22929" s="141"/>
    </row>
    <row r="22930">
      <c r="BB22930" s="122"/>
      <c r="BC22930" s="141"/>
    </row>
    <row r="22931">
      <c r="BB22931" s="122"/>
      <c r="BC22931" s="141"/>
    </row>
    <row r="22932">
      <c r="BB22932" s="122"/>
      <c r="BC22932" s="141"/>
    </row>
    <row r="22933">
      <c r="BB22933" s="122"/>
      <c r="BC22933" s="141"/>
    </row>
    <row r="22934">
      <c r="BB22934" s="122"/>
      <c r="BC22934" s="141"/>
    </row>
    <row r="22935">
      <c r="BB22935" s="122"/>
      <c r="BC22935" s="141"/>
    </row>
    <row r="22936">
      <c r="BB22936" s="122"/>
      <c r="BC22936" s="141"/>
    </row>
    <row r="22937">
      <c r="BB22937" s="122"/>
      <c r="BC22937" s="141"/>
    </row>
    <row r="22938">
      <c r="BB22938" s="122"/>
      <c r="BC22938" s="141"/>
    </row>
    <row r="22939">
      <c r="BB22939" s="122"/>
      <c r="BC22939" s="141"/>
    </row>
    <row r="22940">
      <c r="BB22940" s="122"/>
      <c r="BC22940" s="141"/>
    </row>
    <row r="22941">
      <c r="BB22941" s="122"/>
      <c r="BC22941" s="141"/>
    </row>
    <row r="22942">
      <c r="BB22942" s="122"/>
      <c r="BC22942" s="141"/>
    </row>
    <row r="22943">
      <c r="BB22943" s="122"/>
      <c r="BC22943" s="141"/>
    </row>
    <row r="22944">
      <c r="BB22944" s="122"/>
      <c r="BC22944" s="141"/>
    </row>
    <row r="22945">
      <c r="BB22945" s="122"/>
      <c r="BC22945" s="141"/>
    </row>
    <row r="22946">
      <c r="BB22946" s="122"/>
      <c r="BC22946" s="141"/>
    </row>
    <row r="22947">
      <c r="BB22947" s="122"/>
      <c r="BC22947" s="141"/>
    </row>
    <row r="22948">
      <c r="BB22948" s="122"/>
      <c r="BC22948" s="141"/>
    </row>
    <row r="22949">
      <c r="BB22949" s="122"/>
      <c r="BC22949" s="141"/>
    </row>
    <row r="22950">
      <c r="BB22950" s="122"/>
      <c r="BC22950" s="141"/>
    </row>
    <row r="22951">
      <c r="BB22951" s="122"/>
      <c r="BC22951" s="141"/>
    </row>
    <row r="22952">
      <c r="BB22952" s="122"/>
      <c r="BC22952" s="141"/>
    </row>
    <row r="22953">
      <c r="BB22953" s="122"/>
      <c r="BC22953" s="141"/>
    </row>
    <row r="22954">
      <c r="BB22954" s="122"/>
      <c r="BC22954" s="141"/>
    </row>
    <row r="22955">
      <c r="BB22955" s="122"/>
      <c r="BC22955" s="141"/>
    </row>
    <row r="22956">
      <c r="BB22956" s="122"/>
      <c r="BC22956" s="141"/>
    </row>
    <row r="22957">
      <c r="BB22957" s="122"/>
      <c r="BC22957" s="141"/>
    </row>
    <row r="22958">
      <c r="BB22958" s="122"/>
      <c r="BC22958" s="141"/>
    </row>
    <row r="22959">
      <c r="BB22959" s="122"/>
      <c r="BC22959" s="141"/>
    </row>
    <row r="22960">
      <c r="BB22960" s="122"/>
      <c r="BC22960" s="141"/>
    </row>
    <row r="22961">
      <c r="BB22961" s="122"/>
      <c r="BC22961" s="141"/>
    </row>
    <row r="22962">
      <c r="BB22962" s="122"/>
      <c r="BC22962" s="141"/>
    </row>
    <row r="22963">
      <c r="BB22963" s="122"/>
      <c r="BC22963" s="141"/>
    </row>
    <row r="22964">
      <c r="BB22964" s="122"/>
      <c r="BC22964" s="141"/>
    </row>
    <row r="22965">
      <c r="BB22965" s="122"/>
      <c r="BC22965" s="141"/>
    </row>
    <row r="22966">
      <c r="BB22966" s="122"/>
      <c r="BC22966" s="141"/>
    </row>
    <row r="22967">
      <c r="BB22967" s="122"/>
      <c r="BC22967" s="141"/>
    </row>
    <row r="22968">
      <c r="BB22968" s="122"/>
      <c r="BC22968" s="141"/>
    </row>
    <row r="22969">
      <c r="BB22969" s="122"/>
      <c r="BC22969" s="141"/>
    </row>
    <row r="22970">
      <c r="BB22970" s="122"/>
      <c r="BC22970" s="141"/>
    </row>
    <row r="22971">
      <c r="BB22971" s="122"/>
      <c r="BC22971" s="141"/>
    </row>
    <row r="22972">
      <c r="BB22972" s="122"/>
      <c r="BC22972" s="141"/>
    </row>
    <row r="22973">
      <c r="BB22973" s="122"/>
      <c r="BC22973" s="141"/>
    </row>
    <row r="22974">
      <c r="BB22974" s="122"/>
      <c r="BC22974" s="141"/>
    </row>
    <row r="22975">
      <c r="BB22975" s="122"/>
      <c r="BC22975" s="141"/>
    </row>
    <row r="22976">
      <c r="BB22976" s="122"/>
      <c r="BC22976" s="141"/>
    </row>
    <row r="22977">
      <c r="BB22977" s="122"/>
      <c r="BC22977" s="141"/>
    </row>
    <row r="22978">
      <c r="BB22978" s="122"/>
      <c r="BC22978" s="141"/>
    </row>
    <row r="22979">
      <c r="BB22979" s="122"/>
      <c r="BC22979" s="141"/>
    </row>
    <row r="22980">
      <c r="BB22980" s="122"/>
      <c r="BC22980" s="141"/>
    </row>
    <row r="22981">
      <c r="BB22981" s="122"/>
      <c r="BC22981" s="141"/>
    </row>
    <row r="22982">
      <c r="BB22982" s="122"/>
      <c r="BC22982" s="141"/>
    </row>
    <row r="22983">
      <c r="BB22983" s="122"/>
      <c r="BC22983" s="141"/>
    </row>
    <row r="22984">
      <c r="BB22984" s="122"/>
      <c r="BC22984" s="141"/>
    </row>
    <row r="22985">
      <c r="BB22985" s="122"/>
      <c r="BC22985" s="141"/>
    </row>
    <row r="22986">
      <c r="BB22986" s="122"/>
      <c r="BC22986" s="141"/>
    </row>
    <row r="22987">
      <c r="BB22987" s="122"/>
      <c r="BC22987" s="141"/>
    </row>
    <row r="22988">
      <c r="BB22988" s="122"/>
      <c r="BC22988" s="141"/>
    </row>
    <row r="22989">
      <c r="BB22989" s="122"/>
      <c r="BC22989" s="141"/>
    </row>
    <row r="22990">
      <c r="BB22990" s="122"/>
      <c r="BC22990" s="141"/>
    </row>
    <row r="22991">
      <c r="BB22991" s="122"/>
      <c r="BC22991" s="141"/>
    </row>
    <row r="22992">
      <c r="BB22992" s="122"/>
      <c r="BC22992" s="141"/>
    </row>
    <row r="22993">
      <c r="BB22993" s="122"/>
      <c r="BC22993" s="141"/>
    </row>
    <row r="22994">
      <c r="BB22994" s="122"/>
      <c r="BC22994" s="141"/>
    </row>
    <row r="22995">
      <c r="BB22995" s="122"/>
      <c r="BC22995" s="141"/>
    </row>
    <row r="22996">
      <c r="BB22996" s="122"/>
      <c r="BC22996" s="141"/>
    </row>
    <row r="22997">
      <c r="BB22997" s="122"/>
      <c r="BC22997" s="141"/>
    </row>
    <row r="22998">
      <c r="BB22998" s="122"/>
      <c r="BC22998" s="141"/>
    </row>
    <row r="22999">
      <c r="BB22999" s="122"/>
      <c r="BC22999" s="141"/>
    </row>
    <row r="23000">
      <c r="BB23000" s="122"/>
      <c r="BC23000" s="141"/>
    </row>
    <row r="23001">
      <c r="BB23001" s="122"/>
      <c r="BC23001" s="141"/>
    </row>
    <row r="23002">
      <c r="BB23002" s="122"/>
      <c r="BC23002" s="141"/>
    </row>
    <row r="23003">
      <c r="BB23003" s="122"/>
      <c r="BC23003" s="141"/>
    </row>
    <row r="23004">
      <c r="BB23004" s="122"/>
      <c r="BC23004" s="141"/>
    </row>
    <row r="23005">
      <c r="BB23005" s="122"/>
      <c r="BC23005" s="141"/>
    </row>
    <row r="23006">
      <c r="BB23006" s="122"/>
      <c r="BC23006" s="141"/>
    </row>
    <row r="23007">
      <c r="BB23007" s="122"/>
      <c r="BC23007" s="141"/>
    </row>
    <row r="23008">
      <c r="BB23008" s="122"/>
      <c r="BC23008" s="141"/>
    </row>
    <row r="23009">
      <c r="BB23009" s="122"/>
      <c r="BC23009" s="141"/>
    </row>
    <row r="23010">
      <c r="BB23010" s="122"/>
      <c r="BC23010" s="141"/>
    </row>
    <row r="23011">
      <c r="BB23011" s="122"/>
      <c r="BC23011" s="141"/>
    </row>
    <row r="23012">
      <c r="BB23012" s="122"/>
      <c r="BC23012" s="141"/>
    </row>
    <row r="23013">
      <c r="BB23013" s="122"/>
      <c r="BC23013" s="141"/>
    </row>
    <row r="23014">
      <c r="BB23014" s="122"/>
      <c r="BC23014" s="141"/>
    </row>
    <row r="23015">
      <c r="BB23015" s="122"/>
      <c r="BC23015" s="141"/>
    </row>
    <row r="23016">
      <c r="BB23016" s="122"/>
      <c r="BC23016" s="141"/>
    </row>
    <row r="23017">
      <c r="BB23017" s="122"/>
      <c r="BC23017" s="141"/>
    </row>
    <row r="23018">
      <c r="BB23018" s="122"/>
      <c r="BC23018" s="141"/>
    </row>
    <row r="23019">
      <c r="BB23019" s="122"/>
      <c r="BC23019" s="141"/>
    </row>
    <row r="23020">
      <c r="BB23020" s="122"/>
      <c r="BC23020" s="141"/>
    </row>
    <row r="23021">
      <c r="BB23021" s="122"/>
      <c r="BC23021" s="141"/>
    </row>
    <row r="23022">
      <c r="BB23022" s="122"/>
      <c r="BC23022" s="141"/>
    </row>
    <row r="23023">
      <c r="BB23023" s="122"/>
      <c r="BC23023" s="141"/>
    </row>
    <row r="23024">
      <c r="BB23024" s="122"/>
      <c r="BC23024" s="141"/>
    </row>
    <row r="23025">
      <c r="BB23025" s="122"/>
      <c r="BC23025" s="141"/>
    </row>
    <row r="23026">
      <c r="BB23026" s="122"/>
      <c r="BC23026" s="141"/>
    </row>
    <row r="23027">
      <c r="BB23027" s="122"/>
      <c r="BC23027" s="141"/>
    </row>
    <row r="23028">
      <c r="BB23028" s="122"/>
      <c r="BC23028" s="141"/>
    </row>
    <row r="23029">
      <c r="BB23029" s="122"/>
      <c r="BC23029" s="141"/>
    </row>
    <row r="23030">
      <c r="BB23030" s="122"/>
      <c r="BC23030" s="141"/>
    </row>
    <row r="23031">
      <c r="BB23031" s="122"/>
      <c r="BC23031" s="141"/>
    </row>
    <row r="23032">
      <c r="BB23032" s="122"/>
      <c r="BC23032" s="141"/>
    </row>
    <row r="23033">
      <c r="BB23033" s="122"/>
      <c r="BC23033" s="141"/>
    </row>
    <row r="23034">
      <c r="BB23034" s="122"/>
      <c r="BC23034" s="141"/>
    </row>
    <row r="23035">
      <c r="BB23035" s="122"/>
      <c r="BC23035" s="141"/>
    </row>
    <row r="23036">
      <c r="BB23036" s="122"/>
      <c r="BC23036" s="141"/>
    </row>
    <row r="23037">
      <c r="BB23037" s="122"/>
      <c r="BC23037" s="141"/>
    </row>
    <row r="23038">
      <c r="BB23038" s="122"/>
      <c r="BC23038" s="141"/>
    </row>
    <row r="23039">
      <c r="BB23039" s="122"/>
      <c r="BC23039" s="141"/>
    </row>
    <row r="23040">
      <c r="BB23040" s="122"/>
      <c r="BC23040" s="141"/>
    </row>
    <row r="23041">
      <c r="BB23041" s="122"/>
      <c r="BC23041" s="141"/>
    </row>
    <row r="23042">
      <c r="BB23042" s="122"/>
      <c r="BC23042" s="141"/>
    </row>
    <row r="23043">
      <c r="BB23043" s="122"/>
      <c r="BC23043" s="141"/>
    </row>
    <row r="23044">
      <c r="BB23044" s="122"/>
      <c r="BC23044" s="141"/>
    </row>
    <row r="23045">
      <c r="BB23045" s="122"/>
      <c r="BC23045" s="141"/>
    </row>
    <row r="23046">
      <c r="BB23046" s="122"/>
      <c r="BC23046" s="141"/>
    </row>
    <row r="23047">
      <c r="BB23047" s="122"/>
      <c r="BC23047" s="141"/>
    </row>
    <row r="23048">
      <c r="BB23048" s="122"/>
      <c r="BC23048" s="141"/>
    </row>
    <row r="23049">
      <c r="BB23049" s="122"/>
      <c r="BC23049" s="141"/>
    </row>
    <row r="23050">
      <c r="BB23050" s="122"/>
      <c r="BC23050" s="141"/>
    </row>
    <row r="23051">
      <c r="BB23051" s="122"/>
      <c r="BC23051" s="141"/>
    </row>
    <row r="23052">
      <c r="BB23052" s="122"/>
      <c r="BC23052" s="141"/>
    </row>
    <row r="23053">
      <c r="BB23053" s="122"/>
      <c r="BC23053" s="141"/>
    </row>
    <row r="23054">
      <c r="BB23054" s="122"/>
      <c r="BC23054" s="141"/>
    </row>
    <row r="23055">
      <c r="BB23055" s="122"/>
      <c r="BC23055" s="141"/>
    </row>
    <row r="23056">
      <c r="BB23056" s="122"/>
      <c r="BC23056" s="141"/>
    </row>
    <row r="23057">
      <c r="BB23057" s="122"/>
      <c r="BC23057" s="141"/>
    </row>
    <row r="23058">
      <c r="BB23058" s="122"/>
      <c r="BC23058" s="141"/>
    </row>
    <row r="23059">
      <c r="BB23059" s="122"/>
      <c r="BC23059" s="141"/>
    </row>
    <row r="23060">
      <c r="BB23060" s="122"/>
      <c r="BC23060" s="141"/>
    </row>
    <row r="23061">
      <c r="BB23061" s="122"/>
      <c r="BC23061" s="141"/>
    </row>
    <row r="23062">
      <c r="BB23062" s="122"/>
      <c r="BC23062" s="141"/>
    </row>
    <row r="23063">
      <c r="BB23063" s="122"/>
      <c r="BC23063" s="141"/>
    </row>
    <row r="23064">
      <c r="BB23064" s="122"/>
      <c r="BC23064" s="141"/>
    </row>
    <row r="23065">
      <c r="BB23065" s="122"/>
      <c r="BC23065" s="141"/>
    </row>
    <row r="23066">
      <c r="BB23066" s="122"/>
      <c r="BC23066" s="141"/>
    </row>
    <row r="23067">
      <c r="BB23067" s="122"/>
      <c r="BC23067" s="141"/>
    </row>
    <row r="23068">
      <c r="BB23068" s="122"/>
      <c r="BC23068" s="141"/>
    </row>
    <row r="23069">
      <c r="BB23069" s="122"/>
      <c r="BC23069" s="141"/>
    </row>
    <row r="23070">
      <c r="BB23070" s="122"/>
      <c r="BC23070" s="141"/>
    </row>
    <row r="23071">
      <c r="BB23071" s="122"/>
      <c r="BC23071" s="141"/>
    </row>
    <row r="23072">
      <c r="BB23072" s="122"/>
      <c r="BC23072" s="141"/>
    </row>
    <row r="23073">
      <c r="BB23073" s="122"/>
      <c r="BC23073" s="141"/>
    </row>
    <row r="23074">
      <c r="BB23074" s="122"/>
      <c r="BC23074" s="141"/>
    </row>
    <row r="23075">
      <c r="BB23075" s="122"/>
      <c r="BC23075" s="141"/>
    </row>
    <row r="23076">
      <c r="BB23076" s="122"/>
      <c r="BC23076" s="141"/>
    </row>
    <row r="23077">
      <c r="BB23077" s="122"/>
      <c r="BC23077" s="141"/>
    </row>
    <row r="23078">
      <c r="BB23078" s="122"/>
      <c r="BC23078" s="141"/>
    </row>
    <row r="23079">
      <c r="BB23079" s="122"/>
      <c r="BC23079" s="141"/>
    </row>
    <row r="23080">
      <c r="BB23080" s="122"/>
      <c r="BC23080" s="141"/>
    </row>
    <row r="23081">
      <c r="BB23081" s="122"/>
      <c r="BC23081" s="141"/>
    </row>
    <row r="23082">
      <c r="BB23082" s="122"/>
      <c r="BC23082" s="141"/>
    </row>
    <row r="23083">
      <c r="BB23083" s="122"/>
      <c r="BC23083" s="141"/>
    </row>
    <row r="23084">
      <c r="BB23084" s="122"/>
      <c r="BC23084" s="141"/>
    </row>
    <row r="23085">
      <c r="BB23085" s="122"/>
      <c r="BC23085" s="141"/>
    </row>
    <row r="23086">
      <c r="BB23086" s="122"/>
      <c r="BC23086" s="141"/>
    </row>
    <row r="23087">
      <c r="BB23087" s="122"/>
      <c r="BC23087" s="141"/>
    </row>
    <row r="23088">
      <c r="BB23088" s="122"/>
      <c r="BC23088" s="141"/>
    </row>
    <row r="23089">
      <c r="BB23089" s="122"/>
      <c r="BC23089" s="141"/>
    </row>
    <row r="23090">
      <c r="BB23090" s="122"/>
      <c r="BC23090" s="141"/>
    </row>
    <row r="23091">
      <c r="BB23091" s="122"/>
      <c r="BC23091" s="141"/>
    </row>
    <row r="23092">
      <c r="BB23092" s="122"/>
      <c r="BC23092" s="141"/>
    </row>
    <row r="23093">
      <c r="BB23093" s="122"/>
      <c r="BC23093" s="141"/>
    </row>
    <row r="23094">
      <c r="BB23094" s="122"/>
      <c r="BC23094" s="141"/>
    </row>
    <row r="23095">
      <c r="BB23095" s="122"/>
      <c r="BC23095" s="141"/>
    </row>
    <row r="23096">
      <c r="BB23096" s="122"/>
      <c r="BC23096" s="141"/>
    </row>
    <row r="23097">
      <c r="BB23097" s="122"/>
      <c r="BC23097" s="141"/>
    </row>
    <row r="23098">
      <c r="BB23098" s="122"/>
      <c r="BC23098" s="141"/>
    </row>
    <row r="23099">
      <c r="BB23099" s="122"/>
      <c r="BC23099" s="141"/>
    </row>
    <row r="23100">
      <c r="BB23100" s="122"/>
      <c r="BC23100" s="141"/>
    </row>
    <row r="23101">
      <c r="BB23101" s="122"/>
      <c r="BC23101" s="141"/>
    </row>
    <row r="23102">
      <c r="BB23102" s="122"/>
      <c r="BC23102" s="141"/>
    </row>
    <row r="23103">
      <c r="BB23103" s="122"/>
      <c r="BC23103" s="141"/>
    </row>
    <row r="23104">
      <c r="BB23104" s="122"/>
      <c r="BC23104" s="141"/>
    </row>
    <row r="23105">
      <c r="BB23105" s="122"/>
      <c r="BC23105" s="141"/>
    </row>
    <row r="23106">
      <c r="BB23106" s="122"/>
      <c r="BC23106" s="141"/>
    </row>
    <row r="23107">
      <c r="BB23107" s="122"/>
      <c r="BC23107" s="141"/>
    </row>
    <row r="23108">
      <c r="BB23108" s="122"/>
      <c r="BC23108" s="141"/>
    </row>
    <row r="23109">
      <c r="BB23109" s="122"/>
      <c r="BC23109" s="141"/>
    </row>
    <row r="23110">
      <c r="BB23110" s="122"/>
      <c r="BC23110" s="141"/>
    </row>
    <row r="23111">
      <c r="BB23111" s="122"/>
      <c r="BC23111" s="141"/>
    </row>
    <row r="23112">
      <c r="BB23112" s="122"/>
      <c r="BC23112" s="141"/>
    </row>
    <row r="23113">
      <c r="BB23113" s="122"/>
      <c r="BC23113" s="141"/>
    </row>
    <row r="23114">
      <c r="BB23114" s="122"/>
      <c r="BC23114" s="141"/>
    </row>
    <row r="23115">
      <c r="BB23115" s="122"/>
      <c r="BC23115" s="141"/>
    </row>
    <row r="23116">
      <c r="BB23116" s="122"/>
      <c r="BC23116" s="141"/>
    </row>
    <row r="23117">
      <c r="BB23117" s="122"/>
      <c r="BC23117" s="141"/>
    </row>
    <row r="23118">
      <c r="BB23118" s="122"/>
      <c r="BC23118" s="141"/>
    </row>
    <row r="23119">
      <c r="BB23119" s="122"/>
      <c r="BC23119" s="141"/>
    </row>
    <row r="23120">
      <c r="BB23120" s="122"/>
      <c r="BC23120" s="141"/>
    </row>
    <row r="23121">
      <c r="BB23121" s="122"/>
      <c r="BC23121" s="141"/>
    </row>
    <row r="23122">
      <c r="BB23122" s="122"/>
      <c r="BC23122" s="141"/>
    </row>
    <row r="23123">
      <c r="BB23123" s="122"/>
      <c r="BC23123" s="141"/>
    </row>
    <row r="23124">
      <c r="BB23124" s="122"/>
      <c r="BC23124" s="141"/>
    </row>
    <row r="23125">
      <c r="BB23125" s="122"/>
      <c r="BC23125" s="141"/>
    </row>
    <row r="23126">
      <c r="BB23126" s="122"/>
      <c r="BC23126" s="141"/>
    </row>
    <row r="23127">
      <c r="BB23127" s="122"/>
      <c r="BC23127" s="141"/>
    </row>
    <row r="23128">
      <c r="BB23128" s="122"/>
      <c r="BC23128" s="141"/>
    </row>
    <row r="23129">
      <c r="BB23129" s="122"/>
      <c r="BC23129" s="141"/>
    </row>
    <row r="23130">
      <c r="BB23130" s="122"/>
      <c r="BC23130" s="141"/>
    </row>
    <row r="23131">
      <c r="BB23131" s="122"/>
      <c r="BC23131" s="141"/>
    </row>
    <row r="23132">
      <c r="BB23132" s="122"/>
      <c r="BC23132" s="141"/>
    </row>
    <row r="23133">
      <c r="BB23133" s="122"/>
      <c r="BC23133" s="141"/>
    </row>
    <row r="23134">
      <c r="BB23134" s="122"/>
      <c r="BC23134" s="141"/>
    </row>
    <row r="23135">
      <c r="BB23135" s="122"/>
      <c r="BC23135" s="141"/>
    </row>
    <row r="23136">
      <c r="BB23136" s="122"/>
      <c r="BC23136" s="141"/>
    </row>
    <row r="23137">
      <c r="BB23137" s="122"/>
      <c r="BC23137" s="141"/>
    </row>
    <row r="23138">
      <c r="BB23138" s="122"/>
      <c r="BC23138" s="141"/>
    </row>
    <row r="23139">
      <c r="BB23139" s="122"/>
      <c r="BC23139" s="141"/>
    </row>
    <row r="23140">
      <c r="BB23140" s="122"/>
      <c r="BC23140" s="141"/>
    </row>
    <row r="23141">
      <c r="BB23141" s="122"/>
      <c r="BC23141" s="141"/>
    </row>
    <row r="23142">
      <c r="BB23142" s="122"/>
      <c r="BC23142" s="141"/>
    </row>
    <row r="23143">
      <c r="BB23143" s="122"/>
      <c r="BC23143" s="141"/>
    </row>
    <row r="23144">
      <c r="BB23144" s="122"/>
      <c r="BC23144" s="141"/>
    </row>
    <row r="23145">
      <c r="BB23145" s="122"/>
      <c r="BC23145" s="141"/>
    </row>
    <row r="23146">
      <c r="BB23146" s="122"/>
      <c r="BC23146" s="141"/>
    </row>
    <row r="23147">
      <c r="BB23147" s="122"/>
      <c r="BC23147" s="141"/>
    </row>
    <row r="23148">
      <c r="BB23148" s="122"/>
      <c r="BC23148" s="141"/>
    </row>
    <row r="23149">
      <c r="BB23149" s="122"/>
      <c r="BC23149" s="141"/>
    </row>
    <row r="23150">
      <c r="BB23150" s="122"/>
      <c r="BC23150" s="141"/>
    </row>
    <row r="23151">
      <c r="BB23151" s="122"/>
      <c r="BC23151" s="141"/>
    </row>
    <row r="23152">
      <c r="BB23152" s="122"/>
      <c r="BC23152" s="141"/>
    </row>
    <row r="23153">
      <c r="BB23153" s="122"/>
      <c r="BC23153" s="141"/>
    </row>
    <row r="23154">
      <c r="BB23154" s="122"/>
      <c r="BC23154" s="141"/>
    </row>
    <row r="23155">
      <c r="BB23155" s="122"/>
      <c r="BC23155" s="141"/>
    </row>
    <row r="23156">
      <c r="BB23156" s="122"/>
      <c r="BC23156" s="141"/>
    </row>
    <row r="23157">
      <c r="BB23157" s="122"/>
      <c r="BC23157" s="141"/>
    </row>
    <row r="23158">
      <c r="BB23158" s="122"/>
      <c r="BC23158" s="141"/>
    </row>
    <row r="23159">
      <c r="BB23159" s="122"/>
      <c r="BC23159" s="141"/>
    </row>
    <row r="23160">
      <c r="BB23160" s="122"/>
      <c r="BC23160" s="141"/>
    </row>
    <row r="23161">
      <c r="BB23161" s="122"/>
      <c r="BC23161" s="141"/>
    </row>
    <row r="23162">
      <c r="BB23162" s="122"/>
      <c r="BC23162" s="141"/>
    </row>
    <row r="23163">
      <c r="BB23163" s="122"/>
      <c r="BC23163" s="141"/>
    </row>
    <row r="23164">
      <c r="BB23164" s="122"/>
      <c r="BC23164" s="141"/>
    </row>
    <row r="23165">
      <c r="BB23165" s="122"/>
      <c r="BC23165" s="141"/>
    </row>
    <row r="23166">
      <c r="BB23166" s="122"/>
      <c r="BC23166" s="141"/>
    </row>
    <row r="23167">
      <c r="BB23167" s="122"/>
      <c r="BC23167" s="141"/>
    </row>
    <row r="23168">
      <c r="BB23168" s="122"/>
      <c r="BC23168" s="141"/>
    </row>
    <row r="23169">
      <c r="BB23169" s="122"/>
      <c r="BC23169" s="141"/>
    </row>
    <row r="23170">
      <c r="BB23170" s="122"/>
      <c r="BC23170" s="141"/>
    </row>
    <row r="23171">
      <c r="BB23171" s="122"/>
      <c r="BC23171" s="141"/>
    </row>
    <row r="23172">
      <c r="BB23172" s="122"/>
      <c r="BC23172" s="141"/>
    </row>
    <row r="23173">
      <c r="BB23173" s="122"/>
      <c r="BC23173" s="141"/>
    </row>
    <row r="23174">
      <c r="BB23174" s="122"/>
      <c r="BC23174" s="141"/>
    </row>
    <row r="23175">
      <c r="BB23175" s="122"/>
      <c r="BC23175" s="141"/>
    </row>
    <row r="23176">
      <c r="BB23176" s="122"/>
      <c r="BC23176" s="141"/>
    </row>
    <row r="23177">
      <c r="BB23177" s="122"/>
      <c r="BC23177" s="141"/>
    </row>
    <row r="23178">
      <c r="BB23178" s="122"/>
      <c r="BC23178" s="141"/>
    </row>
    <row r="23179">
      <c r="BB23179" s="122"/>
      <c r="BC23179" s="141"/>
    </row>
    <row r="23180">
      <c r="BB23180" s="122"/>
      <c r="BC23180" s="141"/>
    </row>
    <row r="23181">
      <c r="BB23181" s="122"/>
      <c r="BC23181" s="141"/>
    </row>
    <row r="23182">
      <c r="BB23182" s="122"/>
      <c r="BC23182" s="141"/>
    </row>
    <row r="23183">
      <c r="BB23183" s="122"/>
      <c r="BC23183" s="141"/>
    </row>
    <row r="23184">
      <c r="BB23184" s="122"/>
      <c r="BC23184" s="141"/>
    </row>
    <row r="23185">
      <c r="BB23185" s="122"/>
      <c r="BC23185" s="141"/>
    </row>
    <row r="23186">
      <c r="BB23186" s="122"/>
      <c r="BC23186" s="141"/>
    </row>
    <row r="23187">
      <c r="BB23187" s="122"/>
      <c r="BC23187" s="141"/>
    </row>
    <row r="23188">
      <c r="BB23188" s="122"/>
      <c r="BC23188" s="141"/>
    </row>
    <row r="23189">
      <c r="BB23189" s="122"/>
      <c r="BC23189" s="141"/>
    </row>
    <row r="23190">
      <c r="BB23190" s="122"/>
      <c r="BC23190" s="141"/>
    </row>
    <row r="23191">
      <c r="BB23191" s="122"/>
      <c r="BC23191" s="141"/>
    </row>
    <row r="23192">
      <c r="BB23192" s="122"/>
      <c r="BC23192" s="141"/>
    </row>
    <row r="23193">
      <c r="BB23193" s="122"/>
      <c r="BC23193" s="141"/>
    </row>
    <row r="23194">
      <c r="BB23194" s="122"/>
      <c r="BC23194" s="141"/>
    </row>
    <row r="23195">
      <c r="BB23195" s="122"/>
      <c r="BC23195" s="141"/>
    </row>
    <row r="23196">
      <c r="BB23196" s="122"/>
      <c r="BC23196" s="141"/>
    </row>
    <row r="23197">
      <c r="BB23197" s="122"/>
      <c r="BC23197" s="141"/>
    </row>
    <row r="23198">
      <c r="BB23198" s="122"/>
      <c r="BC23198" s="141"/>
    </row>
    <row r="23199">
      <c r="BB23199" s="122"/>
      <c r="BC23199" s="141"/>
    </row>
    <row r="23200">
      <c r="BB23200" s="122"/>
      <c r="BC23200" s="141"/>
    </row>
    <row r="23201">
      <c r="BB23201" s="122"/>
      <c r="BC23201" s="141"/>
    </row>
    <row r="23202">
      <c r="BB23202" s="122"/>
      <c r="BC23202" s="141"/>
    </row>
    <row r="23203">
      <c r="BB23203" s="122"/>
      <c r="BC23203" s="141"/>
    </row>
    <row r="23204">
      <c r="BB23204" s="122"/>
      <c r="BC23204" s="141"/>
    </row>
    <row r="23205">
      <c r="BB23205" s="122"/>
      <c r="BC23205" s="141"/>
    </row>
    <row r="23206">
      <c r="BB23206" s="122"/>
      <c r="BC23206" s="141"/>
    </row>
    <row r="23207">
      <c r="BB23207" s="122"/>
      <c r="BC23207" s="141"/>
    </row>
    <row r="23208">
      <c r="BB23208" s="122"/>
      <c r="BC23208" s="141"/>
    </row>
    <row r="23209">
      <c r="BB23209" s="122"/>
      <c r="BC23209" s="141"/>
    </row>
    <row r="23210">
      <c r="BB23210" s="122"/>
      <c r="BC23210" s="141"/>
    </row>
    <row r="23211">
      <c r="BB23211" s="122"/>
      <c r="BC23211" s="141"/>
    </row>
    <row r="23212">
      <c r="BB23212" s="122"/>
      <c r="BC23212" s="141"/>
    </row>
    <row r="23213">
      <c r="BB23213" s="122"/>
      <c r="BC23213" s="141"/>
    </row>
    <row r="23214">
      <c r="BB23214" s="122"/>
      <c r="BC23214" s="141"/>
    </row>
    <row r="23215">
      <c r="BB23215" s="122"/>
      <c r="BC23215" s="141"/>
    </row>
    <row r="23216">
      <c r="BB23216" s="122"/>
      <c r="BC23216" s="141"/>
    </row>
    <row r="23217">
      <c r="BB23217" s="122"/>
      <c r="BC23217" s="141"/>
    </row>
    <row r="23218">
      <c r="BB23218" s="122"/>
      <c r="BC23218" s="141"/>
    </row>
    <row r="23219">
      <c r="BB23219" s="122"/>
      <c r="BC23219" s="141"/>
    </row>
    <row r="23220">
      <c r="BB23220" s="122"/>
      <c r="BC23220" s="141"/>
    </row>
    <row r="23221">
      <c r="BB23221" s="122"/>
      <c r="BC23221" s="141"/>
    </row>
    <row r="23222">
      <c r="BB23222" s="122"/>
      <c r="BC23222" s="141"/>
    </row>
    <row r="23223">
      <c r="BB23223" s="122"/>
      <c r="BC23223" s="141"/>
    </row>
    <row r="23224">
      <c r="BB23224" s="122"/>
      <c r="BC23224" s="141"/>
    </row>
    <row r="23225">
      <c r="BB23225" s="122"/>
      <c r="BC23225" s="141"/>
    </row>
    <row r="23226">
      <c r="BB23226" s="122"/>
      <c r="BC23226" s="141"/>
    </row>
    <row r="23227">
      <c r="BB23227" s="122"/>
      <c r="BC23227" s="141"/>
    </row>
    <row r="23228">
      <c r="BB23228" s="122"/>
      <c r="BC23228" s="141"/>
    </row>
    <row r="23229">
      <c r="BB23229" s="122"/>
      <c r="BC23229" s="141"/>
    </row>
    <row r="23230">
      <c r="BB23230" s="122"/>
      <c r="BC23230" s="141"/>
    </row>
    <row r="23231">
      <c r="BB23231" s="122"/>
      <c r="BC23231" s="141"/>
    </row>
    <row r="23232">
      <c r="BB23232" s="122"/>
      <c r="BC23232" s="141"/>
    </row>
    <row r="23233">
      <c r="BB23233" s="122"/>
      <c r="BC23233" s="141"/>
    </row>
    <row r="23234">
      <c r="BB23234" s="122"/>
      <c r="BC23234" s="141"/>
    </row>
    <row r="23235">
      <c r="BB23235" s="122"/>
      <c r="BC23235" s="141"/>
    </row>
    <row r="23236">
      <c r="BB23236" s="122"/>
      <c r="BC23236" s="141"/>
    </row>
    <row r="23237">
      <c r="BB23237" s="122"/>
      <c r="BC23237" s="141"/>
    </row>
    <row r="23238">
      <c r="BB23238" s="122"/>
      <c r="BC23238" s="141"/>
    </row>
    <row r="23239">
      <c r="BB23239" s="122"/>
      <c r="BC23239" s="141"/>
    </row>
    <row r="23240">
      <c r="BB23240" s="122"/>
      <c r="BC23240" s="141"/>
    </row>
    <row r="23241">
      <c r="BB23241" s="122"/>
      <c r="BC23241" s="141"/>
    </row>
    <row r="23242">
      <c r="BB23242" s="122"/>
      <c r="BC23242" s="141"/>
    </row>
    <row r="23243">
      <c r="BB23243" s="122"/>
      <c r="BC23243" s="141"/>
    </row>
    <row r="23244">
      <c r="BB23244" s="122"/>
      <c r="BC23244" s="141"/>
    </row>
    <row r="23245">
      <c r="BB23245" s="122"/>
      <c r="BC23245" s="141"/>
    </row>
    <row r="23246">
      <c r="BB23246" s="122"/>
      <c r="BC23246" s="141"/>
    </row>
    <row r="23247">
      <c r="BB23247" s="122"/>
      <c r="BC23247" s="141"/>
    </row>
    <row r="23248">
      <c r="BB23248" s="122"/>
      <c r="BC23248" s="141"/>
    </row>
    <row r="23249">
      <c r="BB23249" s="122"/>
      <c r="BC23249" s="141"/>
    </row>
    <row r="23250">
      <c r="BB23250" s="122"/>
      <c r="BC23250" s="141"/>
    </row>
    <row r="23251">
      <c r="BB23251" s="122"/>
      <c r="BC23251" s="141"/>
    </row>
    <row r="23252">
      <c r="BB23252" s="122"/>
      <c r="BC23252" s="141"/>
    </row>
    <row r="23253">
      <c r="BB23253" s="122"/>
      <c r="BC23253" s="141"/>
    </row>
    <row r="23254">
      <c r="BB23254" s="122"/>
      <c r="BC23254" s="141"/>
    </row>
    <row r="23255">
      <c r="BB23255" s="122"/>
      <c r="BC23255" s="141"/>
    </row>
    <row r="23256">
      <c r="BB23256" s="122"/>
      <c r="BC23256" s="141"/>
    </row>
    <row r="23257">
      <c r="BB23257" s="122"/>
      <c r="BC23257" s="141"/>
    </row>
    <row r="23258">
      <c r="BB23258" s="122"/>
      <c r="BC23258" s="141"/>
    </row>
    <row r="23259">
      <c r="BB23259" s="122"/>
      <c r="BC23259" s="141"/>
    </row>
    <row r="23260">
      <c r="BB23260" s="122"/>
      <c r="BC23260" s="141"/>
    </row>
    <row r="23261">
      <c r="BB23261" s="122"/>
      <c r="BC23261" s="141"/>
    </row>
    <row r="23262">
      <c r="BB23262" s="122"/>
      <c r="BC23262" s="141"/>
    </row>
    <row r="23263">
      <c r="BB23263" s="122"/>
      <c r="BC23263" s="141"/>
    </row>
    <row r="23264">
      <c r="BB23264" s="122"/>
      <c r="BC23264" s="141"/>
    </row>
    <row r="23265">
      <c r="BB23265" s="122"/>
      <c r="BC23265" s="141"/>
    </row>
    <row r="23266">
      <c r="BB23266" s="122"/>
      <c r="BC23266" s="141"/>
    </row>
    <row r="23267">
      <c r="BB23267" s="122"/>
      <c r="BC23267" s="141"/>
    </row>
    <row r="23268">
      <c r="BB23268" s="122"/>
      <c r="BC23268" s="141"/>
    </row>
    <row r="23269">
      <c r="BB23269" s="122"/>
      <c r="BC23269" s="141"/>
    </row>
    <row r="23270">
      <c r="BB23270" s="122"/>
      <c r="BC23270" s="141"/>
    </row>
    <row r="23271">
      <c r="BB23271" s="122"/>
      <c r="BC23271" s="141"/>
    </row>
    <row r="23272">
      <c r="BB23272" s="122"/>
      <c r="BC23272" s="141"/>
    </row>
    <row r="23273">
      <c r="BB23273" s="122"/>
      <c r="BC23273" s="141"/>
    </row>
    <row r="23274">
      <c r="BB23274" s="122"/>
      <c r="BC23274" s="141"/>
    </row>
    <row r="23275">
      <c r="BB23275" s="122"/>
      <c r="BC23275" s="141"/>
    </row>
    <row r="23276">
      <c r="BB23276" s="122"/>
      <c r="BC23276" s="141"/>
    </row>
    <row r="23277">
      <c r="BB23277" s="122"/>
      <c r="BC23277" s="141"/>
    </row>
    <row r="23278">
      <c r="BB23278" s="122"/>
      <c r="BC23278" s="141"/>
    </row>
    <row r="23279">
      <c r="BB23279" s="122"/>
      <c r="BC23279" s="141"/>
    </row>
    <row r="23280">
      <c r="BB23280" s="122"/>
      <c r="BC23280" s="141"/>
    </row>
    <row r="23281">
      <c r="BB23281" s="122"/>
      <c r="BC23281" s="141"/>
    </row>
    <row r="23282">
      <c r="BB23282" s="122"/>
      <c r="BC23282" s="141"/>
    </row>
    <row r="23283">
      <c r="BB23283" s="122"/>
      <c r="BC23283" s="141"/>
    </row>
    <row r="23284">
      <c r="BB23284" s="122"/>
      <c r="BC23284" s="141"/>
    </row>
    <row r="23285">
      <c r="BB23285" s="122"/>
      <c r="BC23285" s="141"/>
    </row>
    <row r="23286">
      <c r="BB23286" s="122"/>
      <c r="BC23286" s="141"/>
    </row>
    <row r="23287">
      <c r="BB23287" s="122"/>
      <c r="BC23287" s="141"/>
    </row>
    <row r="23288">
      <c r="BB23288" s="122"/>
      <c r="BC23288" s="141"/>
    </row>
    <row r="23289">
      <c r="BB23289" s="122"/>
      <c r="BC23289" s="141"/>
    </row>
    <row r="23290">
      <c r="BB23290" s="122"/>
      <c r="BC23290" s="141"/>
    </row>
    <row r="23291">
      <c r="BB23291" s="122"/>
      <c r="BC23291" s="141"/>
    </row>
    <row r="23292">
      <c r="BB23292" s="122"/>
      <c r="BC23292" s="141"/>
    </row>
    <row r="23293">
      <c r="BB23293" s="122"/>
      <c r="BC23293" s="141"/>
    </row>
    <row r="23294">
      <c r="BB23294" s="122"/>
      <c r="BC23294" s="141"/>
    </row>
    <row r="23295">
      <c r="BB23295" s="122"/>
      <c r="BC23295" s="141"/>
    </row>
    <row r="23296">
      <c r="BB23296" s="122"/>
      <c r="BC23296" s="141"/>
    </row>
    <row r="23297">
      <c r="BB23297" s="122"/>
      <c r="BC23297" s="141"/>
    </row>
    <row r="23298">
      <c r="BB23298" s="122"/>
      <c r="BC23298" s="141"/>
    </row>
    <row r="23299">
      <c r="BB23299" s="122"/>
      <c r="BC23299" s="141"/>
    </row>
    <row r="23300">
      <c r="BB23300" s="122"/>
      <c r="BC23300" s="141"/>
    </row>
    <row r="23301">
      <c r="BB23301" s="122"/>
      <c r="BC23301" s="141"/>
    </row>
    <row r="23302">
      <c r="BB23302" s="122"/>
      <c r="BC23302" s="141"/>
    </row>
    <row r="23303">
      <c r="BB23303" s="122"/>
      <c r="BC23303" s="141"/>
    </row>
    <row r="23304">
      <c r="BB23304" s="122"/>
      <c r="BC23304" s="141"/>
    </row>
    <row r="23305">
      <c r="BB23305" s="122"/>
      <c r="BC23305" s="141"/>
    </row>
    <row r="23306">
      <c r="BB23306" s="122"/>
      <c r="BC23306" s="141"/>
    </row>
    <row r="23307">
      <c r="BB23307" s="122"/>
      <c r="BC23307" s="141"/>
    </row>
    <row r="23308">
      <c r="BB23308" s="122"/>
      <c r="BC23308" s="141"/>
    </row>
    <row r="23309">
      <c r="BB23309" s="122"/>
      <c r="BC23309" s="141"/>
    </row>
    <row r="23310">
      <c r="BB23310" s="122"/>
      <c r="BC23310" s="141"/>
    </row>
    <row r="23311">
      <c r="BB23311" s="122"/>
      <c r="BC23311" s="141"/>
    </row>
    <row r="23312">
      <c r="BB23312" s="122"/>
      <c r="BC23312" s="141"/>
    </row>
    <row r="23313">
      <c r="BB23313" s="122"/>
      <c r="BC23313" s="141"/>
    </row>
    <row r="23314">
      <c r="BB23314" s="122"/>
      <c r="BC23314" s="141"/>
    </row>
    <row r="23315">
      <c r="BB23315" s="122"/>
      <c r="BC23315" s="141"/>
    </row>
    <row r="23316">
      <c r="BB23316" s="122"/>
      <c r="BC23316" s="141"/>
    </row>
    <row r="23317">
      <c r="BB23317" s="122"/>
      <c r="BC23317" s="141"/>
    </row>
    <row r="23318">
      <c r="BB23318" s="122"/>
      <c r="BC23318" s="141"/>
    </row>
    <row r="23319">
      <c r="BB23319" s="122"/>
      <c r="BC23319" s="141"/>
    </row>
    <row r="23320">
      <c r="BB23320" s="122"/>
      <c r="BC23320" s="141"/>
    </row>
    <row r="23321">
      <c r="BB23321" s="122"/>
      <c r="BC23321" s="141"/>
    </row>
    <row r="23322">
      <c r="BB23322" s="122"/>
      <c r="BC23322" s="141"/>
    </row>
    <row r="23323">
      <c r="BB23323" s="122"/>
      <c r="BC23323" s="141"/>
    </row>
    <row r="23324">
      <c r="BB23324" s="122"/>
      <c r="BC23324" s="141"/>
    </row>
    <row r="23325">
      <c r="BB23325" s="122"/>
      <c r="BC23325" s="141"/>
    </row>
    <row r="23326">
      <c r="BB23326" s="122"/>
      <c r="BC23326" s="141"/>
    </row>
    <row r="23327">
      <c r="BB23327" s="122"/>
      <c r="BC23327" s="141"/>
    </row>
    <row r="23328">
      <c r="BB23328" s="122"/>
      <c r="BC23328" s="141"/>
    </row>
    <row r="23329">
      <c r="BB23329" s="122"/>
      <c r="BC23329" s="141"/>
    </row>
    <row r="23330">
      <c r="BB23330" s="122"/>
      <c r="BC23330" s="141"/>
    </row>
    <row r="23331">
      <c r="BB23331" s="122"/>
      <c r="BC23331" s="141"/>
    </row>
    <row r="23332">
      <c r="BB23332" s="122"/>
      <c r="BC23332" s="141"/>
    </row>
    <row r="23333">
      <c r="BB23333" s="122"/>
      <c r="BC23333" s="141"/>
    </row>
    <row r="23334">
      <c r="BB23334" s="122"/>
      <c r="BC23334" s="141"/>
    </row>
    <row r="23335">
      <c r="BB23335" s="122"/>
      <c r="BC23335" s="141"/>
    </row>
    <row r="23336">
      <c r="BB23336" s="122"/>
      <c r="BC23336" s="141"/>
    </row>
    <row r="23337">
      <c r="BB23337" s="122"/>
      <c r="BC23337" s="141"/>
    </row>
    <row r="23338">
      <c r="BB23338" s="122"/>
      <c r="BC23338" s="141"/>
    </row>
    <row r="23339">
      <c r="BB23339" s="122"/>
      <c r="BC23339" s="141"/>
    </row>
    <row r="23340">
      <c r="BB23340" s="122"/>
      <c r="BC23340" s="141"/>
    </row>
    <row r="23341">
      <c r="BB23341" s="122"/>
      <c r="BC23341" s="141"/>
    </row>
    <row r="23342">
      <c r="BB23342" s="122"/>
      <c r="BC23342" s="141"/>
    </row>
    <row r="23343">
      <c r="BB23343" s="122"/>
      <c r="BC23343" s="141"/>
    </row>
    <row r="23344">
      <c r="BB23344" s="122"/>
      <c r="BC23344" s="141"/>
    </row>
    <row r="23345">
      <c r="BB23345" s="122"/>
      <c r="BC23345" s="141"/>
    </row>
    <row r="23346">
      <c r="BB23346" s="122"/>
      <c r="BC23346" s="141"/>
    </row>
    <row r="23347">
      <c r="BB23347" s="122"/>
      <c r="BC23347" s="141"/>
    </row>
    <row r="23348">
      <c r="BB23348" s="122"/>
      <c r="BC23348" s="141"/>
    </row>
    <row r="23349">
      <c r="BB23349" s="122"/>
      <c r="BC23349" s="141"/>
    </row>
    <row r="23350">
      <c r="BB23350" s="122"/>
      <c r="BC23350" s="141"/>
    </row>
    <row r="23351">
      <c r="BB23351" s="122"/>
      <c r="BC23351" s="141"/>
    </row>
    <row r="23352">
      <c r="BB23352" s="122"/>
      <c r="BC23352" s="141"/>
    </row>
    <row r="23353">
      <c r="BB23353" s="122"/>
      <c r="BC23353" s="141"/>
    </row>
    <row r="23354">
      <c r="BB23354" s="122"/>
      <c r="BC23354" s="141"/>
    </row>
    <row r="23355">
      <c r="BB23355" s="122"/>
      <c r="BC23355" s="141"/>
    </row>
    <row r="23356">
      <c r="BB23356" s="122"/>
      <c r="BC23356" s="141"/>
    </row>
    <row r="23357">
      <c r="BB23357" s="122"/>
      <c r="BC23357" s="141"/>
    </row>
    <row r="23358">
      <c r="BB23358" s="122"/>
      <c r="BC23358" s="141"/>
    </row>
    <row r="23359">
      <c r="BB23359" s="122"/>
      <c r="BC23359" s="141"/>
    </row>
    <row r="23360">
      <c r="BB23360" s="122"/>
      <c r="BC23360" s="141"/>
    </row>
    <row r="23361">
      <c r="BB23361" s="122"/>
      <c r="BC23361" s="141"/>
    </row>
    <row r="23362">
      <c r="BB23362" s="122"/>
      <c r="BC23362" s="141"/>
    </row>
    <row r="23363">
      <c r="BB23363" s="122"/>
      <c r="BC23363" s="141"/>
    </row>
    <row r="23364">
      <c r="BB23364" s="122"/>
      <c r="BC23364" s="141"/>
    </row>
    <row r="23365">
      <c r="BB23365" s="122"/>
      <c r="BC23365" s="141"/>
    </row>
    <row r="23366">
      <c r="BB23366" s="122"/>
      <c r="BC23366" s="141"/>
    </row>
    <row r="23367">
      <c r="BB23367" s="122"/>
      <c r="BC23367" s="141"/>
    </row>
    <row r="23368">
      <c r="BB23368" s="122"/>
      <c r="BC23368" s="141"/>
    </row>
    <row r="23369">
      <c r="BB23369" s="122"/>
      <c r="BC23369" s="141"/>
    </row>
    <row r="23370">
      <c r="BB23370" s="122"/>
      <c r="BC23370" s="141"/>
    </row>
    <row r="23371">
      <c r="BB23371" s="122"/>
      <c r="BC23371" s="141"/>
    </row>
    <row r="23372">
      <c r="BB23372" s="122"/>
      <c r="BC23372" s="141"/>
    </row>
    <row r="23373">
      <c r="BB23373" s="122"/>
      <c r="BC23373" s="141"/>
    </row>
    <row r="23374">
      <c r="BB23374" s="122"/>
      <c r="BC23374" s="141"/>
    </row>
    <row r="23375">
      <c r="BB23375" s="122"/>
      <c r="BC23375" s="141"/>
    </row>
    <row r="23376">
      <c r="BB23376" s="122"/>
      <c r="BC23376" s="141"/>
    </row>
    <row r="23377">
      <c r="BB23377" s="122"/>
      <c r="BC23377" s="141"/>
    </row>
    <row r="23378">
      <c r="BB23378" s="122"/>
      <c r="BC23378" s="141"/>
    </row>
    <row r="23379">
      <c r="BB23379" s="122"/>
      <c r="BC23379" s="141"/>
    </row>
    <row r="23380">
      <c r="BB23380" s="122"/>
      <c r="BC23380" s="141"/>
    </row>
    <row r="23381">
      <c r="BB23381" s="122"/>
      <c r="BC23381" s="141"/>
    </row>
    <row r="23382">
      <c r="BB23382" s="122"/>
      <c r="BC23382" s="141"/>
    </row>
    <row r="23383">
      <c r="BB23383" s="122"/>
      <c r="BC23383" s="141"/>
    </row>
    <row r="23384">
      <c r="BB23384" s="122"/>
      <c r="BC23384" s="141"/>
    </row>
    <row r="23385">
      <c r="BB23385" s="122"/>
      <c r="BC23385" s="141"/>
    </row>
    <row r="23386">
      <c r="BB23386" s="122"/>
      <c r="BC23386" s="141"/>
    </row>
    <row r="23387">
      <c r="BB23387" s="122"/>
      <c r="BC23387" s="141"/>
    </row>
    <row r="23388">
      <c r="BB23388" s="122"/>
      <c r="BC23388" s="141"/>
    </row>
    <row r="23389">
      <c r="BB23389" s="122"/>
      <c r="BC23389" s="141"/>
    </row>
    <row r="23390">
      <c r="BB23390" s="122"/>
      <c r="BC23390" s="141"/>
    </row>
    <row r="23391">
      <c r="BB23391" s="122"/>
      <c r="BC23391" s="141"/>
    </row>
    <row r="23392">
      <c r="BB23392" s="122"/>
      <c r="BC23392" s="141"/>
    </row>
    <row r="23393">
      <c r="BB23393" s="122"/>
      <c r="BC23393" s="141"/>
    </row>
    <row r="23394">
      <c r="BB23394" s="122"/>
      <c r="BC23394" s="141"/>
    </row>
    <row r="23395">
      <c r="BB23395" s="122"/>
      <c r="BC23395" s="141"/>
    </row>
    <row r="23396">
      <c r="BB23396" s="122"/>
      <c r="BC23396" s="141"/>
    </row>
    <row r="23397">
      <c r="BB23397" s="122"/>
      <c r="BC23397" s="141"/>
    </row>
    <row r="23398">
      <c r="BB23398" s="122"/>
      <c r="BC23398" s="141"/>
    </row>
    <row r="23399">
      <c r="BB23399" s="122"/>
      <c r="BC23399" s="141"/>
    </row>
    <row r="23400">
      <c r="BB23400" s="122"/>
      <c r="BC23400" s="141"/>
    </row>
    <row r="23401">
      <c r="BB23401" s="122"/>
      <c r="BC23401" s="141"/>
    </row>
    <row r="23402">
      <c r="BB23402" s="122"/>
      <c r="BC23402" s="141"/>
    </row>
    <row r="23403">
      <c r="BB23403" s="122"/>
      <c r="BC23403" s="141"/>
    </row>
    <row r="23404">
      <c r="BB23404" s="122"/>
      <c r="BC23404" s="141"/>
    </row>
    <row r="23405">
      <c r="BB23405" s="122"/>
      <c r="BC23405" s="141"/>
    </row>
    <row r="23406">
      <c r="BB23406" s="122"/>
      <c r="BC23406" s="141"/>
    </row>
    <row r="23407">
      <c r="BB23407" s="122"/>
      <c r="BC23407" s="141"/>
    </row>
    <row r="23408">
      <c r="BB23408" s="122"/>
      <c r="BC23408" s="141"/>
    </row>
    <row r="23409">
      <c r="BB23409" s="122"/>
      <c r="BC23409" s="141"/>
    </row>
    <row r="23410">
      <c r="BB23410" s="122"/>
      <c r="BC23410" s="141"/>
    </row>
    <row r="23411">
      <c r="BB23411" s="122"/>
      <c r="BC23411" s="141"/>
    </row>
    <row r="23412">
      <c r="BB23412" s="122"/>
      <c r="BC23412" s="141"/>
    </row>
    <row r="23413">
      <c r="BB23413" s="122"/>
      <c r="BC23413" s="141"/>
    </row>
    <row r="23414">
      <c r="BB23414" s="122"/>
      <c r="BC23414" s="141"/>
    </row>
    <row r="23415">
      <c r="BB23415" s="122"/>
      <c r="BC23415" s="141"/>
    </row>
    <row r="23416">
      <c r="BB23416" s="122"/>
      <c r="BC23416" s="141"/>
    </row>
    <row r="23417">
      <c r="BB23417" s="122"/>
      <c r="BC23417" s="141"/>
    </row>
    <row r="23418">
      <c r="BB23418" s="122"/>
      <c r="BC23418" s="141"/>
    </row>
    <row r="23419">
      <c r="BB23419" s="122"/>
      <c r="BC23419" s="141"/>
    </row>
    <row r="23420">
      <c r="BB23420" s="122"/>
      <c r="BC23420" s="141"/>
    </row>
    <row r="23421">
      <c r="BB23421" s="122"/>
      <c r="BC23421" s="141"/>
    </row>
    <row r="23422">
      <c r="BB23422" s="122"/>
      <c r="BC23422" s="141"/>
    </row>
    <row r="23423">
      <c r="BB23423" s="122"/>
      <c r="BC23423" s="141"/>
    </row>
    <row r="23424">
      <c r="BB23424" s="122"/>
      <c r="BC23424" s="141"/>
    </row>
    <row r="23425">
      <c r="BB23425" s="122"/>
      <c r="BC23425" s="141"/>
    </row>
    <row r="23426">
      <c r="BB23426" s="122"/>
      <c r="BC23426" s="141"/>
    </row>
    <row r="23427">
      <c r="BB23427" s="122"/>
      <c r="BC23427" s="141"/>
    </row>
    <row r="23428">
      <c r="BB23428" s="122"/>
      <c r="BC23428" s="141"/>
    </row>
    <row r="23429">
      <c r="BB23429" s="122"/>
      <c r="BC23429" s="141"/>
    </row>
    <row r="23430">
      <c r="BB23430" s="122"/>
      <c r="BC23430" s="141"/>
    </row>
    <row r="23431">
      <c r="BB23431" s="122"/>
      <c r="BC23431" s="141"/>
    </row>
    <row r="23432">
      <c r="BB23432" s="122"/>
      <c r="BC23432" s="141"/>
    </row>
    <row r="23433">
      <c r="BB23433" s="122"/>
      <c r="BC23433" s="141"/>
    </row>
    <row r="23434">
      <c r="BB23434" s="122"/>
      <c r="BC23434" s="141"/>
    </row>
    <row r="23435">
      <c r="BB23435" s="122"/>
      <c r="BC23435" s="141"/>
    </row>
    <row r="23436">
      <c r="BB23436" s="122"/>
      <c r="BC23436" s="141"/>
    </row>
    <row r="23437">
      <c r="BB23437" s="122"/>
      <c r="BC23437" s="141"/>
    </row>
    <row r="23438">
      <c r="BB23438" s="122"/>
      <c r="BC23438" s="141"/>
    </row>
    <row r="23439">
      <c r="BB23439" s="122"/>
      <c r="BC23439" s="141"/>
    </row>
    <row r="23440">
      <c r="BB23440" s="122"/>
      <c r="BC23440" s="141"/>
    </row>
    <row r="23441">
      <c r="BB23441" s="122"/>
      <c r="BC23441" s="141"/>
    </row>
    <row r="23442">
      <c r="BB23442" s="122"/>
      <c r="BC23442" s="141"/>
    </row>
    <row r="23443">
      <c r="BB23443" s="122"/>
      <c r="BC23443" s="141"/>
    </row>
    <row r="23444">
      <c r="BB23444" s="122"/>
      <c r="BC23444" s="141"/>
    </row>
    <row r="23445">
      <c r="BB23445" s="122"/>
      <c r="BC23445" s="141"/>
    </row>
    <row r="23446">
      <c r="BB23446" s="122"/>
      <c r="BC23446" s="141"/>
    </row>
    <row r="23447">
      <c r="BB23447" s="122"/>
      <c r="BC23447" s="141"/>
    </row>
    <row r="23448">
      <c r="BB23448" s="122"/>
      <c r="BC23448" s="141"/>
    </row>
    <row r="23449">
      <c r="BB23449" s="122"/>
      <c r="BC23449" s="141"/>
    </row>
    <row r="23450">
      <c r="BB23450" s="122"/>
      <c r="BC23450" s="141"/>
    </row>
    <row r="23451">
      <c r="BB23451" s="122"/>
      <c r="BC23451" s="141"/>
    </row>
    <row r="23452">
      <c r="BB23452" s="122"/>
      <c r="BC23452" s="141"/>
    </row>
    <row r="23453">
      <c r="BB23453" s="122"/>
      <c r="BC23453" s="141"/>
    </row>
    <row r="23454">
      <c r="BB23454" s="122"/>
      <c r="BC23454" s="141"/>
    </row>
    <row r="23455">
      <c r="BB23455" s="122"/>
      <c r="BC23455" s="141"/>
    </row>
    <row r="23456">
      <c r="BB23456" s="122"/>
      <c r="BC23456" s="141"/>
    </row>
    <row r="23457">
      <c r="BB23457" s="122"/>
      <c r="BC23457" s="141"/>
    </row>
    <row r="23458">
      <c r="BB23458" s="122"/>
      <c r="BC23458" s="141"/>
    </row>
    <row r="23459">
      <c r="BB23459" s="122"/>
      <c r="BC23459" s="141"/>
    </row>
    <row r="23460">
      <c r="BB23460" s="122"/>
      <c r="BC23460" s="141"/>
    </row>
    <row r="23461">
      <c r="BB23461" s="122"/>
      <c r="BC23461" s="141"/>
    </row>
    <row r="23462">
      <c r="BB23462" s="122"/>
      <c r="BC23462" s="141"/>
    </row>
    <row r="23463">
      <c r="BB23463" s="122"/>
      <c r="BC23463" s="141"/>
    </row>
    <row r="23464">
      <c r="BB23464" s="122"/>
      <c r="BC23464" s="141"/>
    </row>
    <row r="23465">
      <c r="BB23465" s="122"/>
      <c r="BC23465" s="141"/>
    </row>
    <row r="23466">
      <c r="BB23466" s="122"/>
      <c r="BC23466" s="141"/>
    </row>
    <row r="23467">
      <c r="BB23467" s="122"/>
      <c r="BC23467" s="141"/>
    </row>
    <row r="23468">
      <c r="BB23468" s="122"/>
      <c r="BC23468" s="141"/>
    </row>
    <row r="23469">
      <c r="BB23469" s="122"/>
      <c r="BC23469" s="141"/>
    </row>
    <row r="23470">
      <c r="BB23470" s="122"/>
      <c r="BC23470" s="141"/>
    </row>
    <row r="23471">
      <c r="BB23471" s="122"/>
      <c r="BC23471" s="141"/>
    </row>
    <row r="23472">
      <c r="BB23472" s="122"/>
      <c r="BC23472" s="141"/>
    </row>
    <row r="23473">
      <c r="BB23473" s="122"/>
      <c r="BC23473" s="141"/>
    </row>
    <row r="23474">
      <c r="BB23474" s="122"/>
      <c r="BC23474" s="141"/>
    </row>
    <row r="23475">
      <c r="BB23475" s="122"/>
      <c r="BC23475" s="141"/>
    </row>
    <row r="23476">
      <c r="BB23476" s="122"/>
      <c r="BC23476" s="141"/>
    </row>
    <row r="23477">
      <c r="BB23477" s="122"/>
      <c r="BC23477" s="141"/>
    </row>
    <row r="23478">
      <c r="BB23478" s="122"/>
      <c r="BC23478" s="141"/>
    </row>
    <row r="23479">
      <c r="BB23479" s="122"/>
      <c r="BC23479" s="141"/>
    </row>
    <row r="23480">
      <c r="BB23480" s="122"/>
      <c r="BC23480" s="141"/>
    </row>
    <row r="23481">
      <c r="BB23481" s="122"/>
      <c r="BC23481" s="141"/>
    </row>
    <row r="23482">
      <c r="BB23482" s="122"/>
      <c r="BC23482" s="141"/>
    </row>
    <row r="23483">
      <c r="BB23483" s="122"/>
      <c r="BC23483" s="141"/>
    </row>
    <row r="23484">
      <c r="BB23484" s="122"/>
      <c r="BC23484" s="141"/>
    </row>
    <row r="23485">
      <c r="BB23485" s="122"/>
      <c r="BC23485" s="141"/>
    </row>
    <row r="23486">
      <c r="BB23486" s="122"/>
      <c r="BC23486" s="141"/>
    </row>
    <row r="23487">
      <c r="BB23487" s="122"/>
      <c r="BC23487" s="141"/>
    </row>
    <row r="23488">
      <c r="BB23488" s="122"/>
      <c r="BC23488" s="141"/>
    </row>
    <row r="23489">
      <c r="BB23489" s="122"/>
      <c r="BC23489" s="141"/>
    </row>
    <row r="23490">
      <c r="BB23490" s="122"/>
      <c r="BC23490" s="141"/>
    </row>
    <row r="23491">
      <c r="BB23491" s="122"/>
      <c r="BC23491" s="141"/>
    </row>
    <row r="23492">
      <c r="BB23492" s="122"/>
      <c r="BC23492" s="141"/>
    </row>
    <row r="23493">
      <c r="BB23493" s="122"/>
      <c r="BC23493" s="141"/>
    </row>
    <row r="23494">
      <c r="BB23494" s="122"/>
      <c r="BC23494" s="141"/>
    </row>
    <row r="23495">
      <c r="BB23495" s="122"/>
      <c r="BC23495" s="141"/>
    </row>
    <row r="23496">
      <c r="BB23496" s="122"/>
      <c r="BC23496" s="141"/>
    </row>
    <row r="23497">
      <c r="BB23497" s="122"/>
      <c r="BC23497" s="141"/>
    </row>
    <row r="23498">
      <c r="BB23498" s="122"/>
      <c r="BC23498" s="141"/>
    </row>
    <row r="23499">
      <c r="BB23499" s="122"/>
      <c r="BC23499" s="141"/>
    </row>
    <row r="23500">
      <c r="BB23500" s="122"/>
      <c r="BC23500" s="141"/>
    </row>
    <row r="23501">
      <c r="BB23501" s="122"/>
      <c r="BC23501" s="141"/>
    </row>
    <row r="23502">
      <c r="BB23502" s="122"/>
      <c r="BC23502" s="141"/>
    </row>
    <row r="23503">
      <c r="BB23503" s="122"/>
      <c r="BC23503" s="141"/>
    </row>
    <row r="23504">
      <c r="BB23504" s="122"/>
      <c r="BC23504" s="141"/>
    </row>
    <row r="23505">
      <c r="BB23505" s="122"/>
      <c r="BC23505" s="141"/>
    </row>
    <row r="23506">
      <c r="BB23506" s="122"/>
      <c r="BC23506" s="141"/>
    </row>
    <row r="23507">
      <c r="BB23507" s="122"/>
      <c r="BC23507" s="141"/>
    </row>
    <row r="23508">
      <c r="BB23508" s="122"/>
      <c r="BC23508" s="141"/>
    </row>
    <row r="23509">
      <c r="BB23509" s="122"/>
      <c r="BC23509" s="141"/>
    </row>
    <row r="23510">
      <c r="BB23510" s="122"/>
      <c r="BC23510" s="141"/>
    </row>
    <row r="23511">
      <c r="BB23511" s="122"/>
      <c r="BC23511" s="141"/>
    </row>
    <row r="23512">
      <c r="BB23512" s="122"/>
      <c r="BC23512" s="141"/>
    </row>
    <row r="23513">
      <c r="BB23513" s="122"/>
      <c r="BC23513" s="141"/>
    </row>
    <row r="23514">
      <c r="BB23514" s="122"/>
      <c r="BC23514" s="141"/>
    </row>
    <row r="23515">
      <c r="BB23515" s="122"/>
      <c r="BC23515" s="141"/>
    </row>
    <row r="23516">
      <c r="BB23516" s="122"/>
      <c r="BC23516" s="141"/>
    </row>
    <row r="23517">
      <c r="BB23517" s="122"/>
      <c r="BC23517" s="141"/>
    </row>
    <row r="23518">
      <c r="BB23518" s="122"/>
      <c r="BC23518" s="141"/>
    </row>
    <row r="23519">
      <c r="BB23519" s="122"/>
      <c r="BC23519" s="141"/>
    </row>
    <row r="23520">
      <c r="BB23520" s="122"/>
      <c r="BC23520" s="141"/>
    </row>
    <row r="23521">
      <c r="BB23521" s="122"/>
      <c r="BC23521" s="141"/>
    </row>
    <row r="23522">
      <c r="BB23522" s="122"/>
      <c r="BC23522" s="141"/>
    </row>
    <row r="23523">
      <c r="BB23523" s="122"/>
      <c r="BC23523" s="141"/>
    </row>
    <row r="23524">
      <c r="BB23524" s="122"/>
      <c r="BC23524" s="141"/>
    </row>
    <row r="23525">
      <c r="BB23525" s="122"/>
      <c r="BC23525" s="141"/>
    </row>
    <row r="23526">
      <c r="BB23526" s="122"/>
      <c r="BC23526" s="141"/>
    </row>
    <row r="23527">
      <c r="BB23527" s="122"/>
      <c r="BC23527" s="141"/>
    </row>
    <row r="23528">
      <c r="BB23528" s="122"/>
      <c r="BC23528" s="141"/>
    </row>
    <row r="23529">
      <c r="BB23529" s="122"/>
      <c r="BC23529" s="141"/>
    </row>
    <row r="23530">
      <c r="BB23530" s="122"/>
      <c r="BC23530" s="141"/>
    </row>
    <row r="23531">
      <c r="BB23531" s="122"/>
      <c r="BC23531" s="141"/>
    </row>
    <row r="23532">
      <c r="BB23532" s="122"/>
      <c r="BC23532" s="141"/>
    </row>
    <row r="23533">
      <c r="BB23533" s="122"/>
      <c r="BC23533" s="141"/>
    </row>
    <row r="23534">
      <c r="BB23534" s="122"/>
      <c r="BC23534" s="141"/>
    </row>
    <row r="23535">
      <c r="BB23535" s="122"/>
      <c r="BC23535" s="141"/>
    </row>
    <row r="23536">
      <c r="BB23536" s="122"/>
      <c r="BC23536" s="141"/>
    </row>
    <row r="23537">
      <c r="BB23537" s="122"/>
      <c r="BC23537" s="141"/>
    </row>
    <row r="23538">
      <c r="BB23538" s="122"/>
      <c r="BC23538" s="141"/>
    </row>
    <row r="23539">
      <c r="BB23539" s="122"/>
      <c r="BC23539" s="141"/>
    </row>
    <row r="23540">
      <c r="BB23540" s="122"/>
      <c r="BC23540" s="141"/>
    </row>
    <row r="23541">
      <c r="BB23541" s="122"/>
      <c r="BC23541" s="141"/>
    </row>
    <row r="23542">
      <c r="BB23542" s="122"/>
      <c r="BC23542" s="141"/>
    </row>
    <row r="23543">
      <c r="BB23543" s="122"/>
      <c r="BC23543" s="141"/>
    </row>
    <row r="23544">
      <c r="BB23544" s="122"/>
      <c r="BC23544" s="141"/>
    </row>
    <row r="23545">
      <c r="BB23545" s="122"/>
      <c r="BC23545" s="141"/>
    </row>
    <row r="23546">
      <c r="BB23546" s="122"/>
      <c r="BC23546" s="141"/>
    </row>
    <row r="23547">
      <c r="BB23547" s="122"/>
      <c r="BC23547" s="141"/>
    </row>
    <row r="23548">
      <c r="BB23548" s="122"/>
      <c r="BC23548" s="141"/>
    </row>
    <row r="23549">
      <c r="BB23549" s="122"/>
      <c r="BC23549" s="141"/>
    </row>
    <row r="23550">
      <c r="BB23550" s="122"/>
      <c r="BC23550" s="141"/>
    </row>
    <row r="23551">
      <c r="BB23551" s="122"/>
      <c r="BC23551" s="141"/>
    </row>
    <row r="23552">
      <c r="BB23552" s="122"/>
      <c r="BC23552" s="141"/>
    </row>
    <row r="23553">
      <c r="BB23553" s="122"/>
      <c r="BC23553" s="141"/>
    </row>
    <row r="23554">
      <c r="BB23554" s="122"/>
      <c r="BC23554" s="141"/>
    </row>
    <row r="23555">
      <c r="BB23555" s="122"/>
      <c r="BC23555" s="141"/>
    </row>
    <row r="23556">
      <c r="BB23556" s="122"/>
      <c r="BC23556" s="141"/>
    </row>
    <row r="23557">
      <c r="BB23557" s="122"/>
      <c r="BC23557" s="141"/>
    </row>
    <row r="23558">
      <c r="BB23558" s="122"/>
      <c r="BC23558" s="141"/>
    </row>
    <row r="23559">
      <c r="BB23559" s="122"/>
      <c r="BC23559" s="141"/>
    </row>
    <row r="23560">
      <c r="BB23560" s="122"/>
      <c r="BC23560" s="141"/>
    </row>
    <row r="23561">
      <c r="BB23561" s="122"/>
      <c r="BC23561" s="141"/>
    </row>
    <row r="23562">
      <c r="BB23562" s="122"/>
      <c r="BC23562" s="141"/>
    </row>
    <row r="23563">
      <c r="BB23563" s="122"/>
      <c r="BC23563" s="141"/>
    </row>
    <row r="23564">
      <c r="BB23564" s="122"/>
      <c r="BC23564" s="141"/>
    </row>
    <row r="23565">
      <c r="BB23565" s="122"/>
      <c r="BC23565" s="141"/>
    </row>
    <row r="23566">
      <c r="BB23566" s="122"/>
      <c r="BC23566" s="141"/>
    </row>
    <row r="23567">
      <c r="BB23567" s="122"/>
      <c r="BC23567" s="141"/>
    </row>
    <row r="23568">
      <c r="BB23568" s="122"/>
      <c r="BC23568" s="141"/>
    </row>
    <row r="23569">
      <c r="BB23569" s="122"/>
      <c r="BC23569" s="141"/>
    </row>
    <row r="23570">
      <c r="BB23570" s="122"/>
      <c r="BC23570" s="141"/>
    </row>
    <row r="23571">
      <c r="BB23571" s="122"/>
      <c r="BC23571" s="141"/>
    </row>
    <row r="23572">
      <c r="BB23572" s="122"/>
      <c r="BC23572" s="141"/>
    </row>
    <row r="23573">
      <c r="BB23573" s="122"/>
      <c r="BC23573" s="141"/>
    </row>
    <row r="23574">
      <c r="BB23574" s="122"/>
      <c r="BC23574" s="141"/>
    </row>
    <row r="23575">
      <c r="BB23575" s="122"/>
      <c r="BC23575" s="141"/>
    </row>
    <row r="23576">
      <c r="BB23576" s="122"/>
      <c r="BC23576" s="141"/>
    </row>
    <row r="23577">
      <c r="BB23577" s="122"/>
      <c r="BC23577" s="141"/>
    </row>
    <row r="23578">
      <c r="BB23578" s="122"/>
      <c r="BC23578" s="141"/>
    </row>
    <row r="23579">
      <c r="BB23579" s="122"/>
      <c r="BC23579" s="141"/>
    </row>
    <row r="23580">
      <c r="BB23580" s="122"/>
      <c r="BC23580" s="141"/>
    </row>
    <row r="23581">
      <c r="BB23581" s="122"/>
      <c r="BC23581" s="141"/>
    </row>
    <row r="23582">
      <c r="BB23582" s="122"/>
      <c r="BC23582" s="141"/>
    </row>
    <row r="23583">
      <c r="BB23583" s="122"/>
      <c r="BC23583" s="141"/>
    </row>
    <row r="23584">
      <c r="BB23584" s="122"/>
      <c r="BC23584" s="141"/>
    </row>
    <row r="23585">
      <c r="BB23585" s="122"/>
      <c r="BC23585" s="141"/>
    </row>
    <row r="23586">
      <c r="BB23586" s="122"/>
      <c r="BC23586" s="141"/>
    </row>
    <row r="23587">
      <c r="BB23587" s="122"/>
      <c r="BC23587" s="141"/>
    </row>
    <row r="23588">
      <c r="BB23588" s="122"/>
      <c r="BC23588" s="141"/>
    </row>
    <row r="23589">
      <c r="BB23589" s="122"/>
      <c r="BC23589" s="141"/>
    </row>
    <row r="23590">
      <c r="BB23590" s="122"/>
      <c r="BC23590" s="141"/>
    </row>
    <row r="23591">
      <c r="BB23591" s="122"/>
      <c r="BC23591" s="141"/>
    </row>
    <row r="23592">
      <c r="BB23592" s="122"/>
      <c r="BC23592" s="141"/>
    </row>
    <row r="23593">
      <c r="BB23593" s="122"/>
      <c r="BC23593" s="141"/>
    </row>
    <row r="23594">
      <c r="BB23594" s="122"/>
      <c r="BC23594" s="141"/>
    </row>
    <row r="23595">
      <c r="BB23595" s="122"/>
      <c r="BC23595" s="141"/>
    </row>
    <row r="23596">
      <c r="BB23596" s="122"/>
      <c r="BC23596" s="141"/>
    </row>
    <row r="23597">
      <c r="BB23597" s="122"/>
      <c r="BC23597" s="141"/>
    </row>
    <row r="23598">
      <c r="BB23598" s="122"/>
      <c r="BC23598" s="141"/>
    </row>
    <row r="23599">
      <c r="BB23599" s="122"/>
      <c r="BC23599" s="141"/>
    </row>
    <row r="23600">
      <c r="BB23600" s="122"/>
      <c r="BC23600" s="141"/>
    </row>
    <row r="23601">
      <c r="BB23601" s="122"/>
      <c r="BC23601" s="141"/>
    </row>
    <row r="23602">
      <c r="BB23602" s="122"/>
      <c r="BC23602" s="141"/>
    </row>
    <row r="23603">
      <c r="BB23603" s="122"/>
      <c r="BC23603" s="141"/>
    </row>
    <row r="23604">
      <c r="BB23604" s="122"/>
      <c r="BC23604" s="141"/>
    </row>
    <row r="23605">
      <c r="BB23605" s="122"/>
      <c r="BC23605" s="141"/>
    </row>
    <row r="23606">
      <c r="BB23606" s="122"/>
      <c r="BC23606" s="141"/>
    </row>
    <row r="23607">
      <c r="BB23607" s="122"/>
      <c r="BC23607" s="141"/>
    </row>
    <row r="23608">
      <c r="BB23608" s="122"/>
      <c r="BC23608" s="141"/>
    </row>
    <row r="23609">
      <c r="BB23609" s="122"/>
      <c r="BC23609" s="141"/>
    </row>
    <row r="23610">
      <c r="BB23610" s="122"/>
      <c r="BC23610" s="141"/>
    </row>
    <row r="23611">
      <c r="BB23611" s="122"/>
      <c r="BC23611" s="141"/>
    </row>
    <row r="23612">
      <c r="BB23612" s="122"/>
      <c r="BC23612" s="141"/>
    </row>
    <row r="23613">
      <c r="BB23613" s="122"/>
      <c r="BC23613" s="141"/>
    </row>
    <row r="23614">
      <c r="BB23614" s="122"/>
      <c r="BC23614" s="141"/>
    </row>
    <row r="23615">
      <c r="BB23615" s="122"/>
      <c r="BC23615" s="141"/>
    </row>
    <row r="23616">
      <c r="BB23616" s="122"/>
      <c r="BC23616" s="141"/>
    </row>
    <row r="23617">
      <c r="BB23617" s="122"/>
      <c r="BC23617" s="141"/>
    </row>
    <row r="23618">
      <c r="BB23618" s="122"/>
      <c r="BC23618" s="141"/>
    </row>
    <row r="23619">
      <c r="BB23619" s="122"/>
      <c r="BC23619" s="141"/>
    </row>
    <row r="23620">
      <c r="BB23620" s="122"/>
      <c r="BC23620" s="141"/>
    </row>
    <row r="23621">
      <c r="BB23621" s="122"/>
      <c r="BC23621" s="141"/>
    </row>
    <row r="23622">
      <c r="BB23622" s="122"/>
      <c r="BC23622" s="141"/>
    </row>
    <row r="23623">
      <c r="BB23623" s="122"/>
      <c r="BC23623" s="141"/>
    </row>
    <row r="23624">
      <c r="BB23624" s="122"/>
      <c r="BC23624" s="141"/>
    </row>
    <row r="23625">
      <c r="BB23625" s="122"/>
      <c r="BC23625" s="141"/>
    </row>
    <row r="23626">
      <c r="BB23626" s="122"/>
      <c r="BC23626" s="141"/>
    </row>
    <row r="23627">
      <c r="BB23627" s="122"/>
      <c r="BC23627" s="141"/>
    </row>
    <row r="23628">
      <c r="BB23628" s="122"/>
      <c r="BC23628" s="141"/>
    </row>
    <row r="23629">
      <c r="BB23629" s="122"/>
      <c r="BC23629" s="141"/>
    </row>
    <row r="23630">
      <c r="BB23630" s="122"/>
      <c r="BC23630" s="141"/>
    </row>
    <row r="23631">
      <c r="BB23631" s="122"/>
      <c r="BC23631" s="141"/>
    </row>
    <row r="23632">
      <c r="BB23632" s="122"/>
      <c r="BC23632" s="141"/>
    </row>
    <row r="23633">
      <c r="BB23633" s="122"/>
      <c r="BC23633" s="141"/>
    </row>
    <row r="23634">
      <c r="BB23634" s="122"/>
      <c r="BC23634" s="141"/>
    </row>
    <row r="23635">
      <c r="BB23635" s="122"/>
      <c r="BC23635" s="141"/>
    </row>
    <row r="23636">
      <c r="BB23636" s="122"/>
      <c r="BC23636" s="141"/>
    </row>
    <row r="23637">
      <c r="BB23637" s="122"/>
      <c r="BC23637" s="141"/>
    </row>
    <row r="23638">
      <c r="BB23638" s="122"/>
      <c r="BC23638" s="141"/>
    </row>
    <row r="23639">
      <c r="BB23639" s="122"/>
      <c r="BC23639" s="141"/>
    </row>
    <row r="23640">
      <c r="BB23640" s="122"/>
      <c r="BC23640" s="141"/>
    </row>
    <row r="23641">
      <c r="BB23641" s="122"/>
      <c r="BC23641" s="141"/>
    </row>
    <row r="23642">
      <c r="BB23642" s="122"/>
      <c r="BC23642" s="141"/>
    </row>
    <row r="23643">
      <c r="BB23643" s="122"/>
      <c r="BC23643" s="141"/>
    </row>
    <row r="23644">
      <c r="BB23644" s="122"/>
      <c r="BC23644" s="141"/>
    </row>
    <row r="23645">
      <c r="BB23645" s="122"/>
      <c r="BC23645" s="141"/>
    </row>
    <row r="23646">
      <c r="BB23646" s="122"/>
      <c r="BC23646" s="141"/>
    </row>
    <row r="23647">
      <c r="BB23647" s="122"/>
      <c r="BC23647" s="141"/>
    </row>
    <row r="23648">
      <c r="BB23648" s="122"/>
      <c r="BC23648" s="141"/>
    </row>
    <row r="23649">
      <c r="BB23649" s="122"/>
      <c r="BC23649" s="141"/>
    </row>
    <row r="23650">
      <c r="BB23650" s="122"/>
      <c r="BC23650" s="141"/>
    </row>
    <row r="23651">
      <c r="BB23651" s="122"/>
      <c r="BC23651" s="141"/>
    </row>
    <row r="23652">
      <c r="BB23652" s="122"/>
      <c r="BC23652" s="141"/>
    </row>
    <row r="23653">
      <c r="BB23653" s="122"/>
      <c r="BC23653" s="141"/>
    </row>
    <row r="23654">
      <c r="BB23654" s="122"/>
      <c r="BC23654" s="141"/>
    </row>
    <row r="23655">
      <c r="BB23655" s="122"/>
      <c r="BC23655" s="141"/>
    </row>
    <row r="23656">
      <c r="BB23656" s="122"/>
      <c r="BC23656" s="141"/>
    </row>
    <row r="23657">
      <c r="BB23657" s="122"/>
      <c r="BC23657" s="141"/>
    </row>
    <row r="23658">
      <c r="BB23658" s="122"/>
      <c r="BC23658" s="141"/>
    </row>
    <row r="23659">
      <c r="BB23659" s="122"/>
      <c r="BC23659" s="141"/>
    </row>
    <row r="23660">
      <c r="BB23660" s="122"/>
      <c r="BC23660" s="141"/>
    </row>
    <row r="23661">
      <c r="BB23661" s="122"/>
      <c r="BC23661" s="141"/>
    </row>
    <row r="23662">
      <c r="BB23662" s="122"/>
      <c r="BC23662" s="141"/>
    </row>
    <row r="23663">
      <c r="BB23663" s="122"/>
      <c r="BC23663" s="141"/>
    </row>
    <row r="23664">
      <c r="BB23664" s="122"/>
      <c r="BC23664" s="141"/>
    </row>
    <row r="23665">
      <c r="BB23665" s="122"/>
      <c r="BC23665" s="141"/>
    </row>
    <row r="23666">
      <c r="BB23666" s="122"/>
      <c r="BC23666" s="141"/>
    </row>
    <row r="23667">
      <c r="BB23667" s="122"/>
      <c r="BC23667" s="141"/>
    </row>
    <row r="23668">
      <c r="BB23668" s="122"/>
      <c r="BC23668" s="141"/>
    </row>
    <row r="23669">
      <c r="BB23669" s="122"/>
      <c r="BC23669" s="141"/>
    </row>
    <row r="23670">
      <c r="BB23670" s="122"/>
      <c r="BC23670" s="141"/>
    </row>
    <row r="23671">
      <c r="BB23671" s="122"/>
      <c r="BC23671" s="141"/>
    </row>
    <row r="23672">
      <c r="BB23672" s="122"/>
      <c r="BC23672" s="141"/>
    </row>
    <row r="23673">
      <c r="BB23673" s="122"/>
      <c r="BC23673" s="141"/>
    </row>
    <row r="23674">
      <c r="BB23674" s="122"/>
      <c r="BC23674" s="141"/>
    </row>
    <row r="23675">
      <c r="BB23675" s="122"/>
      <c r="BC23675" s="141"/>
    </row>
    <row r="23676">
      <c r="BB23676" s="122"/>
      <c r="BC23676" s="141"/>
    </row>
    <row r="23677">
      <c r="BB23677" s="122"/>
      <c r="BC23677" s="141"/>
    </row>
    <row r="23678">
      <c r="BB23678" s="122"/>
      <c r="BC23678" s="141"/>
    </row>
    <row r="23679">
      <c r="BB23679" s="122"/>
      <c r="BC23679" s="141"/>
    </row>
    <row r="23680">
      <c r="BB23680" s="122"/>
      <c r="BC23680" s="141"/>
    </row>
    <row r="23681">
      <c r="BB23681" s="122"/>
      <c r="BC23681" s="141"/>
    </row>
    <row r="23682">
      <c r="BB23682" s="122"/>
      <c r="BC23682" s="141"/>
    </row>
    <row r="23683">
      <c r="BB23683" s="122"/>
      <c r="BC23683" s="141"/>
    </row>
    <row r="23684">
      <c r="BB23684" s="122"/>
      <c r="BC23684" s="141"/>
    </row>
    <row r="23685">
      <c r="BB23685" s="122"/>
      <c r="BC23685" s="141"/>
    </row>
    <row r="23686">
      <c r="BB23686" s="122"/>
      <c r="BC23686" s="141"/>
    </row>
    <row r="23687">
      <c r="BB23687" s="122"/>
      <c r="BC23687" s="141"/>
    </row>
    <row r="23688">
      <c r="BB23688" s="122"/>
      <c r="BC23688" s="141"/>
    </row>
    <row r="23689">
      <c r="BB23689" s="122"/>
      <c r="BC23689" s="141"/>
    </row>
    <row r="23690">
      <c r="BB23690" s="122"/>
      <c r="BC23690" s="141"/>
    </row>
    <row r="23691">
      <c r="BB23691" s="122"/>
      <c r="BC23691" s="141"/>
    </row>
    <row r="23692">
      <c r="BB23692" s="122"/>
      <c r="BC23692" s="141"/>
    </row>
    <row r="23693">
      <c r="BB23693" s="122"/>
      <c r="BC23693" s="141"/>
    </row>
    <row r="23694">
      <c r="BB23694" s="122"/>
      <c r="BC23694" s="141"/>
    </row>
    <row r="23695">
      <c r="BB23695" s="122"/>
      <c r="BC23695" s="141"/>
    </row>
    <row r="23696">
      <c r="BB23696" s="122"/>
      <c r="BC23696" s="141"/>
    </row>
    <row r="23697">
      <c r="BB23697" s="122"/>
      <c r="BC23697" s="141"/>
    </row>
    <row r="23698">
      <c r="BB23698" s="122"/>
      <c r="BC23698" s="141"/>
    </row>
    <row r="23699">
      <c r="BB23699" s="122"/>
      <c r="BC23699" s="141"/>
    </row>
    <row r="23700">
      <c r="BB23700" s="122"/>
      <c r="BC23700" s="141"/>
    </row>
    <row r="23701">
      <c r="BB23701" s="122"/>
      <c r="BC23701" s="141"/>
    </row>
    <row r="23702">
      <c r="BB23702" s="122"/>
      <c r="BC23702" s="141"/>
    </row>
    <row r="23703">
      <c r="BB23703" s="122"/>
      <c r="BC23703" s="141"/>
    </row>
    <row r="23704">
      <c r="BB23704" s="122"/>
      <c r="BC23704" s="141"/>
    </row>
    <row r="23705">
      <c r="BB23705" s="122"/>
      <c r="BC23705" s="141"/>
    </row>
    <row r="23706">
      <c r="BB23706" s="122"/>
      <c r="BC23706" s="141"/>
    </row>
    <row r="23707">
      <c r="BB23707" s="122"/>
      <c r="BC23707" s="141"/>
    </row>
    <row r="23708">
      <c r="BB23708" s="122"/>
      <c r="BC23708" s="141"/>
    </row>
    <row r="23709">
      <c r="BB23709" s="122"/>
      <c r="BC23709" s="141"/>
    </row>
    <row r="23710">
      <c r="BB23710" s="122"/>
      <c r="BC23710" s="141"/>
    </row>
    <row r="23711">
      <c r="BB23711" s="122"/>
      <c r="BC23711" s="141"/>
    </row>
    <row r="23712">
      <c r="BB23712" s="122"/>
      <c r="BC23712" s="141"/>
    </row>
    <row r="23713">
      <c r="BB23713" s="122"/>
      <c r="BC23713" s="141"/>
    </row>
    <row r="23714">
      <c r="BB23714" s="122"/>
      <c r="BC23714" s="141"/>
    </row>
    <row r="23715">
      <c r="BB23715" s="122"/>
      <c r="BC23715" s="141"/>
    </row>
    <row r="23716">
      <c r="BB23716" s="122"/>
      <c r="BC23716" s="141"/>
    </row>
    <row r="23717">
      <c r="BB23717" s="122"/>
      <c r="BC23717" s="141"/>
    </row>
    <row r="23718">
      <c r="BB23718" s="122"/>
      <c r="BC23718" s="141"/>
    </row>
    <row r="23719">
      <c r="BB23719" s="122"/>
      <c r="BC23719" s="141"/>
    </row>
    <row r="23720">
      <c r="BB23720" s="122"/>
      <c r="BC23720" s="141"/>
    </row>
    <row r="23721">
      <c r="BB23721" s="122"/>
      <c r="BC23721" s="141"/>
    </row>
    <row r="23722">
      <c r="BB23722" s="122"/>
      <c r="BC23722" s="141"/>
    </row>
    <row r="23723">
      <c r="BB23723" s="122"/>
      <c r="BC23723" s="141"/>
    </row>
    <row r="23724">
      <c r="BB23724" s="122"/>
      <c r="BC23724" s="141"/>
    </row>
    <row r="23725">
      <c r="BB23725" s="122"/>
      <c r="BC23725" s="141"/>
    </row>
    <row r="23726">
      <c r="BB23726" s="122"/>
      <c r="BC23726" s="141"/>
    </row>
    <row r="23727">
      <c r="BB23727" s="122"/>
      <c r="BC23727" s="141"/>
    </row>
    <row r="23728">
      <c r="BB23728" s="122"/>
      <c r="BC23728" s="141"/>
    </row>
    <row r="23729">
      <c r="BB23729" s="122"/>
      <c r="BC23729" s="141"/>
    </row>
    <row r="23730">
      <c r="BB23730" s="122"/>
      <c r="BC23730" s="141"/>
    </row>
    <row r="23731">
      <c r="BB23731" s="122"/>
      <c r="BC23731" s="141"/>
    </row>
    <row r="23732">
      <c r="BB23732" s="122"/>
      <c r="BC23732" s="141"/>
    </row>
    <row r="23733">
      <c r="BB23733" s="122"/>
      <c r="BC23733" s="141"/>
    </row>
    <row r="23734">
      <c r="BB23734" s="122"/>
      <c r="BC23734" s="141"/>
    </row>
    <row r="23735">
      <c r="BB23735" s="122"/>
      <c r="BC23735" s="141"/>
    </row>
    <row r="23736">
      <c r="BB23736" s="122"/>
      <c r="BC23736" s="141"/>
    </row>
    <row r="23737">
      <c r="BB23737" s="122"/>
      <c r="BC23737" s="141"/>
    </row>
    <row r="23738">
      <c r="BB23738" s="122"/>
      <c r="BC23738" s="141"/>
    </row>
    <row r="23739">
      <c r="BB23739" s="122"/>
      <c r="BC23739" s="141"/>
    </row>
    <row r="23740">
      <c r="BB23740" s="122"/>
      <c r="BC23740" s="141"/>
    </row>
    <row r="23741">
      <c r="BB23741" s="122"/>
      <c r="BC23741" s="141"/>
    </row>
    <row r="23742">
      <c r="BB23742" s="122"/>
      <c r="BC23742" s="141"/>
    </row>
    <row r="23743">
      <c r="BB23743" s="122"/>
      <c r="BC23743" s="141"/>
    </row>
    <row r="23744">
      <c r="BB23744" s="122"/>
      <c r="BC23744" s="141"/>
    </row>
    <row r="23745">
      <c r="BB23745" s="122"/>
      <c r="BC23745" s="141"/>
    </row>
    <row r="23746">
      <c r="BB23746" s="122"/>
      <c r="BC23746" s="141"/>
    </row>
    <row r="23747">
      <c r="BB23747" s="122"/>
      <c r="BC23747" s="141"/>
    </row>
    <row r="23748">
      <c r="BB23748" s="122"/>
      <c r="BC23748" s="141"/>
    </row>
    <row r="23749">
      <c r="BB23749" s="122"/>
      <c r="BC23749" s="141"/>
    </row>
    <row r="23750">
      <c r="BB23750" s="122"/>
      <c r="BC23750" s="141"/>
    </row>
    <row r="23751">
      <c r="BB23751" s="122"/>
      <c r="BC23751" s="141"/>
    </row>
    <row r="23752">
      <c r="BB23752" s="122"/>
      <c r="BC23752" s="141"/>
    </row>
    <row r="23753">
      <c r="BB23753" s="122"/>
      <c r="BC23753" s="141"/>
    </row>
    <row r="23754">
      <c r="BB23754" s="122"/>
      <c r="BC23754" s="141"/>
    </row>
    <row r="23755">
      <c r="BB23755" s="122"/>
      <c r="BC23755" s="141"/>
    </row>
    <row r="23756">
      <c r="BB23756" s="122"/>
      <c r="BC23756" s="141"/>
    </row>
    <row r="23757">
      <c r="BB23757" s="122"/>
      <c r="BC23757" s="141"/>
    </row>
    <row r="23758">
      <c r="BB23758" s="122"/>
      <c r="BC23758" s="141"/>
    </row>
    <row r="23759">
      <c r="BB23759" s="122"/>
      <c r="BC23759" s="141"/>
    </row>
    <row r="23760">
      <c r="BB23760" s="122"/>
      <c r="BC23760" s="141"/>
    </row>
    <row r="23761">
      <c r="BB23761" s="122"/>
      <c r="BC23761" s="141"/>
    </row>
    <row r="23762">
      <c r="BB23762" s="122"/>
      <c r="BC23762" s="141"/>
    </row>
    <row r="23763">
      <c r="BB23763" s="122"/>
      <c r="BC23763" s="141"/>
    </row>
    <row r="23764">
      <c r="BB23764" s="122"/>
      <c r="BC23764" s="141"/>
    </row>
    <row r="23765">
      <c r="BB23765" s="122"/>
      <c r="BC23765" s="141"/>
    </row>
    <row r="23766">
      <c r="BB23766" s="122"/>
      <c r="BC23766" s="141"/>
    </row>
    <row r="23767">
      <c r="BB23767" s="122"/>
      <c r="BC23767" s="141"/>
    </row>
    <row r="23768">
      <c r="BB23768" s="122"/>
      <c r="BC23768" s="141"/>
    </row>
    <row r="23769">
      <c r="BB23769" s="122"/>
      <c r="BC23769" s="141"/>
    </row>
    <row r="23770">
      <c r="BB23770" s="122"/>
      <c r="BC23770" s="141"/>
    </row>
    <row r="23771">
      <c r="BB23771" s="122"/>
      <c r="BC23771" s="141"/>
    </row>
    <row r="23772">
      <c r="BB23772" s="122"/>
      <c r="BC23772" s="141"/>
    </row>
    <row r="23773">
      <c r="BB23773" s="122"/>
      <c r="BC23773" s="141"/>
    </row>
    <row r="23774">
      <c r="BB23774" s="122"/>
      <c r="BC23774" s="141"/>
    </row>
    <row r="23775">
      <c r="BB23775" s="122"/>
      <c r="BC23775" s="141"/>
    </row>
    <row r="23776">
      <c r="BB23776" s="122"/>
      <c r="BC23776" s="141"/>
    </row>
    <row r="23777">
      <c r="BB23777" s="122"/>
      <c r="BC23777" s="141"/>
    </row>
    <row r="23778">
      <c r="BB23778" s="122"/>
      <c r="BC23778" s="141"/>
    </row>
    <row r="23779">
      <c r="BB23779" s="122"/>
      <c r="BC23779" s="141"/>
    </row>
    <row r="23780">
      <c r="BB23780" s="122"/>
      <c r="BC23780" s="141"/>
    </row>
    <row r="23781">
      <c r="BB23781" s="122"/>
      <c r="BC23781" s="141"/>
    </row>
    <row r="23782">
      <c r="BB23782" s="122"/>
      <c r="BC23782" s="141"/>
    </row>
    <row r="23783">
      <c r="BB23783" s="122"/>
      <c r="BC23783" s="141"/>
    </row>
    <row r="23784">
      <c r="BB23784" s="122"/>
      <c r="BC23784" s="141"/>
    </row>
    <row r="23785">
      <c r="BB23785" s="122"/>
      <c r="BC23785" s="141"/>
    </row>
    <row r="23786">
      <c r="BB23786" s="122"/>
      <c r="BC23786" s="141"/>
    </row>
    <row r="23787">
      <c r="BB23787" s="122"/>
      <c r="BC23787" s="141"/>
    </row>
    <row r="23788">
      <c r="BB23788" s="122"/>
      <c r="BC23788" s="141"/>
    </row>
    <row r="23789">
      <c r="BB23789" s="122"/>
      <c r="BC23789" s="141"/>
    </row>
    <row r="23790">
      <c r="BB23790" s="122"/>
      <c r="BC23790" s="141"/>
    </row>
    <row r="23791">
      <c r="BB23791" s="122"/>
      <c r="BC23791" s="141"/>
    </row>
    <row r="23792">
      <c r="BB23792" s="122"/>
      <c r="BC23792" s="141"/>
    </row>
    <row r="23793">
      <c r="BB23793" s="122"/>
      <c r="BC23793" s="141"/>
    </row>
    <row r="23794">
      <c r="BB23794" s="122"/>
      <c r="BC23794" s="141"/>
    </row>
    <row r="23795">
      <c r="BB23795" s="122"/>
      <c r="BC23795" s="141"/>
    </row>
    <row r="23796">
      <c r="BB23796" s="122"/>
      <c r="BC23796" s="141"/>
    </row>
    <row r="23797">
      <c r="BB23797" s="122"/>
      <c r="BC23797" s="141"/>
    </row>
    <row r="23798">
      <c r="BB23798" s="122"/>
      <c r="BC23798" s="141"/>
    </row>
    <row r="23799">
      <c r="BB23799" s="122"/>
      <c r="BC23799" s="141"/>
    </row>
    <row r="23800">
      <c r="BB23800" s="122"/>
      <c r="BC23800" s="141"/>
    </row>
    <row r="23801">
      <c r="BB23801" s="122"/>
      <c r="BC23801" s="141"/>
    </row>
    <row r="23802">
      <c r="BB23802" s="122"/>
      <c r="BC23802" s="141"/>
    </row>
    <row r="23803">
      <c r="BB23803" s="122"/>
      <c r="BC23803" s="141"/>
    </row>
    <row r="23804">
      <c r="BB23804" s="122"/>
      <c r="BC23804" s="141"/>
    </row>
    <row r="23805">
      <c r="BB23805" s="122"/>
      <c r="BC23805" s="141"/>
    </row>
    <row r="23806">
      <c r="BB23806" s="122"/>
      <c r="BC23806" s="141"/>
    </row>
    <row r="23807">
      <c r="BB23807" s="122"/>
      <c r="BC23807" s="141"/>
    </row>
    <row r="23808">
      <c r="BB23808" s="122"/>
      <c r="BC23808" s="141"/>
    </row>
    <row r="23809">
      <c r="BB23809" s="122"/>
      <c r="BC23809" s="141"/>
    </row>
    <row r="23810">
      <c r="BB23810" s="122"/>
      <c r="BC23810" s="141"/>
    </row>
    <row r="23811">
      <c r="BB23811" s="122"/>
      <c r="BC23811" s="141"/>
    </row>
    <row r="23812">
      <c r="BB23812" s="122"/>
      <c r="BC23812" s="141"/>
    </row>
    <row r="23813">
      <c r="BB23813" s="122"/>
      <c r="BC23813" s="141"/>
    </row>
    <row r="23814">
      <c r="BB23814" s="122"/>
      <c r="BC23814" s="141"/>
    </row>
    <row r="23815">
      <c r="BB23815" s="122"/>
      <c r="BC23815" s="141"/>
    </row>
    <row r="23816">
      <c r="BB23816" s="122"/>
      <c r="BC23816" s="141"/>
    </row>
    <row r="23817">
      <c r="BB23817" s="122"/>
      <c r="BC23817" s="141"/>
    </row>
    <row r="23818">
      <c r="BB23818" s="122"/>
      <c r="BC23818" s="141"/>
    </row>
    <row r="23819">
      <c r="BB23819" s="122"/>
      <c r="BC23819" s="141"/>
    </row>
    <row r="23820">
      <c r="BB23820" s="122"/>
      <c r="BC23820" s="141"/>
    </row>
    <row r="23821">
      <c r="BB23821" s="122"/>
      <c r="BC23821" s="141"/>
    </row>
    <row r="23822">
      <c r="BB23822" s="122"/>
      <c r="BC23822" s="141"/>
    </row>
    <row r="23823">
      <c r="BB23823" s="122"/>
      <c r="BC23823" s="141"/>
    </row>
    <row r="23824">
      <c r="BB23824" s="122"/>
      <c r="BC23824" s="141"/>
    </row>
    <row r="23825">
      <c r="BB23825" s="122"/>
      <c r="BC23825" s="141"/>
    </row>
    <row r="23826">
      <c r="BB23826" s="122"/>
      <c r="BC23826" s="141"/>
    </row>
    <row r="23827">
      <c r="BB23827" s="122"/>
      <c r="BC23827" s="141"/>
    </row>
    <row r="23828">
      <c r="BB23828" s="122"/>
      <c r="BC23828" s="141"/>
    </row>
    <row r="23829">
      <c r="BB23829" s="122"/>
      <c r="BC23829" s="141"/>
    </row>
    <row r="23830">
      <c r="BB23830" s="122"/>
      <c r="BC23830" s="141"/>
    </row>
    <row r="23831">
      <c r="BB23831" s="122"/>
      <c r="BC23831" s="141"/>
    </row>
    <row r="23832">
      <c r="BB23832" s="122"/>
      <c r="BC23832" s="141"/>
    </row>
    <row r="23833">
      <c r="BB23833" s="122"/>
      <c r="BC23833" s="141"/>
    </row>
    <row r="23834">
      <c r="BB23834" s="122"/>
      <c r="BC23834" s="141"/>
    </row>
    <row r="23835">
      <c r="BB23835" s="122"/>
      <c r="BC23835" s="141"/>
    </row>
    <row r="23836">
      <c r="BB23836" s="122"/>
      <c r="BC23836" s="141"/>
    </row>
    <row r="23837">
      <c r="BB23837" s="122"/>
      <c r="BC23837" s="141"/>
    </row>
    <row r="23838">
      <c r="BB23838" s="122"/>
      <c r="BC23838" s="141"/>
    </row>
    <row r="23839">
      <c r="BB23839" s="122"/>
      <c r="BC23839" s="141"/>
    </row>
    <row r="23840">
      <c r="BB23840" s="122"/>
      <c r="BC23840" s="141"/>
    </row>
    <row r="23841">
      <c r="BB23841" s="122"/>
      <c r="BC23841" s="141"/>
    </row>
    <row r="23842">
      <c r="BB23842" s="122"/>
      <c r="BC23842" s="141"/>
    </row>
    <row r="23843">
      <c r="BB23843" s="122"/>
      <c r="BC23843" s="141"/>
    </row>
    <row r="23844">
      <c r="BB23844" s="122"/>
      <c r="BC23844" s="141"/>
    </row>
    <row r="23845">
      <c r="BB23845" s="122"/>
      <c r="BC23845" s="141"/>
    </row>
    <row r="23846">
      <c r="BB23846" s="122"/>
      <c r="BC23846" s="141"/>
    </row>
    <row r="23847">
      <c r="BB23847" s="122"/>
      <c r="BC23847" s="141"/>
    </row>
    <row r="23848">
      <c r="BB23848" s="122"/>
      <c r="BC23848" s="141"/>
    </row>
    <row r="23849">
      <c r="BB23849" s="122"/>
      <c r="BC23849" s="141"/>
    </row>
    <row r="23850">
      <c r="BB23850" s="122"/>
      <c r="BC23850" s="141"/>
    </row>
    <row r="23851">
      <c r="BB23851" s="122"/>
      <c r="BC23851" s="141"/>
    </row>
    <row r="23852">
      <c r="BB23852" s="122"/>
      <c r="BC23852" s="141"/>
    </row>
    <row r="23853">
      <c r="BB23853" s="122"/>
      <c r="BC23853" s="141"/>
    </row>
    <row r="23854">
      <c r="BB23854" s="122"/>
      <c r="BC23854" s="141"/>
    </row>
    <row r="23855">
      <c r="BB23855" s="122"/>
      <c r="BC23855" s="141"/>
    </row>
    <row r="23856">
      <c r="BB23856" s="122"/>
      <c r="BC23856" s="141"/>
    </row>
    <row r="23857">
      <c r="BB23857" s="122"/>
      <c r="BC23857" s="141"/>
    </row>
    <row r="23858">
      <c r="BB23858" s="122"/>
      <c r="BC23858" s="141"/>
    </row>
    <row r="23859">
      <c r="BB23859" s="122"/>
      <c r="BC23859" s="141"/>
    </row>
    <row r="23860">
      <c r="BB23860" s="122"/>
      <c r="BC23860" s="141"/>
    </row>
    <row r="23861">
      <c r="BB23861" s="122"/>
      <c r="BC23861" s="141"/>
    </row>
    <row r="23862">
      <c r="BB23862" s="122"/>
      <c r="BC23862" s="141"/>
    </row>
    <row r="23863">
      <c r="BB23863" s="122"/>
      <c r="BC23863" s="141"/>
    </row>
    <row r="23864">
      <c r="BB23864" s="122"/>
      <c r="BC23864" s="141"/>
    </row>
    <row r="23865">
      <c r="BB23865" s="122"/>
      <c r="BC23865" s="141"/>
    </row>
    <row r="23866">
      <c r="BB23866" s="122"/>
      <c r="BC23866" s="141"/>
    </row>
    <row r="23867">
      <c r="BB23867" s="122"/>
      <c r="BC23867" s="141"/>
    </row>
    <row r="23868">
      <c r="BB23868" s="122"/>
      <c r="BC23868" s="141"/>
    </row>
    <row r="23869">
      <c r="BB23869" s="122"/>
      <c r="BC23869" s="141"/>
    </row>
    <row r="23870">
      <c r="BB23870" s="122"/>
      <c r="BC23870" s="141"/>
    </row>
    <row r="23871">
      <c r="BB23871" s="122"/>
      <c r="BC23871" s="141"/>
    </row>
    <row r="23872">
      <c r="BB23872" s="122"/>
      <c r="BC23872" s="141"/>
    </row>
    <row r="23873">
      <c r="BB23873" s="122"/>
      <c r="BC23873" s="141"/>
    </row>
    <row r="23874">
      <c r="BB23874" s="122"/>
      <c r="BC23874" s="141"/>
    </row>
    <row r="23875">
      <c r="BB23875" s="122"/>
      <c r="BC23875" s="141"/>
    </row>
    <row r="23876">
      <c r="BB23876" s="122"/>
      <c r="BC23876" s="141"/>
    </row>
    <row r="23877">
      <c r="BB23877" s="122"/>
      <c r="BC23877" s="141"/>
    </row>
    <row r="23878">
      <c r="BB23878" s="122"/>
      <c r="BC23878" s="141"/>
    </row>
    <row r="23879">
      <c r="BB23879" s="122"/>
      <c r="BC23879" s="141"/>
    </row>
    <row r="23880">
      <c r="BB23880" s="122"/>
      <c r="BC23880" s="141"/>
    </row>
    <row r="23881">
      <c r="BB23881" s="122"/>
      <c r="BC23881" s="141"/>
    </row>
    <row r="23882">
      <c r="BB23882" s="122"/>
      <c r="BC23882" s="141"/>
    </row>
    <row r="23883">
      <c r="BB23883" s="122"/>
      <c r="BC23883" s="141"/>
    </row>
    <row r="23884">
      <c r="BB23884" s="122"/>
      <c r="BC23884" s="141"/>
    </row>
    <row r="23885">
      <c r="BB23885" s="122"/>
      <c r="BC23885" s="141"/>
    </row>
    <row r="23886">
      <c r="BB23886" s="122"/>
      <c r="BC23886" s="141"/>
    </row>
    <row r="23887">
      <c r="BB23887" s="122"/>
      <c r="BC23887" s="141"/>
    </row>
    <row r="23888">
      <c r="BB23888" s="122"/>
      <c r="BC23888" s="141"/>
    </row>
    <row r="23889">
      <c r="BB23889" s="122"/>
      <c r="BC23889" s="141"/>
    </row>
    <row r="23890">
      <c r="BB23890" s="122"/>
      <c r="BC23890" s="141"/>
    </row>
    <row r="23891">
      <c r="BB23891" s="122"/>
      <c r="BC23891" s="141"/>
    </row>
    <row r="23892">
      <c r="BB23892" s="122"/>
      <c r="BC23892" s="141"/>
    </row>
    <row r="23893">
      <c r="BB23893" s="122"/>
      <c r="BC23893" s="141"/>
    </row>
    <row r="23894">
      <c r="BB23894" s="122"/>
      <c r="BC23894" s="141"/>
    </row>
    <row r="23895">
      <c r="BB23895" s="122"/>
      <c r="BC23895" s="141"/>
    </row>
    <row r="23896">
      <c r="BB23896" s="122"/>
      <c r="BC23896" s="141"/>
    </row>
    <row r="23897">
      <c r="BB23897" s="122"/>
      <c r="BC23897" s="141"/>
    </row>
    <row r="23898">
      <c r="BB23898" s="122"/>
      <c r="BC23898" s="141"/>
    </row>
    <row r="23899">
      <c r="BB23899" s="122"/>
      <c r="BC23899" s="141"/>
    </row>
    <row r="23900">
      <c r="BB23900" s="122"/>
      <c r="BC23900" s="141"/>
    </row>
    <row r="23901">
      <c r="BB23901" s="122"/>
      <c r="BC23901" s="141"/>
    </row>
    <row r="23902">
      <c r="BB23902" s="122"/>
      <c r="BC23902" s="141"/>
    </row>
    <row r="23903">
      <c r="BB23903" s="122"/>
      <c r="BC23903" s="141"/>
    </row>
    <row r="23904">
      <c r="BB23904" s="122"/>
      <c r="BC23904" s="141"/>
    </row>
    <row r="23905">
      <c r="BB23905" s="122"/>
      <c r="BC23905" s="141"/>
    </row>
    <row r="23906">
      <c r="BB23906" s="122"/>
      <c r="BC23906" s="141"/>
    </row>
    <row r="23907">
      <c r="BB23907" s="122"/>
      <c r="BC23907" s="141"/>
    </row>
    <row r="23908">
      <c r="BB23908" s="122"/>
      <c r="BC23908" s="141"/>
    </row>
    <row r="23909">
      <c r="BB23909" s="122"/>
      <c r="BC23909" s="141"/>
    </row>
    <row r="23910">
      <c r="BB23910" s="122"/>
      <c r="BC23910" s="141"/>
    </row>
    <row r="23911">
      <c r="BB23911" s="122"/>
      <c r="BC23911" s="141"/>
    </row>
    <row r="23912">
      <c r="BB23912" s="122"/>
      <c r="BC23912" s="141"/>
    </row>
    <row r="23913">
      <c r="BB23913" s="122"/>
      <c r="BC23913" s="141"/>
    </row>
    <row r="23914">
      <c r="BB23914" s="122"/>
      <c r="BC23914" s="141"/>
    </row>
    <row r="23915">
      <c r="BB23915" s="122"/>
      <c r="BC23915" s="141"/>
    </row>
    <row r="23916">
      <c r="BB23916" s="122"/>
      <c r="BC23916" s="141"/>
    </row>
    <row r="23917">
      <c r="BB23917" s="122"/>
      <c r="BC23917" s="141"/>
    </row>
    <row r="23918">
      <c r="BB23918" s="122"/>
      <c r="BC23918" s="141"/>
    </row>
    <row r="23919">
      <c r="BB23919" s="122"/>
      <c r="BC23919" s="141"/>
    </row>
    <row r="23920">
      <c r="BB23920" s="122"/>
      <c r="BC23920" s="141"/>
    </row>
    <row r="23921">
      <c r="BB23921" s="122"/>
      <c r="BC23921" s="141"/>
    </row>
    <row r="23922">
      <c r="BB23922" s="122"/>
      <c r="BC23922" s="141"/>
    </row>
    <row r="23923">
      <c r="BB23923" s="122"/>
      <c r="BC23923" s="141"/>
    </row>
    <row r="23924">
      <c r="BB23924" s="122"/>
      <c r="BC23924" s="141"/>
    </row>
    <row r="23925">
      <c r="BB23925" s="122"/>
      <c r="BC23925" s="141"/>
    </row>
    <row r="23926">
      <c r="BB23926" s="122"/>
      <c r="BC23926" s="141"/>
    </row>
    <row r="23927">
      <c r="BB23927" s="122"/>
      <c r="BC23927" s="141"/>
    </row>
    <row r="23928">
      <c r="BB23928" s="122"/>
      <c r="BC23928" s="141"/>
    </row>
    <row r="23929">
      <c r="BB23929" s="122"/>
      <c r="BC23929" s="141"/>
    </row>
    <row r="23930">
      <c r="BB23930" s="122"/>
      <c r="BC23930" s="141"/>
    </row>
    <row r="23931">
      <c r="BB23931" s="122"/>
      <c r="BC23931" s="141"/>
    </row>
    <row r="23932">
      <c r="BB23932" s="122"/>
      <c r="BC23932" s="141"/>
    </row>
    <row r="23933">
      <c r="BB23933" s="122"/>
      <c r="BC23933" s="141"/>
    </row>
    <row r="23934">
      <c r="BB23934" s="122"/>
      <c r="BC23934" s="141"/>
    </row>
    <row r="23935">
      <c r="BB23935" s="122"/>
      <c r="BC23935" s="141"/>
    </row>
    <row r="23936">
      <c r="BB23936" s="122"/>
      <c r="BC23936" s="141"/>
    </row>
    <row r="23937">
      <c r="BB23937" s="122"/>
      <c r="BC23937" s="141"/>
    </row>
    <row r="23938">
      <c r="BB23938" s="122"/>
      <c r="BC23938" s="141"/>
    </row>
    <row r="23939">
      <c r="BB23939" s="122"/>
      <c r="BC23939" s="141"/>
    </row>
    <row r="23940">
      <c r="BB23940" s="122"/>
      <c r="BC23940" s="141"/>
    </row>
    <row r="23941">
      <c r="BB23941" s="122"/>
      <c r="BC23941" s="141"/>
    </row>
    <row r="23942">
      <c r="BB23942" s="122"/>
      <c r="BC23942" s="141"/>
    </row>
    <row r="23943">
      <c r="BB23943" s="122"/>
      <c r="BC23943" s="141"/>
    </row>
    <row r="23944">
      <c r="BB23944" s="122"/>
      <c r="BC23944" s="141"/>
    </row>
    <row r="23945">
      <c r="BB23945" s="122"/>
      <c r="BC23945" s="141"/>
    </row>
    <row r="23946">
      <c r="BB23946" s="122"/>
      <c r="BC23946" s="141"/>
    </row>
    <row r="23947">
      <c r="BB23947" s="122"/>
      <c r="BC23947" s="141"/>
    </row>
    <row r="23948">
      <c r="BB23948" s="122"/>
      <c r="BC23948" s="141"/>
    </row>
    <row r="23949">
      <c r="BB23949" s="122"/>
      <c r="BC23949" s="141"/>
    </row>
    <row r="23950">
      <c r="BB23950" s="122"/>
      <c r="BC23950" s="141"/>
    </row>
    <row r="23951">
      <c r="BB23951" s="122"/>
      <c r="BC23951" s="141"/>
    </row>
    <row r="23952">
      <c r="BB23952" s="122"/>
      <c r="BC23952" s="141"/>
    </row>
    <row r="23953">
      <c r="BB23953" s="122"/>
      <c r="BC23953" s="141"/>
    </row>
    <row r="23954">
      <c r="BB23954" s="122"/>
      <c r="BC23954" s="141"/>
    </row>
    <row r="23955">
      <c r="BB23955" s="122"/>
      <c r="BC23955" s="141"/>
    </row>
    <row r="23956">
      <c r="BB23956" s="122"/>
      <c r="BC23956" s="141"/>
    </row>
    <row r="23957">
      <c r="BB23957" s="122"/>
      <c r="BC23957" s="141"/>
    </row>
    <row r="23958">
      <c r="BB23958" s="122"/>
      <c r="BC23958" s="141"/>
    </row>
    <row r="23959">
      <c r="BB23959" s="122"/>
      <c r="BC23959" s="141"/>
    </row>
    <row r="23960">
      <c r="BB23960" s="122"/>
      <c r="BC23960" s="141"/>
    </row>
    <row r="23961">
      <c r="BB23961" s="122"/>
      <c r="BC23961" s="141"/>
    </row>
    <row r="23962">
      <c r="BB23962" s="122"/>
      <c r="BC23962" s="141"/>
    </row>
    <row r="23963">
      <c r="BB23963" s="122"/>
      <c r="BC23963" s="141"/>
    </row>
    <row r="23964">
      <c r="BB23964" s="122"/>
      <c r="BC23964" s="141"/>
    </row>
    <row r="23965">
      <c r="BB23965" s="122"/>
      <c r="BC23965" s="141"/>
    </row>
    <row r="23966">
      <c r="BB23966" s="122"/>
      <c r="BC23966" s="141"/>
    </row>
    <row r="23967">
      <c r="BB23967" s="122"/>
      <c r="BC23967" s="141"/>
    </row>
    <row r="23968">
      <c r="BB23968" s="122"/>
      <c r="BC23968" s="141"/>
    </row>
    <row r="23969">
      <c r="BB23969" s="122"/>
      <c r="BC23969" s="141"/>
    </row>
    <row r="23970">
      <c r="BB23970" s="122"/>
      <c r="BC23970" s="141"/>
    </row>
    <row r="23971">
      <c r="BB23971" s="122"/>
      <c r="BC23971" s="141"/>
    </row>
    <row r="23972">
      <c r="BB23972" s="122"/>
      <c r="BC23972" s="141"/>
    </row>
    <row r="23973">
      <c r="BB23973" s="122"/>
      <c r="BC23973" s="141"/>
    </row>
    <row r="23974">
      <c r="BB23974" s="122"/>
      <c r="BC23974" s="141"/>
    </row>
    <row r="23975">
      <c r="BB23975" s="122"/>
      <c r="BC23975" s="141"/>
    </row>
    <row r="23976">
      <c r="BB23976" s="122"/>
      <c r="BC23976" s="141"/>
    </row>
    <row r="23977">
      <c r="BB23977" s="122"/>
      <c r="BC23977" s="141"/>
    </row>
    <row r="23978">
      <c r="BB23978" s="122"/>
      <c r="BC23978" s="141"/>
    </row>
    <row r="23979">
      <c r="BB23979" s="122"/>
      <c r="BC23979" s="141"/>
    </row>
    <row r="23980">
      <c r="BB23980" s="122"/>
      <c r="BC23980" s="141"/>
    </row>
    <row r="23981">
      <c r="BB23981" s="122"/>
      <c r="BC23981" s="141"/>
    </row>
    <row r="23982">
      <c r="BB23982" s="122"/>
      <c r="BC23982" s="141"/>
    </row>
    <row r="23983">
      <c r="BB23983" s="122"/>
      <c r="BC23983" s="141"/>
    </row>
    <row r="23984">
      <c r="BB23984" s="122"/>
      <c r="BC23984" s="141"/>
    </row>
    <row r="23985">
      <c r="BB23985" s="122"/>
      <c r="BC23985" s="141"/>
    </row>
    <row r="23986">
      <c r="BB23986" s="122"/>
      <c r="BC23986" s="141"/>
    </row>
    <row r="23987">
      <c r="BB23987" s="122"/>
      <c r="BC23987" s="141"/>
    </row>
    <row r="23988">
      <c r="BB23988" s="122"/>
      <c r="BC23988" s="141"/>
    </row>
    <row r="23989">
      <c r="BB23989" s="122"/>
      <c r="BC23989" s="141"/>
    </row>
    <row r="23990">
      <c r="BB23990" s="122"/>
      <c r="BC23990" s="141"/>
    </row>
    <row r="23991">
      <c r="BB23991" s="122"/>
      <c r="BC23991" s="141"/>
    </row>
    <row r="23992">
      <c r="BB23992" s="122"/>
      <c r="BC23992" s="141"/>
    </row>
    <row r="23993">
      <c r="BB23993" s="122"/>
      <c r="BC23993" s="141"/>
    </row>
    <row r="23994">
      <c r="BB23994" s="122"/>
      <c r="BC23994" s="141"/>
    </row>
    <row r="23995">
      <c r="BB23995" s="122"/>
      <c r="BC23995" s="141"/>
    </row>
    <row r="23996">
      <c r="BB23996" s="122"/>
      <c r="BC23996" s="141"/>
    </row>
    <row r="23997">
      <c r="BB23997" s="122"/>
      <c r="BC23997" s="141"/>
    </row>
    <row r="23998">
      <c r="BB23998" s="122"/>
      <c r="BC23998" s="141"/>
    </row>
    <row r="23999">
      <c r="BB23999" s="122"/>
      <c r="BC23999" s="141"/>
    </row>
    <row r="24000">
      <c r="BB24000" s="122"/>
      <c r="BC24000" s="141"/>
    </row>
    <row r="24001">
      <c r="BB24001" s="122"/>
      <c r="BC24001" s="141"/>
    </row>
    <row r="24002">
      <c r="BB24002" s="122"/>
      <c r="BC24002" s="141"/>
    </row>
    <row r="24003">
      <c r="BB24003" s="122"/>
      <c r="BC24003" s="141"/>
    </row>
    <row r="24004">
      <c r="BB24004" s="122"/>
      <c r="BC24004" s="141"/>
    </row>
    <row r="24005">
      <c r="BB24005" s="122"/>
      <c r="BC24005" s="141"/>
    </row>
    <row r="24006">
      <c r="BB24006" s="122"/>
      <c r="BC24006" s="141"/>
    </row>
    <row r="24007">
      <c r="BB24007" s="122"/>
      <c r="BC24007" s="141"/>
    </row>
    <row r="24008">
      <c r="BB24008" s="122"/>
      <c r="BC24008" s="141"/>
    </row>
    <row r="24009">
      <c r="BB24009" s="122"/>
      <c r="BC24009" s="141"/>
    </row>
    <row r="24010">
      <c r="BB24010" s="122"/>
      <c r="BC24010" s="141"/>
    </row>
    <row r="24011">
      <c r="BB24011" s="122"/>
      <c r="BC24011" s="141"/>
    </row>
    <row r="24012">
      <c r="BB24012" s="122"/>
      <c r="BC24012" s="141"/>
    </row>
    <row r="24013">
      <c r="BB24013" s="122"/>
      <c r="BC24013" s="141"/>
    </row>
    <row r="24014">
      <c r="BB24014" s="122"/>
      <c r="BC24014" s="141"/>
    </row>
    <row r="24015">
      <c r="BB24015" s="122"/>
      <c r="BC24015" s="141"/>
    </row>
    <row r="24016">
      <c r="BB24016" s="122"/>
      <c r="BC24016" s="141"/>
    </row>
    <row r="24017">
      <c r="BB24017" s="122"/>
      <c r="BC24017" s="141"/>
    </row>
    <row r="24018">
      <c r="BB24018" s="122"/>
      <c r="BC24018" s="141"/>
    </row>
    <row r="24019">
      <c r="BB24019" s="122"/>
      <c r="BC24019" s="141"/>
    </row>
    <row r="24020">
      <c r="BB24020" s="122"/>
      <c r="BC24020" s="141"/>
    </row>
    <row r="24021">
      <c r="BB24021" s="122"/>
      <c r="BC24021" s="141"/>
    </row>
    <row r="24022">
      <c r="BB24022" s="122"/>
      <c r="BC24022" s="141"/>
    </row>
    <row r="24023">
      <c r="BB24023" s="122"/>
      <c r="BC24023" s="141"/>
    </row>
    <row r="24024">
      <c r="BB24024" s="122"/>
      <c r="BC24024" s="141"/>
    </row>
    <row r="24025">
      <c r="BB24025" s="122"/>
      <c r="BC24025" s="141"/>
    </row>
    <row r="24026">
      <c r="BB24026" s="122"/>
      <c r="BC24026" s="141"/>
    </row>
    <row r="24027">
      <c r="BB24027" s="122"/>
      <c r="BC24027" s="141"/>
    </row>
    <row r="24028">
      <c r="BB24028" s="122"/>
      <c r="BC24028" s="141"/>
    </row>
    <row r="24029">
      <c r="BB24029" s="122"/>
      <c r="BC24029" s="141"/>
    </row>
    <row r="24030">
      <c r="BB24030" s="122"/>
      <c r="BC24030" s="141"/>
    </row>
    <row r="24031">
      <c r="BB24031" s="122"/>
      <c r="BC24031" s="141"/>
    </row>
    <row r="24032">
      <c r="BB24032" s="122"/>
      <c r="BC24032" s="141"/>
    </row>
    <row r="24033">
      <c r="BB24033" s="122"/>
      <c r="BC24033" s="141"/>
    </row>
    <row r="24034">
      <c r="BB24034" s="122"/>
      <c r="BC24034" s="141"/>
    </row>
    <row r="24035">
      <c r="BB24035" s="122"/>
      <c r="BC24035" s="141"/>
    </row>
    <row r="24036">
      <c r="BB24036" s="122"/>
      <c r="BC24036" s="141"/>
    </row>
    <row r="24037">
      <c r="BB24037" s="122"/>
      <c r="BC24037" s="141"/>
    </row>
    <row r="24038">
      <c r="BB24038" s="122"/>
      <c r="BC24038" s="141"/>
    </row>
    <row r="24039">
      <c r="BB24039" s="122"/>
      <c r="BC24039" s="141"/>
    </row>
    <row r="24040">
      <c r="BB24040" s="122"/>
      <c r="BC24040" s="141"/>
    </row>
    <row r="24041">
      <c r="BB24041" s="122"/>
      <c r="BC24041" s="141"/>
    </row>
    <row r="24042">
      <c r="BB24042" s="122"/>
      <c r="BC24042" s="141"/>
    </row>
    <row r="24043">
      <c r="BB24043" s="122"/>
      <c r="BC24043" s="141"/>
    </row>
    <row r="24044">
      <c r="BB24044" s="122"/>
      <c r="BC24044" s="141"/>
    </row>
    <row r="24045">
      <c r="BB24045" s="122"/>
      <c r="BC24045" s="141"/>
    </row>
    <row r="24046">
      <c r="BB24046" s="122"/>
      <c r="BC24046" s="141"/>
    </row>
    <row r="24047">
      <c r="BB24047" s="122"/>
      <c r="BC24047" s="141"/>
    </row>
    <row r="24048">
      <c r="BB24048" s="122"/>
      <c r="BC24048" s="141"/>
    </row>
    <row r="24049">
      <c r="BB24049" s="122"/>
      <c r="BC24049" s="141"/>
    </row>
    <row r="24050">
      <c r="BB24050" s="122"/>
      <c r="BC24050" s="141"/>
    </row>
    <row r="24051">
      <c r="BB24051" s="122"/>
      <c r="BC24051" s="141"/>
    </row>
    <row r="24052">
      <c r="BB24052" s="122"/>
      <c r="BC24052" s="141"/>
    </row>
    <row r="24053">
      <c r="BB24053" s="122"/>
      <c r="BC24053" s="141"/>
    </row>
    <row r="24054">
      <c r="BB24054" s="122"/>
      <c r="BC24054" s="141"/>
    </row>
    <row r="24055">
      <c r="BB24055" s="122"/>
      <c r="BC24055" s="141"/>
    </row>
    <row r="24056">
      <c r="BB24056" s="122"/>
      <c r="BC24056" s="141"/>
    </row>
    <row r="24057">
      <c r="BB24057" s="122"/>
      <c r="BC24057" s="141"/>
    </row>
    <row r="24058">
      <c r="BB24058" s="122"/>
      <c r="BC24058" s="141"/>
    </row>
    <row r="24059">
      <c r="BB24059" s="122"/>
      <c r="BC24059" s="141"/>
    </row>
    <row r="24060">
      <c r="BB24060" s="122"/>
      <c r="BC24060" s="141"/>
    </row>
    <row r="24061">
      <c r="BB24061" s="122"/>
      <c r="BC24061" s="141"/>
    </row>
    <row r="24062">
      <c r="BB24062" s="122"/>
      <c r="BC24062" s="141"/>
    </row>
    <row r="24063">
      <c r="BB24063" s="122"/>
      <c r="BC24063" s="141"/>
    </row>
    <row r="24064">
      <c r="BB24064" s="122"/>
      <c r="BC24064" s="141"/>
    </row>
    <row r="24065">
      <c r="BB24065" s="122"/>
      <c r="BC24065" s="141"/>
    </row>
    <row r="24066">
      <c r="BB24066" s="122"/>
      <c r="BC24066" s="141"/>
    </row>
    <row r="24067">
      <c r="BB24067" s="122"/>
      <c r="BC24067" s="141"/>
    </row>
    <row r="24068">
      <c r="BB24068" s="122"/>
      <c r="BC24068" s="141"/>
    </row>
    <row r="24069">
      <c r="BB24069" s="122"/>
      <c r="BC24069" s="141"/>
    </row>
    <row r="24070">
      <c r="BB24070" s="122"/>
      <c r="BC24070" s="141"/>
    </row>
    <row r="24071">
      <c r="BB24071" s="122"/>
      <c r="BC24071" s="141"/>
    </row>
    <row r="24072">
      <c r="BB24072" s="122"/>
      <c r="BC24072" s="141"/>
    </row>
    <row r="24073">
      <c r="BB24073" s="122"/>
      <c r="BC24073" s="141"/>
    </row>
    <row r="24074">
      <c r="BB24074" s="122"/>
      <c r="BC24074" s="141"/>
    </row>
    <row r="24075">
      <c r="BB24075" s="122"/>
      <c r="BC24075" s="141"/>
    </row>
    <row r="24076">
      <c r="BB24076" s="122"/>
      <c r="BC24076" s="141"/>
    </row>
    <row r="24077">
      <c r="BB24077" s="122"/>
      <c r="BC24077" s="141"/>
    </row>
    <row r="24078">
      <c r="BB24078" s="122"/>
      <c r="BC24078" s="141"/>
    </row>
    <row r="24079">
      <c r="BB24079" s="122"/>
      <c r="BC24079" s="141"/>
    </row>
    <row r="24080">
      <c r="BB24080" s="122"/>
      <c r="BC24080" s="141"/>
    </row>
    <row r="24081">
      <c r="BB24081" s="122"/>
      <c r="BC24081" s="141"/>
    </row>
    <row r="24082">
      <c r="BB24082" s="122"/>
      <c r="BC24082" s="141"/>
    </row>
    <row r="24083">
      <c r="BB24083" s="122"/>
      <c r="BC24083" s="141"/>
    </row>
    <row r="24084">
      <c r="BB24084" s="122"/>
      <c r="BC24084" s="141"/>
    </row>
    <row r="24085">
      <c r="BB24085" s="122"/>
      <c r="BC24085" s="141"/>
    </row>
    <row r="24086">
      <c r="BB24086" s="122"/>
      <c r="BC24086" s="141"/>
    </row>
    <row r="24087">
      <c r="BB24087" s="122"/>
      <c r="BC24087" s="141"/>
    </row>
    <row r="24088">
      <c r="BB24088" s="122"/>
      <c r="BC24088" s="141"/>
    </row>
    <row r="24089">
      <c r="BB24089" s="122"/>
      <c r="BC24089" s="141"/>
    </row>
    <row r="24090">
      <c r="BB24090" s="122"/>
      <c r="BC24090" s="141"/>
    </row>
    <row r="24091">
      <c r="BB24091" s="122"/>
      <c r="BC24091" s="141"/>
    </row>
    <row r="24092">
      <c r="BB24092" s="122"/>
      <c r="BC24092" s="141"/>
    </row>
    <row r="24093">
      <c r="BB24093" s="122"/>
      <c r="BC24093" s="141"/>
    </row>
    <row r="24094">
      <c r="BB24094" s="122"/>
      <c r="BC24094" s="141"/>
    </row>
    <row r="24095">
      <c r="BB24095" s="122"/>
      <c r="BC24095" s="141"/>
    </row>
    <row r="24096">
      <c r="BB24096" s="122"/>
      <c r="BC24096" s="141"/>
    </row>
    <row r="24097">
      <c r="BB24097" s="122"/>
      <c r="BC24097" s="141"/>
    </row>
    <row r="24098">
      <c r="BB24098" s="122"/>
      <c r="BC24098" s="141"/>
    </row>
    <row r="24099">
      <c r="BB24099" s="122"/>
      <c r="BC24099" s="141"/>
    </row>
    <row r="24100">
      <c r="BB24100" s="122"/>
      <c r="BC24100" s="141"/>
    </row>
    <row r="24101">
      <c r="BB24101" s="122"/>
      <c r="BC24101" s="141"/>
    </row>
    <row r="24102">
      <c r="BB24102" s="122"/>
      <c r="BC24102" s="141"/>
    </row>
    <row r="24103">
      <c r="BB24103" s="122"/>
      <c r="BC24103" s="141"/>
    </row>
    <row r="24104">
      <c r="BB24104" s="122"/>
      <c r="BC24104" s="141"/>
    </row>
    <row r="24105">
      <c r="BB24105" s="122"/>
      <c r="BC24105" s="141"/>
    </row>
    <row r="24106">
      <c r="BB24106" s="122"/>
      <c r="BC24106" s="141"/>
    </row>
    <row r="24107">
      <c r="BB24107" s="122"/>
      <c r="BC24107" s="141"/>
    </row>
    <row r="24108">
      <c r="BB24108" s="122"/>
      <c r="BC24108" s="141"/>
    </row>
    <row r="24109">
      <c r="BB24109" s="122"/>
      <c r="BC24109" s="141"/>
    </row>
    <row r="24110">
      <c r="BB24110" s="122"/>
      <c r="BC24110" s="141"/>
    </row>
    <row r="24111">
      <c r="BB24111" s="122"/>
      <c r="BC24111" s="141"/>
    </row>
    <row r="24112">
      <c r="BB24112" s="122"/>
      <c r="BC24112" s="141"/>
    </row>
    <row r="24113">
      <c r="BB24113" s="122"/>
      <c r="BC24113" s="141"/>
    </row>
    <row r="24114">
      <c r="BB24114" s="122"/>
      <c r="BC24114" s="141"/>
    </row>
    <row r="24115">
      <c r="BB24115" s="122"/>
      <c r="BC24115" s="141"/>
    </row>
    <row r="24116">
      <c r="BB24116" s="122"/>
      <c r="BC24116" s="141"/>
    </row>
    <row r="24117">
      <c r="BB24117" s="122"/>
      <c r="BC24117" s="141"/>
    </row>
    <row r="24118">
      <c r="BB24118" s="122"/>
      <c r="BC24118" s="141"/>
    </row>
    <row r="24119">
      <c r="BB24119" s="122"/>
      <c r="BC24119" s="141"/>
    </row>
    <row r="24120">
      <c r="BB24120" s="122"/>
      <c r="BC24120" s="141"/>
    </row>
    <row r="24121">
      <c r="BB24121" s="122"/>
      <c r="BC24121" s="141"/>
    </row>
    <row r="24122">
      <c r="BB24122" s="122"/>
      <c r="BC24122" s="141"/>
    </row>
    <row r="24123">
      <c r="BB24123" s="122"/>
      <c r="BC24123" s="141"/>
    </row>
    <row r="24124">
      <c r="BB24124" s="122"/>
      <c r="BC24124" s="141"/>
    </row>
    <row r="24125">
      <c r="BB24125" s="122"/>
      <c r="BC24125" s="141"/>
    </row>
    <row r="24126">
      <c r="BB24126" s="122"/>
      <c r="BC24126" s="141"/>
    </row>
    <row r="24127">
      <c r="BB24127" s="122"/>
      <c r="BC24127" s="141"/>
    </row>
    <row r="24128">
      <c r="BB24128" s="122"/>
      <c r="BC24128" s="141"/>
    </row>
    <row r="24129">
      <c r="BB24129" s="122"/>
      <c r="BC24129" s="141"/>
    </row>
    <row r="24130">
      <c r="BB24130" s="122"/>
      <c r="BC24130" s="141"/>
    </row>
    <row r="24131">
      <c r="BB24131" s="122"/>
      <c r="BC24131" s="141"/>
    </row>
    <row r="24132">
      <c r="BB24132" s="122"/>
      <c r="BC24132" s="141"/>
    </row>
    <row r="24133">
      <c r="BB24133" s="122"/>
      <c r="BC24133" s="141"/>
    </row>
    <row r="24134">
      <c r="BB24134" s="122"/>
      <c r="BC24134" s="141"/>
    </row>
    <row r="24135">
      <c r="BB24135" s="122"/>
      <c r="BC24135" s="141"/>
    </row>
    <row r="24136">
      <c r="BB24136" s="122"/>
      <c r="BC24136" s="141"/>
    </row>
    <row r="24137">
      <c r="BB24137" s="122"/>
      <c r="BC24137" s="141"/>
    </row>
    <row r="24138">
      <c r="BB24138" s="122"/>
      <c r="BC24138" s="141"/>
    </row>
    <row r="24139">
      <c r="BB24139" s="122"/>
      <c r="BC24139" s="141"/>
    </row>
    <row r="24140">
      <c r="BB24140" s="122"/>
      <c r="BC24140" s="141"/>
    </row>
    <row r="24141">
      <c r="BB24141" s="122"/>
      <c r="BC24141" s="141"/>
    </row>
    <row r="24142">
      <c r="BB24142" s="122"/>
      <c r="BC24142" s="141"/>
    </row>
    <row r="24143">
      <c r="BB24143" s="122"/>
      <c r="BC24143" s="141"/>
    </row>
    <row r="24144">
      <c r="BB24144" s="122"/>
      <c r="BC24144" s="141"/>
    </row>
    <row r="24145">
      <c r="BB24145" s="122"/>
      <c r="BC24145" s="141"/>
    </row>
    <row r="24146">
      <c r="BB24146" s="122"/>
      <c r="BC24146" s="141"/>
    </row>
    <row r="24147">
      <c r="BB24147" s="122"/>
      <c r="BC24147" s="141"/>
    </row>
    <row r="24148">
      <c r="BB24148" s="122"/>
      <c r="BC24148" s="141"/>
    </row>
    <row r="24149">
      <c r="BB24149" s="122"/>
      <c r="BC24149" s="141"/>
    </row>
    <row r="24150">
      <c r="BB24150" s="122"/>
      <c r="BC24150" s="141"/>
    </row>
    <row r="24151">
      <c r="BB24151" s="122"/>
      <c r="BC24151" s="141"/>
    </row>
    <row r="24152">
      <c r="BB24152" s="122"/>
      <c r="BC24152" s="141"/>
    </row>
    <row r="24153">
      <c r="BB24153" s="122"/>
      <c r="BC24153" s="141"/>
    </row>
    <row r="24154">
      <c r="BB24154" s="122"/>
      <c r="BC24154" s="141"/>
    </row>
    <row r="24155">
      <c r="BB24155" s="122"/>
      <c r="BC24155" s="141"/>
    </row>
    <row r="24156">
      <c r="BB24156" s="122"/>
      <c r="BC24156" s="141"/>
    </row>
    <row r="24157">
      <c r="BB24157" s="122"/>
      <c r="BC24157" s="141"/>
    </row>
    <row r="24158">
      <c r="BB24158" s="122"/>
      <c r="BC24158" s="141"/>
    </row>
    <row r="24159">
      <c r="BB24159" s="122"/>
      <c r="BC24159" s="141"/>
    </row>
    <row r="24160">
      <c r="BB24160" s="122"/>
      <c r="BC24160" s="141"/>
    </row>
    <row r="24161">
      <c r="BB24161" s="122"/>
      <c r="BC24161" s="141"/>
    </row>
    <row r="24162">
      <c r="BB24162" s="122"/>
      <c r="BC24162" s="141"/>
    </row>
    <row r="24163">
      <c r="BB24163" s="122"/>
      <c r="BC24163" s="141"/>
    </row>
    <row r="24164">
      <c r="BB24164" s="122"/>
      <c r="BC24164" s="141"/>
    </row>
    <row r="24165">
      <c r="BB24165" s="122"/>
      <c r="BC24165" s="141"/>
    </row>
    <row r="24166">
      <c r="BB24166" s="122"/>
      <c r="BC24166" s="141"/>
    </row>
    <row r="24167">
      <c r="BB24167" s="122"/>
      <c r="BC24167" s="141"/>
    </row>
    <row r="24168">
      <c r="BB24168" s="122"/>
      <c r="BC24168" s="141"/>
    </row>
    <row r="24169">
      <c r="BB24169" s="122"/>
      <c r="BC24169" s="141"/>
    </row>
    <row r="24170">
      <c r="BB24170" s="122"/>
      <c r="BC24170" s="141"/>
    </row>
    <row r="24171">
      <c r="BB24171" s="122"/>
      <c r="BC24171" s="141"/>
    </row>
    <row r="24172">
      <c r="BB24172" s="122"/>
      <c r="BC24172" s="141"/>
    </row>
    <row r="24173">
      <c r="BB24173" s="122"/>
      <c r="BC24173" s="141"/>
    </row>
    <row r="24174">
      <c r="BB24174" s="122"/>
      <c r="BC24174" s="141"/>
    </row>
    <row r="24175">
      <c r="BB24175" s="122"/>
      <c r="BC24175" s="141"/>
    </row>
    <row r="24176">
      <c r="BB24176" s="122"/>
      <c r="BC24176" s="141"/>
    </row>
    <row r="24177">
      <c r="BB24177" s="122"/>
      <c r="BC24177" s="141"/>
    </row>
    <row r="24178">
      <c r="BB24178" s="122"/>
      <c r="BC24178" s="141"/>
    </row>
    <row r="24179">
      <c r="BB24179" s="122"/>
      <c r="BC24179" s="141"/>
    </row>
    <row r="24180">
      <c r="BB24180" s="122"/>
      <c r="BC24180" s="141"/>
    </row>
    <row r="24181">
      <c r="BB24181" s="122"/>
      <c r="BC24181" s="141"/>
    </row>
    <row r="24182">
      <c r="BB24182" s="122"/>
      <c r="BC24182" s="141"/>
    </row>
    <row r="24183">
      <c r="BB24183" s="122"/>
      <c r="BC24183" s="141"/>
    </row>
    <row r="24184">
      <c r="BB24184" s="122"/>
      <c r="BC24184" s="141"/>
    </row>
    <row r="24185">
      <c r="BB24185" s="122"/>
      <c r="BC24185" s="141"/>
    </row>
    <row r="24186">
      <c r="BB24186" s="122"/>
      <c r="BC24186" s="141"/>
    </row>
    <row r="24187">
      <c r="BB24187" s="122"/>
      <c r="BC24187" s="141"/>
    </row>
    <row r="24188">
      <c r="BB24188" s="122"/>
      <c r="BC24188" s="141"/>
    </row>
    <row r="24189">
      <c r="BB24189" s="122"/>
      <c r="BC24189" s="141"/>
    </row>
    <row r="24190">
      <c r="BB24190" s="122"/>
      <c r="BC24190" s="141"/>
    </row>
    <row r="24191">
      <c r="BB24191" s="122"/>
      <c r="BC24191" s="141"/>
    </row>
    <row r="24192">
      <c r="BB24192" s="122"/>
      <c r="BC24192" s="141"/>
    </row>
    <row r="24193">
      <c r="BB24193" s="122"/>
      <c r="BC24193" s="141"/>
    </row>
    <row r="24194">
      <c r="BB24194" s="122"/>
      <c r="BC24194" s="141"/>
    </row>
    <row r="24195">
      <c r="BB24195" s="122"/>
      <c r="BC24195" s="141"/>
    </row>
    <row r="24196">
      <c r="BB24196" s="122"/>
      <c r="BC24196" s="141"/>
    </row>
    <row r="24197">
      <c r="BB24197" s="122"/>
      <c r="BC24197" s="141"/>
    </row>
    <row r="24198">
      <c r="BB24198" s="122"/>
      <c r="BC24198" s="141"/>
    </row>
    <row r="24199">
      <c r="BB24199" s="122"/>
      <c r="BC24199" s="141"/>
    </row>
    <row r="24200">
      <c r="BB24200" s="122"/>
      <c r="BC24200" s="141"/>
    </row>
    <row r="24201">
      <c r="BB24201" s="122"/>
      <c r="BC24201" s="141"/>
    </row>
    <row r="24202">
      <c r="BB24202" s="122"/>
      <c r="BC24202" s="141"/>
    </row>
    <row r="24203">
      <c r="BB24203" s="122"/>
      <c r="BC24203" s="141"/>
    </row>
    <row r="24204">
      <c r="BB24204" s="122"/>
      <c r="BC24204" s="141"/>
    </row>
    <row r="24205">
      <c r="BB24205" s="122"/>
      <c r="BC24205" s="141"/>
    </row>
    <row r="24206">
      <c r="BB24206" s="122"/>
      <c r="BC24206" s="141"/>
    </row>
    <row r="24207">
      <c r="BB24207" s="122"/>
      <c r="BC24207" s="141"/>
    </row>
    <row r="24208">
      <c r="BB24208" s="122"/>
      <c r="BC24208" s="141"/>
    </row>
    <row r="24209">
      <c r="BB24209" s="122"/>
      <c r="BC24209" s="141"/>
    </row>
    <row r="24210">
      <c r="BB24210" s="122"/>
      <c r="BC24210" s="141"/>
    </row>
    <row r="24211">
      <c r="BB24211" s="122"/>
      <c r="BC24211" s="141"/>
    </row>
    <row r="24212">
      <c r="BB24212" s="122"/>
      <c r="BC24212" s="141"/>
    </row>
    <row r="24213">
      <c r="BB24213" s="122"/>
      <c r="BC24213" s="141"/>
    </row>
    <row r="24214">
      <c r="BB24214" s="122"/>
      <c r="BC24214" s="141"/>
    </row>
    <row r="24215">
      <c r="BB24215" s="122"/>
      <c r="BC24215" s="141"/>
    </row>
    <row r="24216">
      <c r="BB24216" s="122"/>
      <c r="BC24216" s="141"/>
    </row>
    <row r="24217">
      <c r="BB24217" s="122"/>
      <c r="BC24217" s="141"/>
    </row>
    <row r="24218">
      <c r="BB24218" s="122"/>
      <c r="BC24218" s="141"/>
    </row>
    <row r="24219">
      <c r="BB24219" s="122"/>
      <c r="BC24219" s="141"/>
    </row>
    <row r="24220">
      <c r="BB24220" s="122"/>
      <c r="BC24220" s="141"/>
    </row>
    <row r="24221">
      <c r="BB24221" s="122"/>
      <c r="BC24221" s="141"/>
    </row>
    <row r="24222">
      <c r="BB24222" s="122"/>
      <c r="BC24222" s="141"/>
    </row>
    <row r="24223">
      <c r="BB24223" s="122"/>
      <c r="BC24223" s="141"/>
    </row>
    <row r="24224">
      <c r="BB24224" s="122"/>
      <c r="BC24224" s="141"/>
    </row>
    <row r="24225">
      <c r="BB24225" s="122"/>
      <c r="BC24225" s="141"/>
    </row>
    <row r="24226">
      <c r="BB24226" s="122"/>
      <c r="BC24226" s="141"/>
    </row>
    <row r="24227">
      <c r="BB24227" s="122"/>
      <c r="BC24227" s="141"/>
    </row>
    <row r="24228">
      <c r="BB24228" s="122"/>
      <c r="BC24228" s="141"/>
    </row>
    <row r="24229">
      <c r="BB24229" s="122"/>
      <c r="BC24229" s="141"/>
    </row>
    <row r="24230">
      <c r="BB24230" s="122"/>
      <c r="BC24230" s="141"/>
    </row>
    <row r="24231">
      <c r="BB24231" s="122"/>
      <c r="BC24231" s="141"/>
    </row>
    <row r="24232">
      <c r="BB24232" s="122"/>
      <c r="BC24232" s="141"/>
    </row>
    <row r="24233">
      <c r="BB24233" s="122"/>
      <c r="BC24233" s="141"/>
    </row>
    <row r="24234">
      <c r="BB24234" s="122"/>
      <c r="BC24234" s="141"/>
    </row>
    <row r="24235">
      <c r="BB24235" s="122"/>
      <c r="BC24235" s="141"/>
    </row>
    <row r="24236">
      <c r="BB24236" s="122"/>
      <c r="BC24236" s="141"/>
    </row>
    <row r="24237">
      <c r="BB24237" s="122"/>
      <c r="BC24237" s="141"/>
    </row>
    <row r="24238">
      <c r="BB24238" s="122"/>
      <c r="BC24238" s="141"/>
    </row>
    <row r="24239">
      <c r="BB24239" s="122"/>
      <c r="BC24239" s="141"/>
    </row>
    <row r="24240">
      <c r="BB24240" s="122"/>
      <c r="BC24240" s="141"/>
    </row>
    <row r="24241">
      <c r="BB24241" s="122"/>
      <c r="BC24241" s="141"/>
    </row>
    <row r="24242">
      <c r="BB24242" s="122"/>
      <c r="BC24242" s="141"/>
    </row>
    <row r="24243">
      <c r="BB24243" s="122"/>
      <c r="BC24243" s="141"/>
    </row>
    <row r="24244">
      <c r="BB24244" s="122"/>
      <c r="BC24244" s="141"/>
    </row>
    <row r="24245">
      <c r="BB24245" s="122"/>
      <c r="BC24245" s="141"/>
    </row>
    <row r="24246">
      <c r="BB24246" s="122"/>
      <c r="BC24246" s="141"/>
    </row>
    <row r="24247">
      <c r="BB24247" s="122"/>
      <c r="BC24247" s="141"/>
    </row>
    <row r="24248">
      <c r="BB24248" s="122"/>
      <c r="BC24248" s="141"/>
    </row>
    <row r="24249">
      <c r="BB24249" s="122"/>
      <c r="BC24249" s="141"/>
    </row>
    <row r="24250">
      <c r="BB24250" s="122"/>
      <c r="BC24250" s="141"/>
    </row>
    <row r="24251">
      <c r="BB24251" s="122"/>
      <c r="BC24251" s="141"/>
    </row>
    <row r="24252">
      <c r="BB24252" s="122"/>
      <c r="BC24252" s="141"/>
    </row>
    <row r="24253">
      <c r="BB24253" s="122"/>
      <c r="BC24253" s="141"/>
    </row>
    <row r="24254">
      <c r="BB24254" s="122"/>
      <c r="BC24254" s="141"/>
    </row>
    <row r="24255">
      <c r="BB24255" s="122"/>
      <c r="BC24255" s="141"/>
    </row>
    <row r="24256">
      <c r="BB24256" s="122"/>
      <c r="BC24256" s="141"/>
    </row>
    <row r="24257">
      <c r="BB24257" s="122"/>
      <c r="BC24257" s="141"/>
    </row>
    <row r="24258">
      <c r="BB24258" s="122"/>
      <c r="BC24258" s="141"/>
    </row>
    <row r="24259">
      <c r="BB24259" s="122"/>
      <c r="BC24259" s="141"/>
    </row>
    <row r="24260">
      <c r="BB24260" s="122"/>
      <c r="BC24260" s="141"/>
    </row>
    <row r="24261">
      <c r="BB24261" s="122"/>
      <c r="BC24261" s="141"/>
    </row>
    <row r="24262">
      <c r="BB24262" s="122"/>
      <c r="BC24262" s="141"/>
    </row>
    <row r="24263">
      <c r="BB24263" s="122"/>
      <c r="BC24263" s="141"/>
    </row>
    <row r="24264">
      <c r="BB24264" s="122"/>
      <c r="BC24264" s="141"/>
    </row>
    <row r="24265">
      <c r="BB24265" s="122"/>
      <c r="BC24265" s="141"/>
    </row>
    <row r="24266">
      <c r="BB24266" s="122"/>
      <c r="BC24266" s="141"/>
    </row>
    <row r="24267">
      <c r="BB24267" s="122"/>
      <c r="BC24267" s="141"/>
    </row>
    <row r="24268">
      <c r="BB24268" s="122"/>
      <c r="BC24268" s="141"/>
    </row>
    <row r="24269">
      <c r="BB24269" s="122"/>
      <c r="BC24269" s="141"/>
    </row>
    <row r="24270">
      <c r="BB24270" s="122"/>
      <c r="BC24270" s="141"/>
    </row>
    <row r="24271">
      <c r="BB24271" s="122"/>
      <c r="BC24271" s="141"/>
    </row>
    <row r="24272">
      <c r="BB24272" s="122"/>
      <c r="BC24272" s="141"/>
    </row>
    <row r="24273">
      <c r="BB24273" s="122"/>
      <c r="BC24273" s="141"/>
    </row>
    <row r="24274">
      <c r="BB24274" s="122"/>
      <c r="BC24274" s="141"/>
    </row>
    <row r="24275">
      <c r="BB24275" s="122"/>
      <c r="BC24275" s="141"/>
    </row>
    <row r="24276">
      <c r="BB24276" s="122"/>
      <c r="BC24276" s="141"/>
    </row>
    <row r="24277">
      <c r="BB24277" s="122"/>
      <c r="BC24277" s="141"/>
    </row>
    <row r="24278">
      <c r="BB24278" s="122"/>
      <c r="BC24278" s="141"/>
    </row>
    <row r="24279">
      <c r="BB24279" s="122"/>
      <c r="BC24279" s="141"/>
    </row>
    <row r="24280">
      <c r="BB24280" s="122"/>
      <c r="BC24280" s="141"/>
    </row>
    <row r="24281">
      <c r="BB24281" s="122"/>
      <c r="BC24281" s="141"/>
    </row>
    <row r="24282">
      <c r="BB24282" s="122"/>
      <c r="BC24282" s="141"/>
    </row>
    <row r="24283">
      <c r="BB24283" s="122"/>
      <c r="BC24283" s="141"/>
    </row>
    <row r="24284">
      <c r="BB24284" s="122"/>
      <c r="BC24284" s="141"/>
    </row>
    <row r="24285">
      <c r="BB24285" s="122"/>
      <c r="BC24285" s="141"/>
    </row>
    <row r="24286">
      <c r="BB24286" s="122"/>
      <c r="BC24286" s="141"/>
    </row>
    <row r="24287">
      <c r="BB24287" s="122"/>
      <c r="BC24287" s="141"/>
    </row>
    <row r="24288">
      <c r="BB24288" s="122"/>
      <c r="BC24288" s="141"/>
    </row>
    <row r="24289">
      <c r="BB24289" s="122"/>
      <c r="BC24289" s="141"/>
    </row>
    <row r="24290">
      <c r="BB24290" s="122"/>
      <c r="BC24290" s="141"/>
    </row>
    <row r="24291">
      <c r="BB24291" s="122"/>
      <c r="BC24291" s="141"/>
    </row>
    <row r="24292">
      <c r="BB24292" s="122"/>
      <c r="BC24292" s="141"/>
    </row>
    <row r="24293">
      <c r="BB24293" s="122"/>
      <c r="BC24293" s="141"/>
    </row>
    <row r="24294">
      <c r="BB24294" s="122"/>
      <c r="BC24294" s="141"/>
    </row>
    <row r="24295">
      <c r="BB24295" s="122"/>
      <c r="BC24295" s="141"/>
    </row>
    <row r="24296">
      <c r="BB24296" s="122"/>
      <c r="BC24296" s="141"/>
    </row>
    <row r="24297">
      <c r="BB24297" s="122"/>
      <c r="BC24297" s="141"/>
    </row>
    <row r="24298">
      <c r="BB24298" s="122"/>
      <c r="BC24298" s="141"/>
    </row>
    <row r="24299">
      <c r="BB24299" s="122"/>
      <c r="BC24299" s="141"/>
    </row>
    <row r="24300">
      <c r="BB24300" s="122"/>
      <c r="BC24300" s="141"/>
    </row>
    <row r="24301">
      <c r="BB24301" s="122"/>
      <c r="BC24301" s="141"/>
    </row>
    <row r="24302">
      <c r="BB24302" s="122"/>
      <c r="BC24302" s="141"/>
    </row>
    <row r="24303">
      <c r="BB24303" s="122"/>
      <c r="BC24303" s="141"/>
    </row>
    <row r="24304">
      <c r="BB24304" s="122"/>
      <c r="BC24304" s="141"/>
    </row>
    <row r="24305">
      <c r="BB24305" s="122"/>
      <c r="BC24305" s="141"/>
    </row>
    <row r="24306">
      <c r="BB24306" s="122"/>
      <c r="BC24306" s="141"/>
    </row>
    <row r="24307">
      <c r="BB24307" s="122"/>
      <c r="BC24307" s="141"/>
    </row>
    <row r="24308">
      <c r="BB24308" s="122"/>
      <c r="BC24308" s="141"/>
    </row>
    <row r="24309">
      <c r="BB24309" s="122"/>
      <c r="BC24309" s="141"/>
    </row>
    <row r="24310">
      <c r="BB24310" s="122"/>
      <c r="BC24310" s="141"/>
    </row>
    <row r="24311">
      <c r="BB24311" s="122"/>
      <c r="BC24311" s="141"/>
    </row>
    <row r="24312">
      <c r="BB24312" s="122"/>
      <c r="BC24312" s="141"/>
    </row>
    <row r="24313">
      <c r="BB24313" s="122"/>
      <c r="BC24313" s="141"/>
    </row>
    <row r="24314">
      <c r="BB24314" s="122"/>
      <c r="BC24314" s="141"/>
    </row>
    <row r="24315">
      <c r="BB24315" s="122"/>
      <c r="BC24315" s="141"/>
    </row>
    <row r="24316">
      <c r="BB24316" s="122"/>
      <c r="BC24316" s="141"/>
    </row>
    <row r="24317">
      <c r="BB24317" s="122"/>
      <c r="BC24317" s="141"/>
    </row>
    <row r="24318">
      <c r="BB24318" s="122"/>
      <c r="BC24318" s="141"/>
    </row>
    <row r="24319">
      <c r="BB24319" s="122"/>
      <c r="BC24319" s="141"/>
    </row>
    <row r="24320">
      <c r="BB24320" s="122"/>
      <c r="BC24320" s="141"/>
    </row>
    <row r="24321">
      <c r="BB24321" s="122"/>
      <c r="BC24321" s="141"/>
    </row>
    <row r="24322">
      <c r="BB24322" s="122"/>
      <c r="BC24322" s="141"/>
    </row>
    <row r="24323">
      <c r="BB24323" s="122"/>
      <c r="BC24323" s="141"/>
    </row>
    <row r="24324">
      <c r="BB24324" s="122"/>
      <c r="BC24324" s="141"/>
    </row>
    <row r="24325">
      <c r="BB24325" s="122"/>
      <c r="BC24325" s="141"/>
    </row>
    <row r="24326">
      <c r="BB24326" s="122"/>
      <c r="BC24326" s="141"/>
    </row>
    <row r="24327">
      <c r="BB24327" s="122"/>
      <c r="BC24327" s="141"/>
    </row>
    <row r="24328">
      <c r="BB24328" s="122"/>
      <c r="BC24328" s="141"/>
    </row>
    <row r="24329">
      <c r="BB24329" s="122"/>
      <c r="BC24329" s="141"/>
    </row>
    <row r="24330">
      <c r="BB24330" s="122"/>
      <c r="BC24330" s="141"/>
    </row>
    <row r="24331">
      <c r="BB24331" s="122"/>
      <c r="BC24331" s="141"/>
    </row>
    <row r="24332">
      <c r="BB24332" s="122"/>
      <c r="BC24332" s="141"/>
    </row>
    <row r="24333">
      <c r="BB24333" s="122"/>
      <c r="BC24333" s="141"/>
    </row>
    <row r="24334">
      <c r="BB24334" s="122"/>
      <c r="BC24334" s="141"/>
    </row>
    <row r="24335">
      <c r="BB24335" s="122"/>
      <c r="BC24335" s="141"/>
    </row>
    <row r="24336">
      <c r="BB24336" s="122"/>
      <c r="BC24336" s="141"/>
    </row>
    <row r="24337">
      <c r="BB24337" s="122"/>
      <c r="BC24337" s="141"/>
    </row>
    <row r="24338">
      <c r="BB24338" s="122"/>
      <c r="BC24338" s="141"/>
    </row>
    <row r="24339">
      <c r="BB24339" s="122"/>
      <c r="BC24339" s="141"/>
    </row>
    <row r="24340">
      <c r="BB24340" s="122"/>
      <c r="BC24340" s="141"/>
    </row>
    <row r="24341">
      <c r="BB24341" s="122"/>
      <c r="BC24341" s="141"/>
    </row>
    <row r="24342">
      <c r="BB24342" s="122"/>
      <c r="BC24342" s="141"/>
    </row>
    <row r="24343">
      <c r="BB24343" s="122"/>
      <c r="BC24343" s="141"/>
    </row>
    <row r="24344">
      <c r="BB24344" s="122"/>
      <c r="BC24344" s="141"/>
    </row>
    <row r="24345">
      <c r="BB24345" s="122"/>
      <c r="BC24345" s="141"/>
    </row>
    <row r="24346">
      <c r="BB24346" s="122"/>
      <c r="BC24346" s="141"/>
    </row>
    <row r="24347">
      <c r="BB24347" s="122"/>
      <c r="BC24347" s="141"/>
    </row>
    <row r="24348">
      <c r="BB24348" s="122"/>
      <c r="BC24348" s="141"/>
    </row>
    <row r="24349">
      <c r="BB24349" s="122"/>
      <c r="BC24349" s="141"/>
    </row>
    <row r="24350">
      <c r="BB24350" s="122"/>
      <c r="BC24350" s="141"/>
    </row>
    <row r="24351">
      <c r="BB24351" s="122"/>
      <c r="BC24351" s="141"/>
    </row>
    <row r="24352">
      <c r="BB24352" s="122"/>
      <c r="BC24352" s="141"/>
    </row>
    <row r="24353">
      <c r="BB24353" s="122"/>
      <c r="BC24353" s="141"/>
    </row>
    <row r="24354">
      <c r="BB24354" s="122"/>
      <c r="BC24354" s="141"/>
    </row>
    <row r="24355">
      <c r="BB24355" s="122"/>
      <c r="BC24355" s="141"/>
    </row>
    <row r="24356">
      <c r="BB24356" s="122"/>
      <c r="BC24356" s="141"/>
    </row>
    <row r="24357">
      <c r="BB24357" s="122"/>
      <c r="BC24357" s="141"/>
    </row>
    <row r="24358">
      <c r="BB24358" s="122"/>
      <c r="BC24358" s="141"/>
    </row>
    <row r="24359">
      <c r="BB24359" s="122"/>
      <c r="BC24359" s="141"/>
    </row>
    <row r="24360">
      <c r="BB24360" s="122"/>
      <c r="BC24360" s="141"/>
    </row>
    <row r="24361">
      <c r="BB24361" s="122"/>
      <c r="BC24361" s="141"/>
    </row>
    <row r="24362">
      <c r="BB24362" s="122"/>
      <c r="BC24362" s="141"/>
    </row>
    <row r="24363">
      <c r="BB24363" s="122"/>
      <c r="BC24363" s="141"/>
    </row>
    <row r="24364">
      <c r="BB24364" s="122"/>
      <c r="BC24364" s="141"/>
    </row>
    <row r="24365">
      <c r="BB24365" s="122"/>
      <c r="BC24365" s="141"/>
    </row>
    <row r="24366">
      <c r="BB24366" s="122"/>
      <c r="BC24366" s="141"/>
    </row>
    <row r="24367">
      <c r="BB24367" s="122"/>
      <c r="BC24367" s="141"/>
    </row>
    <row r="24368">
      <c r="BB24368" s="122"/>
      <c r="BC24368" s="141"/>
    </row>
    <row r="24369">
      <c r="BB24369" s="122"/>
      <c r="BC24369" s="141"/>
    </row>
    <row r="24370">
      <c r="BB24370" s="122"/>
      <c r="BC24370" s="141"/>
    </row>
    <row r="24371">
      <c r="BB24371" s="122"/>
      <c r="BC24371" s="141"/>
    </row>
    <row r="24372">
      <c r="BB24372" s="122"/>
      <c r="BC24372" s="141"/>
    </row>
    <row r="24373">
      <c r="BB24373" s="122"/>
      <c r="BC24373" s="141"/>
    </row>
    <row r="24374">
      <c r="BB24374" s="122"/>
      <c r="BC24374" s="141"/>
    </row>
    <row r="24375">
      <c r="BB24375" s="122"/>
      <c r="BC24375" s="141"/>
    </row>
    <row r="24376">
      <c r="BB24376" s="122"/>
      <c r="BC24376" s="141"/>
    </row>
    <row r="24377">
      <c r="BB24377" s="122"/>
      <c r="BC24377" s="141"/>
    </row>
    <row r="24378">
      <c r="BB24378" s="122"/>
      <c r="BC24378" s="141"/>
    </row>
    <row r="24379">
      <c r="BB24379" s="122"/>
      <c r="BC24379" s="141"/>
    </row>
    <row r="24380">
      <c r="BB24380" s="122"/>
      <c r="BC24380" s="141"/>
    </row>
    <row r="24381">
      <c r="BB24381" s="122"/>
      <c r="BC24381" s="141"/>
    </row>
    <row r="24382">
      <c r="BB24382" s="122"/>
      <c r="BC24382" s="141"/>
    </row>
    <row r="24383">
      <c r="BB24383" s="122"/>
      <c r="BC24383" s="141"/>
    </row>
    <row r="24384">
      <c r="BB24384" s="122"/>
      <c r="BC24384" s="141"/>
    </row>
    <row r="24385">
      <c r="BB24385" s="122"/>
      <c r="BC24385" s="141"/>
    </row>
    <row r="24386">
      <c r="BB24386" s="122"/>
      <c r="BC24386" s="141"/>
    </row>
    <row r="24387">
      <c r="BB24387" s="122"/>
      <c r="BC24387" s="141"/>
    </row>
    <row r="24388">
      <c r="BB24388" s="122"/>
      <c r="BC24388" s="141"/>
    </row>
    <row r="24389">
      <c r="BB24389" s="122"/>
      <c r="BC24389" s="141"/>
    </row>
    <row r="24390">
      <c r="BB24390" s="122"/>
      <c r="BC24390" s="141"/>
    </row>
    <row r="24391">
      <c r="BB24391" s="122"/>
      <c r="BC24391" s="141"/>
    </row>
    <row r="24392">
      <c r="BB24392" s="122"/>
      <c r="BC24392" s="141"/>
    </row>
    <row r="24393">
      <c r="BB24393" s="122"/>
      <c r="BC24393" s="141"/>
    </row>
    <row r="24394">
      <c r="BB24394" s="122"/>
      <c r="BC24394" s="141"/>
    </row>
    <row r="24395">
      <c r="BB24395" s="122"/>
      <c r="BC24395" s="141"/>
    </row>
    <row r="24396">
      <c r="BB24396" s="122"/>
      <c r="BC24396" s="141"/>
    </row>
    <row r="24397">
      <c r="BB24397" s="122"/>
      <c r="BC24397" s="141"/>
    </row>
    <row r="24398">
      <c r="BB24398" s="122"/>
      <c r="BC24398" s="141"/>
    </row>
    <row r="24399">
      <c r="BB24399" s="122"/>
      <c r="BC24399" s="141"/>
    </row>
    <row r="24400">
      <c r="BB24400" s="122"/>
      <c r="BC24400" s="141"/>
    </row>
    <row r="24401">
      <c r="BB24401" s="122"/>
      <c r="BC24401" s="141"/>
    </row>
    <row r="24402">
      <c r="BB24402" s="122"/>
      <c r="BC24402" s="141"/>
    </row>
    <row r="24403">
      <c r="BB24403" s="122"/>
      <c r="BC24403" s="141"/>
    </row>
    <row r="24404">
      <c r="BB24404" s="122"/>
      <c r="BC24404" s="141"/>
    </row>
    <row r="24405">
      <c r="BB24405" s="122"/>
      <c r="BC24405" s="141"/>
    </row>
    <row r="24406">
      <c r="BB24406" s="122"/>
      <c r="BC24406" s="141"/>
    </row>
    <row r="24407">
      <c r="BB24407" s="122"/>
      <c r="BC24407" s="141"/>
    </row>
    <row r="24408">
      <c r="BB24408" s="122"/>
      <c r="BC24408" s="141"/>
    </row>
    <row r="24409">
      <c r="BB24409" s="122"/>
      <c r="BC24409" s="141"/>
    </row>
    <row r="24410">
      <c r="BB24410" s="122"/>
      <c r="BC24410" s="141"/>
    </row>
    <row r="24411">
      <c r="BB24411" s="122"/>
      <c r="BC24411" s="141"/>
    </row>
    <row r="24412">
      <c r="BB24412" s="122"/>
      <c r="BC24412" s="141"/>
    </row>
    <row r="24413">
      <c r="BB24413" s="122"/>
      <c r="BC24413" s="141"/>
    </row>
    <row r="24414">
      <c r="BB24414" s="122"/>
      <c r="BC24414" s="141"/>
    </row>
    <row r="24415">
      <c r="BB24415" s="122"/>
      <c r="BC24415" s="141"/>
    </row>
    <row r="24416">
      <c r="BB24416" s="122"/>
      <c r="BC24416" s="141"/>
    </row>
    <row r="24417">
      <c r="BB24417" s="122"/>
      <c r="BC24417" s="141"/>
    </row>
    <row r="24418">
      <c r="BB24418" s="122"/>
      <c r="BC24418" s="141"/>
    </row>
    <row r="24419">
      <c r="BB24419" s="122"/>
      <c r="BC24419" s="141"/>
    </row>
    <row r="24420">
      <c r="BB24420" s="122"/>
      <c r="BC24420" s="141"/>
    </row>
    <row r="24421">
      <c r="BB24421" s="122"/>
      <c r="BC24421" s="141"/>
    </row>
    <row r="24422">
      <c r="BB24422" s="122"/>
      <c r="BC24422" s="141"/>
    </row>
    <row r="24423">
      <c r="BB24423" s="122"/>
      <c r="BC24423" s="141"/>
    </row>
    <row r="24424">
      <c r="BB24424" s="122"/>
      <c r="BC24424" s="141"/>
    </row>
    <row r="24425">
      <c r="BB24425" s="122"/>
      <c r="BC24425" s="141"/>
    </row>
    <row r="24426">
      <c r="BB24426" s="122"/>
      <c r="BC24426" s="141"/>
    </row>
    <row r="24427">
      <c r="BB24427" s="122"/>
      <c r="BC24427" s="141"/>
    </row>
    <row r="24428">
      <c r="BB24428" s="122"/>
      <c r="BC24428" s="141"/>
    </row>
    <row r="24429">
      <c r="BB24429" s="122"/>
      <c r="BC24429" s="141"/>
    </row>
    <row r="24430">
      <c r="BB24430" s="122"/>
      <c r="BC24430" s="141"/>
    </row>
    <row r="24431">
      <c r="BB24431" s="122"/>
      <c r="BC24431" s="141"/>
    </row>
    <row r="24432">
      <c r="BB24432" s="122"/>
      <c r="BC24432" s="141"/>
    </row>
    <row r="24433">
      <c r="BB24433" s="122"/>
      <c r="BC24433" s="141"/>
    </row>
    <row r="24434">
      <c r="BB24434" s="122"/>
      <c r="BC24434" s="141"/>
    </row>
    <row r="24435">
      <c r="BB24435" s="122"/>
      <c r="BC24435" s="141"/>
    </row>
    <row r="24436">
      <c r="BB24436" s="122"/>
      <c r="BC24436" s="141"/>
    </row>
    <row r="24437">
      <c r="BB24437" s="122"/>
      <c r="BC24437" s="141"/>
    </row>
    <row r="24438">
      <c r="BB24438" s="122"/>
      <c r="BC24438" s="141"/>
    </row>
    <row r="24439">
      <c r="BB24439" s="122"/>
      <c r="BC24439" s="141"/>
    </row>
    <row r="24440">
      <c r="BB24440" s="122"/>
      <c r="BC24440" s="141"/>
    </row>
    <row r="24441">
      <c r="BB24441" s="122"/>
      <c r="BC24441" s="141"/>
    </row>
    <row r="24442">
      <c r="BB24442" s="122"/>
      <c r="BC24442" s="141"/>
    </row>
    <row r="24443">
      <c r="BB24443" s="122"/>
      <c r="BC24443" s="141"/>
    </row>
    <row r="24444">
      <c r="BB24444" s="122"/>
      <c r="BC24444" s="141"/>
    </row>
    <row r="24445">
      <c r="BB24445" s="122"/>
      <c r="BC24445" s="141"/>
    </row>
    <row r="24446">
      <c r="BB24446" s="122"/>
      <c r="BC24446" s="141"/>
    </row>
    <row r="24447">
      <c r="BB24447" s="122"/>
      <c r="BC24447" s="141"/>
    </row>
    <row r="24448">
      <c r="BB24448" s="122"/>
      <c r="BC24448" s="141"/>
    </row>
    <row r="24449">
      <c r="BB24449" s="122"/>
      <c r="BC24449" s="141"/>
    </row>
    <row r="24450">
      <c r="BB24450" s="122"/>
      <c r="BC24450" s="141"/>
    </row>
    <row r="24451">
      <c r="BB24451" s="122"/>
      <c r="BC24451" s="141"/>
    </row>
    <row r="24452">
      <c r="BB24452" s="122"/>
      <c r="BC24452" s="141"/>
    </row>
    <row r="24453">
      <c r="BB24453" s="122"/>
      <c r="BC24453" s="141"/>
    </row>
    <row r="24454">
      <c r="BB24454" s="122"/>
      <c r="BC24454" s="141"/>
    </row>
    <row r="24455">
      <c r="BB24455" s="122"/>
      <c r="BC24455" s="141"/>
    </row>
    <row r="24456">
      <c r="BB24456" s="122"/>
      <c r="BC24456" s="141"/>
    </row>
    <row r="24457">
      <c r="BB24457" s="122"/>
      <c r="BC24457" s="141"/>
    </row>
    <row r="24458">
      <c r="BB24458" s="122"/>
      <c r="BC24458" s="141"/>
    </row>
    <row r="24459">
      <c r="BB24459" s="122"/>
      <c r="BC24459" s="141"/>
    </row>
    <row r="24460">
      <c r="BB24460" s="122"/>
      <c r="BC24460" s="141"/>
    </row>
    <row r="24461">
      <c r="BB24461" s="122"/>
      <c r="BC24461" s="141"/>
    </row>
    <row r="24462">
      <c r="BB24462" s="122"/>
      <c r="BC24462" s="141"/>
    </row>
    <row r="24463">
      <c r="BB24463" s="122"/>
      <c r="BC24463" s="141"/>
    </row>
    <row r="24464">
      <c r="BB24464" s="122"/>
      <c r="BC24464" s="141"/>
    </row>
    <row r="24465">
      <c r="BB24465" s="122"/>
      <c r="BC24465" s="141"/>
    </row>
    <row r="24466">
      <c r="BB24466" s="122"/>
      <c r="BC24466" s="141"/>
    </row>
    <row r="24467">
      <c r="BB24467" s="122"/>
      <c r="BC24467" s="141"/>
    </row>
    <row r="24468">
      <c r="BB24468" s="122"/>
      <c r="BC24468" s="141"/>
    </row>
    <row r="24469">
      <c r="BB24469" s="122"/>
      <c r="BC24469" s="141"/>
    </row>
    <row r="24470">
      <c r="BB24470" s="122"/>
      <c r="BC24470" s="141"/>
    </row>
    <row r="24471">
      <c r="BB24471" s="122"/>
      <c r="BC24471" s="141"/>
    </row>
    <row r="24472">
      <c r="BB24472" s="122"/>
      <c r="BC24472" s="141"/>
    </row>
    <row r="24473">
      <c r="BB24473" s="122"/>
      <c r="BC24473" s="141"/>
    </row>
    <row r="24474">
      <c r="BB24474" s="122"/>
      <c r="BC24474" s="141"/>
    </row>
    <row r="24475">
      <c r="BB24475" s="122"/>
      <c r="BC24475" s="141"/>
    </row>
    <row r="24476">
      <c r="BB24476" s="122"/>
      <c r="BC24476" s="141"/>
    </row>
    <row r="24477">
      <c r="BB24477" s="122"/>
      <c r="BC24477" s="141"/>
    </row>
    <row r="24478">
      <c r="BB24478" s="122"/>
      <c r="BC24478" s="141"/>
    </row>
    <row r="24479">
      <c r="BB24479" s="122"/>
      <c r="BC24479" s="141"/>
    </row>
    <row r="24480">
      <c r="BB24480" s="122"/>
      <c r="BC24480" s="141"/>
    </row>
    <row r="24481">
      <c r="BB24481" s="122"/>
      <c r="BC24481" s="141"/>
    </row>
    <row r="24482">
      <c r="BB24482" s="122"/>
      <c r="BC24482" s="141"/>
    </row>
    <row r="24483">
      <c r="BB24483" s="122"/>
      <c r="BC24483" s="141"/>
    </row>
    <row r="24484">
      <c r="BB24484" s="122"/>
      <c r="BC24484" s="141"/>
    </row>
    <row r="24485">
      <c r="BB24485" s="122"/>
      <c r="BC24485" s="141"/>
    </row>
    <row r="24486">
      <c r="BB24486" s="122"/>
      <c r="BC24486" s="141"/>
    </row>
    <row r="24487">
      <c r="BB24487" s="122"/>
      <c r="BC24487" s="141"/>
    </row>
    <row r="24488">
      <c r="BB24488" s="122"/>
      <c r="BC24488" s="141"/>
    </row>
    <row r="24489">
      <c r="BB24489" s="122"/>
      <c r="BC24489" s="141"/>
    </row>
    <row r="24490">
      <c r="BB24490" s="122"/>
      <c r="BC24490" s="141"/>
    </row>
    <row r="24491">
      <c r="BB24491" s="122"/>
      <c r="BC24491" s="141"/>
    </row>
    <row r="24492">
      <c r="BB24492" s="122"/>
      <c r="BC24492" s="141"/>
    </row>
    <row r="24493">
      <c r="BB24493" s="122"/>
      <c r="BC24493" s="141"/>
    </row>
    <row r="24494">
      <c r="BB24494" s="122"/>
      <c r="BC24494" s="141"/>
    </row>
    <row r="24495">
      <c r="BB24495" s="122"/>
      <c r="BC24495" s="141"/>
    </row>
    <row r="24496">
      <c r="BB24496" s="122"/>
      <c r="BC24496" s="141"/>
    </row>
    <row r="24497">
      <c r="BB24497" s="122"/>
      <c r="BC24497" s="141"/>
    </row>
    <row r="24498">
      <c r="BB24498" s="122"/>
      <c r="BC24498" s="141"/>
    </row>
    <row r="24499">
      <c r="BB24499" s="122"/>
      <c r="BC24499" s="141"/>
    </row>
    <row r="24500">
      <c r="BB24500" s="122"/>
      <c r="BC24500" s="141"/>
    </row>
    <row r="24501">
      <c r="BB24501" s="122"/>
      <c r="BC24501" s="141"/>
    </row>
    <row r="24502">
      <c r="BB24502" s="122"/>
      <c r="BC24502" s="141"/>
    </row>
    <row r="24503">
      <c r="BB24503" s="122"/>
      <c r="BC24503" s="141"/>
    </row>
    <row r="24504">
      <c r="BB24504" s="122"/>
      <c r="BC24504" s="141"/>
    </row>
    <row r="24505">
      <c r="BB24505" s="122"/>
      <c r="BC24505" s="141"/>
    </row>
    <row r="24506">
      <c r="BB24506" s="122"/>
      <c r="BC24506" s="141"/>
    </row>
    <row r="24507">
      <c r="BB24507" s="122"/>
      <c r="BC24507" s="141"/>
    </row>
    <row r="24508">
      <c r="BB24508" s="122"/>
      <c r="BC24508" s="141"/>
    </row>
    <row r="24509">
      <c r="BB24509" s="122"/>
      <c r="BC24509" s="141"/>
    </row>
    <row r="24510">
      <c r="BB24510" s="122"/>
      <c r="BC24510" s="141"/>
    </row>
    <row r="24511">
      <c r="BB24511" s="122"/>
      <c r="BC24511" s="141"/>
    </row>
    <row r="24512">
      <c r="BB24512" s="122"/>
      <c r="BC24512" s="141"/>
    </row>
    <row r="24513">
      <c r="BB24513" s="122"/>
      <c r="BC24513" s="141"/>
    </row>
    <row r="24514">
      <c r="BB24514" s="122"/>
      <c r="BC24514" s="141"/>
    </row>
    <row r="24515">
      <c r="BB24515" s="122"/>
      <c r="BC24515" s="141"/>
    </row>
    <row r="24516">
      <c r="BB24516" s="122"/>
      <c r="BC24516" s="141"/>
    </row>
    <row r="24517">
      <c r="BB24517" s="122"/>
      <c r="BC24517" s="141"/>
    </row>
    <row r="24518">
      <c r="BB24518" s="122"/>
      <c r="BC24518" s="141"/>
    </row>
    <row r="24519">
      <c r="BB24519" s="122"/>
      <c r="BC24519" s="141"/>
    </row>
    <row r="24520">
      <c r="BB24520" s="122"/>
      <c r="BC24520" s="141"/>
    </row>
    <row r="24521">
      <c r="BB24521" s="122"/>
      <c r="BC24521" s="141"/>
    </row>
    <row r="24522">
      <c r="BB24522" s="122"/>
      <c r="BC24522" s="141"/>
    </row>
    <row r="24523">
      <c r="BB24523" s="122"/>
      <c r="BC24523" s="141"/>
    </row>
    <row r="24524">
      <c r="BB24524" s="122"/>
      <c r="BC24524" s="141"/>
    </row>
    <row r="24525">
      <c r="BB24525" s="122"/>
      <c r="BC24525" s="141"/>
    </row>
    <row r="24526">
      <c r="BB24526" s="122"/>
      <c r="BC24526" s="141"/>
    </row>
    <row r="24527">
      <c r="BB24527" s="122"/>
      <c r="BC24527" s="141"/>
    </row>
    <row r="24528">
      <c r="BB24528" s="122"/>
      <c r="BC24528" s="141"/>
    </row>
    <row r="24529">
      <c r="BB24529" s="122"/>
      <c r="BC24529" s="141"/>
    </row>
    <row r="24530">
      <c r="BB24530" s="122"/>
      <c r="BC24530" s="141"/>
    </row>
    <row r="24531">
      <c r="BB24531" s="122"/>
      <c r="BC24531" s="141"/>
    </row>
    <row r="24532">
      <c r="BB24532" s="122"/>
      <c r="BC24532" s="141"/>
    </row>
    <row r="24533">
      <c r="BB24533" s="122"/>
      <c r="BC24533" s="141"/>
    </row>
    <row r="24534">
      <c r="BB24534" s="122"/>
      <c r="BC24534" s="141"/>
    </row>
    <row r="24535">
      <c r="BB24535" s="122"/>
      <c r="BC24535" s="141"/>
    </row>
    <row r="24536">
      <c r="BB24536" s="122"/>
      <c r="BC24536" s="141"/>
    </row>
    <row r="24537">
      <c r="BB24537" s="122"/>
      <c r="BC24537" s="141"/>
    </row>
    <row r="24538">
      <c r="BB24538" s="122"/>
      <c r="BC24538" s="141"/>
    </row>
    <row r="24539">
      <c r="BB24539" s="122"/>
      <c r="BC24539" s="141"/>
    </row>
    <row r="24540">
      <c r="BB24540" s="122"/>
      <c r="BC24540" s="141"/>
    </row>
    <row r="24541">
      <c r="BB24541" s="122"/>
      <c r="BC24541" s="141"/>
    </row>
    <row r="24542">
      <c r="BB24542" s="122"/>
      <c r="BC24542" s="141"/>
    </row>
    <row r="24543">
      <c r="BB24543" s="122"/>
      <c r="BC24543" s="141"/>
    </row>
    <row r="24544">
      <c r="BB24544" s="122"/>
      <c r="BC24544" s="141"/>
    </row>
    <row r="24545">
      <c r="BB24545" s="122"/>
      <c r="BC24545" s="141"/>
    </row>
    <row r="24546">
      <c r="BB24546" s="122"/>
      <c r="BC24546" s="141"/>
    </row>
    <row r="24547">
      <c r="BB24547" s="122"/>
      <c r="BC24547" s="141"/>
    </row>
    <row r="24548">
      <c r="BB24548" s="122"/>
      <c r="BC24548" s="141"/>
    </row>
    <row r="24549">
      <c r="BB24549" s="122"/>
      <c r="BC24549" s="141"/>
    </row>
    <row r="24550">
      <c r="BB24550" s="122"/>
      <c r="BC24550" s="141"/>
    </row>
    <row r="24551">
      <c r="BB24551" s="122"/>
      <c r="BC24551" s="141"/>
    </row>
    <row r="24552">
      <c r="BB24552" s="122"/>
      <c r="BC24552" s="141"/>
    </row>
    <row r="24553">
      <c r="BB24553" s="122"/>
      <c r="BC24553" s="141"/>
    </row>
    <row r="24554">
      <c r="BB24554" s="122"/>
      <c r="BC24554" s="141"/>
    </row>
    <row r="24555">
      <c r="BB24555" s="122"/>
      <c r="BC24555" s="141"/>
    </row>
    <row r="24556">
      <c r="BB24556" s="122"/>
      <c r="BC24556" s="141"/>
    </row>
    <row r="24557">
      <c r="BB24557" s="122"/>
      <c r="BC24557" s="141"/>
    </row>
    <row r="24558">
      <c r="BB24558" s="122"/>
      <c r="BC24558" s="141"/>
    </row>
    <row r="24559">
      <c r="BB24559" s="122"/>
      <c r="BC24559" s="141"/>
    </row>
    <row r="24560">
      <c r="BB24560" s="122"/>
      <c r="BC24560" s="141"/>
    </row>
    <row r="24561">
      <c r="BB24561" s="122"/>
      <c r="BC24561" s="141"/>
    </row>
    <row r="24562">
      <c r="BB24562" s="122"/>
      <c r="BC24562" s="141"/>
    </row>
    <row r="24563">
      <c r="BB24563" s="122"/>
      <c r="BC24563" s="141"/>
    </row>
    <row r="24564">
      <c r="BB24564" s="122"/>
      <c r="BC24564" s="141"/>
    </row>
    <row r="24565">
      <c r="BB24565" s="122"/>
      <c r="BC24565" s="141"/>
    </row>
    <row r="24566">
      <c r="BB24566" s="122"/>
      <c r="BC24566" s="141"/>
    </row>
    <row r="24567">
      <c r="BB24567" s="122"/>
      <c r="BC24567" s="141"/>
    </row>
    <row r="24568">
      <c r="BB24568" s="122"/>
      <c r="BC24568" s="141"/>
    </row>
    <row r="24569">
      <c r="BB24569" s="122"/>
      <c r="BC24569" s="141"/>
    </row>
    <row r="24570">
      <c r="BB24570" s="122"/>
      <c r="BC24570" s="141"/>
    </row>
    <row r="24571">
      <c r="BB24571" s="122"/>
      <c r="BC24571" s="141"/>
    </row>
    <row r="24572">
      <c r="BB24572" s="122"/>
      <c r="BC24572" s="141"/>
    </row>
    <row r="24573">
      <c r="BB24573" s="122"/>
      <c r="BC24573" s="141"/>
    </row>
    <row r="24574">
      <c r="BB24574" s="122"/>
      <c r="BC24574" s="141"/>
    </row>
    <row r="24575">
      <c r="BB24575" s="122"/>
      <c r="BC24575" s="141"/>
    </row>
    <row r="24576">
      <c r="BB24576" s="122"/>
      <c r="BC24576" s="141"/>
    </row>
    <row r="24577">
      <c r="BB24577" s="122"/>
      <c r="BC24577" s="141"/>
    </row>
    <row r="24578">
      <c r="BB24578" s="122"/>
      <c r="BC24578" s="141"/>
    </row>
    <row r="24579">
      <c r="BB24579" s="122"/>
      <c r="BC24579" s="141"/>
    </row>
    <row r="24580">
      <c r="BB24580" s="122"/>
      <c r="BC24580" s="141"/>
    </row>
    <row r="24581">
      <c r="BB24581" s="122"/>
      <c r="BC24581" s="141"/>
    </row>
    <row r="24582">
      <c r="BB24582" s="122"/>
      <c r="BC24582" s="141"/>
    </row>
    <row r="24583">
      <c r="BB24583" s="122"/>
      <c r="BC24583" s="141"/>
    </row>
    <row r="24584">
      <c r="BB24584" s="122"/>
      <c r="BC24584" s="141"/>
    </row>
    <row r="24585">
      <c r="BB24585" s="122"/>
      <c r="BC24585" s="141"/>
    </row>
    <row r="24586">
      <c r="BB24586" s="122"/>
      <c r="BC24586" s="141"/>
    </row>
    <row r="24587">
      <c r="BB24587" s="122"/>
      <c r="BC24587" s="141"/>
    </row>
    <row r="24588">
      <c r="BB24588" s="122"/>
      <c r="BC24588" s="141"/>
    </row>
    <row r="24589">
      <c r="BB24589" s="122"/>
      <c r="BC24589" s="141"/>
    </row>
    <row r="24590">
      <c r="BB24590" s="122"/>
      <c r="BC24590" s="141"/>
    </row>
    <row r="24591">
      <c r="BB24591" s="122"/>
      <c r="BC24591" s="141"/>
    </row>
    <row r="24592">
      <c r="BB24592" s="122"/>
      <c r="BC24592" s="141"/>
    </row>
    <row r="24593">
      <c r="BB24593" s="122"/>
      <c r="BC24593" s="141"/>
    </row>
    <row r="24594">
      <c r="BB24594" s="122"/>
      <c r="BC24594" s="141"/>
    </row>
    <row r="24595">
      <c r="BB24595" s="122"/>
      <c r="BC24595" s="141"/>
    </row>
    <row r="24596">
      <c r="BB24596" s="122"/>
      <c r="BC24596" s="141"/>
    </row>
    <row r="24597">
      <c r="BB24597" s="122"/>
      <c r="BC24597" s="141"/>
    </row>
    <row r="24598">
      <c r="BB24598" s="122"/>
      <c r="BC24598" s="141"/>
    </row>
    <row r="24599">
      <c r="BB24599" s="122"/>
      <c r="BC24599" s="141"/>
    </row>
    <row r="24600">
      <c r="BB24600" s="122"/>
      <c r="BC24600" s="141"/>
    </row>
    <row r="24601">
      <c r="BB24601" s="122"/>
      <c r="BC24601" s="141"/>
    </row>
    <row r="24602">
      <c r="BB24602" s="122"/>
      <c r="BC24602" s="141"/>
    </row>
    <row r="24603">
      <c r="BB24603" s="122"/>
      <c r="BC24603" s="141"/>
    </row>
    <row r="24604">
      <c r="BB24604" s="122"/>
      <c r="BC24604" s="141"/>
    </row>
    <row r="24605">
      <c r="BB24605" s="122"/>
      <c r="BC24605" s="141"/>
    </row>
    <row r="24606">
      <c r="BB24606" s="122"/>
      <c r="BC24606" s="141"/>
    </row>
    <row r="24607">
      <c r="BB24607" s="122"/>
      <c r="BC24607" s="141"/>
    </row>
    <row r="24608">
      <c r="BB24608" s="122"/>
      <c r="BC24608" s="141"/>
    </row>
    <row r="24609">
      <c r="BB24609" s="122"/>
      <c r="BC24609" s="141"/>
    </row>
    <row r="24610">
      <c r="BB24610" s="122"/>
      <c r="BC24610" s="141"/>
    </row>
    <row r="24611">
      <c r="BB24611" s="122"/>
      <c r="BC24611" s="141"/>
    </row>
    <row r="24612">
      <c r="BB24612" s="122"/>
      <c r="BC24612" s="141"/>
    </row>
    <row r="24613">
      <c r="BB24613" s="122"/>
      <c r="BC24613" s="141"/>
    </row>
    <row r="24614">
      <c r="BB24614" s="122"/>
      <c r="BC24614" s="141"/>
    </row>
    <row r="24615">
      <c r="BB24615" s="122"/>
      <c r="BC24615" s="141"/>
    </row>
    <row r="24616">
      <c r="BB24616" s="122"/>
      <c r="BC24616" s="141"/>
    </row>
    <row r="24617">
      <c r="BB24617" s="122"/>
      <c r="BC24617" s="141"/>
    </row>
    <row r="24618">
      <c r="BB24618" s="122"/>
      <c r="BC24618" s="141"/>
    </row>
    <row r="24619">
      <c r="BB24619" s="122"/>
      <c r="BC24619" s="141"/>
    </row>
    <row r="24620">
      <c r="BB24620" s="122"/>
      <c r="BC24620" s="141"/>
    </row>
    <row r="24621">
      <c r="BB24621" s="122"/>
      <c r="BC24621" s="141"/>
    </row>
    <row r="24622">
      <c r="BB24622" s="122"/>
      <c r="BC24622" s="141"/>
    </row>
    <row r="24623">
      <c r="BB24623" s="122"/>
      <c r="BC24623" s="141"/>
    </row>
    <row r="24624">
      <c r="BB24624" s="122"/>
      <c r="BC24624" s="141"/>
    </row>
    <row r="24625">
      <c r="BB24625" s="122"/>
      <c r="BC24625" s="141"/>
    </row>
    <row r="24626">
      <c r="BB24626" s="122"/>
      <c r="BC24626" s="141"/>
    </row>
    <row r="24627">
      <c r="BB24627" s="122"/>
      <c r="BC24627" s="141"/>
    </row>
    <row r="24628">
      <c r="BB24628" s="122"/>
      <c r="BC24628" s="141"/>
    </row>
    <row r="24629">
      <c r="BB24629" s="122"/>
      <c r="BC24629" s="141"/>
    </row>
    <row r="24630">
      <c r="BB24630" s="122"/>
      <c r="BC24630" s="141"/>
    </row>
    <row r="24631">
      <c r="BB24631" s="122"/>
      <c r="BC24631" s="141"/>
    </row>
    <row r="24632">
      <c r="BB24632" s="122"/>
      <c r="BC24632" s="141"/>
    </row>
    <row r="24633">
      <c r="BB24633" s="122"/>
      <c r="BC24633" s="141"/>
    </row>
    <row r="24634">
      <c r="BB24634" s="122"/>
      <c r="BC24634" s="141"/>
    </row>
    <row r="24635">
      <c r="BB24635" s="122"/>
      <c r="BC24635" s="141"/>
    </row>
    <row r="24636">
      <c r="BB24636" s="122"/>
      <c r="BC24636" s="141"/>
    </row>
    <row r="24637">
      <c r="BB24637" s="122"/>
      <c r="BC24637" s="141"/>
    </row>
    <row r="24638">
      <c r="BB24638" s="122"/>
      <c r="BC24638" s="141"/>
    </row>
    <row r="24639">
      <c r="BB24639" s="122"/>
      <c r="BC24639" s="141"/>
    </row>
    <row r="24640">
      <c r="BB24640" s="122"/>
      <c r="BC24640" s="141"/>
    </row>
    <row r="24641">
      <c r="BB24641" s="122"/>
      <c r="BC24641" s="141"/>
    </row>
    <row r="24642">
      <c r="BB24642" s="122"/>
      <c r="BC24642" s="141"/>
    </row>
    <row r="24643">
      <c r="BB24643" s="122"/>
      <c r="BC24643" s="141"/>
    </row>
    <row r="24644">
      <c r="BB24644" s="122"/>
      <c r="BC24644" s="141"/>
    </row>
    <row r="24645">
      <c r="BB24645" s="122"/>
      <c r="BC24645" s="141"/>
    </row>
    <row r="24646">
      <c r="BB24646" s="122"/>
      <c r="BC24646" s="141"/>
    </row>
    <row r="24647">
      <c r="BB24647" s="122"/>
      <c r="BC24647" s="141"/>
    </row>
    <row r="24648">
      <c r="BB24648" s="122"/>
      <c r="BC24648" s="141"/>
    </row>
    <row r="24649">
      <c r="BB24649" s="122"/>
      <c r="BC24649" s="141"/>
    </row>
    <row r="24650">
      <c r="BB24650" s="122"/>
      <c r="BC24650" s="141"/>
    </row>
    <row r="24651">
      <c r="BB24651" s="122"/>
      <c r="BC24651" s="141"/>
    </row>
    <row r="24652">
      <c r="BB24652" s="122"/>
      <c r="BC24652" s="141"/>
    </row>
    <row r="24653">
      <c r="BB24653" s="122"/>
      <c r="BC24653" s="141"/>
    </row>
    <row r="24654">
      <c r="BB24654" s="122"/>
      <c r="BC24654" s="141"/>
    </row>
    <row r="24655">
      <c r="BB24655" s="122"/>
      <c r="BC24655" s="141"/>
    </row>
    <row r="24656">
      <c r="BB24656" s="122"/>
      <c r="BC24656" s="141"/>
    </row>
    <row r="24657">
      <c r="BB24657" s="122"/>
      <c r="BC24657" s="141"/>
    </row>
    <row r="24658">
      <c r="BB24658" s="122"/>
      <c r="BC24658" s="141"/>
    </row>
    <row r="24659">
      <c r="BB24659" s="122"/>
      <c r="BC24659" s="141"/>
    </row>
    <row r="24660">
      <c r="BB24660" s="122"/>
      <c r="BC24660" s="141"/>
    </row>
    <row r="24661">
      <c r="BB24661" s="122"/>
      <c r="BC24661" s="141"/>
    </row>
    <row r="24662">
      <c r="BB24662" s="122"/>
      <c r="BC24662" s="141"/>
    </row>
    <row r="24663">
      <c r="BB24663" s="122"/>
      <c r="BC24663" s="141"/>
    </row>
    <row r="24664">
      <c r="BB24664" s="122"/>
      <c r="BC24664" s="141"/>
    </row>
    <row r="24665">
      <c r="BB24665" s="122"/>
      <c r="BC24665" s="141"/>
    </row>
    <row r="24666">
      <c r="BB24666" s="122"/>
      <c r="BC24666" s="141"/>
    </row>
    <row r="24667">
      <c r="BB24667" s="122"/>
      <c r="BC24667" s="141"/>
    </row>
    <row r="24668">
      <c r="BB24668" s="122"/>
      <c r="BC24668" s="141"/>
    </row>
    <row r="24669">
      <c r="BB24669" s="122"/>
      <c r="BC24669" s="141"/>
    </row>
    <row r="24670">
      <c r="BB24670" s="122"/>
      <c r="BC24670" s="141"/>
    </row>
    <row r="24671">
      <c r="BB24671" s="122"/>
      <c r="BC24671" s="141"/>
    </row>
    <row r="24672">
      <c r="BB24672" s="122"/>
      <c r="BC24672" s="141"/>
    </row>
    <row r="24673">
      <c r="BB24673" s="122"/>
      <c r="BC24673" s="141"/>
    </row>
    <row r="24674">
      <c r="BB24674" s="122"/>
      <c r="BC24674" s="141"/>
    </row>
    <row r="24675">
      <c r="BB24675" s="122"/>
      <c r="BC24675" s="141"/>
    </row>
    <row r="24676">
      <c r="BB24676" s="122"/>
      <c r="BC24676" s="141"/>
    </row>
    <row r="24677">
      <c r="BB24677" s="122"/>
      <c r="BC24677" s="141"/>
    </row>
    <row r="24678">
      <c r="BB24678" s="122"/>
      <c r="BC24678" s="141"/>
    </row>
    <row r="24679">
      <c r="BB24679" s="122"/>
      <c r="BC24679" s="141"/>
    </row>
    <row r="24680">
      <c r="BB24680" s="122"/>
      <c r="BC24680" s="141"/>
    </row>
    <row r="24681">
      <c r="BB24681" s="122"/>
      <c r="BC24681" s="141"/>
    </row>
    <row r="24682">
      <c r="BB24682" s="122"/>
      <c r="BC24682" s="141"/>
    </row>
    <row r="24683">
      <c r="BB24683" s="122"/>
      <c r="BC24683" s="141"/>
    </row>
    <row r="24684">
      <c r="BB24684" s="122"/>
      <c r="BC24684" s="141"/>
    </row>
    <row r="24685">
      <c r="BB24685" s="122"/>
      <c r="BC24685" s="141"/>
    </row>
    <row r="24686">
      <c r="BB24686" s="122"/>
      <c r="BC24686" s="141"/>
    </row>
    <row r="24687">
      <c r="BB24687" s="122"/>
      <c r="BC24687" s="141"/>
    </row>
    <row r="24688">
      <c r="BB24688" s="122"/>
      <c r="BC24688" s="141"/>
    </row>
    <row r="24689">
      <c r="BB24689" s="122"/>
      <c r="BC24689" s="141"/>
    </row>
    <row r="24690">
      <c r="BB24690" s="122"/>
      <c r="BC24690" s="141"/>
    </row>
    <row r="24691">
      <c r="BB24691" s="122"/>
      <c r="BC24691" s="141"/>
    </row>
    <row r="24692">
      <c r="BB24692" s="122"/>
      <c r="BC24692" s="141"/>
    </row>
    <row r="24693">
      <c r="BB24693" s="122"/>
      <c r="BC24693" s="141"/>
    </row>
    <row r="24694">
      <c r="BB24694" s="122"/>
      <c r="BC24694" s="141"/>
    </row>
    <row r="24695">
      <c r="BB24695" s="122"/>
      <c r="BC24695" s="141"/>
    </row>
    <row r="24696">
      <c r="BB24696" s="122"/>
      <c r="BC24696" s="141"/>
    </row>
    <row r="24697">
      <c r="BB24697" s="122"/>
      <c r="BC24697" s="141"/>
    </row>
    <row r="24698">
      <c r="BB24698" s="122"/>
      <c r="BC24698" s="141"/>
    </row>
    <row r="24699">
      <c r="BB24699" s="122"/>
      <c r="BC24699" s="141"/>
    </row>
    <row r="24700">
      <c r="BB24700" s="122"/>
      <c r="BC24700" s="141"/>
    </row>
    <row r="24701">
      <c r="BB24701" s="122"/>
      <c r="BC24701" s="141"/>
    </row>
    <row r="24702">
      <c r="BB24702" s="122"/>
      <c r="BC24702" s="141"/>
    </row>
    <row r="24703">
      <c r="BB24703" s="122"/>
      <c r="BC24703" s="141"/>
    </row>
    <row r="24704">
      <c r="BB24704" s="122"/>
      <c r="BC24704" s="141"/>
    </row>
    <row r="24705">
      <c r="BB24705" s="122"/>
      <c r="BC24705" s="141"/>
    </row>
    <row r="24706">
      <c r="BB24706" s="122"/>
      <c r="BC24706" s="141"/>
    </row>
    <row r="24707">
      <c r="BB24707" s="122"/>
      <c r="BC24707" s="141"/>
    </row>
    <row r="24708">
      <c r="BB24708" s="122"/>
      <c r="BC24708" s="141"/>
    </row>
    <row r="24709">
      <c r="BB24709" s="122"/>
      <c r="BC24709" s="141"/>
    </row>
    <row r="24710">
      <c r="BB24710" s="122"/>
      <c r="BC24710" s="141"/>
    </row>
    <row r="24711">
      <c r="BB24711" s="122"/>
      <c r="BC24711" s="141"/>
    </row>
    <row r="24712">
      <c r="BB24712" s="122"/>
      <c r="BC24712" s="141"/>
    </row>
    <row r="24713">
      <c r="BB24713" s="122"/>
      <c r="BC24713" s="141"/>
    </row>
    <row r="24714">
      <c r="BB24714" s="122"/>
      <c r="BC24714" s="141"/>
    </row>
    <row r="24715">
      <c r="BB24715" s="122"/>
      <c r="BC24715" s="141"/>
    </row>
    <row r="24716">
      <c r="BB24716" s="122"/>
      <c r="BC24716" s="141"/>
    </row>
    <row r="24717">
      <c r="BB24717" s="122"/>
      <c r="BC24717" s="141"/>
    </row>
    <row r="24718">
      <c r="BB24718" s="122"/>
      <c r="BC24718" s="141"/>
    </row>
    <row r="24719">
      <c r="BB24719" s="122"/>
      <c r="BC24719" s="141"/>
    </row>
    <row r="24720">
      <c r="BB24720" s="122"/>
      <c r="BC24720" s="141"/>
    </row>
    <row r="24721">
      <c r="BB24721" s="122"/>
      <c r="BC24721" s="141"/>
    </row>
    <row r="24722">
      <c r="BB24722" s="122"/>
      <c r="BC24722" s="141"/>
    </row>
    <row r="24723">
      <c r="BB24723" s="122"/>
      <c r="BC24723" s="141"/>
    </row>
    <row r="24724">
      <c r="BB24724" s="122"/>
      <c r="BC24724" s="141"/>
    </row>
    <row r="24725">
      <c r="BB24725" s="122"/>
      <c r="BC24725" s="141"/>
    </row>
    <row r="24726">
      <c r="BB24726" s="122"/>
      <c r="BC24726" s="141"/>
    </row>
    <row r="24727">
      <c r="BB24727" s="122"/>
      <c r="BC24727" s="141"/>
    </row>
    <row r="24728">
      <c r="BB24728" s="122"/>
      <c r="BC24728" s="141"/>
    </row>
    <row r="24729">
      <c r="BB24729" s="122"/>
      <c r="BC24729" s="141"/>
    </row>
    <row r="24730">
      <c r="BB24730" s="122"/>
      <c r="BC24730" s="141"/>
    </row>
    <row r="24731">
      <c r="BB24731" s="122"/>
      <c r="BC24731" s="141"/>
    </row>
    <row r="24732">
      <c r="BB24732" s="122"/>
      <c r="BC24732" s="141"/>
    </row>
    <row r="24733">
      <c r="BB24733" s="122"/>
      <c r="BC24733" s="141"/>
    </row>
    <row r="24734">
      <c r="BB24734" s="122"/>
      <c r="BC24734" s="141"/>
    </row>
    <row r="24735">
      <c r="BB24735" s="122"/>
      <c r="BC24735" s="141"/>
    </row>
    <row r="24736">
      <c r="BB24736" s="122"/>
      <c r="BC24736" s="141"/>
    </row>
    <row r="24737">
      <c r="BB24737" s="122"/>
      <c r="BC24737" s="141"/>
    </row>
    <row r="24738">
      <c r="BB24738" s="122"/>
      <c r="BC24738" s="141"/>
    </row>
    <row r="24739">
      <c r="BB24739" s="122"/>
      <c r="BC24739" s="141"/>
    </row>
    <row r="24740">
      <c r="BB24740" s="122"/>
      <c r="BC24740" s="141"/>
    </row>
    <row r="24741">
      <c r="BB24741" s="122"/>
      <c r="BC24741" s="141"/>
    </row>
    <row r="24742">
      <c r="BB24742" s="122"/>
      <c r="BC24742" s="141"/>
    </row>
    <row r="24743">
      <c r="BB24743" s="122"/>
      <c r="BC24743" s="141"/>
    </row>
    <row r="24744">
      <c r="BB24744" s="122"/>
      <c r="BC24744" s="141"/>
    </row>
    <row r="24745">
      <c r="BB24745" s="122"/>
      <c r="BC24745" s="141"/>
    </row>
    <row r="24746">
      <c r="BB24746" s="122"/>
      <c r="BC24746" s="141"/>
    </row>
    <row r="24747">
      <c r="BB24747" s="122"/>
      <c r="BC24747" s="141"/>
    </row>
    <row r="24748">
      <c r="BB24748" s="122"/>
      <c r="BC24748" s="141"/>
    </row>
    <row r="24749">
      <c r="BB24749" s="122"/>
      <c r="BC24749" s="141"/>
    </row>
    <row r="24750">
      <c r="BB24750" s="122"/>
      <c r="BC24750" s="141"/>
    </row>
    <row r="24751">
      <c r="BB24751" s="122"/>
      <c r="BC24751" s="141"/>
    </row>
    <row r="24752">
      <c r="BB24752" s="122"/>
      <c r="BC24752" s="141"/>
    </row>
    <row r="24753">
      <c r="BB24753" s="122"/>
      <c r="BC24753" s="141"/>
    </row>
    <row r="24754">
      <c r="BB24754" s="122"/>
      <c r="BC24754" s="141"/>
    </row>
    <row r="24755">
      <c r="BB24755" s="122"/>
      <c r="BC24755" s="141"/>
    </row>
    <row r="24756">
      <c r="BB24756" s="122"/>
      <c r="BC24756" s="141"/>
    </row>
    <row r="24757">
      <c r="BB24757" s="122"/>
      <c r="BC24757" s="141"/>
    </row>
    <row r="24758">
      <c r="BB24758" s="122"/>
      <c r="BC24758" s="141"/>
    </row>
    <row r="24759">
      <c r="BB24759" s="122"/>
      <c r="BC24759" s="141"/>
    </row>
    <row r="24760">
      <c r="BB24760" s="122"/>
      <c r="BC24760" s="141"/>
    </row>
    <row r="24761">
      <c r="BB24761" s="122"/>
      <c r="BC24761" s="141"/>
    </row>
    <row r="24762">
      <c r="BB24762" s="122"/>
      <c r="BC24762" s="141"/>
    </row>
    <row r="24763">
      <c r="BB24763" s="122"/>
      <c r="BC24763" s="141"/>
    </row>
    <row r="24764">
      <c r="BB24764" s="122"/>
      <c r="BC24764" s="141"/>
    </row>
    <row r="24765">
      <c r="BB24765" s="122"/>
      <c r="BC24765" s="141"/>
    </row>
    <row r="24766">
      <c r="BB24766" s="122"/>
      <c r="BC24766" s="141"/>
    </row>
    <row r="24767">
      <c r="BB24767" s="122"/>
      <c r="BC24767" s="141"/>
    </row>
    <row r="24768">
      <c r="BB24768" s="122"/>
      <c r="BC24768" s="141"/>
    </row>
    <row r="24769">
      <c r="BB24769" s="122"/>
      <c r="BC24769" s="141"/>
    </row>
    <row r="24770">
      <c r="BB24770" s="122"/>
      <c r="BC24770" s="141"/>
    </row>
    <row r="24771">
      <c r="BB24771" s="122"/>
      <c r="BC24771" s="141"/>
    </row>
    <row r="24772">
      <c r="BB24772" s="122"/>
      <c r="BC24772" s="141"/>
    </row>
    <row r="24773">
      <c r="BB24773" s="122"/>
      <c r="BC24773" s="141"/>
    </row>
    <row r="24774">
      <c r="BB24774" s="122"/>
      <c r="BC24774" s="141"/>
    </row>
    <row r="24775">
      <c r="BB24775" s="122"/>
      <c r="BC24775" s="141"/>
    </row>
    <row r="24776">
      <c r="BB24776" s="122"/>
      <c r="BC24776" s="141"/>
    </row>
    <row r="24777">
      <c r="BB24777" s="122"/>
      <c r="BC24777" s="141"/>
    </row>
    <row r="24778">
      <c r="BB24778" s="122"/>
      <c r="BC24778" s="141"/>
    </row>
    <row r="24779">
      <c r="BB24779" s="122"/>
      <c r="BC24779" s="141"/>
    </row>
    <row r="24780">
      <c r="BB24780" s="122"/>
      <c r="BC24780" s="141"/>
    </row>
    <row r="24781">
      <c r="BB24781" s="122"/>
      <c r="BC24781" s="141"/>
    </row>
    <row r="24782">
      <c r="BB24782" s="122"/>
      <c r="BC24782" s="141"/>
    </row>
    <row r="24783">
      <c r="BB24783" s="122"/>
      <c r="BC24783" s="141"/>
    </row>
    <row r="24784">
      <c r="BB24784" s="122"/>
      <c r="BC24784" s="141"/>
    </row>
    <row r="24785">
      <c r="BB24785" s="122"/>
      <c r="BC24785" s="141"/>
    </row>
    <row r="24786">
      <c r="BB24786" s="122"/>
      <c r="BC24786" s="141"/>
    </row>
    <row r="24787">
      <c r="BB24787" s="122"/>
      <c r="BC24787" s="141"/>
    </row>
    <row r="24788">
      <c r="BB24788" s="122"/>
      <c r="BC24788" s="141"/>
    </row>
    <row r="24789">
      <c r="BB24789" s="122"/>
      <c r="BC24789" s="141"/>
    </row>
    <row r="24790">
      <c r="BB24790" s="122"/>
      <c r="BC24790" s="141"/>
    </row>
    <row r="24791">
      <c r="BB24791" s="122"/>
      <c r="BC24791" s="141"/>
    </row>
    <row r="24792">
      <c r="BB24792" s="122"/>
      <c r="BC24792" s="141"/>
    </row>
    <row r="24793">
      <c r="BB24793" s="122"/>
      <c r="BC24793" s="141"/>
    </row>
    <row r="24794">
      <c r="BB24794" s="122"/>
      <c r="BC24794" s="141"/>
    </row>
    <row r="24795">
      <c r="BB24795" s="122"/>
      <c r="BC24795" s="141"/>
    </row>
    <row r="24796">
      <c r="BB24796" s="122"/>
      <c r="BC24796" s="141"/>
    </row>
    <row r="24797">
      <c r="BB24797" s="122"/>
      <c r="BC24797" s="141"/>
    </row>
    <row r="24798">
      <c r="BB24798" s="122"/>
      <c r="BC24798" s="141"/>
    </row>
    <row r="24799">
      <c r="BB24799" s="122"/>
      <c r="BC24799" s="141"/>
    </row>
    <row r="24800">
      <c r="BB24800" s="122"/>
      <c r="BC24800" s="141"/>
    </row>
    <row r="24801">
      <c r="BB24801" s="122"/>
      <c r="BC24801" s="141"/>
    </row>
    <row r="24802">
      <c r="BB24802" s="122"/>
      <c r="BC24802" s="141"/>
    </row>
    <row r="24803">
      <c r="BB24803" s="122"/>
      <c r="BC24803" s="141"/>
    </row>
    <row r="24804">
      <c r="BB24804" s="122"/>
      <c r="BC24804" s="141"/>
    </row>
    <row r="24805">
      <c r="BB24805" s="122"/>
      <c r="BC24805" s="141"/>
    </row>
    <row r="24806">
      <c r="BB24806" s="122"/>
      <c r="BC24806" s="141"/>
    </row>
    <row r="24807">
      <c r="BB24807" s="122"/>
      <c r="BC24807" s="141"/>
    </row>
    <row r="24808">
      <c r="BB24808" s="122"/>
      <c r="BC24808" s="141"/>
    </row>
    <row r="24809">
      <c r="BB24809" s="122"/>
      <c r="BC24809" s="141"/>
    </row>
    <row r="24810">
      <c r="BB24810" s="122"/>
      <c r="BC24810" s="141"/>
    </row>
    <row r="24811">
      <c r="BB24811" s="122"/>
      <c r="BC24811" s="141"/>
    </row>
    <row r="24812">
      <c r="BB24812" s="122"/>
      <c r="BC24812" s="141"/>
    </row>
    <row r="24813">
      <c r="BB24813" s="122"/>
      <c r="BC24813" s="141"/>
    </row>
    <row r="24814">
      <c r="BB24814" s="122"/>
      <c r="BC24814" s="141"/>
    </row>
    <row r="24815">
      <c r="BB24815" s="122"/>
      <c r="BC24815" s="141"/>
    </row>
    <row r="24816">
      <c r="BB24816" s="122"/>
      <c r="BC24816" s="141"/>
    </row>
    <row r="24817">
      <c r="BB24817" s="122"/>
      <c r="BC24817" s="141"/>
    </row>
    <row r="24818">
      <c r="BB24818" s="122"/>
      <c r="BC24818" s="141"/>
    </row>
    <row r="24819">
      <c r="BB24819" s="122"/>
      <c r="BC24819" s="141"/>
    </row>
    <row r="24820">
      <c r="BB24820" s="122"/>
      <c r="BC24820" s="141"/>
    </row>
    <row r="24821">
      <c r="BB24821" s="122"/>
      <c r="BC24821" s="141"/>
    </row>
    <row r="24822">
      <c r="BB24822" s="122"/>
      <c r="BC24822" s="141"/>
    </row>
    <row r="24823">
      <c r="BB24823" s="122"/>
      <c r="BC24823" s="141"/>
    </row>
    <row r="24824">
      <c r="BB24824" s="122"/>
      <c r="BC24824" s="141"/>
    </row>
    <row r="24825">
      <c r="BB24825" s="122"/>
      <c r="BC24825" s="141"/>
    </row>
    <row r="24826">
      <c r="BB24826" s="122"/>
      <c r="BC24826" s="141"/>
    </row>
    <row r="24827">
      <c r="BB24827" s="122"/>
      <c r="BC24827" s="141"/>
    </row>
    <row r="24828">
      <c r="BB24828" s="122"/>
      <c r="BC24828" s="141"/>
    </row>
    <row r="24829">
      <c r="BB24829" s="122"/>
      <c r="BC24829" s="141"/>
    </row>
    <row r="24830">
      <c r="BB24830" s="122"/>
      <c r="BC24830" s="141"/>
    </row>
    <row r="24831">
      <c r="BB24831" s="122"/>
      <c r="BC24831" s="141"/>
    </row>
    <row r="24832">
      <c r="BB24832" s="122"/>
      <c r="BC24832" s="141"/>
    </row>
    <row r="24833">
      <c r="BB24833" s="122"/>
      <c r="BC24833" s="141"/>
    </row>
    <row r="24834">
      <c r="BB24834" s="122"/>
      <c r="BC24834" s="141"/>
    </row>
    <row r="24835">
      <c r="BB24835" s="122"/>
      <c r="BC24835" s="141"/>
    </row>
    <row r="24836">
      <c r="BB24836" s="122"/>
      <c r="BC24836" s="141"/>
    </row>
    <row r="24837">
      <c r="BB24837" s="122"/>
      <c r="BC24837" s="141"/>
    </row>
    <row r="24838">
      <c r="BB24838" s="122"/>
      <c r="BC24838" s="141"/>
    </row>
    <row r="24839">
      <c r="BB24839" s="122"/>
      <c r="BC24839" s="141"/>
    </row>
    <row r="24840">
      <c r="BB24840" s="122"/>
      <c r="BC24840" s="141"/>
    </row>
    <row r="24841">
      <c r="BB24841" s="122"/>
      <c r="BC24841" s="141"/>
    </row>
    <row r="24842">
      <c r="BB24842" s="122"/>
      <c r="BC24842" s="141"/>
    </row>
    <row r="24843">
      <c r="BB24843" s="122"/>
      <c r="BC24843" s="141"/>
    </row>
    <row r="24844">
      <c r="BB24844" s="122"/>
      <c r="BC24844" s="141"/>
    </row>
    <row r="24845">
      <c r="BB24845" s="122"/>
      <c r="BC24845" s="141"/>
    </row>
    <row r="24846">
      <c r="BB24846" s="122"/>
      <c r="BC24846" s="141"/>
    </row>
    <row r="24847">
      <c r="BB24847" s="122"/>
      <c r="BC24847" s="141"/>
    </row>
    <row r="24848">
      <c r="BB24848" s="122"/>
      <c r="BC24848" s="141"/>
    </row>
    <row r="24849">
      <c r="BB24849" s="122"/>
      <c r="BC24849" s="141"/>
    </row>
    <row r="24850">
      <c r="BB24850" s="122"/>
      <c r="BC24850" s="141"/>
    </row>
    <row r="24851">
      <c r="BB24851" s="122"/>
      <c r="BC24851" s="141"/>
    </row>
    <row r="24852">
      <c r="BB24852" s="122"/>
      <c r="BC24852" s="141"/>
    </row>
    <row r="24853">
      <c r="BB24853" s="122"/>
      <c r="BC24853" s="141"/>
    </row>
    <row r="24854">
      <c r="BB24854" s="122"/>
      <c r="BC24854" s="141"/>
    </row>
    <row r="24855">
      <c r="BB24855" s="122"/>
      <c r="BC24855" s="141"/>
    </row>
    <row r="24856">
      <c r="BB24856" s="122"/>
      <c r="BC24856" s="141"/>
    </row>
    <row r="24857">
      <c r="BB24857" s="122"/>
      <c r="BC24857" s="141"/>
    </row>
    <row r="24858">
      <c r="BB24858" s="122"/>
      <c r="BC24858" s="141"/>
    </row>
    <row r="24859">
      <c r="BB24859" s="122"/>
      <c r="BC24859" s="141"/>
    </row>
    <row r="24860">
      <c r="BB24860" s="122"/>
      <c r="BC24860" s="141"/>
    </row>
    <row r="24861">
      <c r="BB24861" s="122"/>
      <c r="BC24861" s="141"/>
    </row>
    <row r="24862">
      <c r="BB24862" s="122"/>
      <c r="BC24862" s="141"/>
    </row>
    <row r="24863">
      <c r="BB24863" s="122"/>
      <c r="BC24863" s="141"/>
    </row>
    <row r="24864">
      <c r="BB24864" s="122"/>
      <c r="BC24864" s="141"/>
    </row>
    <row r="24865">
      <c r="BB24865" s="122"/>
      <c r="BC24865" s="141"/>
    </row>
    <row r="24866">
      <c r="BB24866" s="122"/>
      <c r="BC24866" s="141"/>
    </row>
    <row r="24867">
      <c r="BB24867" s="122"/>
      <c r="BC24867" s="141"/>
    </row>
    <row r="24868">
      <c r="BB24868" s="122"/>
      <c r="BC24868" s="141"/>
    </row>
    <row r="24869">
      <c r="BB24869" s="122"/>
      <c r="BC24869" s="141"/>
    </row>
    <row r="24870">
      <c r="BB24870" s="122"/>
      <c r="BC24870" s="141"/>
    </row>
    <row r="24871">
      <c r="BB24871" s="122"/>
      <c r="BC24871" s="141"/>
    </row>
    <row r="24872">
      <c r="BB24872" s="122"/>
      <c r="BC24872" s="141"/>
    </row>
    <row r="24873">
      <c r="BB24873" s="122"/>
      <c r="BC24873" s="141"/>
    </row>
    <row r="24874">
      <c r="BB24874" s="122"/>
      <c r="BC24874" s="141"/>
    </row>
    <row r="24875">
      <c r="BB24875" s="122"/>
      <c r="BC24875" s="141"/>
    </row>
    <row r="24876">
      <c r="BB24876" s="122"/>
      <c r="BC24876" s="141"/>
    </row>
    <row r="24877">
      <c r="BB24877" s="122"/>
      <c r="BC24877" s="141"/>
    </row>
    <row r="24878">
      <c r="BB24878" s="122"/>
      <c r="BC24878" s="141"/>
    </row>
    <row r="24879">
      <c r="BB24879" s="122"/>
      <c r="BC24879" s="141"/>
    </row>
    <row r="24880">
      <c r="BB24880" s="122"/>
      <c r="BC24880" s="141"/>
    </row>
    <row r="24881">
      <c r="BB24881" s="122"/>
      <c r="BC24881" s="141"/>
    </row>
    <row r="24882">
      <c r="BB24882" s="122"/>
      <c r="BC24882" s="141"/>
    </row>
    <row r="24883">
      <c r="BB24883" s="122"/>
      <c r="BC24883" s="141"/>
    </row>
    <row r="24884">
      <c r="BB24884" s="122"/>
      <c r="BC24884" s="141"/>
    </row>
    <row r="24885">
      <c r="BB24885" s="122"/>
      <c r="BC24885" s="141"/>
    </row>
    <row r="24886">
      <c r="BB24886" s="122"/>
      <c r="BC24886" s="141"/>
    </row>
    <row r="24887">
      <c r="BB24887" s="122"/>
      <c r="BC24887" s="141"/>
    </row>
    <row r="24888">
      <c r="BB24888" s="122"/>
      <c r="BC24888" s="141"/>
    </row>
    <row r="24889">
      <c r="BB24889" s="122"/>
      <c r="BC24889" s="141"/>
    </row>
    <row r="24890">
      <c r="BB24890" s="122"/>
      <c r="BC24890" s="141"/>
    </row>
    <row r="24891">
      <c r="BB24891" s="122"/>
      <c r="BC24891" s="141"/>
    </row>
    <row r="24892">
      <c r="BB24892" s="122"/>
      <c r="BC24892" s="141"/>
    </row>
    <row r="24893">
      <c r="BB24893" s="122"/>
      <c r="BC24893" s="141"/>
    </row>
    <row r="24894">
      <c r="BB24894" s="122"/>
      <c r="BC24894" s="141"/>
    </row>
    <row r="24895">
      <c r="BB24895" s="122"/>
      <c r="BC24895" s="141"/>
    </row>
    <row r="24896">
      <c r="BB24896" s="122"/>
      <c r="BC24896" s="141"/>
    </row>
    <row r="24897">
      <c r="BB24897" s="122"/>
      <c r="BC24897" s="141"/>
    </row>
    <row r="24898">
      <c r="BB24898" s="122"/>
      <c r="BC24898" s="141"/>
    </row>
    <row r="24899">
      <c r="BB24899" s="122"/>
      <c r="BC24899" s="141"/>
    </row>
    <row r="24900">
      <c r="BB24900" s="122"/>
      <c r="BC24900" s="141"/>
    </row>
    <row r="24901">
      <c r="BB24901" s="122"/>
      <c r="BC24901" s="141"/>
    </row>
    <row r="24902">
      <c r="BB24902" s="122"/>
      <c r="BC24902" s="141"/>
    </row>
    <row r="24903">
      <c r="BB24903" s="122"/>
      <c r="BC24903" s="141"/>
    </row>
    <row r="24904">
      <c r="BB24904" s="122"/>
      <c r="BC24904" s="141"/>
    </row>
    <row r="24905">
      <c r="BB24905" s="122"/>
      <c r="BC24905" s="141"/>
    </row>
    <row r="24906">
      <c r="BB24906" s="122"/>
      <c r="BC24906" s="141"/>
    </row>
    <row r="24907">
      <c r="BB24907" s="122"/>
      <c r="BC24907" s="141"/>
    </row>
    <row r="24908">
      <c r="BB24908" s="122"/>
      <c r="BC24908" s="141"/>
    </row>
    <row r="24909">
      <c r="BB24909" s="122"/>
      <c r="BC24909" s="141"/>
    </row>
    <row r="24910">
      <c r="BB24910" s="122"/>
      <c r="BC24910" s="141"/>
    </row>
    <row r="24911">
      <c r="BB24911" s="122"/>
      <c r="BC24911" s="141"/>
    </row>
    <row r="24912">
      <c r="BB24912" s="122"/>
      <c r="BC24912" s="141"/>
    </row>
    <row r="24913">
      <c r="BB24913" s="122"/>
      <c r="BC24913" s="141"/>
    </row>
    <row r="24914">
      <c r="BB24914" s="122"/>
      <c r="BC24914" s="141"/>
    </row>
    <row r="24915">
      <c r="BB24915" s="122"/>
      <c r="BC24915" s="141"/>
    </row>
    <row r="24916">
      <c r="BB24916" s="122"/>
      <c r="BC24916" s="141"/>
    </row>
    <row r="24917">
      <c r="BB24917" s="122"/>
      <c r="BC24917" s="141"/>
    </row>
    <row r="24918">
      <c r="BB24918" s="122"/>
      <c r="BC24918" s="141"/>
    </row>
    <row r="24919">
      <c r="BB24919" s="122"/>
      <c r="BC24919" s="141"/>
    </row>
    <row r="24920">
      <c r="BB24920" s="122"/>
      <c r="BC24920" s="141"/>
    </row>
    <row r="24921">
      <c r="BB24921" s="122"/>
      <c r="BC24921" s="141"/>
    </row>
    <row r="24922">
      <c r="BB24922" s="122"/>
      <c r="BC24922" s="141"/>
    </row>
    <row r="24923">
      <c r="BB24923" s="122"/>
      <c r="BC24923" s="141"/>
    </row>
    <row r="24924">
      <c r="BB24924" s="122"/>
      <c r="BC24924" s="141"/>
    </row>
    <row r="24925">
      <c r="BB24925" s="122"/>
      <c r="BC24925" s="141"/>
    </row>
    <row r="24926">
      <c r="BB24926" s="122"/>
      <c r="BC24926" s="141"/>
    </row>
    <row r="24927">
      <c r="BB24927" s="122"/>
      <c r="BC24927" s="141"/>
    </row>
    <row r="24928">
      <c r="BB24928" s="122"/>
      <c r="BC24928" s="141"/>
    </row>
    <row r="24929">
      <c r="BB24929" s="122"/>
      <c r="BC24929" s="141"/>
    </row>
    <row r="24930">
      <c r="BB24930" s="122"/>
      <c r="BC24930" s="141"/>
    </row>
    <row r="24931">
      <c r="BB24931" s="122"/>
      <c r="BC24931" s="141"/>
    </row>
    <row r="24932">
      <c r="BB24932" s="122"/>
      <c r="BC24932" s="141"/>
    </row>
    <row r="24933">
      <c r="BB24933" s="122"/>
      <c r="BC24933" s="141"/>
    </row>
    <row r="24934">
      <c r="BB24934" s="122"/>
      <c r="BC24934" s="141"/>
    </row>
    <row r="24935">
      <c r="BB24935" s="122"/>
      <c r="BC24935" s="141"/>
    </row>
    <row r="24936">
      <c r="BB24936" s="122"/>
      <c r="BC24936" s="141"/>
    </row>
    <row r="24937">
      <c r="BB24937" s="122"/>
      <c r="BC24937" s="141"/>
    </row>
    <row r="24938">
      <c r="BB24938" s="122"/>
      <c r="BC24938" s="141"/>
    </row>
    <row r="24939">
      <c r="BB24939" s="122"/>
      <c r="BC24939" s="141"/>
    </row>
    <row r="24940">
      <c r="BB24940" s="122"/>
      <c r="BC24940" s="141"/>
    </row>
    <row r="24941">
      <c r="BB24941" s="122"/>
      <c r="BC24941" s="141"/>
    </row>
    <row r="24942">
      <c r="BB24942" s="122"/>
      <c r="BC24942" s="141"/>
    </row>
    <row r="24943">
      <c r="BB24943" s="122"/>
      <c r="BC24943" s="141"/>
    </row>
    <row r="24944">
      <c r="BB24944" s="122"/>
      <c r="BC24944" s="141"/>
    </row>
    <row r="24945">
      <c r="BB24945" s="122"/>
      <c r="BC24945" s="141"/>
    </row>
    <row r="24946">
      <c r="BB24946" s="122"/>
      <c r="BC24946" s="141"/>
    </row>
    <row r="24947">
      <c r="BB24947" s="122"/>
      <c r="BC24947" s="141"/>
    </row>
    <row r="24948">
      <c r="BB24948" s="122"/>
      <c r="BC24948" s="141"/>
    </row>
    <row r="24949">
      <c r="BB24949" s="122"/>
      <c r="BC24949" s="141"/>
    </row>
    <row r="24950">
      <c r="BB24950" s="122"/>
      <c r="BC24950" s="141"/>
    </row>
    <row r="24951">
      <c r="BB24951" s="122"/>
      <c r="BC24951" s="141"/>
    </row>
    <row r="24952">
      <c r="BB24952" s="122"/>
      <c r="BC24952" s="141"/>
    </row>
    <row r="24953">
      <c r="BB24953" s="122"/>
      <c r="BC24953" s="141"/>
    </row>
    <row r="24954">
      <c r="BB24954" s="122"/>
      <c r="BC24954" s="141"/>
    </row>
    <row r="24955">
      <c r="BB24955" s="122"/>
      <c r="BC24955" s="141"/>
    </row>
    <row r="24956">
      <c r="BB24956" s="122"/>
      <c r="BC24956" s="141"/>
    </row>
    <row r="24957">
      <c r="BB24957" s="122"/>
      <c r="BC24957" s="141"/>
    </row>
    <row r="24958">
      <c r="BB24958" s="122"/>
      <c r="BC24958" s="141"/>
    </row>
    <row r="24959">
      <c r="BB24959" s="122"/>
      <c r="BC24959" s="141"/>
    </row>
    <row r="24960">
      <c r="BB24960" s="122"/>
      <c r="BC24960" s="141"/>
    </row>
    <row r="24961">
      <c r="BB24961" s="122"/>
      <c r="BC24961" s="141"/>
    </row>
    <row r="24962">
      <c r="BB24962" s="122"/>
      <c r="BC24962" s="141"/>
    </row>
    <row r="24963">
      <c r="BB24963" s="122"/>
      <c r="BC24963" s="141"/>
    </row>
    <row r="24964">
      <c r="BB24964" s="122"/>
      <c r="BC24964" s="141"/>
    </row>
    <row r="24965">
      <c r="BB24965" s="122"/>
      <c r="BC24965" s="141"/>
    </row>
    <row r="24966">
      <c r="BB24966" s="122"/>
      <c r="BC24966" s="141"/>
    </row>
    <row r="24967">
      <c r="BB24967" s="122"/>
      <c r="BC24967" s="141"/>
    </row>
    <row r="24968">
      <c r="BB24968" s="122"/>
      <c r="BC24968" s="141"/>
    </row>
    <row r="24969">
      <c r="BB24969" s="122"/>
      <c r="BC24969" s="141"/>
    </row>
    <row r="24970">
      <c r="BB24970" s="122"/>
      <c r="BC24970" s="141"/>
    </row>
    <row r="24971">
      <c r="BB24971" s="122"/>
      <c r="BC24971" s="141"/>
    </row>
    <row r="24972">
      <c r="BB24972" s="122"/>
      <c r="BC24972" s="141"/>
    </row>
    <row r="24973">
      <c r="BB24973" s="122"/>
      <c r="BC24973" s="141"/>
    </row>
    <row r="24974">
      <c r="BB24974" s="122"/>
      <c r="BC24974" s="141"/>
    </row>
    <row r="24975">
      <c r="BB24975" s="122"/>
      <c r="BC24975" s="141"/>
    </row>
    <row r="24976">
      <c r="BB24976" s="122"/>
      <c r="BC24976" s="141"/>
    </row>
    <row r="24977">
      <c r="BB24977" s="122"/>
      <c r="BC24977" s="141"/>
    </row>
    <row r="24978">
      <c r="BB24978" s="122"/>
      <c r="BC24978" s="141"/>
    </row>
    <row r="24979">
      <c r="BB24979" s="122"/>
      <c r="BC24979" s="141"/>
    </row>
    <row r="24980">
      <c r="BB24980" s="122"/>
      <c r="BC24980" s="141"/>
    </row>
    <row r="24981">
      <c r="BB24981" s="122"/>
      <c r="BC24981" s="141"/>
    </row>
    <row r="24982">
      <c r="BB24982" s="122"/>
      <c r="BC24982" s="141"/>
    </row>
    <row r="24983">
      <c r="BB24983" s="122"/>
      <c r="BC24983" s="141"/>
    </row>
    <row r="24984">
      <c r="BB24984" s="122"/>
      <c r="BC24984" s="141"/>
    </row>
    <row r="24985">
      <c r="BB24985" s="122"/>
      <c r="BC24985" s="141"/>
    </row>
    <row r="24986">
      <c r="BB24986" s="122"/>
      <c r="BC24986" s="141"/>
    </row>
    <row r="24987">
      <c r="BB24987" s="122"/>
      <c r="BC24987" s="141"/>
    </row>
    <row r="24988">
      <c r="BB24988" s="122"/>
      <c r="BC24988" s="141"/>
    </row>
    <row r="24989">
      <c r="BB24989" s="122"/>
      <c r="BC24989" s="141"/>
    </row>
    <row r="24990">
      <c r="BB24990" s="122"/>
      <c r="BC24990" s="141"/>
    </row>
    <row r="24991">
      <c r="BB24991" s="122"/>
      <c r="BC24991" s="141"/>
    </row>
    <row r="24992">
      <c r="BB24992" s="122"/>
      <c r="BC24992" s="141"/>
    </row>
    <row r="24993">
      <c r="BB24993" s="122"/>
      <c r="BC24993" s="141"/>
    </row>
    <row r="24994">
      <c r="BB24994" s="122"/>
      <c r="BC24994" s="141"/>
    </row>
    <row r="24995">
      <c r="BB24995" s="122"/>
      <c r="BC24995" s="141"/>
    </row>
    <row r="24996">
      <c r="BB24996" s="122"/>
      <c r="BC24996" s="141"/>
    </row>
    <row r="24997">
      <c r="BB24997" s="122"/>
      <c r="BC24997" s="141"/>
    </row>
    <row r="24998">
      <c r="BB24998" s="122"/>
      <c r="BC24998" s="141"/>
    </row>
    <row r="24999">
      <c r="BB24999" s="122"/>
      <c r="BC24999" s="141"/>
    </row>
    <row r="25000">
      <c r="BB25000" s="122"/>
      <c r="BC25000" s="141"/>
    </row>
    <row r="25001">
      <c r="BB25001" s="122"/>
      <c r="BC25001" s="141"/>
    </row>
    <row r="25002">
      <c r="BB25002" s="122"/>
      <c r="BC25002" s="141"/>
    </row>
    <row r="25003">
      <c r="BB25003" s="122"/>
      <c r="BC25003" s="141"/>
    </row>
    <row r="25004">
      <c r="BB25004" s="122"/>
      <c r="BC25004" s="141"/>
    </row>
    <row r="25005">
      <c r="BB25005" s="122"/>
      <c r="BC25005" s="141"/>
    </row>
    <row r="25006">
      <c r="BB25006" s="122"/>
      <c r="BC25006" s="141"/>
    </row>
    <row r="25007">
      <c r="BB25007" s="122"/>
      <c r="BC25007" s="141"/>
    </row>
    <row r="25008">
      <c r="BB25008" s="122"/>
      <c r="BC25008" s="141"/>
    </row>
    <row r="25009">
      <c r="BB25009" s="122"/>
      <c r="BC25009" s="141"/>
    </row>
    <row r="25010">
      <c r="BB25010" s="122"/>
      <c r="BC25010" s="141"/>
    </row>
    <row r="25011">
      <c r="BB25011" s="122"/>
      <c r="BC25011" s="141"/>
    </row>
    <row r="25012">
      <c r="BB25012" s="122"/>
      <c r="BC25012" s="141"/>
    </row>
    <row r="25013">
      <c r="BB25013" s="122"/>
      <c r="BC25013" s="141"/>
    </row>
    <row r="25014">
      <c r="BB25014" s="122"/>
      <c r="BC25014" s="141"/>
    </row>
    <row r="25015">
      <c r="BB25015" s="122"/>
      <c r="BC25015" s="141"/>
    </row>
    <row r="25016">
      <c r="BB25016" s="122"/>
      <c r="BC25016" s="141"/>
    </row>
    <row r="25017">
      <c r="BB25017" s="122"/>
      <c r="BC25017" s="141"/>
    </row>
    <row r="25018">
      <c r="BB25018" s="122"/>
      <c r="BC25018" s="141"/>
    </row>
    <row r="25019">
      <c r="BB25019" s="122"/>
      <c r="BC25019" s="141"/>
    </row>
    <row r="25020">
      <c r="BB25020" s="122"/>
      <c r="BC25020" s="141"/>
    </row>
    <row r="25021">
      <c r="BB25021" s="122"/>
      <c r="BC25021" s="141"/>
    </row>
    <row r="25022">
      <c r="BB25022" s="122"/>
      <c r="BC25022" s="141"/>
    </row>
    <row r="25023">
      <c r="BB25023" s="122"/>
      <c r="BC25023" s="141"/>
    </row>
    <row r="25024">
      <c r="BB25024" s="122"/>
      <c r="BC25024" s="141"/>
    </row>
    <row r="25025">
      <c r="BB25025" s="122"/>
      <c r="BC25025" s="141"/>
    </row>
    <row r="25026">
      <c r="BB25026" s="122"/>
      <c r="BC25026" s="141"/>
    </row>
    <row r="25027">
      <c r="BB25027" s="122"/>
      <c r="BC25027" s="141"/>
    </row>
    <row r="25028">
      <c r="BB25028" s="122"/>
      <c r="BC25028" s="141"/>
    </row>
    <row r="25029">
      <c r="BB25029" s="122"/>
      <c r="BC25029" s="141"/>
    </row>
    <row r="25030">
      <c r="BB25030" s="122"/>
      <c r="BC25030" s="141"/>
    </row>
    <row r="25031">
      <c r="BB25031" s="122"/>
      <c r="BC25031" s="141"/>
    </row>
    <row r="25032">
      <c r="BB25032" s="122"/>
      <c r="BC25032" s="141"/>
    </row>
    <row r="25033">
      <c r="BB25033" s="122"/>
      <c r="BC25033" s="141"/>
    </row>
    <row r="25034">
      <c r="BB25034" s="122"/>
      <c r="BC25034" s="141"/>
    </row>
    <row r="25035">
      <c r="BB25035" s="122"/>
      <c r="BC25035" s="141"/>
    </row>
    <row r="25036">
      <c r="BB25036" s="122"/>
      <c r="BC25036" s="141"/>
    </row>
    <row r="25037">
      <c r="BB25037" s="122"/>
      <c r="BC25037" s="141"/>
    </row>
    <row r="25038">
      <c r="BB25038" s="122"/>
      <c r="BC25038" s="141"/>
    </row>
    <row r="25039">
      <c r="BB25039" s="122"/>
      <c r="BC25039" s="141"/>
    </row>
    <row r="25040">
      <c r="BB25040" s="122"/>
      <c r="BC25040" s="141"/>
    </row>
    <row r="25041">
      <c r="BB25041" s="122"/>
      <c r="BC25041" s="141"/>
    </row>
    <row r="25042">
      <c r="BB25042" s="122"/>
      <c r="BC25042" s="141"/>
    </row>
    <row r="25043">
      <c r="BB25043" s="122"/>
      <c r="BC25043" s="141"/>
    </row>
    <row r="25044">
      <c r="BB25044" s="122"/>
      <c r="BC25044" s="141"/>
    </row>
    <row r="25045">
      <c r="BB25045" s="122"/>
      <c r="BC25045" s="141"/>
    </row>
    <row r="25046">
      <c r="BB25046" s="122"/>
      <c r="BC25046" s="141"/>
    </row>
    <row r="25047">
      <c r="BB25047" s="122"/>
      <c r="BC25047" s="141"/>
    </row>
    <row r="25048">
      <c r="BB25048" s="122"/>
      <c r="BC25048" s="141"/>
    </row>
    <row r="25049">
      <c r="BB25049" s="122"/>
      <c r="BC25049" s="141"/>
    </row>
    <row r="25050">
      <c r="BB25050" s="122"/>
      <c r="BC25050" s="141"/>
    </row>
    <row r="25051">
      <c r="BB25051" s="122"/>
      <c r="BC25051" s="141"/>
    </row>
    <row r="25052">
      <c r="BB25052" s="122"/>
      <c r="BC25052" s="141"/>
    </row>
    <row r="25053">
      <c r="BB25053" s="122"/>
      <c r="BC25053" s="141"/>
    </row>
    <row r="25054">
      <c r="BB25054" s="122"/>
      <c r="BC25054" s="141"/>
    </row>
    <row r="25055">
      <c r="BB25055" s="122"/>
      <c r="BC25055" s="141"/>
    </row>
    <row r="25056">
      <c r="BB25056" s="122"/>
      <c r="BC25056" s="141"/>
    </row>
    <row r="25057">
      <c r="BB25057" s="122"/>
      <c r="BC25057" s="141"/>
    </row>
    <row r="25058">
      <c r="BB25058" s="122"/>
      <c r="BC25058" s="141"/>
    </row>
    <row r="25059">
      <c r="BB25059" s="122"/>
      <c r="BC25059" s="141"/>
    </row>
    <row r="25060">
      <c r="BB25060" s="122"/>
      <c r="BC25060" s="141"/>
    </row>
    <row r="25061">
      <c r="BB25061" s="122"/>
      <c r="BC25061" s="141"/>
    </row>
    <row r="25062">
      <c r="BB25062" s="122"/>
      <c r="BC25062" s="141"/>
    </row>
    <row r="25063">
      <c r="BB25063" s="122"/>
      <c r="BC25063" s="141"/>
    </row>
    <row r="25064">
      <c r="BB25064" s="122"/>
      <c r="BC25064" s="141"/>
    </row>
    <row r="25065">
      <c r="BB25065" s="122"/>
      <c r="BC25065" s="141"/>
    </row>
    <row r="25066">
      <c r="BB25066" s="122"/>
      <c r="BC25066" s="141"/>
    </row>
    <row r="25067">
      <c r="BB25067" s="122"/>
      <c r="BC25067" s="141"/>
    </row>
    <row r="25068">
      <c r="BB25068" s="122"/>
      <c r="BC25068" s="141"/>
    </row>
    <row r="25069">
      <c r="BB25069" s="122"/>
      <c r="BC25069" s="141"/>
    </row>
    <row r="25070">
      <c r="BB25070" s="122"/>
      <c r="BC25070" s="141"/>
    </row>
    <row r="25071">
      <c r="BB25071" s="122"/>
      <c r="BC25071" s="141"/>
    </row>
    <row r="25072">
      <c r="BB25072" s="122"/>
      <c r="BC25072" s="141"/>
    </row>
    <row r="25073">
      <c r="BB25073" s="122"/>
      <c r="BC25073" s="141"/>
    </row>
    <row r="25074">
      <c r="BB25074" s="122"/>
      <c r="BC25074" s="141"/>
    </row>
    <row r="25075">
      <c r="BB25075" s="122"/>
      <c r="BC25075" s="141"/>
    </row>
    <row r="25076">
      <c r="BB25076" s="122"/>
      <c r="BC25076" s="141"/>
    </row>
    <row r="25077">
      <c r="BB25077" s="122"/>
      <c r="BC25077" s="141"/>
    </row>
    <row r="25078">
      <c r="BB25078" s="122"/>
      <c r="BC25078" s="141"/>
    </row>
    <row r="25079">
      <c r="BB25079" s="122"/>
      <c r="BC25079" s="141"/>
    </row>
    <row r="25080">
      <c r="BB25080" s="122"/>
      <c r="BC25080" s="141"/>
    </row>
    <row r="25081">
      <c r="BB25081" s="122"/>
      <c r="BC25081" s="141"/>
    </row>
    <row r="25082">
      <c r="BB25082" s="122"/>
      <c r="BC25082" s="141"/>
    </row>
    <row r="25083">
      <c r="BB25083" s="122"/>
      <c r="BC25083" s="141"/>
    </row>
    <row r="25084">
      <c r="BB25084" s="122"/>
      <c r="BC25084" s="141"/>
    </row>
    <row r="25085">
      <c r="BB25085" s="122"/>
      <c r="BC25085" s="141"/>
    </row>
    <row r="25086">
      <c r="BB25086" s="122"/>
      <c r="BC25086" s="141"/>
    </row>
    <row r="25087">
      <c r="BB25087" s="122"/>
      <c r="BC25087" s="141"/>
    </row>
    <row r="25088">
      <c r="BB25088" s="122"/>
      <c r="BC25088" s="141"/>
    </row>
    <row r="25089">
      <c r="BB25089" s="122"/>
      <c r="BC25089" s="141"/>
    </row>
    <row r="25090">
      <c r="BB25090" s="122"/>
      <c r="BC25090" s="141"/>
    </row>
    <row r="25091">
      <c r="BB25091" s="122"/>
      <c r="BC25091" s="141"/>
    </row>
    <row r="25092">
      <c r="BB25092" s="122"/>
      <c r="BC25092" s="141"/>
    </row>
    <row r="25093">
      <c r="BB25093" s="122"/>
      <c r="BC25093" s="141"/>
    </row>
    <row r="25094">
      <c r="BB25094" s="122"/>
      <c r="BC25094" s="141"/>
    </row>
    <row r="25095">
      <c r="BB25095" s="122"/>
      <c r="BC25095" s="141"/>
    </row>
    <row r="25096">
      <c r="BB25096" s="122"/>
      <c r="BC25096" s="141"/>
    </row>
    <row r="25097">
      <c r="BB25097" s="122"/>
      <c r="BC25097" s="141"/>
    </row>
    <row r="25098">
      <c r="BB25098" s="122"/>
      <c r="BC25098" s="141"/>
    </row>
    <row r="25099">
      <c r="BB25099" s="122"/>
      <c r="BC25099" s="141"/>
    </row>
    <row r="25100">
      <c r="BB25100" s="122"/>
      <c r="BC25100" s="141"/>
    </row>
    <row r="25101">
      <c r="BB25101" s="122"/>
      <c r="BC25101" s="141"/>
    </row>
    <row r="25102">
      <c r="BB25102" s="122"/>
      <c r="BC25102" s="141"/>
    </row>
    <row r="25103">
      <c r="BB25103" s="122"/>
      <c r="BC25103" s="141"/>
    </row>
    <row r="25104">
      <c r="BB25104" s="122"/>
      <c r="BC25104" s="141"/>
    </row>
    <row r="25105">
      <c r="BB25105" s="122"/>
      <c r="BC25105" s="141"/>
    </row>
    <row r="25106">
      <c r="BB25106" s="122"/>
      <c r="BC25106" s="141"/>
    </row>
    <row r="25107">
      <c r="BB25107" s="122"/>
      <c r="BC25107" s="141"/>
    </row>
    <row r="25108">
      <c r="BB25108" s="122"/>
      <c r="BC25108" s="141"/>
    </row>
    <row r="25109">
      <c r="BB25109" s="122"/>
      <c r="BC25109" s="141"/>
    </row>
    <row r="25110">
      <c r="BB25110" s="122"/>
      <c r="BC25110" s="141"/>
    </row>
    <row r="25111">
      <c r="BB25111" s="122"/>
      <c r="BC25111" s="141"/>
    </row>
    <row r="25112">
      <c r="BB25112" s="122"/>
      <c r="BC25112" s="141"/>
    </row>
    <row r="25113">
      <c r="BB25113" s="122"/>
      <c r="BC25113" s="141"/>
    </row>
    <row r="25114">
      <c r="BB25114" s="122"/>
      <c r="BC25114" s="141"/>
    </row>
    <row r="25115">
      <c r="BB25115" s="122"/>
      <c r="BC25115" s="141"/>
    </row>
    <row r="25116">
      <c r="BB25116" s="122"/>
      <c r="BC25116" s="141"/>
    </row>
    <row r="25117">
      <c r="BB25117" s="122"/>
      <c r="BC25117" s="141"/>
    </row>
    <row r="25118">
      <c r="BB25118" s="122"/>
      <c r="BC25118" s="141"/>
    </row>
    <row r="25119">
      <c r="BB25119" s="122"/>
      <c r="BC25119" s="141"/>
    </row>
    <row r="25120">
      <c r="BB25120" s="122"/>
      <c r="BC25120" s="141"/>
    </row>
    <row r="25121">
      <c r="BB25121" s="122"/>
      <c r="BC25121" s="141"/>
    </row>
    <row r="25122">
      <c r="BB25122" s="122"/>
      <c r="BC25122" s="141"/>
    </row>
    <row r="25123">
      <c r="BB25123" s="122"/>
      <c r="BC25123" s="141"/>
    </row>
    <row r="25124">
      <c r="BB25124" s="122"/>
      <c r="BC25124" s="141"/>
    </row>
    <row r="25125">
      <c r="BB25125" s="122"/>
      <c r="BC25125" s="141"/>
    </row>
    <row r="25126">
      <c r="BB25126" s="122"/>
      <c r="BC25126" s="141"/>
    </row>
    <row r="25127">
      <c r="BB25127" s="122"/>
      <c r="BC25127" s="141"/>
    </row>
    <row r="25128">
      <c r="BB25128" s="122"/>
      <c r="BC25128" s="141"/>
    </row>
    <row r="25129">
      <c r="BB25129" s="122"/>
      <c r="BC25129" s="141"/>
    </row>
    <row r="25130">
      <c r="BB25130" s="122"/>
      <c r="BC25130" s="141"/>
    </row>
    <row r="25131">
      <c r="BB25131" s="122"/>
      <c r="BC25131" s="141"/>
    </row>
    <row r="25132">
      <c r="BB25132" s="122"/>
      <c r="BC25132" s="141"/>
    </row>
    <row r="25133">
      <c r="BB25133" s="122"/>
      <c r="BC25133" s="141"/>
    </row>
    <row r="25134">
      <c r="BB25134" s="122"/>
      <c r="BC25134" s="141"/>
    </row>
    <row r="25135">
      <c r="BB25135" s="122"/>
      <c r="BC25135" s="141"/>
    </row>
    <row r="25136">
      <c r="BB25136" s="122"/>
      <c r="BC25136" s="141"/>
    </row>
    <row r="25137">
      <c r="BB25137" s="122"/>
      <c r="BC25137" s="141"/>
    </row>
    <row r="25138">
      <c r="BB25138" s="122"/>
      <c r="BC25138" s="141"/>
    </row>
    <row r="25139">
      <c r="BB25139" s="122"/>
      <c r="BC25139" s="141"/>
    </row>
    <row r="25140">
      <c r="BB25140" s="122"/>
      <c r="BC25140" s="141"/>
    </row>
    <row r="25141">
      <c r="BB25141" s="122"/>
      <c r="BC25141" s="141"/>
    </row>
    <row r="25142">
      <c r="BB25142" s="122"/>
      <c r="BC25142" s="141"/>
    </row>
    <row r="25143">
      <c r="BB25143" s="122"/>
      <c r="BC25143" s="141"/>
    </row>
    <row r="25144">
      <c r="BB25144" s="122"/>
      <c r="BC25144" s="141"/>
    </row>
    <row r="25145">
      <c r="BB25145" s="122"/>
      <c r="BC25145" s="141"/>
    </row>
    <row r="25146">
      <c r="BB25146" s="122"/>
      <c r="BC25146" s="141"/>
    </row>
    <row r="25147">
      <c r="BB25147" s="122"/>
      <c r="BC25147" s="141"/>
    </row>
    <row r="25148">
      <c r="BB25148" s="122"/>
      <c r="BC25148" s="141"/>
    </row>
    <row r="25149">
      <c r="BB25149" s="122"/>
      <c r="BC25149" s="141"/>
    </row>
    <row r="25150">
      <c r="BB25150" s="122"/>
      <c r="BC25150" s="141"/>
    </row>
    <row r="25151">
      <c r="BB25151" s="122"/>
      <c r="BC25151" s="141"/>
    </row>
    <row r="25152">
      <c r="BB25152" s="122"/>
      <c r="BC25152" s="141"/>
    </row>
    <row r="25153">
      <c r="BB25153" s="122"/>
      <c r="BC25153" s="141"/>
    </row>
    <row r="25154">
      <c r="BB25154" s="122"/>
      <c r="BC25154" s="141"/>
    </row>
    <row r="25155">
      <c r="BB25155" s="122"/>
      <c r="BC25155" s="141"/>
    </row>
    <row r="25156">
      <c r="BB25156" s="122"/>
      <c r="BC25156" s="141"/>
    </row>
    <row r="25157">
      <c r="BB25157" s="122"/>
      <c r="BC25157" s="141"/>
    </row>
    <row r="25158">
      <c r="BB25158" s="122"/>
      <c r="BC25158" s="141"/>
    </row>
    <row r="25159">
      <c r="BB25159" s="122"/>
      <c r="BC25159" s="141"/>
    </row>
    <row r="25160">
      <c r="BB25160" s="122"/>
      <c r="BC25160" s="141"/>
    </row>
    <row r="25161">
      <c r="BB25161" s="122"/>
      <c r="BC25161" s="141"/>
    </row>
    <row r="25162">
      <c r="BB25162" s="122"/>
      <c r="BC25162" s="141"/>
    </row>
    <row r="25163">
      <c r="BB25163" s="122"/>
      <c r="BC25163" s="141"/>
    </row>
    <row r="25164">
      <c r="BB25164" s="122"/>
      <c r="BC25164" s="141"/>
    </row>
    <row r="25165">
      <c r="BB25165" s="122"/>
      <c r="BC25165" s="141"/>
    </row>
    <row r="25166">
      <c r="BB25166" s="122"/>
      <c r="BC25166" s="141"/>
    </row>
    <row r="25167">
      <c r="BB25167" s="122"/>
      <c r="BC25167" s="141"/>
    </row>
    <row r="25168">
      <c r="BB25168" s="122"/>
      <c r="BC25168" s="141"/>
    </row>
    <row r="25169">
      <c r="BB25169" s="122"/>
      <c r="BC25169" s="141"/>
    </row>
    <row r="25170">
      <c r="BB25170" s="122"/>
      <c r="BC25170" s="141"/>
    </row>
    <row r="25171">
      <c r="BB25171" s="122"/>
      <c r="BC25171" s="141"/>
    </row>
    <row r="25172">
      <c r="BB25172" s="122"/>
      <c r="BC25172" s="141"/>
    </row>
    <row r="25173">
      <c r="BB25173" s="122"/>
      <c r="BC25173" s="141"/>
    </row>
    <row r="25174">
      <c r="BB25174" s="122"/>
      <c r="BC25174" s="141"/>
    </row>
    <row r="25175">
      <c r="BB25175" s="122"/>
      <c r="BC25175" s="141"/>
    </row>
    <row r="25176">
      <c r="BB25176" s="122"/>
      <c r="BC25176" s="141"/>
    </row>
    <row r="25177">
      <c r="BB25177" s="122"/>
      <c r="BC25177" s="141"/>
    </row>
    <row r="25178">
      <c r="BB25178" s="122"/>
      <c r="BC25178" s="141"/>
    </row>
    <row r="25179">
      <c r="BB25179" s="122"/>
      <c r="BC25179" s="141"/>
    </row>
    <row r="25180">
      <c r="BB25180" s="122"/>
      <c r="BC25180" s="141"/>
    </row>
    <row r="25181">
      <c r="BB25181" s="122"/>
      <c r="BC25181" s="141"/>
    </row>
    <row r="25182">
      <c r="BB25182" s="122"/>
      <c r="BC25182" s="141"/>
    </row>
    <row r="25183">
      <c r="BB25183" s="122"/>
      <c r="BC25183" s="141"/>
    </row>
    <row r="25184">
      <c r="BB25184" s="122"/>
      <c r="BC25184" s="141"/>
    </row>
    <row r="25185">
      <c r="BB25185" s="122"/>
      <c r="BC25185" s="141"/>
    </row>
    <row r="25186">
      <c r="BB25186" s="122"/>
      <c r="BC25186" s="141"/>
    </row>
    <row r="25187">
      <c r="BB25187" s="122"/>
      <c r="BC25187" s="141"/>
    </row>
    <row r="25188">
      <c r="BB25188" s="122"/>
      <c r="BC25188" s="141"/>
    </row>
    <row r="25189">
      <c r="BB25189" s="122"/>
      <c r="BC25189" s="141"/>
    </row>
    <row r="25190">
      <c r="BB25190" s="122"/>
      <c r="BC25190" s="141"/>
    </row>
    <row r="25191">
      <c r="BB25191" s="122"/>
      <c r="BC25191" s="141"/>
    </row>
    <row r="25192">
      <c r="BB25192" s="122"/>
      <c r="BC25192" s="141"/>
    </row>
    <row r="25193">
      <c r="BB25193" s="122"/>
      <c r="BC25193" s="141"/>
    </row>
    <row r="25194">
      <c r="BB25194" s="122"/>
      <c r="BC25194" s="141"/>
    </row>
    <row r="25195">
      <c r="BB25195" s="122"/>
      <c r="BC25195" s="141"/>
    </row>
    <row r="25196">
      <c r="BB25196" s="122"/>
      <c r="BC25196" s="141"/>
    </row>
    <row r="25197">
      <c r="BB25197" s="122"/>
      <c r="BC25197" s="141"/>
    </row>
    <row r="25198">
      <c r="BB25198" s="122"/>
      <c r="BC25198" s="141"/>
    </row>
    <row r="25199">
      <c r="BB25199" s="122"/>
      <c r="BC25199" s="141"/>
    </row>
    <row r="25200">
      <c r="BB25200" s="122"/>
      <c r="BC25200" s="141"/>
    </row>
    <row r="25201">
      <c r="BB25201" s="122"/>
      <c r="BC25201" s="141"/>
    </row>
    <row r="25202">
      <c r="BB25202" s="122"/>
      <c r="BC25202" s="141"/>
    </row>
    <row r="25203">
      <c r="BB25203" s="122"/>
      <c r="BC25203" s="141"/>
    </row>
    <row r="25204">
      <c r="BB25204" s="122"/>
      <c r="BC25204" s="141"/>
    </row>
    <row r="25205">
      <c r="BB25205" s="122"/>
      <c r="BC25205" s="141"/>
    </row>
    <row r="25206">
      <c r="BB25206" s="122"/>
      <c r="BC25206" s="141"/>
    </row>
    <row r="25207">
      <c r="BB25207" s="122"/>
      <c r="BC25207" s="141"/>
    </row>
    <row r="25208">
      <c r="BB25208" s="122"/>
      <c r="BC25208" s="141"/>
    </row>
    <row r="25209">
      <c r="BB25209" s="122"/>
      <c r="BC25209" s="141"/>
    </row>
    <row r="25210">
      <c r="BB25210" s="122"/>
      <c r="BC25210" s="141"/>
    </row>
    <row r="25211">
      <c r="BB25211" s="122"/>
      <c r="BC25211" s="141"/>
    </row>
    <row r="25212">
      <c r="BB25212" s="122"/>
      <c r="BC25212" s="141"/>
    </row>
    <row r="25213">
      <c r="BB25213" s="122"/>
      <c r="BC25213" s="141"/>
    </row>
    <row r="25214">
      <c r="BB25214" s="122"/>
      <c r="BC25214" s="141"/>
    </row>
    <row r="25215">
      <c r="BB25215" s="122"/>
      <c r="BC25215" s="141"/>
    </row>
    <row r="25216">
      <c r="BB25216" s="122"/>
      <c r="BC25216" s="141"/>
    </row>
    <row r="25217">
      <c r="BB25217" s="122"/>
      <c r="BC25217" s="141"/>
    </row>
    <row r="25218">
      <c r="BB25218" s="122"/>
      <c r="BC25218" s="141"/>
    </row>
    <row r="25219">
      <c r="BB25219" s="122"/>
      <c r="BC25219" s="141"/>
    </row>
    <row r="25220">
      <c r="BB25220" s="122"/>
      <c r="BC25220" s="141"/>
    </row>
    <row r="25221">
      <c r="BB25221" s="122"/>
      <c r="BC25221" s="141"/>
    </row>
    <row r="25222">
      <c r="BB25222" s="122"/>
      <c r="BC25222" s="141"/>
    </row>
    <row r="25223">
      <c r="BB25223" s="122"/>
      <c r="BC25223" s="141"/>
    </row>
    <row r="25224">
      <c r="BB25224" s="122"/>
      <c r="BC25224" s="141"/>
    </row>
    <row r="25225">
      <c r="BB25225" s="122"/>
      <c r="BC25225" s="141"/>
    </row>
    <row r="25226">
      <c r="BB25226" s="122"/>
      <c r="BC25226" s="141"/>
    </row>
    <row r="25227">
      <c r="BB25227" s="122"/>
      <c r="BC25227" s="141"/>
    </row>
    <row r="25228">
      <c r="BB25228" s="122"/>
      <c r="BC25228" s="141"/>
    </row>
    <row r="25229">
      <c r="BB25229" s="122"/>
      <c r="BC25229" s="141"/>
    </row>
    <row r="25230">
      <c r="BB25230" s="122"/>
      <c r="BC25230" s="141"/>
    </row>
    <row r="25231">
      <c r="BB25231" s="122"/>
      <c r="BC25231" s="141"/>
    </row>
    <row r="25232">
      <c r="BB25232" s="122"/>
      <c r="BC25232" s="141"/>
    </row>
    <row r="25233">
      <c r="BB25233" s="122"/>
      <c r="BC25233" s="141"/>
    </row>
    <row r="25234">
      <c r="BB25234" s="122"/>
      <c r="BC25234" s="141"/>
    </row>
    <row r="25235">
      <c r="BB25235" s="122"/>
      <c r="BC25235" s="141"/>
    </row>
    <row r="25236">
      <c r="BB25236" s="122"/>
      <c r="BC25236" s="141"/>
    </row>
    <row r="25237">
      <c r="BB25237" s="122"/>
      <c r="BC25237" s="141"/>
    </row>
    <row r="25238">
      <c r="BB25238" s="122"/>
      <c r="BC25238" s="141"/>
    </row>
    <row r="25239">
      <c r="BB25239" s="122"/>
      <c r="BC25239" s="141"/>
    </row>
    <row r="25240">
      <c r="BB25240" s="122"/>
      <c r="BC25240" s="141"/>
    </row>
    <row r="25241">
      <c r="BB25241" s="122"/>
      <c r="BC25241" s="141"/>
    </row>
    <row r="25242">
      <c r="BB25242" s="122"/>
      <c r="BC25242" s="141"/>
    </row>
    <row r="25243">
      <c r="BB25243" s="122"/>
      <c r="BC25243" s="141"/>
    </row>
    <row r="25244">
      <c r="BB25244" s="122"/>
      <c r="BC25244" s="141"/>
    </row>
    <row r="25245">
      <c r="BB25245" s="122"/>
      <c r="BC25245" s="141"/>
    </row>
    <row r="25246">
      <c r="BB25246" s="122"/>
      <c r="BC25246" s="141"/>
    </row>
    <row r="25247">
      <c r="BB25247" s="122"/>
      <c r="BC25247" s="141"/>
    </row>
    <row r="25248">
      <c r="BB25248" s="122"/>
      <c r="BC25248" s="141"/>
    </row>
    <row r="25249">
      <c r="BB25249" s="122"/>
      <c r="BC25249" s="141"/>
    </row>
    <row r="25250">
      <c r="BB25250" s="122"/>
      <c r="BC25250" s="141"/>
    </row>
    <row r="25251">
      <c r="BB25251" s="122"/>
      <c r="BC25251" s="141"/>
    </row>
    <row r="25252">
      <c r="BB25252" s="122"/>
      <c r="BC25252" s="141"/>
    </row>
    <row r="25253">
      <c r="BB25253" s="122"/>
      <c r="BC25253" s="141"/>
    </row>
    <row r="25254">
      <c r="BB25254" s="122"/>
      <c r="BC25254" s="141"/>
    </row>
    <row r="25255">
      <c r="BB25255" s="122"/>
      <c r="BC25255" s="141"/>
    </row>
    <row r="25256">
      <c r="BB25256" s="122"/>
      <c r="BC25256" s="141"/>
    </row>
    <row r="25257">
      <c r="BB25257" s="122"/>
      <c r="BC25257" s="141"/>
    </row>
    <row r="25258">
      <c r="BB25258" s="122"/>
      <c r="BC25258" s="141"/>
    </row>
    <row r="25259">
      <c r="BB25259" s="122"/>
      <c r="BC25259" s="141"/>
    </row>
    <row r="25260">
      <c r="BB25260" s="122"/>
      <c r="BC25260" s="141"/>
    </row>
    <row r="25261">
      <c r="BB25261" s="122"/>
      <c r="BC25261" s="141"/>
    </row>
    <row r="25262">
      <c r="BB25262" s="122"/>
      <c r="BC25262" s="141"/>
    </row>
    <row r="25263">
      <c r="BB25263" s="122"/>
      <c r="BC25263" s="141"/>
    </row>
    <row r="25264">
      <c r="BB25264" s="122"/>
      <c r="BC25264" s="141"/>
    </row>
    <row r="25265">
      <c r="BB25265" s="122"/>
      <c r="BC25265" s="141"/>
    </row>
    <row r="25266">
      <c r="BB25266" s="122"/>
      <c r="BC25266" s="141"/>
    </row>
    <row r="25267">
      <c r="BB25267" s="122"/>
      <c r="BC25267" s="141"/>
    </row>
    <row r="25268">
      <c r="BB25268" s="122"/>
      <c r="BC25268" s="141"/>
    </row>
    <row r="25269">
      <c r="BB25269" s="122"/>
      <c r="BC25269" s="141"/>
    </row>
    <row r="25270">
      <c r="BB25270" s="122"/>
      <c r="BC25270" s="141"/>
    </row>
    <row r="25271">
      <c r="BB25271" s="122"/>
      <c r="BC25271" s="141"/>
    </row>
    <row r="25272">
      <c r="BB25272" s="122"/>
      <c r="BC25272" s="141"/>
    </row>
    <row r="25273">
      <c r="BB25273" s="122"/>
      <c r="BC25273" s="141"/>
    </row>
    <row r="25274">
      <c r="BB25274" s="122"/>
      <c r="BC25274" s="141"/>
    </row>
    <row r="25275">
      <c r="BB25275" s="122"/>
      <c r="BC25275" s="141"/>
    </row>
    <row r="25276">
      <c r="BB25276" s="122"/>
      <c r="BC25276" s="141"/>
    </row>
    <row r="25277">
      <c r="BB25277" s="122"/>
      <c r="BC25277" s="141"/>
    </row>
    <row r="25278">
      <c r="BB25278" s="122"/>
      <c r="BC25278" s="141"/>
    </row>
    <row r="25279">
      <c r="BB25279" s="122"/>
      <c r="BC25279" s="141"/>
    </row>
    <row r="25280">
      <c r="BB25280" s="122"/>
      <c r="BC25280" s="141"/>
    </row>
    <row r="25281">
      <c r="BB25281" s="122"/>
      <c r="BC25281" s="141"/>
    </row>
    <row r="25282">
      <c r="BB25282" s="122"/>
      <c r="BC25282" s="141"/>
    </row>
    <row r="25283">
      <c r="BB25283" s="122"/>
      <c r="BC25283" s="141"/>
    </row>
    <row r="25284">
      <c r="BB25284" s="122"/>
      <c r="BC25284" s="141"/>
    </row>
    <row r="25285">
      <c r="BB25285" s="122"/>
      <c r="BC25285" s="141"/>
    </row>
    <row r="25286">
      <c r="BB25286" s="122"/>
      <c r="BC25286" s="141"/>
    </row>
    <row r="25287">
      <c r="BB25287" s="122"/>
      <c r="BC25287" s="141"/>
    </row>
    <row r="25288">
      <c r="BB25288" s="122"/>
      <c r="BC25288" s="141"/>
    </row>
    <row r="25289">
      <c r="BB25289" s="122"/>
      <c r="BC25289" s="141"/>
    </row>
    <row r="25290">
      <c r="BB25290" s="122"/>
      <c r="BC25290" s="141"/>
    </row>
    <row r="25291">
      <c r="BB25291" s="122"/>
      <c r="BC25291" s="141"/>
    </row>
    <row r="25292">
      <c r="BB25292" s="122"/>
      <c r="BC25292" s="141"/>
    </row>
    <row r="25293">
      <c r="BB25293" s="122"/>
      <c r="BC25293" s="141"/>
    </row>
    <row r="25294">
      <c r="BB25294" s="122"/>
      <c r="BC25294" s="141"/>
    </row>
    <row r="25295">
      <c r="BB25295" s="122"/>
      <c r="BC25295" s="141"/>
    </row>
    <row r="25296">
      <c r="BB25296" s="122"/>
      <c r="BC25296" s="141"/>
    </row>
    <row r="25297">
      <c r="BB25297" s="122"/>
      <c r="BC25297" s="141"/>
    </row>
    <row r="25298">
      <c r="BB25298" s="122"/>
      <c r="BC25298" s="141"/>
    </row>
    <row r="25299">
      <c r="BB25299" s="122"/>
      <c r="BC25299" s="141"/>
    </row>
    <row r="25300">
      <c r="BB25300" s="122"/>
      <c r="BC25300" s="141"/>
    </row>
    <row r="25301">
      <c r="BB25301" s="122"/>
      <c r="BC25301" s="141"/>
    </row>
    <row r="25302">
      <c r="BB25302" s="122"/>
      <c r="BC25302" s="141"/>
    </row>
    <row r="25303">
      <c r="BB25303" s="122"/>
      <c r="BC25303" s="141"/>
    </row>
    <row r="25304">
      <c r="BB25304" s="122"/>
      <c r="BC25304" s="141"/>
    </row>
    <row r="25305">
      <c r="BB25305" s="122"/>
      <c r="BC25305" s="141"/>
    </row>
    <row r="25306">
      <c r="BB25306" s="122"/>
      <c r="BC25306" s="141"/>
    </row>
    <row r="25307">
      <c r="BB25307" s="122"/>
      <c r="BC25307" s="141"/>
    </row>
    <row r="25308">
      <c r="BB25308" s="122"/>
      <c r="BC25308" s="141"/>
    </row>
    <row r="25309">
      <c r="BB25309" s="122"/>
      <c r="BC25309" s="141"/>
    </row>
    <row r="25310">
      <c r="BB25310" s="122"/>
      <c r="BC25310" s="141"/>
    </row>
    <row r="25311">
      <c r="BB25311" s="122"/>
      <c r="BC25311" s="141"/>
    </row>
    <row r="25312">
      <c r="BB25312" s="122"/>
      <c r="BC25312" s="141"/>
    </row>
    <row r="25313">
      <c r="BB25313" s="122"/>
      <c r="BC25313" s="141"/>
    </row>
    <row r="25314">
      <c r="BB25314" s="122"/>
      <c r="BC25314" s="141"/>
    </row>
    <row r="25315">
      <c r="BB25315" s="122"/>
      <c r="BC25315" s="141"/>
    </row>
    <row r="25316">
      <c r="BB25316" s="122"/>
      <c r="BC25316" s="141"/>
    </row>
    <row r="25317">
      <c r="BB25317" s="122"/>
      <c r="BC25317" s="141"/>
    </row>
    <row r="25318">
      <c r="BB25318" s="122"/>
      <c r="BC25318" s="141"/>
    </row>
    <row r="25319">
      <c r="BB25319" s="122"/>
      <c r="BC25319" s="141"/>
    </row>
    <row r="25320">
      <c r="BB25320" s="122"/>
      <c r="BC25320" s="141"/>
    </row>
    <row r="25321">
      <c r="BB25321" s="122"/>
      <c r="BC25321" s="141"/>
    </row>
    <row r="25322">
      <c r="BB25322" s="122"/>
      <c r="BC25322" s="141"/>
    </row>
    <row r="25323">
      <c r="BB25323" s="122"/>
      <c r="BC25323" s="141"/>
    </row>
    <row r="25324">
      <c r="BB25324" s="122"/>
      <c r="BC25324" s="141"/>
    </row>
    <row r="25325">
      <c r="BB25325" s="122"/>
      <c r="BC25325" s="141"/>
    </row>
    <row r="25326">
      <c r="BB25326" s="122"/>
      <c r="BC25326" s="141"/>
    </row>
    <row r="25327">
      <c r="BB25327" s="122"/>
      <c r="BC25327" s="141"/>
    </row>
    <row r="25328">
      <c r="BB25328" s="122"/>
      <c r="BC25328" s="141"/>
    </row>
    <row r="25329">
      <c r="BB25329" s="122"/>
      <c r="BC25329" s="141"/>
    </row>
    <row r="25330">
      <c r="BB25330" s="122"/>
      <c r="BC25330" s="141"/>
    </row>
    <row r="25331">
      <c r="BB25331" s="122"/>
      <c r="BC25331" s="141"/>
    </row>
    <row r="25332">
      <c r="BB25332" s="122"/>
      <c r="BC25332" s="141"/>
    </row>
    <row r="25333">
      <c r="BB25333" s="122"/>
      <c r="BC25333" s="141"/>
    </row>
    <row r="25334">
      <c r="BB25334" s="122"/>
      <c r="BC25334" s="141"/>
    </row>
    <row r="25335">
      <c r="BB25335" s="122"/>
      <c r="BC25335" s="141"/>
    </row>
    <row r="25336">
      <c r="BB25336" s="122"/>
      <c r="BC25336" s="141"/>
    </row>
    <row r="25337">
      <c r="BB25337" s="122"/>
      <c r="BC25337" s="141"/>
    </row>
    <row r="25338">
      <c r="BB25338" s="122"/>
      <c r="BC25338" s="141"/>
    </row>
    <row r="25339">
      <c r="BB25339" s="122"/>
      <c r="BC25339" s="141"/>
    </row>
    <row r="25340">
      <c r="BB25340" s="122"/>
      <c r="BC25340" s="141"/>
    </row>
    <row r="25341">
      <c r="BB25341" s="122"/>
      <c r="BC25341" s="141"/>
    </row>
    <row r="25342">
      <c r="BB25342" s="122"/>
      <c r="BC25342" s="141"/>
    </row>
    <row r="25343">
      <c r="BB25343" s="122"/>
      <c r="BC25343" s="141"/>
    </row>
    <row r="25344">
      <c r="BB25344" s="122"/>
      <c r="BC25344" s="141"/>
    </row>
    <row r="25345">
      <c r="BB25345" s="122"/>
      <c r="BC25345" s="141"/>
    </row>
    <row r="25346">
      <c r="BB25346" s="122"/>
      <c r="BC25346" s="141"/>
    </row>
    <row r="25347">
      <c r="BB25347" s="122"/>
      <c r="BC25347" s="141"/>
    </row>
    <row r="25348">
      <c r="BB25348" s="122"/>
      <c r="BC25348" s="141"/>
    </row>
    <row r="25349">
      <c r="BB25349" s="122"/>
      <c r="BC25349" s="141"/>
    </row>
    <row r="25350">
      <c r="BB25350" s="122"/>
      <c r="BC25350" s="141"/>
    </row>
    <row r="25351">
      <c r="BB25351" s="122"/>
      <c r="BC25351" s="141"/>
    </row>
    <row r="25352">
      <c r="BB25352" s="122"/>
      <c r="BC25352" s="141"/>
    </row>
    <row r="25353">
      <c r="BB25353" s="122"/>
      <c r="BC25353" s="141"/>
    </row>
    <row r="25354">
      <c r="BB25354" s="122"/>
      <c r="BC25354" s="141"/>
    </row>
    <row r="25355">
      <c r="BB25355" s="122"/>
      <c r="BC25355" s="141"/>
    </row>
    <row r="25356">
      <c r="BB25356" s="122"/>
      <c r="BC25356" s="141"/>
    </row>
    <row r="25357">
      <c r="BB25357" s="122"/>
      <c r="BC25357" s="141"/>
    </row>
    <row r="25358">
      <c r="BB25358" s="122"/>
      <c r="BC25358" s="141"/>
    </row>
    <row r="25359">
      <c r="BB25359" s="122"/>
      <c r="BC25359" s="141"/>
    </row>
    <row r="25360">
      <c r="BB25360" s="122"/>
      <c r="BC25360" s="141"/>
    </row>
    <row r="25361">
      <c r="BB25361" s="122"/>
      <c r="BC25361" s="141"/>
    </row>
    <row r="25362">
      <c r="BB25362" s="122"/>
      <c r="BC25362" s="141"/>
    </row>
    <row r="25363">
      <c r="BB25363" s="122"/>
      <c r="BC25363" s="141"/>
    </row>
    <row r="25364">
      <c r="BB25364" s="122"/>
      <c r="BC25364" s="141"/>
    </row>
    <row r="25365">
      <c r="BB25365" s="122"/>
      <c r="BC25365" s="141"/>
    </row>
    <row r="25366">
      <c r="BB25366" s="122"/>
      <c r="BC25366" s="141"/>
    </row>
    <row r="25367">
      <c r="BB25367" s="122"/>
      <c r="BC25367" s="141"/>
    </row>
    <row r="25368">
      <c r="BB25368" s="122"/>
      <c r="BC25368" s="141"/>
    </row>
    <row r="25369">
      <c r="BB25369" s="122"/>
      <c r="BC25369" s="141"/>
    </row>
    <row r="25370">
      <c r="BB25370" s="122"/>
      <c r="BC25370" s="141"/>
    </row>
    <row r="25371">
      <c r="BB25371" s="122"/>
      <c r="BC25371" s="141"/>
    </row>
    <row r="25372">
      <c r="BB25372" s="122"/>
      <c r="BC25372" s="141"/>
    </row>
    <row r="25373">
      <c r="BB25373" s="122"/>
      <c r="BC25373" s="141"/>
    </row>
    <row r="25374">
      <c r="BB25374" s="122"/>
      <c r="BC25374" s="141"/>
    </row>
    <row r="25375">
      <c r="BB25375" s="122"/>
      <c r="BC25375" s="141"/>
    </row>
    <row r="25376">
      <c r="BB25376" s="122"/>
      <c r="BC25376" s="141"/>
    </row>
    <row r="25377">
      <c r="BB25377" s="122"/>
      <c r="BC25377" s="141"/>
    </row>
    <row r="25378">
      <c r="BB25378" s="122"/>
      <c r="BC25378" s="141"/>
    </row>
    <row r="25379">
      <c r="BB25379" s="122"/>
      <c r="BC25379" s="141"/>
    </row>
    <row r="25380">
      <c r="BB25380" s="122"/>
      <c r="BC25380" s="141"/>
    </row>
    <row r="25381">
      <c r="BB25381" s="122"/>
      <c r="BC25381" s="141"/>
    </row>
    <row r="25382">
      <c r="BB25382" s="122"/>
      <c r="BC25382" s="141"/>
    </row>
    <row r="25383">
      <c r="BB25383" s="122"/>
      <c r="BC25383" s="141"/>
    </row>
    <row r="25384">
      <c r="BB25384" s="122"/>
      <c r="BC25384" s="141"/>
    </row>
    <row r="25385">
      <c r="BB25385" s="122"/>
      <c r="BC25385" s="141"/>
    </row>
    <row r="25386">
      <c r="BB25386" s="122"/>
      <c r="BC25386" s="141"/>
    </row>
    <row r="25387">
      <c r="BB25387" s="122"/>
      <c r="BC25387" s="141"/>
    </row>
    <row r="25388">
      <c r="BB25388" s="122"/>
      <c r="BC25388" s="141"/>
    </row>
    <row r="25389">
      <c r="BB25389" s="122"/>
      <c r="BC25389" s="141"/>
    </row>
    <row r="25390">
      <c r="BB25390" s="122"/>
      <c r="BC25390" s="141"/>
    </row>
    <row r="25391">
      <c r="BB25391" s="122"/>
      <c r="BC25391" s="141"/>
    </row>
    <row r="25392">
      <c r="BB25392" s="122"/>
      <c r="BC25392" s="141"/>
    </row>
    <row r="25393">
      <c r="BB25393" s="122"/>
      <c r="BC25393" s="141"/>
    </row>
    <row r="25394">
      <c r="BB25394" s="122"/>
      <c r="BC25394" s="141"/>
    </row>
    <row r="25395">
      <c r="BB25395" s="122"/>
      <c r="BC25395" s="141"/>
    </row>
    <row r="25396">
      <c r="BB25396" s="122"/>
      <c r="BC25396" s="141"/>
    </row>
    <row r="25397">
      <c r="BB25397" s="122"/>
      <c r="BC25397" s="141"/>
    </row>
    <row r="25398">
      <c r="BB25398" s="122"/>
      <c r="BC25398" s="141"/>
    </row>
    <row r="25399">
      <c r="BB25399" s="122"/>
      <c r="BC25399" s="141"/>
    </row>
    <row r="25400">
      <c r="BB25400" s="122"/>
      <c r="BC25400" s="141"/>
    </row>
    <row r="25401">
      <c r="BB25401" s="122"/>
      <c r="BC25401" s="141"/>
    </row>
    <row r="25402">
      <c r="BB25402" s="122"/>
      <c r="BC25402" s="141"/>
    </row>
    <row r="25403">
      <c r="BB25403" s="122"/>
      <c r="BC25403" s="141"/>
    </row>
    <row r="25404">
      <c r="BB25404" s="122"/>
      <c r="BC25404" s="141"/>
    </row>
    <row r="25405">
      <c r="BB25405" s="122"/>
      <c r="BC25405" s="141"/>
    </row>
    <row r="25406">
      <c r="BB25406" s="122"/>
      <c r="BC25406" s="141"/>
    </row>
    <row r="25407">
      <c r="BB25407" s="122"/>
      <c r="BC25407" s="141"/>
    </row>
    <row r="25408">
      <c r="BB25408" s="122"/>
      <c r="BC25408" s="141"/>
    </row>
    <row r="25409">
      <c r="BB25409" s="122"/>
      <c r="BC25409" s="141"/>
    </row>
    <row r="25410">
      <c r="BB25410" s="122"/>
      <c r="BC25410" s="141"/>
    </row>
    <row r="25411">
      <c r="BB25411" s="122"/>
      <c r="BC25411" s="141"/>
    </row>
    <row r="25412">
      <c r="BB25412" s="122"/>
      <c r="BC25412" s="141"/>
    </row>
    <row r="25413">
      <c r="BB25413" s="122"/>
      <c r="BC25413" s="141"/>
    </row>
    <row r="25414">
      <c r="BB25414" s="122"/>
      <c r="BC25414" s="141"/>
    </row>
    <row r="25415">
      <c r="BB25415" s="122"/>
      <c r="BC25415" s="141"/>
    </row>
    <row r="25416">
      <c r="BB25416" s="122"/>
      <c r="BC25416" s="141"/>
    </row>
    <row r="25417">
      <c r="BB25417" s="122"/>
      <c r="BC25417" s="141"/>
    </row>
    <row r="25418">
      <c r="BB25418" s="122"/>
      <c r="BC25418" s="141"/>
    </row>
    <row r="25419">
      <c r="BB25419" s="122"/>
      <c r="BC25419" s="141"/>
    </row>
    <row r="25420">
      <c r="BB25420" s="122"/>
      <c r="BC25420" s="141"/>
    </row>
    <row r="25421">
      <c r="BB25421" s="122"/>
      <c r="BC25421" s="141"/>
    </row>
    <row r="25422">
      <c r="BB25422" s="122"/>
      <c r="BC25422" s="141"/>
    </row>
    <row r="25423">
      <c r="BB25423" s="122"/>
      <c r="BC25423" s="141"/>
    </row>
    <row r="25424">
      <c r="BB25424" s="122"/>
      <c r="BC25424" s="141"/>
    </row>
    <row r="25425">
      <c r="BB25425" s="122"/>
      <c r="BC25425" s="141"/>
    </row>
    <row r="25426">
      <c r="BB25426" s="122"/>
      <c r="BC25426" s="141"/>
    </row>
    <row r="25427">
      <c r="BB25427" s="122"/>
      <c r="BC25427" s="141"/>
    </row>
    <row r="25428">
      <c r="BB25428" s="122"/>
      <c r="BC25428" s="141"/>
    </row>
    <row r="25429">
      <c r="BB25429" s="122"/>
      <c r="BC25429" s="141"/>
    </row>
    <row r="25430">
      <c r="BB25430" s="122"/>
      <c r="BC25430" s="141"/>
    </row>
    <row r="25431">
      <c r="BB25431" s="122"/>
      <c r="BC25431" s="141"/>
    </row>
    <row r="25432">
      <c r="BB25432" s="122"/>
      <c r="BC25432" s="141"/>
    </row>
    <row r="25433">
      <c r="BB25433" s="122"/>
      <c r="BC25433" s="141"/>
    </row>
    <row r="25434">
      <c r="BB25434" s="122"/>
      <c r="BC25434" s="141"/>
    </row>
    <row r="25435">
      <c r="BB25435" s="122"/>
      <c r="BC25435" s="141"/>
    </row>
    <row r="25436">
      <c r="BB25436" s="122"/>
      <c r="BC25436" s="141"/>
    </row>
    <row r="25437">
      <c r="BB25437" s="122"/>
      <c r="BC25437" s="141"/>
    </row>
    <row r="25438">
      <c r="BB25438" s="122"/>
      <c r="BC25438" s="141"/>
    </row>
    <row r="25439">
      <c r="BB25439" s="122"/>
      <c r="BC25439" s="141"/>
    </row>
    <row r="25440">
      <c r="BB25440" s="122"/>
      <c r="BC25440" s="141"/>
    </row>
    <row r="25441">
      <c r="BB25441" s="122"/>
      <c r="BC25441" s="141"/>
    </row>
    <row r="25442">
      <c r="BB25442" s="122"/>
      <c r="BC25442" s="141"/>
    </row>
    <row r="25443">
      <c r="BB25443" s="122"/>
      <c r="BC25443" s="141"/>
    </row>
    <row r="25444">
      <c r="BB25444" s="122"/>
      <c r="BC25444" s="141"/>
    </row>
    <row r="25445">
      <c r="BB25445" s="122"/>
      <c r="BC25445" s="141"/>
    </row>
    <row r="25446">
      <c r="BB25446" s="122"/>
      <c r="BC25446" s="141"/>
    </row>
    <row r="25447">
      <c r="BB25447" s="122"/>
      <c r="BC25447" s="141"/>
    </row>
    <row r="25448">
      <c r="BB25448" s="122"/>
      <c r="BC25448" s="141"/>
    </row>
    <row r="25449">
      <c r="BB25449" s="122"/>
      <c r="BC25449" s="141"/>
    </row>
    <row r="25450">
      <c r="BB25450" s="122"/>
      <c r="BC25450" s="141"/>
    </row>
    <row r="25451">
      <c r="BB25451" s="122"/>
      <c r="BC25451" s="141"/>
    </row>
    <row r="25452">
      <c r="BB25452" s="122"/>
      <c r="BC25452" s="141"/>
    </row>
    <row r="25453">
      <c r="BB25453" s="122"/>
      <c r="BC25453" s="141"/>
    </row>
    <row r="25454">
      <c r="BB25454" s="122"/>
      <c r="BC25454" s="141"/>
    </row>
    <row r="25455">
      <c r="BB25455" s="122"/>
      <c r="BC25455" s="141"/>
    </row>
    <row r="25456">
      <c r="BB25456" s="122"/>
      <c r="BC25456" s="141"/>
    </row>
    <row r="25457">
      <c r="BB25457" s="122"/>
      <c r="BC25457" s="141"/>
    </row>
    <row r="25458">
      <c r="BB25458" s="122"/>
      <c r="BC25458" s="141"/>
    </row>
    <row r="25459">
      <c r="BB25459" s="122"/>
      <c r="BC25459" s="141"/>
    </row>
    <row r="25460">
      <c r="BB25460" s="122"/>
      <c r="BC25460" s="141"/>
    </row>
    <row r="25461">
      <c r="BB25461" s="122"/>
      <c r="BC25461" s="141"/>
    </row>
    <row r="25462">
      <c r="BB25462" s="122"/>
      <c r="BC25462" s="141"/>
    </row>
    <row r="25463">
      <c r="BB25463" s="122"/>
      <c r="BC25463" s="141"/>
    </row>
    <row r="25464">
      <c r="BB25464" s="122"/>
      <c r="BC25464" s="141"/>
    </row>
    <row r="25465">
      <c r="BB25465" s="122"/>
      <c r="BC25465" s="141"/>
    </row>
    <row r="25466">
      <c r="BB25466" s="122"/>
      <c r="BC25466" s="141"/>
    </row>
    <row r="25467">
      <c r="BB25467" s="122"/>
      <c r="BC25467" s="141"/>
    </row>
    <row r="25468">
      <c r="BB25468" s="122"/>
      <c r="BC25468" s="141"/>
    </row>
    <row r="25469">
      <c r="BB25469" s="122"/>
      <c r="BC25469" s="141"/>
    </row>
    <row r="25470">
      <c r="BB25470" s="122"/>
      <c r="BC25470" s="141"/>
    </row>
    <row r="25471">
      <c r="BB25471" s="122"/>
      <c r="BC25471" s="141"/>
    </row>
    <row r="25472">
      <c r="BB25472" s="122"/>
      <c r="BC25472" s="141"/>
    </row>
    <row r="25473">
      <c r="BB25473" s="122"/>
      <c r="BC25473" s="141"/>
    </row>
    <row r="25474">
      <c r="BB25474" s="122"/>
      <c r="BC25474" s="141"/>
    </row>
    <row r="25475">
      <c r="BB25475" s="122"/>
      <c r="BC25475" s="141"/>
    </row>
    <row r="25476">
      <c r="BB25476" s="122"/>
      <c r="BC25476" s="141"/>
    </row>
    <row r="25477">
      <c r="BB25477" s="122"/>
      <c r="BC25477" s="141"/>
    </row>
    <row r="25478">
      <c r="BB25478" s="122"/>
      <c r="BC25478" s="141"/>
    </row>
    <row r="25479">
      <c r="BB25479" s="122"/>
      <c r="BC25479" s="141"/>
    </row>
    <row r="25480">
      <c r="BB25480" s="122"/>
      <c r="BC25480" s="141"/>
    </row>
    <row r="25481">
      <c r="BB25481" s="122"/>
      <c r="BC25481" s="141"/>
    </row>
    <row r="25482">
      <c r="BB25482" s="122"/>
      <c r="BC25482" s="141"/>
    </row>
    <row r="25483">
      <c r="BB25483" s="122"/>
      <c r="BC25483" s="141"/>
    </row>
    <row r="25484">
      <c r="BB25484" s="122"/>
      <c r="BC25484" s="141"/>
    </row>
    <row r="25485">
      <c r="BB25485" s="122"/>
      <c r="BC25485" s="141"/>
    </row>
    <row r="25486">
      <c r="BB25486" s="122"/>
      <c r="BC25486" s="141"/>
    </row>
    <row r="25487">
      <c r="BB25487" s="122"/>
      <c r="BC25487" s="141"/>
    </row>
    <row r="25488">
      <c r="BB25488" s="122"/>
      <c r="BC25488" s="141"/>
    </row>
    <row r="25489">
      <c r="BB25489" s="122"/>
      <c r="BC25489" s="141"/>
    </row>
    <row r="25490">
      <c r="BB25490" s="122"/>
      <c r="BC25490" s="141"/>
    </row>
    <row r="25491">
      <c r="BB25491" s="122"/>
      <c r="BC25491" s="141"/>
    </row>
    <row r="25492">
      <c r="BB25492" s="122"/>
      <c r="BC25492" s="141"/>
    </row>
    <row r="25493">
      <c r="BB25493" s="122"/>
      <c r="BC25493" s="141"/>
    </row>
    <row r="25494">
      <c r="BB25494" s="122"/>
      <c r="BC25494" s="141"/>
    </row>
    <row r="25495">
      <c r="BB25495" s="122"/>
      <c r="BC25495" s="141"/>
    </row>
    <row r="25496">
      <c r="BB25496" s="122"/>
      <c r="BC25496" s="141"/>
    </row>
    <row r="25497">
      <c r="BB25497" s="122"/>
      <c r="BC25497" s="141"/>
    </row>
    <row r="25498">
      <c r="BB25498" s="122"/>
      <c r="BC25498" s="141"/>
    </row>
    <row r="25499">
      <c r="BB25499" s="122"/>
      <c r="BC25499" s="141"/>
    </row>
    <row r="25500">
      <c r="BB25500" s="122"/>
      <c r="BC25500" s="141"/>
    </row>
    <row r="25501">
      <c r="BB25501" s="122"/>
      <c r="BC25501" s="141"/>
    </row>
    <row r="25502">
      <c r="BB25502" s="122"/>
      <c r="BC25502" s="141"/>
    </row>
    <row r="25503">
      <c r="BB25503" s="122"/>
      <c r="BC25503" s="141"/>
    </row>
    <row r="25504">
      <c r="BB25504" s="122"/>
      <c r="BC25504" s="141"/>
    </row>
    <row r="25505">
      <c r="BB25505" s="122"/>
      <c r="BC25505" s="141"/>
    </row>
    <row r="25506">
      <c r="BB25506" s="122"/>
      <c r="BC25506" s="141"/>
    </row>
    <row r="25507">
      <c r="BB25507" s="122"/>
      <c r="BC25507" s="141"/>
    </row>
    <row r="25508">
      <c r="BB25508" s="122"/>
      <c r="BC25508" s="141"/>
    </row>
    <row r="25509">
      <c r="BB25509" s="122"/>
      <c r="BC25509" s="141"/>
    </row>
    <row r="25510">
      <c r="BB25510" s="122"/>
      <c r="BC25510" s="141"/>
    </row>
    <row r="25511">
      <c r="BB25511" s="122"/>
      <c r="BC25511" s="141"/>
    </row>
    <row r="25512">
      <c r="BB25512" s="122"/>
      <c r="BC25512" s="141"/>
    </row>
    <row r="25513">
      <c r="BB25513" s="122"/>
      <c r="BC25513" s="141"/>
    </row>
    <row r="25514">
      <c r="BB25514" s="122"/>
      <c r="BC25514" s="141"/>
    </row>
    <row r="25515">
      <c r="BB25515" s="122"/>
      <c r="BC25515" s="141"/>
    </row>
    <row r="25516">
      <c r="BB25516" s="122"/>
      <c r="BC25516" s="141"/>
    </row>
    <row r="25517">
      <c r="BB25517" s="122"/>
      <c r="BC25517" s="141"/>
    </row>
    <row r="25518">
      <c r="BB25518" s="122"/>
      <c r="BC25518" s="141"/>
    </row>
    <row r="25519">
      <c r="BB25519" s="122"/>
      <c r="BC25519" s="141"/>
    </row>
    <row r="25520">
      <c r="BB25520" s="122"/>
      <c r="BC25520" s="141"/>
    </row>
    <row r="25521">
      <c r="BB25521" s="122"/>
      <c r="BC25521" s="141"/>
    </row>
    <row r="25522">
      <c r="BB25522" s="122"/>
      <c r="BC25522" s="141"/>
    </row>
    <row r="25523">
      <c r="BB25523" s="122"/>
      <c r="BC25523" s="141"/>
    </row>
    <row r="25524">
      <c r="BB25524" s="122"/>
      <c r="BC25524" s="141"/>
    </row>
    <row r="25525">
      <c r="BB25525" s="122"/>
      <c r="BC25525" s="141"/>
    </row>
    <row r="25526">
      <c r="BB25526" s="122"/>
      <c r="BC25526" s="141"/>
    </row>
    <row r="25527">
      <c r="BB25527" s="122"/>
      <c r="BC25527" s="141"/>
    </row>
    <row r="25528">
      <c r="BB25528" s="122"/>
      <c r="BC25528" s="141"/>
    </row>
    <row r="25529">
      <c r="BB25529" s="122"/>
      <c r="BC25529" s="141"/>
    </row>
    <row r="25530">
      <c r="BB25530" s="122"/>
      <c r="BC25530" s="141"/>
    </row>
    <row r="25531">
      <c r="BB25531" s="122"/>
      <c r="BC25531" s="141"/>
    </row>
    <row r="25532">
      <c r="BB25532" s="122"/>
      <c r="BC25532" s="141"/>
    </row>
    <row r="25533">
      <c r="BB25533" s="122"/>
      <c r="BC25533" s="141"/>
    </row>
    <row r="25534">
      <c r="BB25534" s="122"/>
      <c r="BC25534" s="141"/>
    </row>
    <row r="25535">
      <c r="BB25535" s="122"/>
      <c r="BC25535" s="141"/>
    </row>
    <row r="25536">
      <c r="BB25536" s="122"/>
      <c r="BC25536" s="141"/>
    </row>
    <row r="25537">
      <c r="BB25537" s="122"/>
      <c r="BC25537" s="141"/>
    </row>
    <row r="25538">
      <c r="BB25538" s="122"/>
      <c r="BC25538" s="141"/>
    </row>
    <row r="25539">
      <c r="BB25539" s="122"/>
      <c r="BC25539" s="141"/>
    </row>
    <row r="25540">
      <c r="BB25540" s="122"/>
      <c r="BC25540" s="141"/>
    </row>
    <row r="25541">
      <c r="BB25541" s="122"/>
      <c r="BC25541" s="141"/>
    </row>
    <row r="25542">
      <c r="BB25542" s="122"/>
      <c r="BC25542" s="141"/>
    </row>
    <row r="25543">
      <c r="BB25543" s="122"/>
      <c r="BC25543" s="141"/>
    </row>
    <row r="25544">
      <c r="BB25544" s="122"/>
      <c r="BC25544" s="141"/>
    </row>
    <row r="25545">
      <c r="BB25545" s="122"/>
      <c r="BC25545" s="141"/>
    </row>
    <row r="25546">
      <c r="BB25546" s="122"/>
      <c r="BC25546" s="141"/>
    </row>
    <row r="25547">
      <c r="BB25547" s="122"/>
      <c r="BC25547" s="141"/>
    </row>
    <row r="25548">
      <c r="BB25548" s="122"/>
      <c r="BC25548" s="141"/>
    </row>
    <row r="25549">
      <c r="BB25549" s="122"/>
      <c r="BC25549" s="141"/>
    </row>
    <row r="25550">
      <c r="BB25550" s="122"/>
      <c r="BC25550" s="141"/>
    </row>
    <row r="25551">
      <c r="BB25551" s="122"/>
      <c r="BC25551" s="141"/>
    </row>
    <row r="25552">
      <c r="BB25552" s="122"/>
      <c r="BC25552" s="141"/>
    </row>
    <row r="25553">
      <c r="BB25553" s="122"/>
      <c r="BC25553" s="141"/>
    </row>
    <row r="25554">
      <c r="BB25554" s="122"/>
      <c r="BC25554" s="141"/>
    </row>
    <row r="25555">
      <c r="BB25555" s="122"/>
      <c r="BC25555" s="141"/>
    </row>
    <row r="25556">
      <c r="BB25556" s="122"/>
      <c r="BC25556" s="141"/>
    </row>
    <row r="25557">
      <c r="BB25557" s="122"/>
      <c r="BC25557" s="141"/>
    </row>
    <row r="25558">
      <c r="BB25558" s="122"/>
      <c r="BC25558" s="141"/>
    </row>
    <row r="25559">
      <c r="BB25559" s="122"/>
      <c r="BC25559" s="141"/>
    </row>
    <row r="25560">
      <c r="BB25560" s="122"/>
      <c r="BC25560" s="141"/>
    </row>
    <row r="25561">
      <c r="BB25561" s="122"/>
      <c r="BC25561" s="141"/>
    </row>
    <row r="25562">
      <c r="BB25562" s="122"/>
      <c r="BC25562" s="141"/>
    </row>
    <row r="25563">
      <c r="BB25563" s="122"/>
      <c r="BC25563" s="141"/>
    </row>
    <row r="25564">
      <c r="BB25564" s="122"/>
      <c r="BC25564" s="141"/>
    </row>
    <row r="25565">
      <c r="BB25565" s="122"/>
      <c r="BC25565" s="141"/>
    </row>
    <row r="25566">
      <c r="BB25566" s="122"/>
      <c r="BC25566" s="141"/>
    </row>
    <row r="25567">
      <c r="BB25567" s="122"/>
      <c r="BC25567" s="141"/>
    </row>
    <row r="25568">
      <c r="BB25568" s="122"/>
      <c r="BC25568" s="141"/>
    </row>
    <row r="25569">
      <c r="BB25569" s="122"/>
      <c r="BC25569" s="141"/>
    </row>
    <row r="25570">
      <c r="BB25570" s="122"/>
      <c r="BC25570" s="141"/>
    </row>
    <row r="25571">
      <c r="BB25571" s="122"/>
      <c r="BC25571" s="141"/>
    </row>
    <row r="25572">
      <c r="BB25572" s="122"/>
      <c r="BC25572" s="141"/>
    </row>
    <row r="25573">
      <c r="BB25573" s="122"/>
      <c r="BC25573" s="141"/>
    </row>
    <row r="25574">
      <c r="BB25574" s="122"/>
      <c r="BC25574" s="141"/>
    </row>
    <row r="25575">
      <c r="BB25575" s="122"/>
      <c r="BC25575" s="141"/>
    </row>
    <row r="25576">
      <c r="BB25576" s="122"/>
      <c r="BC25576" s="141"/>
    </row>
    <row r="25577">
      <c r="BB25577" s="122"/>
      <c r="BC25577" s="141"/>
    </row>
    <row r="25578">
      <c r="BB25578" s="122"/>
      <c r="BC25578" s="141"/>
    </row>
    <row r="25579">
      <c r="BB25579" s="122"/>
      <c r="BC25579" s="141"/>
    </row>
    <row r="25580">
      <c r="BB25580" s="122"/>
      <c r="BC25580" s="141"/>
    </row>
    <row r="25581">
      <c r="BB25581" s="122"/>
      <c r="BC25581" s="141"/>
    </row>
    <row r="25582">
      <c r="BB25582" s="122"/>
      <c r="BC25582" s="141"/>
    </row>
    <row r="25583">
      <c r="BB25583" s="122"/>
      <c r="BC25583" s="141"/>
    </row>
    <row r="25584">
      <c r="BB25584" s="122"/>
      <c r="BC25584" s="141"/>
    </row>
    <row r="25585">
      <c r="BB25585" s="122"/>
      <c r="BC25585" s="141"/>
    </row>
    <row r="25586">
      <c r="BB25586" s="122"/>
      <c r="BC25586" s="141"/>
    </row>
    <row r="25587">
      <c r="BB25587" s="122"/>
      <c r="BC25587" s="141"/>
    </row>
    <row r="25588">
      <c r="BB25588" s="122"/>
      <c r="BC25588" s="141"/>
    </row>
    <row r="25589">
      <c r="BB25589" s="122"/>
      <c r="BC25589" s="141"/>
    </row>
    <row r="25590">
      <c r="BB25590" s="122"/>
      <c r="BC25590" s="141"/>
    </row>
    <row r="25591">
      <c r="BB25591" s="122"/>
      <c r="BC25591" s="141"/>
    </row>
    <row r="25592">
      <c r="BB25592" s="122"/>
      <c r="BC25592" s="141"/>
    </row>
    <row r="25593">
      <c r="BB25593" s="122"/>
      <c r="BC25593" s="141"/>
    </row>
    <row r="25594">
      <c r="BB25594" s="122"/>
      <c r="BC25594" s="141"/>
    </row>
    <row r="25595">
      <c r="BB25595" s="122"/>
      <c r="BC25595" s="141"/>
    </row>
    <row r="25596">
      <c r="BB25596" s="122"/>
      <c r="BC25596" s="141"/>
    </row>
    <row r="25597">
      <c r="BB25597" s="122"/>
      <c r="BC25597" s="141"/>
    </row>
    <row r="25598">
      <c r="BB25598" s="122"/>
      <c r="BC25598" s="141"/>
    </row>
    <row r="25599">
      <c r="BB25599" s="122"/>
      <c r="BC25599" s="141"/>
    </row>
    <row r="25600">
      <c r="BB25600" s="122"/>
      <c r="BC25600" s="141"/>
    </row>
    <row r="25601">
      <c r="BB25601" s="122"/>
      <c r="BC25601" s="141"/>
    </row>
    <row r="25602">
      <c r="BB25602" s="122"/>
      <c r="BC25602" s="141"/>
    </row>
    <row r="25603">
      <c r="BB25603" s="122"/>
      <c r="BC25603" s="141"/>
    </row>
    <row r="25604">
      <c r="BB25604" s="122"/>
      <c r="BC25604" s="141"/>
    </row>
    <row r="25605">
      <c r="BB25605" s="122"/>
      <c r="BC25605" s="141"/>
    </row>
    <row r="25606">
      <c r="BB25606" s="122"/>
      <c r="BC25606" s="141"/>
    </row>
    <row r="25607">
      <c r="BB25607" s="122"/>
      <c r="BC25607" s="141"/>
    </row>
    <row r="25608">
      <c r="BB25608" s="122"/>
      <c r="BC25608" s="141"/>
    </row>
    <row r="25609">
      <c r="BB25609" s="122"/>
      <c r="BC25609" s="141"/>
    </row>
    <row r="25610">
      <c r="BB25610" s="122"/>
      <c r="BC25610" s="141"/>
    </row>
    <row r="25611">
      <c r="BB25611" s="122"/>
      <c r="BC25611" s="141"/>
    </row>
    <row r="25612">
      <c r="BB25612" s="122"/>
      <c r="BC25612" s="141"/>
    </row>
    <row r="25613">
      <c r="BB25613" s="122"/>
      <c r="BC25613" s="141"/>
    </row>
    <row r="25614">
      <c r="BB25614" s="122"/>
      <c r="BC25614" s="141"/>
    </row>
    <row r="25615">
      <c r="BB25615" s="122"/>
      <c r="BC25615" s="141"/>
    </row>
    <row r="25616">
      <c r="BB25616" s="122"/>
      <c r="BC25616" s="141"/>
    </row>
    <row r="25617">
      <c r="BB25617" s="122"/>
      <c r="BC25617" s="141"/>
    </row>
    <row r="25618">
      <c r="BB25618" s="122"/>
      <c r="BC25618" s="141"/>
    </row>
    <row r="25619">
      <c r="BB25619" s="122"/>
      <c r="BC25619" s="141"/>
    </row>
    <row r="25620">
      <c r="BB25620" s="122"/>
      <c r="BC25620" s="141"/>
    </row>
    <row r="25621">
      <c r="BB25621" s="122"/>
      <c r="BC25621" s="141"/>
    </row>
    <row r="25622">
      <c r="BB25622" s="122"/>
      <c r="BC25622" s="141"/>
    </row>
    <row r="25623">
      <c r="BB25623" s="122"/>
      <c r="BC25623" s="141"/>
    </row>
    <row r="25624">
      <c r="BB25624" s="122"/>
      <c r="BC25624" s="141"/>
    </row>
    <row r="25625">
      <c r="BB25625" s="122"/>
      <c r="BC25625" s="141"/>
    </row>
    <row r="25626">
      <c r="BB25626" s="122"/>
      <c r="BC25626" s="141"/>
    </row>
    <row r="25627">
      <c r="BB25627" s="122"/>
      <c r="BC25627" s="141"/>
    </row>
    <row r="25628">
      <c r="BB25628" s="122"/>
      <c r="BC25628" s="141"/>
    </row>
    <row r="25629">
      <c r="BB25629" s="122"/>
      <c r="BC25629" s="141"/>
    </row>
    <row r="25630">
      <c r="BB25630" s="122"/>
      <c r="BC25630" s="141"/>
    </row>
    <row r="25631">
      <c r="BB25631" s="122"/>
      <c r="BC25631" s="141"/>
    </row>
    <row r="25632">
      <c r="BB25632" s="122"/>
      <c r="BC25632" s="141"/>
    </row>
    <row r="25633">
      <c r="BB25633" s="122"/>
      <c r="BC25633" s="141"/>
    </row>
    <row r="25634">
      <c r="BB25634" s="122"/>
      <c r="BC25634" s="141"/>
    </row>
    <row r="25635">
      <c r="BB25635" s="122"/>
      <c r="BC25635" s="141"/>
    </row>
    <row r="25636">
      <c r="BB25636" s="122"/>
      <c r="BC25636" s="141"/>
    </row>
    <row r="25637">
      <c r="BB25637" s="122"/>
      <c r="BC25637" s="141"/>
    </row>
    <row r="25638">
      <c r="BB25638" s="122"/>
      <c r="BC25638" s="141"/>
    </row>
    <row r="25639">
      <c r="BB25639" s="122"/>
      <c r="BC25639" s="141"/>
    </row>
    <row r="25640">
      <c r="BB25640" s="122"/>
      <c r="BC25640" s="141"/>
    </row>
    <row r="25641">
      <c r="BB25641" s="122"/>
      <c r="BC25641" s="141"/>
    </row>
    <row r="25642">
      <c r="BB25642" s="122"/>
      <c r="BC25642" s="141"/>
    </row>
    <row r="25643">
      <c r="BB25643" s="122"/>
      <c r="BC25643" s="141"/>
    </row>
    <row r="25644">
      <c r="BB25644" s="122"/>
      <c r="BC25644" s="141"/>
    </row>
    <row r="25645">
      <c r="BB25645" s="122"/>
      <c r="BC25645" s="141"/>
    </row>
    <row r="25646">
      <c r="BB25646" s="122"/>
      <c r="BC25646" s="141"/>
    </row>
    <row r="25647">
      <c r="BB25647" s="122"/>
      <c r="BC25647" s="141"/>
    </row>
    <row r="25648">
      <c r="BB25648" s="122"/>
      <c r="BC25648" s="141"/>
    </row>
    <row r="25649">
      <c r="BB25649" s="122"/>
      <c r="BC25649" s="141"/>
    </row>
    <row r="25650">
      <c r="BB25650" s="122"/>
      <c r="BC25650" s="141"/>
    </row>
    <row r="25651">
      <c r="BB25651" s="122"/>
      <c r="BC25651" s="141"/>
    </row>
    <row r="25652">
      <c r="BB25652" s="122"/>
      <c r="BC25652" s="141"/>
    </row>
    <row r="25653">
      <c r="BB25653" s="122"/>
      <c r="BC25653" s="141"/>
    </row>
    <row r="25654">
      <c r="BB25654" s="122"/>
      <c r="BC25654" s="141"/>
    </row>
    <row r="25655">
      <c r="BB25655" s="122"/>
      <c r="BC25655" s="141"/>
    </row>
    <row r="25656">
      <c r="BB25656" s="122"/>
      <c r="BC25656" s="141"/>
    </row>
    <row r="25657">
      <c r="BB25657" s="122"/>
      <c r="BC25657" s="141"/>
    </row>
    <row r="25658">
      <c r="BB25658" s="122"/>
      <c r="BC25658" s="141"/>
    </row>
    <row r="25659">
      <c r="BB25659" s="122"/>
      <c r="BC25659" s="141"/>
    </row>
    <row r="25660">
      <c r="BB25660" s="122"/>
      <c r="BC25660" s="141"/>
    </row>
    <row r="25661">
      <c r="BB25661" s="122"/>
      <c r="BC25661" s="141"/>
    </row>
    <row r="25662">
      <c r="BB25662" s="122"/>
      <c r="BC25662" s="141"/>
    </row>
    <row r="25663">
      <c r="BB25663" s="122"/>
      <c r="BC25663" s="141"/>
    </row>
    <row r="25664">
      <c r="BB25664" s="122"/>
      <c r="BC25664" s="141"/>
    </row>
    <row r="25665">
      <c r="BB25665" s="122"/>
      <c r="BC25665" s="141"/>
    </row>
    <row r="25666">
      <c r="BB25666" s="122"/>
      <c r="BC25666" s="141"/>
    </row>
    <row r="25667">
      <c r="BB25667" s="122"/>
      <c r="BC25667" s="141"/>
    </row>
    <row r="25668">
      <c r="BB25668" s="122"/>
      <c r="BC25668" s="141"/>
    </row>
    <row r="25669">
      <c r="BB25669" s="122"/>
      <c r="BC25669" s="141"/>
    </row>
    <row r="25670">
      <c r="BB25670" s="122"/>
      <c r="BC25670" s="141"/>
    </row>
    <row r="25671">
      <c r="BB25671" s="122"/>
      <c r="BC25671" s="141"/>
    </row>
    <row r="25672">
      <c r="BB25672" s="122"/>
      <c r="BC25672" s="141"/>
    </row>
    <row r="25673">
      <c r="BB25673" s="122"/>
      <c r="BC25673" s="141"/>
    </row>
    <row r="25674">
      <c r="BB25674" s="122"/>
      <c r="BC25674" s="141"/>
    </row>
    <row r="25675">
      <c r="BB25675" s="122"/>
      <c r="BC25675" s="141"/>
    </row>
    <row r="25676">
      <c r="BB25676" s="122"/>
      <c r="BC25676" s="141"/>
    </row>
    <row r="25677">
      <c r="BB25677" s="122"/>
      <c r="BC25677" s="141"/>
    </row>
    <row r="25678">
      <c r="BB25678" s="122"/>
      <c r="BC25678" s="141"/>
    </row>
    <row r="25679">
      <c r="BB25679" s="122"/>
      <c r="BC25679" s="141"/>
    </row>
    <row r="25680">
      <c r="BB25680" s="122"/>
      <c r="BC25680" s="141"/>
    </row>
    <row r="25681">
      <c r="BB25681" s="122"/>
      <c r="BC25681" s="141"/>
    </row>
    <row r="25682">
      <c r="BB25682" s="122"/>
      <c r="BC25682" s="141"/>
    </row>
    <row r="25683">
      <c r="BB25683" s="122"/>
      <c r="BC25683" s="141"/>
    </row>
    <row r="25684">
      <c r="BB25684" s="122"/>
      <c r="BC25684" s="141"/>
    </row>
    <row r="25685">
      <c r="BB25685" s="122"/>
      <c r="BC25685" s="141"/>
    </row>
    <row r="25686">
      <c r="BB25686" s="122"/>
      <c r="BC25686" s="141"/>
    </row>
    <row r="25687">
      <c r="BB25687" s="122"/>
      <c r="BC25687" s="141"/>
    </row>
    <row r="25688">
      <c r="BB25688" s="122"/>
      <c r="BC25688" s="141"/>
    </row>
    <row r="25689">
      <c r="BB25689" s="122"/>
      <c r="BC25689" s="141"/>
    </row>
    <row r="25690">
      <c r="BB25690" s="122"/>
      <c r="BC25690" s="141"/>
    </row>
    <row r="25691">
      <c r="BB25691" s="122"/>
      <c r="BC25691" s="141"/>
    </row>
    <row r="25692">
      <c r="BB25692" s="122"/>
      <c r="BC25692" s="141"/>
    </row>
    <row r="25693">
      <c r="BB25693" s="122"/>
      <c r="BC25693" s="141"/>
    </row>
    <row r="25694">
      <c r="BB25694" s="122"/>
      <c r="BC25694" s="141"/>
    </row>
    <row r="25695">
      <c r="BB25695" s="122"/>
      <c r="BC25695" s="141"/>
    </row>
    <row r="25696">
      <c r="BB25696" s="122"/>
      <c r="BC25696" s="141"/>
    </row>
    <row r="25697">
      <c r="BB25697" s="122"/>
      <c r="BC25697" s="141"/>
    </row>
    <row r="25698">
      <c r="BB25698" s="122"/>
      <c r="BC25698" s="141"/>
    </row>
    <row r="25699">
      <c r="BB25699" s="122"/>
      <c r="BC25699" s="141"/>
    </row>
    <row r="25700">
      <c r="BB25700" s="122"/>
      <c r="BC25700" s="141"/>
    </row>
    <row r="25701">
      <c r="BB25701" s="122"/>
      <c r="BC25701" s="141"/>
    </row>
    <row r="25702">
      <c r="BB25702" s="122"/>
      <c r="BC25702" s="141"/>
    </row>
    <row r="25703">
      <c r="BB25703" s="122"/>
      <c r="BC25703" s="141"/>
    </row>
    <row r="25704">
      <c r="BB25704" s="122"/>
      <c r="BC25704" s="141"/>
    </row>
    <row r="25705">
      <c r="BB25705" s="122"/>
      <c r="BC25705" s="141"/>
    </row>
    <row r="25706">
      <c r="BB25706" s="122"/>
      <c r="BC25706" s="141"/>
    </row>
    <row r="25707">
      <c r="BB25707" s="122"/>
      <c r="BC25707" s="141"/>
    </row>
    <row r="25708">
      <c r="BB25708" s="122"/>
      <c r="BC25708" s="141"/>
    </row>
    <row r="25709">
      <c r="BB25709" s="122"/>
      <c r="BC25709" s="141"/>
    </row>
    <row r="25710">
      <c r="BB25710" s="122"/>
      <c r="BC25710" s="141"/>
    </row>
    <row r="25711">
      <c r="BB25711" s="122"/>
      <c r="BC25711" s="141"/>
    </row>
    <row r="25712">
      <c r="BB25712" s="122"/>
      <c r="BC25712" s="141"/>
    </row>
    <row r="25713">
      <c r="BB25713" s="122"/>
      <c r="BC25713" s="141"/>
    </row>
    <row r="25714">
      <c r="BB25714" s="122"/>
      <c r="BC25714" s="141"/>
    </row>
    <row r="25715">
      <c r="BB25715" s="122"/>
      <c r="BC25715" s="141"/>
    </row>
    <row r="25716">
      <c r="BB25716" s="122"/>
      <c r="BC25716" s="141"/>
    </row>
    <row r="25717">
      <c r="BB25717" s="122"/>
      <c r="BC25717" s="141"/>
    </row>
    <row r="25718">
      <c r="BB25718" s="122"/>
      <c r="BC25718" s="141"/>
    </row>
    <row r="25719">
      <c r="BB25719" s="122"/>
      <c r="BC25719" s="141"/>
    </row>
    <row r="25720">
      <c r="BB25720" s="122"/>
      <c r="BC25720" s="141"/>
    </row>
    <row r="25721">
      <c r="BB25721" s="122"/>
      <c r="BC25721" s="141"/>
    </row>
    <row r="25722">
      <c r="BB25722" s="122"/>
      <c r="BC25722" s="141"/>
    </row>
    <row r="25723">
      <c r="BB25723" s="122"/>
      <c r="BC25723" s="141"/>
    </row>
    <row r="25724">
      <c r="BB25724" s="122"/>
      <c r="BC25724" s="141"/>
    </row>
    <row r="25725">
      <c r="BB25725" s="122"/>
      <c r="BC25725" s="141"/>
    </row>
    <row r="25726">
      <c r="BB25726" s="122"/>
      <c r="BC25726" s="141"/>
    </row>
    <row r="25727">
      <c r="BB25727" s="122"/>
      <c r="BC25727" s="141"/>
    </row>
    <row r="25728">
      <c r="BB25728" s="122"/>
      <c r="BC25728" s="141"/>
    </row>
    <row r="25729">
      <c r="BB25729" s="122"/>
      <c r="BC25729" s="141"/>
    </row>
    <row r="25730">
      <c r="BB25730" s="122"/>
      <c r="BC25730" s="141"/>
    </row>
    <row r="25731">
      <c r="BB25731" s="122"/>
      <c r="BC25731" s="141"/>
    </row>
    <row r="25732">
      <c r="BB25732" s="122"/>
      <c r="BC25732" s="141"/>
    </row>
    <row r="25733">
      <c r="BB25733" s="122"/>
      <c r="BC25733" s="141"/>
    </row>
    <row r="25734">
      <c r="BB25734" s="122"/>
      <c r="BC25734" s="141"/>
    </row>
    <row r="25735">
      <c r="BB25735" s="122"/>
      <c r="BC25735" s="141"/>
    </row>
    <row r="25736">
      <c r="BB25736" s="122"/>
      <c r="BC25736" s="141"/>
    </row>
    <row r="25737">
      <c r="BB25737" s="122"/>
      <c r="BC25737" s="141"/>
    </row>
    <row r="25738">
      <c r="BB25738" s="122"/>
      <c r="BC25738" s="141"/>
    </row>
    <row r="25739">
      <c r="BB25739" s="122"/>
      <c r="BC25739" s="141"/>
    </row>
    <row r="25740">
      <c r="BB25740" s="122"/>
      <c r="BC25740" s="141"/>
    </row>
    <row r="25741">
      <c r="BB25741" s="122"/>
      <c r="BC25741" s="141"/>
    </row>
    <row r="25742">
      <c r="BB25742" s="122"/>
      <c r="BC25742" s="141"/>
    </row>
    <row r="25743">
      <c r="BB25743" s="122"/>
      <c r="BC25743" s="141"/>
    </row>
    <row r="25744">
      <c r="BB25744" s="122"/>
      <c r="BC25744" s="141"/>
    </row>
    <row r="25745">
      <c r="BB25745" s="122"/>
      <c r="BC25745" s="141"/>
    </row>
    <row r="25746">
      <c r="BB25746" s="122"/>
      <c r="BC25746" s="141"/>
    </row>
    <row r="25747">
      <c r="BB25747" s="122"/>
      <c r="BC25747" s="141"/>
    </row>
    <row r="25748">
      <c r="BB25748" s="122"/>
      <c r="BC25748" s="141"/>
    </row>
    <row r="25749">
      <c r="BB25749" s="122"/>
      <c r="BC25749" s="141"/>
    </row>
    <row r="25750">
      <c r="BB25750" s="122"/>
      <c r="BC25750" s="141"/>
    </row>
    <row r="25751">
      <c r="BB25751" s="122"/>
      <c r="BC25751" s="141"/>
    </row>
    <row r="25752">
      <c r="BB25752" s="122"/>
      <c r="BC25752" s="141"/>
    </row>
    <row r="25753">
      <c r="BB25753" s="122"/>
      <c r="BC25753" s="141"/>
    </row>
    <row r="25754">
      <c r="BB25754" s="122"/>
      <c r="BC25754" s="141"/>
    </row>
    <row r="25755">
      <c r="BB25755" s="122"/>
      <c r="BC25755" s="141"/>
    </row>
    <row r="25756">
      <c r="BB25756" s="122"/>
      <c r="BC25756" s="141"/>
    </row>
    <row r="25757">
      <c r="BB25757" s="122"/>
      <c r="BC25757" s="141"/>
    </row>
    <row r="25758">
      <c r="BB25758" s="122"/>
      <c r="BC25758" s="141"/>
    </row>
    <row r="25759">
      <c r="BB25759" s="122"/>
      <c r="BC25759" s="141"/>
    </row>
    <row r="25760">
      <c r="BB25760" s="122"/>
      <c r="BC25760" s="141"/>
    </row>
    <row r="25761">
      <c r="BB25761" s="122"/>
      <c r="BC25761" s="141"/>
    </row>
    <row r="25762">
      <c r="BB25762" s="122"/>
      <c r="BC25762" s="141"/>
    </row>
    <row r="25763">
      <c r="BB25763" s="122"/>
      <c r="BC25763" s="141"/>
    </row>
    <row r="25764">
      <c r="BB25764" s="122"/>
      <c r="BC25764" s="141"/>
    </row>
    <row r="25765">
      <c r="BB25765" s="122"/>
      <c r="BC25765" s="141"/>
    </row>
    <row r="25766">
      <c r="BB25766" s="122"/>
      <c r="BC25766" s="141"/>
    </row>
    <row r="25767">
      <c r="BB25767" s="122"/>
      <c r="BC25767" s="141"/>
    </row>
    <row r="25768">
      <c r="BB25768" s="122"/>
      <c r="BC25768" s="141"/>
    </row>
    <row r="25769">
      <c r="BB25769" s="122"/>
      <c r="BC25769" s="141"/>
    </row>
    <row r="25770">
      <c r="BB25770" s="122"/>
      <c r="BC25770" s="141"/>
    </row>
    <row r="25771">
      <c r="BB25771" s="122"/>
      <c r="BC25771" s="141"/>
    </row>
    <row r="25772">
      <c r="BB25772" s="122"/>
      <c r="BC25772" s="141"/>
    </row>
    <row r="25773">
      <c r="BB25773" s="122"/>
      <c r="BC25773" s="141"/>
    </row>
    <row r="25774">
      <c r="BB25774" s="122"/>
      <c r="BC25774" s="141"/>
    </row>
    <row r="25775">
      <c r="BB25775" s="122"/>
      <c r="BC25775" s="141"/>
    </row>
    <row r="25776">
      <c r="BB25776" s="122"/>
      <c r="BC25776" s="141"/>
    </row>
    <row r="25777">
      <c r="BB25777" s="122"/>
      <c r="BC25777" s="141"/>
    </row>
    <row r="25778">
      <c r="BB25778" s="122"/>
      <c r="BC25778" s="141"/>
    </row>
    <row r="25779">
      <c r="BB25779" s="122"/>
      <c r="BC25779" s="141"/>
    </row>
    <row r="25780">
      <c r="BB25780" s="122"/>
      <c r="BC25780" s="141"/>
    </row>
    <row r="25781">
      <c r="BB25781" s="122"/>
      <c r="BC25781" s="141"/>
    </row>
    <row r="25782">
      <c r="BB25782" s="122"/>
      <c r="BC25782" s="141"/>
    </row>
    <row r="25783">
      <c r="BB25783" s="122"/>
      <c r="BC25783" s="141"/>
    </row>
    <row r="25784">
      <c r="BB25784" s="122"/>
      <c r="BC25784" s="141"/>
    </row>
    <row r="25785">
      <c r="BB25785" s="122"/>
      <c r="BC25785" s="141"/>
    </row>
    <row r="25786">
      <c r="BB25786" s="122"/>
      <c r="BC25786" s="141"/>
    </row>
    <row r="25787">
      <c r="BB25787" s="122"/>
      <c r="BC25787" s="141"/>
    </row>
    <row r="25788">
      <c r="BB25788" s="122"/>
      <c r="BC25788" s="141"/>
    </row>
    <row r="25789">
      <c r="BB25789" s="122"/>
      <c r="BC25789" s="141"/>
    </row>
    <row r="25790">
      <c r="BB25790" s="122"/>
      <c r="BC25790" s="141"/>
    </row>
    <row r="25791">
      <c r="BB25791" s="122"/>
      <c r="BC25791" s="141"/>
    </row>
    <row r="25792">
      <c r="BB25792" s="122"/>
      <c r="BC25792" s="141"/>
    </row>
    <row r="25793">
      <c r="BB25793" s="122"/>
      <c r="BC25793" s="141"/>
    </row>
    <row r="25794">
      <c r="BB25794" s="122"/>
      <c r="BC25794" s="141"/>
    </row>
    <row r="25795">
      <c r="BB25795" s="122"/>
      <c r="BC25795" s="141"/>
    </row>
    <row r="25796">
      <c r="BB25796" s="122"/>
      <c r="BC25796" s="141"/>
    </row>
    <row r="25797">
      <c r="BB25797" s="122"/>
      <c r="BC25797" s="141"/>
    </row>
    <row r="25798">
      <c r="BB25798" s="122"/>
      <c r="BC25798" s="141"/>
    </row>
    <row r="25799">
      <c r="BB25799" s="122"/>
      <c r="BC25799" s="141"/>
    </row>
    <row r="25800">
      <c r="BB25800" s="122"/>
      <c r="BC25800" s="141"/>
    </row>
    <row r="25801">
      <c r="BB25801" s="122"/>
      <c r="BC25801" s="141"/>
    </row>
    <row r="25802">
      <c r="BB25802" s="122"/>
      <c r="BC25802" s="141"/>
    </row>
    <row r="25803">
      <c r="BB25803" s="122"/>
      <c r="BC25803" s="141"/>
    </row>
    <row r="25804">
      <c r="BB25804" s="122"/>
      <c r="BC25804" s="141"/>
    </row>
    <row r="25805">
      <c r="BB25805" s="122"/>
      <c r="BC25805" s="141"/>
    </row>
    <row r="25806">
      <c r="BB25806" s="122"/>
      <c r="BC25806" s="141"/>
    </row>
    <row r="25807">
      <c r="BB25807" s="122"/>
      <c r="BC25807" s="141"/>
    </row>
    <row r="25808">
      <c r="BB25808" s="122"/>
      <c r="BC25808" s="141"/>
    </row>
    <row r="25809">
      <c r="BB25809" s="122"/>
      <c r="BC25809" s="141"/>
    </row>
    <row r="25810">
      <c r="BB25810" s="122"/>
      <c r="BC25810" s="141"/>
    </row>
    <row r="25811">
      <c r="BB25811" s="122"/>
      <c r="BC25811" s="141"/>
    </row>
    <row r="25812">
      <c r="BB25812" s="122"/>
      <c r="BC25812" s="141"/>
    </row>
    <row r="25813">
      <c r="BB25813" s="122"/>
      <c r="BC25813" s="141"/>
    </row>
    <row r="25814">
      <c r="BB25814" s="122"/>
      <c r="BC25814" s="141"/>
    </row>
    <row r="25815">
      <c r="BB25815" s="122"/>
      <c r="BC25815" s="141"/>
    </row>
    <row r="25816">
      <c r="BB25816" s="122"/>
      <c r="BC25816" s="141"/>
    </row>
    <row r="25817">
      <c r="BB25817" s="122"/>
      <c r="BC25817" s="141"/>
    </row>
    <row r="25818">
      <c r="BB25818" s="122"/>
      <c r="BC25818" s="141"/>
    </row>
    <row r="25819">
      <c r="BB25819" s="122"/>
      <c r="BC25819" s="141"/>
    </row>
    <row r="25820">
      <c r="BB25820" s="122"/>
      <c r="BC25820" s="141"/>
    </row>
    <row r="25821">
      <c r="BB25821" s="122"/>
      <c r="BC25821" s="141"/>
    </row>
    <row r="25822">
      <c r="BB25822" s="122"/>
      <c r="BC25822" s="141"/>
    </row>
    <row r="25823">
      <c r="BB25823" s="122"/>
      <c r="BC25823" s="141"/>
    </row>
    <row r="25824">
      <c r="BB25824" s="122"/>
      <c r="BC25824" s="141"/>
    </row>
    <row r="25825">
      <c r="BB25825" s="122"/>
      <c r="BC25825" s="141"/>
    </row>
    <row r="25826">
      <c r="BB25826" s="122"/>
      <c r="BC25826" s="141"/>
    </row>
    <row r="25827">
      <c r="BB25827" s="122"/>
      <c r="BC25827" s="141"/>
    </row>
    <row r="25828">
      <c r="BB25828" s="122"/>
      <c r="BC25828" s="141"/>
    </row>
    <row r="25829">
      <c r="BB25829" s="122"/>
      <c r="BC25829" s="141"/>
    </row>
    <row r="25830">
      <c r="BB25830" s="122"/>
      <c r="BC25830" s="141"/>
    </row>
    <row r="25831">
      <c r="BB25831" s="122"/>
      <c r="BC25831" s="141"/>
    </row>
    <row r="25832">
      <c r="BB25832" s="122"/>
      <c r="BC25832" s="141"/>
    </row>
    <row r="25833">
      <c r="BB25833" s="122"/>
      <c r="BC25833" s="141"/>
    </row>
    <row r="25834">
      <c r="BB25834" s="122"/>
      <c r="BC25834" s="141"/>
    </row>
    <row r="25835">
      <c r="BB25835" s="122"/>
      <c r="BC25835" s="141"/>
    </row>
    <row r="25836">
      <c r="BB25836" s="122"/>
      <c r="BC25836" s="141"/>
    </row>
    <row r="25837">
      <c r="BB25837" s="122"/>
      <c r="BC25837" s="141"/>
    </row>
    <row r="25838">
      <c r="BB25838" s="122"/>
      <c r="BC25838" s="141"/>
    </row>
    <row r="25839">
      <c r="BB25839" s="122"/>
      <c r="BC25839" s="141"/>
    </row>
    <row r="25840">
      <c r="BB25840" s="122"/>
      <c r="BC25840" s="141"/>
    </row>
    <row r="25841">
      <c r="BB25841" s="122"/>
      <c r="BC25841" s="141"/>
    </row>
    <row r="25842">
      <c r="BB25842" s="122"/>
      <c r="BC25842" s="141"/>
    </row>
    <row r="25843">
      <c r="BB25843" s="122"/>
      <c r="BC25843" s="141"/>
    </row>
    <row r="25844">
      <c r="BB25844" s="122"/>
      <c r="BC25844" s="141"/>
    </row>
    <row r="25845">
      <c r="BB25845" s="122"/>
      <c r="BC25845" s="141"/>
    </row>
    <row r="25846">
      <c r="BB25846" s="122"/>
      <c r="BC25846" s="141"/>
    </row>
    <row r="25847">
      <c r="BB25847" s="122"/>
      <c r="BC25847" s="141"/>
    </row>
    <row r="25848">
      <c r="BB25848" s="122"/>
      <c r="BC25848" s="141"/>
    </row>
    <row r="25849">
      <c r="BB25849" s="122"/>
      <c r="BC25849" s="141"/>
    </row>
    <row r="25850">
      <c r="BB25850" s="122"/>
      <c r="BC25850" s="141"/>
    </row>
    <row r="25851">
      <c r="BB25851" s="122"/>
      <c r="BC25851" s="141"/>
    </row>
    <row r="25852">
      <c r="BB25852" s="122"/>
      <c r="BC25852" s="141"/>
    </row>
    <row r="25853">
      <c r="BB25853" s="122"/>
      <c r="BC25853" s="141"/>
    </row>
    <row r="25854">
      <c r="BB25854" s="122"/>
      <c r="BC25854" s="141"/>
    </row>
    <row r="25855">
      <c r="BB25855" s="122"/>
      <c r="BC25855" s="141"/>
    </row>
    <row r="25856">
      <c r="BB25856" s="122"/>
      <c r="BC25856" s="141"/>
    </row>
    <row r="25857">
      <c r="BB25857" s="122"/>
      <c r="BC25857" s="141"/>
    </row>
    <row r="25858">
      <c r="BB25858" s="122"/>
      <c r="BC25858" s="141"/>
    </row>
    <row r="25859">
      <c r="BB25859" s="122"/>
      <c r="BC25859" s="141"/>
    </row>
    <row r="25860">
      <c r="BB25860" s="122"/>
      <c r="BC25860" s="141"/>
    </row>
    <row r="25861">
      <c r="BB25861" s="122"/>
      <c r="BC25861" s="141"/>
    </row>
    <row r="25862">
      <c r="BB25862" s="122"/>
      <c r="BC25862" s="141"/>
    </row>
    <row r="25863">
      <c r="BB25863" s="122"/>
      <c r="BC25863" s="141"/>
    </row>
    <row r="25864">
      <c r="BB25864" s="122"/>
      <c r="BC25864" s="141"/>
    </row>
    <row r="25865">
      <c r="BB25865" s="122"/>
      <c r="BC25865" s="141"/>
    </row>
    <row r="25866">
      <c r="BB25866" s="122"/>
      <c r="BC25866" s="141"/>
    </row>
    <row r="25867">
      <c r="BB25867" s="122"/>
      <c r="BC25867" s="141"/>
    </row>
    <row r="25868">
      <c r="BB25868" s="122"/>
      <c r="BC25868" s="141"/>
    </row>
    <row r="25869">
      <c r="BB25869" s="122"/>
      <c r="BC25869" s="141"/>
    </row>
    <row r="25870">
      <c r="BB25870" s="122"/>
      <c r="BC25870" s="141"/>
    </row>
    <row r="25871">
      <c r="BB25871" s="122"/>
      <c r="BC25871" s="141"/>
    </row>
    <row r="25872">
      <c r="BB25872" s="122"/>
      <c r="BC25872" s="141"/>
    </row>
    <row r="25873">
      <c r="BB25873" s="122"/>
      <c r="BC25873" s="141"/>
    </row>
    <row r="25874">
      <c r="BB25874" s="122"/>
      <c r="BC25874" s="141"/>
    </row>
    <row r="25875">
      <c r="BB25875" s="122"/>
      <c r="BC25875" s="141"/>
    </row>
    <row r="25876">
      <c r="BB25876" s="122"/>
      <c r="BC25876" s="141"/>
    </row>
    <row r="25877">
      <c r="BB25877" s="122"/>
      <c r="BC25877" s="141"/>
    </row>
    <row r="25878">
      <c r="BB25878" s="122"/>
      <c r="BC25878" s="141"/>
    </row>
    <row r="25879">
      <c r="BB25879" s="122"/>
      <c r="BC25879" s="141"/>
    </row>
    <row r="25880">
      <c r="BB25880" s="122"/>
      <c r="BC25880" s="141"/>
    </row>
    <row r="25881">
      <c r="BB25881" s="122"/>
      <c r="BC25881" s="141"/>
    </row>
    <row r="25882">
      <c r="BB25882" s="122"/>
      <c r="BC25882" s="141"/>
    </row>
    <row r="25883">
      <c r="BB25883" s="122"/>
      <c r="BC25883" s="141"/>
    </row>
    <row r="25884">
      <c r="BB25884" s="122"/>
      <c r="BC25884" s="141"/>
    </row>
    <row r="25885">
      <c r="BB25885" s="122"/>
      <c r="BC25885" s="141"/>
    </row>
    <row r="25886">
      <c r="BB25886" s="122"/>
      <c r="BC25886" s="141"/>
    </row>
    <row r="25887">
      <c r="BB25887" s="122"/>
      <c r="BC25887" s="141"/>
    </row>
    <row r="25888">
      <c r="BB25888" s="122"/>
      <c r="BC25888" s="141"/>
    </row>
    <row r="25889">
      <c r="BB25889" s="122"/>
      <c r="BC25889" s="141"/>
    </row>
    <row r="25890">
      <c r="BB25890" s="122"/>
      <c r="BC25890" s="141"/>
    </row>
    <row r="25891">
      <c r="BB25891" s="122"/>
      <c r="BC25891" s="141"/>
    </row>
    <row r="25892">
      <c r="BB25892" s="122"/>
      <c r="BC25892" s="141"/>
    </row>
    <row r="25893">
      <c r="BB25893" s="122"/>
      <c r="BC25893" s="141"/>
    </row>
    <row r="25894">
      <c r="BB25894" s="122"/>
      <c r="BC25894" s="141"/>
    </row>
    <row r="25895">
      <c r="BB25895" s="122"/>
      <c r="BC25895" s="141"/>
    </row>
    <row r="25896">
      <c r="BB25896" s="122"/>
      <c r="BC25896" s="141"/>
    </row>
    <row r="25897">
      <c r="BB25897" s="122"/>
      <c r="BC25897" s="141"/>
    </row>
    <row r="25898">
      <c r="BB25898" s="122"/>
      <c r="BC25898" s="141"/>
    </row>
    <row r="25899">
      <c r="BB25899" s="122"/>
      <c r="BC25899" s="141"/>
    </row>
    <row r="25900">
      <c r="BB25900" s="122"/>
      <c r="BC25900" s="141"/>
    </row>
    <row r="25901">
      <c r="BB25901" s="122"/>
      <c r="BC25901" s="141"/>
    </row>
    <row r="25902">
      <c r="BB25902" s="122"/>
      <c r="BC25902" s="141"/>
    </row>
    <row r="25903">
      <c r="BB25903" s="122"/>
      <c r="BC25903" s="141"/>
    </row>
    <row r="25904">
      <c r="BB25904" s="122"/>
      <c r="BC25904" s="141"/>
    </row>
    <row r="25905">
      <c r="BB25905" s="122"/>
      <c r="BC25905" s="141"/>
    </row>
    <row r="25906">
      <c r="BB25906" s="122"/>
      <c r="BC25906" s="141"/>
    </row>
    <row r="25907">
      <c r="BB25907" s="122"/>
      <c r="BC25907" s="141"/>
    </row>
    <row r="25908">
      <c r="BB25908" s="122"/>
      <c r="BC25908" s="141"/>
    </row>
    <row r="25909">
      <c r="BB25909" s="122"/>
      <c r="BC25909" s="141"/>
    </row>
    <row r="25910">
      <c r="BB25910" s="122"/>
      <c r="BC25910" s="141"/>
    </row>
    <row r="25911">
      <c r="BB25911" s="122"/>
      <c r="BC25911" s="141"/>
    </row>
    <row r="25912">
      <c r="BB25912" s="122"/>
      <c r="BC25912" s="141"/>
    </row>
    <row r="25913">
      <c r="BB25913" s="122"/>
      <c r="BC25913" s="141"/>
    </row>
    <row r="25914">
      <c r="BB25914" s="122"/>
      <c r="BC25914" s="141"/>
    </row>
    <row r="25915">
      <c r="BB25915" s="122"/>
      <c r="BC25915" s="141"/>
    </row>
    <row r="25916">
      <c r="BB25916" s="122"/>
      <c r="BC25916" s="141"/>
    </row>
    <row r="25917">
      <c r="BB25917" s="122"/>
      <c r="BC25917" s="141"/>
    </row>
    <row r="25918">
      <c r="BB25918" s="122"/>
      <c r="BC25918" s="141"/>
    </row>
    <row r="25919">
      <c r="BB25919" s="122"/>
      <c r="BC25919" s="141"/>
    </row>
    <row r="25920">
      <c r="BB25920" s="122"/>
      <c r="BC25920" s="141"/>
    </row>
    <row r="25921">
      <c r="BB25921" s="122"/>
      <c r="BC25921" s="141"/>
    </row>
    <row r="25922">
      <c r="BB25922" s="122"/>
      <c r="BC25922" s="141"/>
    </row>
    <row r="25923">
      <c r="BB25923" s="122"/>
      <c r="BC25923" s="141"/>
    </row>
    <row r="25924">
      <c r="BB25924" s="122"/>
      <c r="BC25924" s="141"/>
    </row>
    <row r="25925">
      <c r="BB25925" s="122"/>
      <c r="BC25925" s="141"/>
    </row>
    <row r="25926">
      <c r="BB25926" s="122"/>
      <c r="BC25926" s="141"/>
    </row>
    <row r="25927">
      <c r="BB25927" s="122"/>
      <c r="BC25927" s="141"/>
    </row>
    <row r="25928">
      <c r="BB25928" s="122"/>
      <c r="BC25928" s="141"/>
    </row>
    <row r="25929">
      <c r="BB25929" s="122"/>
      <c r="BC25929" s="141"/>
    </row>
    <row r="25930">
      <c r="BB25930" s="122"/>
      <c r="BC25930" s="141"/>
    </row>
    <row r="25931">
      <c r="BB25931" s="122"/>
      <c r="BC25931" s="141"/>
    </row>
    <row r="25932">
      <c r="BB25932" s="122"/>
      <c r="BC25932" s="141"/>
    </row>
    <row r="25933">
      <c r="BB25933" s="122"/>
      <c r="BC25933" s="141"/>
    </row>
    <row r="25934">
      <c r="BB25934" s="122"/>
      <c r="BC25934" s="141"/>
    </row>
    <row r="25935">
      <c r="BB25935" s="122"/>
      <c r="BC25935" s="141"/>
    </row>
    <row r="25936">
      <c r="BB25936" s="122"/>
      <c r="BC25936" s="141"/>
    </row>
    <row r="25937">
      <c r="BB25937" s="122"/>
      <c r="BC25937" s="141"/>
    </row>
    <row r="25938">
      <c r="BB25938" s="122"/>
      <c r="BC25938" s="141"/>
    </row>
    <row r="25939">
      <c r="BB25939" s="122"/>
      <c r="BC25939" s="141"/>
    </row>
    <row r="25940">
      <c r="BB25940" s="122"/>
      <c r="BC25940" s="141"/>
    </row>
    <row r="25941">
      <c r="BB25941" s="122"/>
      <c r="BC25941" s="141"/>
    </row>
    <row r="25942">
      <c r="BB25942" s="122"/>
      <c r="BC25942" s="141"/>
    </row>
    <row r="25943">
      <c r="BB25943" s="122"/>
      <c r="BC25943" s="141"/>
    </row>
    <row r="25944">
      <c r="BB25944" s="122"/>
      <c r="BC25944" s="141"/>
    </row>
    <row r="25945">
      <c r="BB25945" s="122"/>
      <c r="BC25945" s="141"/>
    </row>
    <row r="25946">
      <c r="BB25946" s="122"/>
      <c r="BC25946" s="141"/>
    </row>
    <row r="25947">
      <c r="BB25947" s="122"/>
      <c r="BC25947" s="141"/>
    </row>
    <row r="25948">
      <c r="BB25948" s="122"/>
      <c r="BC25948" s="141"/>
    </row>
    <row r="25949">
      <c r="BB25949" s="122"/>
      <c r="BC25949" s="141"/>
    </row>
    <row r="25950">
      <c r="BB25950" s="122"/>
      <c r="BC25950" s="141"/>
    </row>
    <row r="25951">
      <c r="BB25951" s="122"/>
      <c r="BC25951" s="141"/>
    </row>
    <row r="25952">
      <c r="BB25952" s="122"/>
      <c r="BC25952" s="141"/>
    </row>
    <row r="25953">
      <c r="BB25953" s="122"/>
      <c r="BC25953" s="141"/>
    </row>
    <row r="25954">
      <c r="BB25954" s="122"/>
      <c r="BC25954" s="141"/>
    </row>
    <row r="25955">
      <c r="BB25955" s="122"/>
      <c r="BC25955" s="141"/>
    </row>
    <row r="25956">
      <c r="BB25956" s="122"/>
      <c r="BC25956" s="141"/>
    </row>
    <row r="25957">
      <c r="BB25957" s="122"/>
      <c r="BC25957" s="141"/>
    </row>
    <row r="25958">
      <c r="BB25958" s="122"/>
      <c r="BC25958" s="141"/>
    </row>
    <row r="25959">
      <c r="BB25959" s="122"/>
      <c r="BC25959" s="141"/>
    </row>
    <row r="25960">
      <c r="BB25960" s="122"/>
      <c r="BC25960" s="141"/>
    </row>
    <row r="25961">
      <c r="BB25961" s="122"/>
      <c r="BC25961" s="141"/>
    </row>
    <row r="25962">
      <c r="BB25962" s="122"/>
      <c r="BC25962" s="141"/>
    </row>
    <row r="25963">
      <c r="BB25963" s="122"/>
      <c r="BC25963" s="141"/>
    </row>
    <row r="25964">
      <c r="BB25964" s="122"/>
      <c r="BC25964" s="141"/>
    </row>
    <row r="25965">
      <c r="BB25965" s="122"/>
      <c r="BC25965" s="141"/>
    </row>
    <row r="25966">
      <c r="BB25966" s="122"/>
      <c r="BC25966" s="141"/>
    </row>
    <row r="25967">
      <c r="BB25967" s="122"/>
      <c r="BC25967" s="141"/>
    </row>
    <row r="25968">
      <c r="BB25968" s="122"/>
      <c r="BC25968" s="141"/>
    </row>
    <row r="25969">
      <c r="BB25969" s="122"/>
      <c r="BC25969" s="141"/>
    </row>
    <row r="25970">
      <c r="BB25970" s="122"/>
      <c r="BC25970" s="141"/>
    </row>
    <row r="25971">
      <c r="BB25971" s="122"/>
      <c r="BC25971" s="141"/>
    </row>
    <row r="25972">
      <c r="BB25972" s="122"/>
      <c r="BC25972" s="141"/>
    </row>
    <row r="25973">
      <c r="BB25973" s="122"/>
      <c r="BC25973" s="141"/>
    </row>
    <row r="25974">
      <c r="BB25974" s="122"/>
      <c r="BC25974" s="141"/>
    </row>
    <row r="25975">
      <c r="BB25975" s="122"/>
      <c r="BC25975" s="141"/>
    </row>
    <row r="25976">
      <c r="BB25976" s="122"/>
      <c r="BC25976" s="141"/>
    </row>
    <row r="25977">
      <c r="BB25977" s="122"/>
      <c r="BC25977" s="141"/>
    </row>
    <row r="25978">
      <c r="BB25978" s="122"/>
      <c r="BC25978" s="141"/>
    </row>
    <row r="25979">
      <c r="BB25979" s="122"/>
      <c r="BC25979" s="141"/>
    </row>
    <row r="25980">
      <c r="BB25980" s="122"/>
      <c r="BC25980" s="141"/>
    </row>
    <row r="25981">
      <c r="BB25981" s="122"/>
      <c r="BC25981" s="141"/>
    </row>
    <row r="25982">
      <c r="BB25982" s="122"/>
      <c r="BC25982" s="141"/>
    </row>
    <row r="25983">
      <c r="BB25983" s="122"/>
      <c r="BC25983" s="141"/>
    </row>
    <row r="25984">
      <c r="BB25984" s="122"/>
      <c r="BC25984" s="141"/>
    </row>
    <row r="25985">
      <c r="BB25985" s="122"/>
      <c r="BC25985" s="141"/>
    </row>
    <row r="25986">
      <c r="BB25986" s="122"/>
      <c r="BC25986" s="141"/>
    </row>
    <row r="25987">
      <c r="BB25987" s="122"/>
      <c r="BC25987" s="141"/>
    </row>
    <row r="25988">
      <c r="BB25988" s="122"/>
      <c r="BC25988" s="141"/>
    </row>
    <row r="25989">
      <c r="BB25989" s="122"/>
      <c r="BC25989" s="141"/>
    </row>
    <row r="25990">
      <c r="BB25990" s="122"/>
      <c r="BC25990" s="141"/>
    </row>
    <row r="25991">
      <c r="BB25991" s="122"/>
      <c r="BC25991" s="141"/>
    </row>
    <row r="25992">
      <c r="BB25992" s="122"/>
      <c r="BC25992" s="141"/>
    </row>
    <row r="25993">
      <c r="BB25993" s="122"/>
      <c r="BC25993" s="141"/>
    </row>
    <row r="25994">
      <c r="BB25994" s="122"/>
      <c r="BC25994" s="141"/>
    </row>
    <row r="25995">
      <c r="BB25995" s="122"/>
      <c r="BC25995" s="141"/>
    </row>
    <row r="25996">
      <c r="BB25996" s="122"/>
      <c r="BC25996" s="141"/>
    </row>
    <row r="25997">
      <c r="BB25997" s="122"/>
      <c r="BC25997" s="141"/>
    </row>
    <row r="25998">
      <c r="BB25998" s="122"/>
      <c r="BC25998" s="141"/>
    </row>
    <row r="25999">
      <c r="BB25999" s="122"/>
      <c r="BC25999" s="141"/>
    </row>
    <row r="26000">
      <c r="BB26000" s="122"/>
      <c r="BC26000" s="141"/>
    </row>
    <row r="26001">
      <c r="BB26001" s="122"/>
      <c r="BC26001" s="141"/>
    </row>
    <row r="26002">
      <c r="BB26002" s="122"/>
      <c r="BC26002" s="141"/>
    </row>
    <row r="26003">
      <c r="BB26003" s="122"/>
      <c r="BC26003" s="141"/>
    </row>
    <row r="26004">
      <c r="BB26004" s="122"/>
      <c r="BC26004" s="141"/>
    </row>
    <row r="26005">
      <c r="BB26005" s="122"/>
      <c r="BC26005" s="141"/>
    </row>
    <row r="26006">
      <c r="BB26006" s="122"/>
      <c r="BC26006" s="141"/>
    </row>
    <row r="26007">
      <c r="BB26007" s="122"/>
      <c r="BC26007" s="141"/>
    </row>
    <row r="26008">
      <c r="BB26008" s="122"/>
      <c r="BC26008" s="141"/>
    </row>
    <row r="26009">
      <c r="BB26009" s="122"/>
      <c r="BC26009" s="141"/>
    </row>
    <row r="26010">
      <c r="BB26010" s="122"/>
      <c r="BC26010" s="141"/>
    </row>
    <row r="26011">
      <c r="BB26011" s="122"/>
      <c r="BC26011" s="141"/>
    </row>
    <row r="26012">
      <c r="BB26012" s="122"/>
      <c r="BC26012" s="141"/>
    </row>
    <row r="26013">
      <c r="BB26013" s="122"/>
      <c r="BC26013" s="141"/>
    </row>
    <row r="26014">
      <c r="BB26014" s="122"/>
      <c r="BC26014" s="141"/>
    </row>
    <row r="26015">
      <c r="BB26015" s="122"/>
      <c r="BC26015" s="141"/>
    </row>
    <row r="26016">
      <c r="BB26016" s="122"/>
      <c r="BC26016" s="141"/>
    </row>
    <row r="26017">
      <c r="BB26017" s="122"/>
      <c r="BC26017" s="141"/>
    </row>
    <row r="26018">
      <c r="BB26018" s="122"/>
      <c r="BC26018" s="141"/>
    </row>
    <row r="26019">
      <c r="BB26019" s="122"/>
      <c r="BC26019" s="141"/>
    </row>
    <row r="26020">
      <c r="BB26020" s="122"/>
      <c r="BC26020" s="141"/>
    </row>
    <row r="26021">
      <c r="BB26021" s="122"/>
      <c r="BC26021" s="141"/>
    </row>
    <row r="26022">
      <c r="BB26022" s="122"/>
      <c r="BC26022" s="141"/>
    </row>
    <row r="26023">
      <c r="BB26023" s="122"/>
      <c r="BC26023" s="141"/>
    </row>
    <row r="26024">
      <c r="BB26024" s="122"/>
      <c r="BC26024" s="141"/>
    </row>
    <row r="26025">
      <c r="BB26025" s="122"/>
      <c r="BC26025" s="141"/>
    </row>
    <row r="26026">
      <c r="BB26026" s="122"/>
      <c r="BC26026" s="141"/>
    </row>
    <row r="26027">
      <c r="BB26027" s="122"/>
      <c r="BC26027" s="141"/>
    </row>
    <row r="26028">
      <c r="BB26028" s="122"/>
      <c r="BC26028" s="141"/>
    </row>
    <row r="26029">
      <c r="BB26029" s="122"/>
      <c r="BC26029" s="141"/>
    </row>
    <row r="26030">
      <c r="BB26030" s="122"/>
      <c r="BC26030" s="141"/>
    </row>
    <row r="26031">
      <c r="BB26031" s="122"/>
      <c r="BC26031" s="141"/>
    </row>
    <row r="26032">
      <c r="BB26032" s="122"/>
      <c r="BC26032" s="141"/>
    </row>
    <row r="26033">
      <c r="BB26033" s="122"/>
      <c r="BC26033" s="141"/>
    </row>
    <row r="26034">
      <c r="BB26034" s="122"/>
      <c r="BC26034" s="141"/>
    </row>
    <row r="26035">
      <c r="BB26035" s="122"/>
      <c r="BC26035" s="141"/>
    </row>
    <row r="26036">
      <c r="BB26036" s="122"/>
      <c r="BC26036" s="141"/>
    </row>
    <row r="26037">
      <c r="BB26037" s="122"/>
      <c r="BC26037" s="141"/>
    </row>
    <row r="26038">
      <c r="BB26038" s="122"/>
      <c r="BC26038" s="141"/>
    </row>
    <row r="26039">
      <c r="BB26039" s="122"/>
      <c r="BC26039" s="141"/>
    </row>
    <row r="26040">
      <c r="BB26040" s="122"/>
      <c r="BC26040" s="141"/>
    </row>
    <row r="26041">
      <c r="BB26041" s="122"/>
      <c r="BC26041" s="141"/>
    </row>
    <row r="26042">
      <c r="BB26042" s="122"/>
      <c r="BC26042" s="141"/>
    </row>
    <row r="26043">
      <c r="BB26043" s="122"/>
      <c r="BC26043" s="141"/>
    </row>
    <row r="26044">
      <c r="BB26044" s="122"/>
      <c r="BC26044" s="141"/>
    </row>
    <row r="26045">
      <c r="BB26045" s="122"/>
      <c r="BC26045" s="141"/>
    </row>
    <row r="26046">
      <c r="BB26046" s="122"/>
      <c r="BC26046" s="141"/>
    </row>
    <row r="26047">
      <c r="BB26047" s="122"/>
      <c r="BC26047" s="141"/>
    </row>
    <row r="26048">
      <c r="BB26048" s="122"/>
      <c r="BC26048" s="141"/>
    </row>
    <row r="26049">
      <c r="BB26049" s="122"/>
      <c r="BC26049" s="141"/>
    </row>
    <row r="26050">
      <c r="BB26050" s="122"/>
      <c r="BC26050" s="141"/>
    </row>
    <row r="26051">
      <c r="BB26051" s="122"/>
      <c r="BC26051" s="141"/>
    </row>
    <row r="26052">
      <c r="BB26052" s="122"/>
      <c r="BC26052" s="141"/>
    </row>
    <row r="26053">
      <c r="BB26053" s="122"/>
      <c r="BC26053" s="141"/>
    </row>
    <row r="26054">
      <c r="BB26054" s="122"/>
      <c r="BC26054" s="141"/>
    </row>
    <row r="26055">
      <c r="BB26055" s="122"/>
      <c r="BC26055" s="141"/>
    </row>
    <row r="26056">
      <c r="BB26056" s="122"/>
      <c r="BC26056" s="141"/>
    </row>
    <row r="26057">
      <c r="BB26057" s="122"/>
      <c r="BC26057" s="141"/>
    </row>
    <row r="26058">
      <c r="BB26058" s="122"/>
      <c r="BC26058" s="141"/>
    </row>
    <row r="26059">
      <c r="BB26059" s="122"/>
      <c r="BC26059" s="141"/>
    </row>
    <row r="26060">
      <c r="BB26060" s="122"/>
      <c r="BC26060" s="141"/>
    </row>
    <row r="26061">
      <c r="BB26061" s="122"/>
      <c r="BC26061" s="141"/>
    </row>
    <row r="26062">
      <c r="BB26062" s="122"/>
      <c r="BC26062" s="141"/>
    </row>
    <row r="26063">
      <c r="BB26063" s="122"/>
      <c r="BC26063" s="141"/>
    </row>
    <row r="26064">
      <c r="BB26064" s="122"/>
      <c r="BC26064" s="141"/>
    </row>
    <row r="26065">
      <c r="BB26065" s="122"/>
      <c r="BC26065" s="141"/>
    </row>
    <row r="26066">
      <c r="BB26066" s="122"/>
      <c r="BC26066" s="141"/>
    </row>
    <row r="26067">
      <c r="BB26067" s="122"/>
      <c r="BC26067" s="141"/>
    </row>
    <row r="26068">
      <c r="BB26068" s="122"/>
      <c r="BC26068" s="141"/>
    </row>
    <row r="26069">
      <c r="BB26069" s="122"/>
      <c r="BC26069" s="141"/>
    </row>
    <row r="26070">
      <c r="BB26070" s="122"/>
      <c r="BC26070" s="141"/>
    </row>
    <row r="26071">
      <c r="BB26071" s="122"/>
      <c r="BC26071" s="141"/>
    </row>
    <row r="26072">
      <c r="BB26072" s="122"/>
      <c r="BC26072" s="141"/>
    </row>
    <row r="26073">
      <c r="BB26073" s="122"/>
      <c r="BC26073" s="141"/>
    </row>
    <row r="26074">
      <c r="BB26074" s="122"/>
      <c r="BC26074" s="141"/>
    </row>
    <row r="26075">
      <c r="BB26075" s="122"/>
      <c r="BC26075" s="141"/>
    </row>
    <row r="26076">
      <c r="BB26076" s="122"/>
      <c r="BC26076" s="141"/>
    </row>
    <row r="26077">
      <c r="BB26077" s="122"/>
      <c r="BC26077" s="141"/>
    </row>
    <row r="26078">
      <c r="BB26078" s="122"/>
      <c r="BC26078" s="141"/>
    </row>
    <row r="26079">
      <c r="BB26079" s="122"/>
      <c r="BC26079" s="141"/>
    </row>
    <row r="26080">
      <c r="BB26080" s="122"/>
      <c r="BC26080" s="141"/>
    </row>
    <row r="26081">
      <c r="BB26081" s="122"/>
      <c r="BC26081" s="141"/>
    </row>
    <row r="26082">
      <c r="BB26082" s="122"/>
      <c r="BC26082" s="141"/>
    </row>
    <row r="26083">
      <c r="BB26083" s="122"/>
      <c r="BC26083" s="141"/>
    </row>
    <row r="26084">
      <c r="BB26084" s="122"/>
      <c r="BC26084" s="141"/>
    </row>
    <row r="26085">
      <c r="BB26085" s="122"/>
      <c r="BC26085" s="141"/>
    </row>
    <row r="26086">
      <c r="BB26086" s="122"/>
      <c r="BC26086" s="141"/>
    </row>
    <row r="26087">
      <c r="BB26087" s="122"/>
      <c r="BC26087" s="141"/>
    </row>
    <row r="26088">
      <c r="BB26088" s="122"/>
      <c r="BC26088" s="141"/>
    </row>
    <row r="26089">
      <c r="BB26089" s="122"/>
      <c r="BC26089" s="141"/>
    </row>
    <row r="26090">
      <c r="BB26090" s="122"/>
      <c r="BC26090" s="141"/>
    </row>
    <row r="26091">
      <c r="BB26091" s="122"/>
      <c r="BC26091" s="141"/>
    </row>
    <row r="26092">
      <c r="BB26092" s="122"/>
      <c r="BC26092" s="141"/>
    </row>
    <row r="26093">
      <c r="BB26093" s="122"/>
      <c r="BC26093" s="141"/>
    </row>
    <row r="26094">
      <c r="BB26094" s="122"/>
      <c r="BC26094" s="141"/>
    </row>
    <row r="26095">
      <c r="BB26095" s="122"/>
      <c r="BC26095" s="141"/>
    </row>
    <row r="26096">
      <c r="BB26096" s="122"/>
      <c r="BC26096" s="141"/>
    </row>
    <row r="26097">
      <c r="BB26097" s="122"/>
      <c r="BC26097" s="141"/>
    </row>
    <row r="26098">
      <c r="BB26098" s="122"/>
      <c r="BC26098" s="141"/>
    </row>
    <row r="26099">
      <c r="BB26099" s="122"/>
      <c r="BC26099" s="141"/>
    </row>
    <row r="26100">
      <c r="BB26100" s="122"/>
      <c r="BC26100" s="141"/>
    </row>
    <row r="26101">
      <c r="BB26101" s="122"/>
      <c r="BC26101" s="141"/>
    </row>
    <row r="26102">
      <c r="BB26102" s="122"/>
      <c r="BC26102" s="141"/>
    </row>
    <row r="26103">
      <c r="BB26103" s="122"/>
      <c r="BC26103" s="141"/>
    </row>
    <row r="26104">
      <c r="BB26104" s="122"/>
      <c r="BC26104" s="141"/>
    </row>
    <row r="26105">
      <c r="BB26105" s="122"/>
      <c r="BC26105" s="141"/>
    </row>
    <row r="26106">
      <c r="BB26106" s="122"/>
      <c r="BC26106" s="141"/>
    </row>
    <row r="26107">
      <c r="BB26107" s="122"/>
      <c r="BC26107" s="141"/>
    </row>
    <row r="26108">
      <c r="BB26108" s="122"/>
      <c r="BC26108" s="141"/>
    </row>
    <row r="26109">
      <c r="BB26109" s="122"/>
      <c r="BC26109" s="141"/>
    </row>
    <row r="26110">
      <c r="BB26110" s="122"/>
      <c r="BC26110" s="141"/>
    </row>
    <row r="26111">
      <c r="BB26111" s="122"/>
      <c r="BC26111" s="141"/>
    </row>
    <row r="26112">
      <c r="BB26112" s="122"/>
      <c r="BC26112" s="141"/>
    </row>
    <row r="26113">
      <c r="BB26113" s="122"/>
      <c r="BC26113" s="141"/>
    </row>
    <row r="26114">
      <c r="BB26114" s="122"/>
      <c r="BC26114" s="141"/>
    </row>
    <row r="26115">
      <c r="BB26115" s="122"/>
      <c r="BC26115" s="141"/>
    </row>
    <row r="26116">
      <c r="BB26116" s="122"/>
      <c r="BC26116" s="141"/>
    </row>
    <row r="26117">
      <c r="BB26117" s="122"/>
      <c r="BC26117" s="141"/>
    </row>
    <row r="26118">
      <c r="BB26118" s="122"/>
      <c r="BC26118" s="141"/>
    </row>
    <row r="26119">
      <c r="BB26119" s="122"/>
      <c r="BC26119" s="141"/>
    </row>
    <row r="26120">
      <c r="BB26120" s="122"/>
      <c r="BC26120" s="141"/>
    </row>
    <row r="26121">
      <c r="BB26121" s="122"/>
      <c r="BC26121" s="141"/>
    </row>
    <row r="26122">
      <c r="BB26122" s="122"/>
      <c r="BC26122" s="141"/>
    </row>
    <row r="26123">
      <c r="BB26123" s="122"/>
      <c r="BC26123" s="141"/>
    </row>
    <row r="26124">
      <c r="BB26124" s="122"/>
      <c r="BC26124" s="141"/>
    </row>
    <row r="26125">
      <c r="BB26125" s="122"/>
      <c r="BC26125" s="141"/>
    </row>
    <row r="26126">
      <c r="BB26126" s="122"/>
      <c r="BC26126" s="141"/>
    </row>
    <row r="26127">
      <c r="BB26127" s="122"/>
      <c r="BC26127" s="141"/>
    </row>
    <row r="26128">
      <c r="BB26128" s="122"/>
      <c r="BC26128" s="141"/>
    </row>
    <row r="26129">
      <c r="BB26129" s="122"/>
      <c r="BC26129" s="141"/>
    </row>
    <row r="26130">
      <c r="BB26130" s="122"/>
      <c r="BC26130" s="141"/>
    </row>
    <row r="26131">
      <c r="BB26131" s="122"/>
      <c r="BC26131" s="141"/>
    </row>
    <row r="26132">
      <c r="BB26132" s="122"/>
      <c r="BC26132" s="141"/>
    </row>
    <row r="26133">
      <c r="BB26133" s="122"/>
      <c r="BC26133" s="141"/>
    </row>
    <row r="26134">
      <c r="BB26134" s="122"/>
      <c r="BC26134" s="141"/>
    </row>
    <row r="26135">
      <c r="BB26135" s="122"/>
      <c r="BC26135" s="141"/>
    </row>
    <row r="26136">
      <c r="BB26136" s="122"/>
      <c r="BC26136" s="141"/>
    </row>
    <row r="26137">
      <c r="BB26137" s="122"/>
      <c r="BC26137" s="141"/>
    </row>
    <row r="26138">
      <c r="BB26138" s="122"/>
      <c r="BC26138" s="141"/>
    </row>
    <row r="26139">
      <c r="BB26139" s="122"/>
      <c r="BC26139" s="141"/>
    </row>
    <row r="26140">
      <c r="BB26140" s="122"/>
      <c r="BC26140" s="141"/>
    </row>
    <row r="26141">
      <c r="BB26141" s="122"/>
      <c r="BC26141" s="141"/>
    </row>
    <row r="26142">
      <c r="BB26142" s="122"/>
      <c r="BC26142" s="141"/>
    </row>
    <row r="26143">
      <c r="BB26143" s="122"/>
      <c r="BC26143" s="141"/>
    </row>
    <row r="26144">
      <c r="BB26144" s="122"/>
      <c r="BC26144" s="141"/>
    </row>
    <row r="26145">
      <c r="BB26145" s="122"/>
      <c r="BC26145" s="141"/>
    </row>
    <row r="26146">
      <c r="BB26146" s="122"/>
      <c r="BC26146" s="141"/>
    </row>
    <row r="26147">
      <c r="BB26147" s="122"/>
      <c r="BC26147" s="141"/>
    </row>
    <row r="26148">
      <c r="BB26148" s="122"/>
      <c r="BC26148" s="141"/>
    </row>
    <row r="26149">
      <c r="BB26149" s="122"/>
      <c r="BC26149" s="141"/>
    </row>
    <row r="26150">
      <c r="BB26150" s="122"/>
      <c r="BC26150" s="141"/>
    </row>
    <row r="26151">
      <c r="BB26151" s="122"/>
      <c r="BC26151" s="141"/>
    </row>
    <row r="26152">
      <c r="BB26152" s="122"/>
      <c r="BC26152" s="141"/>
    </row>
    <row r="26153">
      <c r="BB26153" s="122"/>
      <c r="BC26153" s="141"/>
    </row>
    <row r="26154">
      <c r="BB26154" s="122"/>
      <c r="BC26154" s="141"/>
    </row>
    <row r="26155">
      <c r="BB26155" s="122"/>
      <c r="BC26155" s="141"/>
    </row>
    <row r="26156">
      <c r="BB26156" s="122"/>
      <c r="BC26156" s="141"/>
    </row>
    <row r="26157">
      <c r="BB26157" s="122"/>
      <c r="BC26157" s="141"/>
    </row>
    <row r="26158">
      <c r="BB26158" s="122"/>
      <c r="BC26158" s="141"/>
    </row>
    <row r="26159">
      <c r="BB26159" s="122"/>
      <c r="BC26159" s="141"/>
    </row>
    <row r="26160">
      <c r="BB26160" s="122"/>
      <c r="BC26160" s="141"/>
    </row>
    <row r="26161">
      <c r="BB26161" s="122"/>
      <c r="BC26161" s="141"/>
    </row>
    <row r="26162">
      <c r="BB26162" s="122"/>
      <c r="BC26162" s="141"/>
    </row>
    <row r="26163">
      <c r="BB26163" s="122"/>
      <c r="BC26163" s="141"/>
    </row>
    <row r="26164">
      <c r="BB26164" s="122"/>
      <c r="BC26164" s="141"/>
    </row>
    <row r="26165">
      <c r="BB26165" s="122"/>
      <c r="BC26165" s="141"/>
    </row>
    <row r="26166">
      <c r="BB26166" s="122"/>
      <c r="BC26166" s="141"/>
    </row>
    <row r="26167">
      <c r="BB26167" s="122"/>
      <c r="BC26167" s="141"/>
    </row>
    <row r="26168">
      <c r="BB26168" s="122"/>
      <c r="BC26168" s="141"/>
    </row>
    <row r="26169">
      <c r="BB26169" s="122"/>
      <c r="BC26169" s="141"/>
    </row>
    <row r="26170">
      <c r="BB26170" s="122"/>
      <c r="BC26170" s="141"/>
    </row>
    <row r="26171">
      <c r="BB26171" s="122"/>
      <c r="BC26171" s="141"/>
    </row>
    <row r="26172">
      <c r="BB26172" s="122"/>
      <c r="BC26172" s="141"/>
    </row>
    <row r="26173">
      <c r="BB26173" s="122"/>
      <c r="BC26173" s="141"/>
    </row>
    <row r="26174">
      <c r="BB26174" s="122"/>
      <c r="BC26174" s="141"/>
    </row>
    <row r="26175">
      <c r="BB26175" s="122"/>
      <c r="BC26175" s="141"/>
    </row>
    <row r="26176">
      <c r="BB26176" s="122"/>
      <c r="BC26176" s="141"/>
    </row>
    <row r="26177">
      <c r="BB26177" s="122"/>
      <c r="BC26177" s="141"/>
    </row>
    <row r="26178">
      <c r="BB26178" s="122"/>
      <c r="BC26178" s="141"/>
    </row>
    <row r="26179">
      <c r="BB26179" s="122"/>
      <c r="BC26179" s="141"/>
    </row>
    <row r="26180">
      <c r="BB26180" s="122"/>
      <c r="BC26180" s="141"/>
    </row>
    <row r="26181">
      <c r="BB26181" s="122"/>
      <c r="BC26181" s="141"/>
    </row>
    <row r="26182">
      <c r="BB26182" s="122"/>
      <c r="BC26182" s="141"/>
    </row>
    <row r="26183">
      <c r="BB26183" s="122"/>
      <c r="BC26183" s="141"/>
    </row>
    <row r="26184">
      <c r="BB26184" s="122"/>
      <c r="BC26184" s="141"/>
    </row>
    <row r="26185">
      <c r="BB26185" s="122"/>
      <c r="BC26185" s="141"/>
    </row>
    <row r="26186">
      <c r="BB26186" s="122"/>
      <c r="BC26186" s="141"/>
    </row>
    <row r="26187">
      <c r="BB26187" s="122"/>
      <c r="BC26187" s="141"/>
    </row>
    <row r="26188">
      <c r="BB26188" s="122"/>
      <c r="BC26188" s="141"/>
    </row>
    <row r="26189">
      <c r="BB26189" s="122"/>
      <c r="BC26189" s="141"/>
    </row>
    <row r="26190">
      <c r="BB26190" s="122"/>
      <c r="BC26190" s="141"/>
    </row>
    <row r="26191">
      <c r="BB26191" s="122"/>
      <c r="BC26191" s="141"/>
    </row>
    <row r="26192">
      <c r="BB26192" s="122"/>
      <c r="BC26192" s="141"/>
    </row>
    <row r="26193">
      <c r="BB26193" s="122"/>
      <c r="BC26193" s="141"/>
    </row>
    <row r="26194">
      <c r="BB26194" s="122"/>
      <c r="BC26194" s="141"/>
    </row>
    <row r="26195">
      <c r="BB26195" s="122"/>
      <c r="BC26195" s="141"/>
    </row>
    <row r="26196">
      <c r="BB26196" s="122"/>
      <c r="BC26196" s="141"/>
    </row>
    <row r="26197">
      <c r="BB26197" s="122"/>
      <c r="BC26197" s="141"/>
    </row>
    <row r="26198">
      <c r="BB26198" s="122"/>
      <c r="BC26198" s="141"/>
    </row>
    <row r="26199">
      <c r="BB26199" s="122"/>
      <c r="BC26199" s="141"/>
    </row>
    <row r="26200">
      <c r="BB26200" s="122"/>
      <c r="BC26200" s="141"/>
    </row>
    <row r="26201">
      <c r="BB26201" s="122"/>
      <c r="BC26201" s="141"/>
    </row>
    <row r="26202">
      <c r="BB26202" s="122"/>
      <c r="BC26202" s="141"/>
    </row>
    <row r="26203">
      <c r="BB26203" s="122"/>
      <c r="BC26203" s="141"/>
    </row>
    <row r="26204">
      <c r="BB26204" s="122"/>
      <c r="BC26204" s="141"/>
    </row>
    <row r="26205">
      <c r="BB26205" s="122"/>
      <c r="BC26205" s="141"/>
    </row>
    <row r="26206">
      <c r="BB26206" s="122"/>
      <c r="BC26206" s="141"/>
    </row>
    <row r="26207">
      <c r="BB26207" s="122"/>
      <c r="BC26207" s="141"/>
    </row>
    <row r="26208">
      <c r="BB26208" s="122"/>
      <c r="BC26208" s="141"/>
    </row>
    <row r="26209">
      <c r="BB26209" s="122"/>
      <c r="BC26209" s="141"/>
    </row>
    <row r="26210">
      <c r="BB26210" s="122"/>
      <c r="BC26210" s="141"/>
    </row>
    <row r="26211">
      <c r="BB26211" s="122"/>
      <c r="BC26211" s="141"/>
    </row>
    <row r="26212">
      <c r="BB26212" s="122"/>
      <c r="BC26212" s="141"/>
    </row>
    <row r="26213">
      <c r="BB26213" s="122"/>
      <c r="BC26213" s="141"/>
    </row>
    <row r="26214">
      <c r="BB26214" s="122"/>
      <c r="BC26214" s="141"/>
    </row>
    <row r="26215">
      <c r="BB26215" s="122"/>
      <c r="BC26215" s="141"/>
    </row>
    <row r="26216">
      <c r="BB26216" s="122"/>
      <c r="BC26216" s="141"/>
    </row>
    <row r="26217">
      <c r="BB26217" s="122"/>
      <c r="BC26217" s="141"/>
    </row>
    <row r="26218">
      <c r="BB26218" s="122"/>
      <c r="BC26218" s="141"/>
    </row>
    <row r="26219">
      <c r="BB26219" s="122"/>
      <c r="BC26219" s="141"/>
    </row>
    <row r="26220">
      <c r="BB26220" s="122"/>
      <c r="BC26220" s="141"/>
    </row>
    <row r="26221">
      <c r="BB26221" s="122"/>
      <c r="BC26221" s="141"/>
    </row>
    <row r="26222">
      <c r="BB26222" s="122"/>
      <c r="BC26222" s="141"/>
    </row>
    <row r="26223">
      <c r="BB26223" s="122"/>
      <c r="BC26223" s="141"/>
    </row>
    <row r="26224">
      <c r="BB26224" s="122"/>
      <c r="BC26224" s="141"/>
    </row>
    <row r="26225">
      <c r="BB26225" s="122"/>
      <c r="BC26225" s="141"/>
    </row>
    <row r="26226">
      <c r="BB26226" s="122"/>
      <c r="BC26226" s="141"/>
    </row>
    <row r="26227">
      <c r="BB26227" s="122"/>
      <c r="BC26227" s="141"/>
    </row>
    <row r="26228">
      <c r="BB26228" s="122"/>
      <c r="BC26228" s="141"/>
    </row>
    <row r="26229">
      <c r="BB26229" s="122"/>
      <c r="BC26229" s="141"/>
    </row>
    <row r="26230">
      <c r="BB26230" s="122"/>
      <c r="BC26230" s="141"/>
    </row>
    <row r="26231">
      <c r="BB26231" s="122"/>
      <c r="BC26231" s="141"/>
    </row>
    <row r="26232">
      <c r="BB26232" s="122"/>
      <c r="BC26232" s="141"/>
    </row>
    <row r="26233">
      <c r="BB26233" s="122"/>
      <c r="BC26233" s="141"/>
    </row>
    <row r="26234">
      <c r="BB26234" s="122"/>
      <c r="BC26234" s="141"/>
    </row>
    <row r="26235">
      <c r="BB26235" s="122"/>
      <c r="BC26235" s="141"/>
    </row>
    <row r="26236">
      <c r="BB26236" s="122"/>
      <c r="BC26236" s="141"/>
    </row>
    <row r="26237">
      <c r="BB26237" s="122"/>
      <c r="BC26237" s="141"/>
    </row>
    <row r="26238">
      <c r="BB26238" s="122"/>
      <c r="BC26238" s="141"/>
    </row>
    <row r="26239">
      <c r="BB26239" s="122"/>
      <c r="BC26239" s="141"/>
    </row>
    <row r="26240">
      <c r="BB26240" s="122"/>
      <c r="BC26240" s="141"/>
    </row>
    <row r="26241">
      <c r="BB26241" s="122"/>
      <c r="BC26241" s="141"/>
    </row>
    <row r="26242">
      <c r="BB26242" s="122"/>
      <c r="BC26242" s="141"/>
    </row>
    <row r="26243">
      <c r="BB26243" s="122"/>
      <c r="BC26243" s="141"/>
    </row>
    <row r="26244">
      <c r="BB26244" s="122"/>
      <c r="BC26244" s="141"/>
    </row>
    <row r="26245">
      <c r="BB26245" s="122"/>
      <c r="BC26245" s="141"/>
    </row>
    <row r="26246">
      <c r="BB26246" s="122"/>
      <c r="BC26246" s="141"/>
    </row>
    <row r="26247">
      <c r="BB26247" s="122"/>
      <c r="BC26247" s="141"/>
    </row>
    <row r="26248">
      <c r="BB26248" s="122"/>
      <c r="BC26248" s="141"/>
    </row>
    <row r="26249">
      <c r="BB26249" s="122"/>
      <c r="BC26249" s="141"/>
    </row>
    <row r="26250">
      <c r="BB26250" s="122"/>
      <c r="BC26250" s="141"/>
    </row>
    <row r="26251">
      <c r="BB26251" s="122"/>
      <c r="BC26251" s="141"/>
    </row>
    <row r="26252">
      <c r="BB26252" s="122"/>
      <c r="BC26252" s="141"/>
    </row>
    <row r="26253">
      <c r="BB26253" s="122"/>
      <c r="BC26253" s="141"/>
    </row>
    <row r="26254">
      <c r="BB26254" s="122"/>
      <c r="BC26254" s="141"/>
    </row>
    <row r="26255">
      <c r="BB26255" s="122"/>
      <c r="BC26255" s="141"/>
    </row>
    <row r="26256">
      <c r="BB26256" s="122"/>
      <c r="BC26256" s="141"/>
    </row>
    <row r="26257">
      <c r="BB26257" s="122"/>
      <c r="BC26257" s="141"/>
    </row>
    <row r="26258">
      <c r="BB26258" s="122"/>
      <c r="BC26258" s="141"/>
    </row>
    <row r="26259">
      <c r="BB26259" s="122"/>
      <c r="BC26259" s="141"/>
    </row>
    <row r="26260">
      <c r="BB26260" s="122"/>
      <c r="BC26260" s="141"/>
    </row>
    <row r="26261">
      <c r="BB26261" s="122"/>
      <c r="BC26261" s="141"/>
    </row>
    <row r="26262">
      <c r="BB26262" s="122"/>
      <c r="BC26262" s="141"/>
    </row>
    <row r="26263">
      <c r="BB26263" s="122"/>
      <c r="BC26263" s="141"/>
    </row>
    <row r="26264">
      <c r="BB26264" s="122"/>
      <c r="BC26264" s="141"/>
    </row>
    <row r="26265">
      <c r="BB26265" s="122"/>
      <c r="BC26265" s="141"/>
    </row>
    <row r="26266">
      <c r="BB26266" s="122"/>
      <c r="BC26266" s="141"/>
    </row>
    <row r="26267">
      <c r="BB26267" s="122"/>
      <c r="BC26267" s="141"/>
    </row>
    <row r="26268">
      <c r="BB26268" s="122"/>
      <c r="BC26268" s="141"/>
    </row>
    <row r="26269">
      <c r="BB26269" s="122"/>
      <c r="BC26269" s="141"/>
    </row>
    <row r="26270">
      <c r="BB26270" s="122"/>
      <c r="BC26270" s="141"/>
    </row>
    <row r="26271">
      <c r="BB26271" s="122"/>
      <c r="BC26271" s="141"/>
    </row>
    <row r="26272">
      <c r="BB26272" s="122"/>
      <c r="BC26272" s="141"/>
    </row>
    <row r="26273">
      <c r="BB26273" s="122"/>
      <c r="BC26273" s="141"/>
    </row>
    <row r="26274">
      <c r="BB26274" s="122"/>
      <c r="BC26274" s="141"/>
    </row>
    <row r="26275">
      <c r="BB26275" s="122"/>
      <c r="BC26275" s="141"/>
    </row>
    <row r="26276">
      <c r="BB26276" s="122"/>
      <c r="BC26276" s="141"/>
    </row>
    <row r="26277">
      <c r="BB26277" s="122"/>
      <c r="BC26277" s="141"/>
    </row>
    <row r="26278">
      <c r="BB26278" s="122"/>
      <c r="BC26278" s="141"/>
    </row>
    <row r="26279">
      <c r="BB26279" s="122"/>
      <c r="BC26279" s="141"/>
    </row>
    <row r="26280">
      <c r="BB26280" s="122"/>
      <c r="BC26280" s="141"/>
    </row>
    <row r="26281">
      <c r="BB26281" s="122"/>
      <c r="BC26281" s="141"/>
    </row>
    <row r="26282">
      <c r="BB26282" s="122"/>
      <c r="BC26282" s="141"/>
    </row>
    <row r="26283">
      <c r="BB26283" s="122"/>
      <c r="BC26283" s="141"/>
    </row>
    <row r="26284">
      <c r="BB26284" s="122"/>
      <c r="BC26284" s="141"/>
    </row>
    <row r="26285">
      <c r="BB26285" s="122"/>
      <c r="BC26285" s="141"/>
    </row>
    <row r="26286">
      <c r="BB26286" s="122"/>
      <c r="BC26286" s="141"/>
    </row>
    <row r="26287">
      <c r="BB26287" s="122"/>
      <c r="BC26287" s="141"/>
    </row>
    <row r="26288">
      <c r="BB26288" s="122"/>
      <c r="BC26288" s="141"/>
    </row>
    <row r="26289">
      <c r="BB26289" s="122"/>
      <c r="BC26289" s="141"/>
    </row>
    <row r="26290">
      <c r="BB26290" s="122"/>
      <c r="BC26290" s="141"/>
    </row>
    <row r="26291">
      <c r="BB26291" s="122"/>
      <c r="BC26291" s="141"/>
    </row>
    <row r="26292">
      <c r="BB26292" s="122"/>
      <c r="BC26292" s="141"/>
    </row>
    <row r="26293">
      <c r="BB26293" s="122"/>
      <c r="BC26293" s="141"/>
    </row>
    <row r="26294">
      <c r="BB26294" s="122"/>
      <c r="BC26294" s="141"/>
    </row>
    <row r="26295">
      <c r="BB26295" s="122"/>
      <c r="BC26295" s="141"/>
    </row>
    <row r="26296">
      <c r="BB26296" s="122"/>
      <c r="BC26296" s="141"/>
    </row>
    <row r="26297">
      <c r="BB26297" s="122"/>
      <c r="BC26297" s="141"/>
    </row>
    <row r="26298">
      <c r="BB26298" s="122"/>
      <c r="BC26298" s="141"/>
    </row>
    <row r="26299">
      <c r="BB26299" s="122"/>
      <c r="BC26299" s="141"/>
    </row>
    <row r="26300">
      <c r="BB26300" s="122"/>
      <c r="BC26300" s="141"/>
    </row>
    <row r="26301">
      <c r="BB26301" s="122"/>
      <c r="BC26301" s="141"/>
    </row>
    <row r="26302">
      <c r="BB26302" s="122"/>
      <c r="BC26302" s="141"/>
    </row>
    <row r="26303">
      <c r="BB26303" s="122"/>
      <c r="BC26303" s="141"/>
    </row>
    <row r="26304">
      <c r="BB26304" s="122"/>
      <c r="BC26304" s="141"/>
    </row>
    <row r="26305">
      <c r="BB26305" s="122"/>
      <c r="BC26305" s="141"/>
    </row>
    <row r="26306">
      <c r="BB26306" s="122"/>
      <c r="BC26306" s="141"/>
    </row>
    <row r="26307">
      <c r="BB26307" s="122"/>
      <c r="BC26307" s="141"/>
    </row>
    <row r="26308">
      <c r="BB26308" s="122"/>
      <c r="BC26308" s="141"/>
    </row>
    <row r="26309">
      <c r="BB26309" s="122"/>
      <c r="BC26309" s="141"/>
    </row>
    <row r="26310">
      <c r="BB26310" s="122"/>
      <c r="BC26310" s="141"/>
    </row>
    <row r="26311">
      <c r="BB26311" s="122"/>
      <c r="BC26311" s="141"/>
    </row>
    <row r="26312">
      <c r="BB26312" s="122"/>
      <c r="BC26312" s="141"/>
    </row>
    <row r="26313">
      <c r="BB26313" s="122"/>
      <c r="BC26313" s="141"/>
    </row>
    <row r="26314">
      <c r="BB26314" s="122"/>
      <c r="BC26314" s="141"/>
    </row>
    <row r="26315">
      <c r="BB26315" s="122"/>
      <c r="BC26315" s="141"/>
    </row>
    <row r="26316">
      <c r="BB26316" s="122"/>
      <c r="BC26316" s="141"/>
    </row>
    <row r="26317">
      <c r="BB26317" s="122"/>
      <c r="BC26317" s="141"/>
    </row>
    <row r="26318">
      <c r="BB26318" s="122"/>
      <c r="BC26318" s="141"/>
    </row>
    <row r="26319">
      <c r="BB26319" s="122"/>
      <c r="BC26319" s="141"/>
    </row>
    <row r="26320">
      <c r="BB26320" s="122"/>
      <c r="BC26320" s="141"/>
    </row>
    <row r="26321">
      <c r="BB26321" s="122"/>
      <c r="BC26321" s="141"/>
    </row>
    <row r="26322">
      <c r="BB26322" s="122"/>
      <c r="BC26322" s="141"/>
    </row>
    <row r="26323">
      <c r="BB26323" s="122"/>
      <c r="BC26323" s="141"/>
    </row>
    <row r="26324">
      <c r="BB26324" s="122"/>
      <c r="BC26324" s="141"/>
    </row>
    <row r="26325">
      <c r="BB26325" s="122"/>
      <c r="BC26325" s="141"/>
    </row>
    <row r="26326">
      <c r="BB26326" s="122"/>
      <c r="BC26326" s="141"/>
    </row>
    <row r="26327">
      <c r="BB26327" s="122"/>
      <c r="BC26327" s="141"/>
    </row>
    <row r="26328">
      <c r="BB26328" s="122"/>
      <c r="BC26328" s="141"/>
    </row>
    <row r="26329">
      <c r="BB26329" s="122"/>
      <c r="BC26329" s="141"/>
    </row>
    <row r="26330">
      <c r="BB26330" s="122"/>
      <c r="BC26330" s="141"/>
    </row>
    <row r="26331">
      <c r="BB26331" s="122"/>
      <c r="BC26331" s="141"/>
    </row>
    <row r="26332">
      <c r="BB26332" s="122"/>
      <c r="BC26332" s="141"/>
    </row>
    <row r="26333">
      <c r="BB26333" s="122"/>
      <c r="BC26333" s="141"/>
    </row>
    <row r="26334">
      <c r="BB26334" s="122"/>
      <c r="BC26334" s="141"/>
    </row>
    <row r="26335">
      <c r="BB26335" s="122"/>
      <c r="BC26335" s="141"/>
    </row>
    <row r="26336">
      <c r="BB26336" s="122"/>
      <c r="BC26336" s="141"/>
    </row>
    <row r="26337">
      <c r="BB26337" s="122"/>
      <c r="BC26337" s="141"/>
    </row>
    <row r="26338">
      <c r="BB26338" s="122"/>
      <c r="BC26338" s="141"/>
    </row>
    <row r="26339">
      <c r="BB26339" s="122"/>
      <c r="BC26339" s="141"/>
    </row>
    <row r="26340">
      <c r="BB26340" s="122"/>
      <c r="BC26340" s="141"/>
    </row>
    <row r="26341">
      <c r="BB26341" s="122"/>
      <c r="BC26341" s="141"/>
    </row>
    <row r="26342">
      <c r="BB26342" s="122"/>
      <c r="BC26342" s="141"/>
    </row>
    <row r="26343">
      <c r="BB26343" s="122"/>
      <c r="BC26343" s="141"/>
    </row>
    <row r="26344">
      <c r="BB26344" s="122"/>
      <c r="BC26344" s="141"/>
    </row>
    <row r="26345">
      <c r="BB26345" s="122"/>
      <c r="BC26345" s="141"/>
    </row>
    <row r="26346">
      <c r="BB26346" s="122"/>
      <c r="BC26346" s="141"/>
    </row>
    <row r="26347">
      <c r="BB26347" s="122"/>
      <c r="BC26347" s="141"/>
    </row>
    <row r="26348">
      <c r="BB26348" s="122"/>
      <c r="BC26348" s="141"/>
    </row>
    <row r="26349">
      <c r="BB26349" s="122"/>
      <c r="BC26349" s="141"/>
    </row>
    <row r="26350">
      <c r="BB26350" s="122"/>
      <c r="BC26350" s="141"/>
    </row>
    <row r="26351">
      <c r="BB26351" s="122"/>
      <c r="BC26351" s="141"/>
    </row>
    <row r="26352">
      <c r="BB26352" s="122"/>
      <c r="BC26352" s="141"/>
    </row>
    <row r="26353">
      <c r="BB26353" s="122"/>
      <c r="BC26353" s="141"/>
    </row>
    <row r="26354">
      <c r="BB26354" s="122"/>
      <c r="BC26354" s="141"/>
    </row>
    <row r="26355">
      <c r="BB26355" s="122"/>
      <c r="BC26355" s="141"/>
    </row>
    <row r="26356">
      <c r="BB26356" s="122"/>
      <c r="BC26356" s="141"/>
    </row>
    <row r="26357">
      <c r="BB26357" s="122"/>
      <c r="BC26357" s="141"/>
    </row>
    <row r="26358">
      <c r="BB26358" s="122"/>
      <c r="BC26358" s="141"/>
    </row>
    <row r="26359">
      <c r="BB26359" s="122"/>
      <c r="BC26359" s="141"/>
    </row>
    <row r="26360">
      <c r="BB26360" s="122"/>
      <c r="BC26360" s="141"/>
    </row>
    <row r="26361">
      <c r="BB26361" s="122"/>
      <c r="BC26361" s="141"/>
    </row>
    <row r="26362">
      <c r="BB26362" s="122"/>
      <c r="BC26362" s="141"/>
    </row>
    <row r="26363">
      <c r="BB26363" s="122"/>
      <c r="BC26363" s="141"/>
    </row>
    <row r="26364">
      <c r="BB26364" s="122"/>
      <c r="BC26364" s="141"/>
    </row>
    <row r="26365">
      <c r="BB26365" s="122"/>
      <c r="BC26365" s="141"/>
    </row>
    <row r="26366">
      <c r="BB26366" s="122"/>
      <c r="BC26366" s="141"/>
    </row>
    <row r="26367">
      <c r="BB26367" s="122"/>
      <c r="BC26367" s="141"/>
    </row>
    <row r="26368">
      <c r="BB26368" s="122"/>
      <c r="BC26368" s="141"/>
    </row>
    <row r="26369">
      <c r="BB26369" s="122"/>
      <c r="BC26369" s="141"/>
    </row>
    <row r="26370">
      <c r="BB26370" s="122"/>
      <c r="BC26370" s="141"/>
    </row>
    <row r="26371">
      <c r="BB26371" s="122"/>
      <c r="BC26371" s="141"/>
    </row>
    <row r="26372">
      <c r="BB26372" s="122"/>
      <c r="BC26372" s="141"/>
    </row>
    <row r="26373">
      <c r="BB26373" s="122"/>
      <c r="BC26373" s="141"/>
    </row>
    <row r="26374">
      <c r="BB26374" s="122"/>
      <c r="BC26374" s="141"/>
    </row>
    <row r="26375">
      <c r="BB26375" s="122"/>
      <c r="BC26375" s="141"/>
    </row>
    <row r="26376">
      <c r="BB26376" s="122"/>
      <c r="BC26376" s="141"/>
    </row>
    <row r="26377">
      <c r="BB26377" s="122"/>
      <c r="BC26377" s="141"/>
    </row>
    <row r="26378">
      <c r="BB26378" s="122"/>
      <c r="BC26378" s="141"/>
    </row>
    <row r="26379">
      <c r="BB26379" s="122"/>
      <c r="BC26379" s="141"/>
    </row>
    <row r="26380">
      <c r="BB26380" s="122"/>
      <c r="BC26380" s="141"/>
    </row>
    <row r="26381">
      <c r="BB26381" s="122"/>
      <c r="BC26381" s="141"/>
    </row>
    <row r="26382">
      <c r="BB26382" s="122"/>
      <c r="BC26382" s="141"/>
    </row>
    <row r="26383">
      <c r="BB26383" s="122"/>
      <c r="BC26383" s="141"/>
    </row>
    <row r="26384">
      <c r="BB26384" s="122"/>
      <c r="BC26384" s="141"/>
    </row>
    <row r="26385">
      <c r="BB26385" s="122"/>
      <c r="BC26385" s="141"/>
    </row>
    <row r="26386">
      <c r="BB26386" s="122"/>
      <c r="BC26386" s="141"/>
    </row>
    <row r="26387">
      <c r="BB26387" s="122"/>
      <c r="BC26387" s="141"/>
    </row>
    <row r="26388">
      <c r="BB26388" s="122"/>
      <c r="BC26388" s="141"/>
    </row>
    <row r="26389">
      <c r="BB26389" s="122"/>
      <c r="BC26389" s="141"/>
    </row>
    <row r="26390">
      <c r="BB26390" s="122"/>
      <c r="BC26390" s="141"/>
    </row>
    <row r="26391">
      <c r="BB26391" s="122"/>
      <c r="BC26391" s="141"/>
    </row>
    <row r="26392">
      <c r="BB26392" s="122"/>
      <c r="BC26392" s="141"/>
    </row>
    <row r="26393">
      <c r="BB26393" s="122"/>
      <c r="BC26393" s="141"/>
    </row>
    <row r="26394">
      <c r="BB26394" s="122"/>
      <c r="BC26394" s="141"/>
    </row>
    <row r="26395">
      <c r="BB26395" s="122"/>
      <c r="BC26395" s="141"/>
    </row>
    <row r="26396">
      <c r="BB26396" s="122"/>
      <c r="BC26396" s="141"/>
    </row>
    <row r="26397">
      <c r="BB26397" s="122"/>
      <c r="BC26397" s="141"/>
    </row>
    <row r="26398">
      <c r="BB26398" s="122"/>
      <c r="BC26398" s="141"/>
    </row>
    <row r="26399">
      <c r="BB26399" s="122"/>
      <c r="BC26399" s="141"/>
    </row>
    <row r="26400">
      <c r="BB26400" s="122"/>
      <c r="BC26400" s="141"/>
    </row>
    <row r="26401">
      <c r="BB26401" s="122"/>
      <c r="BC26401" s="141"/>
    </row>
    <row r="26402">
      <c r="BB26402" s="122"/>
      <c r="BC26402" s="141"/>
    </row>
    <row r="26403">
      <c r="BB26403" s="122"/>
      <c r="BC26403" s="141"/>
    </row>
    <row r="26404">
      <c r="BB26404" s="122"/>
      <c r="BC26404" s="141"/>
    </row>
    <row r="26405">
      <c r="BB26405" s="122"/>
      <c r="BC26405" s="141"/>
    </row>
    <row r="26406">
      <c r="BB26406" s="122"/>
      <c r="BC26406" s="141"/>
    </row>
    <row r="26407">
      <c r="BB26407" s="122"/>
      <c r="BC26407" s="141"/>
    </row>
    <row r="26408">
      <c r="BB26408" s="122"/>
      <c r="BC26408" s="141"/>
    </row>
    <row r="26409">
      <c r="BB26409" s="122"/>
      <c r="BC26409" s="141"/>
    </row>
    <row r="26410">
      <c r="BB26410" s="122"/>
      <c r="BC26410" s="141"/>
    </row>
    <row r="26411">
      <c r="BB26411" s="122"/>
      <c r="BC26411" s="141"/>
    </row>
    <row r="26412">
      <c r="BB26412" s="122"/>
      <c r="BC26412" s="141"/>
    </row>
    <row r="26413">
      <c r="BB26413" s="122"/>
      <c r="BC26413" s="141"/>
    </row>
    <row r="26414">
      <c r="BB26414" s="122"/>
      <c r="BC26414" s="141"/>
    </row>
    <row r="26415">
      <c r="BB26415" s="122"/>
      <c r="BC26415" s="141"/>
    </row>
    <row r="26416">
      <c r="BB26416" s="122"/>
      <c r="BC26416" s="141"/>
    </row>
    <row r="26417">
      <c r="BB26417" s="122"/>
      <c r="BC26417" s="141"/>
    </row>
    <row r="26418">
      <c r="BB26418" s="122"/>
      <c r="BC26418" s="141"/>
    </row>
    <row r="26419">
      <c r="BB26419" s="122"/>
      <c r="BC26419" s="141"/>
    </row>
    <row r="26420">
      <c r="BB26420" s="122"/>
      <c r="BC26420" s="141"/>
    </row>
    <row r="26421">
      <c r="BB26421" s="122"/>
      <c r="BC26421" s="141"/>
    </row>
    <row r="26422">
      <c r="BB26422" s="122"/>
      <c r="BC26422" s="141"/>
    </row>
    <row r="26423">
      <c r="BB26423" s="122"/>
      <c r="BC26423" s="141"/>
    </row>
    <row r="26424">
      <c r="BB26424" s="122"/>
      <c r="BC26424" s="141"/>
    </row>
    <row r="26425">
      <c r="BB26425" s="122"/>
      <c r="BC26425" s="141"/>
    </row>
    <row r="26426">
      <c r="BB26426" s="122"/>
      <c r="BC26426" s="141"/>
    </row>
    <row r="26427">
      <c r="BB26427" s="122"/>
      <c r="BC26427" s="141"/>
    </row>
    <row r="26428">
      <c r="BB26428" s="122"/>
      <c r="BC26428" s="141"/>
    </row>
    <row r="26429">
      <c r="BB26429" s="122"/>
      <c r="BC26429" s="141"/>
    </row>
    <row r="26430">
      <c r="BB26430" s="122"/>
      <c r="BC26430" s="141"/>
    </row>
    <row r="26431">
      <c r="BB26431" s="122"/>
      <c r="BC26431" s="141"/>
    </row>
    <row r="26432">
      <c r="BB26432" s="122"/>
      <c r="BC26432" s="141"/>
    </row>
    <row r="26433">
      <c r="BB26433" s="122"/>
      <c r="BC26433" s="141"/>
    </row>
    <row r="26434">
      <c r="BB26434" s="122"/>
      <c r="BC26434" s="141"/>
    </row>
    <row r="26435">
      <c r="BB26435" s="122"/>
      <c r="BC26435" s="141"/>
    </row>
    <row r="26436">
      <c r="BB26436" s="122"/>
      <c r="BC26436" s="141"/>
    </row>
    <row r="26437">
      <c r="BB26437" s="122"/>
      <c r="BC26437" s="141"/>
    </row>
    <row r="26438">
      <c r="BB26438" s="122"/>
      <c r="BC26438" s="141"/>
    </row>
    <row r="26439">
      <c r="BB26439" s="122"/>
      <c r="BC26439" s="141"/>
    </row>
    <row r="26440">
      <c r="BB26440" s="122"/>
      <c r="BC26440" s="141"/>
    </row>
    <row r="26441">
      <c r="BB26441" s="122"/>
      <c r="BC26441" s="141"/>
    </row>
    <row r="26442">
      <c r="BB26442" s="122"/>
      <c r="BC26442" s="141"/>
    </row>
    <row r="26443">
      <c r="BB26443" s="122"/>
      <c r="BC26443" s="141"/>
    </row>
    <row r="26444">
      <c r="BB26444" s="122"/>
      <c r="BC26444" s="141"/>
    </row>
    <row r="26445">
      <c r="BB26445" s="122"/>
      <c r="BC26445" s="141"/>
    </row>
    <row r="26446">
      <c r="BB26446" s="122"/>
      <c r="BC26446" s="141"/>
    </row>
    <row r="26447">
      <c r="BB26447" s="122"/>
      <c r="BC26447" s="141"/>
    </row>
    <row r="26448">
      <c r="BB26448" s="122"/>
      <c r="BC26448" s="141"/>
    </row>
    <row r="26449">
      <c r="BB26449" s="122"/>
      <c r="BC26449" s="141"/>
    </row>
    <row r="26450">
      <c r="BB26450" s="122"/>
      <c r="BC26450" s="141"/>
    </row>
    <row r="26451">
      <c r="BB26451" s="122"/>
      <c r="BC26451" s="141"/>
    </row>
    <row r="26452">
      <c r="BB26452" s="122"/>
      <c r="BC26452" s="141"/>
    </row>
    <row r="26453">
      <c r="BB26453" s="122"/>
      <c r="BC26453" s="141"/>
    </row>
    <row r="26454">
      <c r="BB26454" s="122"/>
      <c r="BC26454" s="141"/>
    </row>
    <row r="26455">
      <c r="BB26455" s="122"/>
      <c r="BC26455" s="141"/>
    </row>
    <row r="26456">
      <c r="BB26456" s="122"/>
      <c r="BC26456" s="141"/>
    </row>
    <row r="26457">
      <c r="BB26457" s="122"/>
      <c r="BC26457" s="141"/>
    </row>
    <row r="26458">
      <c r="BB26458" s="122"/>
      <c r="BC26458" s="141"/>
    </row>
    <row r="26459">
      <c r="BB26459" s="122"/>
      <c r="BC26459" s="141"/>
    </row>
    <row r="26460">
      <c r="BB26460" s="122"/>
      <c r="BC26460" s="141"/>
    </row>
    <row r="26461">
      <c r="BB26461" s="122"/>
      <c r="BC26461" s="141"/>
    </row>
    <row r="26462">
      <c r="BB26462" s="122"/>
      <c r="BC26462" s="141"/>
    </row>
    <row r="26463">
      <c r="BB26463" s="122"/>
      <c r="BC26463" s="141"/>
    </row>
    <row r="26464">
      <c r="BB26464" s="122"/>
      <c r="BC26464" s="141"/>
    </row>
    <row r="26465">
      <c r="BB26465" s="122"/>
      <c r="BC26465" s="141"/>
    </row>
    <row r="26466">
      <c r="BB26466" s="122"/>
      <c r="BC26466" s="141"/>
    </row>
    <row r="26467">
      <c r="BB26467" s="122"/>
      <c r="BC26467" s="141"/>
    </row>
    <row r="26468">
      <c r="BB26468" s="122"/>
      <c r="BC26468" s="141"/>
    </row>
    <row r="26469">
      <c r="BB26469" s="122"/>
      <c r="BC26469" s="141"/>
    </row>
    <row r="26470">
      <c r="BB26470" s="122"/>
      <c r="BC26470" s="141"/>
    </row>
    <row r="26471">
      <c r="BB26471" s="122"/>
      <c r="BC26471" s="141"/>
    </row>
    <row r="26472">
      <c r="BB26472" s="122"/>
      <c r="BC26472" s="141"/>
    </row>
    <row r="26473">
      <c r="BB26473" s="122"/>
      <c r="BC26473" s="141"/>
    </row>
    <row r="26474">
      <c r="BB26474" s="122"/>
      <c r="BC26474" s="141"/>
    </row>
    <row r="26475">
      <c r="BB26475" s="122"/>
      <c r="BC26475" s="141"/>
    </row>
    <row r="26476">
      <c r="BB26476" s="122"/>
      <c r="BC26476" s="141"/>
    </row>
    <row r="26477">
      <c r="BB26477" s="122"/>
      <c r="BC26477" s="141"/>
    </row>
    <row r="26478">
      <c r="BB26478" s="122"/>
      <c r="BC26478" s="141"/>
    </row>
    <row r="26479">
      <c r="BB26479" s="122"/>
      <c r="BC26479" s="141"/>
    </row>
    <row r="26480">
      <c r="BB26480" s="122"/>
      <c r="BC26480" s="141"/>
    </row>
    <row r="26481">
      <c r="BB26481" s="122"/>
      <c r="BC26481" s="141"/>
    </row>
    <row r="26482">
      <c r="BB26482" s="122"/>
      <c r="BC26482" s="141"/>
    </row>
    <row r="26483">
      <c r="BB26483" s="122"/>
      <c r="BC26483" s="141"/>
    </row>
    <row r="26484">
      <c r="BB26484" s="122"/>
      <c r="BC26484" s="141"/>
    </row>
    <row r="26485">
      <c r="BB26485" s="122"/>
      <c r="BC26485" s="141"/>
    </row>
    <row r="26486">
      <c r="BB26486" s="122"/>
      <c r="BC26486" s="141"/>
    </row>
    <row r="26487">
      <c r="BB26487" s="122"/>
      <c r="BC26487" s="141"/>
    </row>
    <row r="26488">
      <c r="BB26488" s="122"/>
      <c r="BC26488" s="141"/>
    </row>
    <row r="26489">
      <c r="BB26489" s="122"/>
      <c r="BC26489" s="141"/>
    </row>
    <row r="26490">
      <c r="BB26490" s="122"/>
      <c r="BC26490" s="141"/>
    </row>
    <row r="26491">
      <c r="BB26491" s="122"/>
      <c r="BC26491" s="141"/>
    </row>
    <row r="26492">
      <c r="BB26492" s="122"/>
      <c r="BC26492" s="141"/>
    </row>
    <row r="26493">
      <c r="BB26493" s="122"/>
      <c r="BC26493" s="141"/>
    </row>
    <row r="26494">
      <c r="BB26494" s="122"/>
      <c r="BC26494" s="141"/>
    </row>
    <row r="26495">
      <c r="BB26495" s="122"/>
      <c r="BC26495" s="141"/>
    </row>
    <row r="26496">
      <c r="BB26496" s="122"/>
      <c r="BC26496" s="141"/>
    </row>
    <row r="26497">
      <c r="BB26497" s="122"/>
      <c r="BC26497" s="141"/>
    </row>
    <row r="26498">
      <c r="BB26498" s="122"/>
      <c r="BC26498" s="141"/>
    </row>
    <row r="26499">
      <c r="BB26499" s="122"/>
      <c r="BC26499" s="141"/>
    </row>
    <row r="26500">
      <c r="BB26500" s="122"/>
      <c r="BC26500" s="141"/>
    </row>
    <row r="26501">
      <c r="BB26501" s="122"/>
      <c r="BC26501" s="141"/>
    </row>
    <row r="26502">
      <c r="BB26502" s="122"/>
      <c r="BC26502" s="141"/>
    </row>
    <row r="26503">
      <c r="BB26503" s="122"/>
      <c r="BC26503" s="141"/>
    </row>
    <row r="26504">
      <c r="BB26504" s="122"/>
      <c r="BC26504" s="141"/>
    </row>
    <row r="26505">
      <c r="BB26505" s="122"/>
      <c r="BC26505" s="141"/>
    </row>
    <row r="26506">
      <c r="BB26506" s="122"/>
      <c r="BC26506" s="141"/>
    </row>
    <row r="26507">
      <c r="BB26507" s="122"/>
      <c r="BC26507" s="141"/>
    </row>
    <row r="26508">
      <c r="BB26508" s="122"/>
      <c r="BC26508" s="141"/>
    </row>
    <row r="26509">
      <c r="BB26509" s="122"/>
      <c r="BC26509" s="141"/>
    </row>
    <row r="26510">
      <c r="BB26510" s="122"/>
      <c r="BC26510" s="141"/>
    </row>
    <row r="26511">
      <c r="BB26511" s="122"/>
      <c r="BC26511" s="141"/>
    </row>
    <row r="26512">
      <c r="BB26512" s="122"/>
      <c r="BC26512" s="141"/>
    </row>
    <row r="26513">
      <c r="BB26513" s="122"/>
      <c r="BC26513" s="141"/>
    </row>
    <row r="26514">
      <c r="BB26514" s="122"/>
      <c r="BC26514" s="141"/>
    </row>
    <row r="26515">
      <c r="BB26515" s="122"/>
      <c r="BC26515" s="141"/>
    </row>
    <row r="26516">
      <c r="BB26516" s="122"/>
      <c r="BC26516" s="141"/>
    </row>
    <row r="26517">
      <c r="BB26517" s="122"/>
      <c r="BC26517" s="141"/>
    </row>
    <row r="26518">
      <c r="BB26518" s="122"/>
      <c r="BC26518" s="141"/>
    </row>
    <row r="26519">
      <c r="BB26519" s="122"/>
      <c r="BC26519" s="141"/>
    </row>
    <row r="26520">
      <c r="BB26520" s="122"/>
      <c r="BC26520" s="141"/>
    </row>
    <row r="26521">
      <c r="BB26521" s="122"/>
      <c r="BC26521" s="141"/>
    </row>
    <row r="26522">
      <c r="BB26522" s="122"/>
      <c r="BC26522" s="141"/>
    </row>
    <row r="26523">
      <c r="BB26523" s="122"/>
      <c r="BC26523" s="141"/>
    </row>
    <row r="26524">
      <c r="BB26524" s="122"/>
      <c r="BC26524" s="141"/>
    </row>
    <row r="26525">
      <c r="BB26525" s="122"/>
      <c r="BC26525" s="141"/>
    </row>
    <row r="26526">
      <c r="BB26526" s="122"/>
      <c r="BC26526" s="141"/>
    </row>
    <row r="26527">
      <c r="BB26527" s="122"/>
      <c r="BC26527" s="141"/>
    </row>
    <row r="26528">
      <c r="BB26528" s="122"/>
      <c r="BC26528" s="141"/>
    </row>
    <row r="26529">
      <c r="BB26529" s="122"/>
      <c r="BC26529" s="141"/>
    </row>
    <row r="26530">
      <c r="BB26530" s="122"/>
      <c r="BC26530" s="141"/>
    </row>
    <row r="26531">
      <c r="BB26531" s="122"/>
      <c r="BC26531" s="141"/>
    </row>
    <row r="26532">
      <c r="BB26532" s="122"/>
      <c r="BC26532" s="141"/>
    </row>
    <row r="26533">
      <c r="BB26533" s="122"/>
      <c r="BC26533" s="141"/>
    </row>
    <row r="26534">
      <c r="BB26534" s="122"/>
      <c r="BC26534" s="141"/>
    </row>
    <row r="26535">
      <c r="BB26535" s="122"/>
      <c r="BC26535" s="141"/>
    </row>
    <row r="26536">
      <c r="BB26536" s="122"/>
      <c r="BC26536" s="141"/>
    </row>
    <row r="26537">
      <c r="BB26537" s="122"/>
      <c r="BC26537" s="141"/>
    </row>
    <row r="26538">
      <c r="BB26538" s="122"/>
      <c r="BC26538" s="141"/>
    </row>
    <row r="26539">
      <c r="BB26539" s="122"/>
      <c r="BC26539" s="141"/>
    </row>
    <row r="26540">
      <c r="BB26540" s="122"/>
      <c r="BC26540" s="141"/>
    </row>
    <row r="26541">
      <c r="BB26541" s="122"/>
      <c r="BC26541" s="141"/>
    </row>
    <row r="26542">
      <c r="BB26542" s="122"/>
      <c r="BC26542" s="141"/>
    </row>
    <row r="26543">
      <c r="BB26543" s="122"/>
      <c r="BC26543" s="141"/>
    </row>
    <row r="26544">
      <c r="BB26544" s="122"/>
      <c r="BC26544" s="141"/>
    </row>
    <row r="26545">
      <c r="BB26545" s="122"/>
      <c r="BC26545" s="141"/>
    </row>
    <row r="26546">
      <c r="BB26546" s="122"/>
      <c r="BC26546" s="141"/>
    </row>
    <row r="26547">
      <c r="BB26547" s="122"/>
      <c r="BC26547" s="141"/>
    </row>
    <row r="26548">
      <c r="BB26548" s="122"/>
      <c r="BC26548" s="141"/>
    </row>
    <row r="26549">
      <c r="BB26549" s="122"/>
      <c r="BC26549" s="141"/>
    </row>
    <row r="26550">
      <c r="BB26550" s="122"/>
      <c r="BC26550" s="141"/>
    </row>
    <row r="26551">
      <c r="BB26551" s="122"/>
      <c r="BC26551" s="141"/>
    </row>
    <row r="26552">
      <c r="BB26552" s="122"/>
      <c r="BC26552" s="141"/>
    </row>
    <row r="26553">
      <c r="BB26553" s="122"/>
      <c r="BC26553" s="141"/>
    </row>
    <row r="26554">
      <c r="BB26554" s="122"/>
      <c r="BC26554" s="141"/>
    </row>
    <row r="26555">
      <c r="BB26555" s="122"/>
      <c r="BC26555" s="141"/>
    </row>
    <row r="26556">
      <c r="BB26556" s="122"/>
      <c r="BC26556" s="141"/>
    </row>
    <row r="26557">
      <c r="BB26557" s="122"/>
      <c r="BC26557" s="141"/>
    </row>
    <row r="26558">
      <c r="BB26558" s="122"/>
      <c r="BC26558" s="141"/>
    </row>
    <row r="26559">
      <c r="BB26559" s="122"/>
      <c r="BC26559" s="141"/>
    </row>
    <row r="26560">
      <c r="BB26560" s="122"/>
      <c r="BC26560" s="141"/>
    </row>
    <row r="26561">
      <c r="BB26561" s="122"/>
      <c r="BC26561" s="141"/>
    </row>
    <row r="26562">
      <c r="BB26562" s="122"/>
      <c r="BC26562" s="141"/>
    </row>
    <row r="26563">
      <c r="BB26563" s="122"/>
      <c r="BC26563" s="141"/>
    </row>
    <row r="26564">
      <c r="BB26564" s="122"/>
      <c r="BC26564" s="141"/>
    </row>
    <row r="26565">
      <c r="BB26565" s="122"/>
      <c r="BC26565" s="141"/>
    </row>
    <row r="26566">
      <c r="BB26566" s="122"/>
      <c r="BC26566" s="141"/>
    </row>
    <row r="26567">
      <c r="BB26567" s="122"/>
      <c r="BC26567" s="141"/>
    </row>
    <row r="26568">
      <c r="BB26568" s="122"/>
      <c r="BC26568" s="141"/>
    </row>
    <row r="26569">
      <c r="BB26569" s="122"/>
      <c r="BC26569" s="141"/>
    </row>
    <row r="26570">
      <c r="BB26570" s="122"/>
      <c r="BC26570" s="141"/>
    </row>
    <row r="26571">
      <c r="BB26571" s="122"/>
      <c r="BC26571" s="141"/>
    </row>
    <row r="26572">
      <c r="BB26572" s="122"/>
      <c r="BC26572" s="141"/>
    </row>
    <row r="26573">
      <c r="BB26573" s="122"/>
      <c r="BC26573" s="141"/>
    </row>
    <row r="26574">
      <c r="BB26574" s="122"/>
      <c r="BC26574" s="141"/>
    </row>
    <row r="26575">
      <c r="BB26575" s="122"/>
      <c r="BC26575" s="141"/>
    </row>
    <row r="26576">
      <c r="BB26576" s="122"/>
      <c r="BC26576" s="141"/>
    </row>
    <row r="26577">
      <c r="BB26577" s="122"/>
      <c r="BC26577" s="141"/>
    </row>
    <row r="26578">
      <c r="BB26578" s="122"/>
      <c r="BC26578" s="141"/>
    </row>
    <row r="26579">
      <c r="BB26579" s="122"/>
      <c r="BC26579" s="141"/>
    </row>
    <row r="26580">
      <c r="BB26580" s="122"/>
      <c r="BC26580" s="141"/>
    </row>
    <row r="26581">
      <c r="BB26581" s="122"/>
      <c r="BC26581" s="141"/>
    </row>
    <row r="26582">
      <c r="BB26582" s="122"/>
      <c r="BC26582" s="141"/>
    </row>
    <row r="26583">
      <c r="BB26583" s="122"/>
      <c r="BC26583" s="141"/>
    </row>
    <row r="26584">
      <c r="BB26584" s="122"/>
      <c r="BC26584" s="141"/>
    </row>
    <row r="26585">
      <c r="BB26585" s="122"/>
      <c r="BC26585" s="141"/>
    </row>
    <row r="26586">
      <c r="BB26586" s="122"/>
      <c r="BC26586" s="141"/>
    </row>
    <row r="26587">
      <c r="BB26587" s="122"/>
      <c r="BC26587" s="141"/>
    </row>
    <row r="26588">
      <c r="BB26588" s="122"/>
      <c r="BC26588" s="141"/>
    </row>
    <row r="26589">
      <c r="BB26589" s="122"/>
      <c r="BC26589" s="141"/>
    </row>
    <row r="26590">
      <c r="BB26590" s="122"/>
      <c r="BC26590" s="141"/>
    </row>
    <row r="26591">
      <c r="BB26591" s="122"/>
      <c r="BC26591" s="141"/>
    </row>
    <row r="26592">
      <c r="BB26592" s="122"/>
      <c r="BC26592" s="141"/>
    </row>
    <row r="26593">
      <c r="BB26593" s="122"/>
      <c r="BC26593" s="141"/>
    </row>
    <row r="26594">
      <c r="BB26594" s="122"/>
      <c r="BC26594" s="141"/>
    </row>
    <row r="26595">
      <c r="BB26595" s="122"/>
      <c r="BC26595" s="141"/>
    </row>
    <row r="26596">
      <c r="BB26596" s="122"/>
      <c r="BC26596" s="141"/>
    </row>
    <row r="26597">
      <c r="BB26597" s="122"/>
      <c r="BC26597" s="141"/>
    </row>
    <row r="26598">
      <c r="BB26598" s="122"/>
      <c r="BC26598" s="141"/>
    </row>
    <row r="26599">
      <c r="BB26599" s="122"/>
      <c r="BC26599" s="141"/>
    </row>
    <row r="26600">
      <c r="BB26600" s="122"/>
      <c r="BC26600" s="141"/>
    </row>
    <row r="26601">
      <c r="BB26601" s="122"/>
      <c r="BC26601" s="141"/>
    </row>
    <row r="26602">
      <c r="BB26602" s="122"/>
      <c r="BC26602" s="141"/>
    </row>
    <row r="26603">
      <c r="BB26603" s="122"/>
      <c r="BC26603" s="141"/>
    </row>
    <row r="26604">
      <c r="BB26604" s="122"/>
      <c r="BC26604" s="141"/>
    </row>
    <row r="26605">
      <c r="BB26605" s="122"/>
      <c r="BC26605" s="141"/>
    </row>
    <row r="26606">
      <c r="BB26606" s="122"/>
      <c r="BC26606" s="141"/>
    </row>
    <row r="26607">
      <c r="BB26607" s="122"/>
      <c r="BC26607" s="141"/>
    </row>
    <row r="26608">
      <c r="BB26608" s="122"/>
      <c r="BC26608" s="141"/>
    </row>
    <row r="26609">
      <c r="BB26609" s="122"/>
      <c r="BC26609" s="141"/>
    </row>
    <row r="26610">
      <c r="BB26610" s="122"/>
      <c r="BC26610" s="141"/>
    </row>
    <row r="26611">
      <c r="BB26611" s="122"/>
      <c r="BC26611" s="141"/>
    </row>
    <row r="26612">
      <c r="BB26612" s="122"/>
      <c r="BC26612" s="141"/>
    </row>
    <row r="26613">
      <c r="BB26613" s="122"/>
      <c r="BC26613" s="141"/>
    </row>
    <row r="26614">
      <c r="BB26614" s="122"/>
      <c r="BC26614" s="141"/>
    </row>
    <row r="26615">
      <c r="BB26615" s="122"/>
      <c r="BC26615" s="141"/>
    </row>
    <row r="26616">
      <c r="BB26616" s="122"/>
      <c r="BC26616" s="141"/>
    </row>
    <row r="26617">
      <c r="BB26617" s="122"/>
      <c r="BC26617" s="141"/>
    </row>
    <row r="26618">
      <c r="BB26618" s="122"/>
      <c r="BC26618" s="141"/>
    </row>
    <row r="26619">
      <c r="BB26619" s="122"/>
      <c r="BC26619" s="141"/>
    </row>
    <row r="26620">
      <c r="BB26620" s="122"/>
      <c r="BC26620" s="141"/>
    </row>
    <row r="26621">
      <c r="BB26621" s="122"/>
      <c r="BC26621" s="141"/>
    </row>
    <row r="26622">
      <c r="BB26622" s="122"/>
      <c r="BC26622" s="141"/>
    </row>
    <row r="26623">
      <c r="BB26623" s="122"/>
      <c r="BC26623" s="141"/>
    </row>
    <row r="26624">
      <c r="BB26624" s="122"/>
      <c r="BC26624" s="141"/>
    </row>
    <row r="26625">
      <c r="BB26625" s="122"/>
      <c r="BC26625" s="141"/>
    </row>
    <row r="26626">
      <c r="BB26626" s="122"/>
      <c r="BC26626" s="141"/>
    </row>
    <row r="26627">
      <c r="BB26627" s="122"/>
      <c r="BC26627" s="141"/>
    </row>
    <row r="26628">
      <c r="BB26628" s="122"/>
      <c r="BC26628" s="141"/>
    </row>
    <row r="26629">
      <c r="BB26629" s="122"/>
      <c r="BC26629" s="141"/>
    </row>
    <row r="26630">
      <c r="BB26630" s="122"/>
      <c r="BC26630" s="141"/>
    </row>
    <row r="26631">
      <c r="BB26631" s="122"/>
      <c r="BC26631" s="141"/>
    </row>
    <row r="26632">
      <c r="BB26632" s="122"/>
      <c r="BC26632" s="141"/>
    </row>
    <row r="26633">
      <c r="BB26633" s="122"/>
      <c r="BC26633" s="141"/>
    </row>
    <row r="26634">
      <c r="BB26634" s="122"/>
      <c r="BC26634" s="141"/>
    </row>
    <row r="26635">
      <c r="BB26635" s="122"/>
      <c r="BC26635" s="141"/>
    </row>
    <row r="26636">
      <c r="BB26636" s="122"/>
      <c r="BC26636" s="141"/>
    </row>
    <row r="26637">
      <c r="BB26637" s="122"/>
      <c r="BC26637" s="141"/>
    </row>
    <row r="26638">
      <c r="BB26638" s="122"/>
      <c r="BC26638" s="141"/>
    </row>
    <row r="26639">
      <c r="BB26639" s="122"/>
      <c r="BC26639" s="141"/>
    </row>
    <row r="26640">
      <c r="BB26640" s="122"/>
      <c r="BC26640" s="141"/>
    </row>
    <row r="26641">
      <c r="BB26641" s="122"/>
      <c r="BC26641" s="141"/>
    </row>
    <row r="26642">
      <c r="BB26642" s="122"/>
      <c r="BC26642" s="141"/>
    </row>
    <row r="26643">
      <c r="BB26643" s="122"/>
      <c r="BC26643" s="141"/>
    </row>
    <row r="26644">
      <c r="BB26644" s="122"/>
      <c r="BC26644" s="141"/>
    </row>
    <row r="26645">
      <c r="BB26645" s="122"/>
      <c r="BC26645" s="141"/>
    </row>
    <row r="26646">
      <c r="BB26646" s="122"/>
      <c r="BC26646" s="141"/>
    </row>
    <row r="26647">
      <c r="BB26647" s="122"/>
      <c r="BC26647" s="141"/>
    </row>
    <row r="26648">
      <c r="BB26648" s="122"/>
      <c r="BC26648" s="141"/>
    </row>
    <row r="26649">
      <c r="BB26649" s="122"/>
      <c r="BC26649" s="141"/>
    </row>
    <row r="26650">
      <c r="BB26650" s="122"/>
      <c r="BC26650" s="141"/>
    </row>
    <row r="26651">
      <c r="BB26651" s="122"/>
      <c r="BC26651" s="141"/>
    </row>
    <row r="26652">
      <c r="BB26652" s="122"/>
      <c r="BC26652" s="141"/>
    </row>
    <row r="26653">
      <c r="BB26653" s="122"/>
      <c r="BC26653" s="141"/>
    </row>
    <row r="26654">
      <c r="BB26654" s="122"/>
      <c r="BC26654" s="141"/>
    </row>
    <row r="26655">
      <c r="BB26655" s="122"/>
      <c r="BC26655" s="141"/>
    </row>
    <row r="26656">
      <c r="BB26656" s="122"/>
      <c r="BC26656" s="141"/>
    </row>
    <row r="26657">
      <c r="BB26657" s="122"/>
      <c r="BC26657" s="141"/>
    </row>
    <row r="26658">
      <c r="BB26658" s="122"/>
      <c r="BC26658" s="141"/>
    </row>
    <row r="26659">
      <c r="BB26659" s="122"/>
      <c r="BC26659" s="141"/>
    </row>
    <row r="26660">
      <c r="BB26660" s="122"/>
      <c r="BC26660" s="141"/>
    </row>
    <row r="26661">
      <c r="BB26661" s="122"/>
      <c r="BC26661" s="141"/>
    </row>
    <row r="26662">
      <c r="BB26662" s="122"/>
      <c r="BC26662" s="141"/>
    </row>
    <row r="26663">
      <c r="BB26663" s="122"/>
      <c r="BC26663" s="141"/>
    </row>
    <row r="26664">
      <c r="BB26664" s="122"/>
      <c r="BC26664" s="141"/>
    </row>
    <row r="26665">
      <c r="BB26665" s="122"/>
      <c r="BC26665" s="141"/>
    </row>
    <row r="26666">
      <c r="BB26666" s="122"/>
      <c r="BC26666" s="141"/>
    </row>
    <row r="26667">
      <c r="BB26667" s="122"/>
      <c r="BC26667" s="141"/>
    </row>
    <row r="26668">
      <c r="BB26668" s="122"/>
      <c r="BC26668" s="141"/>
    </row>
    <row r="26669">
      <c r="BB26669" s="122"/>
      <c r="BC26669" s="141"/>
    </row>
    <row r="26670">
      <c r="BB26670" s="122"/>
      <c r="BC26670" s="141"/>
    </row>
    <row r="26671">
      <c r="BB26671" s="122"/>
      <c r="BC26671" s="141"/>
    </row>
    <row r="26672">
      <c r="BB26672" s="122"/>
      <c r="BC26672" s="141"/>
    </row>
    <row r="26673">
      <c r="BB26673" s="122"/>
      <c r="BC26673" s="141"/>
    </row>
    <row r="26674">
      <c r="BB26674" s="122"/>
      <c r="BC26674" s="141"/>
    </row>
    <row r="26675">
      <c r="BB26675" s="122"/>
      <c r="BC26675" s="141"/>
    </row>
    <row r="26676">
      <c r="BB26676" s="122"/>
      <c r="BC26676" s="141"/>
    </row>
    <row r="26677">
      <c r="BB26677" s="122"/>
      <c r="BC26677" s="141"/>
    </row>
    <row r="26678">
      <c r="BB26678" s="122"/>
      <c r="BC26678" s="141"/>
    </row>
    <row r="26679">
      <c r="BB26679" s="122"/>
      <c r="BC26679" s="141"/>
    </row>
    <row r="26680">
      <c r="BB26680" s="122"/>
      <c r="BC26680" s="141"/>
    </row>
    <row r="26681">
      <c r="BB26681" s="122"/>
      <c r="BC26681" s="141"/>
    </row>
    <row r="26682">
      <c r="BB26682" s="122"/>
      <c r="BC26682" s="141"/>
    </row>
    <row r="26683">
      <c r="BB26683" s="122"/>
      <c r="BC26683" s="141"/>
    </row>
    <row r="26684">
      <c r="BB26684" s="122"/>
      <c r="BC26684" s="141"/>
    </row>
    <row r="26685">
      <c r="BB26685" s="122"/>
      <c r="BC26685" s="141"/>
    </row>
    <row r="26686">
      <c r="BB26686" s="122"/>
      <c r="BC26686" s="141"/>
    </row>
    <row r="26687">
      <c r="BB26687" s="122"/>
      <c r="BC26687" s="141"/>
    </row>
    <row r="26688">
      <c r="BB26688" s="122"/>
      <c r="BC26688" s="141"/>
    </row>
    <row r="26689">
      <c r="BB26689" s="122"/>
      <c r="BC26689" s="141"/>
    </row>
    <row r="26690">
      <c r="BB26690" s="122"/>
      <c r="BC26690" s="141"/>
    </row>
    <row r="26691">
      <c r="BB26691" s="122"/>
      <c r="BC26691" s="141"/>
    </row>
    <row r="26692">
      <c r="BB26692" s="122"/>
      <c r="BC26692" s="141"/>
    </row>
    <row r="26693">
      <c r="BB26693" s="122"/>
      <c r="BC26693" s="141"/>
    </row>
    <row r="26694">
      <c r="BB26694" s="122"/>
      <c r="BC26694" s="141"/>
    </row>
    <row r="26695">
      <c r="BB26695" s="122"/>
      <c r="BC26695" s="141"/>
    </row>
    <row r="26696">
      <c r="BB26696" s="122"/>
      <c r="BC26696" s="141"/>
    </row>
    <row r="26697">
      <c r="BB26697" s="122"/>
      <c r="BC26697" s="141"/>
    </row>
    <row r="26698">
      <c r="BB26698" s="122"/>
      <c r="BC26698" s="141"/>
    </row>
    <row r="26699">
      <c r="BB26699" s="122"/>
      <c r="BC26699" s="141"/>
    </row>
    <row r="26700">
      <c r="BB26700" s="122"/>
      <c r="BC26700" s="141"/>
    </row>
    <row r="26701">
      <c r="BB26701" s="122"/>
      <c r="BC26701" s="141"/>
    </row>
    <row r="26702">
      <c r="BB26702" s="122"/>
      <c r="BC26702" s="141"/>
    </row>
    <row r="26703">
      <c r="BB26703" s="122"/>
      <c r="BC26703" s="141"/>
    </row>
    <row r="26704">
      <c r="BB26704" s="122"/>
      <c r="BC26704" s="141"/>
    </row>
    <row r="26705">
      <c r="BB26705" s="122"/>
      <c r="BC26705" s="141"/>
    </row>
    <row r="26706">
      <c r="BB26706" s="122"/>
      <c r="BC26706" s="141"/>
    </row>
    <row r="26707">
      <c r="BB26707" s="122"/>
      <c r="BC26707" s="141"/>
    </row>
    <row r="26708">
      <c r="BB26708" s="122"/>
      <c r="BC26708" s="141"/>
    </row>
    <row r="26709">
      <c r="BB26709" s="122"/>
      <c r="BC26709" s="141"/>
    </row>
    <row r="26710">
      <c r="BB26710" s="122"/>
      <c r="BC26710" s="141"/>
    </row>
    <row r="26711">
      <c r="BB26711" s="122"/>
      <c r="BC26711" s="141"/>
    </row>
    <row r="26712">
      <c r="BB26712" s="122"/>
      <c r="BC26712" s="141"/>
    </row>
    <row r="26713">
      <c r="BB26713" s="122"/>
      <c r="BC26713" s="141"/>
    </row>
    <row r="26714">
      <c r="BB26714" s="122"/>
      <c r="BC26714" s="141"/>
    </row>
    <row r="26715">
      <c r="BB26715" s="122"/>
      <c r="BC26715" s="141"/>
    </row>
    <row r="26716">
      <c r="BB26716" s="122"/>
      <c r="BC26716" s="141"/>
    </row>
    <row r="26717">
      <c r="BB26717" s="122"/>
      <c r="BC26717" s="141"/>
    </row>
    <row r="26718">
      <c r="BB26718" s="122"/>
      <c r="BC26718" s="141"/>
    </row>
    <row r="26719">
      <c r="BB26719" s="122"/>
      <c r="BC26719" s="141"/>
    </row>
    <row r="26720">
      <c r="BB26720" s="122"/>
      <c r="BC26720" s="141"/>
    </row>
    <row r="26721">
      <c r="BB26721" s="122"/>
      <c r="BC26721" s="141"/>
    </row>
    <row r="26722">
      <c r="BB26722" s="122"/>
      <c r="BC26722" s="141"/>
    </row>
    <row r="26723">
      <c r="BB26723" s="122"/>
      <c r="BC26723" s="141"/>
    </row>
    <row r="26724">
      <c r="BB26724" s="122"/>
      <c r="BC26724" s="141"/>
    </row>
    <row r="26725">
      <c r="BB26725" s="122"/>
      <c r="BC26725" s="141"/>
    </row>
    <row r="26726">
      <c r="BB26726" s="122"/>
      <c r="BC26726" s="141"/>
    </row>
    <row r="26727">
      <c r="BB26727" s="122"/>
      <c r="BC26727" s="141"/>
    </row>
    <row r="26728">
      <c r="BB26728" s="122"/>
      <c r="BC26728" s="141"/>
    </row>
    <row r="26729">
      <c r="BB26729" s="122"/>
      <c r="BC26729" s="141"/>
    </row>
    <row r="26730">
      <c r="BB26730" s="122"/>
      <c r="BC26730" s="141"/>
    </row>
    <row r="26731">
      <c r="BB26731" s="122"/>
      <c r="BC26731" s="141"/>
    </row>
    <row r="26732">
      <c r="BB26732" s="122"/>
      <c r="BC26732" s="141"/>
    </row>
    <row r="26733">
      <c r="BB26733" s="122"/>
      <c r="BC26733" s="141"/>
    </row>
    <row r="26734">
      <c r="BB26734" s="122"/>
      <c r="BC26734" s="141"/>
    </row>
    <row r="26735">
      <c r="BB26735" s="122"/>
      <c r="BC26735" s="141"/>
    </row>
    <row r="26736">
      <c r="BB26736" s="122"/>
      <c r="BC26736" s="141"/>
    </row>
    <row r="26737">
      <c r="BB26737" s="122"/>
      <c r="BC26737" s="141"/>
    </row>
    <row r="26738">
      <c r="BB26738" s="122"/>
      <c r="BC26738" s="141"/>
    </row>
    <row r="26739">
      <c r="BB26739" s="122"/>
      <c r="BC26739" s="141"/>
    </row>
    <row r="26740">
      <c r="BB26740" s="122"/>
      <c r="BC26740" s="141"/>
    </row>
    <row r="26741">
      <c r="BB26741" s="122"/>
      <c r="BC26741" s="141"/>
    </row>
    <row r="26742">
      <c r="BB26742" s="122"/>
      <c r="BC26742" s="141"/>
    </row>
    <row r="26743">
      <c r="BB26743" s="122"/>
      <c r="BC26743" s="141"/>
    </row>
    <row r="26744">
      <c r="BB26744" s="122"/>
      <c r="BC26744" s="141"/>
    </row>
    <row r="26745">
      <c r="BB26745" s="122"/>
      <c r="BC26745" s="141"/>
    </row>
    <row r="26746">
      <c r="BB26746" s="122"/>
      <c r="BC26746" s="141"/>
    </row>
    <row r="26747">
      <c r="BB26747" s="122"/>
      <c r="BC26747" s="141"/>
    </row>
    <row r="26748">
      <c r="BB26748" s="122"/>
      <c r="BC26748" s="141"/>
    </row>
    <row r="26749">
      <c r="BB26749" s="122"/>
      <c r="BC26749" s="141"/>
    </row>
    <row r="26750">
      <c r="BB26750" s="122"/>
      <c r="BC26750" s="141"/>
    </row>
    <row r="26751">
      <c r="BB26751" s="122"/>
      <c r="BC26751" s="141"/>
    </row>
    <row r="26752">
      <c r="BB26752" s="122"/>
      <c r="BC26752" s="141"/>
    </row>
    <row r="26753">
      <c r="BB26753" s="122"/>
      <c r="BC26753" s="141"/>
    </row>
    <row r="26754">
      <c r="BB26754" s="122"/>
      <c r="BC26754" s="141"/>
    </row>
    <row r="26755">
      <c r="BB26755" s="122"/>
      <c r="BC26755" s="141"/>
    </row>
    <row r="26756">
      <c r="BB26756" s="122"/>
      <c r="BC26756" s="141"/>
    </row>
    <row r="26757">
      <c r="BB26757" s="122"/>
      <c r="BC26757" s="141"/>
    </row>
    <row r="26758">
      <c r="BB26758" s="122"/>
      <c r="BC26758" s="141"/>
    </row>
    <row r="26759">
      <c r="BB26759" s="122"/>
      <c r="BC26759" s="141"/>
    </row>
    <row r="26760">
      <c r="BB26760" s="122"/>
      <c r="BC26760" s="141"/>
    </row>
    <row r="26761">
      <c r="BB26761" s="122"/>
      <c r="BC26761" s="141"/>
    </row>
    <row r="26762">
      <c r="BB26762" s="122"/>
      <c r="BC26762" s="141"/>
    </row>
    <row r="26763">
      <c r="BB26763" s="122"/>
      <c r="BC26763" s="141"/>
    </row>
    <row r="26764">
      <c r="BB26764" s="122"/>
      <c r="BC26764" s="141"/>
    </row>
    <row r="26765">
      <c r="BB26765" s="122"/>
      <c r="BC26765" s="141"/>
    </row>
    <row r="26766">
      <c r="BB26766" s="122"/>
      <c r="BC26766" s="141"/>
    </row>
    <row r="26767">
      <c r="BB26767" s="122"/>
      <c r="BC26767" s="141"/>
    </row>
    <row r="26768">
      <c r="BB26768" s="122"/>
      <c r="BC26768" s="141"/>
    </row>
    <row r="26769">
      <c r="BB26769" s="122"/>
      <c r="BC26769" s="141"/>
    </row>
    <row r="26770">
      <c r="BB26770" s="122"/>
      <c r="BC26770" s="141"/>
    </row>
    <row r="26771">
      <c r="BB26771" s="122"/>
      <c r="BC26771" s="141"/>
    </row>
    <row r="26772">
      <c r="BB26772" s="122"/>
      <c r="BC26772" s="141"/>
    </row>
    <row r="26773">
      <c r="BB26773" s="122"/>
      <c r="BC26773" s="141"/>
    </row>
    <row r="26774">
      <c r="BB26774" s="122"/>
      <c r="BC26774" s="141"/>
    </row>
    <row r="26775">
      <c r="BB26775" s="122"/>
      <c r="BC26775" s="141"/>
    </row>
    <row r="26776">
      <c r="BB26776" s="122"/>
      <c r="BC26776" s="141"/>
    </row>
    <row r="26777">
      <c r="BB26777" s="122"/>
      <c r="BC26777" s="141"/>
    </row>
    <row r="26778">
      <c r="BB26778" s="122"/>
      <c r="BC26778" s="141"/>
    </row>
    <row r="26779">
      <c r="BB26779" s="122"/>
      <c r="BC26779" s="141"/>
    </row>
    <row r="26780">
      <c r="BB26780" s="122"/>
      <c r="BC26780" s="141"/>
    </row>
    <row r="26781">
      <c r="BB26781" s="122"/>
      <c r="BC26781" s="141"/>
    </row>
    <row r="26782">
      <c r="BB26782" s="122"/>
      <c r="BC26782" s="141"/>
    </row>
    <row r="26783">
      <c r="BB26783" s="122"/>
      <c r="BC26783" s="141"/>
    </row>
    <row r="26784">
      <c r="BB26784" s="122"/>
      <c r="BC26784" s="141"/>
    </row>
    <row r="26785">
      <c r="BB26785" s="122"/>
      <c r="BC26785" s="141"/>
    </row>
    <row r="26786">
      <c r="BB26786" s="122"/>
      <c r="BC26786" s="141"/>
    </row>
    <row r="26787">
      <c r="BB26787" s="122"/>
      <c r="BC26787" s="141"/>
    </row>
    <row r="26788">
      <c r="BB26788" s="122"/>
      <c r="BC26788" s="141"/>
    </row>
    <row r="26789">
      <c r="BB26789" s="122"/>
      <c r="BC26789" s="141"/>
    </row>
    <row r="26790">
      <c r="BB26790" s="122"/>
      <c r="BC26790" s="141"/>
    </row>
    <row r="26791">
      <c r="BB26791" s="122"/>
      <c r="BC26791" s="141"/>
    </row>
    <row r="26792">
      <c r="BB26792" s="122"/>
      <c r="BC26792" s="141"/>
    </row>
    <row r="26793">
      <c r="BB26793" s="122"/>
      <c r="BC26793" s="141"/>
    </row>
    <row r="26794">
      <c r="BB26794" s="122"/>
      <c r="BC26794" s="141"/>
    </row>
    <row r="26795">
      <c r="BB26795" s="122"/>
      <c r="BC26795" s="141"/>
    </row>
    <row r="26796">
      <c r="BB26796" s="122"/>
      <c r="BC26796" s="141"/>
    </row>
    <row r="26797">
      <c r="BB26797" s="122"/>
      <c r="BC26797" s="141"/>
    </row>
    <row r="26798">
      <c r="BB26798" s="122"/>
      <c r="BC26798" s="141"/>
    </row>
    <row r="26799">
      <c r="BB26799" s="122"/>
      <c r="BC26799" s="141"/>
    </row>
    <row r="26800">
      <c r="BB26800" s="122"/>
      <c r="BC26800" s="141"/>
    </row>
    <row r="26801">
      <c r="BB26801" s="122"/>
      <c r="BC26801" s="141"/>
    </row>
    <row r="26802">
      <c r="BB26802" s="122"/>
      <c r="BC26802" s="141"/>
    </row>
    <row r="26803">
      <c r="BB26803" s="122"/>
      <c r="BC26803" s="141"/>
    </row>
    <row r="26804">
      <c r="BB26804" s="122"/>
      <c r="BC26804" s="141"/>
    </row>
    <row r="26805">
      <c r="BB26805" s="122"/>
      <c r="BC26805" s="141"/>
    </row>
    <row r="26806">
      <c r="BB26806" s="122"/>
      <c r="BC26806" s="141"/>
    </row>
    <row r="26807">
      <c r="BB26807" s="122"/>
      <c r="BC26807" s="141"/>
    </row>
    <row r="26808">
      <c r="BB26808" s="122"/>
      <c r="BC26808" s="141"/>
    </row>
    <row r="26809">
      <c r="BB26809" s="122"/>
      <c r="BC26809" s="141"/>
    </row>
    <row r="26810">
      <c r="BB26810" s="122"/>
      <c r="BC26810" s="141"/>
    </row>
    <row r="26811">
      <c r="BB26811" s="122"/>
      <c r="BC26811" s="141"/>
    </row>
    <row r="26812">
      <c r="BB26812" s="122"/>
      <c r="BC26812" s="141"/>
    </row>
    <row r="26813">
      <c r="BB26813" s="122"/>
      <c r="BC26813" s="141"/>
    </row>
    <row r="26814">
      <c r="BB26814" s="122"/>
      <c r="BC26814" s="141"/>
    </row>
    <row r="26815">
      <c r="BB26815" s="122"/>
      <c r="BC26815" s="141"/>
    </row>
    <row r="26816">
      <c r="BB26816" s="122"/>
      <c r="BC26816" s="141"/>
    </row>
    <row r="26817">
      <c r="BB26817" s="122"/>
      <c r="BC26817" s="141"/>
    </row>
    <row r="26818">
      <c r="BB26818" s="122"/>
      <c r="BC26818" s="141"/>
    </row>
    <row r="26819">
      <c r="BB26819" s="122"/>
      <c r="BC26819" s="141"/>
    </row>
    <row r="26820">
      <c r="BB26820" s="122"/>
      <c r="BC26820" s="141"/>
    </row>
    <row r="26821">
      <c r="BB26821" s="122"/>
      <c r="BC26821" s="141"/>
    </row>
    <row r="26822">
      <c r="BB26822" s="122"/>
      <c r="BC26822" s="141"/>
    </row>
    <row r="26823">
      <c r="BB26823" s="122"/>
      <c r="BC26823" s="141"/>
    </row>
    <row r="26824">
      <c r="BB26824" s="122"/>
      <c r="BC26824" s="141"/>
    </row>
    <row r="26825">
      <c r="BB26825" s="122"/>
      <c r="BC26825" s="141"/>
    </row>
    <row r="26826">
      <c r="BB26826" s="122"/>
      <c r="BC26826" s="141"/>
    </row>
    <row r="26827">
      <c r="BB26827" s="122"/>
      <c r="BC26827" s="141"/>
    </row>
    <row r="26828">
      <c r="BB26828" s="122"/>
      <c r="BC26828" s="141"/>
    </row>
    <row r="26829">
      <c r="BB26829" s="122"/>
      <c r="BC26829" s="141"/>
    </row>
    <row r="26830">
      <c r="BB26830" s="122"/>
      <c r="BC26830" s="141"/>
    </row>
    <row r="26831">
      <c r="BB26831" s="122"/>
      <c r="BC26831" s="141"/>
    </row>
    <row r="26832">
      <c r="BB26832" s="122"/>
      <c r="BC26832" s="141"/>
    </row>
    <row r="26833">
      <c r="BB26833" s="122"/>
      <c r="BC26833" s="141"/>
    </row>
    <row r="26834">
      <c r="BB26834" s="122"/>
      <c r="BC26834" s="141"/>
    </row>
    <row r="26835">
      <c r="BB26835" s="122"/>
      <c r="BC26835" s="141"/>
    </row>
    <row r="26836">
      <c r="BB26836" s="122"/>
      <c r="BC26836" s="141"/>
    </row>
    <row r="26837">
      <c r="BB26837" s="122"/>
      <c r="BC26837" s="141"/>
    </row>
    <row r="26838">
      <c r="BB26838" s="122"/>
      <c r="BC26838" s="141"/>
    </row>
    <row r="26839">
      <c r="BB26839" s="122"/>
      <c r="BC26839" s="141"/>
    </row>
    <row r="26840">
      <c r="BB26840" s="122"/>
      <c r="BC26840" s="141"/>
    </row>
    <row r="26841">
      <c r="BB26841" s="122"/>
      <c r="BC26841" s="141"/>
    </row>
    <row r="26842">
      <c r="BB26842" s="122"/>
      <c r="BC26842" s="141"/>
    </row>
    <row r="26843">
      <c r="BB26843" s="122"/>
      <c r="BC26843" s="141"/>
    </row>
    <row r="26844">
      <c r="BB26844" s="122"/>
      <c r="BC26844" s="141"/>
    </row>
    <row r="26845">
      <c r="BB26845" s="122"/>
      <c r="BC26845" s="141"/>
    </row>
    <row r="26846">
      <c r="BB26846" s="122"/>
      <c r="BC26846" s="141"/>
    </row>
    <row r="26847">
      <c r="BB26847" s="122"/>
      <c r="BC26847" s="141"/>
    </row>
    <row r="26848">
      <c r="BB26848" s="122"/>
      <c r="BC26848" s="141"/>
    </row>
    <row r="26849">
      <c r="BB26849" s="122"/>
      <c r="BC26849" s="141"/>
    </row>
    <row r="26850">
      <c r="BB26850" s="122"/>
      <c r="BC26850" s="141"/>
    </row>
    <row r="26851">
      <c r="BB26851" s="122"/>
      <c r="BC26851" s="141"/>
    </row>
    <row r="26852">
      <c r="BB26852" s="122"/>
      <c r="BC26852" s="141"/>
    </row>
    <row r="26853">
      <c r="BB26853" s="122"/>
      <c r="BC26853" s="141"/>
    </row>
    <row r="26854">
      <c r="BB26854" s="122"/>
      <c r="BC26854" s="141"/>
    </row>
    <row r="26855">
      <c r="BB26855" s="122"/>
      <c r="BC26855" s="141"/>
    </row>
    <row r="26856">
      <c r="BB26856" s="122"/>
      <c r="BC26856" s="141"/>
    </row>
    <row r="26857">
      <c r="BB26857" s="122"/>
      <c r="BC26857" s="141"/>
    </row>
    <row r="26858">
      <c r="BB26858" s="122"/>
      <c r="BC26858" s="141"/>
    </row>
    <row r="26859">
      <c r="BB26859" s="122"/>
      <c r="BC26859" s="141"/>
    </row>
    <row r="26860">
      <c r="BB26860" s="122"/>
      <c r="BC26860" s="141"/>
    </row>
    <row r="26861">
      <c r="BB26861" s="122"/>
      <c r="BC26861" s="141"/>
    </row>
    <row r="26862">
      <c r="BB26862" s="122"/>
      <c r="BC26862" s="141"/>
    </row>
    <row r="26863">
      <c r="BB26863" s="122"/>
      <c r="BC26863" s="141"/>
    </row>
    <row r="26864">
      <c r="BB26864" s="122"/>
      <c r="BC26864" s="141"/>
    </row>
    <row r="26865">
      <c r="BB26865" s="122"/>
      <c r="BC26865" s="141"/>
    </row>
    <row r="26866">
      <c r="BB26866" s="122"/>
      <c r="BC26866" s="141"/>
    </row>
    <row r="26867">
      <c r="BB26867" s="122"/>
      <c r="BC26867" s="141"/>
    </row>
    <row r="26868">
      <c r="BB26868" s="122"/>
      <c r="BC26868" s="141"/>
    </row>
    <row r="26869">
      <c r="BB26869" s="122"/>
      <c r="BC26869" s="141"/>
    </row>
    <row r="26870">
      <c r="BB26870" s="122"/>
      <c r="BC26870" s="141"/>
    </row>
    <row r="26871">
      <c r="BB26871" s="122"/>
      <c r="BC26871" s="141"/>
    </row>
    <row r="26872">
      <c r="BB26872" s="122"/>
      <c r="BC26872" s="141"/>
    </row>
    <row r="26873">
      <c r="BB26873" s="122"/>
      <c r="BC26873" s="141"/>
    </row>
    <row r="26874">
      <c r="BB26874" s="122"/>
      <c r="BC26874" s="141"/>
    </row>
    <row r="26875">
      <c r="BB26875" s="122"/>
      <c r="BC26875" s="141"/>
    </row>
    <row r="26876">
      <c r="BB26876" s="122"/>
      <c r="BC26876" s="141"/>
    </row>
    <row r="26877">
      <c r="BB26877" s="122"/>
      <c r="BC26877" s="141"/>
    </row>
    <row r="26878">
      <c r="BB26878" s="122"/>
      <c r="BC26878" s="141"/>
    </row>
    <row r="26879">
      <c r="BB26879" s="122"/>
      <c r="BC26879" s="141"/>
    </row>
    <row r="26880">
      <c r="BB26880" s="122"/>
      <c r="BC26880" s="141"/>
    </row>
    <row r="26881">
      <c r="BB26881" s="122"/>
      <c r="BC26881" s="141"/>
    </row>
    <row r="26882">
      <c r="BB26882" s="122"/>
      <c r="BC26882" s="141"/>
    </row>
    <row r="26883">
      <c r="BB26883" s="122"/>
      <c r="BC26883" s="141"/>
    </row>
    <row r="26884">
      <c r="BB26884" s="122"/>
      <c r="BC26884" s="141"/>
    </row>
    <row r="26885">
      <c r="BB26885" s="122"/>
      <c r="BC26885" s="141"/>
    </row>
    <row r="26886">
      <c r="BB26886" s="122"/>
      <c r="BC26886" s="141"/>
    </row>
    <row r="26887">
      <c r="BB26887" s="122"/>
      <c r="BC26887" s="141"/>
    </row>
    <row r="26888">
      <c r="BB26888" s="122"/>
      <c r="BC26888" s="141"/>
    </row>
    <row r="26889">
      <c r="BB26889" s="122"/>
      <c r="BC26889" s="141"/>
    </row>
    <row r="26890">
      <c r="BB26890" s="122"/>
      <c r="BC26890" s="141"/>
    </row>
    <row r="26891">
      <c r="BB26891" s="122"/>
      <c r="BC26891" s="141"/>
    </row>
    <row r="26892">
      <c r="BB26892" s="122"/>
      <c r="BC26892" s="141"/>
    </row>
    <row r="26893">
      <c r="BB26893" s="122"/>
      <c r="BC26893" s="141"/>
    </row>
    <row r="26894">
      <c r="BB26894" s="122"/>
      <c r="BC26894" s="141"/>
    </row>
    <row r="26895">
      <c r="BB26895" s="122"/>
      <c r="BC26895" s="141"/>
    </row>
    <row r="26896">
      <c r="BB26896" s="122"/>
      <c r="BC26896" s="141"/>
    </row>
    <row r="26897">
      <c r="BB26897" s="122"/>
      <c r="BC26897" s="141"/>
    </row>
    <row r="26898">
      <c r="BB26898" s="122"/>
      <c r="BC26898" s="141"/>
    </row>
    <row r="26899">
      <c r="BB26899" s="122"/>
      <c r="BC26899" s="141"/>
    </row>
    <row r="26900">
      <c r="BB26900" s="122"/>
      <c r="BC26900" s="141"/>
    </row>
    <row r="26901">
      <c r="BB26901" s="122"/>
      <c r="BC26901" s="141"/>
    </row>
    <row r="26902">
      <c r="BB26902" s="122"/>
      <c r="BC26902" s="141"/>
    </row>
    <row r="26903">
      <c r="BB26903" s="122"/>
      <c r="BC26903" s="141"/>
    </row>
    <row r="26904">
      <c r="BB26904" s="122"/>
      <c r="BC26904" s="141"/>
    </row>
    <row r="26905">
      <c r="BB26905" s="122"/>
      <c r="BC26905" s="141"/>
    </row>
    <row r="26906">
      <c r="BB26906" s="122"/>
      <c r="BC26906" s="141"/>
    </row>
    <row r="26907">
      <c r="BB26907" s="122"/>
      <c r="BC26907" s="141"/>
    </row>
    <row r="26908">
      <c r="BB26908" s="122"/>
      <c r="BC26908" s="141"/>
    </row>
    <row r="26909">
      <c r="BB26909" s="122"/>
      <c r="BC26909" s="141"/>
    </row>
    <row r="26910">
      <c r="BB26910" s="122"/>
      <c r="BC26910" s="141"/>
    </row>
    <row r="26911">
      <c r="BB26911" s="122"/>
      <c r="BC26911" s="141"/>
    </row>
    <row r="26912">
      <c r="BB26912" s="122"/>
      <c r="BC26912" s="141"/>
    </row>
    <row r="26913">
      <c r="BB26913" s="122"/>
      <c r="BC26913" s="141"/>
    </row>
    <row r="26914">
      <c r="BB26914" s="122"/>
      <c r="BC26914" s="141"/>
    </row>
    <row r="26915">
      <c r="BB26915" s="122"/>
      <c r="BC26915" s="141"/>
    </row>
    <row r="26916">
      <c r="BB26916" s="122"/>
      <c r="BC26916" s="141"/>
    </row>
    <row r="26917">
      <c r="BB26917" s="122"/>
      <c r="BC26917" s="141"/>
    </row>
    <row r="26918">
      <c r="BB26918" s="122"/>
      <c r="BC26918" s="141"/>
    </row>
    <row r="26919">
      <c r="BB26919" s="122"/>
      <c r="BC26919" s="141"/>
    </row>
    <row r="26920">
      <c r="BB26920" s="122"/>
      <c r="BC26920" s="141"/>
    </row>
    <row r="26921">
      <c r="BB26921" s="122"/>
      <c r="BC26921" s="141"/>
    </row>
    <row r="26922">
      <c r="BB26922" s="122"/>
      <c r="BC26922" s="141"/>
    </row>
    <row r="26923">
      <c r="BB26923" s="122"/>
      <c r="BC26923" s="141"/>
    </row>
    <row r="26924">
      <c r="BB26924" s="122"/>
      <c r="BC26924" s="141"/>
    </row>
    <row r="26925">
      <c r="BB26925" s="122"/>
      <c r="BC26925" s="141"/>
    </row>
    <row r="26926">
      <c r="BB26926" s="122"/>
      <c r="BC26926" s="141"/>
    </row>
    <row r="26927">
      <c r="BB26927" s="122"/>
      <c r="BC26927" s="141"/>
    </row>
    <row r="26928">
      <c r="BB26928" s="122"/>
      <c r="BC26928" s="141"/>
    </row>
    <row r="26929">
      <c r="BB26929" s="122"/>
      <c r="BC26929" s="141"/>
    </row>
    <row r="26930">
      <c r="BB26930" s="122"/>
      <c r="BC26930" s="141"/>
    </row>
    <row r="26931">
      <c r="BB26931" s="122"/>
      <c r="BC26931" s="141"/>
    </row>
    <row r="26932">
      <c r="BB26932" s="122"/>
      <c r="BC26932" s="141"/>
    </row>
    <row r="26933">
      <c r="BB26933" s="122"/>
      <c r="BC26933" s="141"/>
    </row>
    <row r="26934">
      <c r="BB26934" s="122"/>
      <c r="BC26934" s="141"/>
    </row>
    <row r="26935">
      <c r="BB26935" s="122"/>
      <c r="BC26935" s="141"/>
    </row>
    <row r="26936">
      <c r="BB26936" s="122"/>
      <c r="BC26936" s="141"/>
    </row>
    <row r="26937">
      <c r="BB26937" s="122"/>
      <c r="BC26937" s="141"/>
    </row>
    <row r="26938">
      <c r="BB26938" s="122"/>
      <c r="BC26938" s="141"/>
    </row>
    <row r="26939">
      <c r="BB26939" s="122"/>
      <c r="BC26939" s="141"/>
    </row>
    <row r="26940">
      <c r="BB26940" s="122"/>
      <c r="BC26940" s="141"/>
    </row>
    <row r="26941">
      <c r="BB26941" s="122"/>
      <c r="BC26941" s="141"/>
    </row>
    <row r="26942">
      <c r="BB26942" s="122"/>
      <c r="BC26942" s="141"/>
    </row>
    <row r="26943">
      <c r="BB26943" s="122"/>
      <c r="BC26943" s="141"/>
    </row>
    <row r="26944">
      <c r="BB26944" s="122"/>
      <c r="BC26944" s="141"/>
    </row>
    <row r="26945">
      <c r="BB26945" s="122"/>
      <c r="BC26945" s="141"/>
    </row>
    <row r="26946">
      <c r="BB26946" s="122"/>
      <c r="BC26946" s="141"/>
    </row>
    <row r="26947">
      <c r="BB26947" s="122"/>
      <c r="BC26947" s="141"/>
    </row>
    <row r="26948">
      <c r="BB26948" s="122"/>
      <c r="BC26948" s="141"/>
    </row>
    <row r="26949">
      <c r="BB26949" s="122"/>
      <c r="BC26949" s="141"/>
    </row>
    <row r="26950">
      <c r="BB26950" s="122"/>
      <c r="BC26950" s="141"/>
    </row>
    <row r="26951">
      <c r="BB26951" s="122"/>
      <c r="BC26951" s="141"/>
    </row>
    <row r="26952">
      <c r="BB26952" s="122"/>
      <c r="BC26952" s="141"/>
    </row>
    <row r="26953">
      <c r="BB26953" s="122"/>
      <c r="BC26953" s="141"/>
    </row>
    <row r="26954">
      <c r="BB26954" s="122"/>
      <c r="BC26954" s="141"/>
    </row>
    <row r="26955">
      <c r="BB26955" s="122"/>
      <c r="BC26955" s="141"/>
    </row>
    <row r="26956">
      <c r="BB26956" s="122"/>
      <c r="BC26956" s="141"/>
    </row>
    <row r="26957">
      <c r="BB26957" s="122"/>
      <c r="BC26957" s="141"/>
    </row>
    <row r="26958">
      <c r="BB26958" s="122"/>
      <c r="BC26958" s="141"/>
    </row>
    <row r="26959">
      <c r="BB26959" s="122"/>
      <c r="BC26959" s="141"/>
    </row>
    <row r="26960">
      <c r="BB26960" s="122"/>
      <c r="BC26960" s="141"/>
    </row>
    <row r="26961">
      <c r="BB26961" s="122"/>
      <c r="BC26961" s="141"/>
    </row>
    <row r="26962">
      <c r="BB26962" s="122"/>
      <c r="BC26962" s="141"/>
    </row>
    <row r="26963">
      <c r="BB26963" s="122"/>
      <c r="BC26963" s="141"/>
    </row>
    <row r="26964">
      <c r="BB26964" s="122"/>
      <c r="BC26964" s="141"/>
    </row>
    <row r="26965">
      <c r="BB26965" s="122"/>
      <c r="BC26965" s="141"/>
    </row>
    <row r="26966">
      <c r="BB26966" s="122"/>
      <c r="BC26966" s="141"/>
    </row>
    <row r="26967">
      <c r="BB26967" s="122"/>
      <c r="BC26967" s="141"/>
    </row>
    <row r="26968">
      <c r="BB26968" s="122"/>
      <c r="BC26968" s="141"/>
    </row>
    <row r="26969">
      <c r="BB26969" s="122"/>
      <c r="BC26969" s="141"/>
    </row>
    <row r="26970">
      <c r="BB26970" s="122"/>
      <c r="BC26970" s="141"/>
    </row>
    <row r="26971">
      <c r="BB26971" s="122"/>
      <c r="BC26971" s="141"/>
    </row>
    <row r="26972">
      <c r="BB26972" s="122"/>
      <c r="BC26972" s="141"/>
    </row>
    <row r="26973">
      <c r="BB26973" s="122"/>
      <c r="BC26973" s="141"/>
    </row>
    <row r="26974">
      <c r="BB26974" s="122"/>
      <c r="BC26974" s="141"/>
    </row>
    <row r="26975">
      <c r="BB26975" s="122"/>
      <c r="BC26975" s="141"/>
    </row>
    <row r="26976">
      <c r="BB26976" s="122"/>
      <c r="BC26976" s="141"/>
    </row>
    <row r="26977">
      <c r="BB26977" s="122"/>
      <c r="BC26977" s="141"/>
    </row>
    <row r="26978">
      <c r="BB26978" s="122"/>
      <c r="BC26978" s="141"/>
    </row>
    <row r="26979">
      <c r="BB26979" s="122"/>
      <c r="BC26979" s="141"/>
    </row>
    <row r="26980">
      <c r="BB26980" s="122"/>
      <c r="BC26980" s="141"/>
    </row>
    <row r="26981">
      <c r="BB26981" s="122"/>
      <c r="BC26981" s="141"/>
    </row>
    <row r="26982">
      <c r="BB26982" s="122"/>
      <c r="BC26982" s="141"/>
    </row>
    <row r="26983">
      <c r="BB26983" s="122"/>
      <c r="BC26983" s="141"/>
    </row>
    <row r="26984">
      <c r="BB26984" s="122"/>
      <c r="BC26984" s="141"/>
    </row>
    <row r="26985">
      <c r="BB26985" s="122"/>
      <c r="BC26985" s="141"/>
    </row>
    <row r="26986">
      <c r="BB26986" s="122"/>
      <c r="BC26986" s="141"/>
    </row>
    <row r="26987">
      <c r="BB26987" s="122"/>
      <c r="BC26987" s="141"/>
    </row>
    <row r="26988">
      <c r="BB26988" s="122"/>
      <c r="BC26988" s="141"/>
    </row>
    <row r="26989">
      <c r="BB26989" s="122"/>
      <c r="BC26989" s="141"/>
    </row>
    <row r="26990">
      <c r="BB26990" s="122"/>
      <c r="BC26990" s="141"/>
    </row>
    <row r="26991">
      <c r="BB26991" s="122"/>
      <c r="BC26991" s="141"/>
    </row>
    <row r="26992">
      <c r="BB26992" s="122"/>
      <c r="BC26992" s="141"/>
    </row>
    <row r="26993">
      <c r="BB26993" s="122"/>
      <c r="BC26993" s="141"/>
    </row>
    <row r="26994">
      <c r="BB26994" s="122"/>
      <c r="BC26994" s="141"/>
    </row>
    <row r="26995">
      <c r="BB26995" s="122"/>
      <c r="BC26995" s="141"/>
    </row>
    <row r="26996">
      <c r="BB26996" s="122"/>
      <c r="BC26996" s="141"/>
    </row>
    <row r="26997">
      <c r="BB26997" s="122"/>
      <c r="BC26997" s="141"/>
    </row>
    <row r="26998">
      <c r="BB26998" s="122"/>
      <c r="BC26998" s="141"/>
    </row>
    <row r="26999">
      <c r="BB26999" s="122"/>
      <c r="BC26999" s="141"/>
    </row>
    <row r="27000">
      <c r="BB27000" s="122"/>
      <c r="BC27000" s="141"/>
    </row>
    <row r="27001">
      <c r="BB27001" s="122"/>
      <c r="BC27001" s="141"/>
    </row>
    <row r="27002">
      <c r="BB27002" s="122"/>
      <c r="BC27002" s="141"/>
    </row>
    <row r="27003">
      <c r="BB27003" s="122"/>
      <c r="BC27003" s="141"/>
    </row>
    <row r="27004">
      <c r="BB27004" s="122"/>
      <c r="BC27004" s="141"/>
    </row>
    <row r="27005">
      <c r="BB27005" s="122"/>
      <c r="BC27005" s="141"/>
    </row>
    <row r="27006">
      <c r="BB27006" s="122"/>
      <c r="BC27006" s="141"/>
    </row>
    <row r="27007">
      <c r="BB27007" s="122"/>
      <c r="BC27007" s="141"/>
    </row>
    <row r="27008">
      <c r="BB27008" s="122"/>
      <c r="BC27008" s="141"/>
    </row>
    <row r="27009">
      <c r="BB27009" s="122"/>
      <c r="BC27009" s="141"/>
    </row>
    <row r="27010">
      <c r="BB27010" s="122"/>
      <c r="BC27010" s="141"/>
    </row>
    <row r="27011">
      <c r="BB27011" s="122"/>
      <c r="BC27011" s="141"/>
    </row>
    <row r="27012">
      <c r="BB27012" s="122"/>
      <c r="BC27012" s="141"/>
    </row>
    <row r="27013">
      <c r="BB27013" s="122"/>
      <c r="BC27013" s="141"/>
    </row>
    <row r="27014">
      <c r="BB27014" s="122"/>
      <c r="BC27014" s="141"/>
    </row>
    <row r="27015">
      <c r="BB27015" s="122"/>
      <c r="BC27015" s="141"/>
    </row>
    <row r="27016">
      <c r="BB27016" s="122"/>
      <c r="BC27016" s="141"/>
    </row>
    <row r="27017">
      <c r="BB27017" s="122"/>
      <c r="BC27017" s="141"/>
    </row>
    <row r="27018">
      <c r="BB27018" s="122"/>
      <c r="BC27018" s="141"/>
    </row>
    <row r="27019">
      <c r="BB27019" s="122"/>
      <c r="BC27019" s="141"/>
    </row>
    <row r="27020">
      <c r="BB27020" s="122"/>
      <c r="BC27020" s="141"/>
    </row>
    <row r="27021">
      <c r="BB27021" s="122"/>
      <c r="BC27021" s="141"/>
    </row>
    <row r="27022">
      <c r="BB27022" s="122"/>
      <c r="BC27022" s="141"/>
    </row>
    <row r="27023">
      <c r="BB27023" s="122"/>
      <c r="BC27023" s="141"/>
    </row>
    <row r="27024">
      <c r="BB27024" s="122"/>
      <c r="BC27024" s="141"/>
    </row>
    <row r="27025">
      <c r="BB27025" s="122"/>
      <c r="BC27025" s="141"/>
    </row>
    <row r="27026">
      <c r="BB27026" s="122"/>
      <c r="BC27026" s="141"/>
    </row>
    <row r="27027">
      <c r="BB27027" s="122"/>
      <c r="BC27027" s="141"/>
    </row>
    <row r="27028">
      <c r="BB27028" s="122"/>
      <c r="BC27028" s="141"/>
    </row>
    <row r="27029">
      <c r="BB27029" s="122"/>
      <c r="BC27029" s="141"/>
    </row>
    <row r="27030">
      <c r="BB27030" s="122"/>
      <c r="BC27030" s="141"/>
    </row>
    <row r="27031">
      <c r="BB27031" s="122"/>
      <c r="BC27031" s="141"/>
    </row>
    <row r="27032">
      <c r="BB27032" s="122"/>
      <c r="BC27032" s="141"/>
    </row>
    <row r="27033">
      <c r="BB27033" s="122"/>
      <c r="BC27033" s="141"/>
    </row>
    <row r="27034">
      <c r="BB27034" s="122"/>
      <c r="BC27034" s="141"/>
    </row>
    <row r="27035">
      <c r="BB27035" s="122"/>
      <c r="BC27035" s="141"/>
    </row>
    <row r="27036">
      <c r="BB27036" s="122"/>
      <c r="BC27036" s="141"/>
    </row>
    <row r="27037">
      <c r="BB27037" s="122"/>
      <c r="BC27037" s="141"/>
    </row>
    <row r="27038">
      <c r="BB27038" s="122"/>
      <c r="BC27038" s="141"/>
    </row>
    <row r="27039">
      <c r="BB27039" s="122"/>
      <c r="BC27039" s="141"/>
    </row>
    <row r="27040">
      <c r="BB27040" s="122"/>
      <c r="BC27040" s="141"/>
    </row>
    <row r="27041">
      <c r="BB27041" s="122"/>
      <c r="BC27041" s="141"/>
    </row>
    <row r="27042">
      <c r="BB27042" s="122"/>
      <c r="BC27042" s="141"/>
    </row>
    <row r="27043">
      <c r="BB27043" s="122"/>
      <c r="BC27043" s="141"/>
    </row>
    <row r="27044">
      <c r="BB27044" s="122"/>
      <c r="BC27044" s="141"/>
    </row>
    <row r="27045">
      <c r="BB27045" s="122"/>
      <c r="BC27045" s="141"/>
    </row>
    <row r="27046">
      <c r="BB27046" s="122"/>
      <c r="BC27046" s="141"/>
    </row>
    <row r="27047">
      <c r="BB27047" s="122"/>
      <c r="BC27047" s="141"/>
    </row>
    <row r="27048">
      <c r="BB27048" s="122"/>
      <c r="BC27048" s="141"/>
    </row>
    <row r="27049">
      <c r="BB27049" s="122"/>
      <c r="BC27049" s="141"/>
    </row>
    <row r="27050">
      <c r="BB27050" s="122"/>
      <c r="BC27050" s="141"/>
    </row>
    <row r="27051">
      <c r="BB27051" s="122"/>
      <c r="BC27051" s="141"/>
    </row>
    <row r="27052">
      <c r="BB27052" s="122"/>
      <c r="BC27052" s="141"/>
    </row>
    <row r="27053">
      <c r="BB27053" s="122"/>
      <c r="BC27053" s="141"/>
    </row>
    <row r="27054">
      <c r="BB27054" s="122"/>
      <c r="BC27054" s="141"/>
    </row>
    <row r="27055">
      <c r="BB27055" s="122"/>
      <c r="BC27055" s="141"/>
    </row>
    <row r="27056">
      <c r="BB27056" s="122"/>
      <c r="BC27056" s="141"/>
    </row>
    <row r="27057">
      <c r="BB27057" s="122"/>
      <c r="BC27057" s="141"/>
    </row>
    <row r="27058">
      <c r="BB27058" s="122"/>
      <c r="BC27058" s="141"/>
    </row>
    <row r="27059">
      <c r="BB27059" s="122"/>
      <c r="BC27059" s="141"/>
    </row>
    <row r="27060">
      <c r="BB27060" s="122"/>
      <c r="BC27060" s="141"/>
    </row>
    <row r="27061">
      <c r="BB27061" s="122"/>
      <c r="BC27061" s="141"/>
    </row>
    <row r="27062">
      <c r="BB27062" s="122"/>
      <c r="BC27062" s="141"/>
    </row>
    <row r="27063">
      <c r="BB27063" s="122"/>
      <c r="BC27063" s="141"/>
    </row>
    <row r="27064">
      <c r="BB27064" s="122"/>
      <c r="BC27064" s="141"/>
    </row>
    <row r="27065">
      <c r="BB27065" s="122"/>
      <c r="BC27065" s="141"/>
    </row>
    <row r="27066">
      <c r="BB27066" s="122"/>
      <c r="BC27066" s="141"/>
    </row>
    <row r="27067">
      <c r="BB27067" s="122"/>
      <c r="BC27067" s="141"/>
    </row>
    <row r="27068">
      <c r="BB27068" s="122"/>
      <c r="BC27068" s="141"/>
    </row>
    <row r="27069">
      <c r="BB27069" s="122"/>
      <c r="BC27069" s="141"/>
    </row>
    <row r="27070">
      <c r="BB27070" s="122"/>
      <c r="BC27070" s="141"/>
    </row>
    <row r="27071">
      <c r="BB27071" s="122"/>
      <c r="BC27071" s="141"/>
    </row>
    <row r="27072">
      <c r="BB27072" s="122"/>
      <c r="BC27072" s="141"/>
    </row>
    <row r="27073">
      <c r="BB27073" s="122"/>
      <c r="BC27073" s="141"/>
    </row>
    <row r="27074">
      <c r="BB27074" s="122"/>
      <c r="BC27074" s="141"/>
    </row>
    <row r="27075">
      <c r="BB27075" s="122"/>
      <c r="BC27075" s="141"/>
    </row>
    <row r="27076">
      <c r="BB27076" s="122"/>
      <c r="BC27076" s="141"/>
    </row>
    <row r="27077">
      <c r="BB27077" s="122"/>
      <c r="BC27077" s="141"/>
    </row>
    <row r="27078">
      <c r="BB27078" s="122"/>
      <c r="BC27078" s="141"/>
    </row>
    <row r="27079">
      <c r="BB27079" s="122"/>
      <c r="BC27079" s="141"/>
    </row>
    <row r="27080">
      <c r="BB27080" s="122"/>
      <c r="BC27080" s="141"/>
    </row>
    <row r="27081">
      <c r="BB27081" s="122"/>
      <c r="BC27081" s="141"/>
    </row>
    <row r="27082">
      <c r="BB27082" s="122"/>
      <c r="BC27082" s="141"/>
    </row>
    <row r="27083">
      <c r="BB27083" s="122"/>
      <c r="BC27083" s="141"/>
    </row>
    <row r="27084">
      <c r="BB27084" s="122"/>
      <c r="BC27084" s="141"/>
    </row>
    <row r="27085">
      <c r="BB27085" s="122"/>
      <c r="BC27085" s="141"/>
    </row>
    <row r="27086">
      <c r="BB27086" s="122"/>
      <c r="BC27086" s="141"/>
    </row>
    <row r="27087">
      <c r="BB27087" s="122"/>
      <c r="BC27087" s="141"/>
    </row>
    <row r="27088">
      <c r="BB27088" s="122"/>
      <c r="BC27088" s="141"/>
    </row>
    <row r="27089">
      <c r="BB27089" s="122"/>
      <c r="BC27089" s="141"/>
    </row>
    <row r="27090">
      <c r="BB27090" s="122"/>
      <c r="BC27090" s="141"/>
    </row>
    <row r="27091">
      <c r="BB27091" s="122"/>
      <c r="BC27091" s="141"/>
    </row>
    <row r="27092">
      <c r="BB27092" s="122"/>
      <c r="BC27092" s="141"/>
    </row>
    <row r="27093">
      <c r="BB27093" s="122"/>
      <c r="BC27093" s="141"/>
    </row>
    <row r="27094">
      <c r="BB27094" s="122"/>
      <c r="BC27094" s="141"/>
    </row>
    <row r="27095">
      <c r="BB27095" s="122"/>
      <c r="BC27095" s="141"/>
    </row>
    <row r="27096">
      <c r="BB27096" s="122"/>
      <c r="BC27096" s="141"/>
    </row>
    <row r="27097">
      <c r="BB27097" s="122"/>
      <c r="BC27097" s="141"/>
    </row>
    <row r="27098">
      <c r="BB27098" s="122"/>
      <c r="BC27098" s="141"/>
    </row>
    <row r="27099">
      <c r="BB27099" s="122"/>
      <c r="BC27099" s="141"/>
    </row>
    <row r="27100">
      <c r="BB27100" s="122"/>
      <c r="BC27100" s="141"/>
    </row>
    <row r="27101">
      <c r="BB27101" s="122"/>
      <c r="BC27101" s="141"/>
    </row>
    <row r="27102">
      <c r="BB27102" s="122"/>
      <c r="BC27102" s="141"/>
    </row>
    <row r="27103">
      <c r="BB27103" s="122"/>
      <c r="BC27103" s="141"/>
    </row>
    <row r="27104">
      <c r="BB27104" s="122"/>
      <c r="BC27104" s="141"/>
    </row>
    <row r="27105">
      <c r="BB27105" s="122"/>
      <c r="BC27105" s="141"/>
    </row>
    <row r="27106">
      <c r="BB27106" s="122"/>
      <c r="BC27106" s="141"/>
    </row>
    <row r="27107">
      <c r="BB27107" s="122"/>
      <c r="BC27107" s="141"/>
    </row>
    <row r="27108">
      <c r="BB27108" s="122"/>
      <c r="BC27108" s="141"/>
    </row>
    <row r="27109">
      <c r="BB27109" s="122"/>
      <c r="BC27109" s="141"/>
    </row>
    <row r="27110">
      <c r="BB27110" s="122"/>
      <c r="BC27110" s="141"/>
    </row>
    <row r="27111">
      <c r="BB27111" s="122"/>
      <c r="BC27111" s="141"/>
    </row>
    <row r="27112">
      <c r="BB27112" s="122"/>
      <c r="BC27112" s="141"/>
    </row>
    <row r="27113">
      <c r="BB27113" s="122"/>
      <c r="BC27113" s="141"/>
    </row>
    <row r="27114">
      <c r="BB27114" s="122"/>
      <c r="BC27114" s="141"/>
    </row>
    <row r="27115">
      <c r="BB27115" s="122"/>
      <c r="BC27115" s="141"/>
    </row>
    <row r="27116">
      <c r="BB27116" s="122"/>
      <c r="BC27116" s="141"/>
    </row>
    <row r="27117">
      <c r="BB27117" s="122"/>
      <c r="BC27117" s="141"/>
    </row>
    <row r="27118">
      <c r="BB27118" s="122"/>
      <c r="BC27118" s="141"/>
    </row>
    <row r="27119">
      <c r="BB27119" s="122"/>
      <c r="BC27119" s="141"/>
    </row>
    <row r="27120">
      <c r="BB27120" s="122"/>
      <c r="BC27120" s="141"/>
    </row>
    <row r="27121">
      <c r="BB27121" s="122"/>
      <c r="BC27121" s="141"/>
    </row>
    <row r="27122">
      <c r="BB27122" s="122"/>
      <c r="BC27122" s="141"/>
    </row>
    <row r="27123">
      <c r="BB27123" s="122"/>
      <c r="BC27123" s="141"/>
    </row>
    <row r="27124">
      <c r="BB27124" s="122"/>
      <c r="BC27124" s="141"/>
    </row>
    <row r="27125">
      <c r="BB27125" s="122"/>
      <c r="BC27125" s="141"/>
    </row>
    <row r="27126">
      <c r="BB27126" s="122"/>
      <c r="BC27126" s="141"/>
    </row>
    <row r="27127">
      <c r="BB27127" s="122"/>
      <c r="BC27127" s="141"/>
    </row>
    <row r="27128">
      <c r="BB27128" s="122"/>
      <c r="BC27128" s="141"/>
    </row>
    <row r="27129">
      <c r="BB27129" s="122"/>
      <c r="BC27129" s="141"/>
    </row>
    <row r="27130">
      <c r="BB27130" s="122"/>
      <c r="BC27130" s="141"/>
    </row>
    <row r="27131">
      <c r="BB27131" s="122"/>
      <c r="BC27131" s="141"/>
    </row>
    <row r="27132">
      <c r="BB27132" s="122"/>
      <c r="BC27132" s="141"/>
    </row>
    <row r="27133">
      <c r="BB27133" s="122"/>
      <c r="BC27133" s="141"/>
    </row>
    <row r="27134">
      <c r="BB27134" s="122"/>
      <c r="BC27134" s="141"/>
    </row>
    <row r="27135">
      <c r="BB27135" s="122"/>
      <c r="BC27135" s="141"/>
    </row>
    <row r="27136">
      <c r="BB27136" s="122"/>
      <c r="BC27136" s="141"/>
    </row>
    <row r="27137">
      <c r="BB27137" s="122"/>
      <c r="BC27137" s="141"/>
    </row>
    <row r="27138">
      <c r="BB27138" s="122"/>
      <c r="BC27138" s="141"/>
    </row>
    <row r="27139">
      <c r="BB27139" s="122"/>
      <c r="BC27139" s="141"/>
    </row>
    <row r="27140">
      <c r="BB27140" s="122"/>
      <c r="BC27140" s="141"/>
    </row>
    <row r="27141">
      <c r="BB27141" s="122"/>
      <c r="BC27141" s="141"/>
    </row>
    <row r="27142">
      <c r="BB27142" s="122"/>
      <c r="BC27142" s="141"/>
    </row>
    <row r="27143">
      <c r="BB27143" s="122"/>
      <c r="BC27143" s="141"/>
    </row>
    <row r="27144">
      <c r="BB27144" s="122"/>
      <c r="BC27144" s="141"/>
    </row>
    <row r="27145">
      <c r="BB27145" s="122"/>
      <c r="BC27145" s="141"/>
    </row>
    <row r="27146">
      <c r="BB27146" s="122"/>
      <c r="BC27146" s="141"/>
    </row>
    <row r="27147">
      <c r="BB27147" s="122"/>
      <c r="BC27147" s="141"/>
    </row>
    <row r="27148">
      <c r="BB27148" s="122"/>
      <c r="BC27148" s="141"/>
    </row>
    <row r="27149">
      <c r="BB27149" s="122"/>
      <c r="BC27149" s="141"/>
    </row>
    <row r="27150">
      <c r="BB27150" s="122"/>
      <c r="BC27150" s="141"/>
    </row>
    <row r="27151">
      <c r="BB27151" s="122"/>
      <c r="BC27151" s="141"/>
    </row>
    <row r="27152">
      <c r="BB27152" s="122"/>
      <c r="BC27152" s="141"/>
    </row>
    <row r="27153">
      <c r="BB27153" s="122"/>
      <c r="BC27153" s="141"/>
    </row>
    <row r="27154">
      <c r="BB27154" s="122"/>
      <c r="BC27154" s="141"/>
    </row>
    <row r="27155">
      <c r="BB27155" s="122"/>
      <c r="BC27155" s="141"/>
    </row>
    <row r="27156">
      <c r="BB27156" s="122"/>
      <c r="BC27156" s="141"/>
    </row>
    <row r="27157">
      <c r="BB27157" s="122"/>
      <c r="BC27157" s="141"/>
    </row>
    <row r="27158">
      <c r="BB27158" s="122"/>
      <c r="BC27158" s="141"/>
    </row>
    <row r="27159">
      <c r="BB27159" s="122"/>
      <c r="BC27159" s="141"/>
    </row>
    <row r="27160">
      <c r="BB27160" s="122"/>
      <c r="BC27160" s="141"/>
    </row>
    <row r="27161">
      <c r="BB27161" s="122"/>
      <c r="BC27161" s="141"/>
    </row>
    <row r="27162">
      <c r="BB27162" s="122"/>
      <c r="BC27162" s="141"/>
    </row>
    <row r="27163">
      <c r="BB27163" s="122"/>
      <c r="BC27163" s="141"/>
    </row>
    <row r="27164">
      <c r="BB27164" s="122"/>
      <c r="BC27164" s="141"/>
    </row>
    <row r="27165">
      <c r="BB27165" s="122"/>
      <c r="BC27165" s="141"/>
    </row>
    <row r="27166">
      <c r="BB27166" s="122"/>
      <c r="BC27166" s="141"/>
    </row>
    <row r="27167">
      <c r="BB27167" s="122"/>
      <c r="BC27167" s="141"/>
    </row>
    <row r="27168">
      <c r="BB27168" s="122"/>
      <c r="BC27168" s="141"/>
    </row>
    <row r="27169">
      <c r="BB27169" s="122"/>
      <c r="BC27169" s="141"/>
    </row>
    <row r="27170">
      <c r="BB27170" s="122"/>
      <c r="BC27170" s="141"/>
    </row>
    <row r="27171">
      <c r="BB27171" s="122"/>
      <c r="BC27171" s="141"/>
    </row>
    <row r="27172">
      <c r="BB27172" s="122"/>
      <c r="BC27172" s="141"/>
    </row>
    <row r="27173">
      <c r="BB27173" s="122"/>
      <c r="BC27173" s="141"/>
    </row>
    <row r="27174">
      <c r="BB27174" s="122"/>
      <c r="BC27174" s="141"/>
    </row>
    <row r="27175">
      <c r="BB27175" s="122"/>
      <c r="BC27175" s="141"/>
    </row>
    <row r="27176">
      <c r="BB27176" s="122"/>
      <c r="BC27176" s="141"/>
    </row>
    <row r="27177">
      <c r="BB27177" s="122"/>
      <c r="BC27177" s="141"/>
    </row>
    <row r="27178">
      <c r="BB27178" s="122"/>
      <c r="BC27178" s="141"/>
    </row>
    <row r="27179">
      <c r="BB27179" s="122"/>
      <c r="BC27179" s="141"/>
    </row>
    <row r="27180">
      <c r="BB27180" s="122"/>
      <c r="BC27180" s="141"/>
    </row>
    <row r="27181">
      <c r="BB27181" s="122"/>
      <c r="BC27181" s="141"/>
    </row>
    <row r="27182">
      <c r="BB27182" s="122"/>
      <c r="BC27182" s="141"/>
    </row>
    <row r="27183">
      <c r="BB27183" s="122"/>
      <c r="BC27183" s="141"/>
    </row>
    <row r="27184">
      <c r="BB27184" s="122"/>
      <c r="BC27184" s="141"/>
    </row>
    <row r="27185">
      <c r="BB27185" s="122"/>
      <c r="BC27185" s="141"/>
    </row>
    <row r="27186">
      <c r="BB27186" s="122"/>
      <c r="BC27186" s="141"/>
    </row>
    <row r="27187">
      <c r="BB27187" s="122"/>
      <c r="BC27187" s="141"/>
    </row>
    <row r="27188">
      <c r="BB27188" s="122"/>
      <c r="BC27188" s="141"/>
    </row>
    <row r="27189">
      <c r="BB27189" s="122"/>
      <c r="BC27189" s="141"/>
    </row>
    <row r="27190">
      <c r="BB27190" s="122"/>
      <c r="BC27190" s="141"/>
    </row>
    <row r="27191">
      <c r="BB27191" s="122"/>
      <c r="BC27191" s="141"/>
    </row>
    <row r="27192">
      <c r="BB27192" s="122"/>
      <c r="BC27192" s="141"/>
    </row>
    <row r="27193">
      <c r="BB27193" s="122"/>
      <c r="BC27193" s="141"/>
    </row>
    <row r="27194">
      <c r="BB27194" s="122"/>
      <c r="BC27194" s="141"/>
    </row>
    <row r="27195">
      <c r="BB27195" s="122"/>
      <c r="BC27195" s="141"/>
    </row>
    <row r="27196">
      <c r="BB27196" s="122"/>
      <c r="BC27196" s="141"/>
    </row>
    <row r="27197">
      <c r="BB27197" s="122"/>
      <c r="BC27197" s="141"/>
    </row>
    <row r="27198">
      <c r="BB27198" s="122"/>
      <c r="BC27198" s="141"/>
    </row>
    <row r="27199">
      <c r="BB27199" s="122"/>
      <c r="BC27199" s="141"/>
    </row>
    <row r="27200">
      <c r="BB27200" s="122"/>
      <c r="BC27200" s="141"/>
    </row>
    <row r="27201">
      <c r="BB27201" s="122"/>
      <c r="BC27201" s="141"/>
    </row>
    <row r="27202">
      <c r="BB27202" s="122"/>
      <c r="BC27202" s="141"/>
    </row>
    <row r="27203">
      <c r="BB27203" s="122"/>
      <c r="BC27203" s="141"/>
    </row>
    <row r="27204">
      <c r="BB27204" s="122"/>
      <c r="BC27204" s="141"/>
    </row>
    <row r="27205">
      <c r="BB27205" s="122"/>
      <c r="BC27205" s="141"/>
    </row>
    <row r="27206">
      <c r="BB27206" s="122"/>
      <c r="BC27206" s="141"/>
    </row>
    <row r="27207">
      <c r="BB27207" s="122"/>
      <c r="BC27207" s="141"/>
    </row>
    <row r="27208">
      <c r="BB27208" s="122"/>
      <c r="BC27208" s="141"/>
    </row>
    <row r="27209">
      <c r="BB27209" s="122"/>
      <c r="BC27209" s="141"/>
    </row>
    <row r="27210">
      <c r="BB27210" s="122"/>
      <c r="BC27210" s="141"/>
    </row>
    <row r="27211">
      <c r="BB27211" s="122"/>
      <c r="BC27211" s="141"/>
    </row>
    <row r="27212">
      <c r="BB27212" s="122"/>
      <c r="BC27212" s="141"/>
    </row>
    <row r="27213">
      <c r="BB27213" s="122"/>
      <c r="BC27213" s="141"/>
    </row>
    <row r="27214">
      <c r="BB27214" s="122"/>
      <c r="BC27214" s="141"/>
    </row>
    <row r="27215">
      <c r="BB27215" s="122"/>
      <c r="BC27215" s="141"/>
    </row>
    <row r="27216">
      <c r="BB27216" s="122"/>
      <c r="BC27216" s="141"/>
    </row>
    <row r="27217">
      <c r="BB27217" s="122"/>
      <c r="BC27217" s="141"/>
    </row>
    <row r="27218">
      <c r="BB27218" s="122"/>
      <c r="BC27218" s="141"/>
    </row>
    <row r="27219">
      <c r="BB27219" s="122"/>
      <c r="BC27219" s="141"/>
    </row>
    <row r="27220">
      <c r="BB27220" s="122"/>
      <c r="BC27220" s="141"/>
    </row>
    <row r="27221">
      <c r="BB27221" s="122"/>
      <c r="BC27221" s="141"/>
    </row>
    <row r="27222">
      <c r="BB27222" s="122"/>
      <c r="BC27222" s="141"/>
    </row>
    <row r="27223">
      <c r="BB27223" s="122"/>
      <c r="BC27223" s="141"/>
    </row>
    <row r="27224">
      <c r="BB27224" s="122"/>
      <c r="BC27224" s="141"/>
    </row>
    <row r="27225">
      <c r="BB27225" s="122"/>
      <c r="BC27225" s="141"/>
    </row>
    <row r="27226">
      <c r="BB27226" s="122"/>
      <c r="BC27226" s="141"/>
    </row>
    <row r="27227">
      <c r="BB27227" s="122"/>
      <c r="BC27227" s="141"/>
    </row>
    <row r="27228">
      <c r="BB27228" s="122"/>
      <c r="BC27228" s="141"/>
    </row>
    <row r="27229">
      <c r="BB27229" s="122"/>
      <c r="BC27229" s="141"/>
    </row>
    <row r="27230">
      <c r="BB27230" s="122"/>
      <c r="BC27230" s="141"/>
    </row>
    <row r="27231">
      <c r="BB27231" s="122"/>
      <c r="BC27231" s="141"/>
    </row>
    <row r="27232">
      <c r="BB27232" s="122"/>
      <c r="BC27232" s="141"/>
    </row>
    <row r="27233">
      <c r="BB27233" s="122"/>
      <c r="BC27233" s="141"/>
    </row>
    <row r="27234">
      <c r="BB27234" s="122"/>
      <c r="BC27234" s="141"/>
    </row>
    <row r="27235">
      <c r="BB27235" s="122"/>
      <c r="BC27235" s="141"/>
    </row>
    <row r="27236">
      <c r="BB27236" s="122"/>
      <c r="BC27236" s="141"/>
    </row>
    <row r="27237">
      <c r="BB27237" s="122"/>
      <c r="BC27237" s="141"/>
    </row>
    <row r="27238">
      <c r="BB27238" s="122"/>
      <c r="BC27238" s="141"/>
    </row>
    <row r="27239">
      <c r="BB27239" s="122"/>
      <c r="BC27239" s="141"/>
    </row>
    <row r="27240">
      <c r="BB27240" s="122"/>
      <c r="BC27240" s="141"/>
    </row>
    <row r="27241">
      <c r="BB27241" s="122"/>
      <c r="BC27241" s="141"/>
    </row>
    <row r="27242">
      <c r="BB27242" s="122"/>
      <c r="BC27242" s="141"/>
    </row>
    <row r="27243">
      <c r="BB27243" s="122"/>
      <c r="BC27243" s="141"/>
    </row>
    <row r="27244">
      <c r="BB27244" s="122"/>
      <c r="BC27244" s="141"/>
    </row>
    <row r="27245">
      <c r="BB27245" s="122"/>
      <c r="BC27245" s="141"/>
    </row>
    <row r="27246">
      <c r="BB27246" s="122"/>
      <c r="BC27246" s="141"/>
    </row>
    <row r="27247">
      <c r="BB27247" s="122"/>
      <c r="BC27247" s="141"/>
    </row>
    <row r="27248">
      <c r="BB27248" s="122"/>
      <c r="BC27248" s="141"/>
    </row>
    <row r="27249">
      <c r="BB27249" s="122"/>
      <c r="BC27249" s="141"/>
    </row>
    <row r="27250">
      <c r="BB27250" s="122"/>
      <c r="BC27250" s="141"/>
    </row>
    <row r="27251">
      <c r="BB27251" s="122"/>
      <c r="BC27251" s="141"/>
    </row>
    <row r="27252">
      <c r="BB27252" s="122"/>
      <c r="BC27252" s="141"/>
    </row>
    <row r="27253">
      <c r="BB27253" s="122"/>
      <c r="BC27253" s="141"/>
    </row>
    <row r="27254">
      <c r="BB27254" s="122"/>
      <c r="BC27254" s="141"/>
    </row>
    <row r="27255">
      <c r="BB27255" s="122"/>
      <c r="BC27255" s="141"/>
    </row>
    <row r="27256">
      <c r="BB27256" s="122"/>
      <c r="BC27256" s="141"/>
    </row>
    <row r="27257">
      <c r="BB27257" s="122"/>
      <c r="BC27257" s="141"/>
    </row>
    <row r="27258">
      <c r="BB27258" s="122"/>
      <c r="BC27258" s="141"/>
    </row>
    <row r="27259">
      <c r="BB27259" s="122"/>
      <c r="BC27259" s="141"/>
    </row>
    <row r="27260">
      <c r="BB27260" s="122"/>
      <c r="BC27260" s="141"/>
    </row>
    <row r="27261">
      <c r="BB27261" s="122"/>
      <c r="BC27261" s="141"/>
    </row>
    <row r="27262">
      <c r="BB27262" s="122"/>
      <c r="BC27262" s="141"/>
    </row>
    <row r="27263">
      <c r="BB27263" s="122"/>
      <c r="BC27263" s="141"/>
    </row>
    <row r="27264">
      <c r="BB27264" s="122"/>
      <c r="BC27264" s="141"/>
    </row>
    <row r="27265">
      <c r="BB27265" s="122"/>
      <c r="BC27265" s="141"/>
    </row>
    <row r="27266">
      <c r="BB27266" s="122"/>
      <c r="BC27266" s="141"/>
    </row>
    <row r="27267">
      <c r="BB27267" s="122"/>
      <c r="BC27267" s="141"/>
    </row>
    <row r="27268">
      <c r="BB27268" s="122"/>
      <c r="BC27268" s="141"/>
    </row>
    <row r="27269">
      <c r="BB27269" s="122"/>
      <c r="BC27269" s="141"/>
    </row>
    <row r="27270">
      <c r="BB27270" s="122"/>
      <c r="BC27270" s="141"/>
    </row>
    <row r="27271">
      <c r="BB27271" s="122"/>
      <c r="BC27271" s="141"/>
    </row>
    <row r="27272">
      <c r="BB27272" s="122"/>
      <c r="BC27272" s="141"/>
    </row>
    <row r="27273">
      <c r="BB27273" s="122"/>
      <c r="BC27273" s="141"/>
    </row>
    <row r="27274">
      <c r="BB27274" s="122"/>
      <c r="BC27274" s="141"/>
    </row>
    <row r="27275">
      <c r="BB27275" s="122"/>
      <c r="BC27275" s="141"/>
    </row>
    <row r="27276">
      <c r="BB27276" s="122"/>
      <c r="BC27276" s="141"/>
    </row>
    <row r="27277">
      <c r="BB27277" s="122"/>
      <c r="BC27277" s="141"/>
    </row>
    <row r="27278">
      <c r="BB27278" s="122"/>
      <c r="BC27278" s="141"/>
    </row>
    <row r="27279">
      <c r="BB27279" s="122"/>
      <c r="BC27279" s="141"/>
    </row>
    <row r="27280">
      <c r="BB27280" s="122"/>
      <c r="BC27280" s="141"/>
    </row>
    <row r="27281">
      <c r="BB27281" s="122"/>
      <c r="BC27281" s="141"/>
    </row>
    <row r="27282">
      <c r="BB27282" s="122"/>
      <c r="BC27282" s="141"/>
    </row>
    <row r="27283">
      <c r="BB27283" s="122"/>
      <c r="BC27283" s="141"/>
    </row>
    <row r="27284">
      <c r="BB27284" s="122"/>
      <c r="BC27284" s="141"/>
    </row>
    <row r="27285">
      <c r="BB27285" s="122"/>
      <c r="BC27285" s="141"/>
    </row>
    <row r="27286">
      <c r="BB27286" s="122"/>
      <c r="BC27286" s="141"/>
    </row>
    <row r="27287">
      <c r="BB27287" s="122"/>
      <c r="BC27287" s="141"/>
    </row>
    <row r="27288">
      <c r="BB27288" s="122"/>
      <c r="BC27288" s="141"/>
    </row>
    <row r="27289">
      <c r="BB27289" s="122"/>
      <c r="BC27289" s="141"/>
    </row>
    <row r="27290">
      <c r="BB27290" s="122"/>
      <c r="BC27290" s="141"/>
    </row>
    <row r="27291">
      <c r="BB27291" s="122"/>
      <c r="BC27291" s="141"/>
    </row>
    <row r="27292">
      <c r="BB27292" s="122"/>
      <c r="BC27292" s="141"/>
    </row>
    <row r="27293">
      <c r="BB27293" s="122"/>
      <c r="BC27293" s="141"/>
    </row>
    <row r="27294">
      <c r="BB27294" s="122"/>
      <c r="BC27294" s="141"/>
    </row>
    <row r="27295">
      <c r="BB27295" s="122"/>
      <c r="BC27295" s="141"/>
    </row>
    <row r="27296">
      <c r="BB27296" s="122"/>
      <c r="BC27296" s="141"/>
    </row>
    <row r="27297">
      <c r="BB27297" s="122"/>
      <c r="BC27297" s="141"/>
    </row>
    <row r="27298">
      <c r="BB27298" s="122"/>
      <c r="BC27298" s="141"/>
    </row>
    <row r="27299">
      <c r="BB27299" s="122"/>
      <c r="BC27299" s="141"/>
    </row>
    <row r="27300">
      <c r="BB27300" s="122"/>
      <c r="BC27300" s="141"/>
    </row>
    <row r="27301">
      <c r="BB27301" s="122"/>
      <c r="BC27301" s="141"/>
    </row>
    <row r="27302">
      <c r="BB27302" s="122"/>
      <c r="BC27302" s="141"/>
    </row>
    <row r="27303">
      <c r="BB27303" s="122"/>
      <c r="BC27303" s="141"/>
    </row>
    <row r="27304">
      <c r="BB27304" s="122"/>
      <c r="BC27304" s="141"/>
    </row>
    <row r="27305">
      <c r="BB27305" s="122"/>
      <c r="BC27305" s="141"/>
    </row>
    <row r="27306">
      <c r="BB27306" s="122"/>
      <c r="BC27306" s="141"/>
    </row>
    <row r="27307">
      <c r="BB27307" s="122"/>
      <c r="BC27307" s="141"/>
    </row>
    <row r="27308">
      <c r="BB27308" s="122"/>
      <c r="BC27308" s="141"/>
    </row>
    <row r="27309">
      <c r="BB27309" s="122"/>
      <c r="BC27309" s="141"/>
    </row>
    <row r="27310">
      <c r="BB27310" s="122"/>
      <c r="BC27310" s="141"/>
    </row>
    <row r="27311">
      <c r="BB27311" s="122"/>
      <c r="BC27311" s="141"/>
    </row>
    <row r="27312">
      <c r="BB27312" s="122"/>
      <c r="BC27312" s="141"/>
    </row>
    <row r="27313">
      <c r="BB27313" s="122"/>
      <c r="BC27313" s="141"/>
    </row>
    <row r="27314">
      <c r="BB27314" s="122"/>
      <c r="BC27314" s="141"/>
    </row>
    <row r="27315">
      <c r="BB27315" s="122"/>
      <c r="BC27315" s="141"/>
    </row>
    <row r="27316">
      <c r="BB27316" s="122"/>
      <c r="BC27316" s="141"/>
    </row>
    <row r="27317">
      <c r="BB27317" s="122"/>
      <c r="BC27317" s="141"/>
    </row>
    <row r="27318">
      <c r="BB27318" s="122"/>
      <c r="BC27318" s="141"/>
    </row>
    <row r="27319">
      <c r="BB27319" s="122"/>
      <c r="BC27319" s="141"/>
    </row>
    <row r="27320">
      <c r="BB27320" s="122"/>
      <c r="BC27320" s="141"/>
    </row>
    <row r="27321">
      <c r="BB27321" s="122"/>
      <c r="BC27321" s="141"/>
    </row>
    <row r="27322">
      <c r="BB27322" s="122"/>
      <c r="BC27322" s="141"/>
    </row>
    <row r="27323">
      <c r="BB27323" s="122"/>
      <c r="BC27323" s="141"/>
    </row>
    <row r="27324">
      <c r="BB27324" s="122"/>
      <c r="BC27324" s="141"/>
    </row>
    <row r="27325">
      <c r="BB27325" s="122"/>
      <c r="BC27325" s="141"/>
    </row>
    <row r="27326">
      <c r="BB27326" s="122"/>
      <c r="BC27326" s="141"/>
    </row>
    <row r="27327">
      <c r="BB27327" s="122"/>
      <c r="BC27327" s="141"/>
    </row>
    <row r="27328">
      <c r="BB27328" s="122"/>
      <c r="BC27328" s="141"/>
    </row>
    <row r="27329">
      <c r="BB27329" s="122"/>
      <c r="BC27329" s="141"/>
    </row>
    <row r="27330">
      <c r="BB27330" s="122"/>
      <c r="BC27330" s="141"/>
    </row>
    <row r="27331">
      <c r="BB27331" s="122"/>
      <c r="BC27331" s="141"/>
    </row>
    <row r="27332">
      <c r="BB27332" s="122"/>
      <c r="BC27332" s="141"/>
    </row>
    <row r="27333">
      <c r="BB27333" s="122"/>
      <c r="BC27333" s="141"/>
    </row>
    <row r="27334">
      <c r="BB27334" s="122"/>
      <c r="BC27334" s="141"/>
    </row>
    <row r="27335">
      <c r="BB27335" s="122"/>
      <c r="BC27335" s="141"/>
    </row>
    <row r="27336">
      <c r="BB27336" s="122"/>
      <c r="BC27336" s="141"/>
    </row>
    <row r="27337">
      <c r="BB27337" s="122"/>
      <c r="BC27337" s="141"/>
    </row>
    <row r="27338">
      <c r="BB27338" s="122"/>
      <c r="BC27338" s="141"/>
    </row>
    <row r="27339">
      <c r="BB27339" s="122"/>
      <c r="BC27339" s="141"/>
    </row>
    <row r="27340">
      <c r="BB27340" s="122"/>
      <c r="BC27340" s="141"/>
    </row>
    <row r="27341">
      <c r="BB27341" s="122"/>
      <c r="BC27341" s="141"/>
    </row>
    <row r="27342">
      <c r="BB27342" s="122"/>
      <c r="BC27342" s="141"/>
    </row>
    <row r="27343">
      <c r="BB27343" s="122"/>
      <c r="BC27343" s="141"/>
    </row>
    <row r="27344">
      <c r="BB27344" s="122"/>
      <c r="BC27344" s="141"/>
    </row>
    <row r="27345">
      <c r="BB27345" s="122"/>
      <c r="BC27345" s="141"/>
    </row>
    <row r="27346">
      <c r="BB27346" s="122"/>
      <c r="BC27346" s="141"/>
    </row>
    <row r="27347">
      <c r="BB27347" s="122"/>
      <c r="BC27347" s="141"/>
    </row>
    <row r="27348">
      <c r="BB27348" s="122"/>
      <c r="BC27348" s="141"/>
    </row>
    <row r="27349">
      <c r="BB27349" s="122"/>
      <c r="BC27349" s="141"/>
    </row>
    <row r="27350">
      <c r="BB27350" s="122"/>
      <c r="BC27350" s="141"/>
    </row>
    <row r="27351">
      <c r="BB27351" s="122"/>
      <c r="BC27351" s="141"/>
    </row>
    <row r="27352">
      <c r="BB27352" s="122"/>
      <c r="BC27352" s="141"/>
    </row>
    <row r="27353">
      <c r="BB27353" s="122"/>
      <c r="BC27353" s="141"/>
    </row>
    <row r="27354">
      <c r="BB27354" s="122"/>
      <c r="BC27354" s="141"/>
    </row>
    <row r="27355">
      <c r="BB27355" s="122"/>
      <c r="BC27355" s="141"/>
    </row>
    <row r="27356">
      <c r="BB27356" s="122"/>
      <c r="BC27356" s="141"/>
    </row>
    <row r="27357">
      <c r="BB27357" s="122"/>
      <c r="BC27357" s="141"/>
    </row>
    <row r="27358">
      <c r="BB27358" s="122"/>
      <c r="BC27358" s="141"/>
    </row>
    <row r="27359">
      <c r="BB27359" s="122"/>
      <c r="BC27359" s="141"/>
    </row>
    <row r="27360">
      <c r="BB27360" s="122"/>
      <c r="BC27360" s="141"/>
    </row>
    <row r="27361">
      <c r="BB27361" s="122"/>
      <c r="BC27361" s="141"/>
    </row>
    <row r="27362">
      <c r="BB27362" s="122"/>
      <c r="BC27362" s="141"/>
    </row>
    <row r="27363">
      <c r="BB27363" s="122"/>
      <c r="BC27363" s="141"/>
    </row>
    <row r="27364">
      <c r="BB27364" s="122"/>
      <c r="BC27364" s="141"/>
    </row>
    <row r="27365">
      <c r="BB27365" s="122"/>
      <c r="BC27365" s="141"/>
    </row>
    <row r="27366">
      <c r="BB27366" s="122"/>
      <c r="BC27366" s="141"/>
    </row>
    <row r="27367">
      <c r="BB27367" s="122"/>
      <c r="BC27367" s="141"/>
    </row>
    <row r="27368">
      <c r="BB27368" s="122"/>
      <c r="BC27368" s="141"/>
    </row>
    <row r="27369">
      <c r="BB27369" s="122"/>
      <c r="BC27369" s="141"/>
    </row>
    <row r="27370">
      <c r="BB27370" s="122"/>
      <c r="BC27370" s="141"/>
    </row>
    <row r="27371">
      <c r="BB27371" s="122"/>
      <c r="BC27371" s="141"/>
    </row>
    <row r="27372">
      <c r="BB27372" s="122"/>
      <c r="BC27372" s="141"/>
    </row>
    <row r="27373">
      <c r="BB27373" s="122"/>
      <c r="BC27373" s="141"/>
    </row>
    <row r="27374">
      <c r="BB27374" s="122"/>
      <c r="BC27374" s="141"/>
    </row>
    <row r="27375">
      <c r="BB27375" s="122"/>
      <c r="BC27375" s="141"/>
    </row>
    <row r="27376">
      <c r="BB27376" s="122"/>
      <c r="BC27376" s="141"/>
    </row>
    <row r="27377">
      <c r="BB27377" s="122"/>
      <c r="BC27377" s="141"/>
    </row>
    <row r="27378">
      <c r="BB27378" s="122"/>
      <c r="BC27378" s="141"/>
    </row>
    <row r="27379">
      <c r="BB27379" s="122"/>
      <c r="BC27379" s="141"/>
    </row>
    <row r="27380">
      <c r="BB27380" s="122"/>
      <c r="BC27380" s="141"/>
    </row>
    <row r="27381">
      <c r="BB27381" s="122"/>
      <c r="BC27381" s="141"/>
    </row>
    <row r="27382">
      <c r="BB27382" s="122"/>
      <c r="BC27382" s="141"/>
    </row>
    <row r="27383">
      <c r="BB27383" s="122"/>
      <c r="BC27383" s="141"/>
    </row>
    <row r="27384">
      <c r="BB27384" s="122"/>
      <c r="BC27384" s="141"/>
    </row>
    <row r="27385">
      <c r="BB27385" s="122"/>
      <c r="BC27385" s="141"/>
    </row>
    <row r="27386">
      <c r="BB27386" s="122"/>
      <c r="BC27386" s="141"/>
    </row>
    <row r="27387">
      <c r="BB27387" s="122"/>
      <c r="BC27387" s="141"/>
    </row>
    <row r="27388">
      <c r="BB27388" s="122"/>
      <c r="BC27388" s="141"/>
    </row>
    <row r="27389">
      <c r="BB27389" s="122"/>
      <c r="BC27389" s="141"/>
    </row>
    <row r="27390">
      <c r="BB27390" s="122"/>
      <c r="BC27390" s="141"/>
    </row>
    <row r="27391">
      <c r="BB27391" s="122"/>
      <c r="BC27391" s="141"/>
    </row>
    <row r="27392">
      <c r="BB27392" s="122"/>
      <c r="BC27392" s="141"/>
    </row>
    <row r="27393">
      <c r="BB27393" s="122"/>
      <c r="BC27393" s="141"/>
    </row>
    <row r="27394">
      <c r="BB27394" s="122"/>
      <c r="BC27394" s="141"/>
    </row>
    <row r="27395">
      <c r="BB27395" s="122"/>
      <c r="BC27395" s="141"/>
    </row>
    <row r="27396">
      <c r="BB27396" s="122"/>
      <c r="BC27396" s="141"/>
    </row>
    <row r="27397">
      <c r="BB27397" s="122"/>
      <c r="BC27397" s="141"/>
    </row>
    <row r="27398">
      <c r="BB27398" s="122"/>
      <c r="BC27398" s="141"/>
    </row>
    <row r="27399">
      <c r="BB27399" s="122"/>
      <c r="BC27399" s="141"/>
    </row>
    <row r="27400">
      <c r="BB27400" s="122"/>
      <c r="BC27400" s="141"/>
    </row>
    <row r="27401">
      <c r="BB27401" s="122"/>
      <c r="BC27401" s="141"/>
    </row>
    <row r="27402">
      <c r="BB27402" s="122"/>
      <c r="BC27402" s="141"/>
    </row>
    <row r="27403">
      <c r="BB27403" s="122"/>
      <c r="BC27403" s="141"/>
    </row>
    <row r="27404">
      <c r="BB27404" s="122"/>
      <c r="BC27404" s="141"/>
    </row>
    <row r="27405">
      <c r="BB27405" s="122"/>
      <c r="BC27405" s="141"/>
    </row>
    <row r="27406">
      <c r="BB27406" s="122"/>
      <c r="BC27406" s="141"/>
    </row>
    <row r="27407">
      <c r="BB27407" s="122"/>
      <c r="BC27407" s="141"/>
    </row>
    <row r="27408">
      <c r="BB27408" s="122"/>
      <c r="BC27408" s="141"/>
    </row>
    <row r="27409">
      <c r="BB27409" s="122"/>
      <c r="BC27409" s="141"/>
    </row>
    <row r="27410">
      <c r="BB27410" s="122"/>
      <c r="BC27410" s="141"/>
    </row>
    <row r="27411">
      <c r="BB27411" s="122"/>
      <c r="BC27411" s="141"/>
    </row>
    <row r="27412">
      <c r="BB27412" s="122"/>
      <c r="BC27412" s="141"/>
    </row>
    <row r="27413">
      <c r="BB27413" s="122"/>
      <c r="BC27413" s="141"/>
    </row>
    <row r="27414">
      <c r="BB27414" s="122"/>
      <c r="BC27414" s="141"/>
    </row>
    <row r="27415">
      <c r="BB27415" s="122"/>
      <c r="BC27415" s="141"/>
    </row>
    <row r="27416">
      <c r="BB27416" s="122"/>
      <c r="BC27416" s="141"/>
    </row>
    <row r="27417">
      <c r="BB27417" s="122"/>
      <c r="BC27417" s="141"/>
    </row>
    <row r="27418">
      <c r="BB27418" s="122"/>
      <c r="BC27418" s="141"/>
    </row>
    <row r="27419">
      <c r="BB27419" s="122"/>
      <c r="BC27419" s="141"/>
    </row>
    <row r="27420">
      <c r="BB27420" s="122"/>
      <c r="BC27420" s="141"/>
    </row>
    <row r="27421">
      <c r="BB27421" s="122"/>
      <c r="BC27421" s="141"/>
    </row>
    <row r="27422">
      <c r="BB27422" s="122"/>
      <c r="BC27422" s="141"/>
    </row>
    <row r="27423">
      <c r="BB27423" s="122"/>
      <c r="BC27423" s="141"/>
    </row>
    <row r="27424">
      <c r="BB27424" s="122"/>
      <c r="BC27424" s="141"/>
    </row>
    <row r="27425">
      <c r="BB27425" s="122"/>
      <c r="BC27425" s="141"/>
    </row>
    <row r="27426">
      <c r="BB27426" s="122"/>
      <c r="BC27426" s="141"/>
    </row>
    <row r="27427">
      <c r="BB27427" s="122"/>
      <c r="BC27427" s="141"/>
    </row>
    <row r="27428">
      <c r="BB27428" s="122"/>
      <c r="BC27428" s="141"/>
    </row>
    <row r="27429">
      <c r="BB27429" s="122"/>
      <c r="BC27429" s="141"/>
    </row>
    <row r="27430">
      <c r="BB27430" s="122"/>
      <c r="BC27430" s="141"/>
    </row>
    <row r="27431">
      <c r="BB27431" s="122"/>
      <c r="BC27431" s="141"/>
    </row>
    <row r="27432">
      <c r="BB27432" s="122"/>
      <c r="BC27432" s="141"/>
    </row>
    <row r="27433">
      <c r="BB27433" s="122"/>
      <c r="BC27433" s="141"/>
    </row>
    <row r="27434">
      <c r="BB27434" s="122"/>
      <c r="BC27434" s="141"/>
    </row>
    <row r="27435">
      <c r="BB27435" s="122"/>
      <c r="BC27435" s="141"/>
    </row>
    <row r="27436">
      <c r="BB27436" s="122"/>
      <c r="BC27436" s="141"/>
    </row>
    <row r="27437">
      <c r="BB27437" s="122"/>
      <c r="BC27437" s="141"/>
    </row>
    <row r="27438">
      <c r="BB27438" s="122"/>
      <c r="BC27438" s="141"/>
    </row>
    <row r="27439">
      <c r="BB27439" s="122"/>
      <c r="BC27439" s="141"/>
    </row>
    <row r="27440">
      <c r="BB27440" s="122"/>
      <c r="BC27440" s="141"/>
    </row>
    <row r="27441">
      <c r="BB27441" s="122"/>
      <c r="BC27441" s="141"/>
    </row>
    <row r="27442">
      <c r="BB27442" s="122"/>
      <c r="BC27442" s="141"/>
    </row>
    <row r="27443">
      <c r="BB27443" s="122"/>
      <c r="BC27443" s="141"/>
    </row>
    <row r="27444">
      <c r="BB27444" s="122"/>
      <c r="BC27444" s="141"/>
    </row>
    <row r="27445">
      <c r="BB27445" s="122"/>
      <c r="BC27445" s="141"/>
    </row>
    <row r="27446">
      <c r="BB27446" s="122"/>
      <c r="BC27446" s="141"/>
    </row>
    <row r="27447">
      <c r="BB27447" s="122"/>
      <c r="BC27447" s="141"/>
    </row>
    <row r="27448">
      <c r="BB27448" s="122"/>
      <c r="BC27448" s="141"/>
    </row>
    <row r="27449">
      <c r="BB27449" s="122"/>
      <c r="BC27449" s="141"/>
    </row>
    <row r="27450">
      <c r="BB27450" s="122"/>
      <c r="BC27450" s="141"/>
    </row>
    <row r="27451">
      <c r="BB27451" s="122"/>
      <c r="BC27451" s="141"/>
    </row>
    <row r="27452">
      <c r="BB27452" s="122"/>
      <c r="BC27452" s="141"/>
    </row>
    <row r="27453">
      <c r="BB27453" s="122"/>
      <c r="BC27453" s="141"/>
    </row>
    <row r="27454">
      <c r="BB27454" s="122"/>
      <c r="BC27454" s="141"/>
    </row>
    <row r="27455">
      <c r="BB27455" s="122"/>
      <c r="BC27455" s="141"/>
    </row>
    <row r="27456">
      <c r="BB27456" s="122"/>
      <c r="BC27456" s="141"/>
    </row>
    <row r="27457">
      <c r="BB27457" s="122"/>
      <c r="BC27457" s="141"/>
    </row>
    <row r="27458">
      <c r="BB27458" s="122"/>
      <c r="BC27458" s="141"/>
    </row>
    <row r="27459">
      <c r="BB27459" s="122"/>
      <c r="BC27459" s="141"/>
    </row>
    <row r="27460">
      <c r="BB27460" s="122"/>
      <c r="BC27460" s="141"/>
    </row>
    <row r="27461">
      <c r="BB27461" s="122"/>
      <c r="BC27461" s="141"/>
    </row>
    <row r="27462">
      <c r="BB27462" s="122"/>
      <c r="BC27462" s="141"/>
    </row>
    <row r="27463">
      <c r="BB27463" s="122"/>
      <c r="BC27463" s="141"/>
    </row>
    <row r="27464">
      <c r="BB27464" s="122"/>
      <c r="BC27464" s="141"/>
    </row>
    <row r="27465">
      <c r="BB27465" s="122"/>
      <c r="BC27465" s="141"/>
    </row>
    <row r="27466">
      <c r="BB27466" s="122"/>
      <c r="BC27466" s="141"/>
    </row>
    <row r="27467">
      <c r="BB27467" s="122"/>
      <c r="BC27467" s="141"/>
    </row>
    <row r="27468">
      <c r="BB27468" s="122"/>
      <c r="BC27468" s="141"/>
    </row>
    <row r="27469">
      <c r="BB27469" s="122"/>
      <c r="BC27469" s="141"/>
    </row>
    <row r="27470">
      <c r="BB27470" s="122"/>
      <c r="BC27470" s="141"/>
    </row>
    <row r="27471">
      <c r="BB27471" s="122"/>
      <c r="BC27471" s="141"/>
    </row>
    <row r="27472">
      <c r="BB27472" s="122"/>
      <c r="BC27472" s="141"/>
    </row>
    <row r="27473">
      <c r="BB27473" s="122"/>
      <c r="BC27473" s="141"/>
    </row>
    <row r="27474">
      <c r="BB27474" s="122"/>
      <c r="BC27474" s="141"/>
    </row>
    <row r="27475">
      <c r="BB27475" s="122"/>
      <c r="BC27475" s="141"/>
    </row>
    <row r="27476">
      <c r="BB27476" s="122"/>
      <c r="BC27476" s="141"/>
    </row>
    <row r="27477">
      <c r="BB27477" s="122"/>
      <c r="BC27477" s="141"/>
    </row>
    <row r="27478">
      <c r="BB27478" s="122"/>
      <c r="BC27478" s="141"/>
    </row>
    <row r="27479">
      <c r="BB27479" s="122"/>
      <c r="BC27479" s="141"/>
    </row>
    <row r="27480">
      <c r="BB27480" s="122"/>
      <c r="BC27480" s="141"/>
    </row>
    <row r="27481">
      <c r="BB27481" s="122"/>
      <c r="BC27481" s="141"/>
    </row>
    <row r="27482">
      <c r="BB27482" s="122"/>
      <c r="BC27482" s="141"/>
    </row>
    <row r="27483">
      <c r="BB27483" s="122"/>
      <c r="BC27483" s="141"/>
    </row>
    <row r="27484">
      <c r="BB27484" s="122"/>
      <c r="BC27484" s="141"/>
    </row>
    <row r="27485">
      <c r="BB27485" s="122"/>
      <c r="BC27485" s="141"/>
    </row>
    <row r="27486">
      <c r="BB27486" s="122"/>
      <c r="BC27486" s="141"/>
    </row>
    <row r="27487">
      <c r="BB27487" s="122"/>
      <c r="BC27487" s="141"/>
    </row>
    <row r="27488">
      <c r="BB27488" s="122"/>
      <c r="BC27488" s="141"/>
    </row>
    <row r="27489">
      <c r="BB27489" s="122"/>
      <c r="BC27489" s="141"/>
    </row>
    <row r="27490">
      <c r="BB27490" s="122"/>
      <c r="BC27490" s="141"/>
    </row>
    <row r="27491">
      <c r="BB27491" s="122"/>
      <c r="BC27491" s="141"/>
    </row>
    <row r="27492">
      <c r="BB27492" s="122"/>
      <c r="BC27492" s="141"/>
    </row>
    <row r="27493">
      <c r="BB27493" s="122"/>
      <c r="BC27493" s="141"/>
    </row>
    <row r="27494">
      <c r="BB27494" s="122"/>
      <c r="BC27494" s="141"/>
    </row>
    <row r="27495">
      <c r="BB27495" s="122"/>
      <c r="BC27495" s="141"/>
    </row>
    <row r="27496">
      <c r="BB27496" s="122"/>
      <c r="BC27496" s="141"/>
    </row>
    <row r="27497">
      <c r="BB27497" s="122"/>
      <c r="BC27497" s="141"/>
    </row>
    <row r="27498">
      <c r="BB27498" s="122"/>
      <c r="BC27498" s="141"/>
    </row>
    <row r="27499">
      <c r="BB27499" s="122"/>
      <c r="BC27499" s="141"/>
    </row>
    <row r="27500">
      <c r="BB27500" s="122"/>
      <c r="BC27500" s="141"/>
    </row>
    <row r="27501">
      <c r="BB27501" s="122"/>
      <c r="BC27501" s="141"/>
    </row>
    <row r="27502">
      <c r="BB27502" s="122"/>
      <c r="BC27502" s="141"/>
    </row>
    <row r="27503">
      <c r="BB27503" s="122"/>
      <c r="BC27503" s="141"/>
    </row>
    <row r="27504">
      <c r="BB27504" s="122"/>
      <c r="BC27504" s="141"/>
    </row>
    <row r="27505">
      <c r="BB27505" s="122"/>
      <c r="BC27505" s="141"/>
    </row>
    <row r="27506">
      <c r="BB27506" s="122"/>
      <c r="BC27506" s="141"/>
    </row>
    <row r="27507">
      <c r="BB27507" s="122"/>
      <c r="BC27507" s="141"/>
    </row>
    <row r="27508">
      <c r="BB27508" s="122"/>
      <c r="BC27508" s="141"/>
    </row>
    <row r="27509">
      <c r="BB27509" s="122"/>
      <c r="BC27509" s="141"/>
    </row>
    <row r="27510">
      <c r="BB27510" s="122"/>
      <c r="BC27510" s="141"/>
    </row>
    <row r="27511">
      <c r="BB27511" s="122"/>
      <c r="BC27511" s="141"/>
    </row>
    <row r="27512">
      <c r="BB27512" s="122"/>
      <c r="BC27512" s="141"/>
    </row>
    <row r="27513">
      <c r="BB27513" s="122"/>
      <c r="BC27513" s="141"/>
    </row>
    <row r="27514">
      <c r="BB27514" s="122"/>
      <c r="BC27514" s="141"/>
    </row>
    <row r="27515">
      <c r="BB27515" s="122"/>
      <c r="BC27515" s="141"/>
    </row>
    <row r="27516">
      <c r="BB27516" s="122"/>
      <c r="BC27516" s="141"/>
    </row>
    <row r="27517">
      <c r="BB27517" s="122"/>
      <c r="BC27517" s="141"/>
    </row>
    <row r="27518">
      <c r="BB27518" s="122"/>
      <c r="BC27518" s="141"/>
    </row>
    <row r="27519">
      <c r="BB27519" s="122"/>
      <c r="BC27519" s="141"/>
    </row>
    <row r="27520">
      <c r="BB27520" s="122"/>
      <c r="BC27520" s="141"/>
    </row>
    <row r="27521">
      <c r="BB27521" s="122"/>
      <c r="BC27521" s="141"/>
    </row>
    <row r="27522">
      <c r="BB27522" s="122"/>
      <c r="BC27522" s="141"/>
    </row>
    <row r="27523">
      <c r="BB27523" s="122"/>
      <c r="BC27523" s="141"/>
    </row>
    <row r="27524">
      <c r="BB27524" s="122"/>
      <c r="BC27524" s="141"/>
    </row>
    <row r="27525">
      <c r="BB27525" s="122"/>
      <c r="BC27525" s="141"/>
    </row>
    <row r="27526">
      <c r="BB27526" s="122"/>
      <c r="BC27526" s="141"/>
    </row>
    <row r="27527">
      <c r="BB27527" s="122"/>
      <c r="BC27527" s="141"/>
    </row>
    <row r="27528">
      <c r="BB27528" s="122"/>
      <c r="BC27528" s="141"/>
    </row>
    <row r="27529">
      <c r="BB27529" s="122"/>
      <c r="BC27529" s="141"/>
    </row>
    <row r="27530">
      <c r="BB27530" s="122"/>
      <c r="BC27530" s="141"/>
    </row>
    <row r="27531">
      <c r="BB27531" s="122"/>
      <c r="BC27531" s="141"/>
    </row>
    <row r="27532">
      <c r="BB27532" s="122"/>
      <c r="BC27532" s="141"/>
    </row>
    <row r="27533">
      <c r="BB27533" s="122"/>
      <c r="BC27533" s="141"/>
    </row>
    <row r="27534">
      <c r="BB27534" s="122"/>
      <c r="BC27534" s="141"/>
    </row>
    <row r="27535">
      <c r="BB27535" s="122"/>
      <c r="BC27535" s="141"/>
    </row>
    <row r="27536">
      <c r="BB27536" s="122"/>
      <c r="BC27536" s="141"/>
    </row>
    <row r="27537">
      <c r="BB27537" s="122"/>
      <c r="BC27537" s="141"/>
    </row>
    <row r="27538">
      <c r="BB27538" s="122"/>
      <c r="BC27538" s="141"/>
    </row>
    <row r="27539">
      <c r="BB27539" s="122"/>
      <c r="BC27539" s="141"/>
    </row>
    <row r="27540">
      <c r="BB27540" s="122"/>
      <c r="BC27540" s="141"/>
    </row>
    <row r="27541">
      <c r="BB27541" s="122"/>
      <c r="BC27541" s="141"/>
    </row>
    <row r="27542">
      <c r="BB27542" s="122"/>
      <c r="BC27542" s="141"/>
    </row>
    <row r="27543">
      <c r="BB27543" s="122"/>
      <c r="BC27543" s="141"/>
    </row>
    <row r="27544">
      <c r="BB27544" s="122"/>
      <c r="BC27544" s="141"/>
    </row>
    <row r="27545">
      <c r="BB27545" s="122"/>
      <c r="BC27545" s="141"/>
    </row>
    <row r="27546">
      <c r="BB27546" s="122"/>
      <c r="BC27546" s="141"/>
    </row>
    <row r="27547">
      <c r="BB27547" s="122"/>
      <c r="BC27547" s="141"/>
    </row>
    <row r="27548">
      <c r="BB27548" s="122"/>
      <c r="BC27548" s="141"/>
    </row>
    <row r="27549">
      <c r="BB27549" s="122"/>
      <c r="BC27549" s="141"/>
    </row>
    <row r="27550">
      <c r="BB27550" s="122"/>
      <c r="BC27550" s="141"/>
    </row>
    <row r="27551">
      <c r="BB27551" s="122"/>
      <c r="BC27551" s="141"/>
    </row>
    <row r="27552">
      <c r="BB27552" s="122"/>
      <c r="BC27552" s="141"/>
    </row>
    <row r="27553">
      <c r="BB27553" s="122"/>
      <c r="BC27553" s="141"/>
    </row>
    <row r="27554">
      <c r="BB27554" s="122"/>
      <c r="BC27554" s="141"/>
    </row>
    <row r="27555">
      <c r="BB27555" s="122"/>
      <c r="BC27555" s="141"/>
    </row>
    <row r="27556">
      <c r="BB27556" s="122"/>
      <c r="BC27556" s="141"/>
    </row>
    <row r="27557">
      <c r="BB27557" s="122"/>
      <c r="BC27557" s="141"/>
    </row>
    <row r="27558">
      <c r="BB27558" s="122"/>
      <c r="BC27558" s="141"/>
    </row>
    <row r="27559">
      <c r="BB27559" s="122"/>
      <c r="BC27559" s="141"/>
    </row>
    <row r="27560">
      <c r="BB27560" s="122"/>
      <c r="BC27560" s="141"/>
    </row>
    <row r="27561">
      <c r="BB27561" s="122"/>
      <c r="BC27561" s="141"/>
    </row>
    <row r="27562">
      <c r="BB27562" s="122"/>
      <c r="BC27562" s="141"/>
    </row>
    <row r="27563">
      <c r="BB27563" s="122"/>
      <c r="BC27563" s="141"/>
    </row>
    <row r="27564">
      <c r="BB27564" s="122"/>
      <c r="BC27564" s="141"/>
    </row>
    <row r="27565">
      <c r="BB27565" s="122"/>
      <c r="BC27565" s="141"/>
    </row>
    <row r="27566">
      <c r="BB27566" s="122"/>
      <c r="BC27566" s="141"/>
    </row>
    <row r="27567">
      <c r="BB27567" s="122"/>
      <c r="BC27567" s="141"/>
    </row>
    <row r="27568">
      <c r="BB27568" s="122"/>
      <c r="BC27568" s="141"/>
    </row>
    <row r="27569">
      <c r="BB27569" s="122"/>
      <c r="BC27569" s="141"/>
    </row>
    <row r="27570">
      <c r="BB27570" s="122"/>
      <c r="BC27570" s="141"/>
    </row>
    <row r="27571">
      <c r="BB27571" s="122"/>
      <c r="BC27571" s="141"/>
    </row>
    <row r="27572">
      <c r="BB27572" s="122"/>
      <c r="BC27572" s="141"/>
    </row>
    <row r="27573">
      <c r="BB27573" s="122"/>
      <c r="BC27573" s="141"/>
    </row>
    <row r="27574">
      <c r="BB27574" s="122"/>
      <c r="BC27574" s="141"/>
    </row>
    <row r="27575">
      <c r="BB27575" s="122"/>
      <c r="BC27575" s="141"/>
    </row>
    <row r="27576">
      <c r="BB27576" s="122"/>
      <c r="BC27576" s="141"/>
    </row>
    <row r="27577">
      <c r="BB27577" s="122"/>
      <c r="BC27577" s="141"/>
    </row>
    <row r="27578">
      <c r="BB27578" s="122"/>
      <c r="BC27578" s="141"/>
    </row>
    <row r="27579">
      <c r="BB27579" s="122"/>
      <c r="BC27579" s="141"/>
    </row>
    <row r="27580">
      <c r="BB27580" s="122"/>
      <c r="BC27580" s="141"/>
    </row>
    <row r="27581">
      <c r="BB27581" s="122"/>
      <c r="BC27581" s="141"/>
    </row>
    <row r="27582">
      <c r="BB27582" s="122"/>
      <c r="BC27582" s="141"/>
    </row>
    <row r="27583">
      <c r="BB27583" s="122"/>
      <c r="BC27583" s="141"/>
    </row>
    <row r="27584">
      <c r="BB27584" s="122"/>
      <c r="BC27584" s="141"/>
    </row>
    <row r="27585">
      <c r="BB27585" s="122"/>
      <c r="BC27585" s="141"/>
    </row>
    <row r="27586">
      <c r="BB27586" s="122"/>
      <c r="BC27586" s="141"/>
    </row>
    <row r="27587">
      <c r="BB27587" s="122"/>
      <c r="BC27587" s="141"/>
    </row>
    <row r="27588">
      <c r="BB27588" s="122"/>
      <c r="BC27588" s="141"/>
    </row>
    <row r="27589">
      <c r="BB27589" s="122"/>
      <c r="BC27589" s="141"/>
    </row>
    <row r="27590">
      <c r="BB27590" s="122"/>
      <c r="BC27590" s="141"/>
    </row>
    <row r="27591">
      <c r="BB27591" s="122"/>
      <c r="BC27591" s="141"/>
    </row>
    <row r="27592">
      <c r="BB27592" s="122"/>
      <c r="BC27592" s="141"/>
    </row>
    <row r="27593">
      <c r="BB27593" s="122"/>
      <c r="BC27593" s="141"/>
    </row>
    <row r="27594">
      <c r="BB27594" s="122"/>
      <c r="BC27594" s="141"/>
    </row>
    <row r="27595">
      <c r="BB27595" s="122"/>
      <c r="BC27595" s="141"/>
    </row>
    <row r="27596">
      <c r="BB27596" s="122"/>
      <c r="BC27596" s="141"/>
    </row>
    <row r="27597">
      <c r="BB27597" s="122"/>
      <c r="BC27597" s="141"/>
    </row>
    <row r="27598">
      <c r="BB27598" s="122"/>
      <c r="BC27598" s="141"/>
    </row>
    <row r="27599">
      <c r="BB27599" s="122"/>
      <c r="BC27599" s="141"/>
    </row>
    <row r="27600">
      <c r="BB27600" s="122"/>
      <c r="BC27600" s="141"/>
    </row>
    <row r="27601">
      <c r="BB27601" s="122"/>
      <c r="BC27601" s="141"/>
    </row>
    <row r="27602">
      <c r="BB27602" s="122"/>
      <c r="BC27602" s="141"/>
    </row>
    <row r="27603">
      <c r="BB27603" s="122"/>
      <c r="BC27603" s="141"/>
    </row>
    <row r="27604">
      <c r="BB27604" s="122"/>
      <c r="BC27604" s="141"/>
    </row>
    <row r="27605">
      <c r="BB27605" s="122"/>
      <c r="BC27605" s="141"/>
    </row>
    <row r="27606">
      <c r="BB27606" s="122"/>
      <c r="BC27606" s="141"/>
    </row>
    <row r="27607">
      <c r="BB27607" s="122"/>
      <c r="BC27607" s="141"/>
    </row>
    <row r="27608">
      <c r="BB27608" s="122"/>
      <c r="BC27608" s="141"/>
    </row>
    <row r="27609">
      <c r="BB27609" s="122"/>
      <c r="BC27609" s="141"/>
    </row>
    <row r="27610">
      <c r="BB27610" s="122"/>
      <c r="BC27610" s="141"/>
    </row>
    <row r="27611">
      <c r="BB27611" s="122"/>
      <c r="BC27611" s="141"/>
    </row>
    <row r="27612">
      <c r="BB27612" s="122"/>
      <c r="BC27612" s="141"/>
    </row>
    <row r="27613">
      <c r="BB27613" s="122"/>
      <c r="BC27613" s="141"/>
    </row>
    <row r="27614">
      <c r="BB27614" s="122"/>
      <c r="BC27614" s="141"/>
    </row>
    <row r="27615">
      <c r="BB27615" s="122"/>
      <c r="BC27615" s="141"/>
    </row>
    <row r="27616">
      <c r="BB27616" s="122"/>
      <c r="BC27616" s="141"/>
    </row>
    <row r="27617">
      <c r="BB27617" s="122"/>
      <c r="BC27617" s="141"/>
    </row>
    <row r="27618">
      <c r="BB27618" s="122"/>
      <c r="BC27618" s="141"/>
    </row>
    <row r="27619">
      <c r="BB27619" s="122"/>
      <c r="BC27619" s="141"/>
    </row>
    <row r="27620">
      <c r="BB27620" s="122"/>
      <c r="BC27620" s="141"/>
    </row>
    <row r="27621">
      <c r="BB27621" s="122"/>
      <c r="BC27621" s="141"/>
    </row>
    <row r="27622">
      <c r="BB27622" s="122"/>
      <c r="BC27622" s="141"/>
    </row>
    <row r="27623">
      <c r="BB27623" s="122"/>
      <c r="BC27623" s="141"/>
    </row>
    <row r="27624">
      <c r="BB27624" s="122"/>
      <c r="BC27624" s="141"/>
    </row>
    <row r="27625">
      <c r="BB27625" s="122"/>
      <c r="BC27625" s="141"/>
    </row>
    <row r="27626">
      <c r="BB27626" s="122"/>
      <c r="BC27626" s="141"/>
    </row>
    <row r="27627">
      <c r="BB27627" s="122"/>
      <c r="BC27627" s="141"/>
    </row>
    <row r="27628">
      <c r="BB27628" s="122"/>
      <c r="BC27628" s="141"/>
    </row>
    <row r="27629">
      <c r="BB27629" s="122"/>
      <c r="BC27629" s="141"/>
    </row>
    <row r="27630">
      <c r="BB27630" s="122"/>
      <c r="BC27630" s="141"/>
    </row>
    <row r="27631">
      <c r="BB27631" s="122"/>
      <c r="BC27631" s="141"/>
    </row>
    <row r="27632">
      <c r="BB27632" s="122"/>
      <c r="BC27632" s="141"/>
    </row>
    <row r="27633">
      <c r="BB27633" s="122"/>
      <c r="BC27633" s="141"/>
    </row>
    <row r="27634">
      <c r="BB27634" s="122"/>
      <c r="BC27634" s="141"/>
    </row>
    <row r="27635">
      <c r="BB27635" s="122"/>
      <c r="BC27635" s="141"/>
    </row>
    <row r="27636">
      <c r="BB27636" s="122"/>
      <c r="BC27636" s="141"/>
    </row>
    <row r="27637">
      <c r="BB27637" s="122"/>
      <c r="BC27637" s="141"/>
    </row>
    <row r="27638">
      <c r="BB27638" s="122"/>
      <c r="BC27638" s="141"/>
    </row>
    <row r="27639">
      <c r="BB27639" s="122"/>
      <c r="BC27639" s="141"/>
    </row>
    <row r="27640">
      <c r="BB27640" s="122"/>
      <c r="BC27640" s="141"/>
    </row>
    <row r="27641">
      <c r="BB27641" s="122"/>
      <c r="BC27641" s="141"/>
    </row>
    <row r="27642">
      <c r="BB27642" s="122"/>
      <c r="BC27642" s="141"/>
    </row>
    <row r="27643">
      <c r="BB27643" s="122"/>
      <c r="BC27643" s="141"/>
    </row>
    <row r="27644">
      <c r="BB27644" s="122"/>
      <c r="BC27644" s="141"/>
    </row>
    <row r="27645">
      <c r="BB27645" s="122"/>
      <c r="BC27645" s="141"/>
    </row>
    <row r="27646">
      <c r="BB27646" s="122"/>
      <c r="BC27646" s="141"/>
    </row>
    <row r="27647">
      <c r="BB27647" s="122"/>
      <c r="BC27647" s="141"/>
    </row>
    <row r="27648">
      <c r="BB27648" s="122"/>
      <c r="BC27648" s="141"/>
    </row>
    <row r="27649">
      <c r="BB27649" s="122"/>
      <c r="BC27649" s="141"/>
    </row>
    <row r="27650">
      <c r="BB27650" s="122"/>
      <c r="BC27650" s="141"/>
    </row>
    <row r="27651">
      <c r="BB27651" s="122"/>
      <c r="BC27651" s="141"/>
    </row>
    <row r="27652">
      <c r="BB27652" s="122"/>
      <c r="BC27652" s="141"/>
    </row>
    <row r="27653">
      <c r="BB27653" s="122"/>
      <c r="BC27653" s="141"/>
    </row>
    <row r="27654">
      <c r="BB27654" s="122"/>
      <c r="BC27654" s="141"/>
    </row>
    <row r="27655">
      <c r="BB27655" s="122"/>
      <c r="BC27655" s="141"/>
    </row>
    <row r="27656">
      <c r="BB27656" s="122"/>
      <c r="BC27656" s="141"/>
    </row>
    <row r="27657">
      <c r="BB27657" s="122"/>
      <c r="BC27657" s="141"/>
    </row>
    <row r="27658">
      <c r="BB27658" s="122"/>
      <c r="BC27658" s="141"/>
    </row>
    <row r="27659">
      <c r="BB27659" s="122"/>
      <c r="BC27659" s="141"/>
    </row>
    <row r="27660">
      <c r="BB27660" s="122"/>
      <c r="BC27660" s="141"/>
    </row>
    <row r="27661">
      <c r="BB27661" s="122"/>
      <c r="BC27661" s="141"/>
    </row>
    <row r="27662">
      <c r="BB27662" s="122"/>
      <c r="BC27662" s="141"/>
    </row>
    <row r="27663">
      <c r="BB27663" s="122"/>
      <c r="BC27663" s="141"/>
    </row>
    <row r="27664">
      <c r="BB27664" s="122"/>
      <c r="BC27664" s="141"/>
    </row>
    <row r="27665">
      <c r="BB27665" s="122"/>
      <c r="BC27665" s="141"/>
    </row>
    <row r="27666">
      <c r="BB27666" s="122"/>
      <c r="BC27666" s="141"/>
    </row>
    <row r="27667">
      <c r="BB27667" s="122"/>
      <c r="BC27667" s="141"/>
    </row>
    <row r="27668">
      <c r="BB27668" s="122"/>
      <c r="BC27668" s="141"/>
    </row>
    <row r="27669">
      <c r="BB27669" s="122"/>
      <c r="BC27669" s="141"/>
    </row>
    <row r="27670">
      <c r="BB27670" s="122"/>
      <c r="BC27670" s="141"/>
    </row>
    <row r="27671">
      <c r="BB27671" s="122"/>
      <c r="BC27671" s="141"/>
    </row>
    <row r="27672">
      <c r="BB27672" s="122"/>
      <c r="BC27672" s="141"/>
    </row>
    <row r="27673">
      <c r="BB27673" s="122"/>
      <c r="BC27673" s="141"/>
    </row>
    <row r="27674">
      <c r="BB27674" s="122"/>
      <c r="BC27674" s="141"/>
    </row>
    <row r="27675">
      <c r="BB27675" s="122"/>
      <c r="BC27675" s="141"/>
    </row>
    <row r="27676">
      <c r="BB27676" s="122"/>
      <c r="BC27676" s="141"/>
    </row>
    <row r="27677">
      <c r="BB27677" s="122"/>
      <c r="BC27677" s="141"/>
    </row>
    <row r="27678">
      <c r="BB27678" s="122"/>
      <c r="BC27678" s="141"/>
    </row>
    <row r="27679">
      <c r="BB27679" s="122"/>
      <c r="BC27679" s="141"/>
    </row>
    <row r="27680">
      <c r="BB27680" s="122"/>
      <c r="BC27680" s="141"/>
    </row>
    <row r="27681">
      <c r="BB27681" s="122"/>
      <c r="BC27681" s="141"/>
    </row>
    <row r="27682">
      <c r="BB27682" s="122"/>
      <c r="BC27682" s="141"/>
    </row>
    <row r="27683">
      <c r="BB27683" s="122"/>
      <c r="BC27683" s="141"/>
    </row>
    <row r="27684">
      <c r="BB27684" s="122"/>
      <c r="BC27684" s="141"/>
    </row>
    <row r="27685">
      <c r="BB27685" s="122"/>
      <c r="BC27685" s="141"/>
    </row>
    <row r="27686">
      <c r="BB27686" s="122"/>
      <c r="BC27686" s="141"/>
    </row>
    <row r="27687">
      <c r="BB27687" s="122"/>
      <c r="BC27687" s="141"/>
    </row>
    <row r="27688">
      <c r="BB27688" s="122"/>
      <c r="BC27688" s="141"/>
    </row>
    <row r="27689">
      <c r="BB27689" s="122"/>
      <c r="BC27689" s="141"/>
    </row>
    <row r="27690">
      <c r="BB27690" s="122"/>
      <c r="BC27690" s="141"/>
    </row>
    <row r="27691">
      <c r="BB27691" s="122"/>
      <c r="BC27691" s="141"/>
    </row>
    <row r="27692">
      <c r="BB27692" s="122"/>
      <c r="BC27692" s="141"/>
    </row>
    <row r="27693">
      <c r="BB27693" s="122"/>
      <c r="BC27693" s="141"/>
    </row>
    <row r="27694">
      <c r="BB27694" s="122"/>
      <c r="BC27694" s="141"/>
    </row>
    <row r="27695">
      <c r="BB27695" s="122"/>
      <c r="BC27695" s="141"/>
    </row>
    <row r="27696">
      <c r="BB27696" s="122"/>
      <c r="BC27696" s="141"/>
    </row>
    <row r="27697">
      <c r="BB27697" s="122"/>
      <c r="BC27697" s="141"/>
    </row>
    <row r="27698">
      <c r="BB27698" s="122"/>
      <c r="BC27698" s="141"/>
    </row>
    <row r="27699">
      <c r="BB27699" s="122"/>
      <c r="BC27699" s="141"/>
    </row>
    <row r="27700">
      <c r="BB27700" s="122"/>
      <c r="BC27700" s="141"/>
    </row>
    <row r="27701">
      <c r="BB27701" s="122"/>
      <c r="BC27701" s="141"/>
    </row>
    <row r="27702">
      <c r="BB27702" s="122"/>
      <c r="BC27702" s="141"/>
    </row>
    <row r="27703">
      <c r="BB27703" s="122"/>
      <c r="BC27703" s="141"/>
    </row>
    <row r="27704">
      <c r="BB27704" s="122"/>
      <c r="BC27704" s="141"/>
    </row>
    <row r="27705">
      <c r="BB27705" s="122"/>
      <c r="BC27705" s="141"/>
    </row>
    <row r="27706">
      <c r="BB27706" s="122"/>
      <c r="BC27706" s="141"/>
    </row>
    <row r="27707">
      <c r="BB27707" s="122"/>
      <c r="BC27707" s="141"/>
    </row>
    <row r="27708">
      <c r="BB27708" s="122"/>
      <c r="BC27708" s="141"/>
    </row>
    <row r="27709">
      <c r="BB27709" s="122"/>
      <c r="BC27709" s="141"/>
    </row>
    <row r="27710">
      <c r="BB27710" s="122"/>
      <c r="BC27710" s="141"/>
    </row>
    <row r="27711">
      <c r="BB27711" s="122"/>
      <c r="BC27711" s="141"/>
    </row>
    <row r="27712">
      <c r="BB27712" s="122"/>
      <c r="BC27712" s="141"/>
    </row>
    <row r="27713">
      <c r="BB27713" s="122"/>
      <c r="BC27713" s="141"/>
    </row>
    <row r="27714">
      <c r="BB27714" s="122"/>
      <c r="BC27714" s="141"/>
    </row>
    <row r="27715">
      <c r="BB27715" s="122"/>
      <c r="BC27715" s="141"/>
    </row>
    <row r="27716">
      <c r="BB27716" s="122"/>
      <c r="BC27716" s="141"/>
    </row>
    <row r="27717">
      <c r="BB27717" s="122"/>
      <c r="BC27717" s="141"/>
    </row>
    <row r="27718">
      <c r="BB27718" s="122"/>
      <c r="BC27718" s="141"/>
    </row>
    <row r="27719">
      <c r="BB27719" s="122"/>
      <c r="BC27719" s="141"/>
    </row>
    <row r="27720">
      <c r="BB27720" s="122"/>
      <c r="BC27720" s="141"/>
    </row>
    <row r="27721">
      <c r="BB27721" s="122"/>
      <c r="BC27721" s="141"/>
    </row>
    <row r="27722">
      <c r="BB27722" s="122"/>
      <c r="BC27722" s="141"/>
    </row>
    <row r="27723">
      <c r="BB27723" s="122"/>
      <c r="BC27723" s="141"/>
    </row>
    <row r="27724">
      <c r="BB27724" s="122"/>
      <c r="BC27724" s="141"/>
    </row>
    <row r="27725">
      <c r="BB27725" s="122"/>
      <c r="BC27725" s="141"/>
    </row>
    <row r="27726">
      <c r="BB27726" s="122"/>
      <c r="BC27726" s="141"/>
    </row>
    <row r="27727">
      <c r="BB27727" s="122"/>
      <c r="BC27727" s="141"/>
    </row>
    <row r="27728">
      <c r="BB27728" s="122"/>
      <c r="BC27728" s="141"/>
    </row>
    <row r="27729">
      <c r="BB27729" s="122"/>
      <c r="BC27729" s="141"/>
    </row>
    <row r="27730">
      <c r="BB27730" s="122"/>
      <c r="BC27730" s="141"/>
    </row>
    <row r="27731">
      <c r="BB27731" s="122"/>
      <c r="BC27731" s="141"/>
    </row>
    <row r="27732">
      <c r="BB27732" s="122"/>
      <c r="BC27732" s="141"/>
    </row>
    <row r="27733">
      <c r="BB27733" s="122"/>
      <c r="BC27733" s="141"/>
    </row>
    <row r="27734">
      <c r="BB27734" s="122"/>
      <c r="BC27734" s="141"/>
    </row>
    <row r="27735">
      <c r="BB27735" s="122"/>
      <c r="BC27735" s="141"/>
    </row>
    <row r="27736">
      <c r="BB27736" s="122"/>
      <c r="BC27736" s="141"/>
    </row>
    <row r="27737">
      <c r="BB27737" s="122"/>
      <c r="BC27737" s="141"/>
    </row>
    <row r="27738">
      <c r="BB27738" s="122"/>
      <c r="BC27738" s="141"/>
    </row>
    <row r="27739">
      <c r="BB27739" s="122"/>
      <c r="BC27739" s="141"/>
    </row>
    <row r="27740">
      <c r="BB27740" s="122"/>
      <c r="BC27740" s="141"/>
    </row>
    <row r="27741">
      <c r="BB27741" s="122"/>
      <c r="BC27741" s="141"/>
    </row>
    <row r="27742">
      <c r="BB27742" s="122"/>
      <c r="BC27742" s="141"/>
    </row>
    <row r="27743">
      <c r="BB27743" s="122"/>
      <c r="BC27743" s="141"/>
    </row>
    <row r="27744">
      <c r="BB27744" s="122"/>
      <c r="BC27744" s="141"/>
    </row>
    <row r="27745">
      <c r="BB27745" s="122"/>
      <c r="BC27745" s="141"/>
    </row>
    <row r="27746">
      <c r="BB27746" s="122"/>
      <c r="BC27746" s="141"/>
    </row>
    <row r="27747">
      <c r="BB27747" s="122"/>
      <c r="BC27747" s="141"/>
    </row>
    <row r="27748">
      <c r="BB27748" s="122"/>
      <c r="BC27748" s="141"/>
    </row>
    <row r="27749">
      <c r="BB27749" s="122"/>
      <c r="BC27749" s="141"/>
    </row>
    <row r="27750">
      <c r="BB27750" s="122"/>
      <c r="BC27750" s="141"/>
    </row>
    <row r="27751">
      <c r="BB27751" s="122"/>
      <c r="BC27751" s="141"/>
    </row>
    <row r="27752">
      <c r="BB27752" s="122"/>
      <c r="BC27752" s="141"/>
    </row>
    <row r="27753">
      <c r="BB27753" s="122"/>
      <c r="BC27753" s="141"/>
    </row>
    <row r="27754">
      <c r="BB27754" s="122"/>
      <c r="BC27754" s="141"/>
    </row>
    <row r="27755">
      <c r="BB27755" s="122"/>
      <c r="BC27755" s="141"/>
    </row>
    <row r="27756">
      <c r="BB27756" s="122"/>
      <c r="BC27756" s="141"/>
    </row>
    <row r="27757">
      <c r="BB27757" s="122"/>
      <c r="BC27757" s="141"/>
    </row>
    <row r="27758">
      <c r="BB27758" s="122"/>
      <c r="BC27758" s="141"/>
    </row>
    <row r="27759">
      <c r="BB27759" s="122"/>
      <c r="BC27759" s="141"/>
    </row>
    <row r="27760">
      <c r="BB27760" s="122"/>
      <c r="BC27760" s="141"/>
    </row>
    <row r="27761">
      <c r="BB27761" s="122"/>
      <c r="BC27761" s="141"/>
    </row>
    <row r="27762">
      <c r="BB27762" s="122"/>
      <c r="BC27762" s="141"/>
    </row>
    <row r="27763">
      <c r="BB27763" s="122"/>
      <c r="BC27763" s="141"/>
    </row>
    <row r="27764">
      <c r="BB27764" s="122"/>
      <c r="BC27764" s="141"/>
    </row>
    <row r="27765">
      <c r="BB27765" s="122"/>
      <c r="BC27765" s="141"/>
    </row>
    <row r="27766">
      <c r="BB27766" s="122"/>
      <c r="BC27766" s="141"/>
    </row>
    <row r="27767">
      <c r="BB27767" s="122"/>
      <c r="BC27767" s="141"/>
    </row>
    <row r="27768">
      <c r="BB27768" s="122"/>
      <c r="BC27768" s="141"/>
    </row>
    <row r="27769">
      <c r="BB27769" s="122"/>
      <c r="BC27769" s="141"/>
    </row>
    <row r="27770">
      <c r="BB27770" s="122"/>
      <c r="BC27770" s="141"/>
    </row>
    <row r="27771">
      <c r="BB27771" s="122"/>
      <c r="BC27771" s="141"/>
    </row>
    <row r="27772">
      <c r="BB27772" s="122"/>
      <c r="BC27772" s="141"/>
    </row>
    <row r="27773">
      <c r="BB27773" s="122"/>
      <c r="BC27773" s="141"/>
    </row>
    <row r="27774">
      <c r="BB27774" s="122"/>
      <c r="BC27774" s="141"/>
    </row>
    <row r="27775">
      <c r="BB27775" s="122"/>
      <c r="BC27775" s="141"/>
    </row>
    <row r="27776">
      <c r="BB27776" s="122"/>
      <c r="BC27776" s="141"/>
    </row>
    <row r="27777">
      <c r="BB27777" s="122"/>
      <c r="BC27777" s="141"/>
    </row>
    <row r="27778">
      <c r="BB27778" s="122"/>
      <c r="BC27778" s="141"/>
    </row>
    <row r="27779">
      <c r="BB27779" s="122"/>
      <c r="BC27779" s="141"/>
    </row>
    <row r="27780">
      <c r="BB27780" s="122"/>
      <c r="BC27780" s="141"/>
    </row>
    <row r="27781">
      <c r="BB27781" s="122"/>
      <c r="BC27781" s="141"/>
    </row>
    <row r="27782">
      <c r="BB27782" s="122"/>
      <c r="BC27782" s="141"/>
    </row>
    <row r="27783">
      <c r="BB27783" s="122"/>
      <c r="BC27783" s="141"/>
    </row>
    <row r="27784">
      <c r="BB27784" s="122"/>
      <c r="BC27784" s="141"/>
    </row>
    <row r="27785">
      <c r="BB27785" s="122"/>
      <c r="BC27785" s="141"/>
    </row>
    <row r="27786">
      <c r="BB27786" s="122"/>
      <c r="BC27786" s="141"/>
    </row>
    <row r="27787">
      <c r="BB27787" s="122"/>
      <c r="BC27787" s="141"/>
    </row>
    <row r="27788">
      <c r="BB27788" s="122"/>
      <c r="BC27788" s="141"/>
    </row>
    <row r="27789">
      <c r="BB27789" s="122"/>
      <c r="BC27789" s="141"/>
    </row>
    <row r="27790">
      <c r="BB27790" s="122"/>
      <c r="BC27790" s="141"/>
    </row>
    <row r="27791">
      <c r="BB27791" s="122"/>
      <c r="BC27791" s="141"/>
    </row>
    <row r="27792">
      <c r="BB27792" s="122"/>
      <c r="BC27792" s="141"/>
    </row>
    <row r="27793">
      <c r="BB27793" s="122"/>
      <c r="BC27793" s="141"/>
    </row>
    <row r="27794">
      <c r="BB27794" s="122"/>
      <c r="BC27794" s="141"/>
    </row>
    <row r="27795">
      <c r="BB27795" s="122"/>
      <c r="BC27795" s="141"/>
    </row>
    <row r="27796">
      <c r="BB27796" s="122"/>
      <c r="BC27796" s="141"/>
    </row>
    <row r="27797">
      <c r="BB27797" s="122"/>
      <c r="BC27797" s="141"/>
    </row>
    <row r="27798">
      <c r="BB27798" s="122"/>
      <c r="BC27798" s="141"/>
    </row>
    <row r="27799">
      <c r="BB27799" s="122"/>
      <c r="BC27799" s="141"/>
    </row>
    <row r="27800">
      <c r="BB27800" s="122"/>
      <c r="BC27800" s="141"/>
    </row>
    <row r="27801">
      <c r="BB27801" s="122"/>
      <c r="BC27801" s="141"/>
    </row>
    <row r="27802">
      <c r="BB27802" s="122"/>
      <c r="BC27802" s="141"/>
    </row>
    <row r="27803">
      <c r="BB27803" s="122"/>
      <c r="BC27803" s="141"/>
    </row>
    <row r="27804">
      <c r="BB27804" s="122"/>
      <c r="BC27804" s="141"/>
    </row>
    <row r="27805">
      <c r="BB27805" s="122"/>
      <c r="BC27805" s="141"/>
    </row>
    <row r="27806">
      <c r="BB27806" s="122"/>
      <c r="BC27806" s="141"/>
    </row>
    <row r="27807">
      <c r="BB27807" s="122"/>
      <c r="BC27807" s="141"/>
    </row>
    <row r="27808">
      <c r="BB27808" s="122"/>
      <c r="BC27808" s="141"/>
    </row>
    <row r="27809">
      <c r="BB27809" s="122"/>
      <c r="BC27809" s="141"/>
    </row>
    <row r="27810">
      <c r="BB27810" s="122"/>
      <c r="BC27810" s="141"/>
    </row>
    <row r="27811">
      <c r="BB27811" s="122"/>
      <c r="BC27811" s="141"/>
    </row>
    <row r="27812">
      <c r="BB27812" s="122"/>
      <c r="BC27812" s="141"/>
    </row>
    <row r="27813">
      <c r="BB27813" s="122"/>
      <c r="BC27813" s="141"/>
    </row>
    <row r="27814">
      <c r="BB27814" s="122"/>
      <c r="BC27814" s="141"/>
    </row>
    <row r="27815">
      <c r="BB27815" s="122"/>
      <c r="BC27815" s="141"/>
    </row>
    <row r="27816">
      <c r="BB27816" s="122"/>
      <c r="BC27816" s="141"/>
    </row>
    <row r="27817">
      <c r="BB27817" s="122"/>
      <c r="BC27817" s="141"/>
    </row>
    <row r="27818">
      <c r="BB27818" s="122"/>
      <c r="BC27818" s="141"/>
    </row>
    <row r="27819">
      <c r="BB27819" s="122"/>
      <c r="BC27819" s="141"/>
    </row>
    <row r="27820">
      <c r="BB27820" s="122"/>
      <c r="BC27820" s="141"/>
    </row>
    <row r="27821">
      <c r="BB27821" s="122"/>
      <c r="BC27821" s="141"/>
    </row>
    <row r="27822">
      <c r="BB27822" s="122"/>
      <c r="BC27822" s="141"/>
    </row>
    <row r="27823">
      <c r="BB27823" s="122"/>
      <c r="BC27823" s="141"/>
    </row>
    <row r="27824">
      <c r="BB27824" s="122"/>
      <c r="BC27824" s="141"/>
    </row>
    <row r="27825">
      <c r="BB27825" s="122"/>
      <c r="BC27825" s="141"/>
    </row>
    <row r="27826">
      <c r="BB27826" s="122"/>
      <c r="BC27826" s="141"/>
    </row>
    <row r="27827">
      <c r="BB27827" s="122"/>
      <c r="BC27827" s="141"/>
    </row>
    <row r="27828">
      <c r="BB27828" s="122"/>
      <c r="BC27828" s="141"/>
    </row>
    <row r="27829">
      <c r="BB27829" s="122"/>
      <c r="BC27829" s="141"/>
    </row>
    <row r="27830">
      <c r="BB27830" s="122"/>
      <c r="BC27830" s="141"/>
    </row>
    <row r="27831">
      <c r="BB27831" s="122"/>
      <c r="BC27831" s="141"/>
    </row>
    <row r="27832">
      <c r="BB27832" s="122"/>
      <c r="BC27832" s="141"/>
    </row>
    <row r="27833">
      <c r="BB27833" s="122"/>
      <c r="BC27833" s="141"/>
    </row>
    <row r="27834">
      <c r="BB27834" s="122"/>
      <c r="BC27834" s="141"/>
    </row>
    <row r="27835">
      <c r="BB27835" s="122"/>
      <c r="BC27835" s="141"/>
    </row>
    <row r="27836">
      <c r="BB27836" s="122"/>
      <c r="BC27836" s="141"/>
    </row>
    <row r="27837">
      <c r="BB27837" s="122"/>
      <c r="BC27837" s="141"/>
    </row>
    <row r="27838">
      <c r="BB27838" s="122"/>
      <c r="BC27838" s="141"/>
    </row>
    <row r="27839">
      <c r="BB27839" s="122"/>
      <c r="BC27839" s="141"/>
    </row>
    <row r="27840">
      <c r="BB27840" s="122"/>
      <c r="BC27840" s="141"/>
    </row>
    <row r="27841">
      <c r="BB27841" s="122"/>
      <c r="BC27841" s="141"/>
    </row>
    <row r="27842">
      <c r="BB27842" s="122"/>
      <c r="BC27842" s="141"/>
    </row>
    <row r="27843">
      <c r="BB27843" s="122"/>
      <c r="BC27843" s="141"/>
    </row>
    <row r="27844">
      <c r="BB27844" s="122"/>
      <c r="BC27844" s="141"/>
    </row>
    <row r="27845">
      <c r="BB27845" s="122"/>
      <c r="BC27845" s="141"/>
    </row>
    <row r="27846">
      <c r="BB27846" s="122"/>
      <c r="BC27846" s="141"/>
    </row>
    <row r="27847">
      <c r="BB27847" s="122"/>
      <c r="BC27847" s="141"/>
    </row>
    <row r="27848">
      <c r="BB27848" s="122"/>
      <c r="BC27848" s="141"/>
    </row>
    <row r="27849">
      <c r="BB27849" s="122"/>
      <c r="BC27849" s="141"/>
    </row>
    <row r="27850">
      <c r="BB27850" s="122"/>
      <c r="BC27850" s="141"/>
    </row>
    <row r="27851">
      <c r="BB27851" s="122"/>
      <c r="BC27851" s="141"/>
    </row>
    <row r="27852">
      <c r="BB27852" s="122"/>
      <c r="BC27852" s="141"/>
    </row>
    <row r="27853">
      <c r="BB27853" s="122"/>
      <c r="BC27853" s="141"/>
    </row>
    <row r="27854">
      <c r="BB27854" s="122"/>
      <c r="BC27854" s="141"/>
    </row>
    <row r="27855">
      <c r="BB27855" s="122"/>
      <c r="BC27855" s="141"/>
    </row>
    <row r="27856">
      <c r="BB27856" s="122"/>
      <c r="BC27856" s="141"/>
    </row>
    <row r="27857">
      <c r="BB27857" s="122"/>
      <c r="BC27857" s="141"/>
    </row>
    <row r="27858">
      <c r="BB27858" s="122"/>
      <c r="BC27858" s="141"/>
    </row>
    <row r="27859">
      <c r="BB27859" s="122"/>
      <c r="BC27859" s="141"/>
    </row>
    <row r="27860">
      <c r="BB27860" s="122"/>
      <c r="BC27860" s="141"/>
    </row>
    <row r="27861">
      <c r="BB27861" s="122"/>
      <c r="BC27861" s="141"/>
    </row>
    <row r="27862">
      <c r="BB27862" s="122"/>
      <c r="BC27862" s="141"/>
    </row>
    <row r="27863">
      <c r="BB27863" s="122"/>
      <c r="BC27863" s="141"/>
    </row>
    <row r="27864">
      <c r="BB27864" s="122"/>
      <c r="BC27864" s="141"/>
    </row>
    <row r="27865">
      <c r="BB27865" s="122"/>
      <c r="BC27865" s="141"/>
    </row>
    <row r="27866">
      <c r="BB27866" s="122"/>
      <c r="BC27866" s="141"/>
    </row>
    <row r="27867">
      <c r="BB27867" s="122"/>
      <c r="BC27867" s="141"/>
    </row>
    <row r="27868">
      <c r="BB27868" s="122"/>
      <c r="BC27868" s="141"/>
    </row>
    <row r="27869">
      <c r="BB27869" s="122"/>
      <c r="BC27869" s="141"/>
    </row>
    <row r="27870">
      <c r="BB27870" s="122"/>
      <c r="BC27870" s="141"/>
    </row>
    <row r="27871">
      <c r="BB27871" s="122"/>
      <c r="BC27871" s="141"/>
    </row>
    <row r="27872">
      <c r="BB27872" s="122"/>
      <c r="BC27872" s="141"/>
    </row>
    <row r="27873">
      <c r="BB27873" s="122"/>
      <c r="BC27873" s="141"/>
    </row>
    <row r="27874">
      <c r="BB27874" s="122"/>
      <c r="BC27874" s="141"/>
    </row>
    <row r="27875">
      <c r="BB27875" s="122"/>
      <c r="BC27875" s="141"/>
    </row>
    <row r="27876">
      <c r="BB27876" s="122"/>
      <c r="BC27876" s="141"/>
    </row>
    <row r="27877">
      <c r="BB27877" s="122"/>
      <c r="BC27877" s="141"/>
    </row>
    <row r="27878">
      <c r="BB27878" s="122"/>
      <c r="BC27878" s="141"/>
    </row>
    <row r="27879">
      <c r="BB27879" s="122"/>
      <c r="BC27879" s="141"/>
    </row>
    <row r="27880">
      <c r="BB27880" s="122"/>
      <c r="BC27880" s="141"/>
    </row>
    <row r="27881">
      <c r="BB27881" s="122"/>
      <c r="BC27881" s="141"/>
    </row>
    <row r="27882">
      <c r="BB27882" s="122"/>
      <c r="BC27882" s="141"/>
    </row>
    <row r="27883">
      <c r="BB27883" s="122"/>
      <c r="BC27883" s="141"/>
    </row>
    <row r="27884">
      <c r="BB27884" s="122"/>
      <c r="BC27884" s="141"/>
    </row>
    <row r="27885">
      <c r="BB27885" s="122"/>
      <c r="BC27885" s="141"/>
    </row>
    <row r="27886">
      <c r="BB27886" s="122"/>
      <c r="BC27886" s="141"/>
    </row>
    <row r="27887">
      <c r="BB27887" s="122"/>
      <c r="BC27887" s="141"/>
    </row>
    <row r="27888">
      <c r="BB27888" s="122"/>
      <c r="BC27888" s="141"/>
    </row>
    <row r="27889">
      <c r="BB27889" s="122"/>
      <c r="BC27889" s="141"/>
    </row>
    <row r="27890">
      <c r="BB27890" s="122"/>
      <c r="BC27890" s="141"/>
    </row>
    <row r="27891">
      <c r="BB27891" s="122"/>
      <c r="BC27891" s="141"/>
    </row>
    <row r="27892">
      <c r="BB27892" s="122"/>
      <c r="BC27892" s="141"/>
    </row>
    <row r="27893">
      <c r="BB27893" s="122"/>
      <c r="BC27893" s="141"/>
    </row>
    <row r="27894">
      <c r="BB27894" s="122"/>
      <c r="BC27894" s="141"/>
    </row>
    <row r="27895">
      <c r="BB27895" s="122"/>
      <c r="BC27895" s="141"/>
    </row>
    <row r="27896">
      <c r="BB27896" s="122"/>
      <c r="BC27896" s="141"/>
    </row>
    <row r="27897">
      <c r="BB27897" s="122"/>
      <c r="BC27897" s="141"/>
    </row>
    <row r="27898">
      <c r="BB27898" s="122"/>
      <c r="BC27898" s="141"/>
    </row>
    <row r="27899">
      <c r="BB27899" s="122"/>
      <c r="BC27899" s="141"/>
    </row>
    <row r="27900">
      <c r="BB27900" s="122"/>
      <c r="BC27900" s="141"/>
    </row>
    <row r="27901">
      <c r="BB27901" s="122"/>
      <c r="BC27901" s="141"/>
    </row>
    <row r="27902">
      <c r="BB27902" s="122"/>
      <c r="BC27902" s="141"/>
    </row>
    <row r="27903">
      <c r="BB27903" s="122"/>
      <c r="BC27903" s="141"/>
    </row>
    <row r="27904">
      <c r="BB27904" s="122"/>
      <c r="BC27904" s="141"/>
    </row>
    <row r="27905">
      <c r="BB27905" s="122"/>
      <c r="BC27905" s="141"/>
    </row>
    <row r="27906">
      <c r="BB27906" s="122"/>
      <c r="BC27906" s="141"/>
    </row>
    <row r="27907">
      <c r="BB27907" s="122"/>
      <c r="BC27907" s="141"/>
    </row>
    <row r="27908">
      <c r="BB27908" s="122"/>
      <c r="BC27908" s="141"/>
    </row>
    <row r="27909">
      <c r="BB27909" s="122"/>
      <c r="BC27909" s="141"/>
    </row>
    <row r="27910">
      <c r="BB27910" s="122"/>
      <c r="BC27910" s="141"/>
    </row>
    <row r="27911">
      <c r="BB27911" s="122"/>
      <c r="BC27911" s="141"/>
    </row>
    <row r="27912">
      <c r="BB27912" s="122"/>
      <c r="BC27912" s="141"/>
    </row>
    <row r="27913">
      <c r="BB27913" s="122"/>
      <c r="BC27913" s="141"/>
    </row>
    <row r="27914">
      <c r="BB27914" s="122"/>
      <c r="BC27914" s="141"/>
    </row>
    <row r="27915">
      <c r="BB27915" s="122"/>
      <c r="BC27915" s="141"/>
    </row>
    <row r="27916">
      <c r="BB27916" s="122"/>
      <c r="BC27916" s="141"/>
    </row>
    <row r="27917">
      <c r="BB27917" s="122"/>
      <c r="BC27917" s="141"/>
    </row>
    <row r="27918">
      <c r="BB27918" s="122"/>
      <c r="BC27918" s="141"/>
    </row>
    <row r="27919">
      <c r="BB27919" s="122"/>
      <c r="BC27919" s="141"/>
    </row>
    <row r="27920">
      <c r="BB27920" s="122"/>
      <c r="BC27920" s="141"/>
    </row>
    <row r="27921">
      <c r="BB27921" s="122"/>
      <c r="BC27921" s="141"/>
    </row>
    <row r="27922">
      <c r="BB27922" s="122"/>
      <c r="BC27922" s="141"/>
    </row>
    <row r="27923">
      <c r="BB27923" s="122"/>
      <c r="BC27923" s="141"/>
    </row>
    <row r="27924">
      <c r="BB27924" s="122"/>
      <c r="BC27924" s="141"/>
    </row>
    <row r="27925">
      <c r="BB27925" s="122"/>
      <c r="BC27925" s="141"/>
    </row>
    <row r="27926">
      <c r="BB27926" s="122"/>
      <c r="BC27926" s="141"/>
    </row>
    <row r="27927">
      <c r="BB27927" s="122"/>
      <c r="BC27927" s="141"/>
    </row>
    <row r="27928">
      <c r="BB27928" s="122"/>
      <c r="BC27928" s="141"/>
    </row>
    <row r="27929">
      <c r="BB27929" s="122"/>
      <c r="BC27929" s="141"/>
    </row>
    <row r="27930">
      <c r="BB27930" s="122"/>
      <c r="BC27930" s="141"/>
    </row>
    <row r="27931">
      <c r="BB27931" s="122"/>
      <c r="BC27931" s="141"/>
    </row>
    <row r="27932">
      <c r="BB27932" s="122"/>
      <c r="BC27932" s="141"/>
    </row>
    <row r="27933">
      <c r="BB27933" s="122"/>
      <c r="BC27933" s="141"/>
    </row>
    <row r="27934">
      <c r="BB27934" s="122"/>
      <c r="BC27934" s="141"/>
    </row>
    <row r="27935">
      <c r="BB27935" s="122"/>
      <c r="BC27935" s="141"/>
    </row>
    <row r="27936">
      <c r="BB27936" s="122"/>
      <c r="BC27936" s="141"/>
    </row>
    <row r="27937">
      <c r="BB27937" s="122"/>
      <c r="BC27937" s="141"/>
    </row>
    <row r="27938">
      <c r="BB27938" s="122"/>
      <c r="BC27938" s="141"/>
    </row>
    <row r="27939">
      <c r="BB27939" s="122"/>
      <c r="BC27939" s="141"/>
    </row>
    <row r="27940">
      <c r="BB27940" s="122"/>
      <c r="BC27940" s="141"/>
    </row>
    <row r="27941">
      <c r="BB27941" s="122"/>
      <c r="BC27941" s="141"/>
    </row>
    <row r="27942">
      <c r="BB27942" s="122"/>
      <c r="BC27942" s="141"/>
    </row>
    <row r="27943">
      <c r="BB27943" s="122"/>
      <c r="BC27943" s="141"/>
    </row>
    <row r="27944">
      <c r="BB27944" s="122"/>
      <c r="BC27944" s="141"/>
    </row>
    <row r="27945">
      <c r="BB27945" s="122"/>
      <c r="BC27945" s="141"/>
    </row>
    <row r="27946">
      <c r="BB27946" s="122"/>
      <c r="BC27946" s="141"/>
    </row>
    <row r="27947">
      <c r="BB27947" s="122"/>
      <c r="BC27947" s="141"/>
    </row>
    <row r="27948">
      <c r="BB27948" s="122"/>
      <c r="BC27948" s="141"/>
    </row>
    <row r="27949">
      <c r="BB27949" s="122"/>
      <c r="BC27949" s="141"/>
    </row>
    <row r="27950">
      <c r="BB27950" s="122"/>
      <c r="BC27950" s="141"/>
    </row>
    <row r="27951">
      <c r="BB27951" s="122"/>
      <c r="BC27951" s="141"/>
    </row>
    <row r="27952">
      <c r="BB27952" s="122"/>
      <c r="BC27952" s="141"/>
    </row>
    <row r="27953">
      <c r="BB27953" s="122"/>
      <c r="BC27953" s="141"/>
    </row>
    <row r="27954">
      <c r="BB27954" s="122"/>
      <c r="BC27954" s="141"/>
    </row>
    <row r="27955">
      <c r="BB27955" s="122"/>
      <c r="BC27955" s="141"/>
    </row>
    <row r="27956">
      <c r="BB27956" s="122"/>
      <c r="BC27956" s="141"/>
    </row>
    <row r="27957">
      <c r="BB27957" s="122"/>
      <c r="BC27957" s="141"/>
    </row>
    <row r="27958">
      <c r="BB27958" s="122"/>
      <c r="BC27958" s="141"/>
    </row>
    <row r="27959">
      <c r="BB27959" s="122"/>
      <c r="BC27959" s="141"/>
    </row>
    <row r="27960">
      <c r="BB27960" s="122"/>
      <c r="BC27960" s="141"/>
    </row>
    <row r="27961">
      <c r="BB27961" s="122"/>
      <c r="BC27961" s="141"/>
    </row>
    <row r="27962">
      <c r="BB27962" s="122"/>
      <c r="BC27962" s="141"/>
    </row>
    <row r="27963">
      <c r="BB27963" s="122"/>
      <c r="BC27963" s="141"/>
    </row>
    <row r="27964">
      <c r="BB27964" s="122"/>
      <c r="BC27964" s="141"/>
    </row>
    <row r="27965">
      <c r="BB27965" s="122"/>
      <c r="BC27965" s="141"/>
    </row>
    <row r="27966">
      <c r="BB27966" s="122"/>
      <c r="BC27966" s="141"/>
    </row>
    <row r="27967">
      <c r="BB27967" s="122"/>
      <c r="BC27967" s="141"/>
    </row>
    <row r="27968">
      <c r="BB27968" s="122"/>
      <c r="BC27968" s="141"/>
    </row>
    <row r="27969">
      <c r="BB27969" s="122"/>
      <c r="BC27969" s="141"/>
    </row>
    <row r="27970">
      <c r="BB27970" s="122"/>
      <c r="BC27970" s="141"/>
    </row>
    <row r="27971">
      <c r="BB27971" s="122"/>
      <c r="BC27971" s="141"/>
    </row>
    <row r="27972">
      <c r="BB27972" s="122"/>
      <c r="BC27972" s="141"/>
    </row>
    <row r="27973">
      <c r="BB27973" s="122"/>
      <c r="BC27973" s="141"/>
    </row>
    <row r="27974">
      <c r="BB27974" s="122"/>
      <c r="BC27974" s="141"/>
    </row>
    <row r="27975">
      <c r="BB27975" s="122"/>
      <c r="BC27975" s="141"/>
    </row>
    <row r="27976">
      <c r="BB27976" s="122"/>
      <c r="BC27976" s="141"/>
    </row>
    <row r="27977">
      <c r="BB27977" s="122"/>
      <c r="BC27977" s="141"/>
    </row>
    <row r="27978">
      <c r="BB27978" s="122"/>
      <c r="BC27978" s="141"/>
    </row>
    <row r="27979">
      <c r="BB27979" s="122"/>
      <c r="BC27979" s="141"/>
    </row>
    <row r="27980">
      <c r="BB27980" s="122"/>
      <c r="BC27980" s="141"/>
    </row>
    <row r="27981">
      <c r="BB27981" s="122"/>
      <c r="BC27981" s="141"/>
    </row>
    <row r="27982">
      <c r="BB27982" s="122"/>
      <c r="BC27982" s="141"/>
    </row>
    <row r="27983">
      <c r="BB27983" s="122"/>
      <c r="BC27983" s="141"/>
    </row>
    <row r="27984">
      <c r="BB27984" s="122"/>
      <c r="BC27984" s="141"/>
    </row>
    <row r="27985">
      <c r="BB27985" s="122"/>
      <c r="BC27985" s="141"/>
    </row>
    <row r="27986">
      <c r="BB27986" s="122"/>
      <c r="BC27986" s="141"/>
    </row>
    <row r="27987">
      <c r="BB27987" s="122"/>
      <c r="BC27987" s="141"/>
    </row>
    <row r="27988">
      <c r="BB27988" s="122"/>
      <c r="BC27988" s="141"/>
    </row>
    <row r="27989">
      <c r="BB27989" s="122"/>
      <c r="BC27989" s="141"/>
    </row>
    <row r="27990">
      <c r="BB27990" s="122"/>
      <c r="BC27990" s="141"/>
    </row>
    <row r="27991">
      <c r="BB27991" s="122"/>
      <c r="BC27991" s="141"/>
    </row>
    <row r="27992">
      <c r="BB27992" s="122"/>
      <c r="BC27992" s="141"/>
    </row>
    <row r="27993">
      <c r="BB27993" s="122"/>
      <c r="BC27993" s="141"/>
    </row>
    <row r="27994">
      <c r="BB27994" s="122"/>
      <c r="BC27994" s="141"/>
    </row>
    <row r="27995">
      <c r="BB27995" s="122"/>
      <c r="BC27995" s="141"/>
    </row>
    <row r="27996">
      <c r="BB27996" s="122"/>
      <c r="BC27996" s="141"/>
    </row>
    <row r="27997">
      <c r="BB27997" s="122"/>
      <c r="BC27997" s="141"/>
    </row>
    <row r="27998">
      <c r="BB27998" s="122"/>
      <c r="BC27998" s="141"/>
    </row>
    <row r="27999">
      <c r="BB27999" s="122"/>
      <c r="BC27999" s="141"/>
    </row>
    <row r="28000">
      <c r="BB28000" s="122"/>
      <c r="BC28000" s="141"/>
    </row>
    <row r="28001">
      <c r="BB28001" s="122"/>
      <c r="BC28001" s="141"/>
    </row>
    <row r="28002">
      <c r="BB28002" s="122"/>
      <c r="BC28002" s="141"/>
    </row>
    <row r="28003">
      <c r="BB28003" s="122"/>
      <c r="BC28003" s="141"/>
    </row>
    <row r="28004">
      <c r="BB28004" s="122"/>
      <c r="BC28004" s="141"/>
    </row>
    <row r="28005">
      <c r="BB28005" s="122"/>
      <c r="BC28005" s="141"/>
    </row>
    <row r="28006">
      <c r="BB28006" s="122"/>
      <c r="BC28006" s="141"/>
    </row>
    <row r="28007">
      <c r="BB28007" s="122"/>
      <c r="BC28007" s="141"/>
    </row>
    <row r="28008">
      <c r="BB28008" s="122"/>
      <c r="BC28008" s="141"/>
    </row>
    <row r="28009">
      <c r="BB28009" s="122"/>
      <c r="BC28009" s="141"/>
    </row>
    <row r="28010">
      <c r="BB28010" s="122"/>
      <c r="BC28010" s="141"/>
    </row>
    <row r="28011">
      <c r="BB28011" s="122"/>
      <c r="BC28011" s="141"/>
    </row>
    <row r="28012">
      <c r="BB28012" s="122"/>
      <c r="BC28012" s="141"/>
    </row>
    <row r="28013">
      <c r="BB28013" s="122"/>
      <c r="BC28013" s="141"/>
    </row>
    <row r="28014">
      <c r="BB28014" s="122"/>
      <c r="BC28014" s="141"/>
    </row>
    <row r="28015">
      <c r="BB28015" s="122"/>
      <c r="BC28015" s="141"/>
    </row>
    <row r="28016">
      <c r="BB28016" s="122"/>
      <c r="BC28016" s="141"/>
    </row>
    <row r="28017">
      <c r="BB28017" s="122"/>
      <c r="BC28017" s="141"/>
    </row>
    <row r="28018">
      <c r="BB28018" s="122"/>
      <c r="BC28018" s="141"/>
    </row>
    <row r="28019">
      <c r="BB28019" s="122"/>
      <c r="BC28019" s="141"/>
    </row>
    <row r="28020">
      <c r="BB28020" s="122"/>
      <c r="BC28020" s="141"/>
    </row>
    <row r="28021">
      <c r="BB28021" s="122"/>
      <c r="BC28021" s="141"/>
    </row>
    <row r="28022">
      <c r="BB28022" s="122"/>
      <c r="BC28022" s="141"/>
    </row>
    <row r="28023">
      <c r="BB28023" s="122"/>
      <c r="BC28023" s="141"/>
    </row>
    <row r="28024">
      <c r="BB28024" s="122"/>
      <c r="BC28024" s="141"/>
    </row>
    <row r="28025">
      <c r="BB28025" s="122"/>
      <c r="BC28025" s="141"/>
    </row>
    <row r="28026">
      <c r="BB28026" s="122"/>
      <c r="BC28026" s="141"/>
    </row>
    <row r="28027">
      <c r="BB28027" s="122"/>
      <c r="BC28027" s="141"/>
    </row>
    <row r="28028">
      <c r="BB28028" s="122"/>
      <c r="BC28028" s="141"/>
    </row>
    <row r="28029">
      <c r="BB28029" s="122"/>
      <c r="BC28029" s="141"/>
    </row>
    <row r="28030">
      <c r="BB28030" s="122"/>
      <c r="BC28030" s="141"/>
    </row>
    <row r="28031">
      <c r="BB28031" s="122"/>
      <c r="BC28031" s="141"/>
    </row>
    <row r="28032">
      <c r="BB28032" s="122"/>
      <c r="BC28032" s="141"/>
    </row>
    <row r="28033">
      <c r="BB28033" s="122"/>
      <c r="BC28033" s="141"/>
    </row>
    <row r="28034">
      <c r="BB28034" s="122"/>
      <c r="BC28034" s="141"/>
    </row>
    <row r="28035">
      <c r="BB28035" s="122"/>
      <c r="BC28035" s="141"/>
    </row>
    <row r="28036">
      <c r="BB28036" s="122"/>
      <c r="BC28036" s="141"/>
    </row>
    <row r="28037">
      <c r="BB28037" s="122"/>
      <c r="BC28037" s="141"/>
    </row>
    <row r="28038">
      <c r="BB28038" s="122"/>
      <c r="BC28038" s="141"/>
    </row>
    <row r="28039">
      <c r="BB28039" s="122"/>
      <c r="BC28039" s="141"/>
    </row>
    <row r="28040">
      <c r="BB28040" s="122"/>
      <c r="BC28040" s="141"/>
    </row>
    <row r="28041">
      <c r="BB28041" s="122"/>
      <c r="BC28041" s="141"/>
    </row>
    <row r="28042">
      <c r="BB28042" s="122"/>
      <c r="BC28042" s="141"/>
    </row>
    <row r="28043">
      <c r="BB28043" s="122"/>
      <c r="BC28043" s="141"/>
    </row>
    <row r="28044">
      <c r="BB28044" s="122"/>
      <c r="BC28044" s="141"/>
    </row>
    <row r="28045">
      <c r="BB28045" s="122"/>
      <c r="BC28045" s="141"/>
    </row>
    <row r="28046">
      <c r="BB28046" s="122"/>
      <c r="BC28046" s="141"/>
    </row>
    <row r="28047">
      <c r="BB28047" s="122"/>
      <c r="BC28047" s="141"/>
    </row>
    <row r="28048">
      <c r="BB28048" s="122"/>
      <c r="BC28048" s="141"/>
    </row>
    <row r="28049">
      <c r="BB28049" s="122"/>
      <c r="BC28049" s="141"/>
    </row>
    <row r="28050">
      <c r="BB28050" s="122"/>
      <c r="BC28050" s="141"/>
    </row>
    <row r="28051">
      <c r="BB28051" s="122"/>
      <c r="BC28051" s="141"/>
    </row>
    <row r="28052">
      <c r="BB28052" s="122"/>
      <c r="BC28052" s="141"/>
    </row>
    <row r="28053">
      <c r="BB28053" s="122"/>
      <c r="BC28053" s="141"/>
    </row>
    <row r="28054">
      <c r="BB28054" s="122"/>
      <c r="BC28054" s="141"/>
    </row>
    <row r="28055">
      <c r="BB28055" s="122"/>
      <c r="BC28055" s="141"/>
    </row>
    <row r="28056">
      <c r="BB28056" s="122"/>
      <c r="BC28056" s="141"/>
    </row>
    <row r="28057">
      <c r="BB28057" s="122"/>
      <c r="BC28057" s="141"/>
    </row>
    <row r="28058">
      <c r="BB28058" s="122"/>
      <c r="BC28058" s="141"/>
    </row>
    <row r="28059">
      <c r="BB28059" s="122"/>
      <c r="BC28059" s="141"/>
    </row>
    <row r="28060">
      <c r="BB28060" s="122"/>
      <c r="BC28060" s="141"/>
    </row>
    <row r="28061">
      <c r="BB28061" s="122"/>
      <c r="BC28061" s="141"/>
    </row>
    <row r="28062">
      <c r="BB28062" s="122"/>
      <c r="BC28062" s="141"/>
    </row>
    <row r="28063">
      <c r="BB28063" s="122"/>
      <c r="BC28063" s="141"/>
    </row>
    <row r="28064">
      <c r="BB28064" s="122"/>
      <c r="BC28064" s="141"/>
    </row>
    <row r="28065">
      <c r="BB28065" s="122"/>
      <c r="BC28065" s="141"/>
    </row>
    <row r="28066">
      <c r="BB28066" s="122"/>
      <c r="BC28066" s="141"/>
    </row>
    <row r="28067">
      <c r="BB28067" s="122"/>
      <c r="BC28067" s="141"/>
    </row>
    <row r="28068">
      <c r="BB28068" s="122"/>
      <c r="BC28068" s="141"/>
    </row>
    <row r="28069">
      <c r="BB28069" s="122"/>
      <c r="BC28069" s="141"/>
    </row>
    <row r="28070">
      <c r="BB28070" s="122"/>
      <c r="BC28070" s="141"/>
    </row>
    <row r="28071">
      <c r="BB28071" s="122"/>
      <c r="BC28071" s="141"/>
    </row>
    <row r="28072">
      <c r="BB28072" s="122"/>
      <c r="BC28072" s="141"/>
    </row>
    <row r="28073">
      <c r="BB28073" s="122"/>
      <c r="BC28073" s="141"/>
    </row>
    <row r="28074">
      <c r="BB28074" s="122"/>
      <c r="BC28074" s="141"/>
    </row>
    <row r="28075">
      <c r="BB28075" s="122"/>
      <c r="BC28075" s="141"/>
    </row>
    <row r="28076">
      <c r="BB28076" s="122"/>
      <c r="BC28076" s="141"/>
    </row>
    <row r="28077">
      <c r="BB28077" s="122"/>
      <c r="BC28077" s="141"/>
    </row>
    <row r="28078">
      <c r="BB28078" s="122"/>
      <c r="BC28078" s="141"/>
    </row>
    <row r="28079">
      <c r="BB28079" s="122"/>
      <c r="BC28079" s="141"/>
    </row>
    <row r="28080">
      <c r="BB28080" s="122"/>
      <c r="BC28080" s="141"/>
    </row>
    <row r="28081">
      <c r="BB28081" s="122"/>
      <c r="BC28081" s="141"/>
    </row>
    <row r="28082">
      <c r="BB28082" s="122"/>
      <c r="BC28082" s="141"/>
    </row>
    <row r="28083">
      <c r="BB28083" s="122"/>
      <c r="BC28083" s="141"/>
    </row>
    <row r="28084">
      <c r="BB28084" s="122"/>
      <c r="BC28084" s="141"/>
    </row>
    <row r="28085">
      <c r="BB28085" s="122"/>
      <c r="BC28085" s="141"/>
    </row>
    <row r="28086">
      <c r="BB28086" s="122"/>
      <c r="BC28086" s="141"/>
    </row>
    <row r="28087">
      <c r="BB28087" s="122"/>
      <c r="BC28087" s="141"/>
    </row>
    <row r="28088">
      <c r="BB28088" s="122"/>
      <c r="BC28088" s="141"/>
    </row>
    <row r="28089">
      <c r="BB28089" s="122"/>
      <c r="BC28089" s="141"/>
    </row>
    <row r="28090">
      <c r="BB28090" s="122"/>
      <c r="BC28090" s="141"/>
    </row>
    <row r="28091">
      <c r="BB28091" s="122"/>
      <c r="BC28091" s="141"/>
    </row>
    <row r="28092">
      <c r="BB28092" s="122"/>
      <c r="BC28092" s="141"/>
    </row>
    <row r="28093">
      <c r="BB28093" s="122"/>
      <c r="BC28093" s="141"/>
    </row>
    <row r="28094">
      <c r="BB28094" s="122"/>
      <c r="BC28094" s="141"/>
    </row>
    <row r="28095">
      <c r="BB28095" s="122"/>
      <c r="BC28095" s="141"/>
    </row>
    <row r="28096">
      <c r="BB28096" s="122"/>
      <c r="BC28096" s="141"/>
    </row>
    <row r="28097">
      <c r="BB28097" s="122"/>
      <c r="BC28097" s="141"/>
    </row>
    <row r="28098">
      <c r="BB28098" s="122"/>
      <c r="BC28098" s="141"/>
    </row>
    <row r="28099">
      <c r="BB28099" s="122"/>
      <c r="BC28099" s="141"/>
    </row>
    <row r="28100">
      <c r="BB28100" s="122"/>
      <c r="BC28100" s="141"/>
    </row>
    <row r="28101">
      <c r="BB28101" s="122"/>
      <c r="BC28101" s="141"/>
    </row>
    <row r="28102">
      <c r="BB28102" s="122"/>
      <c r="BC28102" s="141"/>
    </row>
    <row r="28103">
      <c r="BB28103" s="122"/>
      <c r="BC28103" s="141"/>
    </row>
    <row r="28104">
      <c r="BB28104" s="122"/>
      <c r="BC28104" s="141"/>
    </row>
    <row r="28105">
      <c r="BB28105" s="122"/>
      <c r="BC28105" s="141"/>
    </row>
    <row r="28106">
      <c r="BB28106" s="122"/>
      <c r="BC28106" s="141"/>
    </row>
    <row r="28107">
      <c r="BB28107" s="122"/>
      <c r="BC28107" s="141"/>
    </row>
    <row r="28108">
      <c r="BB28108" s="122"/>
      <c r="BC28108" s="141"/>
    </row>
    <row r="28109">
      <c r="BB28109" s="122"/>
      <c r="BC28109" s="141"/>
    </row>
    <row r="28110">
      <c r="BB28110" s="122"/>
      <c r="BC28110" s="141"/>
    </row>
    <row r="28111">
      <c r="BB28111" s="122"/>
      <c r="BC28111" s="141"/>
    </row>
    <row r="28112">
      <c r="BB28112" s="122"/>
      <c r="BC28112" s="141"/>
    </row>
    <row r="28113">
      <c r="BB28113" s="122"/>
      <c r="BC28113" s="141"/>
    </row>
    <row r="28114">
      <c r="BB28114" s="122"/>
      <c r="BC28114" s="141"/>
    </row>
    <row r="28115">
      <c r="BB28115" s="122"/>
      <c r="BC28115" s="141"/>
    </row>
    <row r="28116">
      <c r="BB28116" s="122"/>
      <c r="BC28116" s="141"/>
    </row>
    <row r="28117">
      <c r="BB28117" s="122"/>
      <c r="BC28117" s="141"/>
    </row>
    <row r="28118">
      <c r="BB28118" s="122"/>
      <c r="BC28118" s="141"/>
    </row>
    <row r="28119">
      <c r="BB28119" s="122"/>
      <c r="BC28119" s="141"/>
    </row>
    <row r="28120">
      <c r="BB28120" s="122"/>
      <c r="BC28120" s="141"/>
    </row>
    <row r="28121">
      <c r="BB28121" s="122"/>
      <c r="BC28121" s="141"/>
    </row>
    <row r="28122">
      <c r="BB28122" s="122"/>
      <c r="BC28122" s="141"/>
    </row>
    <row r="28123">
      <c r="BB28123" s="122"/>
      <c r="BC28123" s="141"/>
    </row>
    <row r="28124">
      <c r="BB28124" s="122"/>
      <c r="BC28124" s="141"/>
    </row>
    <row r="28125">
      <c r="BB28125" s="122"/>
      <c r="BC28125" s="141"/>
    </row>
    <row r="28126">
      <c r="BB28126" s="122"/>
      <c r="BC28126" s="141"/>
    </row>
    <row r="28127">
      <c r="BB28127" s="122"/>
      <c r="BC28127" s="141"/>
    </row>
    <row r="28128">
      <c r="BB28128" s="122"/>
      <c r="BC28128" s="141"/>
    </row>
    <row r="28129">
      <c r="BB28129" s="122"/>
      <c r="BC28129" s="141"/>
    </row>
    <row r="28130">
      <c r="BB28130" s="122"/>
      <c r="BC28130" s="141"/>
    </row>
    <row r="28131">
      <c r="BB28131" s="122"/>
      <c r="BC28131" s="141"/>
    </row>
    <row r="28132">
      <c r="BB28132" s="122"/>
      <c r="BC28132" s="141"/>
    </row>
    <row r="28133">
      <c r="BB28133" s="122"/>
      <c r="BC28133" s="141"/>
    </row>
    <row r="28134">
      <c r="BB28134" s="122"/>
      <c r="BC28134" s="141"/>
    </row>
    <row r="28135">
      <c r="BB28135" s="122"/>
      <c r="BC28135" s="141"/>
    </row>
    <row r="28136">
      <c r="BB28136" s="122"/>
      <c r="BC28136" s="141"/>
    </row>
    <row r="28137">
      <c r="BB28137" s="122"/>
      <c r="BC28137" s="141"/>
    </row>
    <row r="28138">
      <c r="BB28138" s="122"/>
      <c r="BC28138" s="141"/>
    </row>
    <row r="28139">
      <c r="BB28139" s="122"/>
      <c r="BC28139" s="141"/>
    </row>
    <row r="28140">
      <c r="BB28140" s="122"/>
      <c r="BC28140" s="141"/>
    </row>
    <row r="28141">
      <c r="BB28141" s="122"/>
      <c r="BC28141" s="141"/>
    </row>
    <row r="28142">
      <c r="BB28142" s="122"/>
      <c r="BC28142" s="141"/>
    </row>
    <row r="28143">
      <c r="BB28143" s="122"/>
      <c r="BC28143" s="141"/>
    </row>
    <row r="28144">
      <c r="BB28144" s="122"/>
      <c r="BC28144" s="141"/>
    </row>
    <row r="28145">
      <c r="BB28145" s="122"/>
      <c r="BC28145" s="141"/>
    </row>
    <row r="28146">
      <c r="BB28146" s="122"/>
      <c r="BC28146" s="141"/>
    </row>
    <row r="28147">
      <c r="BB28147" s="122"/>
      <c r="BC28147" s="141"/>
    </row>
    <row r="28148">
      <c r="BB28148" s="122"/>
      <c r="BC28148" s="141"/>
    </row>
    <row r="28149">
      <c r="BB28149" s="122"/>
      <c r="BC28149" s="141"/>
    </row>
    <row r="28150">
      <c r="BB28150" s="122"/>
      <c r="BC28150" s="141"/>
    </row>
    <row r="28151">
      <c r="BB28151" s="122"/>
      <c r="BC28151" s="141"/>
    </row>
    <row r="28152">
      <c r="BB28152" s="122"/>
      <c r="BC28152" s="141"/>
    </row>
    <row r="28153">
      <c r="BB28153" s="122"/>
      <c r="BC28153" s="141"/>
    </row>
    <row r="28154">
      <c r="BB28154" s="122"/>
      <c r="BC28154" s="141"/>
    </row>
    <row r="28155">
      <c r="BB28155" s="122"/>
      <c r="BC28155" s="141"/>
    </row>
    <row r="28156">
      <c r="BB28156" s="122"/>
      <c r="BC28156" s="141"/>
    </row>
    <row r="28157">
      <c r="BB28157" s="122"/>
      <c r="BC28157" s="141"/>
    </row>
    <row r="28158">
      <c r="BB28158" s="122"/>
      <c r="BC28158" s="141"/>
    </row>
    <row r="28159">
      <c r="BB28159" s="122"/>
      <c r="BC28159" s="141"/>
    </row>
    <row r="28160">
      <c r="BB28160" s="122"/>
      <c r="BC28160" s="141"/>
    </row>
    <row r="28161">
      <c r="BB28161" s="122"/>
      <c r="BC28161" s="141"/>
    </row>
    <row r="28162">
      <c r="BB28162" s="122"/>
      <c r="BC28162" s="141"/>
    </row>
    <row r="28163">
      <c r="BB28163" s="122"/>
      <c r="BC28163" s="141"/>
    </row>
    <row r="28164">
      <c r="BB28164" s="122"/>
      <c r="BC28164" s="141"/>
    </row>
    <row r="28165">
      <c r="BB28165" s="122"/>
      <c r="BC28165" s="141"/>
    </row>
    <row r="28166">
      <c r="BB28166" s="122"/>
      <c r="BC28166" s="141"/>
    </row>
    <row r="28167">
      <c r="BB28167" s="122"/>
      <c r="BC28167" s="141"/>
    </row>
    <row r="28168">
      <c r="BB28168" s="122"/>
      <c r="BC28168" s="141"/>
    </row>
    <row r="28169">
      <c r="BB28169" s="122"/>
      <c r="BC28169" s="141"/>
    </row>
    <row r="28170">
      <c r="BB28170" s="122"/>
      <c r="BC28170" s="141"/>
    </row>
    <row r="28171">
      <c r="BB28171" s="122"/>
      <c r="BC28171" s="141"/>
    </row>
    <row r="28172">
      <c r="BB28172" s="122"/>
      <c r="BC28172" s="141"/>
    </row>
    <row r="28173">
      <c r="BB28173" s="122"/>
      <c r="BC28173" s="141"/>
    </row>
    <row r="28174">
      <c r="BB28174" s="122"/>
      <c r="BC28174" s="141"/>
    </row>
    <row r="28175">
      <c r="BB28175" s="122"/>
      <c r="BC28175" s="141"/>
    </row>
    <row r="28176">
      <c r="BB28176" s="122"/>
      <c r="BC28176" s="141"/>
    </row>
    <row r="28177">
      <c r="BB28177" s="122"/>
      <c r="BC28177" s="141"/>
    </row>
    <row r="28178">
      <c r="BB28178" s="122"/>
      <c r="BC28178" s="141"/>
    </row>
    <row r="28179">
      <c r="BB28179" s="122"/>
      <c r="BC28179" s="141"/>
    </row>
    <row r="28180">
      <c r="BB28180" s="122"/>
      <c r="BC28180" s="141"/>
    </row>
    <row r="28181">
      <c r="BB28181" s="122"/>
      <c r="BC28181" s="141"/>
    </row>
    <row r="28182">
      <c r="BB28182" s="122"/>
      <c r="BC28182" s="141"/>
    </row>
    <row r="28183">
      <c r="BB28183" s="122"/>
      <c r="BC28183" s="141"/>
    </row>
    <row r="28184">
      <c r="BB28184" s="122"/>
      <c r="BC28184" s="141"/>
    </row>
    <row r="28185">
      <c r="BB28185" s="122"/>
      <c r="BC28185" s="141"/>
    </row>
    <row r="28186">
      <c r="BB28186" s="122"/>
      <c r="BC28186" s="141"/>
    </row>
    <row r="28187">
      <c r="BB28187" s="122"/>
      <c r="BC28187" s="141"/>
    </row>
    <row r="28188">
      <c r="BB28188" s="122"/>
      <c r="BC28188" s="141"/>
    </row>
    <row r="28189">
      <c r="BB28189" s="122"/>
      <c r="BC28189" s="141"/>
    </row>
    <row r="28190">
      <c r="BB28190" s="122"/>
      <c r="BC28190" s="141"/>
    </row>
    <row r="28191">
      <c r="BB28191" s="122"/>
      <c r="BC28191" s="141"/>
    </row>
    <row r="28192">
      <c r="BB28192" s="122"/>
      <c r="BC28192" s="141"/>
    </row>
    <row r="28193">
      <c r="BB28193" s="122"/>
      <c r="BC28193" s="141"/>
    </row>
    <row r="28194">
      <c r="BB28194" s="122"/>
      <c r="BC28194" s="141"/>
    </row>
    <row r="28195">
      <c r="BB28195" s="122"/>
      <c r="BC28195" s="141"/>
    </row>
    <row r="28196">
      <c r="BB28196" s="122"/>
      <c r="BC28196" s="141"/>
    </row>
    <row r="28197">
      <c r="BB28197" s="122"/>
      <c r="BC28197" s="141"/>
    </row>
    <row r="28198">
      <c r="BB28198" s="122"/>
      <c r="BC28198" s="141"/>
    </row>
    <row r="28199">
      <c r="BB28199" s="122"/>
      <c r="BC28199" s="141"/>
    </row>
    <row r="28200">
      <c r="BB28200" s="122"/>
      <c r="BC28200" s="141"/>
    </row>
    <row r="28201">
      <c r="BB28201" s="122"/>
      <c r="BC28201" s="141"/>
    </row>
    <row r="28202">
      <c r="BB28202" s="122"/>
      <c r="BC28202" s="141"/>
    </row>
    <row r="28203">
      <c r="BB28203" s="122"/>
      <c r="BC28203" s="141"/>
    </row>
    <row r="28204">
      <c r="BB28204" s="122"/>
      <c r="BC28204" s="141"/>
    </row>
    <row r="28205">
      <c r="BB28205" s="122"/>
      <c r="BC28205" s="141"/>
    </row>
    <row r="28206">
      <c r="BB28206" s="122"/>
      <c r="BC28206" s="141"/>
    </row>
    <row r="28207">
      <c r="BB28207" s="122"/>
      <c r="BC28207" s="141"/>
    </row>
    <row r="28208">
      <c r="BB28208" s="122"/>
      <c r="BC28208" s="141"/>
    </row>
    <row r="28209">
      <c r="BB28209" s="122"/>
      <c r="BC28209" s="141"/>
    </row>
    <row r="28210">
      <c r="BB28210" s="122"/>
      <c r="BC28210" s="141"/>
    </row>
    <row r="28211">
      <c r="BB28211" s="122"/>
      <c r="BC28211" s="141"/>
    </row>
    <row r="28212">
      <c r="BB28212" s="122"/>
      <c r="BC28212" s="141"/>
    </row>
    <row r="28213">
      <c r="BB28213" s="122"/>
      <c r="BC28213" s="141"/>
    </row>
    <row r="28214">
      <c r="BB28214" s="122"/>
      <c r="BC28214" s="141"/>
    </row>
    <row r="28215">
      <c r="BB28215" s="122"/>
      <c r="BC28215" s="141"/>
    </row>
    <row r="28216">
      <c r="BB28216" s="122"/>
      <c r="BC28216" s="141"/>
    </row>
    <row r="28217">
      <c r="BB28217" s="122"/>
      <c r="BC28217" s="141"/>
    </row>
    <row r="28218">
      <c r="BB28218" s="122"/>
      <c r="BC28218" s="141"/>
    </row>
    <row r="28219">
      <c r="BB28219" s="122"/>
      <c r="BC28219" s="141"/>
    </row>
    <row r="28220">
      <c r="BB28220" s="122"/>
      <c r="BC28220" s="141"/>
    </row>
    <row r="28221">
      <c r="BB28221" s="122"/>
      <c r="BC28221" s="141"/>
    </row>
    <row r="28222">
      <c r="BB28222" s="122"/>
      <c r="BC28222" s="141"/>
    </row>
    <row r="28223">
      <c r="BB28223" s="122"/>
      <c r="BC28223" s="141"/>
    </row>
    <row r="28224">
      <c r="BB28224" s="122"/>
      <c r="BC28224" s="141"/>
    </row>
    <row r="28225">
      <c r="BB28225" s="122"/>
      <c r="BC28225" s="141"/>
    </row>
    <row r="28226">
      <c r="BB28226" s="122"/>
      <c r="BC28226" s="141"/>
    </row>
    <row r="28227">
      <c r="BB28227" s="122"/>
      <c r="BC28227" s="141"/>
    </row>
    <row r="28228">
      <c r="BB28228" s="122"/>
      <c r="BC28228" s="141"/>
    </row>
    <row r="28229">
      <c r="BB28229" s="122"/>
      <c r="BC28229" s="141"/>
    </row>
    <row r="28230">
      <c r="BB28230" s="122"/>
      <c r="BC28230" s="141"/>
    </row>
    <row r="28231">
      <c r="BB28231" s="122"/>
      <c r="BC28231" s="141"/>
    </row>
    <row r="28232">
      <c r="BB28232" s="122"/>
      <c r="BC28232" s="141"/>
    </row>
    <row r="28233">
      <c r="BB28233" s="122"/>
      <c r="BC28233" s="141"/>
    </row>
    <row r="28234">
      <c r="BB28234" s="122"/>
      <c r="BC28234" s="141"/>
    </row>
    <row r="28235">
      <c r="BB28235" s="122"/>
      <c r="BC28235" s="141"/>
    </row>
    <row r="28236">
      <c r="BB28236" s="122"/>
      <c r="BC28236" s="141"/>
    </row>
    <row r="28237">
      <c r="BB28237" s="122"/>
      <c r="BC28237" s="141"/>
    </row>
    <row r="28238">
      <c r="BB28238" s="122"/>
      <c r="BC28238" s="141"/>
    </row>
    <row r="28239">
      <c r="BB28239" s="122"/>
      <c r="BC28239" s="141"/>
    </row>
    <row r="28240">
      <c r="BB28240" s="122"/>
      <c r="BC28240" s="141"/>
    </row>
    <row r="28241">
      <c r="BB28241" s="122"/>
      <c r="BC28241" s="141"/>
    </row>
    <row r="28242">
      <c r="BB28242" s="122"/>
      <c r="BC28242" s="141"/>
    </row>
    <row r="28243">
      <c r="BB28243" s="122"/>
      <c r="BC28243" s="141"/>
    </row>
    <row r="28244">
      <c r="BB28244" s="122"/>
      <c r="BC28244" s="141"/>
    </row>
    <row r="28245">
      <c r="BB28245" s="122"/>
      <c r="BC28245" s="141"/>
    </row>
    <row r="28246">
      <c r="BB28246" s="122"/>
      <c r="BC28246" s="141"/>
    </row>
    <row r="28247">
      <c r="BB28247" s="122"/>
      <c r="BC28247" s="141"/>
    </row>
    <row r="28248">
      <c r="BB28248" s="122"/>
      <c r="BC28248" s="141"/>
    </row>
    <row r="28249">
      <c r="BB28249" s="122"/>
      <c r="BC28249" s="141"/>
    </row>
    <row r="28250">
      <c r="BB28250" s="122"/>
      <c r="BC28250" s="141"/>
    </row>
    <row r="28251">
      <c r="BB28251" s="122"/>
      <c r="BC28251" s="141"/>
    </row>
    <row r="28252">
      <c r="BB28252" s="122"/>
      <c r="BC28252" s="141"/>
    </row>
    <row r="28253">
      <c r="BB28253" s="122"/>
      <c r="BC28253" s="141"/>
    </row>
    <row r="28254">
      <c r="BB28254" s="122"/>
      <c r="BC28254" s="141"/>
    </row>
    <row r="28255">
      <c r="BB28255" s="122"/>
      <c r="BC28255" s="141"/>
    </row>
    <row r="28256">
      <c r="BB28256" s="122"/>
      <c r="BC28256" s="141"/>
    </row>
    <row r="28257">
      <c r="BB28257" s="122"/>
      <c r="BC28257" s="141"/>
    </row>
    <row r="28258">
      <c r="BB28258" s="122"/>
      <c r="BC28258" s="141"/>
    </row>
    <row r="28259">
      <c r="BB28259" s="122"/>
      <c r="BC28259" s="141"/>
    </row>
    <row r="28260">
      <c r="BB28260" s="122"/>
      <c r="BC28260" s="141"/>
    </row>
    <row r="28261">
      <c r="BB28261" s="122"/>
      <c r="BC28261" s="141"/>
    </row>
    <row r="28262">
      <c r="BB28262" s="122"/>
      <c r="BC28262" s="141"/>
    </row>
    <row r="28263">
      <c r="BB28263" s="122"/>
      <c r="BC28263" s="141"/>
    </row>
    <row r="28264">
      <c r="BB28264" s="122"/>
      <c r="BC28264" s="141"/>
    </row>
    <row r="28265">
      <c r="BB28265" s="122"/>
      <c r="BC28265" s="141"/>
    </row>
    <row r="28266">
      <c r="BB28266" s="122"/>
      <c r="BC28266" s="141"/>
    </row>
    <row r="28267">
      <c r="BB28267" s="122"/>
      <c r="BC28267" s="141"/>
    </row>
    <row r="28268">
      <c r="BB28268" s="122"/>
      <c r="BC28268" s="141"/>
    </row>
    <row r="28269">
      <c r="BB28269" s="122"/>
      <c r="BC28269" s="141"/>
    </row>
    <row r="28270">
      <c r="BB28270" s="122"/>
      <c r="BC28270" s="141"/>
    </row>
    <row r="28271">
      <c r="BB28271" s="122"/>
      <c r="BC28271" s="141"/>
    </row>
    <row r="28272">
      <c r="BB28272" s="122"/>
      <c r="BC28272" s="141"/>
    </row>
    <row r="28273">
      <c r="BB28273" s="122"/>
      <c r="BC28273" s="141"/>
    </row>
    <row r="28274">
      <c r="BB28274" s="122"/>
      <c r="BC28274" s="141"/>
    </row>
    <row r="28275">
      <c r="BB28275" s="122"/>
      <c r="BC28275" s="141"/>
    </row>
    <row r="28276">
      <c r="BB28276" s="122"/>
      <c r="BC28276" s="141"/>
    </row>
    <row r="28277">
      <c r="BB28277" s="122"/>
      <c r="BC28277" s="141"/>
    </row>
    <row r="28278">
      <c r="BB28278" s="122"/>
      <c r="BC28278" s="141"/>
    </row>
    <row r="28279">
      <c r="BB28279" s="122"/>
      <c r="BC28279" s="141"/>
    </row>
    <row r="28280">
      <c r="BB28280" s="122"/>
      <c r="BC28280" s="141"/>
    </row>
    <row r="28281">
      <c r="BB28281" s="122"/>
      <c r="BC28281" s="141"/>
    </row>
    <row r="28282">
      <c r="BB28282" s="122"/>
      <c r="BC28282" s="141"/>
    </row>
    <row r="28283">
      <c r="BB28283" s="122"/>
      <c r="BC28283" s="141"/>
    </row>
    <row r="28284">
      <c r="BB28284" s="122"/>
      <c r="BC28284" s="141"/>
    </row>
    <row r="28285">
      <c r="BB28285" s="122"/>
      <c r="BC28285" s="141"/>
    </row>
    <row r="28286">
      <c r="BB28286" s="122"/>
      <c r="BC28286" s="141"/>
    </row>
    <row r="28287">
      <c r="BB28287" s="122"/>
      <c r="BC28287" s="141"/>
    </row>
    <row r="28288">
      <c r="BB28288" s="122"/>
      <c r="BC28288" s="141"/>
    </row>
    <row r="28289">
      <c r="BB28289" s="122"/>
      <c r="BC28289" s="141"/>
    </row>
    <row r="28290">
      <c r="BB28290" s="122"/>
      <c r="BC28290" s="141"/>
    </row>
    <row r="28291">
      <c r="BB28291" s="122"/>
      <c r="BC28291" s="141"/>
    </row>
    <row r="28292">
      <c r="BB28292" s="122"/>
      <c r="BC28292" s="141"/>
    </row>
    <row r="28293">
      <c r="BB28293" s="122"/>
      <c r="BC28293" s="141"/>
    </row>
    <row r="28294">
      <c r="BB28294" s="122"/>
      <c r="BC28294" s="141"/>
    </row>
    <row r="28295">
      <c r="BB28295" s="122"/>
      <c r="BC28295" s="141"/>
    </row>
    <row r="28296">
      <c r="BB28296" s="122"/>
      <c r="BC28296" s="141"/>
    </row>
    <row r="28297">
      <c r="BB28297" s="122"/>
      <c r="BC28297" s="141"/>
    </row>
    <row r="28298">
      <c r="BB28298" s="122"/>
      <c r="BC28298" s="141"/>
    </row>
    <row r="28299">
      <c r="BB28299" s="122"/>
      <c r="BC28299" s="141"/>
    </row>
    <row r="28300">
      <c r="BB28300" s="122"/>
      <c r="BC28300" s="141"/>
    </row>
    <row r="28301">
      <c r="BB28301" s="122"/>
      <c r="BC28301" s="141"/>
    </row>
    <row r="28302">
      <c r="BB28302" s="122"/>
      <c r="BC28302" s="141"/>
    </row>
    <row r="28303">
      <c r="BB28303" s="122"/>
      <c r="BC28303" s="141"/>
    </row>
    <row r="28304">
      <c r="BB28304" s="122"/>
      <c r="BC28304" s="141"/>
    </row>
    <row r="28305">
      <c r="BB28305" s="122"/>
      <c r="BC28305" s="141"/>
    </row>
    <row r="28306">
      <c r="BB28306" s="122"/>
      <c r="BC28306" s="141"/>
    </row>
    <row r="28307">
      <c r="BB28307" s="122"/>
      <c r="BC28307" s="141"/>
    </row>
    <row r="28308">
      <c r="BB28308" s="122"/>
      <c r="BC28308" s="141"/>
    </row>
    <row r="28309">
      <c r="BB28309" s="122"/>
      <c r="BC28309" s="141"/>
    </row>
    <row r="28310">
      <c r="BB28310" s="122"/>
      <c r="BC28310" s="141"/>
    </row>
    <row r="28311">
      <c r="BB28311" s="122"/>
      <c r="BC28311" s="141"/>
    </row>
    <row r="28312">
      <c r="BB28312" s="122"/>
      <c r="BC28312" s="141"/>
    </row>
    <row r="28313">
      <c r="BB28313" s="122"/>
      <c r="BC28313" s="141"/>
    </row>
    <row r="28314">
      <c r="BB28314" s="122"/>
      <c r="BC28314" s="141"/>
    </row>
    <row r="28315">
      <c r="BB28315" s="122"/>
      <c r="BC28315" s="141"/>
    </row>
    <row r="28316">
      <c r="BB28316" s="122"/>
      <c r="BC28316" s="141"/>
    </row>
    <row r="28317">
      <c r="BB28317" s="122"/>
      <c r="BC28317" s="141"/>
    </row>
    <row r="28318">
      <c r="BB28318" s="122"/>
      <c r="BC28318" s="141"/>
    </row>
    <row r="28319">
      <c r="BB28319" s="122"/>
      <c r="BC28319" s="141"/>
    </row>
    <row r="28320">
      <c r="BB28320" s="122"/>
      <c r="BC28320" s="141"/>
    </row>
    <row r="28321">
      <c r="BB28321" s="122"/>
      <c r="BC28321" s="141"/>
    </row>
    <row r="28322">
      <c r="BB28322" s="122"/>
      <c r="BC28322" s="141"/>
    </row>
    <row r="28323">
      <c r="BB28323" s="122"/>
      <c r="BC28323" s="141"/>
    </row>
    <row r="28324">
      <c r="BB28324" s="122"/>
      <c r="BC28324" s="141"/>
    </row>
    <row r="28325">
      <c r="BB28325" s="122"/>
      <c r="BC28325" s="141"/>
    </row>
    <row r="28326">
      <c r="BB28326" s="122"/>
      <c r="BC28326" s="141"/>
    </row>
    <row r="28327">
      <c r="BB28327" s="122"/>
      <c r="BC28327" s="141"/>
    </row>
    <row r="28328">
      <c r="BB28328" s="122"/>
      <c r="BC28328" s="141"/>
    </row>
    <row r="28329">
      <c r="BB28329" s="122"/>
      <c r="BC28329" s="141"/>
    </row>
    <row r="28330">
      <c r="BB28330" s="122"/>
      <c r="BC28330" s="141"/>
    </row>
    <row r="28331">
      <c r="BB28331" s="122"/>
      <c r="BC28331" s="141"/>
    </row>
    <row r="28332">
      <c r="BB28332" s="122"/>
      <c r="BC28332" s="141"/>
    </row>
    <row r="28333">
      <c r="BB28333" s="122"/>
      <c r="BC28333" s="141"/>
    </row>
    <row r="28334">
      <c r="BB28334" s="122"/>
      <c r="BC28334" s="141"/>
    </row>
    <row r="28335">
      <c r="BB28335" s="122"/>
      <c r="BC28335" s="141"/>
    </row>
    <row r="28336">
      <c r="BB28336" s="122"/>
      <c r="BC28336" s="141"/>
    </row>
    <row r="28337">
      <c r="BB28337" s="122"/>
      <c r="BC28337" s="141"/>
    </row>
    <row r="28338">
      <c r="BB28338" s="122"/>
      <c r="BC28338" s="141"/>
    </row>
    <row r="28339">
      <c r="BB28339" s="122"/>
      <c r="BC28339" s="141"/>
    </row>
    <row r="28340">
      <c r="BB28340" s="122"/>
      <c r="BC28340" s="141"/>
    </row>
    <row r="28341">
      <c r="BB28341" s="122"/>
      <c r="BC28341" s="141"/>
    </row>
    <row r="28342">
      <c r="BB28342" s="122"/>
      <c r="BC28342" s="141"/>
    </row>
    <row r="28343">
      <c r="BB28343" s="122"/>
      <c r="BC28343" s="141"/>
    </row>
    <row r="28344">
      <c r="BB28344" s="122"/>
      <c r="BC28344" s="141"/>
    </row>
    <row r="28345">
      <c r="BB28345" s="122"/>
      <c r="BC28345" s="141"/>
    </row>
    <row r="28346">
      <c r="BB28346" s="122"/>
      <c r="BC28346" s="141"/>
    </row>
    <row r="28347">
      <c r="BB28347" s="122"/>
      <c r="BC28347" s="141"/>
    </row>
    <row r="28348">
      <c r="BB28348" s="122"/>
      <c r="BC28348" s="141"/>
    </row>
    <row r="28349">
      <c r="BB28349" s="122"/>
      <c r="BC28349" s="141"/>
    </row>
    <row r="28350">
      <c r="BB28350" s="122"/>
      <c r="BC28350" s="141"/>
    </row>
    <row r="28351">
      <c r="BB28351" s="122"/>
      <c r="BC28351" s="141"/>
    </row>
    <row r="28352">
      <c r="BB28352" s="122"/>
      <c r="BC28352" s="141"/>
    </row>
    <row r="28353">
      <c r="BB28353" s="122"/>
      <c r="BC28353" s="141"/>
    </row>
    <row r="28354">
      <c r="BB28354" s="122"/>
      <c r="BC28354" s="141"/>
    </row>
    <row r="28355">
      <c r="BB28355" s="122"/>
      <c r="BC28355" s="141"/>
    </row>
    <row r="28356">
      <c r="BB28356" s="122"/>
      <c r="BC28356" s="141"/>
    </row>
    <row r="28357">
      <c r="BB28357" s="122"/>
      <c r="BC28357" s="141"/>
    </row>
    <row r="28358">
      <c r="BB28358" s="122"/>
      <c r="BC28358" s="141"/>
    </row>
    <row r="28359">
      <c r="BB28359" s="122"/>
      <c r="BC28359" s="141"/>
    </row>
    <row r="28360">
      <c r="BB28360" s="122"/>
      <c r="BC28360" s="141"/>
    </row>
    <row r="28361">
      <c r="BB28361" s="122"/>
      <c r="BC28361" s="141"/>
    </row>
    <row r="28362">
      <c r="BB28362" s="122"/>
      <c r="BC28362" s="141"/>
    </row>
    <row r="28363">
      <c r="BB28363" s="122"/>
      <c r="BC28363" s="141"/>
    </row>
    <row r="28364">
      <c r="BB28364" s="122"/>
      <c r="BC28364" s="141"/>
    </row>
    <row r="28365">
      <c r="BB28365" s="122"/>
      <c r="BC28365" s="141"/>
    </row>
    <row r="28366">
      <c r="BB28366" s="122"/>
      <c r="BC28366" s="141"/>
    </row>
    <row r="28367">
      <c r="BB28367" s="122"/>
      <c r="BC28367" s="141"/>
    </row>
    <row r="28368">
      <c r="BB28368" s="122"/>
      <c r="BC28368" s="141"/>
    </row>
    <row r="28369">
      <c r="BB28369" s="122"/>
      <c r="BC28369" s="141"/>
    </row>
    <row r="28370">
      <c r="BB28370" s="122"/>
      <c r="BC28370" s="141"/>
    </row>
    <row r="28371">
      <c r="BB28371" s="122"/>
      <c r="BC28371" s="141"/>
    </row>
    <row r="28372">
      <c r="BB28372" s="122"/>
      <c r="BC28372" s="141"/>
    </row>
    <row r="28373">
      <c r="BB28373" s="122"/>
      <c r="BC28373" s="141"/>
    </row>
    <row r="28374">
      <c r="BB28374" s="122"/>
      <c r="BC28374" s="141"/>
    </row>
    <row r="28375">
      <c r="BB28375" s="122"/>
      <c r="BC28375" s="141"/>
    </row>
    <row r="28376">
      <c r="BB28376" s="122"/>
      <c r="BC28376" s="141"/>
    </row>
    <row r="28377">
      <c r="BB28377" s="122"/>
      <c r="BC28377" s="141"/>
    </row>
    <row r="28378">
      <c r="BB28378" s="122"/>
      <c r="BC28378" s="141"/>
    </row>
    <row r="28379">
      <c r="BB28379" s="122"/>
      <c r="BC28379" s="141"/>
    </row>
    <row r="28380">
      <c r="BB28380" s="122"/>
      <c r="BC28380" s="141"/>
    </row>
    <row r="28381">
      <c r="BB28381" s="122"/>
      <c r="BC28381" s="141"/>
    </row>
    <row r="28382">
      <c r="BB28382" s="122"/>
      <c r="BC28382" s="141"/>
    </row>
    <row r="28383">
      <c r="BB28383" s="122"/>
      <c r="BC28383" s="141"/>
    </row>
    <row r="28384">
      <c r="BB28384" s="122"/>
      <c r="BC28384" s="141"/>
    </row>
    <row r="28385">
      <c r="BB28385" s="122"/>
      <c r="BC28385" s="141"/>
    </row>
    <row r="28386">
      <c r="BB28386" s="122"/>
      <c r="BC28386" s="141"/>
    </row>
    <row r="28387">
      <c r="BB28387" s="122"/>
      <c r="BC28387" s="141"/>
    </row>
    <row r="28388">
      <c r="BB28388" s="122"/>
      <c r="BC28388" s="141"/>
    </row>
    <row r="28389">
      <c r="BB28389" s="122"/>
      <c r="BC28389" s="141"/>
    </row>
    <row r="28390">
      <c r="BB28390" s="122"/>
      <c r="BC28390" s="141"/>
    </row>
    <row r="28391">
      <c r="BB28391" s="122"/>
      <c r="BC28391" s="141"/>
    </row>
    <row r="28392">
      <c r="BB28392" s="122"/>
      <c r="BC28392" s="141"/>
    </row>
    <row r="28393">
      <c r="BB28393" s="122"/>
      <c r="BC28393" s="141"/>
    </row>
    <row r="28394">
      <c r="BB28394" s="122"/>
      <c r="BC28394" s="141"/>
    </row>
    <row r="28395">
      <c r="BB28395" s="122"/>
      <c r="BC28395" s="141"/>
    </row>
    <row r="28396">
      <c r="BB28396" s="122"/>
      <c r="BC28396" s="141"/>
    </row>
    <row r="28397">
      <c r="BB28397" s="122"/>
      <c r="BC28397" s="141"/>
    </row>
    <row r="28398">
      <c r="BB28398" s="122"/>
      <c r="BC28398" s="141"/>
    </row>
    <row r="28399">
      <c r="BB28399" s="122"/>
      <c r="BC28399" s="141"/>
    </row>
    <row r="28400">
      <c r="BB28400" s="122"/>
      <c r="BC28400" s="141"/>
    </row>
    <row r="28401">
      <c r="BB28401" s="122"/>
      <c r="BC28401" s="141"/>
    </row>
    <row r="28402">
      <c r="BB28402" s="122"/>
      <c r="BC28402" s="141"/>
    </row>
    <row r="28403">
      <c r="BB28403" s="122"/>
      <c r="BC28403" s="141"/>
    </row>
    <row r="28404">
      <c r="BB28404" s="122"/>
      <c r="BC28404" s="141"/>
    </row>
    <row r="28405">
      <c r="BB28405" s="122"/>
      <c r="BC28405" s="141"/>
    </row>
    <row r="28406">
      <c r="BB28406" s="122"/>
      <c r="BC28406" s="141"/>
    </row>
    <row r="28407">
      <c r="BB28407" s="122"/>
      <c r="BC28407" s="141"/>
    </row>
    <row r="28408">
      <c r="BB28408" s="122"/>
      <c r="BC28408" s="141"/>
    </row>
    <row r="28409">
      <c r="BB28409" s="122"/>
      <c r="BC28409" s="141"/>
    </row>
    <row r="28410">
      <c r="BB28410" s="122"/>
      <c r="BC28410" s="141"/>
    </row>
    <row r="28411">
      <c r="BB28411" s="122"/>
      <c r="BC28411" s="141"/>
    </row>
    <row r="28412">
      <c r="BB28412" s="122"/>
      <c r="BC28412" s="141"/>
    </row>
    <row r="28413">
      <c r="BB28413" s="122"/>
      <c r="BC28413" s="141"/>
    </row>
    <row r="28414">
      <c r="BB28414" s="122"/>
      <c r="BC28414" s="141"/>
    </row>
    <row r="28415">
      <c r="BB28415" s="122"/>
      <c r="BC28415" s="141"/>
    </row>
    <row r="28416">
      <c r="BB28416" s="122"/>
      <c r="BC28416" s="141"/>
    </row>
    <row r="28417">
      <c r="BB28417" s="122"/>
      <c r="BC28417" s="141"/>
    </row>
    <row r="28418">
      <c r="BB28418" s="122"/>
      <c r="BC28418" s="141"/>
    </row>
    <row r="28419">
      <c r="BB28419" s="122"/>
      <c r="BC28419" s="141"/>
    </row>
    <row r="28420">
      <c r="BB28420" s="122"/>
      <c r="BC28420" s="141"/>
    </row>
    <row r="28421">
      <c r="BB28421" s="122"/>
      <c r="BC28421" s="141"/>
    </row>
    <row r="28422">
      <c r="BB28422" s="122"/>
      <c r="BC28422" s="141"/>
    </row>
    <row r="28423">
      <c r="BB28423" s="122"/>
      <c r="BC28423" s="141"/>
    </row>
    <row r="28424">
      <c r="BB28424" s="122"/>
      <c r="BC28424" s="141"/>
    </row>
    <row r="28425">
      <c r="BB28425" s="122"/>
      <c r="BC28425" s="141"/>
    </row>
    <row r="28426">
      <c r="BB28426" s="122"/>
      <c r="BC28426" s="141"/>
    </row>
    <row r="28427">
      <c r="BB28427" s="122"/>
      <c r="BC28427" s="141"/>
    </row>
    <row r="28428">
      <c r="BB28428" s="122"/>
      <c r="BC28428" s="141"/>
    </row>
    <row r="28429">
      <c r="BB28429" s="122"/>
      <c r="BC28429" s="141"/>
    </row>
    <row r="28430">
      <c r="BB28430" s="122"/>
      <c r="BC28430" s="141"/>
    </row>
    <row r="28431">
      <c r="BB28431" s="122"/>
      <c r="BC28431" s="141"/>
    </row>
    <row r="28432">
      <c r="BB28432" s="122"/>
      <c r="BC28432" s="141"/>
    </row>
    <row r="28433">
      <c r="BB28433" s="122"/>
      <c r="BC28433" s="141"/>
    </row>
    <row r="28434">
      <c r="BB28434" s="122"/>
      <c r="BC28434" s="141"/>
    </row>
    <row r="28435">
      <c r="BB28435" s="122"/>
      <c r="BC28435" s="141"/>
    </row>
    <row r="28436">
      <c r="BB28436" s="122"/>
      <c r="BC28436" s="141"/>
    </row>
    <row r="28437">
      <c r="BB28437" s="122"/>
      <c r="BC28437" s="141"/>
    </row>
    <row r="28438">
      <c r="BB28438" s="122"/>
      <c r="BC28438" s="141"/>
    </row>
    <row r="28439">
      <c r="BB28439" s="122"/>
      <c r="BC28439" s="141"/>
    </row>
    <row r="28440">
      <c r="BB28440" s="122"/>
      <c r="BC28440" s="141"/>
    </row>
    <row r="28441">
      <c r="BB28441" s="122"/>
      <c r="BC28441" s="141"/>
    </row>
    <row r="28442">
      <c r="BB28442" s="122"/>
      <c r="BC28442" s="141"/>
    </row>
    <row r="28443">
      <c r="BB28443" s="122"/>
      <c r="BC28443" s="141"/>
    </row>
    <row r="28444">
      <c r="BB28444" s="122"/>
      <c r="BC28444" s="141"/>
    </row>
    <row r="28445">
      <c r="BB28445" s="122"/>
      <c r="BC28445" s="141"/>
    </row>
    <row r="28446">
      <c r="BB28446" s="122"/>
      <c r="BC28446" s="141"/>
    </row>
    <row r="28447">
      <c r="BB28447" s="122"/>
      <c r="BC28447" s="141"/>
    </row>
    <row r="28448">
      <c r="BB28448" s="122"/>
      <c r="BC28448" s="141"/>
    </row>
    <row r="28449">
      <c r="BB28449" s="122"/>
      <c r="BC28449" s="141"/>
    </row>
    <row r="28450">
      <c r="BB28450" s="122"/>
      <c r="BC28450" s="141"/>
    </row>
    <row r="28451">
      <c r="BB28451" s="122"/>
      <c r="BC28451" s="141"/>
    </row>
    <row r="28452">
      <c r="BB28452" s="122"/>
      <c r="BC28452" s="141"/>
    </row>
    <row r="28453">
      <c r="BB28453" s="122"/>
      <c r="BC28453" s="141"/>
    </row>
    <row r="28454">
      <c r="BB28454" s="122"/>
      <c r="BC28454" s="141"/>
    </row>
    <row r="28455">
      <c r="BB28455" s="122"/>
      <c r="BC28455" s="141"/>
    </row>
    <row r="28456">
      <c r="BB28456" s="122"/>
      <c r="BC28456" s="141"/>
    </row>
    <row r="28457">
      <c r="BB28457" s="122"/>
      <c r="BC28457" s="141"/>
    </row>
    <row r="28458">
      <c r="BB28458" s="122"/>
      <c r="BC28458" s="141"/>
    </row>
    <row r="28459">
      <c r="BB28459" s="122"/>
      <c r="BC28459" s="141"/>
    </row>
    <row r="28460">
      <c r="BB28460" s="122"/>
      <c r="BC28460" s="141"/>
    </row>
    <row r="28461">
      <c r="BB28461" s="122"/>
      <c r="BC28461" s="141"/>
    </row>
    <row r="28462">
      <c r="BB28462" s="122"/>
      <c r="BC28462" s="141"/>
    </row>
    <row r="28463">
      <c r="BB28463" s="122"/>
      <c r="BC28463" s="141"/>
    </row>
    <row r="28464">
      <c r="BB28464" s="122"/>
      <c r="BC28464" s="141"/>
    </row>
    <row r="28465">
      <c r="BB28465" s="122"/>
      <c r="BC28465" s="141"/>
    </row>
    <row r="28466">
      <c r="BB28466" s="122"/>
      <c r="BC28466" s="141"/>
    </row>
    <row r="28467">
      <c r="BB28467" s="122"/>
      <c r="BC28467" s="141"/>
    </row>
    <row r="28468">
      <c r="BB28468" s="122"/>
      <c r="BC28468" s="141"/>
    </row>
    <row r="28469">
      <c r="BB28469" s="122"/>
      <c r="BC28469" s="141"/>
    </row>
    <row r="28470">
      <c r="BB28470" s="122"/>
      <c r="BC28470" s="141"/>
    </row>
    <row r="28471">
      <c r="BB28471" s="122"/>
      <c r="BC28471" s="141"/>
    </row>
    <row r="28472">
      <c r="BB28472" s="122"/>
      <c r="BC28472" s="141"/>
    </row>
    <row r="28473">
      <c r="BB28473" s="122"/>
      <c r="BC28473" s="141"/>
    </row>
    <row r="28474">
      <c r="BB28474" s="122"/>
      <c r="BC28474" s="141"/>
    </row>
    <row r="28475">
      <c r="BB28475" s="122"/>
      <c r="BC28475" s="141"/>
    </row>
    <row r="28476">
      <c r="BB28476" s="122"/>
      <c r="BC28476" s="141"/>
    </row>
    <row r="28477">
      <c r="BB28477" s="122"/>
      <c r="BC28477" s="141"/>
    </row>
    <row r="28478">
      <c r="BB28478" s="122"/>
      <c r="BC28478" s="141"/>
    </row>
    <row r="28479">
      <c r="BB28479" s="122"/>
      <c r="BC28479" s="141"/>
    </row>
    <row r="28480">
      <c r="BB28480" s="122"/>
      <c r="BC28480" s="141"/>
    </row>
    <row r="28481">
      <c r="BB28481" s="122"/>
      <c r="BC28481" s="141"/>
    </row>
    <row r="28482">
      <c r="BB28482" s="122"/>
      <c r="BC28482" s="141"/>
    </row>
    <row r="28483">
      <c r="BB28483" s="122"/>
      <c r="BC28483" s="141"/>
    </row>
    <row r="28484">
      <c r="BB28484" s="122"/>
      <c r="BC28484" s="141"/>
    </row>
    <row r="28485">
      <c r="BB28485" s="122"/>
      <c r="BC28485" s="141"/>
    </row>
    <row r="28486">
      <c r="BB28486" s="122"/>
      <c r="BC28486" s="141"/>
    </row>
    <row r="28487">
      <c r="BB28487" s="122"/>
      <c r="BC28487" s="141"/>
    </row>
    <row r="28488">
      <c r="BB28488" s="122"/>
      <c r="BC28488" s="141"/>
    </row>
    <row r="28489">
      <c r="BB28489" s="122"/>
      <c r="BC28489" s="141"/>
    </row>
    <row r="28490">
      <c r="BB28490" s="122"/>
      <c r="BC28490" s="141"/>
    </row>
    <row r="28491">
      <c r="BB28491" s="122"/>
      <c r="BC28491" s="141"/>
    </row>
    <row r="28492">
      <c r="BB28492" s="122"/>
      <c r="BC28492" s="141"/>
    </row>
    <row r="28493">
      <c r="BB28493" s="122"/>
      <c r="BC28493" s="141"/>
    </row>
    <row r="28494">
      <c r="BB28494" s="122"/>
      <c r="BC28494" s="141"/>
    </row>
    <row r="28495">
      <c r="BB28495" s="122"/>
      <c r="BC28495" s="141"/>
    </row>
    <row r="28496">
      <c r="BB28496" s="122"/>
      <c r="BC28496" s="141"/>
    </row>
    <row r="28497">
      <c r="BB28497" s="122"/>
      <c r="BC28497" s="141"/>
    </row>
    <row r="28498">
      <c r="BB28498" s="122"/>
      <c r="BC28498" s="141"/>
    </row>
    <row r="28499">
      <c r="BB28499" s="122"/>
      <c r="BC28499" s="141"/>
    </row>
    <row r="28500">
      <c r="BB28500" s="122"/>
      <c r="BC28500" s="141"/>
    </row>
    <row r="28501">
      <c r="BB28501" s="122"/>
      <c r="BC28501" s="141"/>
    </row>
    <row r="28502">
      <c r="BB28502" s="122"/>
      <c r="BC28502" s="141"/>
    </row>
    <row r="28503">
      <c r="BB28503" s="122"/>
      <c r="BC28503" s="141"/>
    </row>
    <row r="28504">
      <c r="BB28504" s="122"/>
      <c r="BC28504" s="141"/>
    </row>
    <row r="28505">
      <c r="BB28505" s="122"/>
      <c r="BC28505" s="141"/>
    </row>
    <row r="28506">
      <c r="BB28506" s="122"/>
      <c r="BC28506" s="141"/>
    </row>
    <row r="28507">
      <c r="BB28507" s="122"/>
      <c r="BC28507" s="141"/>
    </row>
    <row r="28508">
      <c r="BB28508" s="122"/>
      <c r="BC28508" s="141"/>
    </row>
    <row r="28509">
      <c r="BB28509" s="122"/>
      <c r="BC28509" s="141"/>
    </row>
    <row r="28510">
      <c r="BB28510" s="122"/>
      <c r="BC28510" s="141"/>
    </row>
    <row r="28511">
      <c r="BB28511" s="122"/>
      <c r="BC28511" s="141"/>
    </row>
    <row r="28512">
      <c r="BB28512" s="122"/>
      <c r="BC28512" s="141"/>
    </row>
    <row r="28513">
      <c r="BB28513" s="122"/>
      <c r="BC28513" s="141"/>
    </row>
    <row r="28514">
      <c r="BB28514" s="122"/>
      <c r="BC28514" s="141"/>
    </row>
    <row r="28515">
      <c r="BB28515" s="122"/>
      <c r="BC28515" s="141"/>
    </row>
    <row r="28516">
      <c r="BB28516" s="122"/>
      <c r="BC28516" s="141"/>
    </row>
    <row r="28517">
      <c r="BB28517" s="122"/>
      <c r="BC28517" s="141"/>
    </row>
    <row r="28518">
      <c r="BB28518" s="122"/>
      <c r="BC28518" s="141"/>
    </row>
    <row r="28519">
      <c r="BB28519" s="122"/>
      <c r="BC28519" s="141"/>
    </row>
    <row r="28520">
      <c r="BB28520" s="122"/>
      <c r="BC28520" s="141"/>
    </row>
    <row r="28521">
      <c r="BB28521" s="122"/>
      <c r="BC28521" s="141"/>
    </row>
    <row r="28522">
      <c r="BB28522" s="122"/>
      <c r="BC28522" s="141"/>
    </row>
    <row r="28523">
      <c r="BB28523" s="122"/>
      <c r="BC28523" s="141"/>
    </row>
    <row r="28524">
      <c r="BB28524" s="122"/>
      <c r="BC28524" s="141"/>
    </row>
    <row r="28525">
      <c r="BB28525" s="122"/>
      <c r="BC28525" s="141"/>
    </row>
    <row r="28526">
      <c r="BB28526" s="122"/>
      <c r="BC28526" s="141"/>
    </row>
    <row r="28527">
      <c r="BB28527" s="122"/>
      <c r="BC28527" s="141"/>
    </row>
    <row r="28528">
      <c r="BB28528" s="122"/>
      <c r="BC28528" s="141"/>
    </row>
    <row r="28529">
      <c r="BB28529" s="122"/>
      <c r="BC28529" s="141"/>
    </row>
    <row r="28530">
      <c r="BB28530" s="122"/>
      <c r="BC28530" s="141"/>
    </row>
    <row r="28531">
      <c r="BB28531" s="122"/>
      <c r="BC28531" s="141"/>
    </row>
    <row r="28532">
      <c r="BB28532" s="122"/>
      <c r="BC28532" s="141"/>
    </row>
    <row r="28533">
      <c r="BB28533" s="122"/>
      <c r="BC28533" s="141"/>
    </row>
    <row r="28534">
      <c r="BB28534" s="122"/>
      <c r="BC28534" s="141"/>
    </row>
    <row r="28535">
      <c r="BB28535" s="122"/>
      <c r="BC28535" s="141"/>
    </row>
    <row r="28536">
      <c r="BB28536" s="122"/>
      <c r="BC28536" s="141"/>
    </row>
    <row r="28537">
      <c r="BB28537" s="122"/>
      <c r="BC28537" s="141"/>
    </row>
    <row r="28538">
      <c r="BB28538" s="122"/>
      <c r="BC28538" s="141"/>
    </row>
    <row r="28539">
      <c r="BB28539" s="122"/>
      <c r="BC28539" s="141"/>
    </row>
    <row r="28540">
      <c r="BB28540" s="122"/>
      <c r="BC28540" s="141"/>
    </row>
    <row r="28541">
      <c r="BB28541" s="122"/>
      <c r="BC28541" s="141"/>
    </row>
    <row r="28542">
      <c r="BB28542" s="122"/>
      <c r="BC28542" s="141"/>
    </row>
    <row r="28543">
      <c r="BB28543" s="122"/>
      <c r="BC28543" s="141"/>
    </row>
    <row r="28544">
      <c r="BB28544" s="122"/>
      <c r="BC28544" s="141"/>
    </row>
    <row r="28545">
      <c r="BB28545" s="122"/>
      <c r="BC28545" s="141"/>
    </row>
    <row r="28546">
      <c r="BB28546" s="122"/>
      <c r="BC28546" s="141"/>
    </row>
    <row r="28547">
      <c r="BB28547" s="122"/>
      <c r="BC28547" s="141"/>
    </row>
    <row r="28548">
      <c r="BB28548" s="122"/>
      <c r="BC28548" s="141"/>
    </row>
    <row r="28549">
      <c r="BB28549" s="122"/>
      <c r="BC28549" s="141"/>
    </row>
    <row r="28550">
      <c r="BB28550" s="122"/>
      <c r="BC28550" s="141"/>
    </row>
    <row r="28551">
      <c r="BB28551" s="122"/>
      <c r="BC28551" s="141"/>
    </row>
    <row r="28552">
      <c r="BB28552" s="122"/>
      <c r="BC28552" s="141"/>
    </row>
    <row r="28553">
      <c r="BB28553" s="122"/>
      <c r="BC28553" s="141"/>
    </row>
    <row r="28554">
      <c r="BB28554" s="122"/>
      <c r="BC28554" s="141"/>
    </row>
    <row r="28555">
      <c r="BB28555" s="122"/>
      <c r="BC28555" s="141"/>
    </row>
    <row r="28556">
      <c r="BB28556" s="122"/>
      <c r="BC28556" s="141"/>
    </row>
    <row r="28557">
      <c r="BB28557" s="122"/>
      <c r="BC28557" s="141"/>
    </row>
    <row r="28558">
      <c r="BB28558" s="122"/>
      <c r="BC28558" s="141"/>
    </row>
    <row r="28559">
      <c r="BB28559" s="122"/>
      <c r="BC28559" s="141"/>
    </row>
    <row r="28560">
      <c r="BB28560" s="122"/>
      <c r="BC28560" s="141"/>
    </row>
    <row r="28561">
      <c r="BB28561" s="122"/>
      <c r="BC28561" s="141"/>
    </row>
    <row r="28562">
      <c r="BB28562" s="122"/>
      <c r="BC28562" s="141"/>
    </row>
    <row r="28563">
      <c r="BB28563" s="122"/>
      <c r="BC28563" s="141"/>
    </row>
    <row r="28564">
      <c r="BB28564" s="122"/>
      <c r="BC28564" s="141"/>
    </row>
    <row r="28565">
      <c r="BB28565" s="122"/>
      <c r="BC28565" s="141"/>
    </row>
    <row r="28566">
      <c r="BB28566" s="122"/>
      <c r="BC28566" s="141"/>
    </row>
    <row r="28567">
      <c r="BB28567" s="122"/>
      <c r="BC28567" s="141"/>
    </row>
    <row r="28568">
      <c r="BB28568" s="122"/>
      <c r="BC28568" s="141"/>
    </row>
    <row r="28569">
      <c r="BB28569" s="122"/>
      <c r="BC28569" s="141"/>
    </row>
    <row r="28570">
      <c r="BB28570" s="122"/>
      <c r="BC28570" s="141"/>
    </row>
    <row r="28571">
      <c r="BB28571" s="122"/>
      <c r="BC28571" s="141"/>
    </row>
    <row r="28572">
      <c r="BB28572" s="122"/>
      <c r="BC28572" s="141"/>
    </row>
    <row r="28573">
      <c r="BB28573" s="122"/>
      <c r="BC28573" s="141"/>
    </row>
    <row r="28574">
      <c r="BB28574" s="122"/>
      <c r="BC28574" s="141"/>
    </row>
    <row r="28575">
      <c r="BB28575" s="122"/>
      <c r="BC28575" s="141"/>
    </row>
    <row r="28576">
      <c r="BB28576" s="122"/>
      <c r="BC28576" s="141"/>
    </row>
    <row r="28577">
      <c r="BB28577" s="122"/>
      <c r="BC28577" s="141"/>
    </row>
    <row r="28578">
      <c r="BB28578" s="122"/>
      <c r="BC28578" s="141"/>
    </row>
    <row r="28579">
      <c r="BB28579" s="122"/>
      <c r="BC28579" s="141"/>
    </row>
    <row r="28580">
      <c r="BB28580" s="122"/>
      <c r="BC28580" s="141"/>
    </row>
    <row r="28581">
      <c r="BB28581" s="122"/>
      <c r="BC28581" s="141"/>
    </row>
    <row r="28582">
      <c r="BB28582" s="122"/>
      <c r="BC28582" s="141"/>
    </row>
    <row r="28583">
      <c r="BB28583" s="122"/>
      <c r="BC28583" s="141"/>
    </row>
    <row r="28584">
      <c r="BB28584" s="122"/>
      <c r="BC28584" s="141"/>
    </row>
    <row r="28585">
      <c r="BB28585" s="122"/>
      <c r="BC28585" s="141"/>
    </row>
    <row r="28586">
      <c r="BB28586" s="122"/>
      <c r="BC28586" s="141"/>
    </row>
    <row r="28587">
      <c r="BB28587" s="122"/>
      <c r="BC28587" s="141"/>
    </row>
    <row r="28588">
      <c r="BB28588" s="122"/>
      <c r="BC28588" s="141"/>
    </row>
    <row r="28589">
      <c r="BB28589" s="122"/>
      <c r="BC28589" s="141"/>
    </row>
    <row r="28590">
      <c r="BB28590" s="122"/>
      <c r="BC28590" s="141"/>
    </row>
    <row r="28591">
      <c r="BB28591" s="122"/>
      <c r="BC28591" s="141"/>
    </row>
    <row r="28592">
      <c r="BB28592" s="122"/>
      <c r="BC28592" s="141"/>
    </row>
    <row r="28593">
      <c r="BB28593" s="122"/>
      <c r="BC28593" s="141"/>
    </row>
    <row r="28594">
      <c r="BB28594" s="122"/>
      <c r="BC28594" s="141"/>
    </row>
    <row r="28595">
      <c r="BB28595" s="122"/>
      <c r="BC28595" s="141"/>
    </row>
    <row r="28596">
      <c r="BB28596" s="122"/>
      <c r="BC28596" s="141"/>
    </row>
    <row r="28597">
      <c r="BB28597" s="122"/>
      <c r="BC28597" s="141"/>
    </row>
    <row r="28598">
      <c r="BB28598" s="122"/>
      <c r="BC28598" s="141"/>
    </row>
    <row r="28599">
      <c r="BB28599" s="122"/>
      <c r="BC28599" s="141"/>
    </row>
    <row r="28600">
      <c r="BB28600" s="122"/>
      <c r="BC28600" s="141"/>
    </row>
    <row r="28601">
      <c r="BB28601" s="122"/>
      <c r="BC28601" s="141"/>
    </row>
    <row r="28602">
      <c r="BB28602" s="122"/>
      <c r="BC28602" s="141"/>
    </row>
    <row r="28603">
      <c r="BB28603" s="122"/>
      <c r="BC28603" s="141"/>
    </row>
    <row r="28604">
      <c r="BB28604" s="122"/>
      <c r="BC28604" s="141"/>
    </row>
    <row r="28605">
      <c r="BB28605" s="122"/>
      <c r="BC28605" s="141"/>
    </row>
    <row r="28606">
      <c r="BB28606" s="122"/>
      <c r="BC28606" s="141"/>
    </row>
    <row r="28607">
      <c r="BB28607" s="122"/>
      <c r="BC28607" s="141"/>
    </row>
    <row r="28608">
      <c r="BB28608" s="122"/>
      <c r="BC28608" s="141"/>
    </row>
    <row r="28609">
      <c r="BB28609" s="122"/>
      <c r="BC28609" s="141"/>
    </row>
    <row r="28610">
      <c r="BB28610" s="122"/>
      <c r="BC28610" s="141"/>
    </row>
    <row r="28611">
      <c r="BB28611" s="122"/>
      <c r="BC28611" s="141"/>
    </row>
    <row r="28612">
      <c r="BB28612" s="122"/>
      <c r="BC28612" s="141"/>
    </row>
    <row r="28613">
      <c r="BB28613" s="122"/>
      <c r="BC28613" s="141"/>
    </row>
    <row r="28614">
      <c r="BB28614" s="122"/>
      <c r="BC28614" s="141"/>
    </row>
    <row r="28615">
      <c r="BB28615" s="122"/>
      <c r="BC28615" s="141"/>
    </row>
    <row r="28616">
      <c r="BB28616" s="122"/>
      <c r="BC28616" s="141"/>
    </row>
    <row r="28617">
      <c r="BB28617" s="122"/>
      <c r="BC28617" s="141"/>
    </row>
    <row r="28618">
      <c r="BB28618" s="122"/>
      <c r="BC28618" s="141"/>
    </row>
    <row r="28619">
      <c r="BB28619" s="122"/>
      <c r="BC28619" s="141"/>
    </row>
    <row r="28620">
      <c r="BB28620" s="122"/>
      <c r="BC28620" s="141"/>
    </row>
    <row r="28621">
      <c r="BB28621" s="122"/>
      <c r="BC28621" s="141"/>
    </row>
    <row r="28622">
      <c r="BB28622" s="122"/>
      <c r="BC28622" s="141"/>
    </row>
    <row r="28623">
      <c r="BB28623" s="122"/>
      <c r="BC28623" s="141"/>
    </row>
    <row r="28624">
      <c r="BB28624" s="122"/>
      <c r="BC28624" s="141"/>
    </row>
    <row r="28625">
      <c r="BB28625" s="122"/>
      <c r="BC28625" s="141"/>
    </row>
    <row r="28626">
      <c r="BB28626" s="122"/>
      <c r="BC28626" s="141"/>
    </row>
    <row r="28627">
      <c r="BB28627" s="122"/>
      <c r="BC28627" s="141"/>
    </row>
    <row r="28628">
      <c r="BB28628" s="122"/>
      <c r="BC28628" s="141"/>
    </row>
    <row r="28629">
      <c r="BB28629" s="122"/>
      <c r="BC28629" s="141"/>
    </row>
    <row r="28630">
      <c r="BB28630" s="122"/>
      <c r="BC28630" s="141"/>
    </row>
    <row r="28631">
      <c r="BB28631" s="122"/>
      <c r="BC28631" s="141"/>
    </row>
    <row r="28632">
      <c r="BB28632" s="122"/>
      <c r="BC28632" s="141"/>
    </row>
    <row r="28633">
      <c r="BB28633" s="122"/>
      <c r="BC28633" s="141"/>
    </row>
    <row r="28634">
      <c r="BB28634" s="122"/>
      <c r="BC28634" s="141"/>
    </row>
    <row r="28635">
      <c r="BB28635" s="122"/>
      <c r="BC28635" s="141"/>
    </row>
    <row r="28636">
      <c r="BB28636" s="122"/>
      <c r="BC28636" s="141"/>
    </row>
    <row r="28637">
      <c r="BB28637" s="122"/>
      <c r="BC28637" s="141"/>
    </row>
    <row r="28638">
      <c r="BB28638" s="122"/>
      <c r="BC28638" s="141"/>
    </row>
    <row r="28639">
      <c r="BB28639" s="122"/>
      <c r="BC28639" s="141"/>
    </row>
    <row r="28640">
      <c r="BB28640" s="122"/>
      <c r="BC28640" s="141"/>
    </row>
    <row r="28641">
      <c r="BB28641" s="122"/>
      <c r="BC28641" s="141"/>
    </row>
    <row r="28642">
      <c r="BB28642" s="122"/>
      <c r="BC28642" s="141"/>
    </row>
    <row r="28643">
      <c r="BB28643" s="122"/>
      <c r="BC28643" s="141"/>
    </row>
    <row r="28644">
      <c r="BB28644" s="122"/>
      <c r="BC28644" s="141"/>
    </row>
    <row r="28645">
      <c r="BB28645" s="122"/>
      <c r="BC28645" s="141"/>
    </row>
    <row r="28646">
      <c r="BB28646" s="122"/>
      <c r="BC28646" s="141"/>
    </row>
    <row r="28647">
      <c r="BB28647" s="122"/>
      <c r="BC28647" s="141"/>
    </row>
    <row r="28648">
      <c r="BB28648" s="122"/>
      <c r="BC28648" s="141"/>
    </row>
    <row r="28649">
      <c r="BB28649" s="122"/>
      <c r="BC28649" s="141"/>
    </row>
    <row r="28650">
      <c r="BB28650" s="122"/>
      <c r="BC28650" s="141"/>
    </row>
    <row r="28651">
      <c r="BB28651" s="122"/>
      <c r="BC28651" s="141"/>
    </row>
    <row r="28652">
      <c r="BB28652" s="122"/>
      <c r="BC28652" s="141"/>
    </row>
    <row r="28653">
      <c r="BB28653" s="122"/>
      <c r="BC28653" s="141"/>
    </row>
    <row r="28654">
      <c r="BB28654" s="122"/>
      <c r="BC28654" s="141"/>
    </row>
    <row r="28655">
      <c r="BB28655" s="122"/>
      <c r="BC28655" s="141"/>
    </row>
    <row r="28656">
      <c r="BB28656" s="122"/>
      <c r="BC28656" s="141"/>
    </row>
    <row r="28657">
      <c r="BB28657" s="122"/>
      <c r="BC28657" s="141"/>
    </row>
    <row r="28658">
      <c r="BB28658" s="122"/>
      <c r="BC28658" s="141"/>
    </row>
    <row r="28659">
      <c r="BB28659" s="122"/>
      <c r="BC28659" s="141"/>
    </row>
    <row r="28660">
      <c r="BB28660" s="122"/>
      <c r="BC28660" s="141"/>
    </row>
    <row r="28661">
      <c r="BB28661" s="122"/>
      <c r="BC28661" s="141"/>
    </row>
    <row r="28662">
      <c r="BB28662" s="122"/>
      <c r="BC28662" s="141"/>
    </row>
    <row r="28663">
      <c r="BB28663" s="122"/>
      <c r="BC28663" s="141"/>
    </row>
    <row r="28664">
      <c r="BB28664" s="122"/>
      <c r="BC28664" s="141"/>
    </row>
    <row r="28665">
      <c r="BB28665" s="122"/>
      <c r="BC28665" s="141"/>
    </row>
    <row r="28666">
      <c r="BB28666" s="122"/>
      <c r="BC28666" s="141"/>
    </row>
    <row r="28667">
      <c r="BB28667" s="122"/>
      <c r="BC28667" s="141"/>
    </row>
    <row r="28668">
      <c r="BB28668" s="122"/>
      <c r="BC28668" s="141"/>
    </row>
    <row r="28669">
      <c r="BB28669" s="122"/>
      <c r="BC28669" s="141"/>
    </row>
    <row r="28670">
      <c r="BB28670" s="122"/>
      <c r="BC28670" s="141"/>
    </row>
    <row r="28671">
      <c r="BB28671" s="122"/>
      <c r="BC28671" s="141"/>
    </row>
    <row r="28672">
      <c r="BB28672" s="122"/>
      <c r="BC28672" s="141"/>
    </row>
    <row r="28673">
      <c r="BB28673" s="122"/>
      <c r="BC28673" s="141"/>
    </row>
    <row r="28674">
      <c r="BB28674" s="122"/>
      <c r="BC28674" s="141"/>
    </row>
    <row r="28675">
      <c r="BB28675" s="122"/>
      <c r="BC28675" s="141"/>
    </row>
    <row r="28676">
      <c r="BB28676" s="122"/>
      <c r="BC28676" s="141"/>
    </row>
    <row r="28677">
      <c r="BB28677" s="122"/>
      <c r="BC28677" s="141"/>
    </row>
    <row r="28678">
      <c r="BB28678" s="122"/>
      <c r="BC28678" s="141"/>
    </row>
    <row r="28679">
      <c r="BB28679" s="122"/>
      <c r="BC28679" s="141"/>
    </row>
    <row r="28680">
      <c r="BB28680" s="122"/>
      <c r="BC28680" s="141"/>
    </row>
    <row r="28681">
      <c r="BB28681" s="122"/>
      <c r="BC28681" s="141"/>
    </row>
    <row r="28682">
      <c r="BB28682" s="122"/>
      <c r="BC28682" s="141"/>
    </row>
    <row r="28683">
      <c r="BB28683" s="122"/>
      <c r="BC28683" s="141"/>
    </row>
    <row r="28684">
      <c r="BB28684" s="122"/>
      <c r="BC28684" s="141"/>
    </row>
    <row r="28685">
      <c r="BB28685" s="122"/>
      <c r="BC28685" s="141"/>
    </row>
    <row r="28686">
      <c r="BB28686" s="122"/>
      <c r="BC28686" s="141"/>
    </row>
    <row r="28687">
      <c r="BB28687" s="122"/>
      <c r="BC28687" s="141"/>
    </row>
    <row r="28688">
      <c r="BB28688" s="122"/>
      <c r="BC28688" s="141"/>
    </row>
    <row r="28689">
      <c r="BB28689" s="122"/>
      <c r="BC28689" s="141"/>
    </row>
    <row r="28690">
      <c r="BB28690" s="122"/>
      <c r="BC28690" s="141"/>
    </row>
    <row r="28691">
      <c r="BB28691" s="122"/>
      <c r="BC28691" s="141"/>
    </row>
    <row r="28692">
      <c r="BB28692" s="122"/>
      <c r="BC28692" s="141"/>
    </row>
    <row r="28693">
      <c r="BB28693" s="122"/>
      <c r="BC28693" s="141"/>
    </row>
    <row r="28694">
      <c r="BB28694" s="122"/>
      <c r="BC28694" s="141"/>
    </row>
    <row r="28695">
      <c r="BB28695" s="122"/>
      <c r="BC28695" s="141"/>
    </row>
    <row r="28696">
      <c r="BB28696" s="122"/>
      <c r="BC28696" s="141"/>
    </row>
    <row r="28697">
      <c r="BB28697" s="122"/>
      <c r="BC28697" s="141"/>
    </row>
    <row r="28698">
      <c r="BB28698" s="122"/>
      <c r="BC28698" s="141"/>
    </row>
    <row r="28699">
      <c r="BB28699" s="122"/>
      <c r="BC28699" s="141"/>
    </row>
    <row r="28700">
      <c r="BB28700" s="122"/>
      <c r="BC28700" s="141"/>
    </row>
    <row r="28701">
      <c r="BB28701" s="122"/>
      <c r="BC28701" s="141"/>
    </row>
    <row r="28702">
      <c r="BB28702" s="122"/>
      <c r="BC28702" s="141"/>
    </row>
    <row r="28703">
      <c r="BB28703" s="122"/>
      <c r="BC28703" s="141"/>
    </row>
    <row r="28704">
      <c r="BB28704" s="122"/>
      <c r="BC28704" s="141"/>
    </row>
    <row r="28705">
      <c r="BB28705" s="122"/>
      <c r="BC28705" s="141"/>
    </row>
    <row r="28706">
      <c r="BB28706" s="122"/>
      <c r="BC28706" s="141"/>
    </row>
    <row r="28707">
      <c r="BB28707" s="122"/>
      <c r="BC28707" s="141"/>
    </row>
    <row r="28708">
      <c r="BB28708" s="122"/>
      <c r="BC28708" s="141"/>
    </row>
    <row r="28709">
      <c r="BB28709" s="122"/>
      <c r="BC28709" s="141"/>
    </row>
    <row r="28710">
      <c r="BB28710" s="122"/>
      <c r="BC28710" s="141"/>
    </row>
    <row r="28711">
      <c r="BB28711" s="122"/>
      <c r="BC28711" s="141"/>
    </row>
    <row r="28712">
      <c r="BB28712" s="122"/>
      <c r="BC28712" s="141"/>
    </row>
    <row r="28713">
      <c r="BB28713" s="122"/>
      <c r="BC28713" s="141"/>
    </row>
    <row r="28714">
      <c r="BB28714" s="122"/>
      <c r="BC28714" s="141"/>
    </row>
    <row r="28715">
      <c r="BB28715" s="122"/>
      <c r="BC28715" s="141"/>
    </row>
    <row r="28716">
      <c r="BB28716" s="122"/>
      <c r="BC28716" s="141"/>
    </row>
    <row r="28717">
      <c r="BB28717" s="122"/>
      <c r="BC28717" s="141"/>
    </row>
    <row r="28718">
      <c r="BB28718" s="122"/>
      <c r="BC28718" s="141"/>
    </row>
    <row r="28719">
      <c r="BB28719" s="122"/>
      <c r="BC28719" s="141"/>
    </row>
    <row r="28720">
      <c r="BB28720" s="122"/>
      <c r="BC28720" s="141"/>
    </row>
    <row r="28721">
      <c r="BB28721" s="122"/>
      <c r="BC28721" s="141"/>
    </row>
    <row r="28722">
      <c r="BB28722" s="122"/>
      <c r="BC28722" s="141"/>
    </row>
    <row r="28723">
      <c r="BB28723" s="122"/>
      <c r="BC28723" s="141"/>
    </row>
    <row r="28724">
      <c r="BB28724" s="122"/>
      <c r="BC28724" s="141"/>
    </row>
    <row r="28725">
      <c r="BB28725" s="122"/>
      <c r="BC28725" s="141"/>
    </row>
    <row r="28726">
      <c r="BB28726" s="122"/>
      <c r="BC28726" s="141"/>
    </row>
    <row r="28727">
      <c r="BB28727" s="122"/>
      <c r="BC28727" s="141"/>
    </row>
    <row r="28728">
      <c r="BB28728" s="122"/>
      <c r="BC28728" s="141"/>
    </row>
    <row r="28729">
      <c r="BB28729" s="122"/>
      <c r="BC28729" s="141"/>
    </row>
    <row r="28730">
      <c r="BB28730" s="122"/>
      <c r="BC28730" s="141"/>
    </row>
    <row r="28731">
      <c r="BB28731" s="122"/>
      <c r="BC28731" s="141"/>
    </row>
    <row r="28732">
      <c r="BB28732" s="122"/>
      <c r="BC28732" s="141"/>
    </row>
    <row r="28733">
      <c r="BB28733" s="122"/>
      <c r="BC28733" s="141"/>
    </row>
    <row r="28734">
      <c r="BB28734" s="122"/>
      <c r="BC28734" s="141"/>
    </row>
    <row r="28735">
      <c r="BB28735" s="122"/>
      <c r="BC28735" s="141"/>
    </row>
    <row r="28736">
      <c r="BB28736" s="122"/>
      <c r="BC28736" s="141"/>
    </row>
    <row r="28737">
      <c r="BB28737" s="122"/>
      <c r="BC28737" s="141"/>
    </row>
    <row r="28738">
      <c r="BB28738" s="122"/>
      <c r="BC28738" s="141"/>
    </row>
    <row r="28739">
      <c r="BB28739" s="122"/>
      <c r="BC28739" s="141"/>
    </row>
    <row r="28740">
      <c r="BB28740" s="122"/>
      <c r="BC28740" s="141"/>
    </row>
    <row r="28741">
      <c r="BB28741" s="122"/>
      <c r="BC28741" s="141"/>
    </row>
    <row r="28742">
      <c r="BB28742" s="122"/>
      <c r="BC28742" s="141"/>
    </row>
    <row r="28743">
      <c r="BB28743" s="122"/>
      <c r="BC28743" s="141"/>
    </row>
    <row r="28744">
      <c r="BB28744" s="122"/>
      <c r="BC28744" s="141"/>
    </row>
    <row r="28745">
      <c r="BB28745" s="122"/>
      <c r="BC28745" s="141"/>
    </row>
    <row r="28746">
      <c r="BB28746" s="122"/>
      <c r="BC28746" s="141"/>
    </row>
    <row r="28747">
      <c r="BB28747" s="122"/>
      <c r="BC28747" s="141"/>
    </row>
    <row r="28748">
      <c r="BB28748" s="122"/>
      <c r="BC28748" s="141"/>
    </row>
    <row r="28749">
      <c r="BB28749" s="122"/>
      <c r="BC28749" s="141"/>
    </row>
    <row r="28750">
      <c r="BB28750" s="122"/>
      <c r="BC28750" s="141"/>
    </row>
    <row r="28751">
      <c r="BB28751" s="122"/>
      <c r="BC28751" s="141"/>
    </row>
    <row r="28752">
      <c r="BB28752" s="122"/>
      <c r="BC28752" s="141"/>
    </row>
    <row r="28753">
      <c r="BB28753" s="122"/>
      <c r="BC28753" s="141"/>
    </row>
    <row r="28754">
      <c r="BB28754" s="122"/>
      <c r="BC28754" s="141"/>
    </row>
    <row r="28755">
      <c r="BB28755" s="122"/>
      <c r="BC28755" s="141"/>
    </row>
    <row r="28756">
      <c r="BB28756" s="122"/>
      <c r="BC28756" s="141"/>
    </row>
    <row r="28757">
      <c r="BB28757" s="122"/>
      <c r="BC28757" s="141"/>
    </row>
    <row r="28758">
      <c r="BB28758" s="122"/>
      <c r="BC28758" s="141"/>
    </row>
    <row r="28759">
      <c r="BB28759" s="122"/>
      <c r="BC28759" s="141"/>
    </row>
    <row r="28760">
      <c r="BB28760" s="122"/>
      <c r="BC28760" s="141"/>
    </row>
    <row r="28761">
      <c r="BB28761" s="122"/>
      <c r="BC28761" s="141"/>
    </row>
    <row r="28762">
      <c r="BB28762" s="122"/>
      <c r="BC28762" s="141"/>
    </row>
    <row r="28763">
      <c r="BB28763" s="122"/>
      <c r="BC28763" s="141"/>
    </row>
    <row r="28764">
      <c r="BB28764" s="122"/>
      <c r="BC28764" s="141"/>
    </row>
    <row r="28765">
      <c r="BB28765" s="122"/>
      <c r="BC28765" s="141"/>
    </row>
    <row r="28766">
      <c r="BB28766" s="122"/>
      <c r="BC28766" s="141"/>
    </row>
    <row r="28767">
      <c r="BB28767" s="122"/>
      <c r="BC28767" s="141"/>
    </row>
    <row r="28768">
      <c r="BB28768" s="122"/>
      <c r="BC28768" s="141"/>
    </row>
    <row r="28769">
      <c r="BB28769" s="122"/>
      <c r="BC28769" s="141"/>
    </row>
    <row r="28770">
      <c r="BB28770" s="122"/>
      <c r="BC28770" s="141"/>
    </row>
    <row r="28771">
      <c r="BB28771" s="122"/>
      <c r="BC28771" s="141"/>
    </row>
    <row r="28772">
      <c r="BB28772" s="122"/>
      <c r="BC28772" s="141"/>
    </row>
    <row r="28773">
      <c r="BB28773" s="122"/>
      <c r="BC28773" s="141"/>
    </row>
    <row r="28774">
      <c r="BB28774" s="122"/>
      <c r="BC28774" s="141"/>
    </row>
    <row r="28775">
      <c r="BB28775" s="122"/>
      <c r="BC28775" s="141"/>
    </row>
    <row r="28776">
      <c r="BB28776" s="122"/>
      <c r="BC28776" s="141"/>
    </row>
    <row r="28777">
      <c r="BB28777" s="122"/>
      <c r="BC28777" s="141"/>
    </row>
    <row r="28778">
      <c r="BB28778" s="122"/>
      <c r="BC28778" s="141"/>
    </row>
    <row r="28779">
      <c r="BB28779" s="122"/>
      <c r="BC28779" s="141"/>
    </row>
    <row r="28780">
      <c r="BB28780" s="122"/>
      <c r="BC28780" s="141"/>
    </row>
    <row r="28781">
      <c r="BB28781" s="122"/>
      <c r="BC28781" s="141"/>
    </row>
    <row r="28782">
      <c r="BB28782" s="122"/>
      <c r="BC28782" s="141"/>
    </row>
    <row r="28783">
      <c r="BB28783" s="122"/>
      <c r="BC28783" s="141"/>
    </row>
    <row r="28784">
      <c r="BB28784" s="122"/>
      <c r="BC28784" s="141"/>
    </row>
    <row r="28785">
      <c r="BB28785" s="122"/>
      <c r="BC28785" s="141"/>
    </row>
    <row r="28786">
      <c r="BB28786" s="122"/>
      <c r="BC28786" s="141"/>
    </row>
    <row r="28787">
      <c r="BB28787" s="122"/>
      <c r="BC28787" s="141"/>
    </row>
    <row r="28788">
      <c r="BB28788" s="122"/>
      <c r="BC28788" s="141"/>
    </row>
    <row r="28789">
      <c r="BB28789" s="122"/>
      <c r="BC28789" s="141"/>
    </row>
    <row r="28790">
      <c r="BB28790" s="122"/>
      <c r="BC28790" s="141"/>
    </row>
    <row r="28791">
      <c r="BB28791" s="122"/>
      <c r="BC28791" s="141"/>
    </row>
    <row r="28792">
      <c r="BB28792" s="122"/>
      <c r="BC28792" s="141"/>
    </row>
    <row r="28793">
      <c r="BB28793" s="122"/>
      <c r="BC28793" s="141"/>
    </row>
    <row r="28794">
      <c r="BB28794" s="122"/>
      <c r="BC28794" s="141"/>
    </row>
    <row r="28795">
      <c r="BB28795" s="122"/>
      <c r="BC28795" s="141"/>
    </row>
    <row r="28796">
      <c r="BB28796" s="122"/>
      <c r="BC28796" s="141"/>
    </row>
    <row r="28797">
      <c r="BB28797" s="122"/>
      <c r="BC28797" s="141"/>
    </row>
    <row r="28798">
      <c r="BB28798" s="122"/>
      <c r="BC28798" s="141"/>
    </row>
    <row r="28799">
      <c r="BB28799" s="122"/>
      <c r="BC28799" s="141"/>
    </row>
    <row r="28800">
      <c r="BB28800" s="122"/>
      <c r="BC28800" s="141"/>
    </row>
    <row r="28801">
      <c r="BB28801" s="122"/>
      <c r="BC28801" s="141"/>
    </row>
    <row r="28802">
      <c r="BB28802" s="122"/>
      <c r="BC28802" s="141"/>
    </row>
    <row r="28803">
      <c r="BB28803" s="122"/>
      <c r="BC28803" s="141"/>
    </row>
    <row r="28804">
      <c r="BB28804" s="122"/>
      <c r="BC28804" s="141"/>
    </row>
    <row r="28805">
      <c r="BB28805" s="122"/>
      <c r="BC28805" s="141"/>
    </row>
    <row r="28806">
      <c r="BB28806" s="122"/>
      <c r="BC28806" s="141"/>
    </row>
    <row r="28807">
      <c r="BB28807" s="122"/>
      <c r="BC28807" s="141"/>
    </row>
    <row r="28808">
      <c r="BB28808" s="122"/>
      <c r="BC28808" s="141"/>
    </row>
    <row r="28809">
      <c r="BB28809" s="122"/>
      <c r="BC28809" s="141"/>
    </row>
    <row r="28810">
      <c r="BB28810" s="122"/>
      <c r="BC28810" s="141"/>
    </row>
    <row r="28811">
      <c r="BB28811" s="122"/>
      <c r="BC28811" s="141"/>
    </row>
    <row r="28812">
      <c r="BB28812" s="122"/>
      <c r="BC28812" s="141"/>
    </row>
    <row r="28813">
      <c r="BB28813" s="122"/>
      <c r="BC28813" s="141"/>
    </row>
    <row r="28814">
      <c r="BB28814" s="122"/>
      <c r="BC28814" s="141"/>
    </row>
    <row r="28815">
      <c r="BB28815" s="122"/>
      <c r="BC28815" s="141"/>
    </row>
    <row r="28816">
      <c r="BB28816" s="122"/>
      <c r="BC28816" s="141"/>
    </row>
    <row r="28817">
      <c r="BB28817" s="122"/>
      <c r="BC28817" s="141"/>
    </row>
    <row r="28818">
      <c r="BB28818" s="122"/>
      <c r="BC28818" s="141"/>
    </row>
    <row r="28819">
      <c r="BB28819" s="122"/>
      <c r="BC28819" s="141"/>
    </row>
    <row r="28820">
      <c r="BB28820" s="122"/>
      <c r="BC28820" s="141"/>
    </row>
    <row r="28821">
      <c r="BB28821" s="122"/>
      <c r="BC28821" s="141"/>
    </row>
    <row r="28822">
      <c r="BB28822" s="122"/>
      <c r="BC28822" s="141"/>
    </row>
    <row r="28823">
      <c r="BB28823" s="122"/>
      <c r="BC28823" s="141"/>
    </row>
    <row r="28824">
      <c r="BB28824" s="122"/>
      <c r="BC28824" s="141"/>
    </row>
    <row r="28825">
      <c r="BB28825" s="122"/>
      <c r="BC28825" s="141"/>
    </row>
    <row r="28826">
      <c r="BB28826" s="122"/>
      <c r="BC28826" s="141"/>
    </row>
    <row r="28827">
      <c r="BB28827" s="122"/>
      <c r="BC28827" s="141"/>
    </row>
    <row r="28828">
      <c r="BB28828" s="122"/>
      <c r="BC28828" s="141"/>
    </row>
    <row r="28829">
      <c r="BB28829" s="122"/>
      <c r="BC28829" s="141"/>
    </row>
    <row r="28830">
      <c r="BB28830" s="122"/>
      <c r="BC28830" s="141"/>
    </row>
    <row r="28831">
      <c r="BB28831" s="122"/>
      <c r="BC28831" s="141"/>
    </row>
    <row r="28832">
      <c r="BB28832" s="122"/>
      <c r="BC28832" s="141"/>
    </row>
    <row r="28833">
      <c r="BB28833" s="122"/>
      <c r="BC28833" s="141"/>
    </row>
    <row r="28834">
      <c r="BB28834" s="122"/>
      <c r="BC28834" s="141"/>
    </row>
    <row r="28835">
      <c r="BB28835" s="122"/>
      <c r="BC28835" s="141"/>
    </row>
    <row r="28836">
      <c r="BB28836" s="122"/>
      <c r="BC28836" s="141"/>
    </row>
    <row r="28837">
      <c r="BB28837" s="122"/>
      <c r="BC28837" s="141"/>
    </row>
    <row r="28838">
      <c r="BB28838" s="122"/>
      <c r="BC28838" s="141"/>
    </row>
    <row r="28839">
      <c r="BB28839" s="122"/>
      <c r="BC28839" s="141"/>
    </row>
    <row r="28840">
      <c r="BB28840" s="122"/>
      <c r="BC28840" s="141"/>
    </row>
    <row r="28841">
      <c r="BB28841" s="122"/>
      <c r="BC28841" s="141"/>
    </row>
    <row r="28842">
      <c r="BB28842" s="122"/>
      <c r="BC28842" s="141"/>
    </row>
    <row r="28843">
      <c r="BB28843" s="122"/>
      <c r="BC28843" s="141"/>
    </row>
    <row r="28844">
      <c r="BB28844" s="122"/>
      <c r="BC28844" s="141"/>
    </row>
    <row r="28845">
      <c r="BB28845" s="122"/>
      <c r="BC28845" s="141"/>
    </row>
    <row r="28846">
      <c r="BB28846" s="122"/>
      <c r="BC28846" s="141"/>
    </row>
    <row r="28847">
      <c r="BB28847" s="122"/>
      <c r="BC28847" s="141"/>
    </row>
    <row r="28848">
      <c r="BB28848" s="122"/>
      <c r="BC28848" s="141"/>
    </row>
    <row r="28849">
      <c r="BB28849" s="122"/>
      <c r="BC28849" s="141"/>
    </row>
    <row r="28850">
      <c r="BB28850" s="122"/>
      <c r="BC28850" s="141"/>
    </row>
    <row r="28851">
      <c r="BB28851" s="122"/>
      <c r="BC28851" s="141"/>
    </row>
    <row r="28852">
      <c r="BB28852" s="122"/>
      <c r="BC28852" s="141"/>
    </row>
    <row r="28853">
      <c r="BB28853" s="122"/>
      <c r="BC28853" s="141"/>
    </row>
    <row r="28854">
      <c r="BB28854" s="122"/>
      <c r="BC28854" s="141"/>
    </row>
    <row r="28855">
      <c r="BB28855" s="122"/>
      <c r="BC28855" s="141"/>
    </row>
    <row r="28856">
      <c r="BB28856" s="122"/>
      <c r="BC28856" s="141"/>
    </row>
    <row r="28857">
      <c r="BB28857" s="122"/>
      <c r="BC28857" s="141"/>
    </row>
    <row r="28858">
      <c r="BB28858" s="122"/>
      <c r="BC28858" s="141"/>
    </row>
    <row r="28859">
      <c r="BB28859" s="122"/>
      <c r="BC28859" s="141"/>
    </row>
    <row r="28860">
      <c r="BB28860" s="122"/>
      <c r="BC28860" s="141"/>
    </row>
    <row r="28861">
      <c r="BB28861" s="122"/>
      <c r="BC28861" s="141"/>
    </row>
    <row r="28862">
      <c r="BB28862" s="122"/>
      <c r="BC28862" s="141"/>
    </row>
    <row r="28863">
      <c r="BB28863" s="122"/>
      <c r="BC28863" s="141"/>
    </row>
    <row r="28864">
      <c r="BB28864" s="122"/>
      <c r="BC28864" s="141"/>
    </row>
    <row r="28865">
      <c r="BB28865" s="122"/>
      <c r="BC28865" s="141"/>
    </row>
    <row r="28866">
      <c r="BB28866" s="122"/>
      <c r="BC28866" s="141"/>
    </row>
    <row r="28867">
      <c r="BB28867" s="122"/>
      <c r="BC28867" s="141"/>
    </row>
    <row r="28868">
      <c r="BB28868" s="122"/>
      <c r="BC28868" s="141"/>
    </row>
    <row r="28869">
      <c r="BB28869" s="122"/>
      <c r="BC28869" s="141"/>
    </row>
    <row r="28870">
      <c r="BB28870" s="122"/>
      <c r="BC28870" s="141"/>
    </row>
    <row r="28871">
      <c r="BB28871" s="122"/>
      <c r="BC28871" s="141"/>
    </row>
    <row r="28872">
      <c r="BB28872" s="122"/>
      <c r="BC28872" s="141"/>
    </row>
    <row r="28873">
      <c r="BB28873" s="122"/>
      <c r="BC28873" s="141"/>
    </row>
    <row r="28874">
      <c r="BB28874" s="122"/>
      <c r="BC28874" s="141"/>
    </row>
    <row r="28875">
      <c r="BB28875" s="122"/>
      <c r="BC28875" s="141"/>
    </row>
    <row r="28876">
      <c r="BB28876" s="122"/>
      <c r="BC28876" s="141"/>
    </row>
    <row r="28877">
      <c r="BB28877" s="122"/>
      <c r="BC28877" s="141"/>
    </row>
    <row r="28878">
      <c r="BB28878" s="122"/>
      <c r="BC28878" s="141"/>
    </row>
    <row r="28879">
      <c r="BB28879" s="122"/>
      <c r="BC28879" s="141"/>
    </row>
    <row r="28880">
      <c r="BB28880" s="122"/>
      <c r="BC28880" s="141"/>
    </row>
    <row r="28881">
      <c r="BB28881" s="122"/>
      <c r="BC28881" s="141"/>
    </row>
    <row r="28882">
      <c r="BB28882" s="122"/>
      <c r="BC28882" s="141"/>
    </row>
    <row r="28883">
      <c r="BB28883" s="122"/>
      <c r="BC28883" s="141"/>
    </row>
    <row r="28884">
      <c r="BB28884" s="122"/>
      <c r="BC28884" s="141"/>
    </row>
    <row r="28885">
      <c r="BB28885" s="122"/>
      <c r="BC28885" s="141"/>
    </row>
    <row r="28886">
      <c r="BB28886" s="122"/>
      <c r="BC28886" s="141"/>
    </row>
    <row r="28887">
      <c r="BB28887" s="122"/>
      <c r="BC28887" s="141"/>
    </row>
    <row r="28888">
      <c r="BB28888" s="122"/>
      <c r="BC28888" s="141"/>
    </row>
    <row r="28889">
      <c r="BB28889" s="122"/>
      <c r="BC28889" s="141"/>
    </row>
    <row r="28890">
      <c r="BB28890" s="122"/>
      <c r="BC28890" s="141"/>
    </row>
    <row r="28891">
      <c r="BB28891" s="122"/>
      <c r="BC28891" s="141"/>
    </row>
    <row r="28892">
      <c r="BB28892" s="122"/>
      <c r="BC28892" s="141"/>
    </row>
    <row r="28893">
      <c r="BB28893" s="122"/>
      <c r="BC28893" s="141"/>
    </row>
    <row r="28894">
      <c r="BB28894" s="122"/>
      <c r="BC28894" s="141"/>
    </row>
    <row r="28895">
      <c r="BB28895" s="122"/>
      <c r="BC28895" s="141"/>
    </row>
    <row r="28896">
      <c r="BB28896" s="122"/>
      <c r="BC28896" s="141"/>
    </row>
    <row r="28897">
      <c r="BB28897" s="122"/>
      <c r="BC28897" s="141"/>
    </row>
    <row r="28898">
      <c r="BB28898" s="122"/>
      <c r="BC28898" s="141"/>
    </row>
    <row r="28899">
      <c r="BB28899" s="122"/>
      <c r="BC28899" s="141"/>
    </row>
    <row r="28900">
      <c r="BB28900" s="122"/>
      <c r="BC28900" s="141"/>
    </row>
    <row r="28901">
      <c r="BB28901" s="122"/>
      <c r="BC28901" s="141"/>
    </row>
    <row r="28902">
      <c r="BB28902" s="122"/>
      <c r="BC28902" s="141"/>
    </row>
    <row r="28903">
      <c r="BB28903" s="122"/>
      <c r="BC28903" s="141"/>
    </row>
    <row r="28904">
      <c r="BB28904" s="122"/>
      <c r="BC28904" s="141"/>
    </row>
    <row r="28905">
      <c r="BB28905" s="122"/>
      <c r="BC28905" s="141"/>
    </row>
    <row r="28906">
      <c r="BB28906" s="122"/>
      <c r="BC28906" s="141"/>
    </row>
    <row r="28907">
      <c r="BB28907" s="122"/>
      <c r="BC28907" s="141"/>
    </row>
    <row r="28908">
      <c r="BB28908" s="122"/>
      <c r="BC28908" s="141"/>
    </row>
    <row r="28909">
      <c r="BB28909" s="122"/>
      <c r="BC28909" s="141"/>
    </row>
    <row r="28910">
      <c r="BB28910" s="122"/>
      <c r="BC28910" s="141"/>
    </row>
    <row r="28911">
      <c r="BB28911" s="122"/>
      <c r="BC28911" s="141"/>
    </row>
    <row r="28912">
      <c r="BB28912" s="122"/>
      <c r="BC28912" s="141"/>
    </row>
    <row r="28913">
      <c r="BB28913" s="122"/>
      <c r="BC28913" s="141"/>
    </row>
    <row r="28914">
      <c r="BB28914" s="122"/>
      <c r="BC28914" s="141"/>
    </row>
    <row r="28915">
      <c r="BB28915" s="122"/>
      <c r="BC28915" s="141"/>
    </row>
    <row r="28916">
      <c r="BB28916" s="122"/>
      <c r="BC28916" s="141"/>
    </row>
    <row r="28917">
      <c r="BB28917" s="122"/>
      <c r="BC28917" s="141"/>
    </row>
    <row r="28918">
      <c r="BB28918" s="122"/>
      <c r="BC28918" s="141"/>
    </row>
    <row r="28919">
      <c r="BB28919" s="122"/>
      <c r="BC28919" s="141"/>
    </row>
    <row r="28920">
      <c r="BB28920" s="122"/>
      <c r="BC28920" s="141"/>
    </row>
    <row r="28921">
      <c r="BB28921" s="122"/>
      <c r="BC28921" s="141"/>
    </row>
    <row r="28922">
      <c r="BB28922" s="122"/>
      <c r="BC28922" s="141"/>
    </row>
    <row r="28923">
      <c r="BB28923" s="122"/>
      <c r="BC28923" s="141"/>
    </row>
    <row r="28924">
      <c r="BB28924" s="122"/>
      <c r="BC28924" s="141"/>
    </row>
    <row r="28925">
      <c r="BB28925" s="122"/>
      <c r="BC28925" s="141"/>
    </row>
    <row r="28926">
      <c r="BB28926" s="122"/>
      <c r="BC28926" s="141"/>
    </row>
    <row r="28927">
      <c r="BB28927" s="122"/>
      <c r="BC28927" s="141"/>
    </row>
    <row r="28928">
      <c r="BB28928" s="122"/>
      <c r="BC28928" s="141"/>
    </row>
    <row r="28929">
      <c r="BB28929" s="122"/>
      <c r="BC28929" s="141"/>
    </row>
    <row r="28930">
      <c r="BB28930" s="122"/>
      <c r="BC28930" s="141"/>
    </row>
    <row r="28931">
      <c r="BB28931" s="122"/>
      <c r="BC28931" s="141"/>
    </row>
    <row r="28932">
      <c r="BB28932" s="122"/>
      <c r="BC28932" s="141"/>
    </row>
    <row r="28933">
      <c r="BB28933" s="122"/>
      <c r="BC28933" s="141"/>
    </row>
    <row r="28934">
      <c r="BB28934" s="122"/>
      <c r="BC28934" s="141"/>
    </row>
    <row r="28935">
      <c r="BB28935" s="122"/>
      <c r="BC28935" s="141"/>
    </row>
    <row r="28936">
      <c r="BB28936" s="122"/>
      <c r="BC28936" s="141"/>
    </row>
    <row r="28937">
      <c r="BB28937" s="122"/>
      <c r="BC28937" s="141"/>
    </row>
    <row r="28938">
      <c r="BB28938" s="122"/>
      <c r="BC28938" s="141"/>
    </row>
    <row r="28939">
      <c r="BB28939" s="122"/>
      <c r="BC28939" s="141"/>
    </row>
    <row r="28940">
      <c r="BB28940" s="122"/>
      <c r="BC28940" s="141"/>
    </row>
    <row r="28941">
      <c r="BB28941" s="122"/>
      <c r="BC28941" s="141"/>
    </row>
    <row r="28942">
      <c r="BB28942" s="122"/>
      <c r="BC28942" s="141"/>
    </row>
    <row r="28943">
      <c r="BB28943" s="122"/>
      <c r="BC28943" s="141"/>
    </row>
    <row r="28944">
      <c r="BB28944" s="122"/>
      <c r="BC28944" s="141"/>
    </row>
    <row r="28945">
      <c r="BB28945" s="122"/>
      <c r="BC28945" s="141"/>
    </row>
    <row r="28946">
      <c r="BB28946" s="122"/>
      <c r="BC28946" s="141"/>
    </row>
    <row r="28947">
      <c r="BB28947" s="122"/>
      <c r="BC28947" s="141"/>
    </row>
    <row r="28948">
      <c r="BB28948" s="122"/>
      <c r="BC28948" s="141"/>
    </row>
    <row r="28949">
      <c r="BB28949" s="122"/>
      <c r="BC28949" s="141"/>
    </row>
    <row r="28950">
      <c r="BB28950" s="122"/>
      <c r="BC28950" s="141"/>
    </row>
    <row r="28951">
      <c r="BB28951" s="122"/>
      <c r="BC28951" s="141"/>
    </row>
    <row r="28952">
      <c r="BB28952" s="122"/>
      <c r="BC28952" s="141"/>
    </row>
    <row r="28953">
      <c r="BB28953" s="122"/>
      <c r="BC28953" s="141"/>
    </row>
    <row r="28954">
      <c r="BB28954" s="122"/>
      <c r="BC28954" s="141"/>
    </row>
    <row r="28955">
      <c r="BB28955" s="122"/>
      <c r="BC28955" s="141"/>
    </row>
    <row r="28956">
      <c r="BB28956" s="122"/>
      <c r="BC28956" s="141"/>
    </row>
    <row r="28957">
      <c r="BB28957" s="122"/>
      <c r="BC28957" s="141"/>
    </row>
    <row r="28958">
      <c r="BB28958" s="122"/>
      <c r="BC28958" s="141"/>
    </row>
    <row r="28959">
      <c r="BB28959" s="122"/>
      <c r="BC28959" s="141"/>
    </row>
    <row r="28960">
      <c r="BB28960" s="122"/>
      <c r="BC28960" s="141"/>
    </row>
    <row r="28961">
      <c r="BB28961" s="122"/>
      <c r="BC28961" s="141"/>
    </row>
    <row r="28962">
      <c r="BB28962" s="122"/>
      <c r="BC28962" s="141"/>
    </row>
    <row r="28963">
      <c r="BB28963" s="122"/>
      <c r="BC28963" s="141"/>
    </row>
    <row r="28964">
      <c r="BB28964" s="122"/>
      <c r="BC28964" s="141"/>
    </row>
    <row r="28965">
      <c r="BB28965" s="122"/>
      <c r="BC28965" s="141"/>
    </row>
    <row r="28966">
      <c r="BB28966" s="122"/>
      <c r="BC28966" s="141"/>
    </row>
    <row r="28967">
      <c r="BB28967" s="122"/>
      <c r="BC28967" s="141"/>
    </row>
    <row r="28968">
      <c r="BB28968" s="122"/>
      <c r="BC28968" s="141"/>
    </row>
    <row r="28969">
      <c r="BB28969" s="122"/>
      <c r="BC28969" s="141"/>
    </row>
    <row r="28970">
      <c r="BB28970" s="122"/>
      <c r="BC28970" s="141"/>
    </row>
    <row r="28971">
      <c r="BB28971" s="122"/>
      <c r="BC28971" s="141"/>
    </row>
    <row r="28972">
      <c r="BB28972" s="122"/>
      <c r="BC28972" s="141"/>
    </row>
    <row r="28973">
      <c r="BB28973" s="122"/>
      <c r="BC28973" s="141"/>
    </row>
    <row r="28974">
      <c r="BB28974" s="122"/>
      <c r="BC28974" s="141"/>
    </row>
    <row r="28975">
      <c r="BB28975" s="122"/>
      <c r="BC28975" s="141"/>
    </row>
    <row r="28976">
      <c r="BB28976" s="122"/>
      <c r="BC28976" s="141"/>
    </row>
    <row r="28977">
      <c r="BB28977" s="122"/>
      <c r="BC28977" s="141"/>
    </row>
    <row r="28978">
      <c r="BB28978" s="122"/>
      <c r="BC28978" s="141"/>
    </row>
    <row r="28979">
      <c r="BB28979" s="122"/>
      <c r="BC28979" s="141"/>
    </row>
    <row r="28980">
      <c r="BB28980" s="122"/>
      <c r="BC28980" s="141"/>
    </row>
    <row r="28981">
      <c r="BB28981" s="122"/>
      <c r="BC28981" s="141"/>
    </row>
    <row r="28982">
      <c r="BB28982" s="122"/>
      <c r="BC28982" s="141"/>
    </row>
    <row r="28983">
      <c r="BB28983" s="122"/>
      <c r="BC28983" s="141"/>
    </row>
    <row r="28984">
      <c r="BB28984" s="122"/>
      <c r="BC28984" s="141"/>
    </row>
    <row r="28985">
      <c r="BB28985" s="122"/>
      <c r="BC28985" s="141"/>
    </row>
    <row r="28986">
      <c r="BB28986" s="122"/>
      <c r="BC28986" s="141"/>
    </row>
    <row r="28987">
      <c r="BB28987" s="122"/>
      <c r="BC28987" s="141"/>
    </row>
    <row r="28988">
      <c r="BB28988" s="122"/>
      <c r="BC28988" s="141"/>
    </row>
    <row r="28989">
      <c r="BB28989" s="122"/>
      <c r="BC28989" s="141"/>
    </row>
    <row r="28990">
      <c r="BB28990" s="122"/>
      <c r="BC28990" s="141"/>
    </row>
    <row r="28991">
      <c r="BB28991" s="122"/>
      <c r="BC28991" s="141"/>
    </row>
    <row r="28992">
      <c r="BB28992" s="122"/>
      <c r="BC28992" s="141"/>
    </row>
    <row r="28993">
      <c r="BB28993" s="122"/>
      <c r="BC28993" s="141"/>
    </row>
    <row r="28994">
      <c r="BB28994" s="122"/>
      <c r="BC28994" s="141"/>
    </row>
    <row r="28995">
      <c r="BB28995" s="122"/>
      <c r="BC28995" s="141"/>
    </row>
    <row r="28996">
      <c r="BB28996" s="122"/>
      <c r="BC28996" s="141"/>
    </row>
    <row r="28997">
      <c r="BB28997" s="122"/>
      <c r="BC28997" s="141"/>
    </row>
    <row r="28998">
      <c r="BB28998" s="122"/>
      <c r="BC28998" s="141"/>
    </row>
    <row r="28999">
      <c r="BB28999" s="122"/>
      <c r="BC28999" s="141"/>
    </row>
    <row r="29000">
      <c r="BB29000" s="122"/>
      <c r="BC29000" s="141"/>
    </row>
    <row r="29001">
      <c r="BB29001" s="122"/>
      <c r="BC29001" s="141"/>
    </row>
    <row r="29002">
      <c r="BB29002" s="122"/>
      <c r="BC29002" s="141"/>
    </row>
    <row r="29003">
      <c r="BB29003" s="122"/>
      <c r="BC29003" s="141"/>
    </row>
    <row r="29004">
      <c r="BB29004" s="122"/>
      <c r="BC29004" s="141"/>
    </row>
    <row r="29005">
      <c r="BB29005" s="122"/>
      <c r="BC29005" s="141"/>
    </row>
    <row r="29006">
      <c r="BB29006" s="122"/>
      <c r="BC29006" s="141"/>
    </row>
    <row r="29007">
      <c r="BB29007" s="122"/>
      <c r="BC29007" s="141"/>
    </row>
    <row r="29008">
      <c r="BB29008" s="122"/>
      <c r="BC29008" s="141"/>
    </row>
    <row r="29009">
      <c r="BB29009" s="122"/>
      <c r="BC29009" s="141"/>
    </row>
    <row r="29010">
      <c r="BB29010" s="122"/>
      <c r="BC29010" s="141"/>
    </row>
    <row r="29011">
      <c r="BB29011" s="122"/>
      <c r="BC29011" s="141"/>
    </row>
    <row r="29012">
      <c r="BB29012" s="122"/>
      <c r="BC29012" s="141"/>
    </row>
    <row r="29013">
      <c r="BB29013" s="122"/>
      <c r="BC29013" s="141"/>
    </row>
    <row r="29014">
      <c r="BB29014" s="122"/>
      <c r="BC29014" s="141"/>
    </row>
    <row r="29015">
      <c r="BB29015" s="122"/>
      <c r="BC29015" s="141"/>
    </row>
    <row r="29016">
      <c r="BB29016" s="122"/>
      <c r="BC29016" s="141"/>
    </row>
    <row r="29017">
      <c r="BB29017" s="122"/>
      <c r="BC29017" s="141"/>
    </row>
    <row r="29018">
      <c r="BB29018" s="122"/>
      <c r="BC29018" s="141"/>
    </row>
    <row r="29019">
      <c r="BB29019" s="122"/>
      <c r="BC29019" s="141"/>
    </row>
    <row r="29020">
      <c r="BB29020" s="122"/>
      <c r="BC29020" s="141"/>
    </row>
    <row r="29021">
      <c r="BB29021" s="122"/>
      <c r="BC29021" s="141"/>
    </row>
    <row r="29022">
      <c r="BB29022" s="122"/>
      <c r="BC29022" s="141"/>
    </row>
    <row r="29023">
      <c r="BB29023" s="122"/>
      <c r="BC29023" s="141"/>
    </row>
    <row r="29024">
      <c r="BB29024" s="122"/>
      <c r="BC29024" s="141"/>
    </row>
    <row r="29025">
      <c r="BB29025" s="122"/>
      <c r="BC29025" s="141"/>
    </row>
    <row r="29026">
      <c r="BB29026" s="122"/>
      <c r="BC29026" s="141"/>
    </row>
    <row r="29027">
      <c r="BB29027" s="122"/>
      <c r="BC29027" s="141"/>
    </row>
    <row r="29028">
      <c r="BB29028" s="122"/>
      <c r="BC29028" s="141"/>
    </row>
    <row r="29029">
      <c r="BB29029" s="122"/>
      <c r="BC29029" s="141"/>
    </row>
    <row r="29030">
      <c r="BB29030" s="122"/>
      <c r="BC29030" s="141"/>
    </row>
    <row r="29031">
      <c r="BB29031" s="122"/>
      <c r="BC29031" s="141"/>
    </row>
    <row r="29032">
      <c r="BB29032" s="122"/>
      <c r="BC29032" s="141"/>
    </row>
    <row r="29033">
      <c r="BB29033" s="122"/>
      <c r="BC29033" s="141"/>
    </row>
    <row r="29034">
      <c r="BB29034" s="122"/>
      <c r="BC29034" s="141"/>
    </row>
    <row r="29035">
      <c r="BB29035" s="122"/>
      <c r="BC29035" s="141"/>
    </row>
    <row r="29036">
      <c r="BB29036" s="122"/>
      <c r="BC29036" s="141"/>
    </row>
    <row r="29037">
      <c r="BB29037" s="122"/>
      <c r="BC29037" s="141"/>
    </row>
    <row r="29038">
      <c r="BB29038" s="122"/>
      <c r="BC29038" s="141"/>
    </row>
    <row r="29039">
      <c r="BB29039" s="122"/>
      <c r="BC29039" s="141"/>
    </row>
    <row r="29040">
      <c r="BB29040" s="122"/>
      <c r="BC29040" s="141"/>
    </row>
    <row r="29041">
      <c r="BB29041" s="122"/>
      <c r="BC29041" s="141"/>
    </row>
    <row r="29042">
      <c r="BB29042" s="122"/>
      <c r="BC29042" s="141"/>
    </row>
    <row r="29043">
      <c r="BB29043" s="122"/>
      <c r="BC29043" s="141"/>
    </row>
    <row r="29044">
      <c r="BB29044" s="122"/>
      <c r="BC29044" s="141"/>
    </row>
    <row r="29045">
      <c r="BB29045" s="122"/>
      <c r="BC29045" s="141"/>
    </row>
    <row r="29046">
      <c r="BB29046" s="122"/>
      <c r="BC29046" s="141"/>
    </row>
    <row r="29047">
      <c r="BB29047" s="122"/>
      <c r="BC29047" s="141"/>
    </row>
    <row r="29048">
      <c r="BB29048" s="122"/>
      <c r="BC29048" s="141"/>
    </row>
    <row r="29049">
      <c r="BB29049" s="122"/>
      <c r="BC29049" s="141"/>
    </row>
    <row r="29050">
      <c r="BB29050" s="122"/>
      <c r="BC29050" s="141"/>
    </row>
    <row r="29051">
      <c r="BB29051" s="122"/>
      <c r="BC29051" s="141"/>
    </row>
    <row r="29052">
      <c r="BB29052" s="122"/>
      <c r="BC29052" s="141"/>
    </row>
    <row r="29053">
      <c r="BB29053" s="122"/>
      <c r="BC29053" s="141"/>
    </row>
    <row r="29054">
      <c r="BB29054" s="122"/>
      <c r="BC29054" s="141"/>
    </row>
    <row r="29055">
      <c r="BB29055" s="122"/>
      <c r="BC29055" s="141"/>
    </row>
    <row r="29056">
      <c r="BB29056" s="122"/>
      <c r="BC29056" s="141"/>
    </row>
    <row r="29057">
      <c r="BB29057" s="122"/>
      <c r="BC29057" s="141"/>
    </row>
    <row r="29058">
      <c r="BB29058" s="122"/>
      <c r="BC29058" s="141"/>
    </row>
    <row r="29059">
      <c r="BB29059" s="122"/>
      <c r="BC29059" s="141"/>
    </row>
    <row r="29060">
      <c r="BB29060" s="122"/>
      <c r="BC29060" s="141"/>
    </row>
    <row r="29061">
      <c r="BB29061" s="122"/>
      <c r="BC29061" s="141"/>
    </row>
    <row r="29062">
      <c r="BB29062" s="122"/>
      <c r="BC29062" s="141"/>
    </row>
    <row r="29063">
      <c r="BB29063" s="122"/>
      <c r="BC29063" s="141"/>
    </row>
    <row r="29064">
      <c r="BB29064" s="122"/>
      <c r="BC29064" s="141"/>
    </row>
    <row r="29065">
      <c r="BB29065" s="122"/>
      <c r="BC29065" s="141"/>
    </row>
    <row r="29066">
      <c r="BB29066" s="122"/>
      <c r="BC29066" s="141"/>
    </row>
    <row r="29067">
      <c r="BB29067" s="122"/>
      <c r="BC29067" s="141"/>
    </row>
    <row r="29068">
      <c r="BB29068" s="122"/>
      <c r="BC29068" s="141"/>
    </row>
    <row r="29069">
      <c r="BB29069" s="122"/>
      <c r="BC29069" s="141"/>
    </row>
    <row r="29070">
      <c r="BB29070" s="122"/>
      <c r="BC29070" s="141"/>
    </row>
    <row r="29071">
      <c r="BB29071" s="122"/>
      <c r="BC29071" s="141"/>
    </row>
    <row r="29072">
      <c r="BB29072" s="122"/>
      <c r="BC29072" s="141"/>
    </row>
    <row r="29073">
      <c r="BB29073" s="122"/>
      <c r="BC29073" s="141"/>
    </row>
    <row r="29074">
      <c r="BB29074" s="122"/>
      <c r="BC29074" s="141"/>
    </row>
    <row r="29075">
      <c r="BB29075" s="122"/>
      <c r="BC29075" s="141"/>
    </row>
    <row r="29076">
      <c r="BB29076" s="122"/>
      <c r="BC29076" s="141"/>
    </row>
    <row r="29077">
      <c r="BB29077" s="122"/>
      <c r="BC29077" s="141"/>
    </row>
    <row r="29078">
      <c r="BB29078" s="122"/>
      <c r="BC29078" s="141"/>
    </row>
    <row r="29079">
      <c r="BB29079" s="122"/>
      <c r="BC29079" s="141"/>
    </row>
    <row r="29080">
      <c r="BB29080" s="122"/>
      <c r="BC29080" s="141"/>
    </row>
    <row r="29081">
      <c r="BB29081" s="122"/>
      <c r="BC29081" s="141"/>
    </row>
    <row r="29082">
      <c r="BB29082" s="122"/>
      <c r="BC29082" s="141"/>
    </row>
    <row r="29083">
      <c r="BB29083" s="122"/>
      <c r="BC29083" s="141"/>
    </row>
    <row r="29084">
      <c r="BB29084" s="122"/>
      <c r="BC29084" s="141"/>
    </row>
    <row r="29085">
      <c r="BB29085" s="122"/>
      <c r="BC29085" s="141"/>
    </row>
    <row r="29086">
      <c r="BB29086" s="122"/>
      <c r="BC29086" s="141"/>
    </row>
    <row r="29087">
      <c r="BB29087" s="122"/>
      <c r="BC29087" s="141"/>
    </row>
    <row r="29088">
      <c r="BB29088" s="122"/>
      <c r="BC29088" s="141"/>
    </row>
    <row r="29089">
      <c r="BB29089" s="122"/>
      <c r="BC29089" s="141"/>
    </row>
    <row r="29090">
      <c r="BB29090" s="122"/>
      <c r="BC29090" s="141"/>
    </row>
    <row r="29091">
      <c r="BB29091" s="122"/>
      <c r="BC29091" s="141"/>
    </row>
    <row r="29092">
      <c r="BB29092" s="122"/>
      <c r="BC29092" s="141"/>
    </row>
    <row r="29093">
      <c r="BB29093" s="122"/>
      <c r="BC29093" s="141"/>
    </row>
    <row r="29094">
      <c r="BB29094" s="122"/>
      <c r="BC29094" s="141"/>
    </row>
    <row r="29095">
      <c r="BB29095" s="122"/>
      <c r="BC29095" s="141"/>
    </row>
    <row r="29096">
      <c r="BB29096" s="122"/>
      <c r="BC29096" s="141"/>
    </row>
    <row r="29097">
      <c r="BB29097" s="122"/>
      <c r="BC29097" s="141"/>
    </row>
    <row r="29098">
      <c r="BB29098" s="122"/>
      <c r="BC29098" s="141"/>
    </row>
    <row r="29099">
      <c r="BB29099" s="122"/>
      <c r="BC29099" s="141"/>
    </row>
    <row r="29100">
      <c r="BB29100" s="122"/>
      <c r="BC29100" s="141"/>
    </row>
    <row r="29101">
      <c r="BB29101" s="122"/>
      <c r="BC29101" s="141"/>
    </row>
    <row r="29102">
      <c r="BB29102" s="122"/>
      <c r="BC29102" s="141"/>
    </row>
    <row r="29103">
      <c r="BB29103" s="122"/>
      <c r="BC29103" s="141"/>
    </row>
    <row r="29104">
      <c r="BB29104" s="122"/>
      <c r="BC29104" s="141"/>
    </row>
    <row r="29105">
      <c r="BB29105" s="122"/>
      <c r="BC29105" s="141"/>
    </row>
    <row r="29106">
      <c r="BB29106" s="122"/>
      <c r="BC29106" s="141"/>
    </row>
    <row r="29107">
      <c r="BB29107" s="122"/>
      <c r="BC29107" s="141"/>
    </row>
    <row r="29108">
      <c r="BB29108" s="122"/>
      <c r="BC29108" s="141"/>
    </row>
    <row r="29109">
      <c r="BB29109" s="122"/>
      <c r="BC29109" s="141"/>
    </row>
    <row r="29110">
      <c r="BB29110" s="122"/>
      <c r="BC29110" s="141"/>
    </row>
    <row r="29111">
      <c r="BB29111" s="122"/>
      <c r="BC29111" s="141"/>
    </row>
    <row r="29112">
      <c r="BB29112" s="122"/>
      <c r="BC29112" s="141"/>
    </row>
    <row r="29113">
      <c r="BB29113" s="122"/>
      <c r="BC29113" s="141"/>
    </row>
    <row r="29114">
      <c r="BB29114" s="122"/>
      <c r="BC29114" s="141"/>
    </row>
    <row r="29115">
      <c r="BB29115" s="122"/>
      <c r="BC29115" s="141"/>
    </row>
    <row r="29116">
      <c r="BB29116" s="122"/>
      <c r="BC29116" s="141"/>
    </row>
    <row r="29117">
      <c r="BB29117" s="122"/>
      <c r="BC29117" s="141"/>
    </row>
    <row r="29118">
      <c r="BB29118" s="122"/>
      <c r="BC29118" s="141"/>
    </row>
    <row r="29119">
      <c r="BB29119" s="122"/>
      <c r="BC29119" s="141"/>
    </row>
    <row r="29120">
      <c r="BB29120" s="122"/>
      <c r="BC29120" s="141"/>
    </row>
    <row r="29121">
      <c r="BB29121" s="122"/>
      <c r="BC29121" s="141"/>
    </row>
    <row r="29122">
      <c r="BB29122" s="122"/>
      <c r="BC29122" s="141"/>
    </row>
    <row r="29123">
      <c r="BB29123" s="122"/>
      <c r="BC29123" s="141"/>
    </row>
    <row r="29124">
      <c r="BB29124" s="122"/>
      <c r="BC29124" s="141"/>
    </row>
    <row r="29125">
      <c r="BB29125" s="122"/>
      <c r="BC29125" s="141"/>
    </row>
    <row r="29126">
      <c r="BB29126" s="122"/>
      <c r="BC29126" s="141"/>
    </row>
    <row r="29127">
      <c r="BB29127" s="122"/>
      <c r="BC29127" s="141"/>
    </row>
    <row r="29128">
      <c r="BB29128" s="122"/>
      <c r="BC29128" s="141"/>
    </row>
    <row r="29129">
      <c r="BB29129" s="122"/>
      <c r="BC29129" s="141"/>
    </row>
    <row r="29130">
      <c r="BB29130" s="122"/>
      <c r="BC29130" s="141"/>
    </row>
    <row r="29131">
      <c r="BB29131" s="122"/>
      <c r="BC29131" s="141"/>
    </row>
    <row r="29132">
      <c r="BB29132" s="122"/>
      <c r="BC29132" s="141"/>
    </row>
    <row r="29133">
      <c r="BB29133" s="122"/>
      <c r="BC29133" s="141"/>
    </row>
    <row r="29134">
      <c r="BB29134" s="122"/>
      <c r="BC29134" s="141"/>
    </row>
    <row r="29135">
      <c r="BB29135" s="122"/>
      <c r="BC29135" s="141"/>
    </row>
    <row r="29136">
      <c r="BB29136" s="122"/>
      <c r="BC29136" s="141"/>
    </row>
    <row r="29137">
      <c r="BB29137" s="122"/>
      <c r="BC29137" s="141"/>
    </row>
    <row r="29138">
      <c r="BB29138" s="122"/>
      <c r="BC29138" s="141"/>
    </row>
    <row r="29139">
      <c r="BB29139" s="122"/>
      <c r="BC29139" s="141"/>
    </row>
    <row r="29140">
      <c r="BB29140" s="122"/>
      <c r="BC29140" s="141"/>
    </row>
    <row r="29141">
      <c r="BB29141" s="122"/>
      <c r="BC29141" s="141"/>
    </row>
    <row r="29142">
      <c r="BB29142" s="122"/>
      <c r="BC29142" s="141"/>
    </row>
    <row r="29143">
      <c r="BB29143" s="122"/>
      <c r="BC29143" s="141"/>
    </row>
    <row r="29144">
      <c r="BB29144" s="122"/>
      <c r="BC29144" s="141"/>
    </row>
    <row r="29145">
      <c r="BB29145" s="122"/>
      <c r="BC29145" s="141"/>
    </row>
    <row r="29146">
      <c r="BB29146" s="122"/>
      <c r="BC29146" s="141"/>
    </row>
    <row r="29147">
      <c r="BB29147" s="122"/>
      <c r="BC29147" s="141"/>
    </row>
    <row r="29148">
      <c r="BB29148" s="122"/>
      <c r="BC29148" s="141"/>
    </row>
    <row r="29149">
      <c r="BB29149" s="122"/>
      <c r="BC29149" s="141"/>
    </row>
    <row r="29150">
      <c r="BB29150" s="122"/>
      <c r="BC29150" s="141"/>
    </row>
    <row r="29151">
      <c r="BB29151" s="122"/>
      <c r="BC29151" s="141"/>
    </row>
    <row r="29152">
      <c r="BB29152" s="122"/>
      <c r="BC29152" s="141"/>
    </row>
    <row r="29153">
      <c r="BB29153" s="122"/>
      <c r="BC29153" s="141"/>
    </row>
    <row r="29154">
      <c r="BB29154" s="122"/>
      <c r="BC29154" s="141"/>
    </row>
    <row r="29155">
      <c r="BB29155" s="122"/>
      <c r="BC29155" s="141"/>
    </row>
    <row r="29156">
      <c r="BB29156" s="122"/>
      <c r="BC29156" s="141"/>
    </row>
    <row r="29157">
      <c r="BB29157" s="122"/>
      <c r="BC29157" s="141"/>
    </row>
    <row r="29158">
      <c r="BB29158" s="122"/>
      <c r="BC29158" s="141"/>
    </row>
    <row r="29159">
      <c r="BB29159" s="122"/>
      <c r="BC29159" s="141"/>
    </row>
    <row r="29160">
      <c r="BB29160" s="122"/>
      <c r="BC29160" s="141"/>
    </row>
    <row r="29161">
      <c r="BB29161" s="122"/>
      <c r="BC29161" s="141"/>
    </row>
    <row r="29162">
      <c r="BB29162" s="122"/>
      <c r="BC29162" s="141"/>
    </row>
    <row r="29163">
      <c r="BB29163" s="122"/>
      <c r="BC29163" s="141"/>
    </row>
    <row r="29164">
      <c r="BB29164" s="122"/>
      <c r="BC29164" s="141"/>
    </row>
    <row r="29165">
      <c r="BB29165" s="122"/>
      <c r="BC29165" s="141"/>
    </row>
    <row r="29166">
      <c r="BB29166" s="122"/>
      <c r="BC29166" s="141"/>
    </row>
    <row r="29167">
      <c r="BB29167" s="122"/>
      <c r="BC29167" s="141"/>
    </row>
    <row r="29168">
      <c r="BB29168" s="122"/>
      <c r="BC29168" s="141"/>
    </row>
    <row r="29169">
      <c r="BB29169" s="122"/>
      <c r="BC29169" s="141"/>
    </row>
    <row r="29170">
      <c r="BB29170" s="122"/>
      <c r="BC29170" s="141"/>
    </row>
    <row r="29171">
      <c r="BB29171" s="122"/>
      <c r="BC29171" s="141"/>
    </row>
    <row r="29172">
      <c r="BB29172" s="122"/>
      <c r="BC29172" s="141"/>
    </row>
    <row r="29173">
      <c r="BB29173" s="122"/>
      <c r="BC29173" s="141"/>
    </row>
    <row r="29174">
      <c r="BB29174" s="122"/>
      <c r="BC29174" s="141"/>
    </row>
    <row r="29175">
      <c r="BB29175" s="122"/>
      <c r="BC29175" s="141"/>
    </row>
    <row r="29176">
      <c r="BB29176" s="122"/>
      <c r="BC29176" s="141"/>
    </row>
    <row r="29177">
      <c r="BB29177" s="122"/>
      <c r="BC29177" s="141"/>
    </row>
    <row r="29178">
      <c r="BB29178" s="122"/>
      <c r="BC29178" s="141"/>
    </row>
    <row r="29179">
      <c r="BB29179" s="122"/>
      <c r="BC29179" s="141"/>
    </row>
    <row r="29180">
      <c r="BB29180" s="122"/>
      <c r="BC29180" s="141"/>
    </row>
    <row r="29181">
      <c r="BB29181" s="122"/>
      <c r="BC29181" s="141"/>
    </row>
    <row r="29182">
      <c r="BB29182" s="122"/>
      <c r="BC29182" s="141"/>
    </row>
    <row r="29183">
      <c r="BB29183" s="122"/>
      <c r="BC29183" s="141"/>
    </row>
    <row r="29184">
      <c r="BB29184" s="122"/>
      <c r="BC29184" s="141"/>
    </row>
    <row r="29185">
      <c r="BB29185" s="122"/>
      <c r="BC29185" s="141"/>
    </row>
    <row r="29186">
      <c r="BB29186" s="122"/>
      <c r="BC29186" s="141"/>
    </row>
    <row r="29187">
      <c r="BB29187" s="122"/>
      <c r="BC29187" s="141"/>
    </row>
    <row r="29188">
      <c r="BB29188" s="122"/>
      <c r="BC29188" s="141"/>
    </row>
    <row r="29189">
      <c r="BB29189" s="122"/>
      <c r="BC29189" s="141"/>
    </row>
    <row r="29190">
      <c r="BB29190" s="122"/>
      <c r="BC29190" s="141"/>
    </row>
    <row r="29191">
      <c r="BB29191" s="122"/>
      <c r="BC29191" s="141"/>
    </row>
    <row r="29192">
      <c r="BB29192" s="122"/>
      <c r="BC29192" s="141"/>
    </row>
    <row r="29193">
      <c r="BB29193" s="122"/>
      <c r="BC29193" s="141"/>
    </row>
    <row r="29194">
      <c r="BB29194" s="122"/>
      <c r="BC29194" s="141"/>
    </row>
    <row r="29195">
      <c r="BB29195" s="122"/>
      <c r="BC29195" s="141"/>
    </row>
    <row r="29196">
      <c r="BB29196" s="122"/>
      <c r="BC29196" s="141"/>
    </row>
    <row r="29197">
      <c r="BB29197" s="122"/>
      <c r="BC29197" s="141"/>
    </row>
    <row r="29198">
      <c r="BB29198" s="122"/>
      <c r="BC29198" s="141"/>
    </row>
    <row r="29199">
      <c r="BB29199" s="122"/>
      <c r="BC29199" s="141"/>
    </row>
    <row r="29200">
      <c r="BB29200" s="122"/>
      <c r="BC29200" s="141"/>
    </row>
    <row r="29201">
      <c r="BB29201" s="122"/>
      <c r="BC29201" s="141"/>
    </row>
    <row r="29202">
      <c r="BB29202" s="122"/>
      <c r="BC29202" s="141"/>
    </row>
    <row r="29203">
      <c r="BB29203" s="122"/>
      <c r="BC29203" s="141"/>
    </row>
    <row r="29204">
      <c r="BB29204" s="122"/>
      <c r="BC29204" s="141"/>
    </row>
    <row r="29205">
      <c r="BB29205" s="122"/>
      <c r="BC29205" s="141"/>
    </row>
    <row r="29206">
      <c r="BB29206" s="122"/>
      <c r="BC29206" s="141"/>
    </row>
    <row r="29207">
      <c r="BB29207" s="122"/>
      <c r="BC29207" s="141"/>
    </row>
    <row r="29208">
      <c r="BB29208" s="122"/>
      <c r="BC29208" s="141"/>
    </row>
    <row r="29209">
      <c r="BB29209" s="122"/>
      <c r="BC29209" s="141"/>
    </row>
    <row r="29210">
      <c r="BB29210" s="122"/>
      <c r="BC29210" s="141"/>
    </row>
    <row r="29211">
      <c r="BB29211" s="122"/>
      <c r="BC29211" s="141"/>
    </row>
    <row r="29212">
      <c r="BB29212" s="122"/>
      <c r="BC29212" s="141"/>
    </row>
    <row r="29213">
      <c r="BB29213" s="122"/>
      <c r="BC29213" s="141"/>
    </row>
    <row r="29214">
      <c r="BB29214" s="122"/>
      <c r="BC29214" s="141"/>
    </row>
    <row r="29215">
      <c r="BB29215" s="122"/>
      <c r="BC29215" s="141"/>
    </row>
    <row r="29216">
      <c r="BB29216" s="122"/>
      <c r="BC29216" s="141"/>
    </row>
    <row r="29217">
      <c r="BB29217" s="122"/>
      <c r="BC29217" s="141"/>
    </row>
    <row r="29218">
      <c r="BB29218" s="122"/>
      <c r="BC29218" s="141"/>
    </row>
    <row r="29219">
      <c r="BB29219" s="122"/>
      <c r="BC29219" s="141"/>
    </row>
    <row r="29220">
      <c r="BB29220" s="122"/>
      <c r="BC29220" s="141"/>
    </row>
    <row r="29221">
      <c r="BB29221" s="122"/>
      <c r="BC29221" s="141"/>
    </row>
    <row r="29222">
      <c r="BB29222" s="122"/>
      <c r="BC29222" s="141"/>
    </row>
    <row r="29223">
      <c r="BB29223" s="122"/>
      <c r="BC29223" s="141"/>
    </row>
    <row r="29224">
      <c r="BB29224" s="122"/>
      <c r="BC29224" s="141"/>
    </row>
    <row r="29225">
      <c r="BB29225" s="122"/>
      <c r="BC29225" s="141"/>
    </row>
    <row r="29226">
      <c r="BB29226" s="122"/>
      <c r="BC29226" s="141"/>
    </row>
    <row r="29227">
      <c r="BB29227" s="122"/>
      <c r="BC29227" s="141"/>
    </row>
    <row r="29228">
      <c r="BB29228" s="122"/>
      <c r="BC29228" s="141"/>
    </row>
    <row r="29229">
      <c r="BB29229" s="122"/>
      <c r="BC29229" s="141"/>
    </row>
    <row r="29230">
      <c r="BB29230" s="122"/>
      <c r="BC29230" s="141"/>
    </row>
    <row r="29231">
      <c r="BB29231" s="122"/>
      <c r="BC29231" s="141"/>
    </row>
    <row r="29232">
      <c r="BB29232" s="122"/>
      <c r="BC29232" s="141"/>
    </row>
    <row r="29233">
      <c r="BB29233" s="122"/>
      <c r="BC29233" s="141"/>
    </row>
    <row r="29234">
      <c r="BB29234" s="122"/>
      <c r="BC29234" s="141"/>
    </row>
    <row r="29235">
      <c r="BB29235" s="122"/>
      <c r="BC29235" s="141"/>
    </row>
    <row r="29236">
      <c r="BB29236" s="122"/>
      <c r="BC29236" s="141"/>
    </row>
    <row r="29237">
      <c r="BB29237" s="122"/>
      <c r="BC29237" s="141"/>
    </row>
    <row r="29238">
      <c r="BB29238" s="122"/>
      <c r="BC29238" s="141"/>
    </row>
    <row r="29239">
      <c r="BB29239" s="122"/>
      <c r="BC29239" s="141"/>
    </row>
    <row r="29240">
      <c r="BB29240" s="122"/>
      <c r="BC29240" s="141"/>
    </row>
    <row r="29241">
      <c r="BB29241" s="122"/>
      <c r="BC29241" s="141"/>
    </row>
    <row r="29242">
      <c r="BB29242" s="122"/>
      <c r="BC29242" s="141"/>
    </row>
    <row r="29243">
      <c r="BB29243" s="122"/>
      <c r="BC29243" s="141"/>
    </row>
    <row r="29244">
      <c r="BB29244" s="122"/>
      <c r="BC29244" s="141"/>
    </row>
    <row r="29245">
      <c r="BB29245" s="122"/>
      <c r="BC29245" s="141"/>
    </row>
    <row r="29246">
      <c r="BB29246" s="122"/>
      <c r="BC29246" s="141"/>
    </row>
    <row r="29247">
      <c r="BB29247" s="122"/>
      <c r="BC29247" s="141"/>
    </row>
    <row r="29248">
      <c r="BB29248" s="122"/>
      <c r="BC29248" s="141"/>
    </row>
    <row r="29249">
      <c r="BB29249" s="122"/>
      <c r="BC29249" s="141"/>
    </row>
    <row r="29250">
      <c r="BB29250" s="122"/>
      <c r="BC29250" s="141"/>
    </row>
    <row r="29251">
      <c r="BB29251" s="122"/>
      <c r="BC29251" s="141"/>
    </row>
    <row r="29252">
      <c r="BB29252" s="122"/>
      <c r="BC29252" s="141"/>
    </row>
    <row r="29253">
      <c r="BB29253" s="122"/>
      <c r="BC29253" s="141"/>
    </row>
    <row r="29254">
      <c r="BB29254" s="122"/>
      <c r="BC29254" s="141"/>
    </row>
    <row r="29255">
      <c r="BB29255" s="122"/>
      <c r="BC29255" s="141"/>
    </row>
    <row r="29256">
      <c r="BB29256" s="122"/>
      <c r="BC29256" s="141"/>
    </row>
    <row r="29257">
      <c r="BB29257" s="122"/>
      <c r="BC29257" s="141"/>
    </row>
    <row r="29258">
      <c r="BB29258" s="122"/>
      <c r="BC29258" s="141"/>
    </row>
    <row r="29259">
      <c r="BB29259" s="122"/>
      <c r="BC29259" s="141"/>
    </row>
    <row r="29260">
      <c r="BB29260" s="122"/>
      <c r="BC29260" s="141"/>
    </row>
    <row r="29261">
      <c r="BB29261" s="122"/>
      <c r="BC29261" s="141"/>
    </row>
    <row r="29262">
      <c r="BB29262" s="122"/>
      <c r="BC29262" s="141"/>
    </row>
    <row r="29263">
      <c r="BB29263" s="122"/>
      <c r="BC29263" s="141"/>
    </row>
    <row r="29264">
      <c r="BB29264" s="122"/>
      <c r="BC29264" s="141"/>
    </row>
    <row r="29265">
      <c r="BB29265" s="122"/>
      <c r="BC29265" s="141"/>
    </row>
    <row r="29266">
      <c r="BB29266" s="122"/>
      <c r="BC29266" s="141"/>
    </row>
    <row r="29267">
      <c r="BB29267" s="122"/>
      <c r="BC29267" s="141"/>
    </row>
    <row r="29268">
      <c r="BB29268" s="122"/>
      <c r="BC29268" s="141"/>
    </row>
    <row r="29269">
      <c r="BB29269" s="122"/>
      <c r="BC29269" s="141"/>
    </row>
    <row r="29270">
      <c r="BB29270" s="122"/>
      <c r="BC29270" s="141"/>
    </row>
    <row r="29271">
      <c r="BB29271" s="122"/>
      <c r="BC29271" s="141"/>
    </row>
    <row r="29272">
      <c r="BB29272" s="122"/>
      <c r="BC29272" s="141"/>
    </row>
    <row r="29273">
      <c r="BB29273" s="122"/>
      <c r="BC29273" s="141"/>
    </row>
    <row r="29274">
      <c r="BB29274" s="122"/>
      <c r="BC29274" s="141"/>
    </row>
    <row r="29275">
      <c r="BB29275" s="122"/>
      <c r="BC29275" s="141"/>
    </row>
    <row r="29276">
      <c r="BB29276" s="122"/>
      <c r="BC29276" s="141"/>
    </row>
    <row r="29277">
      <c r="BB29277" s="122"/>
      <c r="BC29277" s="141"/>
    </row>
    <row r="29278">
      <c r="BB29278" s="122"/>
      <c r="BC29278" s="141"/>
    </row>
    <row r="29279">
      <c r="BB29279" s="122"/>
      <c r="BC29279" s="141"/>
    </row>
    <row r="29280">
      <c r="BB29280" s="122"/>
      <c r="BC29280" s="141"/>
    </row>
    <row r="29281">
      <c r="BB29281" s="122"/>
      <c r="BC29281" s="141"/>
    </row>
    <row r="29282">
      <c r="BB29282" s="122"/>
      <c r="BC29282" s="141"/>
    </row>
    <row r="29283">
      <c r="BB29283" s="122"/>
      <c r="BC29283" s="141"/>
    </row>
    <row r="29284">
      <c r="BB29284" s="122"/>
      <c r="BC29284" s="141"/>
    </row>
    <row r="29285">
      <c r="BB29285" s="122"/>
      <c r="BC29285" s="141"/>
    </row>
    <row r="29286">
      <c r="BB29286" s="122"/>
      <c r="BC29286" s="141"/>
    </row>
    <row r="29287">
      <c r="BB29287" s="122"/>
      <c r="BC29287" s="141"/>
    </row>
    <row r="29288">
      <c r="BB29288" s="122"/>
      <c r="BC29288" s="141"/>
    </row>
    <row r="29289">
      <c r="BB29289" s="122"/>
      <c r="BC29289" s="141"/>
    </row>
    <row r="29290">
      <c r="BB29290" s="122"/>
      <c r="BC29290" s="141"/>
    </row>
    <row r="29291">
      <c r="BB29291" s="122"/>
      <c r="BC29291" s="141"/>
    </row>
    <row r="29292">
      <c r="BB29292" s="122"/>
      <c r="BC29292" s="141"/>
    </row>
    <row r="29293">
      <c r="BB29293" s="122"/>
      <c r="BC29293" s="141"/>
    </row>
    <row r="29294">
      <c r="BB29294" s="122"/>
      <c r="BC29294" s="141"/>
    </row>
    <row r="29295">
      <c r="BB29295" s="122"/>
      <c r="BC29295" s="141"/>
    </row>
    <row r="29296">
      <c r="BB29296" s="122"/>
      <c r="BC29296" s="141"/>
    </row>
    <row r="29297">
      <c r="BB29297" s="122"/>
      <c r="BC29297" s="141"/>
    </row>
    <row r="29298">
      <c r="BB29298" s="122"/>
      <c r="BC29298" s="141"/>
    </row>
    <row r="29299">
      <c r="BB29299" s="122"/>
      <c r="BC29299" s="141"/>
    </row>
    <row r="29300">
      <c r="BB29300" s="122"/>
      <c r="BC29300" s="141"/>
    </row>
    <row r="29301">
      <c r="BB29301" s="122"/>
      <c r="BC29301" s="141"/>
    </row>
    <row r="29302">
      <c r="BB29302" s="122"/>
      <c r="BC29302" s="141"/>
    </row>
    <row r="29303">
      <c r="BB29303" s="122"/>
      <c r="BC29303" s="141"/>
    </row>
    <row r="29304">
      <c r="BB29304" s="122"/>
      <c r="BC29304" s="141"/>
    </row>
    <row r="29305">
      <c r="BB29305" s="122"/>
      <c r="BC29305" s="141"/>
    </row>
    <row r="29306">
      <c r="BB29306" s="122"/>
      <c r="BC29306" s="141"/>
    </row>
    <row r="29307">
      <c r="BB29307" s="122"/>
      <c r="BC29307" s="141"/>
    </row>
    <row r="29308">
      <c r="BB29308" s="122"/>
      <c r="BC29308" s="141"/>
    </row>
    <row r="29309">
      <c r="BB29309" s="122"/>
      <c r="BC29309" s="141"/>
    </row>
    <row r="29310">
      <c r="BB29310" s="122"/>
      <c r="BC29310" s="141"/>
    </row>
    <row r="29311">
      <c r="BB29311" s="122"/>
      <c r="BC29311" s="141"/>
    </row>
    <row r="29312">
      <c r="BB29312" s="122"/>
      <c r="BC29312" s="141"/>
    </row>
    <row r="29313">
      <c r="BB29313" s="122"/>
      <c r="BC29313" s="141"/>
    </row>
    <row r="29314">
      <c r="BB29314" s="122"/>
      <c r="BC29314" s="141"/>
    </row>
    <row r="29315">
      <c r="BB29315" s="122"/>
      <c r="BC29315" s="141"/>
    </row>
    <row r="29316">
      <c r="BB29316" s="122"/>
      <c r="BC29316" s="141"/>
    </row>
    <row r="29317">
      <c r="BB29317" s="122"/>
      <c r="BC29317" s="141"/>
    </row>
    <row r="29318">
      <c r="BB29318" s="122"/>
      <c r="BC29318" s="141"/>
    </row>
    <row r="29319">
      <c r="BB29319" s="122"/>
      <c r="BC29319" s="141"/>
    </row>
    <row r="29320">
      <c r="BB29320" s="122"/>
      <c r="BC29320" s="141"/>
    </row>
    <row r="29321">
      <c r="BB29321" s="122"/>
      <c r="BC29321" s="141"/>
    </row>
    <row r="29322">
      <c r="BB29322" s="122"/>
      <c r="BC29322" s="141"/>
    </row>
    <row r="29323">
      <c r="BB29323" s="122"/>
      <c r="BC29323" s="141"/>
    </row>
    <row r="29324">
      <c r="BB29324" s="122"/>
      <c r="BC29324" s="141"/>
    </row>
    <row r="29325">
      <c r="BB29325" s="122"/>
      <c r="BC29325" s="141"/>
    </row>
    <row r="29326">
      <c r="BB29326" s="122"/>
      <c r="BC29326" s="141"/>
    </row>
    <row r="29327">
      <c r="BB29327" s="122"/>
      <c r="BC29327" s="141"/>
    </row>
    <row r="29328">
      <c r="BB29328" s="122"/>
      <c r="BC29328" s="141"/>
    </row>
    <row r="29329">
      <c r="BB29329" s="122"/>
      <c r="BC29329" s="141"/>
    </row>
    <row r="29330">
      <c r="BB29330" s="122"/>
      <c r="BC29330" s="141"/>
    </row>
    <row r="29331">
      <c r="BB29331" s="122"/>
      <c r="BC29331" s="141"/>
    </row>
    <row r="29332">
      <c r="BB29332" s="122"/>
      <c r="BC29332" s="141"/>
    </row>
    <row r="29333">
      <c r="BB29333" s="122"/>
      <c r="BC29333" s="141"/>
    </row>
    <row r="29334">
      <c r="BB29334" s="122"/>
      <c r="BC29334" s="141"/>
    </row>
    <row r="29335">
      <c r="BB29335" s="122"/>
      <c r="BC29335" s="141"/>
    </row>
    <row r="29336">
      <c r="BB29336" s="122"/>
      <c r="BC29336" s="141"/>
    </row>
    <row r="29337">
      <c r="BB29337" s="122"/>
      <c r="BC29337" s="141"/>
    </row>
    <row r="29338">
      <c r="BB29338" s="122"/>
      <c r="BC29338" s="141"/>
    </row>
    <row r="29339">
      <c r="BB29339" s="122"/>
      <c r="BC29339" s="141"/>
    </row>
    <row r="29340">
      <c r="BB29340" s="122"/>
      <c r="BC29340" s="141"/>
    </row>
    <row r="29341">
      <c r="BB29341" s="122"/>
      <c r="BC29341" s="141"/>
    </row>
    <row r="29342">
      <c r="BB29342" s="122"/>
      <c r="BC29342" s="141"/>
    </row>
    <row r="29343">
      <c r="BB29343" s="122"/>
      <c r="BC29343" s="141"/>
    </row>
    <row r="29344">
      <c r="BB29344" s="122"/>
      <c r="BC29344" s="141"/>
    </row>
    <row r="29345">
      <c r="BB29345" s="122"/>
      <c r="BC29345" s="141"/>
    </row>
    <row r="29346">
      <c r="BB29346" s="122"/>
      <c r="BC29346" s="141"/>
    </row>
    <row r="29347">
      <c r="BB29347" s="122"/>
      <c r="BC29347" s="141"/>
    </row>
    <row r="29348">
      <c r="BB29348" s="122"/>
      <c r="BC29348" s="141"/>
    </row>
    <row r="29349">
      <c r="BB29349" s="122"/>
      <c r="BC29349" s="141"/>
    </row>
    <row r="29350">
      <c r="BB29350" s="122"/>
      <c r="BC29350" s="141"/>
    </row>
    <row r="29351">
      <c r="BB29351" s="122"/>
      <c r="BC29351" s="141"/>
    </row>
    <row r="29352">
      <c r="BB29352" s="122"/>
      <c r="BC29352" s="141"/>
    </row>
    <row r="29353">
      <c r="BB29353" s="122"/>
      <c r="BC29353" s="141"/>
    </row>
    <row r="29354">
      <c r="BB29354" s="122"/>
      <c r="BC29354" s="141"/>
    </row>
    <row r="29355">
      <c r="BB29355" s="122"/>
      <c r="BC29355" s="141"/>
    </row>
    <row r="29356">
      <c r="BB29356" s="122"/>
      <c r="BC29356" s="141"/>
    </row>
    <row r="29357">
      <c r="BB29357" s="122"/>
      <c r="BC29357" s="141"/>
    </row>
    <row r="29358">
      <c r="BB29358" s="122"/>
      <c r="BC29358" s="141"/>
    </row>
    <row r="29359">
      <c r="BB29359" s="122"/>
      <c r="BC29359" s="141"/>
    </row>
    <row r="29360">
      <c r="BB29360" s="122"/>
      <c r="BC29360" s="141"/>
    </row>
    <row r="29361">
      <c r="BB29361" s="122"/>
      <c r="BC29361" s="141"/>
    </row>
    <row r="29362">
      <c r="BB29362" s="122"/>
      <c r="BC29362" s="141"/>
    </row>
    <row r="29363">
      <c r="BB29363" s="122"/>
      <c r="BC29363" s="141"/>
    </row>
    <row r="29364">
      <c r="BB29364" s="122"/>
      <c r="BC29364" s="141"/>
    </row>
    <row r="29365">
      <c r="BB29365" s="122"/>
      <c r="BC29365" s="141"/>
    </row>
    <row r="29366">
      <c r="BB29366" s="122"/>
      <c r="BC29366" s="141"/>
    </row>
    <row r="29367">
      <c r="BB29367" s="122"/>
      <c r="BC29367" s="141"/>
    </row>
    <row r="29368">
      <c r="BB29368" s="122"/>
      <c r="BC29368" s="141"/>
    </row>
    <row r="29369">
      <c r="BB29369" s="122"/>
      <c r="BC29369" s="141"/>
    </row>
    <row r="29370">
      <c r="BB29370" s="122"/>
      <c r="BC29370" s="141"/>
    </row>
    <row r="29371">
      <c r="BB29371" s="122"/>
      <c r="BC29371" s="141"/>
    </row>
    <row r="29372">
      <c r="BB29372" s="122"/>
      <c r="BC29372" s="141"/>
    </row>
    <row r="29373">
      <c r="BB29373" s="122"/>
      <c r="BC29373" s="141"/>
    </row>
    <row r="29374">
      <c r="BB29374" s="122"/>
      <c r="BC29374" s="141"/>
    </row>
    <row r="29375">
      <c r="BB29375" s="122"/>
      <c r="BC29375" s="141"/>
    </row>
    <row r="29376">
      <c r="BB29376" s="122"/>
      <c r="BC29376" s="141"/>
    </row>
    <row r="29377">
      <c r="BB29377" s="122"/>
      <c r="BC29377" s="141"/>
    </row>
    <row r="29378">
      <c r="BB29378" s="122"/>
      <c r="BC29378" s="141"/>
    </row>
    <row r="29379">
      <c r="BB29379" s="122"/>
      <c r="BC29379" s="141"/>
    </row>
    <row r="29380">
      <c r="BB29380" s="122"/>
      <c r="BC29380" s="141"/>
    </row>
    <row r="29381">
      <c r="BB29381" s="122"/>
      <c r="BC29381" s="141"/>
    </row>
    <row r="29382">
      <c r="BB29382" s="122"/>
      <c r="BC29382" s="141"/>
    </row>
    <row r="29383">
      <c r="BB29383" s="122"/>
      <c r="BC29383" s="141"/>
    </row>
    <row r="29384">
      <c r="BB29384" s="122"/>
      <c r="BC29384" s="141"/>
    </row>
    <row r="29385">
      <c r="BB29385" s="122"/>
      <c r="BC29385" s="141"/>
    </row>
    <row r="29386">
      <c r="BB29386" s="122"/>
      <c r="BC29386" s="141"/>
    </row>
    <row r="29387">
      <c r="BB29387" s="122"/>
      <c r="BC29387" s="141"/>
    </row>
    <row r="29388">
      <c r="BB29388" s="122"/>
      <c r="BC29388" s="141"/>
    </row>
    <row r="29389">
      <c r="BB29389" s="122"/>
      <c r="BC29389" s="141"/>
    </row>
    <row r="29390">
      <c r="BB29390" s="122"/>
      <c r="BC29390" s="141"/>
    </row>
    <row r="29391">
      <c r="BB29391" s="122"/>
      <c r="BC29391" s="141"/>
    </row>
    <row r="29392">
      <c r="BB29392" s="122"/>
      <c r="BC29392" s="141"/>
    </row>
    <row r="29393">
      <c r="BB29393" s="122"/>
      <c r="BC29393" s="141"/>
    </row>
    <row r="29394">
      <c r="BB29394" s="122"/>
      <c r="BC29394" s="141"/>
    </row>
    <row r="29395">
      <c r="BB29395" s="122"/>
      <c r="BC29395" s="141"/>
    </row>
    <row r="29396">
      <c r="BB29396" s="122"/>
      <c r="BC29396" s="141"/>
    </row>
    <row r="29397">
      <c r="BB29397" s="122"/>
      <c r="BC29397" s="141"/>
    </row>
    <row r="29398">
      <c r="BB29398" s="122"/>
      <c r="BC29398" s="141"/>
    </row>
    <row r="29399">
      <c r="BB29399" s="122"/>
      <c r="BC29399" s="141"/>
    </row>
    <row r="29400">
      <c r="BB29400" s="122"/>
      <c r="BC29400" s="141"/>
    </row>
    <row r="29401">
      <c r="BB29401" s="122"/>
      <c r="BC29401" s="141"/>
    </row>
    <row r="29402">
      <c r="BB29402" s="122"/>
      <c r="BC29402" s="141"/>
    </row>
    <row r="29403">
      <c r="BB29403" s="122"/>
      <c r="BC29403" s="141"/>
    </row>
    <row r="29404">
      <c r="BB29404" s="122"/>
      <c r="BC29404" s="141"/>
    </row>
    <row r="29405">
      <c r="BB29405" s="122"/>
      <c r="BC29405" s="141"/>
    </row>
    <row r="29406">
      <c r="BB29406" s="122"/>
      <c r="BC29406" s="141"/>
    </row>
    <row r="29407">
      <c r="BB29407" s="122"/>
      <c r="BC29407" s="141"/>
    </row>
    <row r="29408">
      <c r="BB29408" s="122"/>
      <c r="BC29408" s="141"/>
    </row>
    <row r="29409">
      <c r="BB29409" s="122"/>
      <c r="BC29409" s="141"/>
    </row>
    <row r="29410">
      <c r="BB29410" s="122"/>
      <c r="BC29410" s="141"/>
    </row>
    <row r="29411">
      <c r="BB29411" s="122"/>
      <c r="BC29411" s="141"/>
    </row>
    <row r="29412">
      <c r="BB29412" s="122"/>
      <c r="BC29412" s="141"/>
    </row>
    <row r="29413">
      <c r="BB29413" s="122"/>
      <c r="BC29413" s="141"/>
    </row>
    <row r="29414">
      <c r="BB29414" s="122"/>
      <c r="BC29414" s="141"/>
    </row>
    <row r="29415">
      <c r="BB29415" s="122"/>
      <c r="BC29415" s="141"/>
    </row>
    <row r="29416">
      <c r="BB29416" s="122"/>
      <c r="BC29416" s="141"/>
    </row>
    <row r="29417">
      <c r="BB29417" s="122"/>
      <c r="BC29417" s="141"/>
    </row>
    <row r="29418">
      <c r="BB29418" s="122"/>
      <c r="BC29418" s="141"/>
    </row>
    <row r="29419">
      <c r="BB29419" s="122"/>
      <c r="BC29419" s="141"/>
    </row>
    <row r="29420">
      <c r="BB29420" s="122"/>
      <c r="BC29420" s="141"/>
    </row>
    <row r="29421">
      <c r="BB29421" s="122"/>
      <c r="BC29421" s="141"/>
    </row>
    <row r="29422">
      <c r="BB29422" s="122"/>
      <c r="BC29422" s="141"/>
    </row>
    <row r="29423">
      <c r="BB29423" s="122"/>
      <c r="BC29423" s="141"/>
    </row>
    <row r="29424">
      <c r="BB29424" s="122"/>
      <c r="BC29424" s="141"/>
    </row>
    <row r="29425">
      <c r="BB29425" s="122"/>
      <c r="BC29425" s="141"/>
    </row>
    <row r="29426">
      <c r="BB29426" s="122"/>
      <c r="BC29426" s="141"/>
    </row>
    <row r="29427">
      <c r="BB29427" s="122"/>
      <c r="BC29427" s="141"/>
    </row>
    <row r="29428">
      <c r="BB29428" s="122"/>
      <c r="BC29428" s="141"/>
    </row>
    <row r="29429">
      <c r="BB29429" s="122"/>
      <c r="BC29429" s="141"/>
    </row>
    <row r="29430">
      <c r="BB29430" s="122"/>
      <c r="BC29430" s="141"/>
    </row>
    <row r="29431">
      <c r="BB29431" s="122"/>
      <c r="BC29431" s="141"/>
    </row>
    <row r="29432">
      <c r="BB29432" s="122"/>
      <c r="BC29432" s="141"/>
    </row>
    <row r="29433">
      <c r="BB29433" s="122"/>
      <c r="BC29433" s="141"/>
    </row>
    <row r="29434">
      <c r="BB29434" s="122"/>
      <c r="BC29434" s="141"/>
    </row>
    <row r="29435">
      <c r="BB29435" s="122"/>
      <c r="BC29435" s="141"/>
    </row>
    <row r="29436">
      <c r="BB29436" s="122"/>
      <c r="BC29436" s="141"/>
    </row>
    <row r="29437">
      <c r="BB29437" s="122"/>
      <c r="BC29437" s="141"/>
    </row>
    <row r="29438">
      <c r="BB29438" s="122"/>
      <c r="BC29438" s="141"/>
    </row>
    <row r="29439">
      <c r="BB29439" s="122"/>
      <c r="BC29439" s="141"/>
    </row>
    <row r="29440">
      <c r="BB29440" s="122"/>
      <c r="BC29440" s="141"/>
    </row>
    <row r="29441">
      <c r="BB29441" s="122"/>
      <c r="BC29441" s="141"/>
    </row>
    <row r="29442">
      <c r="BB29442" s="122"/>
      <c r="BC29442" s="141"/>
    </row>
    <row r="29443">
      <c r="BB29443" s="122"/>
      <c r="BC29443" s="141"/>
    </row>
    <row r="29444">
      <c r="BB29444" s="122"/>
      <c r="BC29444" s="141"/>
    </row>
    <row r="29445">
      <c r="BB29445" s="122"/>
      <c r="BC29445" s="141"/>
    </row>
    <row r="29446">
      <c r="BB29446" s="122"/>
      <c r="BC29446" s="141"/>
    </row>
    <row r="29447">
      <c r="BB29447" s="122"/>
      <c r="BC29447" s="141"/>
    </row>
    <row r="29448">
      <c r="BB29448" s="122"/>
      <c r="BC29448" s="141"/>
    </row>
    <row r="29449">
      <c r="BB29449" s="122"/>
      <c r="BC29449" s="141"/>
    </row>
    <row r="29450">
      <c r="BB29450" s="122"/>
      <c r="BC29450" s="141"/>
    </row>
    <row r="29451">
      <c r="BB29451" s="122"/>
      <c r="BC29451" s="141"/>
    </row>
    <row r="29452">
      <c r="BB29452" s="122"/>
      <c r="BC29452" s="141"/>
    </row>
    <row r="29453">
      <c r="BB29453" s="122"/>
      <c r="BC29453" s="141"/>
    </row>
    <row r="29454">
      <c r="BB29454" s="122"/>
      <c r="BC29454" s="141"/>
    </row>
    <row r="29455">
      <c r="BB29455" s="122"/>
      <c r="BC29455" s="141"/>
    </row>
    <row r="29456">
      <c r="BB29456" s="122"/>
      <c r="BC29456" s="141"/>
    </row>
    <row r="29457">
      <c r="BB29457" s="122"/>
      <c r="BC29457" s="141"/>
    </row>
    <row r="29458">
      <c r="BB29458" s="122"/>
      <c r="BC29458" s="141"/>
    </row>
    <row r="29459">
      <c r="BB29459" s="122"/>
      <c r="BC29459" s="141"/>
    </row>
    <row r="29460">
      <c r="BB29460" s="122"/>
      <c r="BC29460" s="141"/>
    </row>
    <row r="29461">
      <c r="BB29461" s="122"/>
      <c r="BC29461" s="141"/>
    </row>
    <row r="29462">
      <c r="BB29462" s="122"/>
      <c r="BC29462" s="141"/>
    </row>
    <row r="29463">
      <c r="BB29463" s="122"/>
      <c r="BC29463" s="141"/>
    </row>
    <row r="29464">
      <c r="BB29464" s="122"/>
      <c r="BC29464" s="141"/>
    </row>
    <row r="29465">
      <c r="BB29465" s="122"/>
      <c r="BC29465" s="141"/>
    </row>
    <row r="29466">
      <c r="BB29466" s="122"/>
      <c r="BC29466" s="141"/>
    </row>
    <row r="29467">
      <c r="BB29467" s="122"/>
      <c r="BC29467" s="141"/>
    </row>
    <row r="29468">
      <c r="BB29468" s="122"/>
      <c r="BC29468" s="141"/>
    </row>
    <row r="29469">
      <c r="BB29469" s="122"/>
      <c r="BC29469" s="141"/>
    </row>
    <row r="29470">
      <c r="BB29470" s="122"/>
      <c r="BC29470" s="141"/>
    </row>
    <row r="29471">
      <c r="BB29471" s="122"/>
      <c r="BC29471" s="141"/>
    </row>
    <row r="29472">
      <c r="BB29472" s="122"/>
      <c r="BC29472" s="141"/>
    </row>
    <row r="29473">
      <c r="BB29473" s="122"/>
      <c r="BC29473" s="141"/>
    </row>
    <row r="29474">
      <c r="BB29474" s="122"/>
      <c r="BC29474" s="141"/>
    </row>
    <row r="29475">
      <c r="BB29475" s="122"/>
      <c r="BC29475" s="141"/>
    </row>
    <row r="29476">
      <c r="BB29476" s="122"/>
      <c r="BC29476" s="141"/>
    </row>
    <row r="29477">
      <c r="BB29477" s="122"/>
      <c r="BC29477" s="141"/>
    </row>
    <row r="29478">
      <c r="BB29478" s="122"/>
      <c r="BC29478" s="141"/>
    </row>
    <row r="29479">
      <c r="BB29479" s="122"/>
      <c r="BC29479" s="141"/>
    </row>
    <row r="29480">
      <c r="BB29480" s="122"/>
      <c r="BC29480" s="141"/>
    </row>
    <row r="29481">
      <c r="BB29481" s="122"/>
      <c r="BC29481" s="141"/>
    </row>
    <row r="29482">
      <c r="BB29482" s="122"/>
      <c r="BC29482" s="141"/>
    </row>
    <row r="29483">
      <c r="BB29483" s="122"/>
      <c r="BC29483" s="141"/>
    </row>
    <row r="29484">
      <c r="BB29484" s="122"/>
      <c r="BC29484" s="141"/>
    </row>
    <row r="29485">
      <c r="BB29485" s="122"/>
      <c r="BC29485" s="141"/>
    </row>
    <row r="29486">
      <c r="BB29486" s="122"/>
      <c r="BC29486" s="141"/>
    </row>
    <row r="29487">
      <c r="BB29487" s="122"/>
      <c r="BC29487" s="141"/>
    </row>
    <row r="29488">
      <c r="BB29488" s="122"/>
      <c r="BC29488" s="141"/>
    </row>
    <row r="29489">
      <c r="BB29489" s="122"/>
      <c r="BC29489" s="141"/>
    </row>
    <row r="29490">
      <c r="BB29490" s="122"/>
      <c r="BC29490" s="141"/>
    </row>
    <row r="29491">
      <c r="BB29491" s="122"/>
      <c r="BC29491" s="141"/>
    </row>
    <row r="29492">
      <c r="BB29492" s="122"/>
      <c r="BC29492" s="141"/>
    </row>
    <row r="29493">
      <c r="BB29493" s="122"/>
      <c r="BC29493" s="141"/>
    </row>
    <row r="29494">
      <c r="BB29494" s="122"/>
      <c r="BC29494" s="141"/>
    </row>
    <row r="29495">
      <c r="BB29495" s="122"/>
      <c r="BC29495" s="141"/>
    </row>
    <row r="29496">
      <c r="BB29496" s="122"/>
      <c r="BC29496" s="141"/>
    </row>
    <row r="29497">
      <c r="BB29497" s="122"/>
      <c r="BC29497" s="141"/>
    </row>
    <row r="29498">
      <c r="BB29498" s="122"/>
      <c r="BC29498" s="141"/>
    </row>
    <row r="29499">
      <c r="BB29499" s="122"/>
      <c r="BC29499" s="141"/>
    </row>
    <row r="29500">
      <c r="BB29500" s="122"/>
      <c r="BC29500" s="141"/>
    </row>
    <row r="29501">
      <c r="BB29501" s="122"/>
      <c r="BC29501" s="141"/>
    </row>
    <row r="29502">
      <c r="BB29502" s="122"/>
      <c r="BC29502" s="141"/>
    </row>
    <row r="29503">
      <c r="BB29503" s="122"/>
      <c r="BC29503" s="141"/>
    </row>
    <row r="29504">
      <c r="BB29504" s="122"/>
      <c r="BC29504" s="141"/>
    </row>
    <row r="29505">
      <c r="BB29505" s="122"/>
      <c r="BC29505" s="141"/>
    </row>
    <row r="29506">
      <c r="BB29506" s="122"/>
      <c r="BC29506" s="141"/>
    </row>
    <row r="29507">
      <c r="BB29507" s="122"/>
      <c r="BC29507" s="141"/>
    </row>
    <row r="29508">
      <c r="BB29508" s="122"/>
      <c r="BC29508" s="141"/>
    </row>
    <row r="29509">
      <c r="BB29509" s="122"/>
      <c r="BC29509" s="141"/>
    </row>
    <row r="29510">
      <c r="BB29510" s="122"/>
      <c r="BC29510" s="141"/>
    </row>
    <row r="29511">
      <c r="BB29511" s="122"/>
      <c r="BC29511" s="141"/>
    </row>
    <row r="29512">
      <c r="BB29512" s="122"/>
      <c r="BC29512" s="141"/>
    </row>
    <row r="29513">
      <c r="BB29513" s="122"/>
      <c r="BC29513" s="141"/>
    </row>
    <row r="29514">
      <c r="BB29514" s="122"/>
      <c r="BC29514" s="141"/>
    </row>
    <row r="29515">
      <c r="BB29515" s="122"/>
      <c r="BC29515" s="141"/>
    </row>
    <row r="29516">
      <c r="BB29516" s="122"/>
      <c r="BC29516" s="141"/>
    </row>
    <row r="29517">
      <c r="BB29517" s="122"/>
      <c r="BC29517" s="141"/>
    </row>
    <row r="29518">
      <c r="BB29518" s="122"/>
      <c r="BC29518" s="141"/>
    </row>
    <row r="29519">
      <c r="BB29519" s="122"/>
      <c r="BC29519" s="141"/>
    </row>
    <row r="29520">
      <c r="BB29520" s="122"/>
      <c r="BC29520" s="141"/>
    </row>
    <row r="29521">
      <c r="BB29521" s="122"/>
      <c r="BC29521" s="141"/>
    </row>
    <row r="29522">
      <c r="BB29522" s="122"/>
      <c r="BC29522" s="141"/>
    </row>
    <row r="29523">
      <c r="BB29523" s="122"/>
      <c r="BC29523" s="141"/>
    </row>
    <row r="29524">
      <c r="BB29524" s="122"/>
      <c r="BC29524" s="141"/>
    </row>
    <row r="29525">
      <c r="BB29525" s="122"/>
      <c r="BC29525" s="141"/>
    </row>
    <row r="29526">
      <c r="BB29526" s="122"/>
      <c r="BC29526" s="141"/>
    </row>
    <row r="29527">
      <c r="BB29527" s="122"/>
      <c r="BC29527" s="141"/>
    </row>
    <row r="29528">
      <c r="BB29528" s="122"/>
      <c r="BC29528" s="141"/>
    </row>
    <row r="29529">
      <c r="BB29529" s="122"/>
      <c r="BC29529" s="141"/>
    </row>
    <row r="29530">
      <c r="BB29530" s="122"/>
      <c r="BC29530" s="141"/>
    </row>
    <row r="29531">
      <c r="BB29531" s="122"/>
      <c r="BC29531" s="141"/>
    </row>
    <row r="29532">
      <c r="BB29532" s="122"/>
      <c r="BC29532" s="141"/>
    </row>
    <row r="29533">
      <c r="BB29533" s="122"/>
      <c r="BC29533" s="141"/>
    </row>
    <row r="29534">
      <c r="BB29534" s="122"/>
      <c r="BC29534" s="141"/>
    </row>
    <row r="29535">
      <c r="BB29535" s="122"/>
      <c r="BC29535" s="141"/>
    </row>
    <row r="29536">
      <c r="BB29536" s="122"/>
      <c r="BC29536" s="141"/>
    </row>
    <row r="29537">
      <c r="BB29537" s="122"/>
      <c r="BC29537" s="141"/>
    </row>
    <row r="29538">
      <c r="BB29538" s="122"/>
      <c r="BC29538" s="141"/>
    </row>
    <row r="29539">
      <c r="BB29539" s="122"/>
      <c r="BC29539" s="141"/>
    </row>
    <row r="29540">
      <c r="BB29540" s="122"/>
      <c r="BC29540" s="141"/>
    </row>
    <row r="29541">
      <c r="BB29541" s="122"/>
      <c r="BC29541" s="141"/>
    </row>
    <row r="29542">
      <c r="BB29542" s="122"/>
      <c r="BC29542" s="141"/>
    </row>
    <row r="29543">
      <c r="BB29543" s="122"/>
      <c r="BC29543" s="141"/>
    </row>
    <row r="29544">
      <c r="BB29544" s="122"/>
      <c r="BC29544" s="141"/>
    </row>
    <row r="29545">
      <c r="BB29545" s="122"/>
      <c r="BC29545" s="141"/>
    </row>
    <row r="29546">
      <c r="BB29546" s="122"/>
      <c r="BC29546" s="141"/>
    </row>
    <row r="29547">
      <c r="BB29547" s="122"/>
      <c r="BC29547" s="141"/>
    </row>
    <row r="29548">
      <c r="BB29548" s="122"/>
      <c r="BC29548" s="141"/>
    </row>
    <row r="29549">
      <c r="BB29549" s="122"/>
      <c r="BC29549" s="141"/>
    </row>
    <row r="29550">
      <c r="BB29550" s="122"/>
      <c r="BC29550" s="141"/>
    </row>
    <row r="29551">
      <c r="BB29551" s="122"/>
      <c r="BC29551" s="141"/>
    </row>
    <row r="29552">
      <c r="BB29552" s="122"/>
      <c r="BC29552" s="141"/>
    </row>
    <row r="29553">
      <c r="BB29553" s="122"/>
      <c r="BC29553" s="141"/>
    </row>
    <row r="29554">
      <c r="BB29554" s="122"/>
      <c r="BC29554" s="141"/>
    </row>
    <row r="29555">
      <c r="BB29555" s="122"/>
      <c r="BC29555" s="141"/>
    </row>
    <row r="29556">
      <c r="BB29556" s="122"/>
      <c r="BC29556" s="141"/>
    </row>
    <row r="29557">
      <c r="BB29557" s="122"/>
      <c r="BC29557" s="141"/>
    </row>
    <row r="29558">
      <c r="BB29558" s="122"/>
      <c r="BC29558" s="141"/>
    </row>
    <row r="29559">
      <c r="BB29559" s="122"/>
      <c r="BC29559" s="141"/>
    </row>
    <row r="29560">
      <c r="BB29560" s="122"/>
      <c r="BC29560" s="141"/>
    </row>
    <row r="29561">
      <c r="BB29561" s="122"/>
      <c r="BC29561" s="141"/>
    </row>
    <row r="29562">
      <c r="BB29562" s="122"/>
      <c r="BC29562" s="141"/>
    </row>
    <row r="29563">
      <c r="BB29563" s="122"/>
      <c r="BC29563" s="141"/>
    </row>
    <row r="29564">
      <c r="BB29564" s="122"/>
      <c r="BC29564" s="141"/>
    </row>
    <row r="29565">
      <c r="BB29565" s="122"/>
      <c r="BC29565" s="141"/>
    </row>
    <row r="29566">
      <c r="BB29566" s="122"/>
      <c r="BC29566" s="141"/>
    </row>
    <row r="29567">
      <c r="BB29567" s="122"/>
      <c r="BC29567" s="141"/>
    </row>
    <row r="29568">
      <c r="BB29568" s="122"/>
      <c r="BC29568" s="141"/>
    </row>
    <row r="29569">
      <c r="BB29569" s="122"/>
      <c r="BC29569" s="141"/>
    </row>
    <row r="29570">
      <c r="BB29570" s="122"/>
      <c r="BC29570" s="141"/>
    </row>
    <row r="29571">
      <c r="BB29571" s="122"/>
      <c r="BC29571" s="141"/>
    </row>
    <row r="29572">
      <c r="BB29572" s="122"/>
      <c r="BC29572" s="141"/>
    </row>
    <row r="29573">
      <c r="BB29573" s="122"/>
      <c r="BC29573" s="141"/>
    </row>
    <row r="29574">
      <c r="BB29574" s="122"/>
      <c r="BC29574" s="141"/>
    </row>
    <row r="29575">
      <c r="BB29575" s="122"/>
      <c r="BC29575" s="141"/>
    </row>
    <row r="29576">
      <c r="BB29576" s="122"/>
      <c r="BC29576" s="141"/>
    </row>
    <row r="29577">
      <c r="BB29577" s="122"/>
      <c r="BC29577" s="141"/>
    </row>
    <row r="29578">
      <c r="BB29578" s="122"/>
      <c r="BC29578" s="141"/>
    </row>
    <row r="29579">
      <c r="BB29579" s="122"/>
      <c r="BC29579" s="141"/>
    </row>
    <row r="29580">
      <c r="BB29580" s="122"/>
      <c r="BC29580" s="141"/>
    </row>
    <row r="29581">
      <c r="BB29581" s="122"/>
      <c r="BC29581" s="141"/>
    </row>
    <row r="29582">
      <c r="BB29582" s="122"/>
      <c r="BC29582" s="141"/>
    </row>
    <row r="29583">
      <c r="BB29583" s="122"/>
      <c r="BC29583" s="141"/>
    </row>
    <row r="29584">
      <c r="BB29584" s="122"/>
      <c r="BC29584" s="141"/>
    </row>
    <row r="29585">
      <c r="BB29585" s="122"/>
      <c r="BC29585" s="141"/>
    </row>
    <row r="29586">
      <c r="BB29586" s="122"/>
      <c r="BC29586" s="141"/>
    </row>
    <row r="29587">
      <c r="BB29587" s="122"/>
      <c r="BC29587" s="141"/>
    </row>
    <row r="29588">
      <c r="BB29588" s="122"/>
      <c r="BC29588" s="141"/>
    </row>
    <row r="29589">
      <c r="BB29589" s="122"/>
      <c r="BC29589" s="141"/>
    </row>
    <row r="29590">
      <c r="BB29590" s="122"/>
      <c r="BC29590" s="141"/>
    </row>
    <row r="29591">
      <c r="BB29591" s="122"/>
      <c r="BC29591" s="141"/>
    </row>
    <row r="29592">
      <c r="BB29592" s="122"/>
      <c r="BC29592" s="141"/>
    </row>
    <row r="29593">
      <c r="BB29593" s="122"/>
      <c r="BC29593" s="141"/>
    </row>
    <row r="29594">
      <c r="BB29594" s="122"/>
      <c r="BC29594" s="141"/>
    </row>
    <row r="29595">
      <c r="BB29595" s="122"/>
      <c r="BC29595" s="141"/>
    </row>
    <row r="29596">
      <c r="BB29596" s="122"/>
      <c r="BC29596" s="141"/>
    </row>
    <row r="29597">
      <c r="BB29597" s="122"/>
      <c r="BC29597" s="141"/>
    </row>
    <row r="29598">
      <c r="BB29598" s="122"/>
      <c r="BC29598" s="141"/>
    </row>
    <row r="29599">
      <c r="BB29599" s="122"/>
      <c r="BC29599" s="141"/>
    </row>
    <row r="29600">
      <c r="BB29600" s="122"/>
      <c r="BC29600" s="141"/>
    </row>
    <row r="29601">
      <c r="BB29601" s="122"/>
      <c r="BC29601" s="141"/>
    </row>
    <row r="29602">
      <c r="BB29602" s="122"/>
      <c r="BC29602" s="141"/>
    </row>
    <row r="29603">
      <c r="BB29603" s="122"/>
      <c r="BC29603" s="141"/>
    </row>
    <row r="29604">
      <c r="BB29604" s="122"/>
      <c r="BC29604" s="141"/>
    </row>
    <row r="29605">
      <c r="BB29605" s="122"/>
      <c r="BC29605" s="141"/>
    </row>
    <row r="29606">
      <c r="BB29606" s="122"/>
      <c r="BC29606" s="141"/>
    </row>
    <row r="29607">
      <c r="BB29607" s="122"/>
      <c r="BC29607" s="141"/>
    </row>
    <row r="29608">
      <c r="BB29608" s="122"/>
      <c r="BC29608" s="141"/>
    </row>
    <row r="29609">
      <c r="BB29609" s="122"/>
      <c r="BC29609" s="141"/>
    </row>
    <row r="29610">
      <c r="BB29610" s="122"/>
      <c r="BC29610" s="141"/>
    </row>
    <row r="29611">
      <c r="BB29611" s="122"/>
      <c r="BC29611" s="141"/>
    </row>
    <row r="29612">
      <c r="BB29612" s="122"/>
      <c r="BC29612" s="141"/>
    </row>
    <row r="29613">
      <c r="BB29613" s="122"/>
      <c r="BC29613" s="141"/>
    </row>
    <row r="29614">
      <c r="BB29614" s="122"/>
      <c r="BC29614" s="141"/>
    </row>
    <row r="29615">
      <c r="BB29615" s="122"/>
      <c r="BC29615" s="141"/>
    </row>
    <row r="29616">
      <c r="BB29616" s="122"/>
      <c r="BC29616" s="141"/>
    </row>
    <row r="29617">
      <c r="BB29617" s="122"/>
      <c r="BC29617" s="141"/>
    </row>
    <row r="29618">
      <c r="BB29618" s="122"/>
      <c r="BC29618" s="141"/>
    </row>
    <row r="29619">
      <c r="BB29619" s="122"/>
      <c r="BC29619" s="141"/>
    </row>
    <row r="29620">
      <c r="BB29620" s="122"/>
      <c r="BC29620" s="141"/>
    </row>
    <row r="29621">
      <c r="BB29621" s="122"/>
      <c r="BC29621" s="141"/>
    </row>
    <row r="29622">
      <c r="BB29622" s="122"/>
      <c r="BC29622" s="141"/>
    </row>
    <row r="29623">
      <c r="BB29623" s="122"/>
      <c r="BC29623" s="141"/>
    </row>
    <row r="29624">
      <c r="BB29624" s="122"/>
      <c r="BC29624" s="141"/>
    </row>
    <row r="29625">
      <c r="BB29625" s="122"/>
      <c r="BC29625" s="141"/>
    </row>
    <row r="29626">
      <c r="BB29626" s="122"/>
      <c r="BC29626" s="141"/>
    </row>
    <row r="29627">
      <c r="BB29627" s="122"/>
      <c r="BC29627" s="141"/>
    </row>
    <row r="29628">
      <c r="BB29628" s="122"/>
      <c r="BC29628" s="141"/>
    </row>
    <row r="29629">
      <c r="BB29629" s="122"/>
      <c r="BC29629" s="141"/>
    </row>
    <row r="29630">
      <c r="BB29630" s="122"/>
      <c r="BC29630" s="141"/>
    </row>
    <row r="29631">
      <c r="BB29631" s="122"/>
      <c r="BC29631" s="141"/>
    </row>
    <row r="29632">
      <c r="BB29632" s="122"/>
      <c r="BC29632" s="141"/>
    </row>
    <row r="29633">
      <c r="BB29633" s="122"/>
      <c r="BC29633" s="141"/>
    </row>
    <row r="29634">
      <c r="BB29634" s="122"/>
      <c r="BC29634" s="141"/>
    </row>
    <row r="29635">
      <c r="BB29635" s="122"/>
      <c r="BC29635" s="141"/>
    </row>
    <row r="29636">
      <c r="BB29636" s="122"/>
      <c r="BC29636" s="141"/>
    </row>
    <row r="29637">
      <c r="BB29637" s="122"/>
      <c r="BC29637" s="141"/>
    </row>
    <row r="29638">
      <c r="BB29638" s="122"/>
      <c r="BC29638" s="141"/>
    </row>
    <row r="29639">
      <c r="BB29639" s="122"/>
      <c r="BC29639" s="141"/>
    </row>
    <row r="29640">
      <c r="BB29640" s="122"/>
      <c r="BC29640" s="141"/>
    </row>
    <row r="29641">
      <c r="BB29641" s="122"/>
      <c r="BC29641" s="141"/>
    </row>
    <row r="29642">
      <c r="BB29642" s="122"/>
      <c r="BC29642" s="141"/>
    </row>
    <row r="29643">
      <c r="BB29643" s="122"/>
      <c r="BC29643" s="141"/>
    </row>
    <row r="29644">
      <c r="BB29644" s="122"/>
      <c r="BC29644" s="141"/>
    </row>
    <row r="29645">
      <c r="BB29645" s="122"/>
      <c r="BC29645" s="141"/>
    </row>
    <row r="29646">
      <c r="BB29646" s="122"/>
      <c r="BC29646" s="141"/>
    </row>
    <row r="29647">
      <c r="BB29647" s="122"/>
      <c r="BC29647" s="141"/>
    </row>
    <row r="29648">
      <c r="BB29648" s="122"/>
      <c r="BC29648" s="141"/>
    </row>
    <row r="29649">
      <c r="BB29649" s="122"/>
      <c r="BC29649" s="141"/>
    </row>
    <row r="29650">
      <c r="BB29650" s="122"/>
      <c r="BC29650" s="141"/>
    </row>
    <row r="29651">
      <c r="BB29651" s="122"/>
      <c r="BC29651" s="141"/>
    </row>
    <row r="29652">
      <c r="BB29652" s="122"/>
      <c r="BC29652" s="141"/>
    </row>
    <row r="29653">
      <c r="BB29653" s="122"/>
      <c r="BC29653" s="141"/>
    </row>
    <row r="29654">
      <c r="BB29654" s="122"/>
      <c r="BC29654" s="141"/>
    </row>
    <row r="29655">
      <c r="BB29655" s="122"/>
      <c r="BC29655" s="141"/>
    </row>
    <row r="29656">
      <c r="BB29656" s="122"/>
      <c r="BC29656" s="141"/>
    </row>
    <row r="29657">
      <c r="BB29657" s="122"/>
      <c r="BC29657" s="141"/>
    </row>
    <row r="29658">
      <c r="BB29658" s="122"/>
      <c r="BC29658" s="141"/>
    </row>
    <row r="29659">
      <c r="BB29659" s="122"/>
      <c r="BC29659" s="141"/>
    </row>
    <row r="29660">
      <c r="BB29660" s="122"/>
      <c r="BC29660" s="141"/>
    </row>
    <row r="29661">
      <c r="BB29661" s="122"/>
      <c r="BC29661" s="141"/>
    </row>
    <row r="29662">
      <c r="BB29662" s="122"/>
      <c r="BC29662" s="141"/>
    </row>
    <row r="29663">
      <c r="BB29663" s="122"/>
      <c r="BC29663" s="141"/>
    </row>
    <row r="29664">
      <c r="BB29664" s="122"/>
      <c r="BC29664" s="141"/>
    </row>
    <row r="29665">
      <c r="BB29665" s="122"/>
      <c r="BC29665" s="141"/>
    </row>
    <row r="29666">
      <c r="BB29666" s="122"/>
      <c r="BC29666" s="141"/>
    </row>
    <row r="29667">
      <c r="BB29667" s="122"/>
      <c r="BC29667" s="141"/>
    </row>
    <row r="29668">
      <c r="BB29668" s="122"/>
      <c r="BC29668" s="141"/>
    </row>
    <row r="29669">
      <c r="BB29669" s="122"/>
      <c r="BC29669" s="141"/>
    </row>
    <row r="29670">
      <c r="BB29670" s="122"/>
      <c r="BC29670" s="141"/>
    </row>
    <row r="29671">
      <c r="BB29671" s="122"/>
      <c r="BC29671" s="141"/>
    </row>
    <row r="29672">
      <c r="BB29672" s="122"/>
      <c r="BC29672" s="141"/>
    </row>
    <row r="29673">
      <c r="BB29673" s="122"/>
      <c r="BC29673" s="141"/>
    </row>
    <row r="29674">
      <c r="BB29674" s="122"/>
      <c r="BC29674" s="141"/>
    </row>
    <row r="29675">
      <c r="BB29675" s="122"/>
      <c r="BC29675" s="141"/>
    </row>
    <row r="29676">
      <c r="BB29676" s="122"/>
      <c r="BC29676" s="141"/>
    </row>
    <row r="29677">
      <c r="BB29677" s="122"/>
      <c r="BC29677" s="141"/>
    </row>
    <row r="29678">
      <c r="BB29678" s="122"/>
      <c r="BC29678" s="141"/>
    </row>
    <row r="29679">
      <c r="BB29679" s="122"/>
      <c r="BC29679" s="141"/>
    </row>
    <row r="29680">
      <c r="BB29680" s="122"/>
      <c r="BC29680" s="141"/>
    </row>
    <row r="29681">
      <c r="BB29681" s="122"/>
      <c r="BC29681" s="141"/>
    </row>
    <row r="29682">
      <c r="BB29682" s="122"/>
      <c r="BC29682" s="141"/>
    </row>
    <row r="29683">
      <c r="BB29683" s="122"/>
      <c r="BC29683" s="141"/>
    </row>
    <row r="29684">
      <c r="BB29684" s="122"/>
      <c r="BC29684" s="141"/>
    </row>
    <row r="29685">
      <c r="BB29685" s="122"/>
      <c r="BC29685" s="141"/>
    </row>
    <row r="29686">
      <c r="BB29686" s="122"/>
      <c r="BC29686" s="141"/>
    </row>
    <row r="29687">
      <c r="BB29687" s="122"/>
      <c r="BC29687" s="141"/>
    </row>
    <row r="29688">
      <c r="BB29688" s="122"/>
      <c r="BC29688" s="141"/>
    </row>
    <row r="29689">
      <c r="BB29689" s="122"/>
      <c r="BC29689" s="141"/>
    </row>
    <row r="29690">
      <c r="BB29690" s="122"/>
      <c r="BC29690" s="141"/>
    </row>
    <row r="29691">
      <c r="BB29691" s="122"/>
      <c r="BC29691" s="141"/>
    </row>
    <row r="29692">
      <c r="BB29692" s="122"/>
      <c r="BC29692" s="141"/>
    </row>
    <row r="29693">
      <c r="BB29693" s="122"/>
      <c r="BC29693" s="141"/>
    </row>
    <row r="29694">
      <c r="BB29694" s="122"/>
      <c r="BC29694" s="141"/>
    </row>
    <row r="29695">
      <c r="BB29695" s="122"/>
      <c r="BC29695" s="141"/>
    </row>
    <row r="29696">
      <c r="BB29696" s="122"/>
      <c r="BC29696" s="141"/>
    </row>
    <row r="29697">
      <c r="BB29697" s="122"/>
      <c r="BC29697" s="141"/>
    </row>
    <row r="29698">
      <c r="BB29698" s="122"/>
      <c r="BC29698" s="141"/>
    </row>
    <row r="29699">
      <c r="BB29699" s="122"/>
      <c r="BC29699" s="141"/>
    </row>
    <row r="29700">
      <c r="BB29700" s="122"/>
      <c r="BC29700" s="141"/>
    </row>
    <row r="29701">
      <c r="BB29701" s="122"/>
      <c r="BC29701" s="141"/>
    </row>
    <row r="29702">
      <c r="BB29702" s="122"/>
      <c r="BC29702" s="141"/>
    </row>
    <row r="29703">
      <c r="BB29703" s="122"/>
      <c r="BC29703" s="141"/>
    </row>
    <row r="29704">
      <c r="BB29704" s="122"/>
      <c r="BC29704" s="141"/>
    </row>
    <row r="29705">
      <c r="BB29705" s="122"/>
      <c r="BC29705" s="141"/>
    </row>
    <row r="29706">
      <c r="BB29706" s="122"/>
      <c r="BC29706" s="141"/>
    </row>
    <row r="29707">
      <c r="BB29707" s="122"/>
      <c r="BC29707" s="141"/>
    </row>
    <row r="29708">
      <c r="BB29708" s="122"/>
      <c r="BC29708" s="141"/>
    </row>
    <row r="29709">
      <c r="BB29709" s="122"/>
      <c r="BC29709" s="141"/>
    </row>
    <row r="29710">
      <c r="BB29710" s="122"/>
      <c r="BC29710" s="141"/>
    </row>
    <row r="29711">
      <c r="BB29711" s="122"/>
      <c r="BC29711" s="141"/>
    </row>
    <row r="29712">
      <c r="BB29712" s="122"/>
      <c r="BC29712" s="141"/>
    </row>
    <row r="29713">
      <c r="BB29713" s="122"/>
      <c r="BC29713" s="141"/>
    </row>
    <row r="29714">
      <c r="BB29714" s="122"/>
      <c r="BC29714" s="141"/>
    </row>
    <row r="29715">
      <c r="BB29715" s="122"/>
      <c r="BC29715" s="141"/>
    </row>
    <row r="29716">
      <c r="BB29716" s="122"/>
      <c r="BC29716" s="141"/>
    </row>
    <row r="29717">
      <c r="BB29717" s="122"/>
      <c r="BC29717" s="141"/>
    </row>
    <row r="29718">
      <c r="BB29718" s="122"/>
      <c r="BC29718" s="141"/>
    </row>
    <row r="29719">
      <c r="BB29719" s="122"/>
      <c r="BC29719" s="141"/>
    </row>
    <row r="29720">
      <c r="BB29720" s="122"/>
      <c r="BC29720" s="141"/>
    </row>
    <row r="29721">
      <c r="BB29721" s="122"/>
      <c r="BC29721" s="141"/>
    </row>
    <row r="29722">
      <c r="BB29722" s="122"/>
      <c r="BC29722" s="141"/>
    </row>
    <row r="29723">
      <c r="BB29723" s="122"/>
      <c r="BC29723" s="141"/>
    </row>
    <row r="29724">
      <c r="BB29724" s="122"/>
      <c r="BC29724" s="141"/>
    </row>
    <row r="29725">
      <c r="BB29725" s="122"/>
      <c r="BC29725" s="141"/>
    </row>
    <row r="29726">
      <c r="BB29726" s="122"/>
      <c r="BC29726" s="141"/>
    </row>
    <row r="29727">
      <c r="BB29727" s="122"/>
      <c r="BC29727" s="141"/>
    </row>
    <row r="29728">
      <c r="BB29728" s="122"/>
      <c r="BC29728" s="141"/>
    </row>
    <row r="29729">
      <c r="BB29729" s="122"/>
      <c r="BC29729" s="141"/>
    </row>
    <row r="29730">
      <c r="BB29730" s="122"/>
      <c r="BC29730" s="141"/>
    </row>
    <row r="29731">
      <c r="BB29731" s="122"/>
      <c r="BC29731" s="141"/>
    </row>
    <row r="29732">
      <c r="BB29732" s="122"/>
      <c r="BC29732" s="141"/>
    </row>
    <row r="29733">
      <c r="BB29733" s="122"/>
      <c r="BC29733" s="141"/>
    </row>
    <row r="29734">
      <c r="BB29734" s="122"/>
      <c r="BC29734" s="141"/>
    </row>
    <row r="29735">
      <c r="BB29735" s="122"/>
      <c r="BC29735" s="141"/>
    </row>
    <row r="29736">
      <c r="BB29736" s="122"/>
      <c r="BC29736" s="141"/>
    </row>
    <row r="29737">
      <c r="BB29737" s="122"/>
      <c r="BC29737" s="141"/>
    </row>
    <row r="29738">
      <c r="BB29738" s="122"/>
      <c r="BC29738" s="141"/>
    </row>
    <row r="29739">
      <c r="BB29739" s="122"/>
      <c r="BC29739" s="141"/>
    </row>
    <row r="29740">
      <c r="BB29740" s="122"/>
      <c r="BC29740" s="141"/>
    </row>
    <row r="29741">
      <c r="BB29741" s="122"/>
      <c r="BC29741" s="141"/>
    </row>
    <row r="29742">
      <c r="BB29742" s="122"/>
      <c r="BC29742" s="141"/>
    </row>
    <row r="29743">
      <c r="BB29743" s="122"/>
      <c r="BC29743" s="141"/>
    </row>
    <row r="29744">
      <c r="BB29744" s="122"/>
      <c r="BC29744" s="141"/>
    </row>
    <row r="29745">
      <c r="BB29745" s="122"/>
      <c r="BC29745" s="141"/>
    </row>
    <row r="29746">
      <c r="BB29746" s="122"/>
      <c r="BC29746" s="141"/>
    </row>
    <row r="29747">
      <c r="BB29747" s="122"/>
      <c r="BC29747" s="141"/>
    </row>
    <row r="29748">
      <c r="BB29748" s="122"/>
      <c r="BC29748" s="141"/>
    </row>
    <row r="29749">
      <c r="BB29749" s="122"/>
      <c r="BC29749" s="141"/>
    </row>
    <row r="29750">
      <c r="BB29750" s="122"/>
      <c r="BC29750" s="141"/>
    </row>
    <row r="29751">
      <c r="BB29751" s="122"/>
      <c r="BC29751" s="141"/>
    </row>
    <row r="29752">
      <c r="BB29752" s="122"/>
      <c r="BC29752" s="141"/>
    </row>
    <row r="29753">
      <c r="BB29753" s="122"/>
      <c r="BC29753" s="141"/>
    </row>
    <row r="29754">
      <c r="BB29754" s="122"/>
      <c r="BC29754" s="141"/>
    </row>
    <row r="29755">
      <c r="BB29755" s="122"/>
      <c r="BC29755" s="141"/>
    </row>
    <row r="29756">
      <c r="BB29756" s="122"/>
      <c r="BC29756" s="141"/>
    </row>
    <row r="29757">
      <c r="BB29757" s="122"/>
      <c r="BC29757" s="141"/>
    </row>
    <row r="29758">
      <c r="BB29758" s="122"/>
      <c r="BC29758" s="141"/>
    </row>
    <row r="29759">
      <c r="BB29759" s="122"/>
      <c r="BC29759" s="141"/>
    </row>
    <row r="29760">
      <c r="BB29760" s="122"/>
      <c r="BC29760" s="141"/>
    </row>
    <row r="29761">
      <c r="BB29761" s="122"/>
      <c r="BC29761" s="141"/>
    </row>
    <row r="29762">
      <c r="BB29762" s="122"/>
      <c r="BC29762" s="141"/>
    </row>
    <row r="29763">
      <c r="BB29763" s="122"/>
      <c r="BC29763" s="141"/>
    </row>
    <row r="29764">
      <c r="BB29764" s="122"/>
      <c r="BC29764" s="141"/>
    </row>
    <row r="29765">
      <c r="BB29765" s="122"/>
      <c r="BC29765" s="141"/>
    </row>
    <row r="29766">
      <c r="BB29766" s="122"/>
      <c r="BC29766" s="141"/>
    </row>
    <row r="29767">
      <c r="BB29767" s="122"/>
      <c r="BC29767" s="141"/>
    </row>
    <row r="29768">
      <c r="BB29768" s="122"/>
      <c r="BC29768" s="141"/>
    </row>
    <row r="29769">
      <c r="BB29769" s="122"/>
      <c r="BC29769" s="141"/>
    </row>
    <row r="29770">
      <c r="BB29770" s="122"/>
      <c r="BC29770" s="141"/>
    </row>
    <row r="29771">
      <c r="BB29771" s="122"/>
      <c r="BC29771" s="141"/>
    </row>
    <row r="29772">
      <c r="BB29772" s="122"/>
      <c r="BC29772" s="141"/>
    </row>
    <row r="29773">
      <c r="BB29773" s="122"/>
      <c r="BC29773" s="141"/>
    </row>
    <row r="29774">
      <c r="BB29774" s="122"/>
      <c r="BC29774" s="141"/>
    </row>
    <row r="29775">
      <c r="BB29775" s="122"/>
      <c r="BC29775" s="141"/>
    </row>
    <row r="29776">
      <c r="BB29776" s="122"/>
      <c r="BC29776" s="141"/>
    </row>
    <row r="29777">
      <c r="BB29777" s="122"/>
      <c r="BC29777" s="141"/>
    </row>
    <row r="29778">
      <c r="BB29778" s="122"/>
      <c r="BC29778" s="141"/>
    </row>
    <row r="29779">
      <c r="BB29779" s="122"/>
      <c r="BC29779" s="141"/>
    </row>
    <row r="29780">
      <c r="BB29780" s="122"/>
      <c r="BC29780" s="141"/>
    </row>
    <row r="29781">
      <c r="BB29781" s="122"/>
      <c r="BC29781" s="141"/>
    </row>
    <row r="29782">
      <c r="BB29782" s="122"/>
      <c r="BC29782" s="141"/>
    </row>
    <row r="29783">
      <c r="BB29783" s="122"/>
      <c r="BC29783" s="141"/>
    </row>
    <row r="29784">
      <c r="BB29784" s="122"/>
      <c r="BC29784" s="141"/>
    </row>
    <row r="29785">
      <c r="BB29785" s="122"/>
      <c r="BC29785" s="141"/>
    </row>
    <row r="29786">
      <c r="BB29786" s="122"/>
      <c r="BC29786" s="141"/>
    </row>
    <row r="29787">
      <c r="BB29787" s="122"/>
      <c r="BC29787" s="141"/>
    </row>
    <row r="29788">
      <c r="BB29788" s="122"/>
      <c r="BC29788" s="141"/>
    </row>
    <row r="29789">
      <c r="BB29789" s="122"/>
      <c r="BC29789" s="141"/>
    </row>
    <row r="29790">
      <c r="BB29790" s="122"/>
      <c r="BC29790" s="141"/>
    </row>
    <row r="29791">
      <c r="BB29791" s="122"/>
      <c r="BC29791" s="141"/>
    </row>
    <row r="29792">
      <c r="BB29792" s="122"/>
      <c r="BC29792" s="141"/>
    </row>
    <row r="29793">
      <c r="BB29793" s="122"/>
      <c r="BC29793" s="141"/>
    </row>
    <row r="29794">
      <c r="BB29794" s="122"/>
      <c r="BC29794" s="141"/>
    </row>
    <row r="29795">
      <c r="BB29795" s="122"/>
      <c r="BC29795" s="141"/>
    </row>
    <row r="29796">
      <c r="BB29796" s="122"/>
      <c r="BC29796" s="141"/>
    </row>
    <row r="29797">
      <c r="BB29797" s="122"/>
      <c r="BC29797" s="141"/>
    </row>
    <row r="29798">
      <c r="BB29798" s="122"/>
      <c r="BC29798" s="141"/>
    </row>
    <row r="29799">
      <c r="BB29799" s="122"/>
      <c r="BC29799" s="141"/>
    </row>
    <row r="29800">
      <c r="BB29800" s="122"/>
      <c r="BC29800" s="141"/>
    </row>
    <row r="29801">
      <c r="BB29801" s="122"/>
      <c r="BC29801" s="141"/>
    </row>
    <row r="29802">
      <c r="BB29802" s="122"/>
      <c r="BC29802" s="141"/>
    </row>
    <row r="29803">
      <c r="BB29803" s="122"/>
      <c r="BC29803" s="141"/>
    </row>
    <row r="29804">
      <c r="BB29804" s="122"/>
      <c r="BC29804" s="141"/>
    </row>
    <row r="29805">
      <c r="BB29805" s="122"/>
      <c r="BC29805" s="141"/>
    </row>
    <row r="29806">
      <c r="BB29806" s="122"/>
      <c r="BC29806" s="141"/>
    </row>
    <row r="29807">
      <c r="BB29807" s="122"/>
      <c r="BC29807" s="141"/>
    </row>
    <row r="29808">
      <c r="BB29808" s="122"/>
      <c r="BC29808" s="141"/>
    </row>
    <row r="29809">
      <c r="BB29809" s="122"/>
      <c r="BC29809" s="141"/>
    </row>
    <row r="29810">
      <c r="BB29810" s="122"/>
      <c r="BC29810" s="141"/>
    </row>
    <row r="29811">
      <c r="BB29811" s="122"/>
      <c r="BC29811" s="141"/>
    </row>
    <row r="29812">
      <c r="BB29812" s="122"/>
      <c r="BC29812" s="141"/>
    </row>
    <row r="29813">
      <c r="BB29813" s="122"/>
      <c r="BC29813" s="141"/>
    </row>
    <row r="29814">
      <c r="BB29814" s="122"/>
      <c r="BC29814" s="141"/>
    </row>
    <row r="29815">
      <c r="BB29815" s="122"/>
      <c r="BC29815" s="141"/>
    </row>
    <row r="29816">
      <c r="BB29816" s="122"/>
      <c r="BC29816" s="141"/>
    </row>
    <row r="29817">
      <c r="BB29817" s="122"/>
      <c r="BC29817" s="141"/>
    </row>
    <row r="29818">
      <c r="BB29818" s="122"/>
      <c r="BC29818" s="141"/>
    </row>
    <row r="29819">
      <c r="BB29819" s="122"/>
      <c r="BC29819" s="141"/>
    </row>
    <row r="29820">
      <c r="BB29820" s="122"/>
      <c r="BC29820" s="141"/>
    </row>
    <row r="29821">
      <c r="BB29821" s="122"/>
      <c r="BC29821" s="141"/>
    </row>
    <row r="29822">
      <c r="BB29822" s="122"/>
      <c r="BC29822" s="141"/>
    </row>
    <row r="29823">
      <c r="BB29823" s="122"/>
      <c r="BC29823" s="141"/>
    </row>
    <row r="29824">
      <c r="BB29824" s="122"/>
      <c r="BC29824" s="141"/>
    </row>
    <row r="29825">
      <c r="BB29825" s="122"/>
      <c r="BC29825" s="141"/>
    </row>
    <row r="29826">
      <c r="BB29826" s="122"/>
      <c r="BC29826" s="141"/>
    </row>
    <row r="29827">
      <c r="BB29827" s="122"/>
      <c r="BC29827" s="141"/>
    </row>
    <row r="29828">
      <c r="BB29828" s="122"/>
      <c r="BC29828" s="141"/>
    </row>
    <row r="29829">
      <c r="BB29829" s="122"/>
      <c r="BC29829" s="141"/>
    </row>
    <row r="29830">
      <c r="BB29830" s="122"/>
      <c r="BC29830" s="141"/>
    </row>
    <row r="29831">
      <c r="BB29831" s="122"/>
      <c r="BC29831" s="141"/>
    </row>
    <row r="29832">
      <c r="BB29832" s="122"/>
      <c r="BC29832" s="141"/>
    </row>
    <row r="29833">
      <c r="BB29833" s="122"/>
      <c r="BC29833" s="141"/>
    </row>
    <row r="29834">
      <c r="BB29834" s="122"/>
      <c r="BC29834" s="141"/>
    </row>
    <row r="29835">
      <c r="BB29835" s="122"/>
      <c r="BC29835" s="141"/>
    </row>
    <row r="29836">
      <c r="BB29836" s="122"/>
      <c r="BC29836" s="141"/>
    </row>
    <row r="29837">
      <c r="BB29837" s="122"/>
      <c r="BC29837" s="141"/>
    </row>
    <row r="29838">
      <c r="BB29838" s="122"/>
      <c r="BC29838" s="141"/>
    </row>
    <row r="29839">
      <c r="BB29839" s="122"/>
      <c r="BC29839" s="141"/>
    </row>
    <row r="29840">
      <c r="BB29840" s="122"/>
      <c r="BC29840" s="141"/>
    </row>
    <row r="29841">
      <c r="BB29841" s="122"/>
      <c r="BC29841" s="141"/>
    </row>
    <row r="29842">
      <c r="BB29842" s="122"/>
      <c r="BC29842" s="141"/>
    </row>
    <row r="29843">
      <c r="BB29843" s="122"/>
      <c r="BC29843" s="141"/>
    </row>
    <row r="29844">
      <c r="BB29844" s="122"/>
      <c r="BC29844" s="141"/>
    </row>
    <row r="29845">
      <c r="BB29845" s="122"/>
      <c r="BC29845" s="141"/>
    </row>
    <row r="29846">
      <c r="BB29846" s="122"/>
      <c r="BC29846" s="141"/>
    </row>
    <row r="29847">
      <c r="BB29847" s="122"/>
      <c r="BC29847" s="141"/>
    </row>
    <row r="29848">
      <c r="BB29848" s="122"/>
      <c r="BC29848" s="141"/>
    </row>
    <row r="29849">
      <c r="BB29849" s="122"/>
      <c r="BC29849" s="141"/>
    </row>
    <row r="29850">
      <c r="BB29850" s="122"/>
      <c r="BC29850" s="141"/>
    </row>
    <row r="29851">
      <c r="BB29851" s="122"/>
      <c r="BC29851" s="141"/>
    </row>
    <row r="29852">
      <c r="BB29852" s="122"/>
      <c r="BC29852" s="141"/>
    </row>
    <row r="29853">
      <c r="BB29853" s="122"/>
      <c r="BC29853" s="141"/>
    </row>
    <row r="29854">
      <c r="BB29854" s="122"/>
      <c r="BC29854" s="141"/>
    </row>
    <row r="29855">
      <c r="BB29855" s="122"/>
      <c r="BC29855" s="141"/>
    </row>
    <row r="29856">
      <c r="BB29856" s="122"/>
      <c r="BC29856" s="141"/>
    </row>
    <row r="29857">
      <c r="BB29857" s="122"/>
      <c r="BC29857" s="141"/>
    </row>
    <row r="29858">
      <c r="BB29858" s="122"/>
      <c r="BC29858" s="141"/>
    </row>
    <row r="29859">
      <c r="BB29859" s="122"/>
      <c r="BC29859" s="141"/>
    </row>
    <row r="29860">
      <c r="BB29860" s="122"/>
      <c r="BC29860" s="141"/>
    </row>
    <row r="29861">
      <c r="BB29861" s="122"/>
      <c r="BC29861" s="141"/>
    </row>
    <row r="29862">
      <c r="BB29862" s="122"/>
      <c r="BC29862" s="141"/>
    </row>
    <row r="29863">
      <c r="BB29863" s="122"/>
      <c r="BC29863" s="141"/>
    </row>
    <row r="29864">
      <c r="BB29864" s="122"/>
      <c r="BC29864" s="141"/>
    </row>
    <row r="29865">
      <c r="BB29865" s="122"/>
      <c r="BC29865" s="141"/>
    </row>
    <row r="29866">
      <c r="BB29866" s="122"/>
      <c r="BC29866" s="141"/>
    </row>
    <row r="29867">
      <c r="BB29867" s="122"/>
      <c r="BC29867" s="141"/>
    </row>
    <row r="29868">
      <c r="BB29868" s="122"/>
      <c r="BC29868" s="141"/>
    </row>
    <row r="29869">
      <c r="BB29869" s="122"/>
      <c r="BC29869" s="141"/>
    </row>
    <row r="29870">
      <c r="BB29870" s="122"/>
      <c r="BC29870" s="141"/>
    </row>
    <row r="29871">
      <c r="BB29871" s="122"/>
      <c r="BC29871" s="141"/>
    </row>
    <row r="29872">
      <c r="BB29872" s="122"/>
      <c r="BC29872" s="141"/>
    </row>
    <row r="29873">
      <c r="BB29873" s="122"/>
      <c r="BC29873" s="141"/>
    </row>
    <row r="29874">
      <c r="BB29874" s="122"/>
      <c r="BC29874" s="141"/>
    </row>
    <row r="29875">
      <c r="BB29875" s="122"/>
      <c r="BC29875" s="141"/>
    </row>
    <row r="29876">
      <c r="BB29876" s="122"/>
      <c r="BC29876" s="141"/>
    </row>
    <row r="29877">
      <c r="BB29877" s="122"/>
      <c r="BC29877" s="141"/>
    </row>
    <row r="29878">
      <c r="BB29878" s="122"/>
      <c r="BC29878" s="141"/>
    </row>
    <row r="29879">
      <c r="BB29879" s="122"/>
      <c r="BC29879" s="141"/>
    </row>
    <row r="29880">
      <c r="BB29880" s="122"/>
      <c r="BC29880" s="141"/>
    </row>
    <row r="29881">
      <c r="BB29881" s="122"/>
      <c r="BC29881" s="141"/>
    </row>
    <row r="29882">
      <c r="BB29882" s="122"/>
      <c r="BC29882" s="141"/>
    </row>
    <row r="29883">
      <c r="BB29883" s="122"/>
      <c r="BC29883" s="141"/>
    </row>
    <row r="29884">
      <c r="BB29884" s="122"/>
      <c r="BC29884" s="141"/>
    </row>
    <row r="29885">
      <c r="BB29885" s="122"/>
      <c r="BC29885" s="141"/>
    </row>
    <row r="29886">
      <c r="BB29886" s="122"/>
      <c r="BC29886" s="141"/>
    </row>
    <row r="29887">
      <c r="BB29887" s="122"/>
      <c r="BC29887" s="141"/>
    </row>
    <row r="29888">
      <c r="BB29888" s="122"/>
      <c r="BC29888" s="141"/>
    </row>
    <row r="29889">
      <c r="BB29889" s="122"/>
      <c r="BC29889" s="141"/>
    </row>
    <row r="29890">
      <c r="BB29890" s="122"/>
      <c r="BC29890" s="141"/>
    </row>
    <row r="29891">
      <c r="BB29891" s="122"/>
      <c r="BC29891" s="141"/>
    </row>
    <row r="29892">
      <c r="BB29892" s="122"/>
      <c r="BC29892" s="141"/>
    </row>
    <row r="29893">
      <c r="BB29893" s="122"/>
      <c r="BC29893" s="141"/>
    </row>
    <row r="29894">
      <c r="BB29894" s="122"/>
      <c r="BC29894" s="141"/>
    </row>
    <row r="29895">
      <c r="BB29895" s="122"/>
      <c r="BC29895" s="141"/>
    </row>
    <row r="29896">
      <c r="BB29896" s="122"/>
      <c r="BC29896" s="141"/>
    </row>
    <row r="29897">
      <c r="BB29897" s="122"/>
      <c r="BC29897" s="141"/>
    </row>
    <row r="29898">
      <c r="BB29898" s="122"/>
      <c r="BC29898" s="141"/>
    </row>
    <row r="29899">
      <c r="BB29899" s="122"/>
      <c r="BC29899" s="141"/>
    </row>
    <row r="29900">
      <c r="BB29900" s="122"/>
      <c r="BC29900" s="141"/>
    </row>
    <row r="29901">
      <c r="BB29901" s="122"/>
      <c r="BC29901" s="141"/>
    </row>
    <row r="29902">
      <c r="BB29902" s="122"/>
      <c r="BC29902" s="141"/>
    </row>
    <row r="29903">
      <c r="BB29903" s="122"/>
      <c r="BC29903" s="141"/>
    </row>
    <row r="29904">
      <c r="BB29904" s="122"/>
      <c r="BC29904" s="141"/>
    </row>
    <row r="29905">
      <c r="BB29905" s="122"/>
      <c r="BC29905" s="141"/>
    </row>
    <row r="29906">
      <c r="BB29906" s="122"/>
      <c r="BC29906" s="141"/>
    </row>
    <row r="29907">
      <c r="BB29907" s="122"/>
      <c r="BC29907" s="141"/>
    </row>
    <row r="29908">
      <c r="BB29908" s="122"/>
      <c r="BC29908" s="141"/>
    </row>
    <row r="29909">
      <c r="BB29909" s="122"/>
      <c r="BC29909" s="141"/>
    </row>
    <row r="29910">
      <c r="BB29910" s="122"/>
      <c r="BC29910" s="141"/>
    </row>
    <row r="29911">
      <c r="BB29911" s="122"/>
      <c r="BC29911" s="141"/>
    </row>
    <row r="29912">
      <c r="BB29912" s="122"/>
      <c r="BC29912" s="141"/>
    </row>
    <row r="29913">
      <c r="BB29913" s="122"/>
      <c r="BC29913" s="141"/>
    </row>
    <row r="29914">
      <c r="BB29914" s="122"/>
      <c r="BC29914" s="141"/>
    </row>
    <row r="29915">
      <c r="BB29915" s="122"/>
      <c r="BC29915" s="141"/>
    </row>
    <row r="29916">
      <c r="BB29916" s="122"/>
      <c r="BC29916" s="141"/>
    </row>
    <row r="29917">
      <c r="BB29917" s="122"/>
      <c r="BC29917" s="141"/>
    </row>
    <row r="29918">
      <c r="BB29918" s="122"/>
      <c r="BC29918" s="141"/>
    </row>
    <row r="29919">
      <c r="BB29919" s="122"/>
      <c r="BC29919" s="141"/>
    </row>
    <row r="29920">
      <c r="BB29920" s="122"/>
      <c r="BC29920" s="141"/>
    </row>
    <row r="29921">
      <c r="BB29921" s="122"/>
      <c r="BC29921" s="141"/>
    </row>
    <row r="29922">
      <c r="BB29922" s="122"/>
      <c r="BC29922" s="141"/>
    </row>
    <row r="29923">
      <c r="BB29923" s="122"/>
      <c r="BC29923" s="141"/>
    </row>
    <row r="29924">
      <c r="BB29924" s="122"/>
      <c r="BC29924" s="141"/>
    </row>
    <row r="29925">
      <c r="BB29925" s="122"/>
      <c r="BC29925" s="141"/>
    </row>
    <row r="29926">
      <c r="BB29926" s="122"/>
      <c r="BC29926" s="141"/>
    </row>
    <row r="29927">
      <c r="BB29927" s="122"/>
      <c r="BC29927" s="141"/>
    </row>
    <row r="29928">
      <c r="BB29928" s="122"/>
      <c r="BC29928" s="141"/>
    </row>
    <row r="29929">
      <c r="BB29929" s="122"/>
      <c r="BC29929" s="141"/>
    </row>
    <row r="29930">
      <c r="BB29930" s="122"/>
      <c r="BC29930" s="141"/>
    </row>
    <row r="29931">
      <c r="BB29931" s="122"/>
      <c r="BC29931" s="141"/>
    </row>
    <row r="29932">
      <c r="BB29932" s="122"/>
      <c r="BC29932" s="141"/>
    </row>
    <row r="29933">
      <c r="BB29933" s="122"/>
      <c r="BC29933" s="141"/>
    </row>
    <row r="29934">
      <c r="BB29934" s="122"/>
      <c r="BC29934" s="141"/>
    </row>
    <row r="29935">
      <c r="BB29935" s="122"/>
      <c r="BC29935" s="141"/>
    </row>
    <row r="29936">
      <c r="BB29936" s="122"/>
      <c r="BC29936" s="141"/>
    </row>
    <row r="29937">
      <c r="BB29937" s="122"/>
      <c r="BC29937" s="141"/>
    </row>
    <row r="29938">
      <c r="BB29938" s="122"/>
      <c r="BC29938" s="141"/>
    </row>
    <row r="29939">
      <c r="BB29939" s="122"/>
      <c r="BC29939" s="141"/>
    </row>
    <row r="29940">
      <c r="BB29940" s="122"/>
      <c r="BC29940" s="141"/>
    </row>
    <row r="29941">
      <c r="BB29941" s="122"/>
      <c r="BC29941" s="141"/>
    </row>
    <row r="29942">
      <c r="BB29942" s="122"/>
      <c r="BC29942" s="141"/>
    </row>
    <row r="29943">
      <c r="BB29943" s="122"/>
      <c r="BC29943" s="141"/>
    </row>
    <row r="29944">
      <c r="BB29944" s="122"/>
      <c r="BC29944" s="141"/>
    </row>
    <row r="29945">
      <c r="BB29945" s="122"/>
      <c r="BC29945" s="141"/>
    </row>
    <row r="29946">
      <c r="BB29946" s="122"/>
      <c r="BC29946" s="141"/>
    </row>
    <row r="29947">
      <c r="BB29947" s="122"/>
      <c r="BC29947" s="141"/>
    </row>
    <row r="29948">
      <c r="BB29948" s="122"/>
      <c r="BC29948" s="141"/>
    </row>
    <row r="29949">
      <c r="BB29949" s="122"/>
      <c r="BC29949" s="141"/>
    </row>
    <row r="29950">
      <c r="BB29950" s="122"/>
      <c r="BC29950" s="141"/>
    </row>
    <row r="29951">
      <c r="BB29951" s="122"/>
      <c r="BC29951" s="141"/>
    </row>
    <row r="29952">
      <c r="BB29952" s="122"/>
      <c r="BC29952" s="141"/>
    </row>
    <row r="29953">
      <c r="BB29953" s="122"/>
      <c r="BC29953" s="141"/>
    </row>
    <row r="29954">
      <c r="BB29954" s="122"/>
      <c r="BC29954" s="141"/>
    </row>
    <row r="29955">
      <c r="BB29955" s="122"/>
      <c r="BC29955" s="141"/>
    </row>
    <row r="29956">
      <c r="BB29956" s="122"/>
      <c r="BC29956" s="141"/>
    </row>
    <row r="29957">
      <c r="BB29957" s="122"/>
      <c r="BC29957" s="141"/>
    </row>
    <row r="29958">
      <c r="BB29958" s="122"/>
      <c r="BC29958" s="141"/>
    </row>
    <row r="29959">
      <c r="BB29959" s="122"/>
      <c r="BC29959" s="141"/>
    </row>
    <row r="29960">
      <c r="BB29960" s="122"/>
      <c r="BC29960" s="141"/>
    </row>
    <row r="29961">
      <c r="BB29961" s="122"/>
      <c r="BC29961" s="141"/>
    </row>
    <row r="29962">
      <c r="BB29962" s="122"/>
      <c r="BC29962" s="141"/>
    </row>
    <row r="29963">
      <c r="BB29963" s="122"/>
      <c r="BC29963" s="141"/>
    </row>
    <row r="29964">
      <c r="BB29964" s="122"/>
      <c r="BC29964" s="141"/>
    </row>
    <row r="29965">
      <c r="BB29965" s="122"/>
      <c r="BC29965" s="141"/>
    </row>
    <row r="29966">
      <c r="BB29966" s="122"/>
      <c r="BC29966" s="141"/>
    </row>
    <row r="29967">
      <c r="BB29967" s="122"/>
      <c r="BC29967" s="141"/>
    </row>
    <row r="29968">
      <c r="BB29968" s="122"/>
      <c r="BC29968" s="141"/>
    </row>
    <row r="29969">
      <c r="BB29969" s="122"/>
      <c r="BC29969" s="141"/>
    </row>
    <row r="29970">
      <c r="BB29970" s="122"/>
      <c r="BC29970" s="141"/>
    </row>
    <row r="29971">
      <c r="BB29971" s="122"/>
      <c r="BC29971" s="141"/>
    </row>
    <row r="29972">
      <c r="BB29972" s="122"/>
      <c r="BC29972" s="141"/>
    </row>
    <row r="29973">
      <c r="BB29973" s="122"/>
      <c r="BC29973" s="141"/>
    </row>
    <row r="29974">
      <c r="BB29974" s="122"/>
      <c r="BC29974" s="141"/>
    </row>
    <row r="29975">
      <c r="BB29975" s="122"/>
      <c r="BC29975" s="141"/>
    </row>
    <row r="29976">
      <c r="BB29976" s="122"/>
      <c r="BC29976" s="141"/>
    </row>
    <row r="29977">
      <c r="BB29977" s="122"/>
      <c r="BC29977" s="141"/>
    </row>
    <row r="29978">
      <c r="BB29978" s="122"/>
      <c r="BC29978" s="141"/>
    </row>
    <row r="29979">
      <c r="BB29979" s="122"/>
      <c r="BC29979" s="141"/>
    </row>
    <row r="29980">
      <c r="BB29980" s="122"/>
      <c r="BC29980" s="141"/>
    </row>
    <row r="29981">
      <c r="BB29981" s="122"/>
      <c r="BC29981" s="141"/>
    </row>
    <row r="29982">
      <c r="BB29982" s="122"/>
      <c r="BC29982" s="141"/>
    </row>
    <row r="29983">
      <c r="BB29983" s="122"/>
      <c r="BC29983" s="141"/>
    </row>
    <row r="29984">
      <c r="BB29984" s="122"/>
      <c r="BC29984" s="141"/>
    </row>
    <row r="29985">
      <c r="BB29985" s="122"/>
      <c r="BC29985" s="141"/>
    </row>
    <row r="29986">
      <c r="BB29986" s="122"/>
      <c r="BC29986" s="141"/>
    </row>
    <row r="29987">
      <c r="BB29987" s="122"/>
      <c r="BC29987" s="141"/>
    </row>
    <row r="29988">
      <c r="BB29988" s="122"/>
      <c r="BC29988" s="141"/>
    </row>
    <row r="29989">
      <c r="BB29989" s="122"/>
      <c r="BC29989" s="141"/>
    </row>
    <row r="29990">
      <c r="BB29990" s="122"/>
      <c r="BC29990" s="141"/>
    </row>
    <row r="29991">
      <c r="BB29991" s="122"/>
      <c r="BC29991" s="141"/>
    </row>
    <row r="29992">
      <c r="BB29992" s="122"/>
      <c r="BC29992" s="141"/>
    </row>
    <row r="29993">
      <c r="BB29993" s="122"/>
      <c r="BC29993" s="141"/>
    </row>
    <row r="29994">
      <c r="BB29994" s="122"/>
      <c r="BC29994" s="141"/>
    </row>
    <row r="29995">
      <c r="BB29995" s="122"/>
      <c r="BC29995" s="141"/>
    </row>
    <row r="29996">
      <c r="BB29996" s="122"/>
      <c r="BC29996" s="141"/>
    </row>
    <row r="29997">
      <c r="BB29997" s="122"/>
      <c r="BC29997" s="141"/>
    </row>
    <row r="29998">
      <c r="BB29998" s="122"/>
      <c r="BC29998" s="141"/>
    </row>
    <row r="29999">
      <c r="BB29999" s="122"/>
      <c r="BC29999" s="141"/>
    </row>
    <row r="30000">
      <c r="BB30000" s="122"/>
      <c r="BC30000" s="141"/>
    </row>
    <row r="30001">
      <c r="BB30001" s="122"/>
      <c r="BC30001" s="141"/>
    </row>
    <row r="30002">
      <c r="BB30002" s="122"/>
      <c r="BC30002" s="141"/>
    </row>
    <row r="30003">
      <c r="BB30003" s="122"/>
      <c r="BC30003" s="141"/>
    </row>
    <row r="30004">
      <c r="BB30004" s="122"/>
      <c r="BC30004" s="141"/>
    </row>
    <row r="30005">
      <c r="BB30005" s="122"/>
      <c r="BC30005" s="141"/>
    </row>
    <row r="30006">
      <c r="BB30006" s="122"/>
      <c r="BC30006" s="141"/>
    </row>
    <row r="30007">
      <c r="BB30007" s="122"/>
      <c r="BC30007" s="141"/>
    </row>
    <row r="30008">
      <c r="BB30008" s="122"/>
      <c r="BC30008" s="141"/>
    </row>
    <row r="30009">
      <c r="BB30009" s="122"/>
      <c r="BC30009" s="141"/>
    </row>
    <row r="30010">
      <c r="BB30010" s="122"/>
      <c r="BC30010" s="141"/>
    </row>
    <row r="30011">
      <c r="BB30011" s="122"/>
      <c r="BC30011" s="141"/>
    </row>
    <row r="30012">
      <c r="BB30012" s="122"/>
      <c r="BC30012" s="141"/>
    </row>
    <row r="30013">
      <c r="BB30013" s="122"/>
      <c r="BC30013" s="141"/>
    </row>
    <row r="30014">
      <c r="BB30014" s="122"/>
      <c r="BC30014" s="141"/>
    </row>
    <row r="30015">
      <c r="BB30015" s="122"/>
      <c r="BC30015" s="141"/>
    </row>
    <row r="30016">
      <c r="BB30016" s="122"/>
      <c r="BC30016" s="141"/>
    </row>
    <row r="30017">
      <c r="BB30017" s="122"/>
      <c r="BC30017" s="141"/>
    </row>
    <row r="30018">
      <c r="BB30018" s="122"/>
      <c r="BC30018" s="141"/>
    </row>
    <row r="30019">
      <c r="BB30019" s="122"/>
      <c r="BC30019" s="141"/>
    </row>
    <row r="30020">
      <c r="BB30020" s="122"/>
      <c r="BC30020" s="141"/>
    </row>
    <row r="30021">
      <c r="BB30021" s="122"/>
      <c r="BC30021" s="141"/>
    </row>
    <row r="30022">
      <c r="BB30022" s="122"/>
      <c r="BC30022" s="141"/>
    </row>
    <row r="30023">
      <c r="BB30023" s="122"/>
      <c r="BC30023" s="141"/>
    </row>
    <row r="30024">
      <c r="BB30024" s="122"/>
      <c r="BC30024" s="141"/>
    </row>
    <row r="30025">
      <c r="BB30025" s="122"/>
      <c r="BC30025" s="141"/>
    </row>
    <row r="30026">
      <c r="BB30026" s="122"/>
      <c r="BC30026" s="141"/>
    </row>
    <row r="30027">
      <c r="BB30027" s="122"/>
      <c r="BC30027" s="141"/>
    </row>
    <row r="30028">
      <c r="BB30028" s="122"/>
      <c r="BC30028" s="141"/>
    </row>
    <row r="30029">
      <c r="BB30029" s="122"/>
      <c r="BC30029" s="141"/>
    </row>
    <row r="30030">
      <c r="BB30030" s="122"/>
      <c r="BC30030" s="141"/>
    </row>
    <row r="30031">
      <c r="BB30031" s="122"/>
      <c r="BC30031" s="141"/>
    </row>
    <row r="30032">
      <c r="BB30032" s="122"/>
      <c r="BC30032" s="141"/>
    </row>
    <row r="30033">
      <c r="BB30033" s="122"/>
      <c r="BC30033" s="141"/>
    </row>
    <row r="30034">
      <c r="BB30034" s="122"/>
      <c r="BC30034" s="141"/>
    </row>
    <row r="30035">
      <c r="BB30035" s="122"/>
      <c r="BC30035" s="141"/>
    </row>
    <row r="30036">
      <c r="BB30036" s="122"/>
      <c r="BC30036" s="141"/>
    </row>
    <row r="30037">
      <c r="BB30037" s="122"/>
      <c r="BC30037" s="141"/>
    </row>
    <row r="30038">
      <c r="BB30038" s="122"/>
      <c r="BC30038" s="141"/>
    </row>
    <row r="30039">
      <c r="BB30039" s="122"/>
      <c r="BC30039" s="141"/>
    </row>
    <row r="30040">
      <c r="BB30040" s="122"/>
      <c r="BC30040" s="141"/>
    </row>
    <row r="30041">
      <c r="BB30041" s="122"/>
      <c r="BC30041" s="141"/>
    </row>
    <row r="30042">
      <c r="BB30042" s="122"/>
      <c r="BC30042" s="141"/>
    </row>
    <row r="30043">
      <c r="BB30043" s="122"/>
      <c r="BC30043" s="141"/>
    </row>
    <row r="30044">
      <c r="BB30044" s="122"/>
      <c r="BC30044" s="141"/>
    </row>
    <row r="30045">
      <c r="BB30045" s="122"/>
      <c r="BC30045" s="141"/>
    </row>
    <row r="30046">
      <c r="BB30046" s="122"/>
      <c r="BC30046" s="141"/>
    </row>
    <row r="30047">
      <c r="BB30047" s="122"/>
      <c r="BC30047" s="141"/>
    </row>
    <row r="30048">
      <c r="BB30048" s="122"/>
      <c r="BC30048" s="141"/>
    </row>
    <row r="30049">
      <c r="BB30049" s="122"/>
      <c r="BC30049" s="141"/>
    </row>
    <row r="30050">
      <c r="BB30050" s="122"/>
      <c r="BC30050" s="141"/>
    </row>
    <row r="30051">
      <c r="BB30051" s="122"/>
      <c r="BC30051" s="141"/>
    </row>
    <row r="30052">
      <c r="BB30052" s="122"/>
      <c r="BC30052" s="141"/>
    </row>
    <row r="30053">
      <c r="BB30053" s="122"/>
      <c r="BC30053" s="141"/>
    </row>
    <row r="30054">
      <c r="BB30054" s="122"/>
      <c r="BC30054" s="141"/>
    </row>
    <row r="30055">
      <c r="BB30055" s="122"/>
      <c r="BC30055" s="141"/>
    </row>
    <row r="30056">
      <c r="BB30056" s="122"/>
      <c r="BC30056" s="141"/>
    </row>
    <row r="30057">
      <c r="BB30057" s="122"/>
      <c r="BC30057" s="141"/>
    </row>
    <row r="30058">
      <c r="BB30058" s="122"/>
      <c r="BC30058" s="141"/>
    </row>
    <row r="30059">
      <c r="BB30059" s="122"/>
      <c r="BC30059" s="141"/>
    </row>
    <row r="30060">
      <c r="BB30060" s="122"/>
      <c r="BC30060" s="141"/>
    </row>
    <row r="30061">
      <c r="BB30061" s="122"/>
      <c r="BC30061" s="141"/>
    </row>
    <row r="30062">
      <c r="BB30062" s="122"/>
      <c r="BC30062" s="141"/>
    </row>
    <row r="30063">
      <c r="BB30063" s="122"/>
      <c r="BC30063" s="141"/>
    </row>
    <row r="30064">
      <c r="BB30064" s="122"/>
      <c r="BC30064" s="141"/>
    </row>
    <row r="30065">
      <c r="BB30065" s="122"/>
      <c r="BC30065" s="141"/>
    </row>
    <row r="30066">
      <c r="BB30066" s="122"/>
      <c r="BC30066" s="141"/>
    </row>
    <row r="30067">
      <c r="BB30067" s="122"/>
      <c r="BC30067" s="141"/>
    </row>
    <row r="30068">
      <c r="BB30068" s="122"/>
      <c r="BC30068" s="141"/>
    </row>
    <row r="30069">
      <c r="BB30069" s="122"/>
      <c r="BC30069" s="141"/>
    </row>
    <row r="30070">
      <c r="BB30070" s="122"/>
      <c r="BC30070" s="141"/>
    </row>
    <row r="30071">
      <c r="BB30071" s="122"/>
      <c r="BC30071" s="141"/>
    </row>
    <row r="30072">
      <c r="BB30072" s="122"/>
      <c r="BC30072" s="141"/>
    </row>
    <row r="30073">
      <c r="BB30073" s="122"/>
      <c r="BC30073" s="141"/>
    </row>
    <row r="30074">
      <c r="BB30074" s="122"/>
      <c r="BC30074" s="141"/>
    </row>
    <row r="30075">
      <c r="BB30075" s="122"/>
      <c r="BC30075" s="141"/>
    </row>
    <row r="30076">
      <c r="BB30076" s="122"/>
      <c r="BC30076" s="141"/>
    </row>
    <row r="30077">
      <c r="BB30077" s="122"/>
      <c r="BC30077" s="141"/>
    </row>
    <row r="30078">
      <c r="BB30078" s="122"/>
      <c r="BC30078" s="141"/>
    </row>
    <row r="30079">
      <c r="BB30079" s="122"/>
      <c r="BC30079" s="141"/>
    </row>
    <row r="30080">
      <c r="BB30080" s="122"/>
      <c r="BC30080" s="141"/>
    </row>
    <row r="30081">
      <c r="BB30081" s="122"/>
      <c r="BC30081" s="141"/>
    </row>
    <row r="30082">
      <c r="BB30082" s="122"/>
      <c r="BC30082" s="141"/>
    </row>
    <row r="30083">
      <c r="BB30083" s="122"/>
      <c r="BC30083" s="141"/>
    </row>
    <row r="30084">
      <c r="BB30084" s="122"/>
      <c r="BC30084" s="141"/>
    </row>
    <row r="30085">
      <c r="BB30085" s="122"/>
      <c r="BC30085" s="141"/>
    </row>
    <row r="30086">
      <c r="BB30086" s="122"/>
      <c r="BC30086" s="141"/>
    </row>
    <row r="30087">
      <c r="BB30087" s="122"/>
      <c r="BC30087" s="141"/>
    </row>
    <row r="30088">
      <c r="BB30088" s="122"/>
      <c r="BC30088" s="141"/>
    </row>
    <row r="30089">
      <c r="BB30089" s="122"/>
      <c r="BC30089" s="141"/>
    </row>
    <row r="30090">
      <c r="BB30090" s="122"/>
      <c r="BC30090" s="141"/>
    </row>
    <row r="30091">
      <c r="BB30091" s="122"/>
      <c r="BC30091" s="141"/>
    </row>
    <row r="30092">
      <c r="BB30092" s="122"/>
      <c r="BC30092" s="141"/>
    </row>
    <row r="30093">
      <c r="BB30093" s="122"/>
      <c r="BC30093" s="141"/>
    </row>
    <row r="30094">
      <c r="BB30094" s="122"/>
      <c r="BC30094" s="141"/>
    </row>
    <row r="30095">
      <c r="BB30095" s="122"/>
      <c r="BC30095" s="141"/>
    </row>
    <row r="30096">
      <c r="BB30096" s="122"/>
      <c r="BC30096" s="141"/>
    </row>
    <row r="30097">
      <c r="BB30097" s="122"/>
      <c r="BC30097" s="141"/>
    </row>
    <row r="30098">
      <c r="BB30098" s="122"/>
      <c r="BC30098" s="141"/>
    </row>
    <row r="30099">
      <c r="BB30099" s="122"/>
      <c r="BC30099" s="141"/>
    </row>
    <row r="30100">
      <c r="BB30100" s="122"/>
      <c r="BC30100" s="141"/>
    </row>
    <row r="30101">
      <c r="BB30101" s="122"/>
      <c r="BC30101" s="141"/>
    </row>
    <row r="30102">
      <c r="BB30102" s="122"/>
      <c r="BC30102" s="141"/>
    </row>
    <row r="30103">
      <c r="BB30103" s="122"/>
      <c r="BC30103" s="141"/>
    </row>
    <row r="30104">
      <c r="BB30104" s="122"/>
      <c r="BC30104" s="141"/>
    </row>
    <row r="30105">
      <c r="BB30105" s="122"/>
      <c r="BC30105" s="141"/>
    </row>
    <row r="30106">
      <c r="BB30106" s="122"/>
      <c r="BC30106" s="141"/>
    </row>
    <row r="30107">
      <c r="BB30107" s="122"/>
      <c r="BC30107" s="141"/>
    </row>
    <row r="30108">
      <c r="BB30108" s="122"/>
      <c r="BC30108" s="141"/>
    </row>
    <row r="30109">
      <c r="BB30109" s="122"/>
      <c r="BC30109" s="141"/>
    </row>
    <row r="30110">
      <c r="BB30110" s="122"/>
      <c r="BC30110" s="141"/>
    </row>
    <row r="30111">
      <c r="BB30111" s="122"/>
      <c r="BC30111" s="141"/>
    </row>
    <row r="30112">
      <c r="BB30112" s="122"/>
      <c r="BC30112" s="141"/>
    </row>
    <row r="30113">
      <c r="BB30113" s="122"/>
      <c r="BC30113" s="141"/>
    </row>
    <row r="30114">
      <c r="BB30114" s="122"/>
      <c r="BC30114" s="141"/>
    </row>
    <row r="30115">
      <c r="BB30115" s="122"/>
      <c r="BC30115" s="141"/>
    </row>
    <row r="30116">
      <c r="BB30116" s="122"/>
      <c r="BC30116" s="141"/>
    </row>
    <row r="30117">
      <c r="BB30117" s="122"/>
      <c r="BC30117" s="141"/>
    </row>
    <row r="30118">
      <c r="BB30118" s="122"/>
      <c r="BC30118" s="141"/>
    </row>
    <row r="30119">
      <c r="BB30119" s="122"/>
      <c r="BC30119" s="141"/>
    </row>
    <row r="30120">
      <c r="BB30120" s="122"/>
      <c r="BC30120" s="141"/>
    </row>
    <row r="30121">
      <c r="BB30121" s="122"/>
      <c r="BC30121" s="141"/>
    </row>
    <row r="30122">
      <c r="BB30122" s="122"/>
      <c r="BC30122" s="141"/>
    </row>
    <row r="30123">
      <c r="BB30123" s="122"/>
      <c r="BC30123" s="141"/>
    </row>
    <row r="30124">
      <c r="BB30124" s="122"/>
      <c r="BC30124" s="141"/>
    </row>
    <row r="30125">
      <c r="BB30125" s="122"/>
      <c r="BC30125" s="141"/>
    </row>
    <row r="30126">
      <c r="BB30126" s="122"/>
      <c r="BC30126" s="141"/>
    </row>
    <row r="30127">
      <c r="BB30127" s="122"/>
      <c r="BC30127" s="141"/>
    </row>
    <row r="30128">
      <c r="BB30128" s="122"/>
      <c r="BC30128" s="141"/>
    </row>
    <row r="30129">
      <c r="BB30129" s="122"/>
      <c r="BC30129" s="141"/>
    </row>
    <row r="30130">
      <c r="BB30130" s="122"/>
      <c r="BC30130" s="141"/>
    </row>
    <row r="30131">
      <c r="BB30131" s="122"/>
      <c r="BC30131" s="141"/>
    </row>
    <row r="30132">
      <c r="BB30132" s="122"/>
      <c r="BC30132" s="141"/>
    </row>
    <row r="30133">
      <c r="BB30133" s="122"/>
      <c r="BC30133" s="141"/>
    </row>
    <row r="30134">
      <c r="BB30134" s="122"/>
      <c r="BC30134" s="141"/>
    </row>
    <row r="30135">
      <c r="BB30135" s="122"/>
      <c r="BC30135" s="141"/>
    </row>
    <row r="30136">
      <c r="BB30136" s="122"/>
      <c r="BC30136" s="141"/>
    </row>
    <row r="30137">
      <c r="BB30137" s="122"/>
      <c r="BC30137" s="141"/>
    </row>
    <row r="30138">
      <c r="BB30138" s="122"/>
      <c r="BC30138" s="141"/>
    </row>
    <row r="30139">
      <c r="BB30139" s="122"/>
      <c r="BC30139" s="141"/>
    </row>
    <row r="30140">
      <c r="BB30140" s="122"/>
      <c r="BC30140" s="141"/>
    </row>
    <row r="30141">
      <c r="BB30141" s="122"/>
      <c r="BC30141" s="141"/>
    </row>
    <row r="30142">
      <c r="BB30142" s="122"/>
      <c r="BC30142" s="141"/>
    </row>
    <row r="30143">
      <c r="BB30143" s="122"/>
      <c r="BC30143" s="141"/>
    </row>
    <row r="30144">
      <c r="BB30144" s="122"/>
      <c r="BC30144" s="141"/>
    </row>
    <row r="30145">
      <c r="BB30145" s="122"/>
      <c r="BC30145" s="141"/>
    </row>
    <row r="30146">
      <c r="BB30146" s="122"/>
      <c r="BC30146" s="141"/>
    </row>
    <row r="30147">
      <c r="BB30147" s="122"/>
      <c r="BC30147" s="141"/>
    </row>
    <row r="30148">
      <c r="BB30148" s="122"/>
      <c r="BC30148" s="141"/>
    </row>
    <row r="30149">
      <c r="BB30149" s="122"/>
      <c r="BC30149" s="141"/>
    </row>
    <row r="30150">
      <c r="BB30150" s="122"/>
      <c r="BC30150" s="141"/>
    </row>
    <row r="30151">
      <c r="BB30151" s="122"/>
      <c r="BC30151" s="141"/>
    </row>
    <row r="30152">
      <c r="BB30152" s="122"/>
      <c r="BC30152" s="141"/>
    </row>
    <row r="30153">
      <c r="BB30153" s="122"/>
      <c r="BC30153" s="141"/>
    </row>
    <row r="30154">
      <c r="BB30154" s="122"/>
      <c r="BC30154" s="141"/>
    </row>
    <row r="30155">
      <c r="BB30155" s="122"/>
      <c r="BC30155" s="141"/>
    </row>
    <row r="30156">
      <c r="BB30156" s="122"/>
      <c r="BC30156" s="141"/>
    </row>
    <row r="30157">
      <c r="BB30157" s="122"/>
      <c r="BC30157" s="141"/>
    </row>
    <row r="30158">
      <c r="BB30158" s="122"/>
      <c r="BC30158" s="141"/>
    </row>
    <row r="30159">
      <c r="BB30159" s="122"/>
      <c r="BC30159" s="141"/>
    </row>
    <row r="30160">
      <c r="BB30160" s="122"/>
      <c r="BC30160" s="141"/>
    </row>
    <row r="30161">
      <c r="BB30161" s="122"/>
      <c r="BC30161" s="141"/>
    </row>
    <row r="30162">
      <c r="BB30162" s="122"/>
      <c r="BC30162" s="141"/>
    </row>
    <row r="30163">
      <c r="BB30163" s="122"/>
      <c r="BC30163" s="141"/>
    </row>
    <row r="30164">
      <c r="BB30164" s="122"/>
      <c r="BC30164" s="141"/>
    </row>
    <row r="30165">
      <c r="BB30165" s="122"/>
      <c r="BC30165" s="141"/>
    </row>
    <row r="30166">
      <c r="BB30166" s="122"/>
      <c r="BC30166" s="141"/>
    </row>
    <row r="30167">
      <c r="BB30167" s="122"/>
      <c r="BC30167" s="141"/>
    </row>
    <row r="30168">
      <c r="BB30168" s="122"/>
      <c r="BC30168" s="141"/>
    </row>
    <row r="30169">
      <c r="BB30169" s="122"/>
      <c r="BC30169" s="141"/>
    </row>
    <row r="30170">
      <c r="BB30170" s="122"/>
      <c r="BC30170" s="141"/>
    </row>
    <row r="30171">
      <c r="BB30171" s="122"/>
      <c r="BC30171" s="141"/>
    </row>
    <row r="30172">
      <c r="BB30172" s="122"/>
      <c r="BC30172" s="141"/>
    </row>
    <row r="30173">
      <c r="BB30173" s="122"/>
      <c r="BC30173" s="141"/>
    </row>
    <row r="30174">
      <c r="BB30174" s="122"/>
      <c r="BC30174" s="141"/>
    </row>
    <row r="30175">
      <c r="BB30175" s="122"/>
      <c r="BC30175" s="141"/>
    </row>
    <row r="30176">
      <c r="BB30176" s="122"/>
      <c r="BC30176" s="141"/>
    </row>
    <row r="30177">
      <c r="BB30177" s="122"/>
      <c r="BC30177" s="141"/>
    </row>
    <row r="30178">
      <c r="BB30178" s="122"/>
      <c r="BC30178" s="141"/>
    </row>
    <row r="30179">
      <c r="BB30179" s="122"/>
      <c r="BC30179" s="141"/>
    </row>
    <row r="30180">
      <c r="BB30180" s="122"/>
      <c r="BC30180" s="141"/>
    </row>
    <row r="30181">
      <c r="BB30181" s="122"/>
      <c r="BC30181" s="141"/>
    </row>
    <row r="30182">
      <c r="BB30182" s="122"/>
      <c r="BC30182" s="141"/>
    </row>
    <row r="30183">
      <c r="BB30183" s="122"/>
      <c r="BC30183" s="141"/>
    </row>
    <row r="30184">
      <c r="BB30184" s="122"/>
      <c r="BC30184" s="141"/>
    </row>
    <row r="30185">
      <c r="BB30185" s="122"/>
      <c r="BC30185" s="141"/>
    </row>
    <row r="30186">
      <c r="BB30186" s="122"/>
      <c r="BC30186" s="141"/>
    </row>
    <row r="30187">
      <c r="BB30187" s="122"/>
      <c r="BC30187" s="141"/>
    </row>
    <row r="30188">
      <c r="BB30188" s="122"/>
      <c r="BC30188" s="141"/>
    </row>
    <row r="30189">
      <c r="BB30189" s="122"/>
      <c r="BC30189" s="141"/>
    </row>
    <row r="30190">
      <c r="BB30190" s="122"/>
      <c r="BC30190" s="141"/>
    </row>
    <row r="30191">
      <c r="BB30191" s="122"/>
      <c r="BC30191" s="141"/>
    </row>
    <row r="30192">
      <c r="BB30192" s="122"/>
      <c r="BC30192" s="141"/>
    </row>
    <row r="30193">
      <c r="BB30193" s="122"/>
      <c r="BC30193" s="141"/>
    </row>
    <row r="30194">
      <c r="BB30194" s="122"/>
      <c r="BC30194" s="141"/>
    </row>
    <row r="30195">
      <c r="BB30195" s="122"/>
      <c r="BC30195" s="141"/>
    </row>
    <row r="30196">
      <c r="BB30196" s="122"/>
      <c r="BC30196" s="141"/>
    </row>
    <row r="30197">
      <c r="BB30197" s="122"/>
      <c r="BC30197" s="141"/>
    </row>
    <row r="30198">
      <c r="BB30198" s="122"/>
      <c r="BC30198" s="141"/>
    </row>
    <row r="30199">
      <c r="BB30199" s="122"/>
      <c r="BC30199" s="141"/>
    </row>
    <row r="30200">
      <c r="BB30200" s="122"/>
      <c r="BC30200" s="141"/>
    </row>
    <row r="30201">
      <c r="BB30201" s="122"/>
      <c r="BC30201" s="141"/>
    </row>
    <row r="30202">
      <c r="BB30202" s="122"/>
      <c r="BC30202" s="141"/>
    </row>
    <row r="30203">
      <c r="BB30203" s="122"/>
      <c r="BC30203" s="141"/>
    </row>
    <row r="30204">
      <c r="BB30204" s="122"/>
      <c r="BC30204" s="141"/>
    </row>
    <row r="30205">
      <c r="BB30205" s="122"/>
      <c r="BC30205" s="141"/>
    </row>
    <row r="30206">
      <c r="BB30206" s="122"/>
      <c r="BC30206" s="141"/>
    </row>
    <row r="30207">
      <c r="BB30207" s="122"/>
      <c r="BC30207" s="141"/>
    </row>
    <row r="30208">
      <c r="BB30208" s="122"/>
      <c r="BC30208" s="141"/>
    </row>
    <row r="30209">
      <c r="BB30209" s="122"/>
      <c r="BC30209" s="141"/>
    </row>
    <row r="30210">
      <c r="BB30210" s="122"/>
      <c r="BC30210" s="141"/>
    </row>
    <row r="30211">
      <c r="BB30211" s="122"/>
      <c r="BC30211" s="141"/>
    </row>
    <row r="30212">
      <c r="BB30212" s="122"/>
      <c r="BC30212" s="141"/>
    </row>
    <row r="30213">
      <c r="BB30213" s="122"/>
      <c r="BC30213" s="141"/>
    </row>
    <row r="30214">
      <c r="BB30214" s="122"/>
      <c r="BC30214" s="141"/>
    </row>
    <row r="30215">
      <c r="BB30215" s="122"/>
      <c r="BC30215" s="141"/>
    </row>
    <row r="30216">
      <c r="BB30216" s="122"/>
      <c r="BC30216" s="141"/>
    </row>
    <row r="30217">
      <c r="BB30217" s="122"/>
      <c r="BC30217" s="141"/>
    </row>
    <row r="30218">
      <c r="BB30218" s="122"/>
      <c r="BC30218" s="141"/>
    </row>
    <row r="30219">
      <c r="BB30219" s="122"/>
      <c r="BC30219" s="141"/>
    </row>
    <row r="30220">
      <c r="BB30220" s="122"/>
      <c r="BC30220" s="141"/>
    </row>
    <row r="30221">
      <c r="BB30221" s="122"/>
      <c r="BC30221" s="141"/>
    </row>
    <row r="30222">
      <c r="BB30222" s="122"/>
      <c r="BC30222" s="141"/>
    </row>
    <row r="30223">
      <c r="BB30223" s="122"/>
      <c r="BC30223" s="141"/>
    </row>
    <row r="30224">
      <c r="BB30224" s="122"/>
      <c r="BC30224" s="141"/>
    </row>
    <row r="30225">
      <c r="BB30225" s="122"/>
      <c r="BC30225" s="141"/>
    </row>
    <row r="30226">
      <c r="BB30226" s="122"/>
      <c r="BC30226" s="141"/>
    </row>
    <row r="30227">
      <c r="BB30227" s="122"/>
      <c r="BC30227" s="141"/>
    </row>
    <row r="30228">
      <c r="BB30228" s="122"/>
      <c r="BC30228" s="141"/>
    </row>
    <row r="30229">
      <c r="BB30229" s="122"/>
      <c r="BC30229" s="141"/>
    </row>
    <row r="30230">
      <c r="BB30230" s="122"/>
      <c r="BC30230" s="141"/>
    </row>
    <row r="30231">
      <c r="BB30231" s="122"/>
      <c r="BC30231" s="141"/>
    </row>
    <row r="30232">
      <c r="BB30232" s="122"/>
      <c r="BC30232" s="141"/>
    </row>
    <row r="30233">
      <c r="BB30233" s="122"/>
      <c r="BC30233" s="141"/>
    </row>
    <row r="30234">
      <c r="BB30234" s="122"/>
      <c r="BC30234" s="141"/>
    </row>
    <row r="30235">
      <c r="BB30235" s="122"/>
      <c r="BC30235" s="141"/>
    </row>
    <row r="30236">
      <c r="BB30236" s="122"/>
      <c r="BC30236" s="141"/>
    </row>
    <row r="30237">
      <c r="BB30237" s="122"/>
      <c r="BC30237" s="141"/>
    </row>
    <row r="30238">
      <c r="BB30238" s="122"/>
      <c r="BC30238" s="141"/>
    </row>
    <row r="30239">
      <c r="BB30239" s="122"/>
      <c r="BC30239" s="141"/>
    </row>
    <row r="30240">
      <c r="BB30240" s="122"/>
      <c r="BC30240" s="141"/>
    </row>
    <row r="30241">
      <c r="BB30241" s="122"/>
      <c r="BC30241" s="141"/>
    </row>
    <row r="30242">
      <c r="BB30242" s="122"/>
      <c r="BC30242" s="141"/>
    </row>
    <row r="30243">
      <c r="BB30243" s="122"/>
      <c r="BC30243" s="141"/>
    </row>
    <row r="30244">
      <c r="BB30244" s="122"/>
      <c r="BC30244" s="141"/>
    </row>
    <row r="30245">
      <c r="BB30245" s="122"/>
      <c r="BC30245" s="141"/>
    </row>
    <row r="30246">
      <c r="BB30246" s="122"/>
      <c r="BC30246" s="141"/>
    </row>
    <row r="30247">
      <c r="BB30247" s="122"/>
      <c r="BC30247" s="141"/>
    </row>
    <row r="30248">
      <c r="BB30248" s="122"/>
      <c r="BC30248" s="141"/>
    </row>
    <row r="30249">
      <c r="BB30249" s="122"/>
      <c r="BC30249" s="141"/>
    </row>
    <row r="30250">
      <c r="BB30250" s="122"/>
      <c r="BC30250" s="141"/>
    </row>
    <row r="30251">
      <c r="BB30251" s="122"/>
      <c r="BC30251" s="141"/>
    </row>
    <row r="30252">
      <c r="BB30252" s="122"/>
      <c r="BC30252" s="141"/>
    </row>
    <row r="30253">
      <c r="BB30253" s="122"/>
      <c r="BC30253" s="141"/>
    </row>
    <row r="30254">
      <c r="BB30254" s="122"/>
      <c r="BC30254" s="141"/>
    </row>
    <row r="30255">
      <c r="BB30255" s="122"/>
      <c r="BC30255" s="141"/>
    </row>
    <row r="30256">
      <c r="BB30256" s="122"/>
      <c r="BC30256" s="141"/>
    </row>
    <row r="30257">
      <c r="BB30257" s="122"/>
      <c r="BC30257" s="141"/>
    </row>
    <row r="30258">
      <c r="BB30258" s="122"/>
      <c r="BC30258" s="141"/>
    </row>
    <row r="30259">
      <c r="BB30259" s="122"/>
      <c r="BC30259" s="141"/>
    </row>
    <row r="30260">
      <c r="BB30260" s="122"/>
      <c r="BC30260" s="141"/>
    </row>
    <row r="30261">
      <c r="BB30261" s="122"/>
      <c r="BC30261" s="141"/>
    </row>
    <row r="30262">
      <c r="BB30262" s="122"/>
      <c r="BC30262" s="141"/>
    </row>
    <row r="30263">
      <c r="BB30263" s="122"/>
      <c r="BC30263" s="141"/>
    </row>
    <row r="30264">
      <c r="BB30264" s="122"/>
      <c r="BC30264" s="141"/>
    </row>
    <row r="30265">
      <c r="BB30265" s="122"/>
      <c r="BC30265" s="141"/>
    </row>
    <row r="30266">
      <c r="BB30266" s="122"/>
      <c r="BC30266" s="141"/>
    </row>
    <row r="30267">
      <c r="BB30267" s="122"/>
      <c r="BC30267" s="141"/>
    </row>
    <row r="30268">
      <c r="BB30268" s="122"/>
      <c r="BC30268" s="141"/>
    </row>
    <row r="30269">
      <c r="BB30269" s="122"/>
      <c r="BC30269" s="141"/>
    </row>
    <row r="30270">
      <c r="BB30270" s="122"/>
      <c r="BC30270" s="141"/>
    </row>
    <row r="30271">
      <c r="BB30271" s="122"/>
      <c r="BC30271" s="141"/>
    </row>
    <row r="30272">
      <c r="BB30272" s="122"/>
      <c r="BC30272" s="141"/>
    </row>
    <row r="30273">
      <c r="BB30273" s="122"/>
      <c r="BC30273" s="141"/>
    </row>
    <row r="30274">
      <c r="BB30274" s="122"/>
      <c r="BC30274" s="141"/>
    </row>
    <row r="30275">
      <c r="BB30275" s="122"/>
      <c r="BC30275" s="141"/>
    </row>
    <row r="30276">
      <c r="BB30276" s="122"/>
      <c r="BC30276" s="141"/>
    </row>
    <row r="30277">
      <c r="BB30277" s="122"/>
      <c r="BC30277" s="141"/>
    </row>
    <row r="30278">
      <c r="BB30278" s="122"/>
      <c r="BC30278" s="141"/>
    </row>
    <row r="30279">
      <c r="BB30279" s="122"/>
      <c r="BC30279" s="141"/>
    </row>
    <row r="30280">
      <c r="BB30280" s="122"/>
      <c r="BC30280" s="141"/>
    </row>
    <row r="30281">
      <c r="BB30281" s="122"/>
      <c r="BC30281" s="141"/>
    </row>
    <row r="30282">
      <c r="BB30282" s="122"/>
      <c r="BC30282" s="141"/>
    </row>
    <row r="30283">
      <c r="BB30283" s="122"/>
      <c r="BC30283" s="141"/>
    </row>
    <row r="30284">
      <c r="BB30284" s="122"/>
      <c r="BC30284" s="141"/>
    </row>
    <row r="30285">
      <c r="BB30285" s="122"/>
      <c r="BC30285" s="141"/>
    </row>
    <row r="30286">
      <c r="BB30286" s="122"/>
      <c r="BC30286" s="141"/>
    </row>
    <row r="30287">
      <c r="BB30287" s="122"/>
      <c r="BC30287" s="141"/>
    </row>
    <row r="30288">
      <c r="BB30288" s="122"/>
      <c r="BC30288" s="141"/>
    </row>
    <row r="30289">
      <c r="BB30289" s="122"/>
      <c r="BC30289" s="141"/>
    </row>
    <row r="30290">
      <c r="BB30290" s="122"/>
      <c r="BC30290" s="141"/>
    </row>
    <row r="30291">
      <c r="BB30291" s="122"/>
      <c r="BC30291" s="141"/>
    </row>
    <row r="30292">
      <c r="BB30292" s="122"/>
      <c r="BC30292" s="141"/>
    </row>
    <row r="30293">
      <c r="BB30293" s="122"/>
      <c r="BC30293" s="141"/>
    </row>
    <row r="30294">
      <c r="BB30294" s="122"/>
      <c r="BC30294" s="141"/>
    </row>
    <row r="30295">
      <c r="BB30295" s="122"/>
      <c r="BC30295" s="141"/>
    </row>
    <row r="30296">
      <c r="BB30296" s="122"/>
      <c r="BC30296" s="141"/>
    </row>
    <row r="30297">
      <c r="BB30297" s="122"/>
      <c r="BC30297" s="141"/>
    </row>
    <row r="30298">
      <c r="BB30298" s="122"/>
      <c r="BC30298" s="141"/>
    </row>
    <row r="30299">
      <c r="BB30299" s="122"/>
      <c r="BC30299" s="141"/>
    </row>
    <row r="30300">
      <c r="BB30300" s="122"/>
      <c r="BC30300" s="141"/>
    </row>
    <row r="30301">
      <c r="BB30301" s="122"/>
      <c r="BC30301" s="141"/>
    </row>
    <row r="30302">
      <c r="BB30302" s="122"/>
      <c r="BC30302" s="141"/>
    </row>
    <row r="30303">
      <c r="BB30303" s="122"/>
      <c r="BC30303" s="141"/>
    </row>
    <row r="30304">
      <c r="BB30304" s="122"/>
      <c r="BC30304" s="141"/>
    </row>
    <row r="30305">
      <c r="BB30305" s="122"/>
      <c r="BC30305" s="141"/>
    </row>
    <row r="30306">
      <c r="BB30306" s="122"/>
      <c r="BC30306" s="141"/>
    </row>
    <row r="30307">
      <c r="BB30307" s="122"/>
      <c r="BC30307" s="141"/>
    </row>
    <row r="30308">
      <c r="BB30308" s="122"/>
      <c r="BC30308" s="141"/>
    </row>
    <row r="30309">
      <c r="BB30309" s="122"/>
      <c r="BC30309" s="141"/>
    </row>
    <row r="30310">
      <c r="BB30310" s="122"/>
      <c r="BC30310" s="141"/>
    </row>
    <row r="30311">
      <c r="BB30311" s="122"/>
      <c r="BC30311" s="141"/>
    </row>
    <row r="30312">
      <c r="BB30312" s="122"/>
      <c r="BC30312" s="141"/>
    </row>
    <row r="30313">
      <c r="BB30313" s="122"/>
      <c r="BC30313" s="141"/>
    </row>
    <row r="30314">
      <c r="BB30314" s="122"/>
      <c r="BC30314" s="141"/>
    </row>
    <row r="30315">
      <c r="BB30315" s="122"/>
      <c r="BC30315" s="141"/>
    </row>
    <row r="30316">
      <c r="BB30316" s="122"/>
      <c r="BC30316" s="141"/>
    </row>
    <row r="30317">
      <c r="BB30317" s="122"/>
      <c r="BC30317" s="141"/>
    </row>
    <row r="30318">
      <c r="BB30318" s="122"/>
      <c r="BC30318" s="141"/>
    </row>
    <row r="30319">
      <c r="BB30319" s="122"/>
      <c r="BC30319" s="141"/>
    </row>
    <row r="30320">
      <c r="BB30320" s="122"/>
      <c r="BC30320" s="141"/>
    </row>
    <row r="30321">
      <c r="BB30321" s="122"/>
      <c r="BC30321" s="141"/>
    </row>
    <row r="30322">
      <c r="BB30322" s="122"/>
      <c r="BC30322" s="141"/>
    </row>
    <row r="30323">
      <c r="BB30323" s="122"/>
      <c r="BC30323" s="141"/>
    </row>
    <row r="30324">
      <c r="BB30324" s="122"/>
      <c r="BC30324" s="141"/>
    </row>
    <row r="30325">
      <c r="BB30325" s="122"/>
      <c r="BC30325" s="141"/>
    </row>
    <row r="30326">
      <c r="BB30326" s="122"/>
      <c r="BC30326" s="141"/>
    </row>
    <row r="30327">
      <c r="BB30327" s="122"/>
      <c r="BC30327" s="141"/>
    </row>
    <row r="30328">
      <c r="BB30328" s="122"/>
      <c r="BC30328" s="141"/>
    </row>
    <row r="30329">
      <c r="BB30329" s="122"/>
      <c r="BC30329" s="141"/>
    </row>
    <row r="30330">
      <c r="BB30330" s="122"/>
      <c r="BC30330" s="141"/>
    </row>
    <row r="30331">
      <c r="BB30331" s="122"/>
      <c r="BC30331" s="141"/>
    </row>
    <row r="30332">
      <c r="BB30332" s="122"/>
      <c r="BC30332" s="141"/>
    </row>
    <row r="30333">
      <c r="BB30333" s="122"/>
      <c r="BC30333" s="141"/>
    </row>
    <row r="30334">
      <c r="BB30334" s="122"/>
      <c r="BC30334" s="141"/>
    </row>
    <row r="30335">
      <c r="BB30335" s="122"/>
      <c r="BC30335" s="141"/>
    </row>
    <row r="30336">
      <c r="BB30336" s="122"/>
      <c r="BC30336" s="141"/>
    </row>
    <row r="30337">
      <c r="BB30337" s="122"/>
      <c r="BC30337" s="141"/>
    </row>
    <row r="30338">
      <c r="BB30338" s="122"/>
      <c r="BC30338" s="141"/>
    </row>
    <row r="30339">
      <c r="BB30339" s="122"/>
      <c r="BC30339" s="141"/>
    </row>
    <row r="30340">
      <c r="BB30340" s="122"/>
      <c r="BC30340" s="141"/>
    </row>
    <row r="30341">
      <c r="BB30341" s="122"/>
      <c r="BC30341" s="141"/>
    </row>
    <row r="30342">
      <c r="BB30342" s="122"/>
      <c r="BC30342" s="141"/>
    </row>
    <row r="30343">
      <c r="BB30343" s="122"/>
      <c r="BC30343" s="141"/>
    </row>
    <row r="30344">
      <c r="BB30344" s="122"/>
      <c r="BC30344" s="141"/>
    </row>
    <row r="30345">
      <c r="BB30345" s="122"/>
      <c r="BC30345" s="141"/>
    </row>
    <row r="30346">
      <c r="BB30346" s="122"/>
      <c r="BC30346" s="141"/>
    </row>
    <row r="30347">
      <c r="BB30347" s="122"/>
      <c r="BC30347" s="141"/>
    </row>
    <row r="30348">
      <c r="BB30348" s="122"/>
      <c r="BC30348" s="141"/>
    </row>
    <row r="30349">
      <c r="BB30349" s="122"/>
      <c r="BC30349" s="141"/>
    </row>
    <row r="30350">
      <c r="BB30350" s="122"/>
      <c r="BC30350" s="141"/>
    </row>
    <row r="30351">
      <c r="BB30351" s="122"/>
      <c r="BC30351" s="141"/>
    </row>
    <row r="30352">
      <c r="BB30352" s="122"/>
      <c r="BC30352" s="141"/>
    </row>
    <row r="30353">
      <c r="BB30353" s="122"/>
      <c r="BC30353" s="141"/>
    </row>
    <row r="30354">
      <c r="BB30354" s="122"/>
      <c r="BC30354" s="141"/>
    </row>
    <row r="30355">
      <c r="BB30355" s="122"/>
      <c r="BC30355" s="141"/>
    </row>
    <row r="30356">
      <c r="BB30356" s="122"/>
      <c r="BC30356" s="141"/>
    </row>
    <row r="30357">
      <c r="BB30357" s="122"/>
      <c r="BC30357" s="141"/>
    </row>
    <row r="30358">
      <c r="BB30358" s="122"/>
      <c r="BC30358" s="141"/>
    </row>
    <row r="30359">
      <c r="BB30359" s="122"/>
      <c r="BC30359" s="141"/>
    </row>
    <row r="30360">
      <c r="BB30360" s="122"/>
      <c r="BC30360" s="141"/>
    </row>
    <row r="30361">
      <c r="BB30361" s="122"/>
      <c r="BC30361" s="141"/>
    </row>
    <row r="30362">
      <c r="BB30362" s="122"/>
      <c r="BC30362" s="141"/>
    </row>
    <row r="30363">
      <c r="BB30363" s="122"/>
      <c r="BC30363" s="141"/>
    </row>
    <row r="30364">
      <c r="BB30364" s="122"/>
      <c r="BC30364" s="141"/>
    </row>
    <row r="30365">
      <c r="BB30365" s="122"/>
      <c r="BC30365" s="141"/>
    </row>
    <row r="30366">
      <c r="BB30366" s="122"/>
      <c r="BC30366" s="141"/>
    </row>
    <row r="30367">
      <c r="BB30367" s="122"/>
      <c r="BC30367" s="141"/>
    </row>
    <row r="30368">
      <c r="BB30368" s="122"/>
      <c r="BC30368" s="141"/>
    </row>
    <row r="30369">
      <c r="BB30369" s="122"/>
      <c r="BC30369" s="141"/>
    </row>
    <row r="30370">
      <c r="BB30370" s="122"/>
      <c r="BC30370" s="141"/>
    </row>
    <row r="30371">
      <c r="BB30371" s="122"/>
      <c r="BC30371" s="141"/>
    </row>
    <row r="30372">
      <c r="BB30372" s="122"/>
      <c r="BC30372" s="141"/>
    </row>
    <row r="30373">
      <c r="BB30373" s="122"/>
      <c r="BC30373" s="141"/>
    </row>
    <row r="30374">
      <c r="BB30374" s="122"/>
      <c r="BC30374" s="141"/>
    </row>
    <row r="30375">
      <c r="BB30375" s="122"/>
      <c r="BC30375" s="141"/>
    </row>
    <row r="30376">
      <c r="BB30376" s="122"/>
      <c r="BC30376" s="141"/>
    </row>
    <row r="30377">
      <c r="BB30377" s="122"/>
      <c r="BC30377" s="141"/>
    </row>
    <row r="30378">
      <c r="BB30378" s="122"/>
      <c r="BC30378" s="141"/>
    </row>
    <row r="30379">
      <c r="BB30379" s="122"/>
      <c r="BC30379" s="141"/>
    </row>
    <row r="30380">
      <c r="BB30380" s="122"/>
      <c r="BC30380" s="141"/>
    </row>
    <row r="30381">
      <c r="BB30381" s="122"/>
      <c r="BC30381" s="141"/>
    </row>
    <row r="30382">
      <c r="BB30382" s="122"/>
      <c r="BC30382" s="141"/>
    </row>
    <row r="30383">
      <c r="BB30383" s="122"/>
      <c r="BC30383" s="141"/>
    </row>
    <row r="30384">
      <c r="BB30384" s="122"/>
      <c r="BC30384" s="141"/>
    </row>
    <row r="30385">
      <c r="BB30385" s="122"/>
      <c r="BC30385" s="141"/>
    </row>
    <row r="30386">
      <c r="BB30386" s="122"/>
      <c r="BC30386" s="141"/>
    </row>
    <row r="30387">
      <c r="BB30387" s="122"/>
      <c r="BC30387" s="141"/>
    </row>
    <row r="30388">
      <c r="BB30388" s="122"/>
      <c r="BC30388" s="141"/>
    </row>
    <row r="30389">
      <c r="BB30389" s="122"/>
      <c r="BC30389" s="141"/>
    </row>
    <row r="30390">
      <c r="BB30390" s="122"/>
      <c r="BC30390" s="141"/>
    </row>
    <row r="30391">
      <c r="BB30391" s="122"/>
      <c r="BC30391" s="141"/>
    </row>
    <row r="30392">
      <c r="BB30392" s="122"/>
      <c r="BC30392" s="141"/>
    </row>
    <row r="30393">
      <c r="BB30393" s="122"/>
      <c r="BC30393" s="141"/>
    </row>
    <row r="30394">
      <c r="BB30394" s="122"/>
      <c r="BC30394" s="141"/>
    </row>
    <row r="30395">
      <c r="BB30395" s="122"/>
      <c r="BC30395" s="141"/>
    </row>
    <row r="30396">
      <c r="BB30396" s="122"/>
      <c r="BC30396" s="141"/>
    </row>
    <row r="30397">
      <c r="BB30397" s="122"/>
      <c r="BC30397" s="141"/>
    </row>
    <row r="30398">
      <c r="BB30398" s="122"/>
      <c r="BC30398" s="141"/>
    </row>
    <row r="30399">
      <c r="BB30399" s="122"/>
      <c r="BC30399" s="141"/>
    </row>
    <row r="30400">
      <c r="BB30400" s="122"/>
      <c r="BC30400" s="141"/>
    </row>
    <row r="30401">
      <c r="BB30401" s="122"/>
      <c r="BC30401" s="141"/>
    </row>
    <row r="30402">
      <c r="BB30402" s="122"/>
      <c r="BC30402" s="141"/>
    </row>
    <row r="30403">
      <c r="BB30403" s="122"/>
      <c r="BC30403" s="141"/>
    </row>
    <row r="30404">
      <c r="BB30404" s="122"/>
      <c r="BC30404" s="141"/>
    </row>
    <row r="30405">
      <c r="BB30405" s="122"/>
      <c r="BC30405" s="141"/>
    </row>
    <row r="30406">
      <c r="BB30406" s="122"/>
      <c r="BC30406" s="141"/>
    </row>
    <row r="30407">
      <c r="BB30407" s="122"/>
      <c r="BC30407" s="141"/>
    </row>
    <row r="30408">
      <c r="BB30408" s="122"/>
      <c r="BC30408" s="141"/>
    </row>
    <row r="30409">
      <c r="BB30409" s="122"/>
      <c r="BC30409" s="141"/>
    </row>
    <row r="30410">
      <c r="BB30410" s="122"/>
      <c r="BC30410" s="141"/>
    </row>
    <row r="30411">
      <c r="BB30411" s="122"/>
      <c r="BC30411" s="141"/>
    </row>
    <row r="30412">
      <c r="BB30412" s="122"/>
      <c r="BC30412" s="141"/>
    </row>
    <row r="30413">
      <c r="BB30413" s="122"/>
      <c r="BC30413" s="141"/>
    </row>
    <row r="30414">
      <c r="BB30414" s="122"/>
      <c r="BC30414" s="141"/>
    </row>
    <row r="30415">
      <c r="BB30415" s="122"/>
      <c r="BC30415" s="141"/>
    </row>
    <row r="30416">
      <c r="BB30416" s="122"/>
      <c r="BC30416" s="141"/>
    </row>
    <row r="30417">
      <c r="BB30417" s="122"/>
      <c r="BC30417" s="141"/>
    </row>
    <row r="30418">
      <c r="BB30418" s="122"/>
      <c r="BC30418" s="141"/>
    </row>
    <row r="30419">
      <c r="BB30419" s="122"/>
      <c r="BC30419" s="141"/>
    </row>
    <row r="30420">
      <c r="BB30420" s="122"/>
      <c r="BC30420" s="141"/>
    </row>
    <row r="30421">
      <c r="BB30421" s="122"/>
      <c r="BC30421" s="141"/>
    </row>
    <row r="30422">
      <c r="BB30422" s="122"/>
      <c r="BC30422" s="141"/>
    </row>
    <row r="30423">
      <c r="BB30423" s="122"/>
      <c r="BC30423" s="141"/>
    </row>
    <row r="30424">
      <c r="BB30424" s="122"/>
      <c r="BC30424" s="141"/>
    </row>
    <row r="30425">
      <c r="BB30425" s="122"/>
      <c r="BC30425" s="141"/>
    </row>
    <row r="30426">
      <c r="BB30426" s="122"/>
      <c r="BC30426" s="141"/>
    </row>
    <row r="30427">
      <c r="BB30427" s="122"/>
      <c r="BC30427" s="141"/>
    </row>
    <row r="30428">
      <c r="BB30428" s="122"/>
      <c r="BC30428" s="141"/>
    </row>
    <row r="30429">
      <c r="BB30429" s="122"/>
      <c r="BC30429" s="141"/>
    </row>
    <row r="30430">
      <c r="BB30430" s="122"/>
      <c r="BC30430" s="141"/>
    </row>
    <row r="30431">
      <c r="BB30431" s="122"/>
      <c r="BC30431" s="141"/>
    </row>
    <row r="30432">
      <c r="BB30432" s="122"/>
      <c r="BC30432" s="141"/>
    </row>
    <row r="30433">
      <c r="BB30433" s="122"/>
      <c r="BC30433" s="141"/>
    </row>
    <row r="30434">
      <c r="BB30434" s="122"/>
      <c r="BC30434" s="141"/>
    </row>
    <row r="30435">
      <c r="BB30435" s="122"/>
      <c r="BC30435" s="141"/>
    </row>
    <row r="30436">
      <c r="BB30436" s="122"/>
      <c r="BC30436" s="141"/>
    </row>
    <row r="30437">
      <c r="BB30437" s="122"/>
      <c r="BC30437" s="141"/>
    </row>
    <row r="30438">
      <c r="BB30438" s="122"/>
      <c r="BC30438" s="141"/>
    </row>
    <row r="30439">
      <c r="BB30439" s="122"/>
      <c r="BC30439" s="141"/>
    </row>
    <row r="30440">
      <c r="BB30440" s="122"/>
      <c r="BC30440" s="141"/>
    </row>
    <row r="30441">
      <c r="BB30441" s="122"/>
      <c r="BC30441" s="141"/>
    </row>
    <row r="30442">
      <c r="BB30442" s="122"/>
      <c r="BC30442" s="141"/>
    </row>
    <row r="30443">
      <c r="BB30443" s="122"/>
      <c r="BC30443" s="141"/>
    </row>
    <row r="30444">
      <c r="BB30444" s="122"/>
      <c r="BC30444" s="141"/>
    </row>
    <row r="30445">
      <c r="BB30445" s="122"/>
      <c r="BC30445" s="141"/>
    </row>
    <row r="30446">
      <c r="BB30446" s="122"/>
      <c r="BC30446" s="141"/>
    </row>
    <row r="30447">
      <c r="BB30447" s="122"/>
      <c r="BC30447" s="141"/>
    </row>
    <row r="30448">
      <c r="BB30448" s="122"/>
      <c r="BC30448" s="141"/>
    </row>
    <row r="30449">
      <c r="BB30449" s="122"/>
      <c r="BC30449" s="141"/>
    </row>
    <row r="30450">
      <c r="BB30450" s="122"/>
      <c r="BC30450" s="141"/>
    </row>
    <row r="30451">
      <c r="BB30451" s="122"/>
      <c r="BC30451" s="141"/>
    </row>
    <row r="30452">
      <c r="BB30452" s="122"/>
      <c r="BC30452" s="141"/>
    </row>
    <row r="30453">
      <c r="BB30453" s="122"/>
      <c r="BC30453" s="141"/>
    </row>
    <row r="30454">
      <c r="BB30454" s="122"/>
      <c r="BC30454" s="141"/>
    </row>
    <row r="30455">
      <c r="BB30455" s="122"/>
      <c r="BC30455" s="141"/>
    </row>
    <row r="30456">
      <c r="BB30456" s="122"/>
      <c r="BC30456" s="141"/>
    </row>
    <row r="30457">
      <c r="BB30457" s="122"/>
      <c r="BC30457" s="141"/>
    </row>
    <row r="30458">
      <c r="BB30458" s="122"/>
      <c r="BC30458" s="141"/>
    </row>
    <row r="30459">
      <c r="BB30459" s="122"/>
      <c r="BC30459" s="141"/>
    </row>
    <row r="30460">
      <c r="BB30460" s="122"/>
      <c r="BC30460" s="141"/>
    </row>
    <row r="30461">
      <c r="BB30461" s="122"/>
      <c r="BC30461" s="141"/>
    </row>
    <row r="30462">
      <c r="BB30462" s="122"/>
      <c r="BC30462" s="141"/>
    </row>
    <row r="30463">
      <c r="BB30463" s="122"/>
      <c r="BC30463" s="141"/>
    </row>
    <row r="30464">
      <c r="BB30464" s="122"/>
      <c r="BC30464" s="141"/>
    </row>
    <row r="30465">
      <c r="BB30465" s="122"/>
      <c r="BC30465" s="141"/>
    </row>
    <row r="30466">
      <c r="BB30466" s="122"/>
      <c r="BC30466" s="141"/>
    </row>
    <row r="30467">
      <c r="BB30467" s="122"/>
      <c r="BC30467" s="141"/>
    </row>
    <row r="30468">
      <c r="BB30468" s="122"/>
      <c r="BC30468" s="141"/>
    </row>
    <row r="30469">
      <c r="BB30469" s="122"/>
      <c r="BC30469" s="141"/>
    </row>
    <row r="30470">
      <c r="BB30470" s="122"/>
      <c r="BC30470" s="141"/>
    </row>
    <row r="30471">
      <c r="BB30471" s="122"/>
      <c r="BC30471" s="141"/>
    </row>
    <row r="30472">
      <c r="BB30472" s="122"/>
      <c r="BC30472" s="141"/>
    </row>
    <row r="30473">
      <c r="BB30473" s="122"/>
      <c r="BC30473" s="141"/>
    </row>
    <row r="30474">
      <c r="BB30474" s="122"/>
      <c r="BC30474" s="141"/>
    </row>
    <row r="30475">
      <c r="BB30475" s="122"/>
      <c r="BC30475" s="141"/>
    </row>
    <row r="30476">
      <c r="BB30476" s="122"/>
      <c r="BC30476" s="141"/>
    </row>
    <row r="30477">
      <c r="BB30477" s="122"/>
      <c r="BC30477" s="141"/>
    </row>
    <row r="30478">
      <c r="BB30478" s="122"/>
      <c r="BC30478" s="141"/>
    </row>
    <row r="30479">
      <c r="BB30479" s="122"/>
      <c r="BC30479" s="141"/>
    </row>
    <row r="30480">
      <c r="BB30480" s="122"/>
      <c r="BC30480" s="141"/>
    </row>
    <row r="30481">
      <c r="BB30481" s="122"/>
      <c r="BC30481" s="141"/>
    </row>
    <row r="30482">
      <c r="BB30482" s="122"/>
      <c r="BC30482" s="141"/>
    </row>
    <row r="30483">
      <c r="BB30483" s="122"/>
      <c r="BC30483" s="141"/>
    </row>
    <row r="30484">
      <c r="BB30484" s="122"/>
      <c r="BC30484" s="141"/>
    </row>
    <row r="30485">
      <c r="BB30485" s="122"/>
      <c r="BC30485" s="141"/>
    </row>
    <row r="30486">
      <c r="BB30486" s="122"/>
      <c r="BC30486" s="141"/>
    </row>
    <row r="30487">
      <c r="BB30487" s="122"/>
      <c r="BC30487" s="141"/>
    </row>
    <row r="30488">
      <c r="BB30488" s="122"/>
      <c r="BC30488" s="141"/>
    </row>
    <row r="30489">
      <c r="BB30489" s="122"/>
      <c r="BC30489" s="141"/>
    </row>
    <row r="30490">
      <c r="BB30490" s="122"/>
      <c r="BC30490" s="141"/>
    </row>
    <row r="30491">
      <c r="BB30491" s="122"/>
      <c r="BC30491" s="141"/>
    </row>
    <row r="30492">
      <c r="BB30492" s="122"/>
      <c r="BC30492" s="141"/>
    </row>
    <row r="30493">
      <c r="BB30493" s="122"/>
      <c r="BC30493" s="141"/>
    </row>
    <row r="30494">
      <c r="BB30494" s="122"/>
      <c r="BC30494" s="141"/>
    </row>
    <row r="30495">
      <c r="BB30495" s="122"/>
      <c r="BC30495" s="141"/>
    </row>
    <row r="30496">
      <c r="BB30496" s="122"/>
      <c r="BC30496" s="141"/>
    </row>
    <row r="30497">
      <c r="BB30497" s="122"/>
      <c r="BC30497" s="141"/>
    </row>
    <row r="30498">
      <c r="BB30498" s="122"/>
      <c r="BC30498" s="141"/>
    </row>
    <row r="30499">
      <c r="BB30499" s="122"/>
      <c r="BC30499" s="141"/>
    </row>
    <row r="30500">
      <c r="BB30500" s="122"/>
      <c r="BC30500" s="141"/>
    </row>
    <row r="30501">
      <c r="BB30501" s="122"/>
      <c r="BC30501" s="141"/>
    </row>
    <row r="30502">
      <c r="BB30502" s="122"/>
      <c r="BC30502" s="141"/>
    </row>
    <row r="30503">
      <c r="BB30503" s="122"/>
      <c r="BC30503" s="141"/>
    </row>
    <row r="30504">
      <c r="BB30504" s="122"/>
      <c r="BC30504" s="141"/>
    </row>
    <row r="30505">
      <c r="BB30505" s="122"/>
      <c r="BC30505" s="141"/>
    </row>
    <row r="30506">
      <c r="BB30506" s="122"/>
      <c r="BC30506" s="141"/>
    </row>
    <row r="30507">
      <c r="BB30507" s="122"/>
      <c r="BC30507" s="141"/>
    </row>
    <row r="30508">
      <c r="BB30508" s="122"/>
      <c r="BC30508" s="141"/>
    </row>
    <row r="30509">
      <c r="BB30509" s="122"/>
      <c r="BC30509" s="141"/>
    </row>
    <row r="30510">
      <c r="BB30510" s="122"/>
      <c r="BC30510" s="141"/>
    </row>
    <row r="30511">
      <c r="BB30511" s="122"/>
      <c r="BC30511" s="141"/>
    </row>
    <row r="30512">
      <c r="BB30512" s="122"/>
      <c r="BC30512" s="141"/>
    </row>
    <row r="30513">
      <c r="BB30513" s="122"/>
      <c r="BC30513" s="141"/>
    </row>
    <row r="30514">
      <c r="BB30514" s="122"/>
      <c r="BC30514" s="141"/>
    </row>
    <row r="30515">
      <c r="BB30515" s="122"/>
      <c r="BC30515" s="141"/>
    </row>
    <row r="30516">
      <c r="BB30516" s="122"/>
      <c r="BC30516" s="141"/>
    </row>
    <row r="30517">
      <c r="BB30517" s="122"/>
      <c r="BC30517" s="141"/>
    </row>
    <row r="30518">
      <c r="BB30518" s="122"/>
      <c r="BC30518" s="141"/>
    </row>
    <row r="30519">
      <c r="BB30519" s="122"/>
      <c r="BC30519" s="141"/>
    </row>
    <row r="30520">
      <c r="BB30520" s="122"/>
      <c r="BC30520" s="141"/>
    </row>
    <row r="30521">
      <c r="BB30521" s="122"/>
      <c r="BC30521" s="141"/>
    </row>
    <row r="30522">
      <c r="BB30522" s="122"/>
      <c r="BC30522" s="141"/>
    </row>
    <row r="30523">
      <c r="BB30523" s="122"/>
      <c r="BC30523" s="141"/>
    </row>
    <row r="30524">
      <c r="BB30524" s="122"/>
      <c r="BC30524" s="141"/>
    </row>
    <row r="30525">
      <c r="BB30525" s="122"/>
      <c r="BC30525" s="141"/>
    </row>
    <row r="30526">
      <c r="BB30526" s="122"/>
      <c r="BC30526" s="141"/>
    </row>
    <row r="30527">
      <c r="BB30527" s="122"/>
      <c r="BC30527" s="141"/>
    </row>
    <row r="30528">
      <c r="BB30528" s="122"/>
      <c r="BC30528" s="141"/>
    </row>
    <row r="30529">
      <c r="BB30529" s="122"/>
      <c r="BC30529" s="141"/>
    </row>
    <row r="30530">
      <c r="BB30530" s="122"/>
      <c r="BC30530" s="141"/>
    </row>
    <row r="30531">
      <c r="BB30531" s="122"/>
      <c r="BC30531" s="141"/>
    </row>
    <row r="30532">
      <c r="BB30532" s="122"/>
      <c r="BC30532" s="141"/>
    </row>
    <row r="30533">
      <c r="BB30533" s="122"/>
      <c r="BC30533" s="141"/>
    </row>
    <row r="30534">
      <c r="BB30534" s="122"/>
      <c r="BC30534" s="141"/>
    </row>
    <row r="30535">
      <c r="BB30535" s="122"/>
      <c r="BC30535" s="141"/>
    </row>
    <row r="30536">
      <c r="BB30536" s="122"/>
      <c r="BC30536" s="141"/>
    </row>
    <row r="30537">
      <c r="BB30537" s="122"/>
      <c r="BC30537" s="141"/>
    </row>
    <row r="30538">
      <c r="BB30538" s="122"/>
      <c r="BC30538" s="141"/>
    </row>
    <row r="30539">
      <c r="BB30539" s="122"/>
      <c r="BC30539" s="141"/>
    </row>
    <row r="30540">
      <c r="BB30540" s="122"/>
      <c r="BC30540" s="141"/>
    </row>
    <row r="30541">
      <c r="BB30541" s="122"/>
      <c r="BC30541" s="141"/>
    </row>
    <row r="30542">
      <c r="BB30542" s="122"/>
      <c r="BC30542" s="141"/>
    </row>
    <row r="30543">
      <c r="BB30543" s="122"/>
      <c r="BC30543" s="141"/>
    </row>
    <row r="30544">
      <c r="BB30544" s="122"/>
      <c r="BC30544" s="141"/>
    </row>
    <row r="30545">
      <c r="BB30545" s="122"/>
      <c r="BC30545" s="141"/>
    </row>
    <row r="30546">
      <c r="BB30546" s="122"/>
      <c r="BC30546" s="141"/>
    </row>
    <row r="30547">
      <c r="BB30547" s="122"/>
      <c r="BC30547" s="141"/>
    </row>
    <row r="30548">
      <c r="BB30548" s="122"/>
      <c r="BC30548" s="141"/>
    </row>
    <row r="30549">
      <c r="BB30549" s="122"/>
      <c r="BC30549" s="141"/>
    </row>
    <row r="30550">
      <c r="BB30550" s="122"/>
      <c r="BC30550" s="141"/>
    </row>
    <row r="30551">
      <c r="BB30551" s="122"/>
      <c r="BC30551" s="141"/>
    </row>
    <row r="30552">
      <c r="BB30552" s="122"/>
      <c r="BC30552" s="141"/>
    </row>
    <row r="30553">
      <c r="BB30553" s="122"/>
      <c r="BC30553" s="141"/>
    </row>
    <row r="30554">
      <c r="BB30554" s="122"/>
      <c r="BC30554" s="141"/>
    </row>
    <row r="30555">
      <c r="BB30555" s="122"/>
      <c r="BC30555" s="141"/>
    </row>
    <row r="30556">
      <c r="BB30556" s="122"/>
      <c r="BC30556" s="141"/>
    </row>
    <row r="30557">
      <c r="BB30557" s="122"/>
      <c r="BC30557" s="141"/>
    </row>
    <row r="30558">
      <c r="BB30558" s="122"/>
      <c r="BC30558" s="141"/>
    </row>
    <row r="30559">
      <c r="BB30559" s="122"/>
      <c r="BC30559" s="141"/>
    </row>
    <row r="30560">
      <c r="BB30560" s="122"/>
      <c r="BC30560" s="141"/>
    </row>
    <row r="30561">
      <c r="BB30561" s="122"/>
      <c r="BC30561" s="141"/>
    </row>
    <row r="30562">
      <c r="BB30562" s="122"/>
      <c r="BC30562" s="141"/>
    </row>
    <row r="30563">
      <c r="BB30563" s="122"/>
      <c r="BC30563" s="141"/>
    </row>
    <row r="30564">
      <c r="BB30564" s="122"/>
      <c r="BC30564" s="141"/>
    </row>
    <row r="30565">
      <c r="BB30565" s="122"/>
      <c r="BC30565" s="141"/>
    </row>
    <row r="30566">
      <c r="BB30566" s="122"/>
      <c r="BC30566" s="141"/>
    </row>
    <row r="30567">
      <c r="BB30567" s="122"/>
      <c r="BC30567" s="141"/>
    </row>
    <row r="30568">
      <c r="BB30568" s="122"/>
      <c r="BC30568" s="141"/>
    </row>
    <row r="30569">
      <c r="BB30569" s="122"/>
      <c r="BC30569" s="141"/>
    </row>
    <row r="30570">
      <c r="BB30570" s="122"/>
      <c r="BC30570" s="141"/>
    </row>
    <row r="30571">
      <c r="BB30571" s="122"/>
      <c r="BC30571" s="141"/>
    </row>
    <row r="30572">
      <c r="BB30572" s="122"/>
      <c r="BC30572" s="141"/>
    </row>
    <row r="30573">
      <c r="BB30573" s="122"/>
      <c r="BC30573" s="141"/>
    </row>
    <row r="30574">
      <c r="BB30574" s="122"/>
      <c r="BC30574" s="141"/>
    </row>
    <row r="30575">
      <c r="BB30575" s="122"/>
      <c r="BC30575" s="141"/>
    </row>
    <row r="30576">
      <c r="BB30576" s="122"/>
      <c r="BC30576" s="141"/>
    </row>
    <row r="30577">
      <c r="BB30577" s="122"/>
      <c r="BC30577" s="141"/>
    </row>
    <row r="30578">
      <c r="BB30578" s="122"/>
      <c r="BC30578" s="141"/>
    </row>
    <row r="30579">
      <c r="BB30579" s="122"/>
      <c r="BC30579" s="141"/>
    </row>
    <row r="30580">
      <c r="BB30580" s="122"/>
      <c r="BC30580" s="141"/>
    </row>
    <row r="30581">
      <c r="BB30581" s="122"/>
      <c r="BC30581" s="141"/>
    </row>
    <row r="30582">
      <c r="BB30582" s="122"/>
      <c r="BC30582" s="141"/>
    </row>
    <row r="30583">
      <c r="BB30583" s="122"/>
      <c r="BC30583" s="141"/>
    </row>
    <row r="30584">
      <c r="BB30584" s="122"/>
      <c r="BC30584" s="141"/>
    </row>
    <row r="30585">
      <c r="BB30585" s="122"/>
      <c r="BC30585" s="141"/>
    </row>
    <row r="30586">
      <c r="BB30586" s="122"/>
      <c r="BC30586" s="141"/>
    </row>
    <row r="30587">
      <c r="BB30587" s="122"/>
      <c r="BC30587" s="141"/>
    </row>
    <row r="30588">
      <c r="BB30588" s="122"/>
      <c r="BC30588" s="141"/>
    </row>
    <row r="30589">
      <c r="BB30589" s="122"/>
      <c r="BC30589" s="141"/>
    </row>
    <row r="30590">
      <c r="BB30590" s="122"/>
      <c r="BC30590" s="141"/>
    </row>
    <row r="30591">
      <c r="BB30591" s="122"/>
      <c r="BC30591" s="141"/>
    </row>
    <row r="30592">
      <c r="BB30592" s="122"/>
      <c r="BC30592" s="141"/>
    </row>
    <row r="30593">
      <c r="BB30593" s="122"/>
      <c r="BC30593" s="141"/>
    </row>
    <row r="30594">
      <c r="BB30594" s="122"/>
      <c r="BC30594" s="141"/>
    </row>
    <row r="30595">
      <c r="BB30595" s="122"/>
      <c r="BC30595" s="141"/>
    </row>
    <row r="30596">
      <c r="BB30596" s="122"/>
      <c r="BC30596" s="141"/>
    </row>
    <row r="30597">
      <c r="BB30597" s="122"/>
      <c r="BC30597" s="141"/>
    </row>
    <row r="30598">
      <c r="BB30598" s="122"/>
      <c r="BC30598" s="141"/>
    </row>
    <row r="30599">
      <c r="BB30599" s="122"/>
      <c r="BC30599" s="141"/>
    </row>
    <row r="30600">
      <c r="BB30600" s="122"/>
      <c r="BC30600" s="141"/>
    </row>
    <row r="30601">
      <c r="BB30601" s="122"/>
      <c r="BC30601" s="141"/>
    </row>
    <row r="30602">
      <c r="BB30602" s="122"/>
      <c r="BC30602" s="141"/>
    </row>
    <row r="30603">
      <c r="BB30603" s="122"/>
      <c r="BC30603" s="141"/>
    </row>
    <row r="30604">
      <c r="BB30604" s="122"/>
      <c r="BC30604" s="141"/>
    </row>
    <row r="30605">
      <c r="BB30605" s="122"/>
      <c r="BC30605" s="141"/>
    </row>
    <row r="30606">
      <c r="BB30606" s="122"/>
      <c r="BC30606" s="141"/>
    </row>
    <row r="30607">
      <c r="BB30607" s="122"/>
      <c r="BC30607" s="141"/>
    </row>
    <row r="30608">
      <c r="BB30608" s="122"/>
      <c r="BC30608" s="141"/>
    </row>
    <row r="30609">
      <c r="BB30609" s="122"/>
      <c r="BC30609" s="141"/>
    </row>
    <row r="30610">
      <c r="BB30610" s="122"/>
      <c r="BC30610" s="141"/>
    </row>
    <row r="30611">
      <c r="BB30611" s="122"/>
      <c r="BC30611" s="141"/>
    </row>
    <row r="30612">
      <c r="BB30612" s="122"/>
      <c r="BC30612" s="141"/>
    </row>
    <row r="30613">
      <c r="BB30613" s="122"/>
      <c r="BC30613" s="141"/>
    </row>
    <row r="30614">
      <c r="BB30614" s="122"/>
      <c r="BC30614" s="141"/>
    </row>
    <row r="30615">
      <c r="BB30615" s="122"/>
      <c r="BC30615" s="141"/>
    </row>
    <row r="30616">
      <c r="BB30616" s="122"/>
      <c r="BC30616" s="141"/>
    </row>
    <row r="30617">
      <c r="BB30617" s="122"/>
      <c r="BC30617" s="141"/>
    </row>
    <row r="30618">
      <c r="BB30618" s="122"/>
      <c r="BC30618" s="141"/>
    </row>
    <row r="30619">
      <c r="BB30619" s="122"/>
      <c r="BC30619" s="141"/>
    </row>
    <row r="30620">
      <c r="BB30620" s="122"/>
      <c r="BC30620" s="141"/>
    </row>
    <row r="30621">
      <c r="BB30621" s="122"/>
      <c r="BC30621" s="141"/>
    </row>
    <row r="30622">
      <c r="BB30622" s="122"/>
      <c r="BC30622" s="141"/>
    </row>
    <row r="30623">
      <c r="BB30623" s="122"/>
      <c r="BC30623" s="141"/>
    </row>
    <row r="30624">
      <c r="BB30624" s="122"/>
      <c r="BC30624" s="141"/>
    </row>
    <row r="30625">
      <c r="BB30625" s="122"/>
      <c r="BC30625" s="141"/>
    </row>
    <row r="30626">
      <c r="BB30626" s="122"/>
      <c r="BC30626" s="141"/>
    </row>
    <row r="30627">
      <c r="BB30627" s="122"/>
      <c r="BC30627" s="141"/>
    </row>
    <row r="30628">
      <c r="BB30628" s="122"/>
      <c r="BC30628" s="141"/>
    </row>
    <row r="30629">
      <c r="BB30629" s="122"/>
      <c r="BC30629" s="141"/>
    </row>
    <row r="30630">
      <c r="BB30630" s="122"/>
      <c r="BC30630" s="141"/>
    </row>
    <row r="30631">
      <c r="BB30631" s="122"/>
      <c r="BC30631" s="141"/>
    </row>
    <row r="30632">
      <c r="BB30632" s="122"/>
      <c r="BC30632" s="141"/>
    </row>
    <row r="30633">
      <c r="BB30633" s="122"/>
      <c r="BC30633" s="141"/>
    </row>
    <row r="30634">
      <c r="BB30634" s="122"/>
      <c r="BC30634" s="141"/>
    </row>
    <row r="30635">
      <c r="BB30635" s="122"/>
      <c r="BC30635" s="141"/>
    </row>
    <row r="30636">
      <c r="BB30636" s="122"/>
      <c r="BC30636" s="141"/>
    </row>
    <row r="30637">
      <c r="BB30637" s="122"/>
      <c r="BC30637" s="141"/>
    </row>
    <row r="30638">
      <c r="BB30638" s="122"/>
      <c r="BC30638" s="141"/>
    </row>
    <row r="30639">
      <c r="BB30639" s="122"/>
      <c r="BC30639" s="141"/>
    </row>
    <row r="30640">
      <c r="BB30640" s="122"/>
      <c r="BC30640" s="141"/>
    </row>
    <row r="30641">
      <c r="BB30641" s="122"/>
      <c r="BC30641" s="141"/>
    </row>
    <row r="30642">
      <c r="BB30642" s="122"/>
      <c r="BC30642" s="141"/>
    </row>
    <row r="30643">
      <c r="BB30643" s="122"/>
      <c r="BC30643" s="141"/>
    </row>
    <row r="30644">
      <c r="BB30644" s="122"/>
      <c r="BC30644" s="141"/>
    </row>
    <row r="30645">
      <c r="BB30645" s="122"/>
      <c r="BC30645" s="141"/>
    </row>
    <row r="30646">
      <c r="BB30646" s="122"/>
      <c r="BC30646" s="141"/>
    </row>
    <row r="30647">
      <c r="BB30647" s="122"/>
      <c r="BC30647" s="141"/>
    </row>
    <row r="30648">
      <c r="BB30648" s="122"/>
      <c r="BC30648" s="141"/>
    </row>
    <row r="30649">
      <c r="BB30649" s="122"/>
      <c r="BC30649" s="141"/>
    </row>
    <row r="30650">
      <c r="BB30650" s="122"/>
      <c r="BC30650" s="141"/>
    </row>
    <row r="30651">
      <c r="BB30651" s="122"/>
      <c r="BC30651" s="141"/>
    </row>
    <row r="30652">
      <c r="BB30652" s="122"/>
      <c r="BC30652" s="141"/>
    </row>
    <row r="30653">
      <c r="BB30653" s="122"/>
      <c r="BC30653" s="141"/>
    </row>
    <row r="30654">
      <c r="BB30654" s="122"/>
      <c r="BC30654" s="141"/>
    </row>
    <row r="30655">
      <c r="BB30655" s="122"/>
      <c r="BC30655" s="141"/>
    </row>
    <row r="30656">
      <c r="BB30656" s="122"/>
      <c r="BC30656" s="141"/>
    </row>
    <row r="30657">
      <c r="BB30657" s="122"/>
      <c r="BC30657" s="141"/>
    </row>
    <row r="30658">
      <c r="BB30658" s="122"/>
      <c r="BC30658" s="141"/>
    </row>
    <row r="30659">
      <c r="BB30659" s="122"/>
      <c r="BC30659" s="141"/>
    </row>
    <row r="30660">
      <c r="BB30660" s="122"/>
      <c r="BC30660" s="141"/>
    </row>
    <row r="30661">
      <c r="BB30661" s="122"/>
      <c r="BC30661" s="141"/>
    </row>
    <row r="30662">
      <c r="BB30662" s="122"/>
      <c r="BC30662" s="141"/>
    </row>
    <row r="30663">
      <c r="BB30663" s="122"/>
      <c r="BC30663" s="141"/>
    </row>
    <row r="30664">
      <c r="BB30664" s="122"/>
      <c r="BC30664" s="141"/>
    </row>
    <row r="30665">
      <c r="BB30665" s="122"/>
      <c r="BC30665" s="141"/>
    </row>
    <row r="30666">
      <c r="BB30666" s="122"/>
      <c r="BC30666" s="141"/>
    </row>
    <row r="30667">
      <c r="BB30667" s="122"/>
      <c r="BC30667" s="141"/>
    </row>
    <row r="30668">
      <c r="BB30668" s="122"/>
      <c r="BC30668" s="141"/>
    </row>
    <row r="30669">
      <c r="BB30669" s="122"/>
      <c r="BC30669" s="141"/>
    </row>
    <row r="30670">
      <c r="BB30670" s="122"/>
      <c r="BC30670" s="141"/>
    </row>
    <row r="30671">
      <c r="BB30671" s="122"/>
      <c r="BC30671" s="141"/>
    </row>
    <row r="30672">
      <c r="BB30672" s="122"/>
      <c r="BC30672" s="141"/>
    </row>
    <row r="30673">
      <c r="BB30673" s="122"/>
      <c r="BC30673" s="141"/>
    </row>
    <row r="30674">
      <c r="BB30674" s="122"/>
      <c r="BC30674" s="141"/>
    </row>
    <row r="30675">
      <c r="BB30675" s="122"/>
      <c r="BC30675" s="141"/>
    </row>
    <row r="30676">
      <c r="BB30676" s="122"/>
      <c r="BC30676" s="141"/>
    </row>
    <row r="30677">
      <c r="BB30677" s="122"/>
      <c r="BC30677" s="141"/>
    </row>
    <row r="30678">
      <c r="BB30678" s="122"/>
      <c r="BC30678" s="141"/>
    </row>
    <row r="30679">
      <c r="BB30679" s="122"/>
      <c r="BC30679" s="141"/>
    </row>
    <row r="30680">
      <c r="BB30680" s="122"/>
      <c r="BC30680" s="141"/>
    </row>
    <row r="30681">
      <c r="BB30681" s="122"/>
      <c r="BC30681" s="141"/>
    </row>
    <row r="30682">
      <c r="BB30682" s="122"/>
      <c r="BC30682" s="141"/>
    </row>
    <row r="30683">
      <c r="BB30683" s="122"/>
      <c r="BC30683" s="141"/>
    </row>
    <row r="30684">
      <c r="BB30684" s="122"/>
      <c r="BC30684" s="141"/>
    </row>
    <row r="30685">
      <c r="BB30685" s="122"/>
      <c r="BC30685" s="141"/>
    </row>
    <row r="30686">
      <c r="BB30686" s="122"/>
      <c r="BC30686" s="141"/>
    </row>
    <row r="30687">
      <c r="BB30687" s="122"/>
      <c r="BC30687" s="141"/>
    </row>
    <row r="30688">
      <c r="BB30688" s="122"/>
      <c r="BC30688" s="141"/>
    </row>
    <row r="30689">
      <c r="BB30689" s="122"/>
      <c r="BC30689" s="141"/>
    </row>
    <row r="30690">
      <c r="BB30690" s="122"/>
      <c r="BC30690" s="141"/>
    </row>
    <row r="30691">
      <c r="BB30691" s="122"/>
      <c r="BC30691" s="141"/>
    </row>
    <row r="30692">
      <c r="BB30692" s="122"/>
      <c r="BC30692" s="141"/>
    </row>
    <row r="30693">
      <c r="BB30693" s="122"/>
      <c r="BC30693" s="141"/>
    </row>
    <row r="30694">
      <c r="BB30694" s="122"/>
      <c r="BC30694" s="141"/>
    </row>
    <row r="30695">
      <c r="BB30695" s="122"/>
      <c r="BC30695" s="141"/>
    </row>
    <row r="30696">
      <c r="BB30696" s="122"/>
      <c r="BC30696" s="141"/>
    </row>
    <row r="30697">
      <c r="BB30697" s="122"/>
      <c r="BC30697" s="141"/>
    </row>
    <row r="30698">
      <c r="BB30698" s="122"/>
      <c r="BC30698" s="141"/>
    </row>
    <row r="30699">
      <c r="BB30699" s="122"/>
      <c r="BC30699" s="141"/>
    </row>
    <row r="30700">
      <c r="BB30700" s="122"/>
      <c r="BC30700" s="141"/>
    </row>
    <row r="30701">
      <c r="BB30701" s="122"/>
      <c r="BC30701" s="141"/>
    </row>
    <row r="30702">
      <c r="BB30702" s="122"/>
      <c r="BC30702" s="141"/>
    </row>
    <row r="30703">
      <c r="BB30703" s="122"/>
      <c r="BC30703" s="141"/>
    </row>
    <row r="30704">
      <c r="BB30704" s="122"/>
      <c r="BC30704" s="141"/>
    </row>
    <row r="30705">
      <c r="BB30705" s="122"/>
      <c r="BC30705" s="141"/>
    </row>
    <row r="30706">
      <c r="BB30706" s="122"/>
      <c r="BC30706" s="141"/>
    </row>
    <row r="30707">
      <c r="BB30707" s="122"/>
      <c r="BC30707" s="141"/>
    </row>
    <row r="30708">
      <c r="BB30708" s="122"/>
      <c r="BC30708" s="141"/>
    </row>
    <row r="30709">
      <c r="BB30709" s="122"/>
      <c r="BC30709" s="141"/>
    </row>
    <row r="30710">
      <c r="BB30710" s="122"/>
      <c r="BC30710" s="141"/>
    </row>
    <row r="30711">
      <c r="BB30711" s="122"/>
      <c r="BC30711" s="141"/>
    </row>
    <row r="30712">
      <c r="BB30712" s="122"/>
      <c r="BC30712" s="141"/>
    </row>
    <row r="30713">
      <c r="BB30713" s="122"/>
      <c r="BC30713" s="141"/>
    </row>
    <row r="30714">
      <c r="BB30714" s="122"/>
      <c r="BC30714" s="141"/>
    </row>
    <row r="30715">
      <c r="BB30715" s="122"/>
      <c r="BC30715" s="141"/>
    </row>
    <row r="30716">
      <c r="BB30716" s="122"/>
      <c r="BC30716" s="141"/>
    </row>
    <row r="30717">
      <c r="BB30717" s="122"/>
      <c r="BC30717" s="141"/>
    </row>
    <row r="30718">
      <c r="BB30718" s="122"/>
      <c r="BC30718" s="141"/>
    </row>
    <row r="30719">
      <c r="BB30719" s="122"/>
      <c r="BC30719" s="141"/>
    </row>
    <row r="30720">
      <c r="BB30720" s="122"/>
      <c r="BC30720" s="141"/>
    </row>
    <row r="30721">
      <c r="BB30721" s="122"/>
      <c r="BC30721" s="141"/>
    </row>
    <row r="30722">
      <c r="BB30722" s="122"/>
      <c r="BC30722" s="141"/>
    </row>
    <row r="30723">
      <c r="BB30723" s="122"/>
      <c r="BC30723" s="141"/>
    </row>
    <row r="30724">
      <c r="BB30724" s="122"/>
      <c r="BC30724" s="141"/>
    </row>
    <row r="30725">
      <c r="BB30725" s="122"/>
      <c r="BC30725" s="141"/>
    </row>
    <row r="30726">
      <c r="BB30726" s="122"/>
      <c r="BC30726" s="141"/>
    </row>
    <row r="30727">
      <c r="BB30727" s="122"/>
      <c r="BC30727" s="141"/>
    </row>
    <row r="30728">
      <c r="BB30728" s="122"/>
      <c r="BC30728" s="141"/>
    </row>
    <row r="30729">
      <c r="BB30729" s="122"/>
      <c r="BC30729" s="141"/>
    </row>
    <row r="30730">
      <c r="BB30730" s="122"/>
      <c r="BC30730" s="141"/>
    </row>
    <row r="30731">
      <c r="BB30731" s="122"/>
      <c r="BC30731" s="141"/>
    </row>
    <row r="30732">
      <c r="BB30732" s="122"/>
      <c r="BC30732" s="141"/>
    </row>
    <row r="30733">
      <c r="BB30733" s="122"/>
      <c r="BC30733" s="141"/>
    </row>
    <row r="30734">
      <c r="BB30734" s="122"/>
      <c r="BC30734" s="141"/>
    </row>
    <row r="30735">
      <c r="BB30735" s="122"/>
      <c r="BC30735" s="141"/>
    </row>
    <row r="30736">
      <c r="BB30736" s="122"/>
      <c r="BC30736" s="141"/>
    </row>
    <row r="30737">
      <c r="BB30737" s="122"/>
      <c r="BC30737" s="141"/>
    </row>
    <row r="30738">
      <c r="BB30738" s="122"/>
      <c r="BC30738" s="141"/>
    </row>
    <row r="30739">
      <c r="BB30739" s="122"/>
      <c r="BC30739" s="141"/>
    </row>
    <row r="30740">
      <c r="BB30740" s="122"/>
      <c r="BC30740" s="141"/>
    </row>
    <row r="30741">
      <c r="BB30741" s="122"/>
      <c r="BC30741" s="141"/>
    </row>
    <row r="30742">
      <c r="BB30742" s="122"/>
      <c r="BC30742" s="141"/>
    </row>
    <row r="30743">
      <c r="BB30743" s="122"/>
      <c r="BC30743" s="141"/>
    </row>
    <row r="30744">
      <c r="BB30744" s="122"/>
      <c r="BC30744" s="141"/>
    </row>
    <row r="30745">
      <c r="BB30745" s="122"/>
      <c r="BC30745" s="141"/>
    </row>
    <row r="30746">
      <c r="BB30746" s="122"/>
      <c r="BC30746" s="141"/>
    </row>
    <row r="30747">
      <c r="BB30747" s="122"/>
      <c r="BC30747" s="141"/>
    </row>
    <row r="30748">
      <c r="BB30748" s="122"/>
      <c r="BC30748" s="141"/>
    </row>
    <row r="30749">
      <c r="BB30749" s="122"/>
      <c r="BC30749" s="141"/>
    </row>
    <row r="30750">
      <c r="BB30750" s="122"/>
      <c r="BC30750" s="141"/>
    </row>
    <row r="30751">
      <c r="BB30751" s="122"/>
      <c r="BC30751" s="141"/>
    </row>
    <row r="30752">
      <c r="BB30752" s="122"/>
      <c r="BC30752" s="141"/>
    </row>
    <row r="30753">
      <c r="BB30753" s="122"/>
      <c r="BC30753" s="141"/>
    </row>
    <row r="30754">
      <c r="BB30754" s="122"/>
      <c r="BC30754" s="141"/>
    </row>
    <row r="30755">
      <c r="BB30755" s="122"/>
      <c r="BC30755" s="141"/>
    </row>
    <row r="30756">
      <c r="BB30756" s="122"/>
      <c r="BC30756" s="141"/>
    </row>
    <row r="30757">
      <c r="BB30757" s="122"/>
      <c r="BC30757" s="141"/>
    </row>
    <row r="30758">
      <c r="BB30758" s="122"/>
      <c r="BC30758" s="141"/>
    </row>
    <row r="30759">
      <c r="BB30759" s="122"/>
      <c r="BC30759" s="141"/>
    </row>
    <row r="30760">
      <c r="BB30760" s="122"/>
      <c r="BC30760" s="141"/>
    </row>
    <row r="30761">
      <c r="BB30761" s="122"/>
      <c r="BC30761" s="141"/>
    </row>
    <row r="30762">
      <c r="BB30762" s="122"/>
      <c r="BC30762" s="141"/>
    </row>
    <row r="30763">
      <c r="BB30763" s="122"/>
      <c r="BC30763" s="141"/>
    </row>
    <row r="30764">
      <c r="BB30764" s="122"/>
      <c r="BC30764" s="141"/>
    </row>
    <row r="30765">
      <c r="BB30765" s="122"/>
      <c r="BC30765" s="141"/>
    </row>
    <row r="30766">
      <c r="BB30766" s="122"/>
      <c r="BC30766" s="141"/>
    </row>
    <row r="30767">
      <c r="BB30767" s="122"/>
      <c r="BC30767" s="141"/>
    </row>
    <row r="30768">
      <c r="BB30768" s="122"/>
      <c r="BC30768" s="141"/>
    </row>
    <row r="30769">
      <c r="BB30769" s="122"/>
      <c r="BC30769" s="141"/>
    </row>
    <row r="30770">
      <c r="BB30770" s="122"/>
      <c r="BC30770" s="141"/>
    </row>
    <row r="30771">
      <c r="BB30771" s="122"/>
      <c r="BC30771" s="141"/>
    </row>
    <row r="30772">
      <c r="BB30772" s="122"/>
      <c r="BC30772" s="141"/>
    </row>
    <row r="30773">
      <c r="BB30773" s="122"/>
      <c r="BC30773" s="141"/>
    </row>
    <row r="30774">
      <c r="BB30774" s="122"/>
      <c r="BC30774" s="141"/>
    </row>
    <row r="30775">
      <c r="BB30775" s="122"/>
      <c r="BC30775" s="141"/>
    </row>
    <row r="30776">
      <c r="BB30776" s="122"/>
      <c r="BC30776" s="141"/>
    </row>
    <row r="30777">
      <c r="BB30777" s="122"/>
      <c r="BC30777" s="141"/>
    </row>
    <row r="30778">
      <c r="BB30778" s="122"/>
      <c r="BC30778" s="141"/>
    </row>
    <row r="30779">
      <c r="BB30779" s="122"/>
      <c r="BC30779" s="141"/>
    </row>
    <row r="30780">
      <c r="BB30780" s="122"/>
      <c r="BC30780" s="141"/>
    </row>
    <row r="30781">
      <c r="BB30781" s="122"/>
      <c r="BC30781" s="141"/>
    </row>
    <row r="30782">
      <c r="BB30782" s="122"/>
      <c r="BC30782" s="141"/>
    </row>
    <row r="30783">
      <c r="BB30783" s="122"/>
      <c r="BC30783" s="141"/>
    </row>
    <row r="30784">
      <c r="BB30784" s="122"/>
      <c r="BC30784" s="141"/>
    </row>
    <row r="30785">
      <c r="BB30785" s="122"/>
      <c r="BC30785" s="141"/>
    </row>
    <row r="30786">
      <c r="BB30786" s="122"/>
      <c r="BC30786" s="141"/>
    </row>
    <row r="30787">
      <c r="BB30787" s="122"/>
      <c r="BC30787" s="141"/>
    </row>
    <row r="30788">
      <c r="BB30788" s="122"/>
      <c r="BC30788" s="141"/>
    </row>
    <row r="30789">
      <c r="BB30789" s="122"/>
      <c r="BC30789" s="141"/>
    </row>
    <row r="30790">
      <c r="BB30790" s="122"/>
      <c r="BC30790" s="141"/>
    </row>
    <row r="30791">
      <c r="BB30791" s="122"/>
      <c r="BC30791" s="141"/>
    </row>
    <row r="30792">
      <c r="BB30792" s="122"/>
      <c r="BC30792" s="141"/>
    </row>
    <row r="30793">
      <c r="BB30793" s="122"/>
      <c r="BC30793" s="141"/>
    </row>
    <row r="30794">
      <c r="BB30794" s="122"/>
      <c r="BC30794" s="141"/>
    </row>
    <row r="30795">
      <c r="BB30795" s="122"/>
      <c r="BC30795" s="141"/>
    </row>
    <row r="30796">
      <c r="BB30796" s="122"/>
      <c r="BC30796" s="141"/>
    </row>
    <row r="30797">
      <c r="BB30797" s="122"/>
      <c r="BC30797" s="141"/>
    </row>
    <row r="30798">
      <c r="BB30798" s="122"/>
      <c r="BC30798" s="141"/>
    </row>
    <row r="30799">
      <c r="BB30799" s="122"/>
      <c r="BC30799" s="141"/>
    </row>
    <row r="30800">
      <c r="BB30800" s="122"/>
      <c r="BC30800" s="141"/>
    </row>
    <row r="30801">
      <c r="BB30801" s="122"/>
      <c r="BC30801" s="141"/>
    </row>
    <row r="30802">
      <c r="BB30802" s="122"/>
      <c r="BC30802" s="141"/>
    </row>
    <row r="30803">
      <c r="BB30803" s="122"/>
      <c r="BC30803" s="141"/>
    </row>
    <row r="30804">
      <c r="BB30804" s="122"/>
      <c r="BC30804" s="141"/>
    </row>
    <row r="30805">
      <c r="BB30805" s="122"/>
      <c r="BC30805" s="141"/>
    </row>
    <row r="30806">
      <c r="BB30806" s="122"/>
      <c r="BC30806" s="141"/>
    </row>
    <row r="30807">
      <c r="BB30807" s="122"/>
      <c r="BC30807" s="141"/>
    </row>
    <row r="30808">
      <c r="BB30808" s="122"/>
      <c r="BC30808" s="141"/>
    </row>
    <row r="30809">
      <c r="BB30809" s="122"/>
      <c r="BC30809" s="141"/>
    </row>
    <row r="30810">
      <c r="BB30810" s="122"/>
      <c r="BC30810" s="141"/>
    </row>
    <row r="30811">
      <c r="BB30811" s="122"/>
      <c r="BC30811" s="141"/>
    </row>
    <row r="30812">
      <c r="BB30812" s="122"/>
      <c r="BC30812" s="141"/>
    </row>
    <row r="30813">
      <c r="BB30813" s="122"/>
      <c r="BC30813" s="141"/>
    </row>
    <row r="30814">
      <c r="BB30814" s="122"/>
      <c r="BC30814" s="141"/>
    </row>
    <row r="30815">
      <c r="BB30815" s="122"/>
      <c r="BC30815" s="141"/>
    </row>
    <row r="30816">
      <c r="BB30816" s="122"/>
      <c r="BC30816" s="141"/>
    </row>
    <row r="30817">
      <c r="BB30817" s="122"/>
      <c r="BC30817" s="141"/>
    </row>
    <row r="30818">
      <c r="BB30818" s="122"/>
      <c r="BC30818" s="141"/>
    </row>
    <row r="30819">
      <c r="BB30819" s="122"/>
      <c r="BC30819" s="141"/>
    </row>
    <row r="30820">
      <c r="BB30820" s="122"/>
      <c r="BC30820" s="141"/>
    </row>
    <row r="30821">
      <c r="BB30821" s="122"/>
      <c r="BC30821" s="141"/>
    </row>
    <row r="30822">
      <c r="BB30822" s="122"/>
      <c r="BC30822" s="141"/>
    </row>
    <row r="30823">
      <c r="BB30823" s="122"/>
      <c r="BC30823" s="141"/>
    </row>
    <row r="30824">
      <c r="BB30824" s="122"/>
      <c r="BC30824" s="141"/>
    </row>
    <row r="30825">
      <c r="BB30825" s="122"/>
      <c r="BC30825" s="141"/>
    </row>
    <row r="30826">
      <c r="BB30826" s="122"/>
      <c r="BC30826" s="141"/>
    </row>
    <row r="30827">
      <c r="BB30827" s="122"/>
      <c r="BC30827" s="141"/>
    </row>
    <row r="30828">
      <c r="BB30828" s="122"/>
      <c r="BC30828" s="141"/>
    </row>
    <row r="30829">
      <c r="BB30829" s="122"/>
      <c r="BC30829" s="141"/>
    </row>
    <row r="30830">
      <c r="BB30830" s="122"/>
      <c r="BC30830" s="141"/>
    </row>
    <row r="30831">
      <c r="BB30831" s="122"/>
      <c r="BC30831" s="141"/>
    </row>
    <row r="30832">
      <c r="BB30832" s="122"/>
      <c r="BC30832" s="141"/>
    </row>
    <row r="30833">
      <c r="BB30833" s="122"/>
      <c r="BC30833" s="141"/>
    </row>
    <row r="30834">
      <c r="BB30834" s="122"/>
      <c r="BC30834" s="141"/>
    </row>
    <row r="30835">
      <c r="BB30835" s="122"/>
      <c r="BC30835" s="141"/>
    </row>
    <row r="30836">
      <c r="BB30836" s="122"/>
      <c r="BC30836" s="141"/>
    </row>
    <row r="30837">
      <c r="BB30837" s="122"/>
      <c r="BC30837" s="141"/>
    </row>
    <row r="30838">
      <c r="BB30838" s="122"/>
      <c r="BC30838" s="141"/>
    </row>
    <row r="30839">
      <c r="BB30839" s="122"/>
      <c r="BC30839" s="141"/>
    </row>
    <row r="30840">
      <c r="BB30840" s="122"/>
      <c r="BC30840" s="141"/>
    </row>
    <row r="30841">
      <c r="BB30841" s="122"/>
      <c r="BC30841" s="141"/>
    </row>
    <row r="30842">
      <c r="BB30842" s="122"/>
      <c r="BC30842" s="141"/>
    </row>
    <row r="30843">
      <c r="BB30843" s="122"/>
      <c r="BC30843" s="141"/>
    </row>
    <row r="30844">
      <c r="BB30844" s="122"/>
      <c r="BC30844" s="141"/>
    </row>
    <row r="30845">
      <c r="BB30845" s="122"/>
      <c r="BC30845" s="141"/>
    </row>
    <row r="30846">
      <c r="BB30846" s="122"/>
      <c r="BC30846" s="141"/>
    </row>
    <row r="30847">
      <c r="BB30847" s="122"/>
      <c r="BC30847" s="141"/>
    </row>
    <row r="30848">
      <c r="BB30848" s="122"/>
      <c r="BC30848" s="141"/>
    </row>
    <row r="30849">
      <c r="BB30849" s="122"/>
      <c r="BC30849" s="141"/>
    </row>
    <row r="30850">
      <c r="BB30850" s="122"/>
      <c r="BC30850" s="141"/>
    </row>
    <row r="30851">
      <c r="BB30851" s="122"/>
      <c r="BC30851" s="141"/>
    </row>
    <row r="30852">
      <c r="BB30852" s="122"/>
      <c r="BC30852" s="141"/>
    </row>
    <row r="30853">
      <c r="BB30853" s="122"/>
      <c r="BC30853" s="141"/>
    </row>
    <row r="30854">
      <c r="BB30854" s="122"/>
      <c r="BC30854" s="141"/>
    </row>
    <row r="30855">
      <c r="BB30855" s="122"/>
      <c r="BC30855" s="141"/>
    </row>
    <row r="30856">
      <c r="BB30856" s="122"/>
      <c r="BC30856" s="141"/>
    </row>
    <row r="30857">
      <c r="BB30857" s="122"/>
      <c r="BC30857" s="141"/>
    </row>
    <row r="30858">
      <c r="BB30858" s="122"/>
      <c r="BC30858" s="141"/>
    </row>
    <row r="30859">
      <c r="BB30859" s="122"/>
      <c r="BC30859" s="141"/>
    </row>
    <row r="30860">
      <c r="BB30860" s="122"/>
      <c r="BC30860" s="141"/>
    </row>
    <row r="30861">
      <c r="BB30861" s="122"/>
      <c r="BC30861" s="141"/>
    </row>
    <row r="30862">
      <c r="BB30862" s="122"/>
      <c r="BC30862" s="141"/>
    </row>
    <row r="30863">
      <c r="BB30863" s="122"/>
      <c r="BC30863" s="141"/>
    </row>
    <row r="30864">
      <c r="BB30864" s="122"/>
      <c r="BC30864" s="141"/>
    </row>
    <row r="30865">
      <c r="BB30865" s="122"/>
      <c r="BC30865" s="141"/>
    </row>
    <row r="30866">
      <c r="BB30866" s="122"/>
      <c r="BC30866" s="141"/>
    </row>
    <row r="30867">
      <c r="BB30867" s="122"/>
      <c r="BC30867" s="141"/>
    </row>
    <row r="30868">
      <c r="BB30868" s="122"/>
      <c r="BC30868" s="141"/>
    </row>
    <row r="30869">
      <c r="BB30869" s="122"/>
      <c r="BC30869" s="141"/>
    </row>
    <row r="30870">
      <c r="BB30870" s="122"/>
      <c r="BC30870" s="141"/>
    </row>
    <row r="30871">
      <c r="BB30871" s="122"/>
      <c r="BC30871" s="141"/>
    </row>
    <row r="30872">
      <c r="BB30872" s="122"/>
      <c r="BC30872" s="141"/>
    </row>
    <row r="30873">
      <c r="BB30873" s="122"/>
      <c r="BC30873" s="141"/>
    </row>
    <row r="30874">
      <c r="BB30874" s="122"/>
      <c r="BC30874" s="141"/>
    </row>
    <row r="30875">
      <c r="BB30875" s="122"/>
      <c r="BC30875" s="141"/>
    </row>
    <row r="30876">
      <c r="BB30876" s="122"/>
      <c r="BC30876" s="141"/>
    </row>
    <row r="30877">
      <c r="BB30877" s="122"/>
      <c r="BC30877" s="141"/>
    </row>
    <row r="30878">
      <c r="BB30878" s="122"/>
      <c r="BC30878" s="141"/>
    </row>
    <row r="30879">
      <c r="BB30879" s="122"/>
      <c r="BC30879" s="141"/>
    </row>
    <row r="30880">
      <c r="BB30880" s="122"/>
      <c r="BC30880" s="141"/>
    </row>
    <row r="30881">
      <c r="BB30881" s="122"/>
      <c r="BC30881" s="141"/>
    </row>
    <row r="30882">
      <c r="BB30882" s="122"/>
      <c r="BC30882" s="141"/>
    </row>
    <row r="30883">
      <c r="BB30883" s="122"/>
      <c r="BC30883" s="141"/>
    </row>
    <row r="30884">
      <c r="BB30884" s="122"/>
      <c r="BC30884" s="141"/>
    </row>
    <row r="30885">
      <c r="BB30885" s="122"/>
      <c r="BC30885" s="141"/>
    </row>
    <row r="30886">
      <c r="BB30886" s="122"/>
      <c r="BC30886" s="141"/>
    </row>
    <row r="30887">
      <c r="BB30887" s="122"/>
      <c r="BC30887" s="141"/>
    </row>
    <row r="30888">
      <c r="BB30888" s="122"/>
      <c r="BC30888" s="141"/>
    </row>
    <row r="30889">
      <c r="BB30889" s="122"/>
      <c r="BC30889" s="141"/>
    </row>
    <row r="30890">
      <c r="BB30890" s="122"/>
      <c r="BC30890" s="141"/>
    </row>
    <row r="30891">
      <c r="BB30891" s="122"/>
      <c r="BC30891" s="141"/>
    </row>
    <row r="30892">
      <c r="BB30892" s="122"/>
      <c r="BC30892" s="141"/>
    </row>
    <row r="30893">
      <c r="BB30893" s="122"/>
      <c r="BC30893" s="141"/>
    </row>
    <row r="30894">
      <c r="BB30894" s="122"/>
      <c r="BC30894" s="141"/>
    </row>
    <row r="30895">
      <c r="BB30895" s="122"/>
      <c r="BC30895" s="141"/>
    </row>
    <row r="30896">
      <c r="BB30896" s="122"/>
      <c r="BC30896" s="141"/>
    </row>
    <row r="30897">
      <c r="BB30897" s="122"/>
      <c r="BC30897" s="141"/>
    </row>
    <row r="30898">
      <c r="BB30898" s="122"/>
      <c r="BC30898" s="141"/>
    </row>
    <row r="30899">
      <c r="BB30899" s="122"/>
      <c r="BC30899" s="141"/>
    </row>
    <row r="30900">
      <c r="BB30900" s="122"/>
      <c r="BC30900" s="141"/>
    </row>
    <row r="30901">
      <c r="BB30901" s="122"/>
      <c r="BC30901" s="141"/>
    </row>
    <row r="30902">
      <c r="BB30902" s="122"/>
      <c r="BC30902" s="141"/>
    </row>
    <row r="30903">
      <c r="BB30903" s="122"/>
      <c r="BC30903" s="141"/>
    </row>
    <row r="30904">
      <c r="BB30904" s="122"/>
      <c r="BC30904" s="141"/>
    </row>
    <row r="30905">
      <c r="BB30905" s="122"/>
      <c r="BC30905" s="141"/>
    </row>
    <row r="30906">
      <c r="BB30906" s="122"/>
      <c r="BC30906" s="141"/>
    </row>
    <row r="30907">
      <c r="BB30907" s="122"/>
      <c r="BC30907" s="141"/>
    </row>
    <row r="30908">
      <c r="BB30908" s="122"/>
      <c r="BC30908" s="141"/>
    </row>
    <row r="30909">
      <c r="BB30909" s="122"/>
      <c r="BC30909" s="141"/>
    </row>
    <row r="30910">
      <c r="BB30910" s="122"/>
      <c r="BC30910" s="141"/>
    </row>
    <row r="30911">
      <c r="BB30911" s="122"/>
      <c r="BC30911" s="141"/>
    </row>
    <row r="30912">
      <c r="BB30912" s="122"/>
      <c r="BC30912" s="141"/>
    </row>
    <row r="30913">
      <c r="BB30913" s="122"/>
      <c r="BC30913" s="141"/>
    </row>
    <row r="30914">
      <c r="BB30914" s="122"/>
      <c r="BC30914" s="141"/>
    </row>
    <row r="30915">
      <c r="BB30915" s="122"/>
      <c r="BC30915" s="141"/>
    </row>
    <row r="30916">
      <c r="BB30916" s="122"/>
      <c r="BC30916" s="141"/>
    </row>
    <row r="30917">
      <c r="BB30917" s="122"/>
      <c r="BC30917" s="141"/>
    </row>
    <row r="30918">
      <c r="BB30918" s="122"/>
      <c r="BC30918" s="141"/>
    </row>
    <row r="30919">
      <c r="BB30919" s="122"/>
      <c r="BC30919" s="141"/>
    </row>
    <row r="30920">
      <c r="BB30920" s="122"/>
      <c r="BC30920" s="141"/>
    </row>
    <row r="30921">
      <c r="BB30921" s="122"/>
      <c r="BC30921" s="141"/>
    </row>
    <row r="30922">
      <c r="BB30922" s="122"/>
      <c r="BC30922" s="141"/>
    </row>
    <row r="30923">
      <c r="BB30923" s="122"/>
      <c r="BC30923" s="141"/>
    </row>
    <row r="30924">
      <c r="BB30924" s="122"/>
      <c r="BC30924" s="141"/>
    </row>
    <row r="30925">
      <c r="BB30925" s="122"/>
      <c r="BC30925" s="141"/>
    </row>
    <row r="30926">
      <c r="BB30926" s="122"/>
      <c r="BC30926" s="141"/>
    </row>
    <row r="30927">
      <c r="BB30927" s="122"/>
      <c r="BC30927" s="141"/>
    </row>
    <row r="30928">
      <c r="BB30928" s="122"/>
      <c r="BC30928" s="141"/>
    </row>
    <row r="30929">
      <c r="BB30929" s="122"/>
      <c r="BC30929" s="141"/>
    </row>
    <row r="30930">
      <c r="BB30930" s="122"/>
      <c r="BC30930" s="141"/>
    </row>
    <row r="30931">
      <c r="BB30931" s="122"/>
      <c r="BC30931" s="141"/>
    </row>
    <row r="30932">
      <c r="BB30932" s="122"/>
      <c r="BC30932" s="141"/>
    </row>
    <row r="30933">
      <c r="BB30933" s="122"/>
      <c r="BC30933" s="141"/>
    </row>
    <row r="30934">
      <c r="BB30934" s="122"/>
      <c r="BC30934" s="141"/>
    </row>
    <row r="30935">
      <c r="BB30935" s="122"/>
      <c r="BC30935" s="141"/>
    </row>
    <row r="30936">
      <c r="BB30936" s="122"/>
      <c r="BC30936" s="141"/>
    </row>
    <row r="30937">
      <c r="BB30937" s="122"/>
      <c r="BC30937" s="141"/>
    </row>
    <row r="30938">
      <c r="BB30938" s="122"/>
      <c r="BC30938" s="141"/>
    </row>
    <row r="30939">
      <c r="BB30939" s="122"/>
      <c r="BC30939" s="141"/>
    </row>
    <row r="30940">
      <c r="BB30940" s="122"/>
      <c r="BC30940" s="141"/>
    </row>
    <row r="30941">
      <c r="BB30941" s="122"/>
      <c r="BC30941" s="141"/>
    </row>
    <row r="30942">
      <c r="BB30942" s="122"/>
      <c r="BC30942" s="141"/>
    </row>
    <row r="30943">
      <c r="BB30943" s="122"/>
      <c r="BC30943" s="141"/>
    </row>
    <row r="30944">
      <c r="BB30944" s="122"/>
      <c r="BC30944" s="141"/>
    </row>
    <row r="30945">
      <c r="BB30945" s="122"/>
      <c r="BC30945" s="141"/>
    </row>
    <row r="30946">
      <c r="BB30946" s="122"/>
      <c r="BC30946" s="141"/>
    </row>
    <row r="30947">
      <c r="BB30947" s="122"/>
      <c r="BC30947" s="141"/>
    </row>
    <row r="30948">
      <c r="BB30948" s="122"/>
      <c r="BC30948" s="141"/>
    </row>
    <row r="30949">
      <c r="BB30949" s="122"/>
      <c r="BC30949" s="141"/>
    </row>
    <row r="30950">
      <c r="BB30950" s="122"/>
      <c r="BC30950" s="141"/>
    </row>
    <row r="30951">
      <c r="BB30951" s="122"/>
      <c r="BC30951" s="141"/>
    </row>
    <row r="30952">
      <c r="BB30952" s="122"/>
      <c r="BC30952" s="141"/>
    </row>
    <row r="30953">
      <c r="BB30953" s="122"/>
      <c r="BC30953" s="141"/>
    </row>
    <row r="30954">
      <c r="BB30954" s="122"/>
      <c r="BC30954" s="141"/>
    </row>
    <row r="30955">
      <c r="BB30955" s="122"/>
      <c r="BC30955" s="141"/>
    </row>
    <row r="30956">
      <c r="BB30956" s="122"/>
      <c r="BC30956" s="141"/>
    </row>
    <row r="30957">
      <c r="BB30957" s="122"/>
      <c r="BC30957" s="141"/>
    </row>
    <row r="30958">
      <c r="BB30958" s="122"/>
      <c r="BC30958" s="141"/>
    </row>
    <row r="30959">
      <c r="BB30959" s="122"/>
      <c r="BC30959" s="141"/>
    </row>
    <row r="30960">
      <c r="BB30960" s="122"/>
      <c r="BC30960" s="141"/>
    </row>
    <row r="30961">
      <c r="BB30961" s="122"/>
      <c r="BC30961" s="141"/>
    </row>
    <row r="30962">
      <c r="BB30962" s="122"/>
      <c r="BC30962" s="141"/>
    </row>
    <row r="30963">
      <c r="BB30963" s="122"/>
      <c r="BC30963" s="141"/>
    </row>
    <row r="30964">
      <c r="BB30964" s="122"/>
      <c r="BC30964" s="141"/>
    </row>
    <row r="30965">
      <c r="BB30965" s="122"/>
      <c r="BC30965" s="141"/>
    </row>
    <row r="30966">
      <c r="BB30966" s="122"/>
      <c r="BC30966" s="141"/>
    </row>
    <row r="30967">
      <c r="BB30967" s="122"/>
      <c r="BC30967" s="141"/>
    </row>
    <row r="30968">
      <c r="BB30968" s="122"/>
      <c r="BC30968" s="141"/>
    </row>
    <row r="30969">
      <c r="BB30969" s="122"/>
      <c r="BC30969" s="141"/>
    </row>
    <row r="30970">
      <c r="BB30970" s="122"/>
      <c r="BC30970" s="141"/>
    </row>
    <row r="30971">
      <c r="BB30971" s="122"/>
      <c r="BC30971" s="141"/>
    </row>
    <row r="30972">
      <c r="BB30972" s="122"/>
      <c r="BC30972" s="141"/>
    </row>
    <row r="30973">
      <c r="BB30973" s="122"/>
      <c r="BC30973" s="141"/>
    </row>
    <row r="30974">
      <c r="BB30974" s="122"/>
      <c r="BC30974" s="141"/>
    </row>
    <row r="30975">
      <c r="BB30975" s="122"/>
      <c r="BC30975" s="141"/>
    </row>
    <row r="30976">
      <c r="BB30976" s="122"/>
      <c r="BC30976" s="141"/>
    </row>
    <row r="30977">
      <c r="BB30977" s="122"/>
      <c r="BC30977" s="141"/>
    </row>
    <row r="30978">
      <c r="BB30978" s="122"/>
      <c r="BC30978" s="141"/>
    </row>
    <row r="30979">
      <c r="BB30979" s="122"/>
      <c r="BC30979" s="141"/>
    </row>
    <row r="30980">
      <c r="BB30980" s="122"/>
      <c r="BC30980" s="141"/>
    </row>
    <row r="30981">
      <c r="BB30981" s="122"/>
      <c r="BC30981" s="141"/>
    </row>
    <row r="30982">
      <c r="BB30982" s="122"/>
      <c r="BC30982" s="141"/>
    </row>
    <row r="30983">
      <c r="BB30983" s="122"/>
      <c r="BC30983" s="141"/>
    </row>
    <row r="30984">
      <c r="BB30984" s="122"/>
      <c r="BC30984" s="141"/>
    </row>
    <row r="30985">
      <c r="BB30985" s="122"/>
      <c r="BC30985" s="141"/>
    </row>
    <row r="30986">
      <c r="BB30986" s="122"/>
      <c r="BC30986" s="141"/>
    </row>
    <row r="30987">
      <c r="BB30987" s="122"/>
      <c r="BC30987" s="141"/>
    </row>
    <row r="30988">
      <c r="BB30988" s="122"/>
      <c r="BC30988" s="141"/>
    </row>
    <row r="30989">
      <c r="BB30989" s="122"/>
      <c r="BC30989" s="141"/>
    </row>
    <row r="30990">
      <c r="BB30990" s="122"/>
      <c r="BC30990" s="141"/>
    </row>
    <row r="30991">
      <c r="BB30991" s="122"/>
      <c r="BC30991" s="141"/>
    </row>
    <row r="30992">
      <c r="BB30992" s="122"/>
      <c r="BC30992" s="141"/>
    </row>
    <row r="30993">
      <c r="BB30993" s="122"/>
      <c r="BC30993" s="141"/>
    </row>
    <row r="30994">
      <c r="BB30994" s="122"/>
      <c r="BC30994" s="141"/>
    </row>
    <row r="30995">
      <c r="BB30995" s="122"/>
      <c r="BC30995" s="141"/>
    </row>
    <row r="30996">
      <c r="BB30996" s="122"/>
      <c r="BC30996" s="141"/>
    </row>
    <row r="30997">
      <c r="BB30997" s="122"/>
      <c r="BC30997" s="141"/>
    </row>
    <row r="30998">
      <c r="BB30998" s="122"/>
      <c r="BC30998" s="141"/>
    </row>
    <row r="30999">
      <c r="BB30999" s="122"/>
      <c r="BC30999" s="141"/>
    </row>
    <row r="31000">
      <c r="BB31000" s="122"/>
      <c r="BC31000" s="141"/>
    </row>
    <row r="31001">
      <c r="BB31001" s="122"/>
      <c r="BC31001" s="141"/>
    </row>
    <row r="31002">
      <c r="BB31002" s="122"/>
      <c r="BC31002" s="141"/>
    </row>
    <row r="31003">
      <c r="BB31003" s="122"/>
      <c r="BC31003" s="141"/>
    </row>
    <row r="31004">
      <c r="BB31004" s="122"/>
      <c r="BC31004" s="141"/>
    </row>
    <row r="31005">
      <c r="BB31005" s="122"/>
      <c r="BC31005" s="141"/>
    </row>
    <row r="31006">
      <c r="BB31006" s="122"/>
      <c r="BC31006" s="141"/>
    </row>
    <row r="31007">
      <c r="BB31007" s="122"/>
      <c r="BC31007" s="141"/>
    </row>
    <row r="31008">
      <c r="BB31008" s="122"/>
      <c r="BC31008" s="141"/>
    </row>
    <row r="31009">
      <c r="BB31009" s="122"/>
      <c r="BC31009" s="141"/>
    </row>
    <row r="31010">
      <c r="BB31010" s="122"/>
      <c r="BC31010" s="141"/>
    </row>
    <row r="31011">
      <c r="BB31011" s="122"/>
      <c r="BC31011" s="141"/>
    </row>
    <row r="31012">
      <c r="BB31012" s="122"/>
      <c r="BC31012" s="141"/>
    </row>
    <row r="31013">
      <c r="BB31013" s="122"/>
      <c r="BC31013" s="141"/>
    </row>
    <row r="31014">
      <c r="BB31014" s="122"/>
      <c r="BC31014" s="141"/>
    </row>
    <row r="31015">
      <c r="BB31015" s="122"/>
      <c r="BC31015" s="141"/>
    </row>
    <row r="31016">
      <c r="BB31016" s="122"/>
      <c r="BC31016" s="141"/>
    </row>
    <row r="31017">
      <c r="BB31017" s="122"/>
      <c r="BC31017" s="141"/>
    </row>
    <row r="31018">
      <c r="BB31018" s="122"/>
      <c r="BC31018" s="141"/>
    </row>
    <row r="31019">
      <c r="BB31019" s="122"/>
      <c r="BC31019" s="141"/>
    </row>
    <row r="31020">
      <c r="BB31020" s="122"/>
      <c r="BC31020" s="141"/>
    </row>
    <row r="31021">
      <c r="BB31021" s="122"/>
      <c r="BC31021" s="141"/>
    </row>
    <row r="31022">
      <c r="BB31022" s="122"/>
      <c r="BC31022" s="141"/>
    </row>
    <row r="31023">
      <c r="BB31023" s="122"/>
      <c r="BC31023" s="141"/>
    </row>
    <row r="31024">
      <c r="BB31024" s="122"/>
      <c r="BC31024" s="141"/>
    </row>
    <row r="31025">
      <c r="BB31025" s="122"/>
      <c r="BC31025" s="141"/>
    </row>
    <row r="31026">
      <c r="BB31026" s="122"/>
      <c r="BC31026" s="141"/>
    </row>
    <row r="31027">
      <c r="BB31027" s="122"/>
      <c r="BC31027" s="141"/>
    </row>
    <row r="31028">
      <c r="BB31028" s="122"/>
      <c r="BC31028" s="141"/>
    </row>
    <row r="31029">
      <c r="BB31029" s="122"/>
      <c r="BC31029" s="141"/>
    </row>
    <row r="31030">
      <c r="BB31030" s="122"/>
      <c r="BC31030" s="141"/>
    </row>
    <row r="31031">
      <c r="BB31031" s="122"/>
      <c r="BC31031" s="141"/>
    </row>
    <row r="31032">
      <c r="BB31032" s="122"/>
      <c r="BC31032" s="141"/>
    </row>
    <row r="31033">
      <c r="BB31033" s="122"/>
      <c r="BC31033" s="141"/>
    </row>
    <row r="31034">
      <c r="BB31034" s="122"/>
      <c r="BC31034" s="141"/>
    </row>
    <row r="31035">
      <c r="BB31035" s="122"/>
      <c r="BC31035" s="141"/>
    </row>
    <row r="31036">
      <c r="BB31036" s="122"/>
      <c r="BC31036" s="141"/>
    </row>
    <row r="31037">
      <c r="BB31037" s="122"/>
      <c r="BC31037" s="141"/>
    </row>
    <row r="31038">
      <c r="BB31038" s="122"/>
      <c r="BC31038" s="141"/>
    </row>
    <row r="31039">
      <c r="BB31039" s="122"/>
      <c r="BC31039" s="141"/>
    </row>
    <row r="31040">
      <c r="BB31040" s="122"/>
      <c r="BC31040" s="141"/>
    </row>
    <row r="31041">
      <c r="BB31041" s="122"/>
      <c r="BC31041" s="141"/>
    </row>
    <row r="31042">
      <c r="BB31042" s="122"/>
      <c r="BC31042" s="141"/>
    </row>
    <row r="31043">
      <c r="BB31043" s="122"/>
      <c r="BC31043" s="141"/>
    </row>
    <row r="31044">
      <c r="BB31044" s="122"/>
      <c r="BC31044" s="141"/>
    </row>
    <row r="31045">
      <c r="BB31045" s="122"/>
      <c r="BC31045" s="141"/>
    </row>
    <row r="31046">
      <c r="BB31046" s="122"/>
      <c r="BC31046" s="141"/>
    </row>
    <row r="31047">
      <c r="BB31047" s="122"/>
      <c r="BC31047" s="141"/>
    </row>
    <row r="31048">
      <c r="BB31048" s="122"/>
      <c r="BC31048" s="141"/>
    </row>
    <row r="31049">
      <c r="BB31049" s="122"/>
      <c r="BC31049" s="141"/>
    </row>
    <row r="31050">
      <c r="BB31050" s="122"/>
      <c r="BC31050" s="141"/>
    </row>
    <row r="31051">
      <c r="BB31051" s="122"/>
      <c r="BC31051" s="141"/>
    </row>
    <row r="31052">
      <c r="BB31052" s="122"/>
      <c r="BC31052" s="141"/>
    </row>
    <row r="31053">
      <c r="BB31053" s="122"/>
      <c r="BC31053" s="141"/>
    </row>
    <row r="31054">
      <c r="BB31054" s="122"/>
      <c r="BC31054" s="141"/>
    </row>
    <row r="31055">
      <c r="BB31055" s="122"/>
      <c r="BC31055" s="141"/>
    </row>
    <row r="31056">
      <c r="BB31056" s="122"/>
      <c r="BC31056" s="141"/>
    </row>
    <row r="31057">
      <c r="BB31057" s="122"/>
      <c r="BC31057" s="141"/>
    </row>
    <row r="31058">
      <c r="BB31058" s="122"/>
      <c r="BC31058" s="141"/>
    </row>
    <row r="31059">
      <c r="BB31059" s="122"/>
      <c r="BC31059" s="141"/>
    </row>
    <row r="31060">
      <c r="BB31060" s="122"/>
      <c r="BC31060" s="141"/>
    </row>
    <row r="31061">
      <c r="BB31061" s="122"/>
      <c r="BC31061" s="141"/>
    </row>
    <row r="31062">
      <c r="BB31062" s="122"/>
      <c r="BC31062" s="141"/>
    </row>
    <row r="31063">
      <c r="BB31063" s="122"/>
      <c r="BC31063" s="141"/>
    </row>
    <row r="31064">
      <c r="BB31064" s="122"/>
      <c r="BC31064" s="141"/>
    </row>
    <row r="31065">
      <c r="BB31065" s="122"/>
      <c r="BC31065" s="141"/>
    </row>
    <row r="31066">
      <c r="BB31066" s="122"/>
      <c r="BC31066" s="141"/>
    </row>
    <row r="31067">
      <c r="BB31067" s="122"/>
      <c r="BC31067" s="141"/>
    </row>
    <row r="31068">
      <c r="BB31068" s="122"/>
      <c r="BC31068" s="141"/>
    </row>
    <row r="31069">
      <c r="BB31069" s="122"/>
      <c r="BC31069" s="141"/>
    </row>
    <row r="31070">
      <c r="BB31070" s="122"/>
      <c r="BC31070" s="141"/>
    </row>
    <row r="31071">
      <c r="BB31071" s="122"/>
      <c r="BC31071" s="141"/>
    </row>
    <row r="31072">
      <c r="BB31072" s="122"/>
      <c r="BC31072" s="141"/>
    </row>
    <row r="31073">
      <c r="BB31073" s="122"/>
      <c r="BC31073" s="141"/>
    </row>
    <row r="31074">
      <c r="BB31074" s="122"/>
      <c r="BC31074" s="141"/>
    </row>
    <row r="31075">
      <c r="BB31075" s="122"/>
      <c r="BC31075" s="141"/>
    </row>
    <row r="31076">
      <c r="BB31076" s="122"/>
      <c r="BC31076" s="141"/>
    </row>
    <row r="31077">
      <c r="BB31077" s="122"/>
      <c r="BC31077" s="141"/>
    </row>
    <row r="31078">
      <c r="BB31078" s="122"/>
      <c r="BC31078" s="141"/>
    </row>
    <row r="31079">
      <c r="BB31079" s="122"/>
      <c r="BC31079" s="141"/>
    </row>
    <row r="31080">
      <c r="BB31080" s="122"/>
      <c r="BC31080" s="141"/>
    </row>
    <row r="31081">
      <c r="BB31081" s="122"/>
      <c r="BC31081" s="141"/>
    </row>
    <row r="31082">
      <c r="BB31082" s="122"/>
      <c r="BC31082" s="141"/>
    </row>
    <row r="31083">
      <c r="BB31083" s="122"/>
      <c r="BC31083" s="141"/>
    </row>
    <row r="31084">
      <c r="BB31084" s="122"/>
      <c r="BC31084" s="141"/>
    </row>
    <row r="31085">
      <c r="BB31085" s="122"/>
      <c r="BC31085" s="141"/>
    </row>
    <row r="31086">
      <c r="BB31086" s="122"/>
      <c r="BC31086" s="141"/>
    </row>
    <row r="31087">
      <c r="BB31087" s="122"/>
      <c r="BC31087" s="141"/>
    </row>
    <row r="31088">
      <c r="BB31088" s="122"/>
      <c r="BC31088" s="141"/>
    </row>
    <row r="31089">
      <c r="BB31089" s="122"/>
      <c r="BC31089" s="141"/>
    </row>
    <row r="31090">
      <c r="BB31090" s="122"/>
      <c r="BC31090" s="141"/>
    </row>
    <row r="31091">
      <c r="BB31091" s="122"/>
      <c r="BC31091" s="141"/>
    </row>
    <row r="31092">
      <c r="BB31092" s="122"/>
      <c r="BC31092" s="141"/>
    </row>
    <row r="31093">
      <c r="BB31093" s="122"/>
      <c r="BC31093" s="141"/>
    </row>
    <row r="31094">
      <c r="BB31094" s="122"/>
      <c r="BC31094" s="141"/>
    </row>
    <row r="31095">
      <c r="BB31095" s="122"/>
      <c r="BC31095" s="141"/>
    </row>
    <row r="31096">
      <c r="BB31096" s="122"/>
      <c r="BC31096" s="141"/>
    </row>
    <row r="31097">
      <c r="BB31097" s="122"/>
      <c r="BC31097" s="141"/>
    </row>
    <row r="31098">
      <c r="BB31098" s="122"/>
      <c r="BC31098" s="141"/>
    </row>
    <row r="31099">
      <c r="BB31099" s="122"/>
      <c r="BC31099" s="141"/>
    </row>
    <row r="31100">
      <c r="BB31100" s="122"/>
      <c r="BC31100" s="141"/>
    </row>
    <row r="31101">
      <c r="BB31101" s="122"/>
      <c r="BC31101" s="141"/>
    </row>
    <row r="31102">
      <c r="BB31102" s="122"/>
      <c r="BC31102" s="141"/>
    </row>
    <row r="31103">
      <c r="BB31103" s="122"/>
      <c r="BC31103" s="141"/>
    </row>
    <row r="31104">
      <c r="BB31104" s="122"/>
      <c r="BC31104" s="141"/>
    </row>
    <row r="31105">
      <c r="BB31105" s="122"/>
      <c r="BC31105" s="141"/>
    </row>
    <row r="31106">
      <c r="BB31106" s="122"/>
      <c r="BC31106" s="141"/>
    </row>
    <row r="31107">
      <c r="BB31107" s="122"/>
      <c r="BC31107" s="141"/>
    </row>
    <row r="31108">
      <c r="BB31108" s="122"/>
      <c r="BC31108" s="141"/>
    </row>
    <row r="31109">
      <c r="BB31109" s="122"/>
      <c r="BC31109" s="141"/>
    </row>
    <row r="31110">
      <c r="BB31110" s="122"/>
      <c r="BC31110" s="141"/>
    </row>
    <row r="31111">
      <c r="BB31111" s="122"/>
      <c r="BC31111" s="141"/>
    </row>
    <row r="31112">
      <c r="BB31112" s="122"/>
      <c r="BC31112" s="141"/>
    </row>
    <row r="31113">
      <c r="BB31113" s="122"/>
      <c r="BC31113" s="141"/>
    </row>
    <row r="31114">
      <c r="BB31114" s="122"/>
      <c r="BC31114" s="141"/>
    </row>
    <row r="31115">
      <c r="BB31115" s="122"/>
      <c r="BC31115" s="141"/>
    </row>
    <row r="31116">
      <c r="BB31116" s="122"/>
      <c r="BC31116" s="141"/>
    </row>
    <row r="31117">
      <c r="BB31117" s="122"/>
      <c r="BC31117" s="141"/>
    </row>
    <row r="31118">
      <c r="BB31118" s="122"/>
      <c r="BC31118" s="141"/>
    </row>
    <row r="31119">
      <c r="BB31119" s="122"/>
      <c r="BC31119" s="141"/>
    </row>
    <row r="31120">
      <c r="BB31120" s="122"/>
      <c r="BC31120" s="141"/>
    </row>
    <row r="31121">
      <c r="BB31121" s="122"/>
      <c r="BC31121" s="141"/>
    </row>
    <row r="31122">
      <c r="BB31122" s="122"/>
      <c r="BC31122" s="141"/>
    </row>
    <row r="31123">
      <c r="BB31123" s="122"/>
      <c r="BC31123" s="141"/>
    </row>
    <row r="31124">
      <c r="BB31124" s="122"/>
      <c r="BC31124" s="141"/>
    </row>
    <row r="31125">
      <c r="BB31125" s="122"/>
      <c r="BC31125" s="141"/>
    </row>
    <row r="31126">
      <c r="BB31126" s="122"/>
      <c r="BC31126" s="141"/>
    </row>
    <row r="31127">
      <c r="BB31127" s="122"/>
      <c r="BC31127" s="141"/>
    </row>
    <row r="31128">
      <c r="BB31128" s="122"/>
      <c r="BC31128" s="141"/>
    </row>
    <row r="31129">
      <c r="BB31129" s="122"/>
      <c r="BC31129" s="141"/>
    </row>
    <row r="31130">
      <c r="BB31130" s="122"/>
      <c r="BC31130" s="141"/>
    </row>
    <row r="31131">
      <c r="BB31131" s="122"/>
      <c r="BC31131" s="141"/>
    </row>
    <row r="31132">
      <c r="BB31132" s="122"/>
      <c r="BC31132" s="141"/>
    </row>
    <row r="31133">
      <c r="BB31133" s="122"/>
      <c r="BC31133" s="141"/>
    </row>
    <row r="31134">
      <c r="BB31134" s="122"/>
      <c r="BC31134" s="141"/>
    </row>
    <row r="31135">
      <c r="BB31135" s="122"/>
      <c r="BC31135" s="141"/>
    </row>
    <row r="31136">
      <c r="BB31136" s="122"/>
      <c r="BC31136" s="141"/>
    </row>
    <row r="31137">
      <c r="BB31137" s="122"/>
      <c r="BC31137" s="141"/>
    </row>
    <row r="31138">
      <c r="BB31138" s="122"/>
      <c r="BC31138" s="141"/>
    </row>
    <row r="31139">
      <c r="BB31139" s="122"/>
      <c r="BC31139" s="141"/>
    </row>
    <row r="31140">
      <c r="BB31140" s="122"/>
      <c r="BC31140" s="141"/>
    </row>
    <row r="31141">
      <c r="BB31141" s="122"/>
      <c r="BC31141" s="141"/>
    </row>
    <row r="31142">
      <c r="BB31142" s="122"/>
      <c r="BC31142" s="141"/>
    </row>
    <row r="31143">
      <c r="BB31143" s="122"/>
      <c r="BC31143" s="141"/>
    </row>
    <row r="31144">
      <c r="BB31144" s="122"/>
      <c r="BC31144" s="141"/>
    </row>
    <row r="31145">
      <c r="BB31145" s="122"/>
      <c r="BC31145" s="141"/>
    </row>
    <row r="31146">
      <c r="BB31146" s="122"/>
      <c r="BC31146" s="141"/>
    </row>
    <row r="31147">
      <c r="BB31147" s="122"/>
      <c r="BC31147" s="141"/>
    </row>
    <row r="31148">
      <c r="BB31148" s="122"/>
      <c r="BC31148" s="141"/>
    </row>
    <row r="31149">
      <c r="BB31149" s="122"/>
      <c r="BC31149" s="141"/>
    </row>
    <row r="31150">
      <c r="BB31150" s="122"/>
      <c r="BC31150" s="141"/>
    </row>
    <row r="31151">
      <c r="BB31151" s="122"/>
      <c r="BC31151" s="141"/>
    </row>
    <row r="31152">
      <c r="BB31152" s="122"/>
      <c r="BC31152" s="141"/>
    </row>
    <row r="31153">
      <c r="BB31153" s="122"/>
      <c r="BC31153" s="141"/>
    </row>
    <row r="31154">
      <c r="BB31154" s="122"/>
      <c r="BC31154" s="141"/>
    </row>
    <row r="31155">
      <c r="BB31155" s="122"/>
      <c r="BC31155" s="141"/>
    </row>
    <row r="31156">
      <c r="BB31156" s="122"/>
      <c r="BC31156" s="141"/>
    </row>
    <row r="31157">
      <c r="BB31157" s="122"/>
      <c r="BC31157" s="141"/>
    </row>
    <row r="31158">
      <c r="BB31158" s="122"/>
      <c r="BC31158" s="141"/>
    </row>
    <row r="31159">
      <c r="BB31159" s="122"/>
      <c r="BC31159" s="141"/>
    </row>
    <row r="31160">
      <c r="BB31160" s="122"/>
      <c r="BC31160" s="141"/>
    </row>
    <row r="31161">
      <c r="BB31161" s="122"/>
      <c r="BC31161" s="141"/>
    </row>
    <row r="31162">
      <c r="BB31162" s="122"/>
      <c r="BC31162" s="141"/>
    </row>
    <row r="31163">
      <c r="BB31163" s="122"/>
      <c r="BC31163" s="141"/>
    </row>
    <row r="31164">
      <c r="BB31164" s="122"/>
      <c r="BC31164" s="141"/>
    </row>
    <row r="31165">
      <c r="BB31165" s="122"/>
      <c r="BC31165" s="141"/>
    </row>
    <row r="31166">
      <c r="BB31166" s="122"/>
      <c r="BC31166" s="141"/>
    </row>
    <row r="31167">
      <c r="BB31167" s="122"/>
      <c r="BC31167" s="141"/>
    </row>
    <row r="31168">
      <c r="BB31168" s="122"/>
      <c r="BC31168" s="141"/>
    </row>
    <row r="31169">
      <c r="BB31169" s="122"/>
      <c r="BC31169" s="141"/>
    </row>
    <row r="31170">
      <c r="BB31170" s="122"/>
      <c r="BC31170" s="141"/>
    </row>
    <row r="31171">
      <c r="BB31171" s="122"/>
      <c r="BC31171" s="141"/>
    </row>
    <row r="31172">
      <c r="BB31172" s="122"/>
      <c r="BC31172" s="141"/>
    </row>
    <row r="31173">
      <c r="BB31173" s="122"/>
      <c r="BC31173" s="141"/>
    </row>
    <row r="31174">
      <c r="BB31174" s="122"/>
      <c r="BC31174" s="141"/>
    </row>
    <row r="31175">
      <c r="BB31175" s="122"/>
      <c r="BC31175" s="141"/>
    </row>
    <row r="31176">
      <c r="BB31176" s="122"/>
      <c r="BC31176" s="141"/>
    </row>
    <row r="31177">
      <c r="BB31177" s="122"/>
      <c r="BC31177" s="141"/>
    </row>
    <row r="31178">
      <c r="BB31178" s="122"/>
      <c r="BC31178" s="141"/>
    </row>
    <row r="31179">
      <c r="BB31179" s="122"/>
      <c r="BC31179" s="141"/>
    </row>
    <row r="31180">
      <c r="BB31180" s="122"/>
      <c r="BC31180" s="141"/>
    </row>
    <row r="31181">
      <c r="BB31181" s="122"/>
      <c r="BC31181" s="141"/>
    </row>
    <row r="31182">
      <c r="BB31182" s="122"/>
      <c r="BC31182" s="141"/>
    </row>
    <row r="31183">
      <c r="BB31183" s="122"/>
      <c r="BC31183" s="141"/>
    </row>
    <row r="31184">
      <c r="BB31184" s="122"/>
      <c r="BC31184" s="141"/>
    </row>
    <row r="31185">
      <c r="BB31185" s="122"/>
      <c r="BC31185" s="141"/>
    </row>
    <row r="31186">
      <c r="BB31186" s="122"/>
      <c r="BC31186" s="141"/>
    </row>
    <row r="31187">
      <c r="BB31187" s="122"/>
      <c r="BC31187" s="141"/>
    </row>
    <row r="31188">
      <c r="BB31188" s="122"/>
      <c r="BC31188" s="141"/>
    </row>
    <row r="31189">
      <c r="BB31189" s="122"/>
      <c r="BC31189" s="141"/>
    </row>
    <row r="31190">
      <c r="BB31190" s="122"/>
      <c r="BC31190" s="141"/>
    </row>
    <row r="31191">
      <c r="BB31191" s="122"/>
      <c r="BC31191" s="141"/>
    </row>
    <row r="31192">
      <c r="BB31192" s="122"/>
      <c r="BC31192" s="141"/>
    </row>
    <row r="31193">
      <c r="BB31193" s="122"/>
      <c r="BC31193" s="141"/>
    </row>
    <row r="31194">
      <c r="BB31194" s="122"/>
      <c r="BC31194" s="141"/>
    </row>
    <row r="31195">
      <c r="BB31195" s="122"/>
      <c r="BC31195" s="141"/>
    </row>
    <row r="31196">
      <c r="BB31196" s="122"/>
      <c r="BC31196" s="141"/>
    </row>
    <row r="31197">
      <c r="BB31197" s="122"/>
      <c r="BC31197" s="141"/>
    </row>
    <row r="31198">
      <c r="BB31198" s="122"/>
      <c r="BC31198" s="141"/>
    </row>
    <row r="31199">
      <c r="BB31199" s="122"/>
      <c r="BC31199" s="141"/>
    </row>
    <row r="31200">
      <c r="BB31200" s="122"/>
      <c r="BC31200" s="141"/>
    </row>
    <row r="31201">
      <c r="BB31201" s="122"/>
      <c r="BC31201" s="141"/>
    </row>
    <row r="31202">
      <c r="BB31202" s="122"/>
      <c r="BC31202" s="141"/>
    </row>
    <row r="31203">
      <c r="BB31203" s="122"/>
      <c r="BC31203" s="141"/>
    </row>
    <row r="31204">
      <c r="BB31204" s="122"/>
      <c r="BC31204" s="141"/>
    </row>
    <row r="31205">
      <c r="BB31205" s="122"/>
      <c r="BC31205" s="141"/>
    </row>
    <row r="31206">
      <c r="BB31206" s="122"/>
      <c r="BC31206" s="141"/>
    </row>
    <row r="31207">
      <c r="BB31207" s="122"/>
      <c r="BC31207" s="141"/>
    </row>
    <row r="31208">
      <c r="BB31208" s="122"/>
      <c r="BC31208" s="141"/>
    </row>
    <row r="31209">
      <c r="BB31209" s="122"/>
      <c r="BC31209" s="141"/>
    </row>
    <row r="31210">
      <c r="BB31210" s="122"/>
      <c r="BC31210" s="141"/>
    </row>
    <row r="31211">
      <c r="BB31211" s="122"/>
      <c r="BC31211" s="141"/>
    </row>
    <row r="31212">
      <c r="BB31212" s="122"/>
      <c r="BC31212" s="141"/>
    </row>
    <row r="31213">
      <c r="BB31213" s="122"/>
      <c r="BC31213" s="141"/>
    </row>
    <row r="31214">
      <c r="BB31214" s="122"/>
      <c r="BC31214" s="141"/>
    </row>
    <row r="31215">
      <c r="BB31215" s="122"/>
      <c r="BC31215" s="141"/>
    </row>
    <row r="31216">
      <c r="BB31216" s="122"/>
      <c r="BC31216" s="141"/>
    </row>
    <row r="31217">
      <c r="BB31217" s="122"/>
      <c r="BC31217" s="141"/>
    </row>
    <row r="31218">
      <c r="BB31218" s="122"/>
      <c r="BC31218" s="141"/>
    </row>
    <row r="31219">
      <c r="BB31219" s="122"/>
      <c r="BC31219" s="141"/>
    </row>
    <row r="31220">
      <c r="BB31220" s="122"/>
      <c r="BC31220" s="141"/>
    </row>
    <row r="31221">
      <c r="BB31221" s="122"/>
      <c r="BC31221" s="141"/>
    </row>
    <row r="31222">
      <c r="BB31222" s="122"/>
      <c r="BC31222" s="141"/>
    </row>
    <row r="31223">
      <c r="BB31223" s="122"/>
      <c r="BC31223" s="141"/>
    </row>
    <row r="31224">
      <c r="BB31224" s="122"/>
      <c r="BC31224" s="141"/>
    </row>
    <row r="31225">
      <c r="BB31225" s="122"/>
      <c r="BC31225" s="141"/>
    </row>
    <row r="31226">
      <c r="BB31226" s="122"/>
      <c r="BC31226" s="141"/>
    </row>
    <row r="31227">
      <c r="BB31227" s="122"/>
      <c r="BC31227" s="141"/>
    </row>
    <row r="31228">
      <c r="BB31228" s="122"/>
      <c r="BC31228" s="141"/>
    </row>
    <row r="31229">
      <c r="BB31229" s="122"/>
      <c r="BC31229" s="141"/>
    </row>
    <row r="31230">
      <c r="BB31230" s="122"/>
      <c r="BC31230" s="141"/>
    </row>
    <row r="31231">
      <c r="BB31231" s="122"/>
      <c r="BC31231" s="141"/>
    </row>
    <row r="31232">
      <c r="BB31232" s="122"/>
      <c r="BC31232" s="141"/>
    </row>
    <row r="31233">
      <c r="BB31233" s="122"/>
      <c r="BC31233" s="141"/>
    </row>
    <row r="31234">
      <c r="BB31234" s="122"/>
      <c r="BC31234" s="141"/>
    </row>
    <row r="31235">
      <c r="BB31235" s="122"/>
      <c r="BC31235" s="141"/>
    </row>
    <row r="31236">
      <c r="BB31236" s="122"/>
      <c r="BC31236" s="141"/>
    </row>
    <row r="31237">
      <c r="BB31237" s="122"/>
      <c r="BC31237" s="141"/>
    </row>
    <row r="31238">
      <c r="BB31238" s="122"/>
      <c r="BC31238" s="141"/>
    </row>
    <row r="31239">
      <c r="BB31239" s="122"/>
      <c r="BC31239" s="141"/>
    </row>
    <row r="31240">
      <c r="BB31240" s="122"/>
      <c r="BC31240" s="141"/>
    </row>
    <row r="31241">
      <c r="BB31241" s="122"/>
      <c r="BC31241" s="141"/>
    </row>
    <row r="31242">
      <c r="BB31242" s="122"/>
      <c r="BC31242" s="141"/>
    </row>
    <row r="31243">
      <c r="BB31243" s="122"/>
      <c r="BC31243" s="141"/>
    </row>
    <row r="31244">
      <c r="BB31244" s="122"/>
      <c r="BC31244" s="141"/>
    </row>
    <row r="31245">
      <c r="BB31245" s="122"/>
      <c r="BC31245" s="141"/>
    </row>
    <row r="31246">
      <c r="BB31246" s="122"/>
      <c r="BC31246" s="141"/>
    </row>
    <row r="31247">
      <c r="BB31247" s="122"/>
      <c r="BC31247" s="141"/>
    </row>
    <row r="31248">
      <c r="BB31248" s="122"/>
      <c r="BC31248" s="141"/>
    </row>
    <row r="31249">
      <c r="BB31249" s="122"/>
      <c r="BC31249" s="141"/>
    </row>
    <row r="31250">
      <c r="BB31250" s="122"/>
      <c r="BC31250" s="141"/>
    </row>
    <row r="31251">
      <c r="BB31251" s="122"/>
      <c r="BC31251" s="141"/>
    </row>
    <row r="31252">
      <c r="BB31252" s="122"/>
      <c r="BC31252" s="141"/>
    </row>
    <row r="31253">
      <c r="BB31253" s="122"/>
      <c r="BC31253" s="141"/>
    </row>
    <row r="31254">
      <c r="BB31254" s="122"/>
      <c r="BC31254" s="141"/>
    </row>
    <row r="31255">
      <c r="BB31255" s="122"/>
      <c r="BC31255" s="141"/>
    </row>
    <row r="31256">
      <c r="BB31256" s="122"/>
      <c r="BC31256" s="141"/>
    </row>
    <row r="31257">
      <c r="BB31257" s="122"/>
      <c r="BC31257" s="141"/>
    </row>
    <row r="31258">
      <c r="BB31258" s="122"/>
      <c r="BC31258" s="141"/>
    </row>
    <row r="31259">
      <c r="BB31259" s="122"/>
      <c r="BC31259" s="141"/>
    </row>
    <row r="31260">
      <c r="BB31260" s="122"/>
      <c r="BC31260" s="141"/>
    </row>
    <row r="31261">
      <c r="BB31261" s="122"/>
      <c r="BC31261" s="141"/>
    </row>
    <row r="31262">
      <c r="BB31262" s="122"/>
      <c r="BC31262" s="141"/>
    </row>
    <row r="31263">
      <c r="BB31263" s="122"/>
      <c r="BC31263" s="141"/>
    </row>
    <row r="31264">
      <c r="BB31264" s="122"/>
      <c r="BC31264" s="141"/>
    </row>
    <row r="31265">
      <c r="BB31265" s="122"/>
      <c r="BC31265" s="141"/>
    </row>
    <row r="31266">
      <c r="BB31266" s="122"/>
      <c r="BC31266" s="141"/>
    </row>
    <row r="31267">
      <c r="BB31267" s="122"/>
      <c r="BC31267" s="141"/>
    </row>
    <row r="31268">
      <c r="BB31268" s="122"/>
      <c r="BC31268" s="141"/>
    </row>
    <row r="31269">
      <c r="BB31269" s="122"/>
      <c r="BC31269" s="141"/>
    </row>
    <row r="31270">
      <c r="BB31270" s="122"/>
      <c r="BC31270" s="141"/>
    </row>
    <row r="31271">
      <c r="BB31271" s="122"/>
      <c r="BC31271" s="141"/>
    </row>
    <row r="31272">
      <c r="BB31272" s="122"/>
      <c r="BC31272" s="141"/>
    </row>
    <row r="31273">
      <c r="BB31273" s="122"/>
      <c r="BC31273" s="141"/>
    </row>
    <row r="31274">
      <c r="BB31274" s="122"/>
      <c r="BC31274" s="141"/>
    </row>
    <row r="31275">
      <c r="BB31275" s="122"/>
      <c r="BC31275" s="141"/>
    </row>
    <row r="31276">
      <c r="BB31276" s="122"/>
      <c r="BC31276" s="141"/>
    </row>
    <row r="31277">
      <c r="BB31277" s="122"/>
      <c r="BC31277" s="141"/>
    </row>
    <row r="31278">
      <c r="BB31278" s="122"/>
      <c r="BC31278" s="141"/>
    </row>
    <row r="31279">
      <c r="BB31279" s="122"/>
      <c r="BC31279" s="141"/>
    </row>
    <row r="31280">
      <c r="BB31280" s="122"/>
      <c r="BC31280" s="141"/>
    </row>
    <row r="31281">
      <c r="BB31281" s="122"/>
      <c r="BC31281" s="141"/>
    </row>
    <row r="31282">
      <c r="BB31282" s="122"/>
      <c r="BC31282" s="141"/>
    </row>
    <row r="31283">
      <c r="BB31283" s="122"/>
      <c r="BC31283" s="141"/>
    </row>
    <row r="31284">
      <c r="BB31284" s="122"/>
      <c r="BC31284" s="141"/>
    </row>
    <row r="31285">
      <c r="BB31285" s="122"/>
      <c r="BC31285" s="141"/>
    </row>
    <row r="31286">
      <c r="BB31286" s="122"/>
      <c r="BC31286" s="141"/>
    </row>
    <row r="31287">
      <c r="BB31287" s="122"/>
      <c r="BC31287" s="141"/>
    </row>
    <row r="31288">
      <c r="BB31288" s="122"/>
      <c r="BC31288" s="141"/>
    </row>
    <row r="31289">
      <c r="BB31289" s="122"/>
      <c r="BC31289" s="141"/>
    </row>
    <row r="31290">
      <c r="BB31290" s="122"/>
      <c r="BC31290" s="141"/>
    </row>
    <row r="31291">
      <c r="BB31291" s="122"/>
      <c r="BC31291" s="141"/>
    </row>
    <row r="31292">
      <c r="BB31292" s="122"/>
      <c r="BC31292" s="141"/>
    </row>
    <row r="31293">
      <c r="BB31293" s="122"/>
      <c r="BC31293" s="141"/>
    </row>
    <row r="31294">
      <c r="BB31294" s="122"/>
      <c r="BC31294" s="141"/>
    </row>
    <row r="31295">
      <c r="BB31295" s="122"/>
      <c r="BC31295" s="141"/>
    </row>
    <row r="31296">
      <c r="BB31296" s="122"/>
      <c r="BC31296" s="141"/>
    </row>
    <row r="31297">
      <c r="BB31297" s="122"/>
      <c r="BC31297" s="141"/>
    </row>
    <row r="31298">
      <c r="BB31298" s="122"/>
      <c r="BC31298" s="141"/>
    </row>
    <row r="31299">
      <c r="BB31299" s="122"/>
      <c r="BC31299" s="141"/>
    </row>
    <row r="31300">
      <c r="BB31300" s="122"/>
      <c r="BC31300" s="141"/>
    </row>
    <row r="31301">
      <c r="BB31301" s="122"/>
      <c r="BC31301" s="141"/>
    </row>
    <row r="31302">
      <c r="BB31302" s="122"/>
      <c r="BC31302" s="141"/>
    </row>
    <row r="31303">
      <c r="BB31303" s="122"/>
      <c r="BC31303" s="141"/>
    </row>
    <row r="31304">
      <c r="BB31304" s="122"/>
      <c r="BC31304" s="141"/>
    </row>
    <row r="31305">
      <c r="BB31305" s="122"/>
      <c r="BC31305" s="141"/>
    </row>
    <row r="31306">
      <c r="BB31306" s="122"/>
      <c r="BC31306" s="141"/>
    </row>
    <row r="31307">
      <c r="BB31307" s="122"/>
      <c r="BC31307" s="141"/>
    </row>
    <row r="31308">
      <c r="BB31308" s="122"/>
      <c r="BC31308" s="141"/>
    </row>
    <row r="31309">
      <c r="BB31309" s="122"/>
      <c r="BC31309" s="141"/>
    </row>
    <row r="31310">
      <c r="BB31310" s="122"/>
      <c r="BC31310" s="141"/>
    </row>
    <row r="31311">
      <c r="BB31311" s="122"/>
      <c r="BC31311" s="141"/>
    </row>
    <row r="31312">
      <c r="BB31312" s="122"/>
      <c r="BC31312" s="141"/>
    </row>
    <row r="31313">
      <c r="BB31313" s="122"/>
      <c r="BC31313" s="141"/>
    </row>
    <row r="31314">
      <c r="BB31314" s="122"/>
      <c r="BC31314" s="141"/>
    </row>
    <row r="31315">
      <c r="BB31315" s="122"/>
      <c r="BC31315" s="141"/>
    </row>
    <row r="31316">
      <c r="BB31316" s="122"/>
      <c r="BC31316" s="141"/>
    </row>
    <row r="31317">
      <c r="BB31317" s="122"/>
      <c r="BC31317" s="141"/>
    </row>
    <row r="31318">
      <c r="BB31318" s="122"/>
      <c r="BC31318" s="141"/>
    </row>
    <row r="31319">
      <c r="BB31319" s="122"/>
      <c r="BC31319" s="141"/>
    </row>
    <row r="31320">
      <c r="BB31320" s="122"/>
      <c r="BC31320" s="141"/>
    </row>
    <row r="31321">
      <c r="BB31321" s="122"/>
      <c r="BC31321" s="141"/>
    </row>
    <row r="31322">
      <c r="BB31322" s="122"/>
      <c r="BC31322" s="141"/>
    </row>
    <row r="31323">
      <c r="BB31323" s="122"/>
      <c r="BC31323" s="141"/>
    </row>
    <row r="31324">
      <c r="BB31324" s="122"/>
      <c r="BC31324" s="141"/>
    </row>
    <row r="31325">
      <c r="BB31325" s="122"/>
      <c r="BC31325" s="141"/>
    </row>
    <row r="31326">
      <c r="BB31326" s="122"/>
      <c r="BC31326" s="141"/>
    </row>
    <row r="31327">
      <c r="BB31327" s="122"/>
      <c r="BC31327" s="141"/>
    </row>
    <row r="31328">
      <c r="BB31328" s="122"/>
      <c r="BC31328" s="141"/>
    </row>
    <row r="31329">
      <c r="BB31329" s="122"/>
      <c r="BC31329" s="141"/>
    </row>
    <row r="31330">
      <c r="BB31330" s="122"/>
      <c r="BC31330" s="141"/>
    </row>
    <row r="31331">
      <c r="BB31331" s="122"/>
      <c r="BC31331" s="141"/>
    </row>
    <row r="31332">
      <c r="BB31332" s="122"/>
      <c r="BC31332" s="141"/>
    </row>
    <row r="31333">
      <c r="BB31333" s="122"/>
      <c r="BC31333" s="141"/>
    </row>
    <row r="31334">
      <c r="BB31334" s="122"/>
      <c r="BC31334" s="141"/>
    </row>
    <row r="31335">
      <c r="BB31335" s="122"/>
      <c r="BC31335" s="141"/>
    </row>
    <row r="31336">
      <c r="BB31336" s="122"/>
      <c r="BC31336" s="141"/>
    </row>
    <row r="31337">
      <c r="BB31337" s="122"/>
      <c r="BC31337" s="141"/>
    </row>
    <row r="31338">
      <c r="BB31338" s="122"/>
      <c r="BC31338" s="141"/>
    </row>
    <row r="31339">
      <c r="BB31339" s="122"/>
      <c r="BC31339" s="141"/>
    </row>
    <row r="31340">
      <c r="BB31340" s="122"/>
      <c r="BC31340" s="141"/>
    </row>
    <row r="31341">
      <c r="BB31341" s="122"/>
      <c r="BC31341" s="141"/>
    </row>
    <row r="31342">
      <c r="BB31342" s="122"/>
      <c r="BC31342" s="141"/>
    </row>
    <row r="31343">
      <c r="BB31343" s="122"/>
      <c r="BC31343" s="141"/>
    </row>
    <row r="31344">
      <c r="BB31344" s="122"/>
      <c r="BC31344" s="141"/>
    </row>
    <row r="31345">
      <c r="BB31345" s="122"/>
      <c r="BC31345" s="141"/>
    </row>
    <row r="31346">
      <c r="BB31346" s="122"/>
      <c r="BC31346" s="141"/>
    </row>
    <row r="31347">
      <c r="BB31347" s="122"/>
      <c r="BC31347" s="141"/>
    </row>
    <row r="31348">
      <c r="BB31348" s="122"/>
      <c r="BC31348" s="141"/>
    </row>
    <row r="31349">
      <c r="BB31349" s="122"/>
      <c r="BC31349" s="141"/>
    </row>
    <row r="31350">
      <c r="BB31350" s="122"/>
      <c r="BC31350" s="141"/>
    </row>
    <row r="31351">
      <c r="BB31351" s="122"/>
      <c r="BC31351" s="141"/>
    </row>
    <row r="31352">
      <c r="BB31352" s="122"/>
      <c r="BC31352" s="141"/>
    </row>
    <row r="31353">
      <c r="BB31353" s="122"/>
      <c r="BC31353" s="141"/>
    </row>
    <row r="31354">
      <c r="BB31354" s="122"/>
      <c r="BC31354" s="141"/>
    </row>
    <row r="31355">
      <c r="BB31355" s="122"/>
      <c r="BC31355" s="141"/>
    </row>
    <row r="31356">
      <c r="BB31356" s="122"/>
      <c r="BC31356" s="141"/>
    </row>
    <row r="31357">
      <c r="BB31357" s="122"/>
      <c r="BC31357" s="141"/>
    </row>
    <row r="31358">
      <c r="BB31358" s="122"/>
      <c r="BC31358" s="141"/>
    </row>
    <row r="31359">
      <c r="BB31359" s="122"/>
      <c r="BC31359" s="141"/>
    </row>
    <row r="31360">
      <c r="BB31360" s="122"/>
      <c r="BC31360" s="141"/>
    </row>
    <row r="31361">
      <c r="BB31361" s="122"/>
      <c r="BC31361" s="141"/>
    </row>
    <row r="31362">
      <c r="BB31362" s="122"/>
      <c r="BC31362" s="141"/>
    </row>
    <row r="31363">
      <c r="BB31363" s="122"/>
      <c r="BC31363" s="141"/>
    </row>
    <row r="31364">
      <c r="BB31364" s="122"/>
      <c r="BC31364" s="141"/>
    </row>
    <row r="31365">
      <c r="BB31365" s="122"/>
      <c r="BC31365" s="141"/>
    </row>
    <row r="31366">
      <c r="BB31366" s="122"/>
      <c r="BC31366" s="141"/>
    </row>
    <row r="31367">
      <c r="BB31367" s="122"/>
      <c r="BC31367" s="141"/>
    </row>
    <row r="31368">
      <c r="BB31368" s="122"/>
      <c r="BC31368" s="141"/>
    </row>
    <row r="31369">
      <c r="BB31369" s="122"/>
      <c r="BC31369" s="141"/>
    </row>
    <row r="31370">
      <c r="BB31370" s="122"/>
      <c r="BC31370" s="141"/>
    </row>
    <row r="31371">
      <c r="BB31371" s="122"/>
      <c r="BC31371" s="141"/>
    </row>
    <row r="31372">
      <c r="BB31372" s="122"/>
      <c r="BC31372" s="141"/>
    </row>
    <row r="31373">
      <c r="BB31373" s="122"/>
      <c r="BC31373" s="141"/>
    </row>
    <row r="31374">
      <c r="BB31374" s="122"/>
      <c r="BC31374" s="141"/>
    </row>
    <row r="31375">
      <c r="BB31375" s="122"/>
      <c r="BC31375" s="141"/>
    </row>
    <row r="31376">
      <c r="BB31376" s="122"/>
      <c r="BC31376" s="141"/>
    </row>
    <row r="31377">
      <c r="BB31377" s="122"/>
      <c r="BC31377" s="141"/>
    </row>
    <row r="31378">
      <c r="BB31378" s="122"/>
      <c r="BC31378" s="141"/>
    </row>
    <row r="31379">
      <c r="BB31379" s="122"/>
      <c r="BC31379" s="141"/>
    </row>
    <row r="31380">
      <c r="BB31380" s="122"/>
      <c r="BC31380" s="141"/>
    </row>
    <row r="31381">
      <c r="BB31381" s="122"/>
      <c r="BC31381" s="141"/>
    </row>
    <row r="31382">
      <c r="BB31382" s="122"/>
      <c r="BC31382" s="141"/>
    </row>
    <row r="31383">
      <c r="BB31383" s="122"/>
      <c r="BC31383" s="141"/>
    </row>
    <row r="31384">
      <c r="BB31384" s="122"/>
      <c r="BC31384" s="141"/>
    </row>
    <row r="31385">
      <c r="BB31385" s="122"/>
      <c r="BC31385" s="141"/>
    </row>
    <row r="31386">
      <c r="BB31386" s="122"/>
      <c r="BC31386" s="141"/>
    </row>
    <row r="31387">
      <c r="BB31387" s="122"/>
      <c r="BC31387" s="141"/>
    </row>
    <row r="31388">
      <c r="BB31388" s="122"/>
      <c r="BC31388" s="141"/>
    </row>
    <row r="31389">
      <c r="BB31389" s="122"/>
      <c r="BC31389" s="141"/>
    </row>
    <row r="31390">
      <c r="BB31390" s="122"/>
      <c r="BC31390" s="141"/>
    </row>
    <row r="31391">
      <c r="BB31391" s="122"/>
      <c r="BC31391" s="141"/>
    </row>
    <row r="31392">
      <c r="BB31392" s="122"/>
      <c r="BC31392" s="141"/>
    </row>
    <row r="31393">
      <c r="BB31393" s="122"/>
      <c r="BC31393" s="141"/>
    </row>
    <row r="31394">
      <c r="BB31394" s="122"/>
      <c r="BC31394" s="141"/>
    </row>
    <row r="31395">
      <c r="BB31395" s="122"/>
      <c r="BC31395" s="141"/>
    </row>
    <row r="31396">
      <c r="BB31396" s="122"/>
      <c r="BC31396" s="141"/>
    </row>
    <row r="31397">
      <c r="BB31397" s="122"/>
      <c r="BC31397" s="141"/>
    </row>
    <row r="31398">
      <c r="BB31398" s="122"/>
      <c r="BC31398" s="141"/>
    </row>
    <row r="31399">
      <c r="BB31399" s="122"/>
      <c r="BC31399" s="141"/>
    </row>
    <row r="31400">
      <c r="BB31400" s="122"/>
      <c r="BC31400" s="141"/>
    </row>
    <row r="31401">
      <c r="BB31401" s="122"/>
      <c r="BC31401" s="141"/>
    </row>
    <row r="31402">
      <c r="BB31402" s="122"/>
      <c r="BC31402" s="141"/>
    </row>
    <row r="31403">
      <c r="BB31403" s="122"/>
      <c r="BC31403" s="141"/>
    </row>
    <row r="31404">
      <c r="BB31404" s="122"/>
      <c r="BC31404" s="141"/>
    </row>
    <row r="31405">
      <c r="BB31405" s="122"/>
      <c r="BC31405" s="141"/>
    </row>
    <row r="31406">
      <c r="BB31406" s="122"/>
      <c r="BC31406" s="141"/>
    </row>
    <row r="31407">
      <c r="BB31407" s="122"/>
      <c r="BC31407" s="141"/>
    </row>
    <row r="31408">
      <c r="BB31408" s="122"/>
      <c r="BC31408" s="141"/>
    </row>
    <row r="31409">
      <c r="BB31409" s="122"/>
      <c r="BC31409" s="141"/>
    </row>
    <row r="31410">
      <c r="BB31410" s="122"/>
      <c r="BC31410" s="141"/>
    </row>
    <row r="31411">
      <c r="BB31411" s="122"/>
      <c r="BC31411" s="141"/>
    </row>
    <row r="31412">
      <c r="BB31412" s="122"/>
      <c r="BC31412" s="141"/>
    </row>
    <row r="31413">
      <c r="BB31413" s="122"/>
      <c r="BC31413" s="141"/>
    </row>
    <row r="31414">
      <c r="BB31414" s="122"/>
      <c r="BC31414" s="141"/>
    </row>
    <row r="31415">
      <c r="BB31415" s="122"/>
      <c r="BC31415" s="141"/>
    </row>
    <row r="31416">
      <c r="BB31416" s="122"/>
      <c r="BC31416" s="141"/>
    </row>
    <row r="31417">
      <c r="BB31417" s="122"/>
      <c r="BC31417" s="141"/>
    </row>
    <row r="31418">
      <c r="BB31418" s="122"/>
      <c r="BC31418" s="141"/>
    </row>
    <row r="31419">
      <c r="BB31419" s="122"/>
      <c r="BC31419" s="141"/>
    </row>
    <row r="31420">
      <c r="BB31420" s="122"/>
      <c r="BC31420" s="141"/>
    </row>
    <row r="31421">
      <c r="BB31421" s="122"/>
      <c r="BC31421" s="141"/>
    </row>
    <row r="31422">
      <c r="BB31422" s="122"/>
      <c r="BC31422" s="141"/>
    </row>
    <row r="31423">
      <c r="BB31423" s="122"/>
      <c r="BC31423" s="141"/>
    </row>
    <row r="31424">
      <c r="BB31424" s="122"/>
      <c r="BC31424" s="141"/>
    </row>
    <row r="31425">
      <c r="BB31425" s="122"/>
      <c r="BC31425" s="141"/>
    </row>
    <row r="31426">
      <c r="BB31426" s="122"/>
      <c r="BC31426" s="141"/>
    </row>
    <row r="31427">
      <c r="BB31427" s="122"/>
      <c r="BC31427" s="141"/>
    </row>
    <row r="31428">
      <c r="BB31428" s="122"/>
      <c r="BC31428" s="141"/>
    </row>
    <row r="31429">
      <c r="BB31429" s="122"/>
      <c r="BC31429" s="141"/>
    </row>
    <row r="31430">
      <c r="BB31430" s="122"/>
      <c r="BC31430" s="141"/>
    </row>
    <row r="31431">
      <c r="BB31431" s="122"/>
      <c r="BC31431" s="141"/>
    </row>
    <row r="31432">
      <c r="BB31432" s="122"/>
      <c r="BC31432" s="141"/>
    </row>
    <row r="31433">
      <c r="BB31433" s="122"/>
      <c r="BC31433" s="141"/>
    </row>
    <row r="31434">
      <c r="BB31434" s="122"/>
      <c r="BC31434" s="141"/>
    </row>
    <row r="31435">
      <c r="BB31435" s="122"/>
      <c r="BC31435" s="141"/>
    </row>
    <row r="31436">
      <c r="BB31436" s="122"/>
      <c r="BC31436" s="141"/>
    </row>
    <row r="31437">
      <c r="BB31437" s="122"/>
      <c r="BC31437" s="141"/>
    </row>
    <row r="31438">
      <c r="BB31438" s="122"/>
      <c r="BC31438" s="141"/>
    </row>
    <row r="31439">
      <c r="BB31439" s="122"/>
      <c r="BC31439" s="141"/>
    </row>
    <row r="31440">
      <c r="BB31440" s="122"/>
      <c r="BC31440" s="141"/>
    </row>
    <row r="31441">
      <c r="BB31441" s="122"/>
      <c r="BC31441" s="141"/>
    </row>
    <row r="31442">
      <c r="BB31442" s="122"/>
      <c r="BC31442" s="141"/>
    </row>
    <row r="31443">
      <c r="BB31443" s="122"/>
      <c r="BC31443" s="141"/>
    </row>
    <row r="31444">
      <c r="BB31444" s="122"/>
      <c r="BC31444" s="141"/>
    </row>
    <row r="31445">
      <c r="BB31445" s="122"/>
      <c r="BC31445" s="141"/>
    </row>
    <row r="31446">
      <c r="BB31446" s="122"/>
      <c r="BC31446" s="141"/>
    </row>
    <row r="31447">
      <c r="BB31447" s="122"/>
      <c r="BC31447" s="141"/>
    </row>
    <row r="31448">
      <c r="BB31448" s="122"/>
      <c r="BC31448" s="141"/>
    </row>
    <row r="31449">
      <c r="BB31449" s="122"/>
      <c r="BC31449" s="141"/>
    </row>
    <row r="31450">
      <c r="BB31450" s="122"/>
      <c r="BC31450" s="141"/>
    </row>
    <row r="31451">
      <c r="BB31451" s="122"/>
      <c r="BC31451" s="141"/>
    </row>
    <row r="31452">
      <c r="BB31452" s="122"/>
      <c r="BC31452" s="141"/>
    </row>
    <row r="31453">
      <c r="BB31453" s="122"/>
      <c r="BC31453" s="141"/>
    </row>
    <row r="31454">
      <c r="BB31454" s="122"/>
      <c r="BC31454" s="141"/>
    </row>
    <row r="31455">
      <c r="BB31455" s="122"/>
      <c r="BC31455" s="141"/>
    </row>
    <row r="31456">
      <c r="BB31456" s="122"/>
      <c r="BC31456" s="141"/>
    </row>
    <row r="31457">
      <c r="BB31457" s="122"/>
      <c r="BC31457" s="141"/>
    </row>
    <row r="31458">
      <c r="BB31458" s="122"/>
      <c r="BC31458" s="141"/>
    </row>
    <row r="31459">
      <c r="BB31459" s="122"/>
      <c r="BC31459" s="141"/>
    </row>
    <row r="31460">
      <c r="BB31460" s="122"/>
      <c r="BC31460" s="141"/>
    </row>
    <row r="31461">
      <c r="BB31461" s="122"/>
      <c r="BC31461" s="141"/>
    </row>
    <row r="31462">
      <c r="BB31462" s="122"/>
      <c r="BC31462" s="141"/>
    </row>
    <row r="31463">
      <c r="BB31463" s="122"/>
      <c r="BC31463" s="141"/>
    </row>
    <row r="31464">
      <c r="BB31464" s="122"/>
      <c r="BC31464" s="141"/>
    </row>
    <row r="31465">
      <c r="BB31465" s="122"/>
      <c r="BC31465" s="141"/>
    </row>
    <row r="31466">
      <c r="BB31466" s="122"/>
      <c r="BC31466" s="141"/>
    </row>
    <row r="31467">
      <c r="BB31467" s="122"/>
      <c r="BC31467" s="141"/>
    </row>
    <row r="31468">
      <c r="BB31468" s="122"/>
      <c r="BC31468" s="141"/>
    </row>
    <row r="31469">
      <c r="BB31469" s="122"/>
      <c r="BC31469" s="141"/>
    </row>
    <row r="31470">
      <c r="BB31470" s="122"/>
      <c r="BC31470" s="141"/>
    </row>
    <row r="31471">
      <c r="BB31471" s="122"/>
      <c r="BC31471" s="141"/>
    </row>
    <row r="31472">
      <c r="BB31472" s="122"/>
      <c r="BC31472" s="141"/>
    </row>
    <row r="31473">
      <c r="BB31473" s="122"/>
      <c r="BC31473" s="141"/>
    </row>
    <row r="31474">
      <c r="BB31474" s="122"/>
      <c r="BC31474" s="141"/>
    </row>
    <row r="31475">
      <c r="BB31475" s="122"/>
      <c r="BC31475" s="141"/>
    </row>
    <row r="31476">
      <c r="BB31476" s="122"/>
      <c r="BC31476" s="141"/>
    </row>
    <row r="31477">
      <c r="BB31477" s="122"/>
      <c r="BC31477" s="141"/>
    </row>
    <row r="31478">
      <c r="BB31478" s="122"/>
      <c r="BC31478" s="141"/>
    </row>
    <row r="31479">
      <c r="BB31479" s="122"/>
      <c r="BC31479" s="141"/>
    </row>
    <row r="31480">
      <c r="BB31480" s="122"/>
      <c r="BC31480" s="141"/>
    </row>
    <row r="31481">
      <c r="BB31481" s="122"/>
      <c r="BC31481" s="141"/>
    </row>
    <row r="31482">
      <c r="BB31482" s="122"/>
      <c r="BC31482" s="141"/>
    </row>
    <row r="31483">
      <c r="BB31483" s="122"/>
      <c r="BC31483" s="141"/>
    </row>
    <row r="31484">
      <c r="BB31484" s="122"/>
      <c r="BC31484" s="141"/>
    </row>
    <row r="31485">
      <c r="BB31485" s="122"/>
      <c r="BC31485" s="141"/>
    </row>
    <row r="31486">
      <c r="BB31486" s="122"/>
      <c r="BC31486" s="141"/>
    </row>
    <row r="31487">
      <c r="BB31487" s="122"/>
      <c r="BC31487" s="141"/>
    </row>
    <row r="31488">
      <c r="BB31488" s="122"/>
      <c r="BC31488" s="141"/>
    </row>
    <row r="31489">
      <c r="BB31489" s="122"/>
      <c r="BC31489" s="141"/>
    </row>
    <row r="31490">
      <c r="BB31490" s="122"/>
      <c r="BC31490" s="141"/>
    </row>
    <row r="31491">
      <c r="BB31491" s="122"/>
      <c r="BC31491" s="141"/>
    </row>
    <row r="31492">
      <c r="BB31492" s="122"/>
      <c r="BC31492" s="141"/>
    </row>
    <row r="31493">
      <c r="BB31493" s="122"/>
      <c r="BC31493" s="141"/>
    </row>
    <row r="31494">
      <c r="BB31494" s="122"/>
      <c r="BC31494" s="141"/>
    </row>
    <row r="31495">
      <c r="BB31495" s="122"/>
      <c r="BC31495" s="141"/>
    </row>
    <row r="31496">
      <c r="BB31496" s="122"/>
      <c r="BC31496" s="141"/>
    </row>
    <row r="31497">
      <c r="BB31497" s="122"/>
      <c r="BC31497" s="141"/>
    </row>
    <row r="31498">
      <c r="BB31498" s="122"/>
      <c r="BC31498" s="141"/>
    </row>
    <row r="31499">
      <c r="BB31499" s="122"/>
      <c r="BC31499" s="141"/>
    </row>
    <row r="31500">
      <c r="BB31500" s="122"/>
      <c r="BC31500" s="141"/>
    </row>
    <row r="31501">
      <c r="BB31501" s="122"/>
      <c r="BC31501" s="141"/>
    </row>
    <row r="31502">
      <c r="BB31502" s="122"/>
      <c r="BC31502" s="141"/>
    </row>
    <row r="31503">
      <c r="BB31503" s="122"/>
      <c r="BC31503" s="141"/>
    </row>
    <row r="31504">
      <c r="BB31504" s="122"/>
      <c r="BC31504" s="141"/>
    </row>
    <row r="31505">
      <c r="BB31505" s="122"/>
      <c r="BC31505" s="141"/>
    </row>
    <row r="31506">
      <c r="BB31506" s="122"/>
      <c r="BC31506" s="141"/>
    </row>
    <row r="31507">
      <c r="BB31507" s="122"/>
      <c r="BC31507" s="141"/>
    </row>
    <row r="31508">
      <c r="BB31508" s="122"/>
      <c r="BC31508" s="141"/>
    </row>
    <row r="31509">
      <c r="BB31509" s="122"/>
      <c r="BC31509" s="141"/>
    </row>
    <row r="31510">
      <c r="BB31510" s="122"/>
      <c r="BC31510" s="141"/>
    </row>
    <row r="31511">
      <c r="BB31511" s="122"/>
      <c r="BC31511" s="141"/>
    </row>
    <row r="31512">
      <c r="BB31512" s="122"/>
      <c r="BC31512" s="141"/>
    </row>
    <row r="31513">
      <c r="BB31513" s="122"/>
      <c r="BC31513" s="141"/>
    </row>
    <row r="31514">
      <c r="BB31514" s="122"/>
      <c r="BC31514" s="141"/>
    </row>
    <row r="31515">
      <c r="BB31515" s="122"/>
      <c r="BC31515" s="141"/>
    </row>
    <row r="31516">
      <c r="BB31516" s="122"/>
      <c r="BC31516" s="141"/>
    </row>
    <row r="31517">
      <c r="BB31517" s="122"/>
      <c r="BC31517" s="141"/>
    </row>
    <row r="31518">
      <c r="BB31518" s="122"/>
      <c r="BC31518" s="141"/>
    </row>
    <row r="31519">
      <c r="BB31519" s="122"/>
      <c r="BC31519" s="141"/>
    </row>
    <row r="31520">
      <c r="BB31520" s="122"/>
      <c r="BC31520" s="141"/>
    </row>
    <row r="31521">
      <c r="BB31521" s="122"/>
      <c r="BC31521" s="141"/>
    </row>
    <row r="31522">
      <c r="BB31522" s="122"/>
      <c r="BC31522" s="141"/>
    </row>
    <row r="31523">
      <c r="BB31523" s="122"/>
      <c r="BC31523" s="141"/>
    </row>
    <row r="31524">
      <c r="BB31524" s="122"/>
      <c r="BC31524" s="141"/>
    </row>
    <row r="31525">
      <c r="BB31525" s="122"/>
      <c r="BC31525" s="141"/>
    </row>
    <row r="31526">
      <c r="BB31526" s="122"/>
      <c r="BC31526" s="141"/>
    </row>
    <row r="31527">
      <c r="BB31527" s="122"/>
      <c r="BC31527" s="141"/>
    </row>
    <row r="31528">
      <c r="BB31528" s="122"/>
      <c r="BC31528" s="141"/>
    </row>
    <row r="31529">
      <c r="BB31529" s="122"/>
      <c r="BC31529" s="141"/>
    </row>
    <row r="31530">
      <c r="BB31530" s="122"/>
      <c r="BC31530" s="141"/>
    </row>
    <row r="31531">
      <c r="BB31531" s="122"/>
      <c r="BC31531" s="141"/>
    </row>
    <row r="31532">
      <c r="BB31532" s="122"/>
      <c r="BC31532" s="141"/>
    </row>
    <row r="31533">
      <c r="BB31533" s="122"/>
      <c r="BC31533" s="141"/>
    </row>
    <row r="31534">
      <c r="BB31534" s="122"/>
      <c r="BC31534" s="141"/>
    </row>
    <row r="31535">
      <c r="BB31535" s="122"/>
      <c r="BC31535" s="141"/>
    </row>
    <row r="31536">
      <c r="BB31536" s="122"/>
      <c r="BC31536" s="141"/>
    </row>
    <row r="31537">
      <c r="BB31537" s="122"/>
      <c r="BC31537" s="141"/>
    </row>
    <row r="31538">
      <c r="BB31538" s="122"/>
      <c r="BC31538" s="141"/>
    </row>
    <row r="31539">
      <c r="BB31539" s="122"/>
      <c r="BC31539" s="141"/>
    </row>
    <row r="31540">
      <c r="BB31540" s="122"/>
      <c r="BC31540" s="141"/>
    </row>
    <row r="31541">
      <c r="BB31541" s="122"/>
      <c r="BC31541" s="141"/>
    </row>
    <row r="31542">
      <c r="BB31542" s="122"/>
      <c r="BC31542" s="141"/>
    </row>
    <row r="31543">
      <c r="BB31543" s="122"/>
      <c r="BC31543" s="141"/>
    </row>
    <row r="31544">
      <c r="BB31544" s="122"/>
      <c r="BC31544" s="141"/>
    </row>
    <row r="31545">
      <c r="BB31545" s="122"/>
      <c r="BC31545" s="141"/>
    </row>
    <row r="31546">
      <c r="BB31546" s="122"/>
      <c r="BC31546" s="141"/>
    </row>
    <row r="31547">
      <c r="BB31547" s="122"/>
      <c r="BC31547" s="141"/>
    </row>
    <row r="31548">
      <c r="BB31548" s="122"/>
      <c r="BC31548" s="141"/>
    </row>
    <row r="31549">
      <c r="BB31549" s="122"/>
      <c r="BC31549" s="141"/>
    </row>
    <row r="31550">
      <c r="BB31550" s="122"/>
      <c r="BC31550" s="141"/>
    </row>
    <row r="31551">
      <c r="BB31551" s="122"/>
      <c r="BC31551" s="141"/>
    </row>
    <row r="31552">
      <c r="BB31552" s="122"/>
      <c r="BC31552" s="141"/>
    </row>
    <row r="31553">
      <c r="BB31553" s="122"/>
      <c r="BC31553" s="141"/>
    </row>
    <row r="31554">
      <c r="BB31554" s="122"/>
      <c r="BC31554" s="141"/>
    </row>
    <row r="31555">
      <c r="BB31555" s="122"/>
      <c r="BC31555" s="141"/>
    </row>
    <row r="31556">
      <c r="BB31556" s="122"/>
      <c r="BC31556" s="141"/>
    </row>
    <row r="31557">
      <c r="BB31557" s="122"/>
      <c r="BC31557" s="141"/>
    </row>
    <row r="31558">
      <c r="BB31558" s="122"/>
      <c r="BC31558" s="141"/>
    </row>
    <row r="31559">
      <c r="BB31559" s="122"/>
      <c r="BC31559" s="141"/>
    </row>
    <row r="31560">
      <c r="BB31560" s="122"/>
      <c r="BC31560" s="141"/>
    </row>
    <row r="31561">
      <c r="BB31561" s="122"/>
      <c r="BC31561" s="141"/>
    </row>
    <row r="31562">
      <c r="BB31562" s="122"/>
      <c r="BC31562" s="141"/>
    </row>
    <row r="31563">
      <c r="BB31563" s="122"/>
      <c r="BC31563" s="141"/>
    </row>
    <row r="31564">
      <c r="BB31564" s="122"/>
      <c r="BC31564" s="141"/>
    </row>
    <row r="31565">
      <c r="BB31565" s="122"/>
      <c r="BC31565" s="141"/>
    </row>
    <row r="31566">
      <c r="BB31566" s="122"/>
      <c r="BC31566" s="141"/>
    </row>
    <row r="31567">
      <c r="BB31567" s="122"/>
      <c r="BC31567" s="141"/>
    </row>
    <row r="31568">
      <c r="BB31568" s="122"/>
      <c r="BC31568" s="141"/>
    </row>
    <row r="31569">
      <c r="BB31569" s="122"/>
      <c r="BC31569" s="141"/>
    </row>
    <row r="31570">
      <c r="BB31570" s="122"/>
      <c r="BC31570" s="141"/>
    </row>
    <row r="31571">
      <c r="BB31571" s="122"/>
      <c r="BC31571" s="141"/>
    </row>
    <row r="31572">
      <c r="BB31572" s="122"/>
      <c r="BC31572" s="141"/>
    </row>
    <row r="31573">
      <c r="BB31573" s="122"/>
      <c r="BC31573" s="141"/>
    </row>
    <row r="31574">
      <c r="BB31574" s="122"/>
      <c r="BC31574" s="141"/>
    </row>
    <row r="31575">
      <c r="BB31575" s="122"/>
      <c r="BC31575" s="141"/>
    </row>
    <row r="31576">
      <c r="BB31576" s="122"/>
      <c r="BC31576" s="141"/>
    </row>
    <row r="31577">
      <c r="BB31577" s="122"/>
      <c r="BC31577" s="141"/>
    </row>
    <row r="31578">
      <c r="BB31578" s="122"/>
      <c r="BC31578" s="141"/>
    </row>
    <row r="31579">
      <c r="BB31579" s="122"/>
      <c r="BC31579" s="141"/>
    </row>
    <row r="31580">
      <c r="BB31580" s="122"/>
      <c r="BC31580" s="141"/>
    </row>
    <row r="31581">
      <c r="BB31581" s="122"/>
      <c r="BC31581" s="141"/>
    </row>
    <row r="31582">
      <c r="BB31582" s="122"/>
      <c r="BC31582" s="141"/>
    </row>
    <row r="31583">
      <c r="BB31583" s="122"/>
      <c r="BC31583" s="141"/>
    </row>
    <row r="31584">
      <c r="BB31584" s="122"/>
      <c r="BC31584" s="141"/>
    </row>
    <row r="31585">
      <c r="BB31585" s="122"/>
      <c r="BC31585" s="141"/>
    </row>
    <row r="31586">
      <c r="BB31586" s="122"/>
      <c r="BC31586" s="141"/>
    </row>
    <row r="31587">
      <c r="BB31587" s="122"/>
      <c r="BC31587" s="141"/>
    </row>
    <row r="31588">
      <c r="BB31588" s="122"/>
      <c r="BC31588" s="141"/>
    </row>
    <row r="31589">
      <c r="BB31589" s="122"/>
      <c r="BC31589" s="141"/>
    </row>
    <row r="31590">
      <c r="BB31590" s="122"/>
      <c r="BC31590" s="141"/>
    </row>
    <row r="31591">
      <c r="BB31591" s="122"/>
      <c r="BC31591" s="141"/>
    </row>
    <row r="31592">
      <c r="BB31592" s="122"/>
      <c r="BC31592" s="141"/>
    </row>
    <row r="31593">
      <c r="BB31593" s="122"/>
      <c r="BC31593" s="141"/>
    </row>
    <row r="31594">
      <c r="BB31594" s="122"/>
      <c r="BC31594" s="141"/>
    </row>
    <row r="31595">
      <c r="BB31595" s="122"/>
      <c r="BC31595" s="141"/>
    </row>
    <row r="31596">
      <c r="BB31596" s="122"/>
      <c r="BC31596" s="141"/>
    </row>
    <row r="31597">
      <c r="BB31597" s="122"/>
      <c r="BC31597" s="141"/>
    </row>
    <row r="31598">
      <c r="BB31598" s="122"/>
      <c r="BC31598" s="141"/>
    </row>
    <row r="31599">
      <c r="BB31599" s="122"/>
      <c r="BC31599" s="141"/>
    </row>
    <row r="31600">
      <c r="BB31600" s="122"/>
      <c r="BC31600" s="141"/>
    </row>
    <row r="31601">
      <c r="BB31601" s="122"/>
      <c r="BC31601" s="141"/>
    </row>
    <row r="31602">
      <c r="BB31602" s="122"/>
      <c r="BC31602" s="141"/>
    </row>
    <row r="31603">
      <c r="BB31603" s="122"/>
      <c r="BC31603" s="141"/>
    </row>
    <row r="31604">
      <c r="BB31604" s="122"/>
      <c r="BC31604" s="141"/>
    </row>
    <row r="31605">
      <c r="BB31605" s="122"/>
      <c r="BC31605" s="141"/>
    </row>
    <row r="31606">
      <c r="BB31606" s="122"/>
      <c r="BC31606" s="141"/>
    </row>
    <row r="31607">
      <c r="BB31607" s="122"/>
      <c r="BC31607" s="141"/>
    </row>
    <row r="31608">
      <c r="BB31608" s="122"/>
      <c r="BC31608" s="141"/>
    </row>
    <row r="31609">
      <c r="BB31609" s="122"/>
      <c r="BC31609" s="141"/>
    </row>
    <row r="31610">
      <c r="BB31610" s="122"/>
      <c r="BC31610" s="141"/>
    </row>
    <row r="31611">
      <c r="BB31611" s="122"/>
      <c r="BC31611" s="141"/>
    </row>
    <row r="31612">
      <c r="BB31612" s="122"/>
      <c r="BC31612" s="141"/>
    </row>
    <row r="31613">
      <c r="BB31613" s="122"/>
      <c r="BC31613" s="141"/>
    </row>
    <row r="31614">
      <c r="BB31614" s="122"/>
      <c r="BC31614" s="141"/>
    </row>
    <row r="31615">
      <c r="BB31615" s="122"/>
      <c r="BC31615" s="141"/>
    </row>
    <row r="31616">
      <c r="BB31616" s="122"/>
      <c r="BC31616" s="141"/>
    </row>
    <row r="31617">
      <c r="BB31617" s="122"/>
      <c r="BC31617" s="141"/>
    </row>
    <row r="31618">
      <c r="BB31618" s="122"/>
      <c r="BC31618" s="141"/>
    </row>
    <row r="31619">
      <c r="BB31619" s="122"/>
      <c r="BC31619" s="141"/>
    </row>
    <row r="31620">
      <c r="BB31620" s="122"/>
      <c r="BC31620" s="141"/>
    </row>
    <row r="31621">
      <c r="BB31621" s="122"/>
      <c r="BC31621" s="141"/>
    </row>
    <row r="31622">
      <c r="BB31622" s="122"/>
      <c r="BC31622" s="141"/>
    </row>
    <row r="31623">
      <c r="BB31623" s="122"/>
      <c r="BC31623" s="141"/>
    </row>
    <row r="31624">
      <c r="BB31624" s="122"/>
      <c r="BC31624" s="141"/>
    </row>
    <row r="31625">
      <c r="BB31625" s="122"/>
      <c r="BC31625" s="141"/>
    </row>
    <row r="31626">
      <c r="BB31626" s="122"/>
      <c r="BC31626" s="141"/>
    </row>
    <row r="31627">
      <c r="BB31627" s="122"/>
      <c r="BC31627" s="141"/>
    </row>
    <row r="31628">
      <c r="BB31628" s="122"/>
      <c r="BC31628" s="141"/>
    </row>
    <row r="31629">
      <c r="BB31629" s="122"/>
      <c r="BC31629" s="141"/>
    </row>
    <row r="31630">
      <c r="BB31630" s="122"/>
      <c r="BC31630" s="141"/>
    </row>
    <row r="31631">
      <c r="BB31631" s="122"/>
      <c r="BC31631" s="141"/>
    </row>
    <row r="31632">
      <c r="BB31632" s="122"/>
      <c r="BC31632" s="141"/>
    </row>
    <row r="31633">
      <c r="BB31633" s="122"/>
      <c r="BC31633" s="141"/>
    </row>
    <row r="31634">
      <c r="BB31634" s="122"/>
      <c r="BC31634" s="141"/>
    </row>
    <row r="31635">
      <c r="BB31635" s="122"/>
      <c r="BC31635" s="141"/>
    </row>
    <row r="31636">
      <c r="BB31636" s="122"/>
      <c r="BC31636" s="141"/>
    </row>
    <row r="31637">
      <c r="BB31637" s="122"/>
      <c r="BC31637" s="141"/>
    </row>
    <row r="31638">
      <c r="BB31638" s="122"/>
      <c r="BC31638" s="141"/>
    </row>
    <row r="31639">
      <c r="BB31639" s="122"/>
      <c r="BC31639" s="141"/>
    </row>
    <row r="31640">
      <c r="BB31640" s="122"/>
      <c r="BC31640" s="141"/>
    </row>
    <row r="31641">
      <c r="BB31641" s="122"/>
      <c r="BC31641" s="141"/>
    </row>
    <row r="31642">
      <c r="BB31642" s="122"/>
      <c r="BC31642" s="141"/>
    </row>
    <row r="31643">
      <c r="BB31643" s="122"/>
      <c r="BC31643" s="141"/>
    </row>
    <row r="31644">
      <c r="BB31644" s="122"/>
      <c r="BC31644" s="141"/>
    </row>
    <row r="31645">
      <c r="BB31645" s="122"/>
      <c r="BC31645" s="141"/>
    </row>
    <row r="31646">
      <c r="BB31646" s="122"/>
      <c r="BC31646" s="141"/>
    </row>
    <row r="31647">
      <c r="BB31647" s="122"/>
      <c r="BC31647" s="141"/>
    </row>
    <row r="31648">
      <c r="BB31648" s="122"/>
      <c r="BC31648" s="141"/>
    </row>
    <row r="31649">
      <c r="BB31649" s="122"/>
      <c r="BC31649" s="141"/>
    </row>
    <row r="31650">
      <c r="BB31650" s="122"/>
      <c r="BC31650" s="141"/>
    </row>
    <row r="31651">
      <c r="BB31651" s="122"/>
      <c r="BC31651" s="141"/>
    </row>
    <row r="31652">
      <c r="BB31652" s="122"/>
      <c r="BC31652" s="141"/>
    </row>
    <row r="31653">
      <c r="BB31653" s="122"/>
      <c r="BC31653" s="141"/>
    </row>
    <row r="31654">
      <c r="BB31654" s="122"/>
      <c r="BC31654" s="141"/>
    </row>
    <row r="31655">
      <c r="BB31655" s="122"/>
      <c r="BC31655" s="141"/>
    </row>
    <row r="31656">
      <c r="BB31656" s="122"/>
      <c r="BC31656" s="141"/>
    </row>
    <row r="31657">
      <c r="BB31657" s="122"/>
      <c r="BC31657" s="141"/>
    </row>
    <row r="31658">
      <c r="BB31658" s="122"/>
      <c r="BC31658" s="141"/>
    </row>
    <row r="31659">
      <c r="BB31659" s="122"/>
      <c r="BC31659" s="141"/>
    </row>
    <row r="31660">
      <c r="BB31660" s="122"/>
      <c r="BC31660" s="141"/>
    </row>
    <row r="31661">
      <c r="BB31661" s="122"/>
      <c r="BC31661" s="141"/>
    </row>
    <row r="31662">
      <c r="BB31662" s="122"/>
      <c r="BC31662" s="141"/>
    </row>
    <row r="31663">
      <c r="BB31663" s="122"/>
      <c r="BC31663" s="141"/>
    </row>
    <row r="31664">
      <c r="BB31664" s="122"/>
      <c r="BC31664" s="141"/>
    </row>
    <row r="31665">
      <c r="BB31665" s="122"/>
      <c r="BC31665" s="141"/>
    </row>
    <row r="31666">
      <c r="BB31666" s="122"/>
      <c r="BC31666" s="141"/>
    </row>
    <row r="31667">
      <c r="BB31667" s="122"/>
      <c r="BC31667" s="141"/>
    </row>
    <row r="31668">
      <c r="BB31668" s="122"/>
      <c r="BC31668" s="141"/>
    </row>
    <row r="31669">
      <c r="BB31669" s="122"/>
      <c r="BC31669" s="141"/>
    </row>
    <row r="31670">
      <c r="BB31670" s="122"/>
      <c r="BC31670" s="141"/>
    </row>
    <row r="31671">
      <c r="BB31671" s="122"/>
      <c r="BC31671" s="141"/>
    </row>
    <row r="31672">
      <c r="BB31672" s="122"/>
      <c r="BC31672" s="141"/>
    </row>
    <row r="31673">
      <c r="BB31673" s="122"/>
      <c r="BC31673" s="141"/>
    </row>
    <row r="31674">
      <c r="BB31674" s="122"/>
      <c r="BC31674" s="141"/>
    </row>
    <row r="31675">
      <c r="BB31675" s="122"/>
      <c r="BC31675" s="141"/>
    </row>
    <row r="31676">
      <c r="BB31676" s="122"/>
      <c r="BC31676" s="141"/>
    </row>
    <row r="31677">
      <c r="BB31677" s="122"/>
      <c r="BC31677" s="141"/>
    </row>
    <row r="31678">
      <c r="BB31678" s="122"/>
      <c r="BC31678" s="141"/>
    </row>
    <row r="31679">
      <c r="BB31679" s="122"/>
      <c r="BC31679" s="141"/>
    </row>
    <row r="31680">
      <c r="BB31680" s="122"/>
      <c r="BC31680" s="141"/>
    </row>
    <row r="31681">
      <c r="BB31681" s="122"/>
      <c r="BC31681" s="141"/>
    </row>
    <row r="31682">
      <c r="BB31682" s="122"/>
      <c r="BC31682" s="141"/>
    </row>
    <row r="31683">
      <c r="BB31683" s="122"/>
      <c r="BC31683" s="141"/>
    </row>
    <row r="31684">
      <c r="BB31684" s="122"/>
      <c r="BC31684" s="141"/>
    </row>
    <row r="31685">
      <c r="BB31685" s="122"/>
      <c r="BC31685" s="141"/>
    </row>
    <row r="31686">
      <c r="BB31686" s="122"/>
      <c r="BC31686" s="141"/>
    </row>
    <row r="31687">
      <c r="BB31687" s="122"/>
      <c r="BC31687" s="141"/>
    </row>
    <row r="31688">
      <c r="BB31688" s="122"/>
      <c r="BC31688" s="141"/>
    </row>
    <row r="31689">
      <c r="BB31689" s="122"/>
      <c r="BC31689" s="141"/>
    </row>
    <row r="31690">
      <c r="BB31690" s="122"/>
      <c r="BC31690" s="141"/>
    </row>
    <row r="31691">
      <c r="BB31691" s="122"/>
      <c r="BC31691" s="141"/>
    </row>
    <row r="31692">
      <c r="BB31692" s="122"/>
      <c r="BC31692" s="141"/>
    </row>
    <row r="31693">
      <c r="BB31693" s="122"/>
      <c r="BC31693" s="141"/>
    </row>
    <row r="31694">
      <c r="BB31694" s="122"/>
      <c r="BC31694" s="141"/>
    </row>
    <row r="31695">
      <c r="BB31695" s="122"/>
      <c r="BC31695" s="141"/>
    </row>
    <row r="31696">
      <c r="BB31696" s="122"/>
      <c r="BC31696" s="141"/>
    </row>
    <row r="31697">
      <c r="BB31697" s="122"/>
      <c r="BC31697" s="141"/>
    </row>
    <row r="31698">
      <c r="BB31698" s="122"/>
      <c r="BC31698" s="141"/>
    </row>
    <row r="31699">
      <c r="BB31699" s="122"/>
      <c r="BC31699" s="141"/>
    </row>
    <row r="31700">
      <c r="BB31700" s="122"/>
      <c r="BC31700" s="141"/>
    </row>
    <row r="31701">
      <c r="BB31701" s="122"/>
      <c r="BC31701" s="141"/>
    </row>
    <row r="31702">
      <c r="BB31702" s="122"/>
      <c r="BC31702" s="141"/>
    </row>
    <row r="31703">
      <c r="BB31703" s="122"/>
      <c r="BC31703" s="141"/>
    </row>
    <row r="31704">
      <c r="BB31704" s="122"/>
      <c r="BC31704" s="141"/>
    </row>
    <row r="31705">
      <c r="BB31705" s="122"/>
      <c r="BC31705" s="141"/>
    </row>
    <row r="31706">
      <c r="BB31706" s="122"/>
      <c r="BC31706" s="141"/>
    </row>
    <row r="31707">
      <c r="BB31707" s="122"/>
      <c r="BC31707" s="141"/>
    </row>
    <row r="31708">
      <c r="BB31708" s="122"/>
      <c r="BC31708" s="141"/>
    </row>
    <row r="31709">
      <c r="BB31709" s="122"/>
      <c r="BC31709" s="141"/>
    </row>
    <row r="31710">
      <c r="BB31710" s="122"/>
      <c r="BC31710" s="141"/>
    </row>
    <row r="31711">
      <c r="BB31711" s="122"/>
      <c r="BC31711" s="141"/>
    </row>
    <row r="31712">
      <c r="BB31712" s="122"/>
      <c r="BC31712" s="141"/>
    </row>
    <row r="31713">
      <c r="BB31713" s="122"/>
      <c r="BC31713" s="141"/>
    </row>
    <row r="31714">
      <c r="BB31714" s="122"/>
      <c r="BC31714" s="141"/>
    </row>
    <row r="31715">
      <c r="BB31715" s="122"/>
      <c r="BC31715" s="141"/>
    </row>
    <row r="31716">
      <c r="BB31716" s="122"/>
      <c r="BC31716" s="141"/>
    </row>
    <row r="31717">
      <c r="BB31717" s="122"/>
      <c r="BC31717" s="141"/>
    </row>
    <row r="31718">
      <c r="BB31718" s="122"/>
      <c r="BC31718" s="141"/>
    </row>
    <row r="31719">
      <c r="BB31719" s="122"/>
      <c r="BC31719" s="141"/>
    </row>
    <row r="31720">
      <c r="BB31720" s="122"/>
      <c r="BC31720" s="141"/>
    </row>
    <row r="31721">
      <c r="BB31721" s="122"/>
      <c r="BC31721" s="141"/>
    </row>
    <row r="31722">
      <c r="BB31722" s="122"/>
      <c r="BC31722" s="141"/>
    </row>
    <row r="31723">
      <c r="BB31723" s="122"/>
      <c r="BC31723" s="141"/>
    </row>
    <row r="31724">
      <c r="BB31724" s="122"/>
      <c r="BC31724" s="141"/>
    </row>
    <row r="31725">
      <c r="BB31725" s="122"/>
      <c r="BC31725" s="141"/>
    </row>
    <row r="31726">
      <c r="BB31726" s="122"/>
      <c r="BC31726" s="141"/>
    </row>
    <row r="31727">
      <c r="BB31727" s="122"/>
      <c r="BC31727" s="141"/>
    </row>
    <row r="31728">
      <c r="BB31728" s="122"/>
      <c r="BC31728" s="141"/>
    </row>
    <row r="31729">
      <c r="BB31729" s="122"/>
      <c r="BC31729" s="141"/>
    </row>
    <row r="31730">
      <c r="BB31730" s="122"/>
      <c r="BC31730" s="141"/>
    </row>
    <row r="31731">
      <c r="BB31731" s="122"/>
      <c r="BC31731" s="141"/>
    </row>
    <row r="31732">
      <c r="BB31732" s="122"/>
      <c r="BC31732" s="141"/>
    </row>
    <row r="31733">
      <c r="BB31733" s="122"/>
      <c r="BC31733" s="141"/>
    </row>
    <row r="31734">
      <c r="BB31734" s="122"/>
      <c r="BC31734" s="141"/>
    </row>
    <row r="31735">
      <c r="BB31735" s="122"/>
      <c r="BC31735" s="141"/>
    </row>
    <row r="31736">
      <c r="BB31736" s="122"/>
      <c r="BC31736" s="141"/>
    </row>
    <row r="31737">
      <c r="BB31737" s="122"/>
      <c r="BC31737" s="141"/>
    </row>
    <row r="31738">
      <c r="BB31738" s="122"/>
      <c r="BC31738" s="141"/>
    </row>
    <row r="31739">
      <c r="BB31739" s="122"/>
      <c r="BC31739" s="141"/>
    </row>
    <row r="31740">
      <c r="BB31740" s="122"/>
      <c r="BC31740" s="141"/>
    </row>
    <row r="31741">
      <c r="BB31741" s="122"/>
      <c r="BC31741" s="141"/>
    </row>
    <row r="31742">
      <c r="BB31742" s="122"/>
      <c r="BC31742" s="141"/>
    </row>
    <row r="31743">
      <c r="BB31743" s="122"/>
      <c r="BC31743" s="141"/>
    </row>
    <row r="31744">
      <c r="BB31744" s="122"/>
      <c r="BC31744" s="141"/>
    </row>
    <row r="31745">
      <c r="BB31745" s="122"/>
      <c r="BC31745" s="141"/>
    </row>
    <row r="31746">
      <c r="BB31746" s="122"/>
      <c r="BC31746" s="141"/>
    </row>
    <row r="31747">
      <c r="BB31747" s="122"/>
      <c r="BC31747" s="141"/>
    </row>
    <row r="31748">
      <c r="BB31748" s="122"/>
      <c r="BC31748" s="141"/>
    </row>
    <row r="31749">
      <c r="BB31749" s="122"/>
      <c r="BC31749" s="141"/>
    </row>
    <row r="31750">
      <c r="BB31750" s="122"/>
      <c r="BC31750" s="141"/>
    </row>
    <row r="31751">
      <c r="BB31751" s="122"/>
      <c r="BC31751" s="141"/>
    </row>
    <row r="31752">
      <c r="BB31752" s="122"/>
      <c r="BC31752" s="141"/>
    </row>
    <row r="31753">
      <c r="BB31753" s="122"/>
      <c r="BC31753" s="141"/>
    </row>
    <row r="31754">
      <c r="BB31754" s="122"/>
      <c r="BC31754" s="141"/>
    </row>
    <row r="31755">
      <c r="BB31755" s="122"/>
      <c r="BC31755" s="141"/>
    </row>
    <row r="31756">
      <c r="BB31756" s="122"/>
      <c r="BC31756" s="141"/>
    </row>
    <row r="31757">
      <c r="BB31757" s="122"/>
      <c r="BC31757" s="141"/>
    </row>
    <row r="31758">
      <c r="BB31758" s="122"/>
      <c r="BC31758" s="141"/>
    </row>
    <row r="31759">
      <c r="BB31759" s="122"/>
      <c r="BC31759" s="141"/>
    </row>
    <row r="31760">
      <c r="BB31760" s="122"/>
      <c r="BC31760" s="141"/>
    </row>
    <row r="31761">
      <c r="BB31761" s="122"/>
      <c r="BC31761" s="141"/>
    </row>
    <row r="31762">
      <c r="BB31762" s="122"/>
      <c r="BC31762" s="141"/>
    </row>
    <row r="31763">
      <c r="BB31763" s="122"/>
      <c r="BC31763" s="141"/>
    </row>
    <row r="31764">
      <c r="BB31764" s="122"/>
      <c r="BC31764" s="141"/>
    </row>
    <row r="31765">
      <c r="BB31765" s="122"/>
      <c r="BC31765" s="141"/>
    </row>
    <row r="31766">
      <c r="BB31766" s="122"/>
      <c r="BC31766" s="141"/>
    </row>
    <row r="31767">
      <c r="BB31767" s="122"/>
      <c r="BC31767" s="141"/>
    </row>
    <row r="31768">
      <c r="BB31768" s="122"/>
      <c r="BC31768" s="141"/>
    </row>
    <row r="31769">
      <c r="BB31769" s="122"/>
      <c r="BC31769" s="141"/>
    </row>
    <row r="31770">
      <c r="BB31770" s="122"/>
      <c r="BC31770" s="141"/>
    </row>
    <row r="31771">
      <c r="BB31771" s="122"/>
      <c r="BC31771" s="141"/>
    </row>
    <row r="31772">
      <c r="BB31772" s="122"/>
      <c r="BC31772" s="141"/>
    </row>
    <row r="31773">
      <c r="BB31773" s="122"/>
      <c r="BC31773" s="141"/>
    </row>
    <row r="31774">
      <c r="BB31774" s="122"/>
      <c r="BC31774" s="141"/>
    </row>
    <row r="31775">
      <c r="BB31775" s="122"/>
      <c r="BC31775" s="141"/>
    </row>
    <row r="31776">
      <c r="BB31776" s="122"/>
      <c r="BC31776" s="141"/>
    </row>
    <row r="31777">
      <c r="BB31777" s="122"/>
      <c r="BC31777" s="141"/>
    </row>
    <row r="31778">
      <c r="BB31778" s="122"/>
      <c r="BC31778" s="141"/>
    </row>
    <row r="31779">
      <c r="BB31779" s="122"/>
      <c r="BC31779" s="141"/>
    </row>
    <row r="31780">
      <c r="BB31780" s="122"/>
      <c r="BC31780" s="141"/>
    </row>
    <row r="31781">
      <c r="BB31781" s="122"/>
      <c r="BC31781" s="141"/>
    </row>
    <row r="31782">
      <c r="BB31782" s="122"/>
      <c r="BC31782" s="141"/>
    </row>
    <row r="31783">
      <c r="BB31783" s="122"/>
      <c r="BC31783" s="141"/>
    </row>
    <row r="31784">
      <c r="BB31784" s="122"/>
      <c r="BC31784" s="141"/>
    </row>
    <row r="31785">
      <c r="BB31785" s="122"/>
      <c r="BC31785" s="141"/>
    </row>
    <row r="31786">
      <c r="BB31786" s="122"/>
      <c r="BC31786" s="141"/>
    </row>
    <row r="31787">
      <c r="BB31787" s="122"/>
      <c r="BC31787" s="141"/>
    </row>
    <row r="31788">
      <c r="BB31788" s="122"/>
      <c r="BC31788" s="141"/>
    </row>
    <row r="31789">
      <c r="BB31789" s="122"/>
      <c r="BC31789" s="141"/>
    </row>
    <row r="31790">
      <c r="BB31790" s="122"/>
      <c r="BC31790" s="141"/>
    </row>
    <row r="31791">
      <c r="BB31791" s="122"/>
      <c r="BC31791" s="141"/>
    </row>
    <row r="31792">
      <c r="BB31792" s="122"/>
      <c r="BC31792" s="141"/>
    </row>
    <row r="31793">
      <c r="BB31793" s="122"/>
      <c r="BC31793" s="141"/>
    </row>
    <row r="31794">
      <c r="BB31794" s="122"/>
      <c r="BC31794" s="141"/>
    </row>
    <row r="31795">
      <c r="BB31795" s="122"/>
      <c r="BC31795" s="141"/>
    </row>
    <row r="31796">
      <c r="BB31796" s="122"/>
      <c r="BC31796" s="141"/>
    </row>
    <row r="31797">
      <c r="BB31797" s="122"/>
      <c r="BC31797" s="141"/>
    </row>
    <row r="31798">
      <c r="BB31798" s="122"/>
      <c r="BC31798" s="141"/>
    </row>
    <row r="31799">
      <c r="BB31799" s="122"/>
      <c r="BC31799" s="141"/>
    </row>
    <row r="31800">
      <c r="BB31800" s="122"/>
      <c r="BC31800" s="141"/>
    </row>
    <row r="31801">
      <c r="BB31801" s="122"/>
      <c r="BC31801" s="141"/>
    </row>
    <row r="31802">
      <c r="BB31802" s="122"/>
      <c r="BC31802" s="141"/>
    </row>
    <row r="31803">
      <c r="BB31803" s="122"/>
      <c r="BC31803" s="141"/>
    </row>
    <row r="31804">
      <c r="BB31804" s="122"/>
      <c r="BC31804" s="141"/>
    </row>
    <row r="31805">
      <c r="BB31805" s="122"/>
      <c r="BC31805" s="141"/>
    </row>
    <row r="31806">
      <c r="BB31806" s="122"/>
      <c r="BC31806" s="141"/>
    </row>
    <row r="31807">
      <c r="BB31807" s="122"/>
      <c r="BC31807" s="141"/>
    </row>
    <row r="31808">
      <c r="BB31808" s="122"/>
      <c r="BC31808" s="141"/>
    </row>
    <row r="31809">
      <c r="BB31809" s="122"/>
      <c r="BC31809" s="141"/>
    </row>
    <row r="31810">
      <c r="BB31810" s="122"/>
      <c r="BC31810" s="141"/>
    </row>
    <row r="31811">
      <c r="BB31811" s="122"/>
      <c r="BC31811" s="141"/>
    </row>
    <row r="31812">
      <c r="BB31812" s="122"/>
      <c r="BC31812" s="141"/>
    </row>
    <row r="31813">
      <c r="BB31813" s="122"/>
      <c r="BC31813" s="141"/>
    </row>
    <row r="31814">
      <c r="BB31814" s="122"/>
      <c r="BC31814" s="141"/>
    </row>
    <row r="31815">
      <c r="BB31815" s="122"/>
      <c r="BC31815" s="141"/>
    </row>
    <row r="31816">
      <c r="BB31816" s="122"/>
      <c r="BC31816" s="141"/>
    </row>
    <row r="31817">
      <c r="BB31817" s="122"/>
      <c r="BC31817" s="141"/>
    </row>
    <row r="31818">
      <c r="BB31818" s="122"/>
      <c r="BC31818" s="141"/>
    </row>
    <row r="31819">
      <c r="BB31819" s="122"/>
      <c r="BC31819" s="141"/>
    </row>
    <row r="31820">
      <c r="BB31820" s="122"/>
      <c r="BC31820" s="141"/>
    </row>
    <row r="31821">
      <c r="BB31821" s="122"/>
      <c r="BC31821" s="141"/>
    </row>
    <row r="31822">
      <c r="BB31822" s="122"/>
      <c r="BC31822" s="141"/>
    </row>
    <row r="31823">
      <c r="BB31823" s="122"/>
      <c r="BC31823" s="141"/>
    </row>
    <row r="31824">
      <c r="BB31824" s="122"/>
      <c r="BC31824" s="141"/>
    </row>
    <row r="31825">
      <c r="BB31825" s="122"/>
      <c r="BC31825" s="141"/>
    </row>
    <row r="31826">
      <c r="BB31826" s="122"/>
      <c r="BC31826" s="141"/>
    </row>
    <row r="31827">
      <c r="BB31827" s="122"/>
      <c r="BC31827" s="141"/>
    </row>
    <row r="31828">
      <c r="BB31828" s="122"/>
      <c r="BC31828" s="141"/>
    </row>
    <row r="31829">
      <c r="BB31829" s="122"/>
      <c r="BC31829" s="141"/>
    </row>
    <row r="31830">
      <c r="BB31830" s="122"/>
      <c r="BC31830" s="141"/>
    </row>
    <row r="31831">
      <c r="BB31831" s="122"/>
      <c r="BC31831" s="141"/>
    </row>
    <row r="31832">
      <c r="BB31832" s="122"/>
      <c r="BC31832" s="141"/>
    </row>
    <row r="31833">
      <c r="BB31833" s="122"/>
      <c r="BC31833" s="141"/>
    </row>
    <row r="31834">
      <c r="BB31834" s="122"/>
      <c r="BC31834" s="141"/>
    </row>
    <row r="31835">
      <c r="BB31835" s="122"/>
      <c r="BC31835" s="141"/>
    </row>
    <row r="31836">
      <c r="BB31836" s="122"/>
      <c r="BC31836" s="141"/>
    </row>
    <row r="31837">
      <c r="BB31837" s="122"/>
      <c r="BC31837" s="141"/>
    </row>
    <row r="31838">
      <c r="BB31838" s="122"/>
      <c r="BC31838" s="141"/>
    </row>
    <row r="31839">
      <c r="BB31839" s="122"/>
      <c r="BC31839" s="141"/>
    </row>
    <row r="31840">
      <c r="BB31840" s="122"/>
      <c r="BC31840" s="141"/>
    </row>
    <row r="31841">
      <c r="BB31841" s="122"/>
      <c r="BC31841" s="141"/>
    </row>
    <row r="31842">
      <c r="BB31842" s="122"/>
      <c r="BC31842" s="141"/>
    </row>
    <row r="31843">
      <c r="BB31843" s="122"/>
      <c r="BC31843" s="141"/>
    </row>
    <row r="31844">
      <c r="BB31844" s="122"/>
      <c r="BC31844" s="141"/>
    </row>
    <row r="31845">
      <c r="BB31845" s="122"/>
      <c r="BC31845" s="141"/>
    </row>
    <row r="31846">
      <c r="BB31846" s="122"/>
      <c r="BC31846" s="141"/>
    </row>
    <row r="31847">
      <c r="BB31847" s="122"/>
      <c r="BC31847" s="141"/>
    </row>
    <row r="31848">
      <c r="BB31848" s="122"/>
      <c r="BC31848" s="141"/>
    </row>
    <row r="31849">
      <c r="BB31849" s="122"/>
      <c r="BC31849" s="141"/>
    </row>
    <row r="31850">
      <c r="BB31850" s="122"/>
      <c r="BC31850" s="141"/>
    </row>
    <row r="31851">
      <c r="BB31851" s="122"/>
      <c r="BC31851" s="141"/>
    </row>
    <row r="31852">
      <c r="BB31852" s="122"/>
      <c r="BC31852" s="141"/>
    </row>
    <row r="31853">
      <c r="BB31853" s="122"/>
      <c r="BC31853" s="141"/>
    </row>
    <row r="31854">
      <c r="BB31854" s="122"/>
      <c r="BC31854" s="141"/>
    </row>
    <row r="31855">
      <c r="BB31855" s="122"/>
      <c r="BC31855" s="141"/>
    </row>
    <row r="31856">
      <c r="BB31856" s="122"/>
      <c r="BC31856" s="141"/>
    </row>
    <row r="31857">
      <c r="BB31857" s="122"/>
      <c r="BC31857" s="141"/>
    </row>
    <row r="31858">
      <c r="BB31858" s="122"/>
      <c r="BC31858" s="141"/>
    </row>
    <row r="31859">
      <c r="BB31859" s="122"/>
      <c r="BC31859" s="141"/>
    </row>
    <row r="31860">
      <c r="BB31860" s="122"/>
      <c r="BC31860" s="141"/>
    </row>
    <row r="31861">
      <c r="BB31861" s="122"/>
      <c r="BC31861" s="141"/>
    </row>
    <row r="31862">
      <c r="BB31862" s="122"/>
      <c r="BC31862" s="141"/>
    </row>
    <row r="31863">
      <c r="BB31863" s="122"/>
      <c r="BC31863" s="141"/>
    </row>
    <row r="31864">
      <c r="BB31864" s="122"/>
      <c r="BC31864" s="141"/>
    </row>
    <row r="31865">
      <c r="BB31865" s="122"/>
      <c r="BC31865" s="141"/>
    </row>
    <row r="31866">
      <c r="BB31866" s="122"/>
      <c r="BC31866" s="141"/>
    </row>
    <row r="31867">
      <c r="BB31867" s="122"/>
      <c r="BC31867" s="141"/>
    </row>
    <row r="31868">
      <c r="BB31868" s="122"/>
      <c r="BC31868" s="141"/>
    </row>
    <row r="31869">
      <c r="BB31869" s="122"/>
      <c r="BC31869" s="141"/>
    </row>
    <row r="31870">
      <c r="BB31870" s="122"/>
      <c r="BC31870" s="141"/>
    </row>
    <row r="31871">
      <c r="BB31871" s="122"/>
      <c r="BC31871" s="141"/>
    </row>
    <row r="31872">
      <c r="BB31872" s="122"/>
      <c r="BC31872" s="141"/>
    </row>
    <row r="31873">
      <c r="BB31873" s="122"/>
      <c r="BC31873" s="141"/>
    </row>
    <row r="31874">
      <c r="BB31874" s="122"/>
      <c r="BC31874" s="141"/>
    </row>
    <row r="31875">
      <c r="BB31875" s="122"/>
      <c r="BC31875" s="141"/>
    </row>
    <row r="31876">
      <c r="BB31876" s="122"/>
      <c r="BC31876" s="141"/>
    </row>
    <row r="31877">
      <c r="BB31877" s="122"/>
      <c r="BC31877" s="141"/>
    </row>
    <row r="31878">
      <c r="BB31878" s="122"/>
      <c r="BC31878" s="141"/>
    </row>
    <row r="31879">
      <c r="BB31879" s="122"/>
      <c r="BC31879" s="141"/>
    </row>
    <row r="31880">
      <c r="BB31880" s="122"/>
      <c r="BC31880" s="141"/>
    </row>
    <row r="31881">
      <c r="BB31881" s="122"/>
      <c r="BC31881" s="141"/>
    </row>
    <row r="31882">
      <c r="BB31882" s="122"/>
      <c r="BC31882" s="141"/>
    </row>
    <row r="31883">
      <c r="BB31883" s="122"/>
      <c r="BC31883" s="141"/>
    </row>
    <row r="31884">
      <c r="BB31884" s="122"/>
      <c r="BC31884" s="141"/>
    </row>
    <row r="31885">
      <c r="BB31885" s="122"/>
      <c r="BC31885" s="141"/>
    </row>
    <row r="31886">
      <c r="BB31886" s="122"/>
      <c r="BC31886" s="141"/>
    </row>
    <row r="31887">
      <c r="BB31887" s="122"/>
      <c r="BC31887" s="141"/>
    </row>
    <row r="31888">
      <c r="BB31888" s="122"/>
      <c r="BC31888" s="141"/>
    </row>
    <row r="31889">
      <c r="BB31889" s="122"/>
      <c r="BC31889" s="141"/>
    </row>
    <row r="31890">
      <c r="BB31890" s="122"/>
      <c r="BC31890" s="141"/>
    </row>
    <row r="31891">
      <c r="BB31891" s="122"/>
      <c r="BC31891" s="141"/>
    </row>
    <row r="31892">
      <c r="BB31892" s="122"/>
      <c r="BC31892" s="141"/>
    </row>
    <row r="31893">
      <c r="BB31893" s="122"/>
      <c r="BC31893" s="141"/>
    </row>
    <row r="31894">
      <c r="BB31894" s="122"/>
      <c r="BC31894" s="141"/>
    </row>
    <row r="31895">
      <c r="BB31895" s="122"/>
      <c r="BC31895" s="141"/>
    </row>
    <row r="31896">
      <c r="BB31896" s="122"/>
      <c r="BC31896" s="141"/>
    </row>
    <row r="31897">
      <c r="BB31897" s="122"/>
      <c r="BC31897" s="141"/>
    </row>
    <row r="31898">
      <c r="BB31898" s="122"/>
      <c r="BC31898" s="141"/>
    </row>
    <row r="31899">
      <c r="BB31899" s="122"/>
      <c r="BC31899" s="141"/>
    </row>
    <row r="31900">
      <c r="BB31900" s="122"/>
      <c r="BC31900" s="141"/>
    </row>
    <row r="31901">
      <c r="BB31901" s="122"/>
      <c r="BC31901" s="141"/>
    </row>
    <row r="31902">
      <c r="BB31902" s="122"/>
      <c r="BC31902" s="141"/>
    </row>
    <row r="31903">
      <c r="BB31903" s="122"/>
      <c r="BC31903" s="141"/>
    </row>
    <row r="31904">
      <c r="BB31904" s="122"/>
      <c r="BC31904" s="141"/>
    </row>
    <row r="31905">
      <c r="BB31905" s="122"/>
      <c r="BC31905" s="141"/>
    </row>
    <row r="31906">
      <c r="BB31906" s="122"/>
      <c r="BC31906" s="141"/>
    </row>
    <row r="31907">
      <c r="BB31907" s="122"/>
      <c r="BC31907" s="141"/>
    </row>
    <row r="31908">
      <c r="BB31908" s="122"/>
      <c r="BC31908" s="141"/>
    </row>
    <row r="31909">
      <c r="BB31909" s="122"/>
      <c r="BC31909" s="141"/>
    </row>
    <row r="31910">
      <c r="BB31910" s="122"/>
      <c r="BC31910" s="141"/>
    </row>
    <row r="31911">
      <c r="BB31911" s="122"/>
      <c r="BC31911" s="141"/>
    </row>
    <row r="31912">
      <c r="BB31912" s="122"/>
      <c r="BC31912" s="141"/>
    </row>
    <row r="31913">
      <c r="BB31913" s="122"/>
      <c r="BC31913" s="141"/>
    </row>
    <row r="31914">
      <c r="BB31914" s="122"/>
      <c r="BC31914" s="141"/>
    </row>
    <row r="31915">
      <c r="BB31915" s="122"/>
      <c r="BC31915" s="141"/>
    </row>
    <row r="31916">
      <c r="BB31916" s="122"/>
      <c r="BC31916" s="141"/>
    </row>
    <row r="31917">
      <c r="BB31917" s="122"/>
      <c r="BC31917" s="141"/>
    </row>
    <row r="31918">
      <c r="BB31918" s="122"/>
      <c r="BC31918" s="141"/>
    </row>
    <row r="31919">
      <c r="BB31919" s="122"/>
      <c r="BC31919" s="141"/>
    </row>
    <row r="31920">
      <c r="BB31920" s="122"/>
      <c r="BC31920" s="141"/>
    </row>
    <row r="31921">
      <c r="BB31921" s="122"/>
      <c r="BC31921" s="141"/>
    </row>
    <row r="31922">
      <c r="BB31922" s="122"/>
      <c r="BC31922" s="141"/>
    </row>
    <row r="31923">
      <c r="BB31923" s="122"/>
      <c r="BC31923" s="141"/>
    </row>
    <row r="31924">
      <c r="BB31924" s="122"/>
      <c r="BC31924" s="141"/>
    </row>
    <row r="31925">
      <c r="BB31925" s="122"/>
      <c r="BC31925" s="141"/>
    </row>
    <row r="31926">
      <c r="BB31926" s="122"/>
      <c r="BC31926" s="141"/>
    </row>
    <row r="31927">
      <c r="BB31927" s="122"/>
      <c r="BC31927" s="141"/>
    </row>
    <row r="31928">
      <c r="BB31928" s="122"/>
      <c r="BC31928" s="141"/>
    </row>
    <row r="31929">
      <c r="BB31929" s="122"/>
      <c r="BC31929" s="141"/>
    </row>
    <row r="31930">
      <c r="BB31930" s="122"/>
      <c r="BC31930" s="141"/>
    </row>
    <row r="31931">
      <c r="BB31931" s="122"/>
      <c r="BC31931" s="141"/>
    </row>
    <row r="31932">
      <c r="BB31932" s="122"/>
      <c r="BC31932" s="141"/>
    </row>
    <row r="31933">
      <c r="BB31933" s="122"/>
      <c r="BC31933" s="141"/>
    </row>
    <row r="31934">
      <c r="BB31934" s="122"/>
      <c r="BC31934" s="141"/>
    </row>
    <row r="31935">
      <c r="BB31935" s="122"/>
      <c r="BC31935" s="141"/>
    </row>
    <row r="31936">
      <c r="BB31936" s="122"/>
      <c r="BC31936" s="141"/>
    </row>
    <row r="31937">
      <c r="BB31937" s="122"/>
      <c r="BC31937" s="141"/>
    </row>
    <row r="31938">
      <c r="BB31938" s="122"/>
      <c r="BC31938" s="141"/>
    </row>
    <row r="31939">
      <c r="BB31939" s="122"/>
      <c r="BC31939" s="141"/>
    </row>
    <row r="31940">
      <c r="BB31940" s="122"/>
      <c r="BC31940" s="141"/>
    </row>
    <row r="31941">
      <c r="BB31941" s="122"/>
      <c r="BC31941" s="141"/>
    </row>
    <row r="31942">
      <c r="BB31942" s="122"/>
      <c r="BC31942" s="141"/>
    </row>
    <row r="31943">
      <c r="BB31943" s="122"/>
      <c r="BC31943" s="141"/>
    </row>
    <row r="31944">
      <c r="BB31944" s="122"/>
      <c r="BC31944" s="141"/>
    </row>
    <row r="31945">
      <c r="BB31945" s="122"/>
      <c r="BC31945" s="141"/>
    </row>
    <row r="31946">
      <c r="BB31946" s="122"/>
      <c r="BC31946" s="141"/>
    </row>
    <row r="31947">
      <c r="BB31947" s="122"/>
      <c r="BC31947" s="141"/>
    </row>
    <row r="31948">
      <c r="BB31948" s="122"/>
      <c r="BC31948" s="141"/>
    </row>
    <row r="31949">
      <c r="BB31949" s="122"/>
      <c r="BC31949" s="141"/>
    </row>
    <row r="31950">
      <c r="BB31950" s="122"/>
      <c r="BC31950" s="141"/>
    </row>
    <row r="31951">
      <c r="BB31951" s="122"/>
      <c r="BC31951" s="141"/>
    </row>
    <row r="31952">
      <c r="BB31952" s="122"/>
      <c r="BC31952" s="141"/>
    </row>
    <row r="31953">
      <c r="BB31953" s="122"/>
      <c r="BC31953" s="141"/>
    </row>
    <row r="31954">
      <c r="BB31954" s="122"/>
      <c r="BC31954" s="141"/>
    </row>
    <row r="31955">
      <c r="BB31955" s="122"/>
      <c r="BC31955" s="141"/>
    </row>
    <row r="31956">
      <c r="BB31956" s="122"/>
      <c r="BC31956" s="141"/>
    </row>
    <row r="31957">
      <c r="BB31957" s="122"/>
      <c r="BC31957" s="141"/>
    </row>
    <row r="31958">
      <c r="BB31958" s="122"/>
      <c r="BC31958" s="141"/>
    </row>
    <row r="31959">
      <c r="BB31959" s="122"/>
      <c r="BC31959" s="141"/>
    </row>
    <row r="31960">
      <c r="BB31960" s="122"/>
      <c r="BC31960" s="141"/>
    </row>
    <row r="31961">
      <c r="BB31961" s="122"/>
      <c r="BC31961" s="141"/>
    </row>
    <row r="31962">
      <c r="BB31962" s="122"/>
      <c r="BC31962" s="141"/>
    </row>
    <row r="31963">
      <c r="BB31963" s="122"/>
      <c r="BC31963" s="141"/>
    </row>
    <row r="31964">
      <c r="BB31964" s="122"/>
      <c r="BC31964" s="141"/>
    </row>
    <row r="31965">
      <c r="BB31965" s="122"/>
      <c r="BC31965" s="141"/>
    </row>
    <row r="31966">
      <c r="BB31966" s="122"/>
      <c r="BC31966" s="141"/>
    </row>
    <row r="31967">
      <c r="BB31967" s="122"/>
      <c r="BC31967" s="141"/>
    </row>
    <row r="31968">
      <c r="BB31968" s="122"/>
      <c r="BC31968" s="141"/>
    </row>
    <row r="31969">
      <c r="BB31969" s="122"/>
      <c r="BC31969" s="141"/>
    </row>
    <row r="31970">
      <c r="BB31970" s="122"/>
      <c r="BC31970" s="141"/>
    </row>
    <row r="31971">
      <c r="BB31971" s="122"/>
      <c r="BC31971" s="141"/>
    </row>
    <row r="31972">
      <c r="BB31972" s="122"/>
      <c r="BC31972" s="141"/>
    </row>
    <row r="31973">
      <c r="BB31973" s="122"/>
      <c r="BC31973" s="141"/>
    </row>
    <row r="31974">
      <c r="BB31974" s="122"/>
      <c r="BC31974" s="141"/>
    </row>
    <row r="31975">
      <c r="BB31975" s="122"/>
      <c r="BC31975" s="141"/>
    </row>
    <row r="31976">
      <c r="BB31976" s="122"/>
      <c r="BC31976" s="141"/>
    </row>
    <row r="31977">
      <c r="BB31977" s="122"/>
      <c r="BC31977" s="141"/>
    </row>
    <row r="31978">
      <c r="BB31978" s="122"/>
      <c r="BC31978" s="141"/>
    </row>
    <row r="31979">
      <c r="BB31979" s="122"/>
      <c r="BC31979" s="141"/>
    </row>
    <row r="31980">
      <c r="BB31980" s="122"/>
      <c r="BC31980" s="141"/>
    </row>
    <row r="31981">
      <c r="BB31981" s="122"/>
      <c r="BC31981" s="141"/>
    </row>
    <row r="31982">
      <c r="BB31982" s="122"/>
      <c r="BC31982" s="141"/>
    </row>
    <row r="31983">
      <c r="BB31983" s="122"/>
      <c r="BC31983" s="141"/>
    </row>
    <row r="31984">
      <c r="BB31984" s="122"/>
      <c r="BC31984" s="141"/>
    </row>
    <row r="31985">
      <c r="BB31985" s="122"/>
      <c r="BC31985" s="141"/>
    </row>
    <row r="31986">
      <c r="BB31986" s="122"/>
      <c r="BC31986" s="141"/>
    </row>
    <row r="31987">
      <c r="BB31987" s="122"/>
      <c r="BC31987" s="141"/>
    </row>
    <row r="31988">
      <c r="BB31988" s="122"/>
      <c r="BC31988" s="141"/>
    </row>
    <row r="31989">
      <c r="BB31989" s="122"/>
      <c r="BC31989" s="141"/>
    </row>
    <row r="31990">
      <c r="BB31990" s="122"/>
      <c r="BC31990" s="141"/>
    </row>
    <row r="31991">
      <c r="BB31991" s="122"/>
      <c r="BC31991" s="141"/>
    </row>
    <row r="31992">
      <c r="BB31992" s="122"/>
      <c r="BC31992" s="141"/>
    </row>
    <row r="31993">
      <c r="BB31993" s="122"/>
      <c r="BC31993" s="141"/>
    </row>
    <row r="31994">
      <c r="BB31994" s="122"/>
      <c r="BC31994" s="141"/>
    </row>
    <row r="31995">
      <c r="BB31995" s="122"/>
      <c r="BC31995" s="141"/>
    </row>
    <row r="31996">
      <c r="BB31996" s="122"/>
      <c r="BC31996" s="141"/>
    </row>
    <row r="31997">
      <c r="BB31997" s="122"/>
      <c r="BC31997" s="141"/>
    </row>
    <row r="31998">
      <c r="BB31998" s="122"/>
      <c r="BC31998" s="141"/>
    </row>
    <row r="31999">
      <c r="BB31999" s="122"/>
      <c r="BC31999" s="141"/>
    </row>
    <row r="32000">
      <c r="BB32000" s="122"/>
      <c r="BC32000" s="141"/>
    </row>
    <row r="32001">
      <c r="BB32001" s="122"/>
      <c r="BC32001" s="141"/>
    </row>
    <row r="32002">
      <c r="BB32002" s="122"/>
      <c r="BC32002" s="141"/>
    </row>
    <row r="32003">
      <c r="BB32003" s="122"/>
      <c r="BC32003" s="141"/>
    </row>
    <row r="32004">
      <c r="BB32004" s="122"/>
      <c r="BC32004" s="141"/>
    </row>
    <row r="32005">
      <c r="BB32005" s="122"/>
      <c r="BC32005" s="141"/>
    </row>
    <row r="32006">
      <c r="BB32006" s="122"/>
      <c r="BC32006" s="141"/>
    </row>
    <row r="32007">
      <c r="BB32007" s="122"/>
      <c r="BC32007" s="141"/>
    </row>
    <row r="32008">
      <c r="BB32008" s="122"/>
      <c r="BC32008" s="141"/>
    </row>
    <row r="32009">
      <c r="BB32009" s="122"/>
      <c r="BC32009" s="141"/>
    </row>
    <row r="32010">
      <c r="BB32010" s="122"/>
      <c r="BC32010" s="141"/>
    </row>
    <row r="32011">
      <c r="BB32011" s="122"/>
      <c r="BC32011" s="141"/>
    </row>
    <row r="32012">
      <c r="BB32012" s="122"/>
      <c r="BC32012" s="141"/>
    </row>
    <row r="32013">
      <c r="BB32013" s="122"/>
      <c r="BC32013" s="141"/>
    </row>
    <row r="32014">
      <c r="BB32014" s="122"/>
      <c r="BC32014" s="141"/>
    </row>
    <row r="32015">
      <c r="BB32015" s="122"/>
      <c r="BC32015" s="141"/>
    </row>
    <row r="32016">
      <c r="BB32016" s="122"/>
      <c r="BC32016" s="141"/>
    </row>
    <row r="32017">
      <c r="BB32017" s="122"/>
      <c r="BC32017" s="141"/>
    </row>
    <row r="32018">
      <c r="BB32018" s="122"/>
      <c r="BC32018" s="141"/>
    </row>
    <row r="32019">
      <c r="BB32019" s="122"/>
      <c r="BC32019" s="141"/>
    </row>
    <row r="32020">
      <c r="BB32020" s="122"/>
      <c r="BC32020" s="141"/>
    </row>
    <row r="32021">
      <c r="BB32021" s="122"/>
      <c r="BC32021" s="141"/>
    </row>
    <row r="32022">
      <c r="BB32022" s="122"/>
      <c r="BC32022" s="141"/>
    </row>
    <row r="32023">
      <c r="BB32023" s="122"/>
      <c r="BC32023" s="141"/>
    </row>
    <row r="32024">
      <c r="BB32024" s="122"/>
      <c r="BC32024" s="141"/>
    </row>
    <row r="32025">
      <c r="BB32025" s="122"/>
      <c r="BC32025" s="141"/>
    </row>
    <row r="32026">
      <c r="BB32026" s="122"/>
      <c r="BC32026" s="141"/>
    </row>
    <row r="32027">
      <c r="BB32027" s="122"/>
      <c r="BC32027" s="141"/>
    </row>
    <row r="32028">
      <c r="BB32028" s="122"/>
      <c r="BC32028" s="141"/>
    </row>
    <row r="32029">
      <c r="BB32029" s="122"/>
      <c r="BC32029" s="141"/>
    </row>
    <row r="32030">
      <c r="BB32030" s="122"/>
      <c r="BC32030" s="141"/>
    </row>
    <row r="32031">
      <c r="BB32031" s="122"/>
      <c r="BC32031" s="141"/>
    </row>
    <row r="32032">
      <c r="BB32032" s="122"/>
      <c r="BC32032" s="141"/>
    </row>
    <row r="32033">
      <c r="BB32033" s="122"/>
      <c r="BC32033" s="141"/>
    </row>
    <row r="32034">
      <c r="BB32034" s="122"/>
      <c r="BC32034" s="141"/>
    </row>
    <row r="32035">
      <c r="BB32035" s="122"/>
      <c r="BC32035" s="141"/>
    </row>
    <row r="32036">
      <c r="BB32036" s="122"/>
      <c r="BC32036" s="141"/>
    </row>
    <row r="32037">
      <c r="BB32037" s="122"/>
      <c r="BC32037" s="141"/>
    </row>
    <row r="32038">
      <c r="BB32038" s="122"/>
      <c r="BC32038" s="141"/>
    </row>
    <row r="32039">
      <c r="BB32039" s="122"/>
      <c r="BC32039" s="141"/>
    </row>
    <row r="32040">
      <c r="BB32040" s="122"/>
      <c r="BC32040" s="141"/>
    </row>
    <row r="32041">
      <c r="BB32041" s="122"/>
      <c r="BC32041" s="141"/>
    </row>
    <row r="32042">
      <c r="BB32042" s="122"/>
      <c r="BC32042" s="141"/>
    </row>
    <row r="32043">
      <c r="BB32043" s="122"/>
      <c r="BC32043" s="141"/>
    </row>
    <row r="32044">
      <c r="BB32044" s="122"/>
      <c r="BC32044" s="141"/>
    </row>
    <row r="32045">
      <c r="BB32045" s="122"/>
      <c r="BC32045" s="141"/>
    </row>
    <row r="32046">
      <c r="BB32046" s="122"/>
      <c r="BC32046" s="141"/>
    </row>
    <row r="32047">
      <c r="BB32047" s="122"/>
      <c r="BC32047" s="141"/>
    </row>
    <row r="32048">
      <c r="BB32048" s="122"/>
      <c r="BC32048" s="141"/>
    </row>
    <row r="32049">
      <c r="BB32049" s="122"/>
      <c r="BC32049" s="141"/>
    </row>
    <row r="32050">
      <c r="BB32050" s="122"/>
      <c r="BC32050" s="141"/>
    </row>
    <row r="32051">
      <c r="BB32051" s="122"/>
      <c r="BC32051" s="141"/>
    </row>
    <row r="32052">
      <c r="BB32052" s="122"/>
      <c r="BC32052" s="141"/>
    </row>
    <row r="32053">
      <c r="BB32053" s="122"/>
      <c r="BC32053" s="141"/>
    </row>
    <row r="32054">
      <c r="BB32054" s="122"/>
      <c r="BC32054" s="141"/>
    </row>
    <row r="32055">
      <c r="BB32055" s="122"/>
      <c r="BC32055" s="141"/>
    </row>
    <row r="32056">
      <c r="BB32056" s="122"/>
      <c r="BC32056" s="141"/>
    </row>
    <row r="32057">
      <c r="BB32057" s="122"/>
      <c r="BC32057" s="141"/>
    </row>
    <row r="32058">
      <c r="BB32058" s="122"/>
      <c r="BC32058" s="141"/>
    </row>
    <row r="32059">
      <c r="BB32059" s="122"/>
      <c r="BC32059" s="141"/>
    </row>
    <row r="32060">
      <c r="BB32060" s="122"/>
      <c r="BC32060" s="141"/>
    </row>
    <row r="32061">
      <c r="BB32061" s="122"/>
      <c r="BC32061" s="141"/>
    </row>
    <row r="32062">
      <c r="BB32062" s="122"/>
      <c r="BC32062" s="141"/>
    </row>
    <row r="32063">
      <c r="BB32063" s="122"/>
      <c r="BC32063" s="141"/>
    </row>
    <row r="32064">
      <c r="BB32064" s="122"/>
      <c r="BC32064" s="141"/>
    </row>
    <row r="32065">
      <c r="BB32065" s="122"/>
      <c r="BC32065" s="141"/>
    </row>
    <row r="32066">
      <c r="BB32066" s="122"/>
      <c r="BC32066" s="141"/>
    </row>
    <row r="32067">
      <c r="BB32067" s="122"/>
      <c r="BC32067" s="141"/>
    </row>
    <row r="32068">
      <c r="BB32068" s="122"/>
      <c r="BC32068" s="141"/>
    </row>
    <row r="32069">
      <c r="BB32069" s="122"/>
      <c r="BC32069" s="141"/>
    </row>
    <row r="32070">
      <c r="BB32070" s="122"/>
      <c r="BC32070" s="141"/>
    </row>
    <row r="32071">
      <c r="BB32071" s="122"/>
      <c r="BC32071" s="141"/>
    </row>
    <row r="32072">
      <c r="BB32072" s="122"/>
      <c r="BC32072" s="141"/>
    </row>
    <row r="32073">
      <c r="BB32073" s="122"/>
      <c r="BC32073" s="141"/>
    </row>
    <row r="32074">
      <c r="BB32074" s="122"/>
      <c r="BC32074" s="141"/>
    </row>
    <row r="32075">
      <c r="BB32075" s="122"/>
      <c r="BC32075" s="141"/>
    </row>
    <row r="32076">
      <c r="BB32076" s="122"/>
      <c r="BC32076" s="141"/>
    </row>
    <row r="32077">
      <c r="BB32077" s="122"/>
      <c r="BC32077" s="141"/>
    </row>
    <row r="32078">
      <c r="BB32078" s="122"/>
      <c r="BC32078" s="141"/>
    </row>
    <row r="32079">
      <c r="BB32079" s="122"/>
      <c r="BC32079" s="141"/>
    </row>
    <row r="32080">
      <c r="BB32080" s="122"/>
      <c r="BC32080" s="141"/>
    </row>
    <row r="32081">
      <c r="BB32081" s="122"/>
      <c r="BC32081" s="141"/>
    </row>
    <row r="32082">
      <c r="BB32082" s="122"/>
      <c r="BC32082" s="141"/>
    </row>
    <row r="32083">
      <c r="BB32083" s="122"/>
      <c r="BC32083" s="141"/>
    </row>
    <row r="32084">
      <c r="BB32084" s="122"/>
      <c r="BC32084" s="141"/>
    </row>
    <row r="32085">
      <c r="BB32085" s="122"/>
      <c r="BC32085" s="141"/>
    </row>
    <row r="32086">
      <c r="BB32086" s="122"/>
      <c r="BC32086" s="141"/>
    </row>
    <row r="32087">
      <c r="BB32087" s="122"/>
      <c r="BC32087" s="141"/>
    </row>
    <row r="32088">
      <c r="BB32088" s="122"/>
      <c r="BC32088" s="141"/>
    </row>
    <row r="32089">
      <c r="BB32089" s="122"/>
      <c r="BC32089" s="141"/>
    </row>
    <row r="32090">
      <c r="BB32090" s="122"/>
      <c r="BC32090" s="141"/>
    </row>
    <row r="32091">
      <c r="BB32091" s="122"/>
      <c r="BC32091" s="141"/>
    </row>
    <row r="32092">
      <c r="BB32092" s="122"/>
      <c r="BC32092" s="141"/>
    </row>
    <row r="32093">
      <c r="BB32093" s="122"/>
      <c r="BC32093" s="141"/>
    </row>
    <row r="32094">
      <c r="BB32094" s="122"/>
      <c r="BC32094" s="141"/>
    </row>
    <row r="32095">
      <c r="BB32095" s="122"/>
      <c r="BC32095" s="141"/>
    </row>
    <row r="32096">
      <c r="BB32096" s="122"/>
      <c r="BC32096" s="141"/>
    </row>
    <row r="32097">
      <c r="BB32097" s="122"/>
      <c r="BC32097" s="141"/>
    </row>
    <row r="32098">
      <c r="BB32098" s="122"/>
      <c r="BC32098" s="141"/>
    </row>
    <row r="32099">
      <c r="BB32099" s="122"/>
      <c r="BC32099" s="141"/>
    </row>
    <row r="32100">
      <c r="BB32100" s="122"/>
      <c r="BC32100" s="141"/>
    </row>
    <row r="32101">
      <c r="BB32101" s="122"/>
      <c r="BC32101" s="141"/>
    </row>
    <row r="32102">
      <c r="BB32102" s="122"/>
      <c r="BC32102" s="141"/>
    </row>
    <row r="32103">
      <c r="BB32103" s="122"/>
      <c r="BC32103" s="141"/>
    </row>
    <row r="32104">
      <c r="BB32104" s="122"/>
      <c r="BC32104" s="141"/>
    </row>
    <row r="32105">
      <c r="BB32105" s="122"/>
      <c r="BC32105" s="141"/>
    </row>
    <row r="32106">
      <c r="BB32106" s="122"/>
      <c r="BC32106" s="141"/>
    </row>
    <row r="32107">
      <c r="BB32107" s="122"/>
      <c r="BC32107" s="141"/>
    </row>
    <row r="32108">
      <c r="BB32108" s="122"/>
      <c r="BC32108" s="141"/>
    </row>
    <row r="32109">
      <c r="BB32109" s="122"/>
      <c r="BC32109" s="141"/>
    </row>
    <row r="32110">
      <c r="BB32110" s="122"/>
      <c r="BC32110" s="141"/>
    </row>
    <row r="32111">
      <c r="BB32111" s="122"/>
      <c r="BC32111" s="141"/>
    </row>
    <row r="32112">
      <c r="BB32112" s="122"/>
      <c r="BC32112" s="141"/>
    </row>
    <row r="32113">
      <c r="BB32113" s="122"/>
      <c r="BC32113" s="141"/>
    </row>
    <row r="32114">
      <c r="BB32114" s="122"/>
      <c r="BC32114" s="141"/>
    </row>
    <row r="32115">
      <c r="BB32115" s="122"/>
      <c r="BC32115" s="141"/>
    </row>
    <row r="32116">
      <c r="BB32116" s="122"/>
      <c r="BC32116" s="141"/>
    </row>
    <row r="32117">
      <c r="BB32117" s="122"/>
      <c r="BC32117" s="141"/>
    </row>
    <row r="32118">
      <c r="BB32118" s="122"/>
      <c r="BC32118" s="141"/>
    </row>
    <row r="32119">
      <c r="BB32119" s="122"/>
      <c r="BC32119" s="141"/>
    </row>
    <row r="32120">
      <c r="BB32120" s="122"/>
      <c r="BC32120" s="141"/>
    </row>
    <row r="32121">
      <c r="BB32121" s="122"/>
      <c r="BC32121" s="141"/>
    </row>
    <row r="32122">
      <c r="BB32122" s="122"/>
      <c r="BC32122" s="141"/>
    </row>
    <row r="32123">
      <c r="BB32123" s="122"/>
      <c r="BC32123" s="141"/>
    </row>
    <row r="32124">
      <c r="BB32124" s="122"/>
      <c r="BC32124" s="141"/>
    </row>
    <row r="32125">
      <c r="BB32125" s="122"/>
      <c r="BC32125" s="141"/>
    </row>
    <row r="32126">
      <c r="BB32126" s="122"/>
      <c r="BC32126" s="141"/>
    </row>
    <row r="32127">
      <c r="BB32127" s="122"/>
      <c r="BC32127" s="141"/>
    </row>
    <row r="32128">
      <c r="BB32128" s="122"/>
      <c r="BC32128" s="141"/>
    </row>
    <row r="32129">
      <c r="BB32129" s="122"/>
      <c r="BC32129" s="141"/>
    </row>
    <row r="32130">
      <c r="BB32130" s="122"/>
      <c r="BC32130" s="141"/>
    </row>
    <row r="32131">
      <c r="BB32131" s="122"/>
      <c r="BC32131" s="141"/>
    </row>
    <row r="32132">
      <c r="BB32132" s="122"/>
      <c r="BC32132" s="141"/>
    </row>
    <row r="32133">
      <c r="BB32133" s="122"/>
      <c r="BC32133" s="141"/>
    </row>
    <row r="32134">
      <c r="BB32134" s="122"/>
      <c r="BC32134" s="141"/>
    </row>
    <row r="32135">
      <c r="BB32135" s="122"/>
      <c r="BC32135" s="141"/>
    </row>
    <row r="32136">
      <c r="BB32136" s="122"/>
      <c r="BC32136" s="141"/>
    </row>
    <row r="32137">
      <c r="BB32137" s="122"/>
      <c r="BC32137" s="141"/>
    </row>
    <row r="32138">
      <c r="BB32138" s="122"/>
      <c r="BC32138" s="141"/>
    </row>
    <row r="32139">
      <c r="BB32139" s="122"/>
      <c r="BC32139" s="141"/>
    </row>
    <row r="32140">
      <c r="BB32140" s="122"/>
      <c r="BC32140" s="141"/>
    </row>
    <row r="32141">
      <c r="BB32141" s="122"/>
      <c r="BC32141" s="141"/>
    </row>
    <row r="32142">
      <c r="BB32142" s="122"/>
      <c r="BC32142" s="141"/>
    </row>
    <row r="32143">
      <c r="BB32143" s="122"/>
      <c r="BC32143" s="141"/>
    </row>
    <row r="32144">
      <c r="BB32144" s="122"/>
      <c r="BC32144" s="141"/>
    </row>
    <row r="32145">
      <c r="BB32145" s="122"/>
      <c r="BC32145" s="141"/>
    </row>
    <row r="32146">
      <c r="BB32146" s="122"/>
      <c r="BC32146" s="141"/>
    </row>
    <row r="32147">
      <c r="BB32147" s="122"/>
      <c r="BC32147" s="141"/>
    </row>
    <row r="32148">
      <c r="BB32148" s="122"/>
      <c r="BC32148" s="141"/>
    </row>
    <row r="32149">
      <c r="BB32149" s="122"/>
      <c r="BC32149" s="141"/>
    </row>
    <row r="32150">
      <c r="BB32150" s="122"/>
      <c r="BC32150" s="141"/>
    </row>
    <row r="32151">
      <c r="BB32151" s="122"/>
      <c r="BC32151" s="141"/>
    </row>
    <row r="32152">
      <c r="BB32152" s="122"/>
      <c r="BC32152" s="141"/>
    </row>
    <row r="32153">
      <c r="BB32153" s="122"/>
      <c r="BC32153" s="141"/>
    </row>
    <row r="32154">
      <c r="BB32154" s="122"/>
      <c r="BC32154" s="141"/>
    </row>
    <row r="32155">
      <c r="BB32155" s="122"/>
      <c r="BC32155" s="141"/>
    </row>
    <row r="32156">
      <c r="BB32156" s="122"/>
      <c r="BC32156" s="141"/>
    </row>
    <row r="32157">
      <c r="BB32157" s="122"/>
      <c r="BC32157" s="141"/>
    </row>
    <row r="32158">
      <c r="BB32158" s="122"/>
      <c r="BC32158" s="141"/>
    </row>
    <row r="32159">
      <c r="BB32159" s="122"/>
      <c r="BC32159" s="141"/>
    </row>
    <row r="32160">
      <c r="BB32160" s="122"/>
      <c r="BC32160" s="141"/>
    </row>
    <row r="32161">
      <c r="BB32161" s="122"/>
      <c r="BC32161" s="141"/>
    </row>
    <row r="32162">
      <c r="BB32162" s="122"/>
      <c r="BC32162" s="141"/>
    </row>
    <row r="32163">
      <c r="BB32163" s="122"/>
      <c r="BC32163" s="141"/>
    </row>
    <row r="32164">
      <c r="BB32164" s="122"/>
      <c r="BC32164" s="141"/>
    </row>
    <row r="32165">
      <c r="BB32165" s="122"/>
      <c r="BC32165" s="141"/>
    </row>
    <row r="32166">
      <c r="BB32166" s="122"/>
      <c r="BC32166" s="141"/>
    </row>
    <row r="32167">
      <c r="BB32167" s="122"/>
      <c r="BC32167" s="141"/>
    </row>
    <row r="32168">
      <c r="BB32168" s="122"/>
      <c r="BC32168" s="141"/>
    </row>
    <row r="32169">
      <c r="BB32169" s="122"/>
      <c r="BC32169" s="141"/>
    </row>
    <row r="32170">
      <c r="BB32170" s="122"/>
      <c r="BC32170" s="141"/>
    </row>
    <row r="32171">
      <c r="BB32171" s="122"/>
      <c r="BC32171" s="141"/>
    </row>
    <row r="32172">
      <c r="BB32172" s="122"/>
      <c r="BC32172" s="141"/>
    </row>
    <row r="32173">
      <c r="BB32173" s="122"/>
      <c r="BC32173" s="141"/>
    </row>
    <row r="32174">
      <c r="BB32174" s="122"/>
      <c r="BC32174" s="141"/>
    </row>
    <row r="32175">
      <c r="BB32175" s="122"/>
      <c r="BC32175" s="141"/>
    </row>
    <row r="32176">
      <c r="BB32176" s="122"/>
      <c r="BC32176" s="141"/>
    </row>
    <row r="32177">
      <c r="BB32177" s="122"/>
      <c r="BC32177" s="141"/>
    </row>
    <row r="32178">
      <c r="BB32178" s="122"/>
      <c r="BC32178" s="141"/>
    </row>
    <row r="32179">
      <c r="BB32179" s="122"/>
      <c r="BC32179" s="141"/>
    </row>
    <row r="32180">
      <c r="BB32180" s="122"/>
      <c r="BC32180" s="141"/>
    </row>
    <row r="32181">
      <c r="BB32181" s="122"/>
      <c r="BC32181" s="141"/>
    </row>
    <row r="32182">
      <c r="BB32182" s="122"/>
      <c r="BC32182" s="141"/>
    </row>
    <row r="32183">
      <c r="BB32183" s="122"/>
      <c r="BC32183" s="141"/>
    </row>
    <row r="32184">
      <c r="BB32184" s="122"/>
      <c r="BC32184" s="141"/>
    </row>
    <row r="32185">
      <c r="BB32185" s="122"/>
      <c r="BC32185" s="141"/>
    </row>
    <row r="32186">
      <c r="BB32186" s="122"/>
      <c r="BC32186" s="141"/>
    </row>
    <row r="32187">
      <c r="BB32187" s="122"/>
      <c r="BC32187" s="141"/>
    </row>
    <row r="32188">
      <c r="BB32188" s="122"/>
      <c r="BC32188" s="141"/>
    </row>
    <row r="32189">
      <c r="BB32189" s="122"/>
      <c r="BC32189" s="141"/>
    </row>
    <row r="32190">
      <c r="BB32190" s="122"/>
      <c r="BC32190" s="141"/>
    </row>
    <row r="32191">
      <c r="BB32191" s="122"/>
      <c r="BC32191" s="141"/>
    </row>
    <row r="32192">
      <c r="BB32192" s="122"/>
      <c r="BC32192" s="141"/>
    </row>
    <row r="32193">
      <c r="BB32193" s="122"/>
      <c r="BC32193" s="141"/>
    </row>
    <row r="32194">
      <c r="BB32194" s="122"/>
      <c r="BC32194" s="141"/>
    </row>
    <row r="32195">
      <c r="BB32195" s="122"/>
      <c r="BC32195" s="141"/>
    </row>
    <row r="32196">
      <c r="BB32196" s="122"/>
      <c r="BC32196" s="141"/>
    </row>
    <row r="32197">
      <c r="BB32197" s="122"/>
      <c r="BC32197" s="141"/>
    </row>
    <row r="32198">
      <c r="BB32198" s="122"/>
      <c r="BC32198" s="141"/>
    </row>
    <row r="32199">
      <c r="BB32199" s="122"/>
      <c r="BC32199" s="141"/>
    </row>
    <row r="32200">
      <c r="BB32200" s="122"/>
      <c r="BC32200" s="141"/>
    </row>
    <row r="32201">
      <c r="BB32201" s="122"/>
      <c r="BC32201" s="141"/>
    </row>
    <row r="32202">
      <c r="BB32202" s="122"/>
      <c r="BC32202" s="141"/>
    </row>
    <row r="32203">
      <c r="BB32203" s="122"/>
      <c r="BC32203" s="141"/>
    </row>
    <row r="32204">
      <c r="BB32204" s="122"/>
      <c r="BC32204" s="141"/>
    </row>
    <row r="32205">
      <c r="BB32205" s="122"/>
      <c r="BC32205" s="141"/>
    </row>
    <row r="32206">
      <c r="BB32206" s="122"/>
      <c r="BC32206" s="141"/>
    </row>
    <row r="32207">
      <c r="BB32207" s="122"/>
      <c r="BC32207" s="141"/>
    </row>
    <row r="32208">
      <c r="BB32208" s="122"/>
      <c r="BC32208" s="141"/>
    </row>
    <row r="32209">
      <c r="BB32209" s="122"/>
      <c r="BC32209" s="141"/>
    </row>
    <row r="32210">
      <c r="BB32210" s="122"/>
      <c r="BC32210" s="141"/>
    </row>
    <row r="32211">
      <c r="BB32211" s="122"/>
      <c r="BC32211" s="141"/>
    </row>
    <row r="32212">
      <c r="BB32212" s="122"/>
      <c r="BC32212" s="141"/>
    </row>
    <row r="32213">
      <c r="BB32213" s="122"/>
      <c r="BC32213" s="141"/>
    </row>
    <row r="32214">
      <c r="BB32214" s="122"/>
      <c r="BC32214" s="141"/>
    </row>
    <row r="32215">
      <c r="BB32215" s="122"/>
      <c r="BC32215" s="141"/>
    </row>
    <row r="32216">
      <c r="BB32216" s="122"/>
      <c r="BC32216" s="141"/>
    </row>
    <row r="32217">
      <c r="BB32217" s="122"/>
      <c r="BC32217" s="141"/>
    </row>
    <row r="32218">
      <c r="BB32218" s="122"/>
      <c r="BC32218" s="141"/>
    </row>
    <row r="32219">
      <c r="BB32219" s="122"/>
      <c r="BC32219" s="141"/>
    </row>
    <row r="32220">
      <c r="BB32220" s="122"/>
      <c r="BC32220" s="141"/>
    </row>
    <row r="32221">
      <c r="BB32221" s="122"/>
      <c r="BC32221" s="141"/>
    </row>
    <row r="32222">
      <c r="BB32222" s="122"/>
      <c r="BC32222" s="141"/>
    </row>
    <row r="32223">
      <c r="BB32223" s="122"/>
      <c r="BC32223" s="141"/>
    </row>
    <row r="32224">
      <c r="BB32224" s="122"/>
      <c r="BC32224" s="141"/>
    </row>
    <row r="32225">
      <c r="BB32225" s="122"/>
      <c r="BC32225" s="141"/>
    </row>
    <row r="32226">
      <c r="BB32226" s="122"/>
      <c r="BC32226" s="141"/>
    </row>
    <row r="32227">
      <c r="BB32227" s="122"/>
      <c r="BC32227" s="141"/>
    </row>
    <row r="32228">
      <c r="BB32228" s="122"/>
      <c r="BC32228" s="141"/>
    </row>
    <row r="32229">
      <c r="BB32229" s="122"/>
      <c r="BC32229" s="141"/>
    </row>
    <row r="32230">
      <c r="BB32230" s="122"/>
      <c r="BC32230" s="141"/>
    </row>
    <row r="32231">
      <c r="BB32231" s="122"/>
      <c r="BC32231" s="141"/>
    </row>
    <row r="32232">
      <c r="BB32232" s="122"/>
      <c r="BC32232" s="141"/>
    </row>
    <row r="32233">
      <c r="BB32233" s="122"/>
      <c r="BC32233" s="141"/>
    </row>
    <row r="32234">
      <c r="BB32234" s="122"/>
      <c r="BC32234" s="141"/>
    </row>
    <row r="32235">
      <c r="BB32235" s="122"/>
      <c r="BC32235" s="141"/>
    </row>
    <row r="32236">
      <c r="BB32236" s="122"/>
      <c r="BC32236" s="141"/>
    </row>
    <row r="32237">
      <c r="BB32237" s="122"/>
      <c r="BC32237" s="141"/>
    </row>
    <row r="32238">
      <c r="BB32238" s="122"/>
      <c r="BC32238" s="141"/>
    </row>
    <row r="32239">
      <c r="BB32239" s="122"/>
      <c r="BC32239" s="141"/>
    </row>
    <row r="32240">
      <c r="BB32240" s="122"/>
      <c r="BC32240" s="141"/>
    </row>
    <row r="32241">
      <c r="BB32241" s="122"/>
      <c r="BC32241" s="141"/>
    </row>
    <row r="32242">
      <c r="BB32242" s="122"/>
      <c r="BC32242" s="141"/>
    </row>
    <row r="32243">
      <c r="BB32243" s="122"/>
      <c r="BC32243" s="141"/>
    </row>
    <row r="32244">
      <c r="BB32244" s="122"/>
      <c r="BC32244" s="141"/>
    </row>
    <row r="32245">
      <c r="BB32245" s="122"/>
      <c r="BC32245" s="141"/>
    </row>
    <row r="32246">
      <c r="BB32246" s="122"/>
      <c r="BC32246" s="141"/>
    </row>
    <row r="32247">
      <c r="BB32247" s="122"/>
      <c r="BC32247" s="141"/>
    </row>
    <row r="32248">
      <c r="BB32248" s="122"/>
      <c r="BC32248" s="141"/>
    </row>
    <row r="32249">
      <c r="BB32249" s="122"/>
      <c r="BC32249" s="141"/>
    </row>
    <row r="32250">
      <c r="BB32250" s="122"/>
      <c r="BC32250" s="141"/>
    </row>
    <row r="32251">
      <c r="BB32251" s="122"/>
      <c r="BC32251" s="141"/>
    </row>
    <row r="32252">
      <c r="BB32252" s="122"/>
      <c r="BC32252" s="141"/>
    </row>
    <row r="32253">
      <c r="BB32253" s="122"/>
      <c r="BC32253" s="141"/>
    </row>
    <row r="32254">
      <c r="BB32254" s="122"/>
      <c r="BC32254" s="141"/>
    </row>
    <row r="32255">
      <c r="BB32255" s="122"/>
      <c r="BC32255" s="141"/>
    </row>
    <row r="32256">
      <c r="BB32256" s="122"/>
      <c r="BC32256" s="141"/>
    </row>
    <row r="32257">
      <c r="BB32257" s="122"/>
      <c r="BC32257" s="141"/>
    </row>
    <row r="32258">
      <c r="BB32258" s="122"/>
      <c r="BC32258" s="141"/>
    </row>
    <row r="32259">
      <c r="BB32259" s="122"/>
      <c r="BC32259" s="141"/>
    </row>
    <row r="32260">
      <c r="BB32260" s="122"/>
      <c r="BC32260" s="141"/>
    </row>
    <row r="32261">
      <c r="BB32261" s="122"/>
      <c r="BC32261" s="141"/>
    </row>
    <row r="32262">
      <c r="BB32262" s="122"/>
      <c r="BC32262" s="141"/>
    </row>
    <row r="32263">
      <c r="BB32263" s="122"/>
      <c r="BC32263" s="141"/>
    </row>
    <row r="32264">
      <c r="BB32264" s="122"/>
      <c r="BC32264" s="141"/>
    </row>
    <row r="32265">
      <c r="BB32265" s="122"/>
      <c r="BC32265" s="141"/>
    </row>
    <row r="32266">
      <c r="BB32266" s="122"/>
      <c r="BC32266" s="141"/>
    </row>
    <row r="32267">
      <c r="BB32267" s="122"/>
      <c r="BC32267" s="141"/>
    </row>
    <row r="32268">
      <c r="BB32268" s="122"/>
      <c r="BC32268" s="141"/>
    </row>
    <row r="32269">
      <c r="BB32269" s="122"/>
      <c r="BC32269" s="141"/>
    </row>
    <row r="32270">
      <c r="BB32270" s="122"/>
      <c r="BC32270" s="141"/>
    </row>
    <row r="32271">
      <c r="BB32271" s="122"/>
      <c r="BC32271" s="141"/>
    </row>
    <row r="32272">
      <c r="BB32272" s="122"/>
      <c r="BC32272" s="141"/>
    </row>
    <row r="32273">
      <c r="BB32273" s="122"/>
      <c r="BC32273" s="141"/>
    </row>
    <row r="32274">
      <c r="BB32274" s="122"/>
      <c r="BC32274" s="141"/>
    </row>
    <row r="32275">
      <c r="BB32275" s="122"/>
      <c r="BC32275" s="141"/>
    </row>
    <row r="32276">
      <c r="BB32276" s="122"/>
      <c r="BC32276" s="141"/>
    </row>
    <row r="32277">
      <c r="BB32277" s="122"/>
      <c r="BC32277" s="141"/>
    </row>
    <row r="32278">
      <c r="BB32278" s="122"/>
      <c r="BC32278" s="141"/>
    </row>
    <row r="32279">
      <c r="BB32279" s="122"/>
      <c r="BC32279" s="141"/>
    </row>
    <row r="32280">
      <c r="BB32280" s="122"/>
      <c r="BC32280" s="141"/>
    </row>
    <row r="32281">
      <c r="BB32281" s="122"/>
      <c r="BC32281" s="141"/>
    </row>
    <row r="32282">
      <c r="BB32282" s="122"/>
      <c r="BC32282" s="141"/>
    </row>
    <row r="32283">
      <c r="BB32283" s="122"/>
      <c r="BC32283" s="141"/>
    </row>
    <row r="32284">
      <c r="BB32284" s="122"/>
      <c r="BC32284" s="141"/>
    </row>
    <row r="32285">
      <c r="BB32285" s="122"/>
      <c r="BC32285" s="141"/>
    </row>
    <row r="32286">
      <c r="BB32286" s="122"/>
      <c r="BC32286" s="141"/>
    </row>
    <row r="32287">
      <c r="BB32287" s="122"/>
      <c r="BC32287" s="141"/>
    </row>
    <row r="32288">
      <c r="BB32288" s="122"/>
      <c r="BC32288" s="141"/>
    </row>
    <row r="32289">
      <c r="BB32289" s="122"/>
      <c r="BC32289" s="141"/>
    </row>
    <row r="32290">
      <c r="BB32290" s="122"/>
      <c r="BC32290" s="141"/>
    </row>
    <row r="32291">
      <c r="BB32291" s="122"/>
      <c r="BC32291" s="141"/>
    </row>
    <row r="32292">
      <c r="BB32292" s="122"/>
      <c r="BC32292" s="141"/>
    </row>
    <row r="32293">
      <c r="BB32293" s="122"/>
      <c r="BC32293" s="141"/>
    </row>
    <row r="32294">
      <c r="BB32294" s="122"/>
      <c r="BC32294" s="141"/>
    </row>
    <row r="32295">
      <c r="BB32295" s="122"/>
      <c r="BC32295" s="141"/>
    </row>
    <row r="32296">
      <c r="BB32296" s="122"/>
      <c r="BC32296" s="141"/>
    </row>
    <row r="32297">
      <c r="BB32297" s="122"/>
      <c r="BC32297" s="141"/>
    </row>
    <row r="32298">
      <c r="BB32298" s="122"/>
      <c r="BC32298" s="141"/>
    </row>
    <row r="32299">
      <c r="BB32299" s="122"/>
      <c r="BC32299" s="141"/>
    </row>
    <row r="32300">
      <c r="BB32300" s="122"/>
      <c r="BC32300" s="141"/>
    </row>
    <row r="32301">
      <c r="BB32301" s="122"/>
      <c r="BC32301" s="141"/>
    </row>
    <row r="32302">
      <c r="BB32302" s="122"/>
      <c r="BC32302" s="141"/>
    </row>
    <row r="32303">
      <c r="BB32303" s="122"/>
      <c r="BC32303" s="141"/>
    </row>
    <row r="32304">
      <c r="BB32304" s="122"/>
      <c r="BC32304" s="141"/>
    </row>
    <row r="32305">
      <c r="BB32305" s="122"/>
      <c r="BC32305" s="141"/>
    </row>
    <row r="32306">
      <c r="BB32306" s="122"/>
      <c r="BC32306" s="141"/>
    </row>
    <row r="32307">
      <c r="BB32307" s="122"/>
      <c r="BC32307" s="141"/>
    </row>
    <row r="32308">
      <c r="BB32308" s="122"/>
      <c r="BC32308" s="141"/>
    </row>
    <row r="32309">
      <c r="BB32309" s="122"/>
      <c r="BC32309" s="141"/>
    </row>
    <row r="32310">
      <c r="BB32310" s="122"/>
      <c r="BC32310" s="141"/>
    </row>
    <row r="32311">
      <c r="BB32311" s="122"/>
      <c r="BC32311" s="141"/>
    </row>
    <row r="32312">
      <c r="BB32312" s="122"/>
      <c r="BC32312" s="141"/>
    </row>
    <row r="32313">
      <c r="BB32313" s="122"/>
      <c r="BC32313" s="141"/>
    </row>
    <row r="32314">
      <c r="BB32314" s="122"/>
      <c r="BC32314" s="141"/>
    </row>
    <row r="32315">
      <c r="BB32315" s="122"/>
      <c r="BC32315" s="141"/>
    </row>
    <row r="32316">
      <c r="BB32316" s="122"/>
      <c r="BC32316" s="141"/>
    </row>
    <row r="32317">
      <c r="BB32317" s="122"/>
      <c r="BC32317" s="141"/>
    </row>
    <row r="32318">
      <c r="BB32318" s="122"/>
      <c r="BC32318" s="141"/>
    </row>
    <row r="32319">
      <c r="BB32319" s="122"/>
      <c r="BC32319" s="141"/>
    </row>
    <row r="32320">
      <c r="BB32320" s="122"/>
      <c r="BC32320" s="141"/>
    </row>
    <row r="32321">
      <c r="BB32321" s="122"/>
      <c r="BC32321" s="141"/>
    </row>
    <row r="32322">
      <c r="BB32322" s="122"/>
      <c r="BC32322" s="141"/>
    </row>
    <row r="32323">
      <c r="BB32323" s="122"/>
      <c r="BC32323" s="141"/>
    </row>
    <row r="32324">
      <c r="BB32324" s="122"/>
      <c r="BC32324" s="141"/>
    </row>
    <row r="32325">
      <c r="BB32325" s="122"/>
      <c r="BC32325" s="141"/>
    </row>
    <row r="32326">
      <c r="BB32326" s="122"/>
      <c r="BC32326" s="141"/>
    </row>
    <row r="32327">
      <c r="BB32327" s="122"/>
      <c r="BC32327" s="141"/>
    </row>
    <row r="32328">
      <c r="BB32328" s="122"/>
      <c r="BC32328" s="141"/>
    </row>
    <row r="32329">
      <c r="BB32329" s="122"/>
      <c r="BC32329" s="141"/>
    </row>
    <row r="32330">
      <c r="BB32330" s="122"/>
      <c r="BC32330" s="141"/>
    </row>
    <row r="32331">
      <c r="BB32331" s="122"/>
      <c r="BC32331" s="141"/>
    </row>
    <row r="32332">
      <c r="BB32332" s="122"/>
      <c r="BC32332" s="141"/>
    </row>
    <row r="32333">
      <c r="BB32333" s="122"/>
      <c r="BC32333" s="141"/>
    </row>
    <row r="32334">
      <c r="BB32334" s="122"/>
      <c r="BC32334" s="141"/>
    </row>
    <row r="32335">
      <c r="BB32335" s="122"/>
      <c r="BC32335" s="141"/>
    </row>
    <row r="32336">
      <c r="BB32336" s="122"/>
      <c r="BC32336" s="141"/>
    </row>
    <row r="32337">
      <c r="BB32337" s="122"/>
      <c r="BC32337" s="141"/>
    </row>
    <row r="32338">
      <c r="BB32338" s="122"/>
      <c r="BC32338" s="141"/>
    </row>
    <row r="32339">
      <c r="BB32339" s="122"/>
      <c r="BC32339" s="141"/>
    </row>
    <row r="32340">
      <c r="BB32340" s="122"/>
      <c r="BC32340" s="141"/>
    </row>
    <row r="32341">
      <c r="BB32341" s="122"/>
      <c r="BC32341" s="141"/>
    </row>
    <row r="32342">
      <c r="BB32342" s="122"/>
      <c r="BC32342" s="141"/>
    </row>
    <row r="32343">
      <c r="BB32343" s="122"/>
      <c r="BC32343" s="141"/>
    </row>
    <row r="32344">
      <c r="BB32344" s="122"/>
      <c r="BC32344" s="141"/>
    </row>
    <row r="32345">
      <c r="BB32345" s="122"/>
      <c r="BC32345" s="141"/>
    </row>
    <row r="32346">
      <c r="BB32346" s="122"/>
      <c r="BC32346" s="141"/>
    </row>
    <row r="32347">
      <c r="BB32347" s="122"/>
      <c r="BC32347" s="141"/>
    </row>
    <row r="32348">
      <c r="BB32348" s="122"/>
      <c r="BC32348" s="141"/>
    </row>
    <row r="32349">
      <c r="BB32349" s="122"/>
      <c r="BC32349" s="141"/>
    </row>
    <row r="32350">
      <c r="BB32350" s="122"/>
      <c r="BC32350" s="141"/>
    </row>
    <row r="32351">
      <c r="BB32351" s="122"/>
      <c r="BC32351" s="141"/>
    </row>
    <row r="32352">
      <c r="BB32352" s="122"/>
      <c r="BC32352" s="141"/>
    </row>
    <row r="32353">
      <c r="BB32353" s="122"/>
      <c r="BC32353" s="141"/>
    </row>
    <row r="32354">
      <c r="BB32354" s="122"/>
      <c r="BC32354" s="141"/>
    </row>
    <row r="32355">
      <c r="BB32355" s="122"/>
      <c r="BC32355" s="141"/>
    </row>
    <row r="32356">
      <c r="BB32356" s="122"/>
      <c r="BC32356" s="141"/>
    </row>
    <row r="32357">
      <c r="BB32357" s="122"/>
      <c r="BC32357" s="141"/>
    </row>
    <row r="32358">
      <c r="BB32358" s="122"/>
      <c r="BC32358" s="141"/>
    </row>
    <row r="32359">
      <c r="BB32359" s="122"/>
      <c r="BC32359" s="141"/>
    </row>
    <row r="32360">
      <c r="BB32360" s="122"/>
      <c r="BC32360" s="141"/>
    </row>
    <row r="32361">
      <c r="BB32361" s="122"/>
      <c r="BC32361" s="141"/>
    </row>
    <row r="32362">
      <c r="BB32362" s="122"/>
      <c r="BC32362" s="141"/>
    </row>
    <row r="32363">
      <c r="BB32363" s="122"/>
      <c r="BC32363" s="141"/>
    </row>
    <row r="32364">
      <c r="BB32364" s="122"/>
      <c r="BC32364" s="141"/>
    </row>
    <row r="32365">
      <c r="BB32365" s="122"/>
      <c r="BC32365" s="141"/>
    </row>
    <row r="32366">
      <c r="BB32366" s="122"/>
      <c r="BC32366" s="141"/>
    </row>
    <row r="32367">
      <c r="BB32367" s="122"/>
      <c r="BC32367" s="141"/>
    </row>
    <row r="32368">
      <c r="BB32368" s="122"/>
      <c r="BC32368" s="141"/>
    </row>
    <row r="32369">
      <c r="BB32369" s="122"/>
      <c r="BC32369" s="141"/>
    </row>
    <row r="32370">
      <c r="BB32370" s="122"/>
      <c r="BC32370" s="141"/>
    </row>
    <row r="32371">
      <c r="BB32371" s="122"/>
      <c r="BC32371" s="141"/>
    </row>
    <row r="32372">
      <c r="BB32372" s="122"/>
      <c r="BC32372" s="141"/>
    </row>
    <row r="32373">
      <c r="BB32373" s="122"/>
      <c r="BC32373" s="141"/>
    </row>
    <row r="32374">
      <c r="BB32374" s="122"/>
      <c r="BC32374" s="141"/>
    </row>
    <row r="32375">
      <c r="BB32375" s="122"/>
      <c r="BC32375" s="141"/>
    </row>
    <row r="32376">
      <c r="BB32376" s="122"/>
      <c r="BC32376" s="141"/>
    </row>
    <row r="32377">
      <c r="BB32377" s="122"/>
      <c r="BC32377" s="141"/>
    </row>
    <row r="32378">
      <c r="BB32378" s="122"/>
      <c r="BC32378" s="141"/>
    </row>
    <row r="32379">
      <c r="BB32379" s="122"/>
      <c r="BC32379" s="141"/>
    </row>
    <row r="32380">
      <c r="BB32380" s="122"/>
      <c r="BC32380" s="141"/>
    </row>
    <row r="32381">
      <c r="BB32381" s="122"/>
      <c r="BC32381" s="141"/>
    </row>
    <row r="32382">
      <c r="BB32382" s="122"/>
      <c r="BC32382" s="141"/>
    </row>
    <row r="32383">
      <c r="BB32383" s="122"/>
      <c r="BC32383" s="141"/>
    </row>
    <row r="32384">
      <c r="BB32384" s="122"/>
      <c r="BC32384" s="141"/>
    </row>
    <row r="32385">
      <c r="BB32385" s="122"/>
      <c r="BC32385" s="141"/>
    </row>
    <row r="32386">
      <c r="BB32386" s="122"/>
      <c r="BC32386" s="141"/>
    </row>
    <row r="32387">
      <c r="BB32387" s="122"/>
      <c r="BC32387" s="141"/>
    </row>
    <row r="32388">
      <c r="BB32388" s="122"/>
      <c r="BC32388" s="141"/>
    </row>
    <row r="32389">
      <c r="BB32389" s="122"/>
      <c r="BC32389" s="141"/>
    </row>
    <row r="32390">
      <c r="BB32390" s="122"/>
      <c r="BC32390" s="141"/>
    </row>
    <row r="32391">
      <c r="BB32391" s="122"/>
      <c r="BC32391" s="141"/>
    </row>
    <row r="32392">
      <c r="BB32392" s="122"/>
      <c r="BC32392" s="141"/>
    </row>
    <row r="32393">
      <c r="BB32393" s="122"/>
      <c r="BC32393" s="141"/>
    </row>
    <row r="32394">
      <c r="BB32394" s="122"/>
      <c r="BC32394" s="141"/>
    </row>
    <row r="32395">
      <c r="BB32395" s="122"/>
      <c r="BC32395" s="141"/>
    </row>
    <row r="32396">
      <c r="BB32396" s="122"/>
      <c r="BC32396" s="141"/>
    </row>
    <row r="32397">
      <c r="BB32397" s="122"/>
      <c r="BC32397" s="141"/>
    </row>
    <row r="32398">
      <c r="BB32398" s="122"/>
      <c r="BC32398" s="141"/>
    </row>
    <row r="32399">
      <c r="BB32399" s="122"/>
      <c r="BC32399" s="141"/>
    </row>
    <row r="32400">
      <c r="BB32400" s="122"/>
      <c r="BC32400" s="141"/>
    </row>
    <row r="32401">
      <c r="BB32401" s="122"/>
      <c r="BC32401" s="141"/>
    </row>
    <row r="32402">
      <c r="BB32402" s="122"/>
      <c r="BC32402" s="141"/>
    </row>
    <row r="32403">
      <c r="BB32403" s="122"/>
      <c r="BC32403" s="141"/>
    </row>
    <row r="32404">
      <c r="BB32404" s="122"/>
      <c r="BC32404" s="141"/>
    </row>
    <row r="32405">
      <c r="BB32405" s="122"/>
      <c r="BC32405" s="141"/>
    </row>
    <row r="32406">
      <c r="BB32406" s="122"/>
      <c r="BC32406" s="141"/>
    </row>
    <row r="32407">
      <c r="BB32407" s="122"/>
      <c r="BC32407" s="141"/>
    </row>
    <row r="32408">
      <c r="BB32408" s="122"/>
      <c r="BC32408" s="141"/>
    </row>
    <row r="32409">
      <c r="BB32409" s="122"/>
      <c r="BC32409" s="141"/>
    </row>
    <row r="32410">
      <c r="BB32410" s="122"/>
      <c r="BC32410" s="141"/>
    </row>
    <row r="32411">
      <c r="BB32411" s="122"/>
      <c r="BC32411" s="141"/>
    </row>
    <row r="32412">
      <c r="BB32412" s="122"/>
      <c r="BC32412" s="141"/>
    </row>
    <row r="32413">
      <c r="BB32413" s="122"/>
      <c r="BC32413" s="141"/>
    </row>
    <row r="32414">
      <c r="BB32414" s="122"/>
      <c r="BC32414" s="141"/>
    </row>
    <row r="32415">
      <c r="BB32415" s="122"/>
      <c r="BC32415" s="141"/>
    </row>
    <row r="32416">
      <c r="BB32416" s="122"/>
      <c r="BC32416" s="141"/>
    </row>
    <row r="32417">
      <c r="BB32417" s="122"/>
      <c r="BC32417" s="141"/>
    </row>
    <row r="32418">
      <c r="BB32418" s="122"/>
      <c r="BC32418" s="141"/>
    </row>
    <row r="32419">
      <c r="BB32419" s="122"/>
      <c r="BC32419" s="141"/>
    </row>
    <row r="32420">
      <c r="BB32420" s="122"/>
      <c r="BC32420" s="141"/>
    </row>
    <row r="32421">
      <c r="BB32421" s="122"/>
      <c r="BC32421" s="141"/>
    </row>
    <row r="32422">
      <c r="BB32422" s="122"/>
      <c r="BC32422" s="141"/>
    </row>
    <row r="32423">
      <c r="BB32423" s="122"/>
      <c r="BC32423" s="141"/>
    </row>
    <row r="32424">
      <c r="BB32424" s="122"/>
      <c r="BC32424" s="141"/>
    </row>
    <row r="32425">
      <c r="BB32425" s="122"/>
      <c r="BC32425" s="141"/>
    </row>
    <row r="32426">
      <c r="BB32426" s="122"/>
      <c r="BC32426" s="141"/>
    </row>
    <row r="32427">
      <c r="BB32427" s="122"/>
      <c r="BC32427" s="141"/>
    </row>
    <row r="32428">
      <c r="BB32428" s="122"/>
      <c r="BC32428" s="141"/>
    </row>
    <row r="32429">
      <c r="BB32429" s="122"/>
      <c r="BC32429" s="141"/>
    </row>
    <row r="32430">
      <c r="BB32430" s="122"/>
      <c r="BC32430" s="141"/>
    </row>
    <row r="32431">
      <c r="BB32431" s="122"/>
      <c r="BC32431" s="141"/>
    </row>
    <row r="32432">
      <c r="BB32432" s="122"/>
      <c r="BC32432" s="141"/>
    </row>
    <row r="32433">
      <c r="BB32433" s="122"/>
      <c r="BC32433" s="141"/>
    </row>
    <row r="32434">
      <c r="BB32434" s="122"/>
      <c r="BC32434" s="141"/>
    </row>
    <row r="32435">
      <c r="BB32435" s="122"/>
      <c r="BC32435" s="141"/>
    </row>
    <row r="32436">
      <c r="BB32436" s="122"/>
      <c r="BC32436" s="141"/>
    </row>
    <row r="32437">
      <c r="BB32437" s="122"/>
      <c r="BC32437" s="141"/>
    </row>
    <row r="32438">
      <c r="BB32438" s="122"/>
      <c r="BC32438" s="141"/>
    </row>
    <row r="32439">
      <c r="BB32439" s="122"/>
      <c r="BC32439" s="141"/>
    </row>
    <row r="32440">
      <c r="BB32440" s="122"/>
      <c r="BC32440" s="141"/>
    </row>
    <row r="32441">
      <c r="BB32441" s="122"/>
      <c r="BC32441" s="141"/>
    </row>
    <row r="32442">
      <c r="BB32442" s="122"/>
      <c r="BC32442" s="141"/>
    </row>
    <row r="32443">
      <c r="BB32443" s="122"/>
      <c r="BC32443" s="141"/>
    </row>
    <row r="32444">
      <c r="BB32444" s="122"/>
      <c r="BC32444" s="141"/>
    </row>
    <row r="32445">
      <c r="BB32445" s="122"/>
      <c r="BC32445" s="141"/>
    </row>
    <row r="32446">
      <c r="BB32446" s="122"/>
      <c r="BC32446" s="141"/>
    </row>
    <row r="32447">
      <c r="BB32447" s="122"/>
      <c r="BC32447" s="141"/>
    </row>
    <row r="32448">
      <c r="BB32448" s="122"/>
      <c r="BC32448" s="141"/>
    </row>
    <row r="32449">
      <c r="BB32449" s="122"/>
      <c r="BC32449" s="141"/>
    </row>
    <row r="32450">
      <c r="BB32450" s="122"/>
      <c r="BC32450" s="141"/>
    </row>
    <row r="32451">
      <c r="BB32451" s="122"/>
      <c r="BC32451" s="141"/>
    </row>
    <row r="32452">
      <c r="BB32452" s="122"/>
      <c r="BC32452" s="141"/>
    </row>
    <row r="32453">
      <c r="BB32453" s="122"/>
      <c r="BC32453" s="141"/>
    </row>
    <row r="32454">
      <c r="BB32454" s="122"/>
      <c r="BC32454" s="141"/>
    </row>
    <row r="32455">
      <c r="BB32455" s="122"/>
      <c r="BC32455" s="141"/>
    </row>
    <row r="32456">
      <c r="BB32456" s="122"/>
      <c r="BC32456" s="141"/>
    </row>
    <row r="32457">
      <c r="BB32457" s="122"/>
      <c r="BC32457" s="141"/>
    </row>
    <row r="32458">
      <c r="BB32458" s="122"/>
      <c r="BC32458" s="141"/>
    </row>
    <row r="32459">
      <c r="BB32459" s="122"/>
      <c r="BC32459" s="141"/>
    </row>
    <row r="32460">
      <c r="BB32460" s="122"/>
      <c r="BC32460" s="141"/>
    </row>
    <row r="32461">
      <c r="BB32461" s="122"/>
      <c r="BC32461" s="141"/>
    </row>
    <row r="32462">
      <c r="BB32462" s="122"/>
      <c r="BC32462" s="141"/>
    </row>
    <row r="32463">
      <c r="BB32463" s="122"/>
      <c r="BC32463" s="141"/>
    </row>
    <row r="32464">
      <c r="BB32464" s="122"/>
      <c r="BC32464" s="141"/>
    </row>
    <row r="32465">
      <c r="BB32465" s="122"/>
      <c r="BC32465" s="141"/>
    </row>
    <row r="32466">
      <c r="BB32466" s="122"/>
      <c r="BC32466" s="141"/>
    </row>
    <row r="32467">
      <c r="BB32467" s="122"/>
      <c r="BC32467" s="141"/>
    </row>
    <row r="32468">
      <c r="BB32468" s="122"/>
      <c r="BC32468" s="141"/>
    </row>
    <row r="32469">
      <c r="BB32469" s="122"/>
      <c r="BC32469" s="141"/>
    </row>
    <row r="32470">
      <c r="BB32470" s="122"/>
      <c r="BC32470" s="141"/>
    </row>
    <row r="32471">
      <c r="BB32471" s="122"/>
      <c r="BC32471" s="141"/>
    </row>
    <row r="32472">
      <c r="BB32472" s="122"/>
      <c r="BC32472" s="141"/>
    </row>
    <row r="32473">
      <c r="BB32473" s="122"/>
      <c r="BC32473" s="141"/>
    </row>
    <row r="32474">
      <c r="BB32474" s="122"/>
      <c r="BC32474" s="141"/>
    </row>
    <row r="32475">
      <c r="BB32475" s="122"/>
      <c r="BC32475" s="141"/>
    </row>
    <row r="32476">
      <c r="BB32476" s="122"/>
      <c r="BC32476" s="141"/>
    </row>
    <row r="32477">
      <c r="BB32477" s="122"/>
      <c r="BC32477" s="141"/>
    </row>
    <row r="32478">
      <c r="BB32478" s="122"/>
      <c r="BC32478" s="141"/>
    </row>
    <row r="32479">
      <c r="BB32479" s="122"/>
      <c r="BC32479" s="141"/>
    </row>
    <row r="32480">
      <c r="BB32480" s="122"/>
      <c r="BC32480" s="141"/>
    </row>
    <row r="32481">
      <c r="BB32481" s="122"/>
      <c r="BC32481" s="141"/>
    </row>
    <row r="32482">
      <c r="BB32482" s="122"/>
      <c r="BC32482" s="141"/>
    </row>
    <row r="32483">
      <c r="BB32483" s="122"/>
      <c r="BC32483" s="141"/>
    </row>
    <row r="32484">
      <c r="BB32484" s="122"/>
      <c r="BC32484" s="141"/>
    </row>
    <row r="32485">
      <c r="BB32485" s="122"/>
      <c r="BC32485" s="141"/>
    </row>
    <row r="32486">
      <c r="BB32486" s="122"/>
      <c r="BC32486" s="141"/>
    </row>
    <row r="32487">
      <c r="BB32487" s="122"/>
      <c r="BC32487" s="141"/>
    </row>
    <row r="32488">
      <c r="BB32488" s="122"/>
      <c r="BC32488" s="141"/>
    </row>
    <row r="32489">
      <c r="BB32489" s="122"/>
      <c r="BC32489" s="141"/>
    </row>
    <row r="32490">
      <c r="BB32490" s="122"/>
      <c r="BC32490" s="141"/>
    </row>
    <row r="32491">
      <c r="BB32491" s="122"/>
      <c r="BC32491" s="141"/>
    </row>
    <row r="32492">
      <c r="BB32492" s="122"/>
      <c r="BC32492" s="141"/>
    </row>
    <row r="32493">
      <c r="BB32493" s="122"/>
      <c r="BC32493" s="141"/>
    </row>
    <row r="32494">
      <c r="BB32494" s="122"/>
      <c r="BC32494" s="141"/>
    </row>
    <row r="32495">
      <c r="BB32495" s="122"/>
      <c r="BC32495" s="141"/>
    </row>
    <row r="32496">
      <c r="BB32496" s="122"/>
      <c r="BC32496" s="141"/>
    </row>
    <row r="32497">
      <c r="BB32497" s="122"/>
      <c r="BC32497" s="141"/>
    </row>
    <row r="32498">
      <c r="BB32498" s="122"/>
      <c r="BC32498" s="141"/>
    </row>
    <row r="32499">
      <c r="BB32499" s="122"/>
      <c r="BC32499" s="141"/>
    </row>
    <row r="32500">
      <c r="BB32500" s="122"/>
      <c r="BC32500" s="141"/>
    </row>
    <row r="32501">
      <c r="BB32501" s="122"/>
      <c r="BC32501" s="141"/>
    </row>
    <row r="32502">
      <c r="BB32502" s="122"/>
      <c r="BC32502" s="141"/>
    </row>
    <row r="32503">
      <c r="BB32503" s="122"/>
      <c r="BC32503" s="141"/>
    </row>
    <row r="32504">
      <c r="BB32504" s="122"/>
      <c r="BC32504" s="141"/>
    </row>
    <row r="32505">
      <c r="BB32505" s="122"/>
      <c r="BC32505" s="141"/>
    </row>
    <row r="32506">
      <c r="BB32506" s="122"/>
      <c r="BC32506" s="141"/>
    </row>
    <row r="32507">
      <c r="BB32507" s="122"/>
      <c r="BC32507" s="141"/>
    </row>
    <row r="32508">
      <c r="BB32508" s="122"/>
      <c r="BC32508" s="141"/>
    </row>
    <row r="32509">
      <c r="BB32509" s="122"/>
      <c r="BC32509" s="141"/>
    </row>
    <row r="32510">
      <c r="BB32510" s="122"/>
      <c r="BC32510" s="141"/>
    </row>
    <row r="32511">
      <c r="BB32511" s="122"/>
      <c r="BC32511" s="141"/>
    </row>
    <row r="32512">
      <c r="BB32512" s="122"/>
      <c r="BC32512" s="141"/>
    </row>
    <row r="32513">
      <c r="BB32513" s="122"/>
      <c r="BC32513" s="141"/>
    </row>
    <row r="32514">
      <c r="BB32514" s="122"/>
      <c r="BC32514" s="141"/>
    </row>
    <row r="32515">
      <c r="BB32515" s="122"/>
      <c r="BC32515" s="141"/>
    </row>
    <row r="32516">
      <c r="BB32516" s="122"/>
      <c r="BC32516" s="141"/>
    </row>
    <row r="32517">
      <c r="BB32517" s="122"/>
      <c r="BC32517" s="141"/>
    </row>
    <row r="32518">
      <c r="BB32518" s="122"/>
      <c r="BC32518" s="141"/>
    </row>
    <row r="32519">
      <c r="BB32519" s="122"/>
      <c r="BC32519" s="141"/>
    </row>
    <row r="32520">
      <c r="BB32520" s="122"/>
      <c r="BC32520" s="141"/>
    </row>
    <row r="32521">
      <c r="BB32521" s="122"/>
      <c r="BC32521" s="141"/>
    </row>
    <row r="32522">
      <c r="BB32522" s="122"/>
      <c r="BC32522" s="141"/>
    </row>
    <row r="32523">
      <c r="BB32523" s="122"/>
      <c r="BC32523" s="141"/>
    </row>
    <row r="32524">
      <c r="BB32524" s="122"/>
      <c r="BC32524" s="141"/>
    </row>
    <row r="32525">
      <c r="BB32525" s="122"/>
      <c r="BC32525" s="141"/>
    </row>
    <row r="32526">
      <c r="BB32526" s="122"/>
      <c r="BC32526" s="141"/>
    </row>
    <row r="32527">
      <c r="BB32527" s="122"/>
      <c r="BC32527" s="141"/>
    </row>
    <row r="32528">
      <c r="BB32528" s="122"/>
      <c r="BC32528" s="141"/>
    </row>
    <row r="32529">
      <c r="BB32529" s="122"/>
      <c r="BC32529" s="141"/>
    </row>
    <row r="32530">
      <c r="BB32530" s="122"/>
      <c r="BC32530" s="141"/>
    </row>
    <row r="32531">
      <c r="BB32531" s="122"/>
      <c r="BC32531" s="141"/>
    </row>
    <row r="32532">
      <c r="BB32532" s="122"/>
      <c r="BC32532" s="141"/>
    </row>
    <row r="32533">
      <c r="BB32533" s="122"/>
      <c r="BC32533" s="141"/>
    </row>
    <row r="32534">
      <c r="BB32534" s="122"/>
      <c r="BC32534" s="141"/>
    </row>
    <row r="32535">
      <c r="BB32535" s="122"/>
      <c r="BC32535" s="141"/>
    </row>
    <row r="32536">
      <c r="BB32536" s="122"/>
      <c r="BC32536" s="141"/>
    </row>
    <row r="32537">
      <c r="BB32537" s="122"/>
      <c r="BC32537" s="141"/>
    </row>
    <row r="32538">
      <c r="BB32538" s="122"/>
      <c r="BC32538" s="141"/>
    </row>
    <row r="32539">
      <c r="BB32539" s="122"/>
      <c r="BC32539" s="141"/>
    </row>
    <row r="32540">
      <c r="BB32540" s="122"/>
      <c r="BC32540" s="141"/>
    </row>
    <row r="32541">
      <c r="BB32541" s="122"/>
      <c r="BC32541" s="141"/>
    </row>
    <row r="32542">
      <c r="BB32542" s="122"/>
      <c r="BC32542" s="141"/>
    </row>
    <row r="32543">
      <c r="BB32543" s="122"/>
      <c r="BC32543" s="141"/>
    </row>
    <row r="32544">
      <c r="BB32544" s="122"/>
      <c r="BC32544" s="141"/>
    </row>
    <row r="32545">
      <c r="BB32545" s="122"/>
      <c r="BC32545" s="141"/>
    </row>
    <row r="32546">
      <c r="BB32546" s="122"/>
      <c r="BC32546" s="141"/>
    </row>
    <row r="32547">
      <c r="BB32547" s="122"/>
      <c r="BC32547" s="141"/>
    </row>
    <row r="32548">
      <c r="BB32548" s="122"/>
      <c r="BC32548" s="141"/>
    </row>
    <row r="32549">
      <c r="BB32549" s="122"/>
      <c r="BC32549" s="141"/>
    </row>
    <row r="32550">
      <c r="BB32550" s="122"/>
      <c r="BC32550" s="141"/>
    </row>
    <row r="32551">
      <c r="BB32551" s="122"/>
      <c r="BC32551" s="141"/>
    </row>
    <row r="32552">
      <c r="BB32552" s="122"/>
      <c r="BC32552" s="141"/>
    </row>
    <row r="32553">
      <c r="BB32553" s="122"/>
      <c r="BC32553" s="141"/>
    </row>
    <row r="32554">
      <c r="BB32554" s="122"/>
      <c r="BC32554" s="141"/>
    </row>
    <row r="32555">
      <c r="BB32555" s="122"/>
      <c r="BC32555" s="141"/>
    </row>
    <row r="32556">
      <c r="BB32556" s="122"/>
      <c r="BC32556" s="141"/>
    </row>
    <row r="32557">
      <c r="BB32557" s="122"/>
      <c r="BC32557" s="141"/>
    </row>
    <row r="32558">
      <c r="BB32558" s="122"/>
      <c r="BC32558" s="141"/>
    </row>
    <row r="32559">
      <c r="BB32559" s="122"/>
      <c r="BC32559" s="141"/>
    </row>
    <row r="32560">
      <c r="BB32560" s="122"/>
      <c r="BC32560" s="141"/>
    </row>
    <row r="32561">
      <c r="BB32561" s="122"/>
      <c r="BC32561" s="141"/>
    </row>
    <row r="32562">
      <c r="BB32562" s="122"/>
      <c r="BC32562" s="141"/>
    </row>
    <row r="32563">
      <c r="BB32563" s="122"/>
      <c r="BC32563" s="141"/>
    </row>
    <row r="32564">
      <c r="BB32564" s="122"/>
      <c r="BC32564" s="141"/>
    </row>
    <row r="32565">
      <c r="BB32565" s="122"/>
      <c r="BC32565" s="141"/>
    </row>
    <row r="32566">
      <c r="BB32566" s="122"/>
      <c r="BC32566" s="141"/>
    </row>
    <row r="32567">
      <c r="BB32567" s="122"/>
      <c r="BC32567" s="141"/>
    </row>
    <row r="32568">
      <c r="BB32568" s="122"/>
      <c r="BC32568" s="141"/>
    </row>
    <row r="32569">
      <c r="BB32569" s="122"/>
      <c r="BC32569" s="141"/>
    </row>
    <row r="32570">
      <c r="BB32570" s="122"/>
      <c r="BC32570" s="141"/>
    </row>
    <row r="32571">
      <c r="BB32571" s="122"/>
      <c r="BC32571" s="141"/>
    </row>
    <row r="32572">
      <c r="BB32572" s="122"/>
      <c r="BC32572" s="141"/>
    </row>
    <row r="32573">
      <c r="BB32573" s="122"/>
      <c r="BC32573" s="141"/>
    </row>
    <row r="32574">
      <c r="BB32574" s="122"/>
      <c r="BC32574" s="141"/>
    </row>
    <row r="32575">
      <c r="BB32575" s="122"/>
      <c r="BC32575" s="141"/>
    </row>
    <row r="32576">
      <c r="BB32576" s="122"/>
      <c r="BC32576" s="141"/>
    </row>
    <row r="32577">
      <c r="BB32577" s="122"/>
      <c r="BC32577" s="141"/>
    </row>
    <row r="32578">
      <c r="BB32578" s="122"/>
      <c r="BC32578" s="141"/>
    </row>
    <row r="32579">
      <c r="BB32579" s="122"/>
      <c r="BC32579" s="141"/>
    </row>
    <row r="32580">
      <c r="BB32580" s="122"/>
      <c r="BC32580" s="141"/>
    </row>
    <row r="32581">
      <c r="BB32581" s="122"/>
      <c r="BC32581" s="141"/>
    </row>
    <row r="32582">
      <c r="BB32582" s="122"/>
      <c r="BC32582" s="141"/>
    </row>
    <row r="32583">
      <c r="BB32583" s="122"/>
      <c r="BC32583" s="141"/>
    </row>
    <row r="32584">
      <c r="BB32584" s="122"/>
      <c r="BC32584" s="141"/>
    </row>
    <row r="32585">
      <c r="BB32585" s="122"/>
      <c r="BC32585" s="141"/>
    </row>
    <row r="32586">
      <c r="BB32586" s="122"/>
      <c r="BC32586" s="141"/>
    </row>
    <row r="32587">
      <c r="BB32587" s="122"/>
      <c r="BC32587" s="141"/>
    </row>
    <row r="32588">
      <c r="BB32588" s="122"/>
      <c r="BC32588" s="141"/>
    </row>
    <row r="32589">
      <c r="BB32589" s="122"/>
      <c r="BC32589" s="141"/>
    </row>
    <row r="32590">
      <c r="BB32590" s="122"/>
      <c r="BC32590" s="141"/>
    </row>
    <row r="32591">
      <c r="BB32591" s="122"/>
      <c r="BC32591" s="141"/>
    </row>
    <row r="32592">
      <c r="BB32592" s="122"/>
      <c r="BC32592" s="141"/>
    </row>
    <row r="32593">
      <c r="BB32593" s="122"/>
      <c r="BC32593" s="141"/>
    </row>
    <row r="32594">
      <c r="BB32594" s="122"/>
      <c r="BC32594" s="141"/>
    </row>
    <row r="32595">
      <c r="BB32595" s="122"/>
      <c r="BC32595" s="141"/>
    </row>
    <row r="32596">
      <c r="BB32596" s="122"/>
      <c r="BC32596" s="141"/>
    </row>
    <row r="32597">
      <c r="BB32597" s="122"/>
      <c r="BC32597" s="141"/>
    </row>
    <row r="32598">
      <c r="BB32598" s="122"/>
      <c r="BC32598" s="141"/>
    </row>
    <row r="32599">
      <c r="BB32599" s="122"/>
      <c r="BC32599" s="141"/>
    </row>
    <row r="32600">
      <c r="BB32600" s="122"/>
      <c r="BC32600" s="141"/>
    </row>
    <row r="32601">
      <c r="BB32601" s="122"/>
      <c r="BC32601" s="141"/>
    </row>
    <row r="32602">
      <c r="BB32602" s="122"/>
      <c r="BC32602" s="141"/>
    </row>
    <row r="32603">
      <c r="BB32603" s="122"/>
      <c r="BC32603" s="141"/>
    </row>
    <row r="32604">
      <c r="BB32604" s="122"/>
      <c r="BC32604" s="141"/>
    </row>
    <row r="32605">
      <c r="BB32605" s="122"/>
      <c r="BC32605" s="141"/>
    </row>
    <row r="32606">
      <c r="BB32606" s="122"/>
      <c r="BC32606" s="141"/>
    </row>
    <row r="32607">
      <c r="BB32607" s="122"/>
      <c r="BC32607" s="141"/>
    </row>
    <row r="32608">
      <c r="BB32608" s="122"/>
      <c r="BC32608" s="141"/>
    </row>
    <row r="32609">
      <c r="BB32609" s="122"/>
      <c r="BC32609" s="141"/>
    </row>
    <row r="32610">
      <c r="BB32610" s="122"/>
      <c r="BC32610" s="141"/>
    </row>
    <row r="32611">
      <c r="BB32611" s="122"/>
      <c r="BC32611" s="141"/>
    </row>
    <row r="32612">
      <c r="BB32612" s="122"/>
      <c r="BC32612" s="141"/>
    </row>
    <row r="32613">
      <c r="BB32613" s="122"/>
      <c r="BC32613" s="141"/>
    </row>
    <row r="32614">
      <c r="BB32614" s="122"/>
      <c r="BC32614" s="141"/>
    </row>
    <row r="32615">
      <c r="BB32615" s="122"/>
      <c r="BC32615" s="141"/>
    </row>
    <row r="32616">
      <c r="BB32616" s="122"/>
      <c r="BC32616" s="141"/>
    </row>
    <row r="32617">
      <c r="BB32617" s="122"/>
      <c r="BC32617" s="141"/>
    </row>
    <row r="32618">
      <c r="BB32618" s="122"/>
      <c r="BC32618" s="141"/>
    </row>
    <row r="32619">
      <c r="BB32619" s="122"/>
      <c r="BC32619" s="141"/>
    </row>
    <row r="32620">
      <c r="BB32620" s="122"/>
      <c r="BC32620" s="141"/>
    </row>
    <row r="32621">
      <c r="BB32621" s="122"/>
      <c r="BC32621" s="141"/>
    </row>
    <row r="32622">
      <c r="BB32622" s="122"/>
      <c r="BC32622" s="141"/>
    </row>
    <row r="32623">
      <c r="BB32623" s="122"/>
      <c r="BC32623" s="141"/>
    </row>
    <row r="32624">
      <c r="BB32624" s="122"/>
      <c r="BC32624" s="141"/>
    </row>
    <row r="32625">
      <c r="BB32625" s="122"/>
      <c r="BC32625" s="141"/>
    </row>
    <row r="32626">
      <c r="BB32626" s="122"/>
      <c r="BC32626" s="141"/>
    </row>
    <row r="32627">
      <c r="BB32627" s="122"/>
      <c r="BC32627" s="141"/>
    </row>
    <row r="32628">
      <c r="BB32628" s="122"/>
      <c r="BC32628" s="141"/>
    </row>
    <row r="32629">
      <c r="BB32629" s="122"/>
      <c r="BC32629" s="141"/>
    </row>
    <row r="32630">
      <c r="BB32630" s="122"/>
      <c r="BC32630" s="141"/>
    </row>
    <row r="32631">
      <c r="BB32631" s="122"/>
      <c r="BC32631" s="141"/>
    </row>
    <row r="32632">
      <c r="BB32632" s="122"/>
      <c r="BC32632" s="141"/>
    </row>
    <row r="32633">
      <c r="BB32633" s="122"/>
      <c r="BC32633" s="141"/>
    </row>
    <row r="32634">
      <c r="BB32634" s="122"/>
      <c r="BC32634" s="141"/>
    </row>
    <row r="32635">
      <c r="BB32635" s="122"/>
      <c r="BC32635" s="141"/>
    </row>
    <row r="32636">
      <c r="BB32636" s="122"/>
      <c r="BC32636" s="141"/>
    </row>
    <row r="32637">
      <c r="BB32637" s="122"/>
      <c r="BC32637" s="141"/>
    </row>
    <row r="32638">
      <c r="BB32638" s="122"/>
      <c r="BC32638" s="141"/>
    </row>
    <row r="32639">
      <c r="BB32639" s="122"/>
      <c r="BC32639" s="141"/>
    </row>
    <row r="32640">
      <c r="BB32640" s="122"/>
      <c r="BC32640" s="141"/>
    </row>
    <row r="32641">
      <c r="BB32641" s="122"/>
      <c r="BC32641" s="141"/>
    </row>
    <row r="32642">
      <c r="BB32642" s="122"/>
      <c r="BC32642" s="141"/>
    </row>
    <row r="32643">
      <c r="BB32643" s="122"/>
      <c r="BC32643" s="141"/>
    </row>
    <row r="32644">
      <c r="BB32644" s="122"/>
      <c r="BC32644" s="141"/>
    </row>
    <row r="32645">
      <c r="BB32645" s="122"/>
      <c r="BC32645" s="141"/>
    </row>
    <row r="32646">
      <c r="BB32646" s="122"/>
      <c r="BC32646" s="141"/>
    </row>
    <row r="32647">
      <c r="BB32647" s="122"/>
      <c r="BC32647" s="141"/>
    </row>
    <row r="32648">
      <c r="BB32648" s="122"/>
      <c r="BC32648" s="141"/>
    </row>
    <row r="32649">
      <c r="BB32649" s="122"/>
      <c r="BC32649" s="141"/>
    </row>
    <row r="32650">
      <c r="BB32650" s="122"/>
      <c r="BC32650" s="141"/>
    </row>
    <row r="32651">
      <c r="BB32651" s="122"/>
      <c r="BC32651" s="141"/>
    </row>
    <row r="32652">
      <c r="BB32652" s="122"/>
      <c r="BC32652" s="141"/>
    </row>
    <row r="32653">
      <c r="BB32653" s="122"/>
      <c r="BC32653" s="141"/>
    </row>
    <row r="32654">
      <c r="BB32654" s="122"/>
      <c r="BC32654" s="141"/>
    </row>
    <row r="32655">
      <c r="BB32655" s="122"/>
      <c r="BC32655" s="141"/>
    </row>
    <row r="32656">
      <c r="BB32656" s="122"/>
      <c r="BC32656" s="141"/>
    </row>
    <row r="32657">
      <c r="BB32657" s="122"/>
      <c r="BC32657" s="141"/>
    </row>
    <row r="32658">
      <c r="BB32658" s="122"/>
      <c r="BC32658" s="141"/>
    </row>
    <row r="32659">
      <c r="BB32659" s="122"/>
      <c r="BC32659" s="141"/>
    </row>
    <row r="32660">
      <c r="BB32660" s="122"/>
      <c r="BC32660" s="141"/>
    </row>
    <row r="32661">
      <c r="BB32661" s="122"/>
      <c r="BC32661" s="141"/>
    </row>
    <row r="32662">
      <c r="BB32662" s="122"/>
      <c r="BC32662" s="141"/>
    </row>
    <row r="32663">
      <c r="BB32663" s="122"/>
      <c r="BC32663" s="141"/>
    </row>
    <row r="32664">
      <c r="BB32664" s="122"/>
      <c r="BC32664" s="141"/>
    </row>
    <row r="32665">
      <c r="BB32665" s="122"/>
      <c r="BC32665" s="141"/>
    </row>
    <row r="32666">
      <c r="BB32666" s="122"/>
      <c r="BC32666" s="141"/>
    </row>
    <row r="32667">
      <c r="BB32667" s="122"/>
      <c r="BC32667" s="141"/>
    </row>
    <row r="32668">
      <c r="BB32668" s="122"/>
      <c r="BC32668" s="141"/>
    </row>
    <row r="32669">
      <c r="BB32669" s="122"/>
      <c r="BC32669" s="141"/>
    </row>
    <row r="32670">
      <c r="BB32670" s="122"/>
      <c r="BC32670" s="141"/>
    </row>
    <row r="32671">
      <c r="BB32671" s="122"/>
      <c r="BC32671" s="141"/>
    </row>
    <row r="32672">
      <c r="BB32672" s="122"/>
      <c r="BC32672" s="141"/>
    </row>
    <row r="32673">
      <c r="BB32673" s="122"/>
      <c r="BC32673" s="141"/>
    </row>
    <row r="32674">
      <c r="BB32674" s="122"/>
      <c r="BC32674" s="141"/>
    </row>
    <row r="32675">
      <c r="BB32675" s="122"/>
      <c r="BC32675" s="141"/>
    </row>
    <row r="32676">
      <c r="BB32676" s="122"/>
      <c r="BC32676" s="141"/>
    </row>
    <row r="32677">
      <c r="BB32677" s="122"/>
      <c r="BC32677" s="141"/>
    </row>
    <row r="32678">
      <c r="BB32678" s="122"/>
      <c r="BC32678" s="141"/>
    </row>
    <row r="32679">
      <c r="BB32679" s="122"/>
      <c r="BC32679" s="141"/>
    </row>
    <row r="32680">
      <c r="BB32680" s="122"/>
      <c r="BC32680" s="141"/>
    </row>
    <row r="32681">
      <c r="BB32681" s="122"/>
      <c r="BC32681" s="141"/>
    </row>
    <row r="32682">
      <c r="BB32682" s="122"/>
      <c r="BC32682" s="141"/>
    </row>
    <row r="32683">
      <c r="BB32683" s="122"/>
      <c r="BC32683" s="141"/>
    </row>
    <row r="32684">
      <c r="BB32684" s="122"/>
      <c r="BC32684" s="141"/>
    </row>
    <row r="32685">
      <c r="BB32685" s="122"/>
      <c r="BC32685" s="141"/>
    </row>
    <row r="32686">
      <c r="BB32686" s="122"/>
      <c r="BC32686" s="141"/>
    </row>
    <row r="32687">
      <c r="BB32687" s="122"/>
      <c r="BC32687" s="141"/>
    </row>
    <row r="32688">
      <c r="BB32688" s="122"/>
      <c r="BC32688" s="141"/>
    </row>
    <row r="32689">
      <c r="BB32689" s="122"/>
      <c r="BC32689" s="141"/>
    </row>
    <row r="32690">
      <c r="BB32690" s="122"/>
      <c r="BC32690" s="141"/>
    </row>
    <row r="32691">
      <c r="BB32691" s="122"/>
      <c r="BC32691" s="141"/>
    </row>
    <row r="32692">
      <c r="BB32692" s="122"/>
      <c r="BC32692" s="141"/>
    </row>
    <row r="32693">
      <c r="BB32693" s="122"/>
      <c r="BC32693" s="141"/>
    </row>
    <row r="32694">
      <c r="BB32694" s="122"/>
      <c r="BC32694" s="141"/>
    </row>
    <row r="32695">
      <c r="BB32695" s="122"/>
      <c r="BC32695" s="141"/>
    </row>
    <row r="32696">
      <c r="BB32696" s="122"/>
      <c r="BC32696" s="141"/>
    </row>
    <row r="32697">
      <c r="BB32697" s="122"/>
      <c r="BC32697" s="141"/>
    </row>
    <row r="32698">
      <c r="BB32698" s="122"/>
      <c r="BC32698" s="141"/>
    </row>
    <row r="32699">
      <c r="BB32699" s="122"/>
      <c r="BC32699" s="141"/>
    </row>
    <row r="32700">
      <c r="BB32700" s="122"/>
      <c r="BC32700" s="141"/>
    </row>
    <row r="32701">
      <c r="BB32701" s="122"/>
      <c r="BC32701" s="141"/>
    </row>
    <row r="32702">
      <c r="BB32702" s="122"/>
      <c r="BC32702" s="141"/>
    </row>
    <row r="32703">
      <c r="BB32703" s="122"/>
      <c r="BC32703" s="141"/>
    </row>
    <row r="32704">
      <c r="BB32704" s="122"/>
      <c r="BC32704" s="141"/>
    </row>
    <row r="32705">
      <c r="BB32705" s="122"/>
      <c r="BC32705" s="141"/>
    </row>
    <row r="32706">
      <c r="BB32706" s="122"/>
      <c r="BC32706" s="141"/>
    </row>
    <row r="32707">
      <c r="BB32707" s="122"/>
      <c r="BC32707" s="141"/>
    </row>
    <row r="32708">
      <c r="BB32708" s="122"/>
      <c r="BC32708" s="141"/>
    </row>
    <row r="32709">
      <c r="BB32709" s="122"/>
      <c r="BC32709" s="141"/>
    </row>
    <row r="32710">
      <c r="BB32710" s="122"/>
      <c r="BC32710" s="141"/>
    </row>
    <row r="32711">
      <c r="BB32711" s="122"/>
      <c r="BC32711" s="141"/>
    </row>
    <row r="32712">
      <c r="BB32712" s="122"/>
      <c r="BC32712" s="141"/>
    </row>
    <row r="32713">
      <c r="BB32713" s="122"/>
      <c r="BC32713" s="141"/>
    </row>
    <row r="32714">
      <c r="BB32714" s="122"/>
      <c r="BC32714" s="141"/>
    </row>
    <row r="32715">
      <c r="BB32715" s="122"/>
      <c r="BC32715" s="141"/>
    </row>
    <row r="32716">
      <c r="BB32716" s="122"/>
      <c r="BC32716" s="141"/>
    </row>
    <row r="32717">
      <c r="BB32717" s="122"/>
      <c r="BC32717" s="141"/>
    </row>
    <row r="32718">
      <c r="BB32718" s="122"/>
      <c r="BC32718" s="141"/>
    </row>
    <row r="32719">
      <c r="BB32719" s="122"/>
      <c r="BC32719" s="141"/>
    </row>
    <row r="32720">
      <c r="BB32720" s="122"/>
      <c r="BC32720" s="141"/>
    </row>
    <row r="32721">
      <c r="BB32721" s="122"/>
      <c r="BC32721" s="141"/>
    </row>
    <row r="32722">
      <c r="BB32722" s="122"/>
      <c r="BC32722" s="141"/>
    </row>
    <row r="32723">
      <c r="BB32723" s="122"/>
      <c r="BC32723" s="141"/>
    </row>
    <row r="32724">
      <c r="BB32724" s="122"/>
      <c r="BC32724" s="141"/>
    </row>
    <row r="32725">
      <c r="BB32725" s="122"/>
      <c r="BC32725" s="141"/>
    </row>
    <row r="32726">
      <c r="BB32726" s="122"/>
      <c r="BC32726" s="141"/>
    </row>
    <row r="32727">
      <c r="BB32727" s="122"/>
      <c r="BC32727" s="141"/>
    </row>
    <row r="32728">
      <c r="BB32728" s="122"/>
      <c r="BC32728" s="141"/>
    </row>
    <row r="32729">
      <c r="BB32729" s="122"/>
      <c r="BC32729" s="141"/>
    </row>
    <row r="32730">
      <c r="BB32730" s="122"/>
      <c r="BC32730" s="141"/>
    </row>
    <row r="32731">
      <c r="BB32731" s="122"/>
      <c r="BC32731" s="141"/>
    </row>
    <row r="32732">
      <c r="BB32732" s="122"/>
      <c r="BC32732" s="141"/>
    </row>
    <row r="32733">
      <c r="BB32733" s="122"/>
      <c r="BC32733" s="141"/>
    </row>
    <row r="32734">
      <c r="BB32734" s="122"/>
      <c r="BC32734" s="141"/>
    </row>
    <row r="32735">
      <c r="BB32735" s="122"/>
      <c r="BC32735" s="141"/>
    </row>
    <row r="32736">
      <c r="BB32736" s="122"/>
      <c r="BC32736" s="141"/>
    </row>
    <row r="32737">
      <c r="BB32737" s="122"/>
      <c r="BC32737" s="141"/>
    </row>
    <row r="32738">
      <c r="BB32738" s="122"/>
      <c r="BC32738" s="141"/>
    </row>
    <row r="32739">
      <c r="BB32739" s="122"/>
      <c r="BC32739" s="141"/>
    </row>
    <row r="32740">
      <c r="BB32740" s="122"/>
      <c r="BC32740" s="141"/>
    </row>
    <row r="32741">
      <c r="BB32741" s="122"/>
      <c r="BC32741" s="141"/>
    </row>
    <row r="32742">
      <c r="BB32742" s="122"/>
      <c r="BC32742" s="141"/>
    </row>
    <row r="32743">
      <c r="BB32743" s="122"/>
      <c r="BC32743" s="141"/>
    </row>
    <row r="32744">
      <c r="BB32744" s="122"/>
      <c r="BC32744" s="141"/>
    </row>
    <row r="32745">
      <c r="BB32745" s="122"/>
      <c r="BC32745" s="141"/>
    </row>
    <row r="32746">
      <c r="BB32746" s="122"/>
      <c r="BC32746" s="141"/>
    </row>
    <row r="32747">
      <c r="BB32747" s="122"/>
      <c r="BC32747" s="141"/>
    </row>
    <row r="32748">
      <c r="BB32748" s="122"/>
      <c r="BC32748" s="141"/>
    </row>
    <row r="32749">
      <c r="BB32749" s="122"/>
      <c r="BC32749" s="141"/>
    </row>
    <row r="32750">
      <c r="BB32750" s="122"/>
      <c r="BC32750" s="141"/>
    </row>
    <row r="32751">
      <c r="BB32751" s="122"/>
      <c r="BC32751" s="141"/>
    </row>
    <row r="32752">
      <c r="BB32752" s="122"/>
      <c r="BC32752" s="141"/>
    </row>
    <row r="32753">
      <c r="BB32753" s="122"/>
      <c r="BC32753" s="141"/>
    </row>
    <row r="32754">
      <c r="BB32754" s="122"/>
      <c r="BC32754" s="141"/>
    </row>
    <row r="32755">
      <c r="BB32755" s="122"/>
      <c r="BC32755" s="141"/>
    </row>
    <row r="32756">
      <c r="BB32756" s="122"/>
      <c r="BC32756" s="141"/>
    </row>
    <row r="32757">
      <c r="BB32757" s="122"/>
      <c r="BC32757" s="141"/>
    </row>
    <row r="32758">
      <c r="BB32758" s="122"/>
      <c r="BC32758" s="141"/>
    </row>
    <row r="32759">
      <c r="BB32759" s="122"/>
      <c r="BC32759" s="141"/>
    </row>
    <row r="32760">
      <c r="BB32760" s="122"/>
      <c r="BC32760" s="141"/>
    </row>
    <row r="32761">
      <c r="BB32761" s="122"/>
      <c r="BC32761" s="141"/>
    </row>
    <row r="32762">
      <c r="BB32762" s="122"/>
      <c r="BC32762" s="141"/>
    </row>
    <row r="32763">
      <c r="BB32763" s="122"/>
      <c r="BC32763" s="141"/>
    </row>
    <row r="32764">
      <c r="BB32764" s="122"/>
      <c r="BC32764" s="141"/>
    </row>
    <row r="32765">
      <c r="BB32765" s="122"/>
      <c r="BC32765" s="141"/>
    </row>
    <row r="32766">
      <c r="BB32766" s="122"/>
      <c r="BC32766" s="141"/>
    </row>
    <row r="32767">
      <c r="BB32767" s="122"/>
      <c r="BC32767" s="141"/>
    </row>
    <row r="32768">
      <c r="BB32768" s="122"/>
      <c r="BC32768" s="141"/>
    </row>
    <row r="32769">
      <c r="BB32769" s="122"/>
      <c r="BC32769" s="141"/>
    </row>
    <row r="32770">
      <c r="BB32770" s="122"/>
      <c r="BC32770" s="141"/>
    </row>
    <row r="32771">
      <c r="BB32771" s="122"/>
      <c r="BC32771" s="141"/>
    </row>
    <row r="32772">
      <c r="BB32772" s="122"/>
      <c r="BC32772" s="141"/>
    </row>
    <row r="32773">
      <c r="BB32773" s="122"/>
      <c r="BC32773" s="141"/>
    </row>
    <row r="32774">
      <c r="BB32774" s="122"/>
      <c r="BC32774" s="141"/>
    </row>
    <row r="32775">
      <c r="BB32775" s="122"/>
      <c r="BC32775" s="141"/>
    </row>
    <row r="32776">
      <c r="BB32776" s="122"/>
      <c r="BC32776" s="141"/>
    </row>
    <row r="32777">
      <c r="BB32777" s="122"/>
      <c r="BC32777" s="141"/>
    </row>
    <row r="32778">
      <c r="BB32778" s="122"/>
      <c r="BC32778" s="141"/>
    </row>
    <row r="32779">
      <c r="BB32779" s="122"/>
      <c r="BC32779" s="141"/>
    </row>
    <row r="32780">
      <c r="BB32780" s="122"/>
      <c r="BC32780" s="141"/>
    </row>
    <row r="32781">
      <c r="BB32781" s="122"/>
      <c r="BC32781" s="141"/>
    </row>
    <row r="32782">
      <c r="BB32782" s="122"/>
      <c r="BC32782" s="141"/>
    </row>
    <row r="32783">
      <c r="BB32783" s="122"/>
      <c r="BC32783" s="141"/>
    </row>
    <row r="32784">
      <c r="BB32784" s="122"/>
      <c r="BC32784" s="141"/>
    </row>
    <row r="32785">
      <c r="BB32785" s="122"/>
      <c r="BC32785" s="141"/>
    </row>
    <row r="32786">
      <c r="BB32786" s="122"/>
      <c r="BC32786" s="141"/>
    </row>
    <row r="32787">
      <c r="BB32787" s="122"/>
      <c r="BC32787" s="141"/>
    </row>
    <row r="32788">
      <c r="BB32788" s="122"/>
      <c r="BC32788" s="141"/>
    </row>
    <row r="32789">
      <c r="BB32789" s="122"/>
      <c r="BC32789" s="141"/>
    </row>
    <row r="32790">
      <c r="BB32790" s="122"/>
      <c r="BC32790" s="141"/>
    </row>
    <row r="32791">
      <c r="BB32791" s="122"/>
      <c r="BC32791" s="141"/>
    </row>
    <row r="32792">
      <c r="BB32792" s="122"/>
      <c r="BC32792" s="141"/>
    </row>
    <row r="32793">
      <c r="BB32793" s="122"/>
      <c r="BC32793" s="141"/>
    </row>
    <row r="32794">
      <c r="BB32794" s="122"/>
      <c r="BC32794" s="141"/>
    </row>
    <row r="32795">
      <c r="BB32795" s="122"/>
      <c r="BC32795" s="141"/>
    </row>
    <row r="32796">
      <c r="BB32796" s="122"/>
      <c r="BC32796" s="141"/>
    </row>
    <row r="32797">
      <c r="BB32797" s="122"/>
      <c r="BC32797" s="141"/>
    </row>
    <row r="32798">
      <c r="BB32798" s="122"/>
      <c r="BC32798" s="141"/>
    </row>
    <row r="32799">
      <c r="BB32799" s="122"/>
      <c r="BC32799" s="141"/>
    </row>
    <row r="32800">
      <c r="BB32800" s="122"/>
      <c r="BC32800" s="141"/>
    </row>
    <row r="32801">
      <c r="BB32801" s="122"/>
      <c r="BC32801" s="141"/>
    </row>
    <row r="32802">
      <c r="BB32802" s="122"/>
      <c r="BC32802" s="141"/>
    </row>
    <row r="32803">
      <c r="BB32803" s="122"/>
      <c r="BC32803" s="141"/>
    </row>
    <row r="32804">
      <c r="BB32804" s="122"/>
      <c r="BC32804" s="141"/>
    </row>
    <row r="32805">
      <c r="BB32805" s="122"/>
      <c r="BC32805" s="141"/>
    </row>
    <row r="32806">
      <c r="BB32806" s="122"/>
      <c r="BC32806" s="141"/>
    </row>
    <row r="32807">
      <c r="BB32807" s="122"/>
      <c r="BC32807" s="141"/>
    </row>
    <row r="32808">
      <c r="BB32808" s="122"/>
      <c r="BC32808" s="141"/>
    </row>
    <row r="32809">
      <c r="BB32809" s="122"/>
      <c r="BC32809" s="141"/>
    </row>
    <row r="32810">
      <c r="BB32810" s="122"/>
      <c r="BC32810" s="141"/>
    </row>
    <row r="32811">
      <c r="BB32811" s="122"/>
      <c r="BC32811" s="141"/>
    </row>
    <row r="32812">
      <c r="BB32812" s="122"/>
      <c r="BC32812" s="141"/>
    </row>
    <row r="32813">
      <c r="BB32813" s="122"/>
      <c r="BC32813" s="141"/>
    </row>
    <row r="32814">
      <c r="BB32814" s="122"/>
      <c r="BC32814" s="141"/>
    </row>
    <row r="32815">
      <c r="BB32815" s="122"/>
      <c r="BC32815" s="141"/>
    </row>
    <row r="32816">
      <c r="BB32816" s="122"/>
      <c r="BC32816" s="141"/>
    </row>
    <row r="32817">
      <c r="BB32817" s="122"/>
      <c r="BC32817" s="141"/>
    </row>
    <row r="32818">
      <c r="BB32818" s="122"/>
      <c r="BC32818" s="141"/>
    </row>
    <row r="32819">
      <c r="BB32819" s="122"/>
      <c r="BC32819" s="141"/>
    </row>
    <row r="32820">
      <c r="BB32820" s="122"/>
      <c r="BC32820" s="141"/>
    </row>
    <row r="32821">
      <c r="BB32821" s="122"/>
      <c r="BC32821" s="141"/>
    </row>
    <row r="32822">
      <c r="BB32822" s="122"/>
      <c r="BC32822" s="141"/>
    </row>
    <row r="32823">
      <c r="BB32823" s="122"/>
      <c r="BC32823" s="141"/>
    </row>
    <row r="32824">
      <c r="BB32824" s="122"/>
      <c r="BC32824" s="141"/>
    </row>
    <row r="32825">
      <c r="BB32825" s="122"/>
      <c r="BC32825" s="141"/>
    </row>
    <row r="32826">
      <c r="BB32826" s="122"/>
      <c r="BC32826" s="141"/>
    </row>
    <row r="32827">
      <c r="BB32827" s="122"/>
      <c r="BC32827" s="141"/>
    </row>
    <row r="32828">
      <c r="BB32828" s="122"/>
      <c r="BC32828" s="141"/>
    </row>
    <row r="32829">
      <c r="BB32829" s="122"/>
      <c r="BC32829" s="141"/>
    </row>
    <row r="32830">
      <c r="BB32830" s="122"/>
      <c r="BC32830" s="141"/>
    </row>
    <row r="32831">
      <c r="BB32831" s="122"/>
      <c r="BC32831" s="141"/>
    </row>
    <row r="32832">
      <c r="BB32832" s="122"/>
      <c r="BC32832" s="141"/>
    </row>
    <row r="32833">
      <c r="BB32833" s="122"/>
      <c r="BC32833" s="141"/>
    </row>
    <row r="32834">
      <c r="BB32834" s="122"/>
      <c r="BC32834" s="141"/>
    </row>
    <row r="32835">
      <c r="BB32835" s="122"/>
      <c r="BC32835" s="141"/>
    </row>
    <row r="32836">
      <c r="BB32836" s="122"/>
      <c r="BC32836" s="141"/>
    </row>
    <row r="32837">
      <c r="BB32837" s="122"/>
      <c r="BC32837" s="141"/>
    </row>
    <row r="32838">
      <c r="BB32838" s="122"/>
      <c r="BC32838" s="141"/>
    </row>
    <row r="32839">
      <c r="BB32839" s="122"/>
      <c r="BC32839" s="141"/>
    </row>
    <row r="32840">
      <c r="BB32840" s="122"/>
      <c r="BC32840" s="141"/>
    </row>
    <row r="32841">
      <c r="BB32841" s="122"/>
      <c r="BC32841" s="141"/>
    </row>
    <row r="32842">
      <c r="BB32842" s="122"/>
      <c r="BC32842" s="141"/>
    </row>
    <row r="32843">
      <c r="BB32843" s="122"/>
      <c r="BC32843" s="141"/>
    </row>
    <row r="32844">
      <c r="BB32844" s="122"/>
      <c r="BC32844" s="141"/>
    </row>
    <row r="32845">
      <c r="BB32845" s="122"/>
      <c r="BC32845" s="141"/>
    </row>
    <row r="32846">
      <c r="BB32846" s="122"/>
      <c r="BC32846" s="141"/>
    </row>
    <row r="32847">
      <c r="BB32847" s="122"/>
      <c r="BC32847" s="141"/>
    </row>
    <row r="32848">
      <c r="BB32848" s="122"/>
      <c r="BC32848" s="141"/>
    </row>
    <row r="32849">
      <c r="BB32849" s="122"/>
      <c r="BC32849" s="141"/>
    </row>
    <row r="32850">
      <c r="BB32850" s="122"/>
      <c r="BC32850" s="141"/>
    </row>
    <row r="32851">
      <c r="BB32851" s="122"/>
      <c r="BC32851" s="141"/>
    </row>
    <row r="32852">
      <c r="BB32852" s="122"/>
      <c r="BC32852" s="141"/>
    </row>
    <row r="32853">
      <c r="BB32853" s="122"/>
      <c r="BC32853" s="141"/>
    </row>
    <row r="32854">
      <c r="BB32854" s="122"/>
      <c r="BC32854" s="141"/>
    </row>
    <row r="32855">
      <c r="BB32855" s="122"/>
      <c r="BC32855" s="141"/>
    </row>
    <row r="32856">
      <c r="BB32856" s="122"/>
      <c r="BC32856" s="141"/>
    </row>
    <row r="32857">
      <c r="BB32857" s="122"/>
      <c r="BC32857" s="141"/>
    </row>
    <row r="32858">
      <c r="BB32858" s="122"/>
      <c r="BC32858" s="141"/>
    </row>
    <row r="32859">
      <c r="BB32859" s="122"/>
      <c r="BC32859" s="141"/>
    </row>
    <row r="32860">
      <c r="BB32860" s="122"/>
      <c r="BC32860" s="141"/>
    </row>
    <row r="32861">
      <c r="BB32861" s="122"/>
      <c r="BC32861" s="141"/>
    </row>
    <row r="32862">
      <c r="BB32862" s="122"/>
      <c r="BC32862" s="141"/>
    </row>
    <row r="32863">
      <c r="BB32863" s="122"/>
      <c r="BC32863" s="141"/>
    </row>
    <row r="32864">
      <c r="BB32864" s="122"/>
      <c r="BC32864" s="141"/>
    </row>
    <row r="32865">
      <c r="BB32865" s="122"/>
      <c r="BC32865" s="141"/>
    </row>
    <row r="32866">
      <c r="BB32866" s="122"/>
      <c r="BC32866" s="141"/>
    </row>
    <row r="32867">
      <c r="BB32867" s="122"/>
      <c r="BC32867" s="141"/>
    </row>
    <row r="32868">
      <c r="BB32868" s="122"/>
      <c r="BC32868" s="141"/>
    </row>
    <row r="32869">
      <c r="BB32869" s="122"/>
      <c r="BC32869" s="141"/>
    </row>
    <row r="32870">
      <c r="BB32870" s="122"/>
      <c r="BC32870" s="141"/>
    </row>
    <row r="32871">
      <c r="BB32871" s="122"/>
      <c r="BC32871" s="141"/>
    </row>
    <row r="32872">
      <c r="BB32872" s="122"/>
      <c r="BC32872" s="141"/>
    </row>
    <row r="32873">
      <c r="BB32873" s="122"/>
      <c r="BC32873" s="141"/>
    </row>
    <row r="32874">
      <c r="BB32874" s="122"/>
      <c r="BC32874" s="141"/>
    </row>
    <row r="32875">
      <c r="BB32875" s="122"/>
      <c r="BC32875" s="141"/>
    </row>
    <row r="32876">
      <c r="BB32876" s="122"/>
      <c r="BC32876" s="141"/>
    </row>
    <row r="32877">
      <c r="BB32877" s="122"/>
      <c r="BC32877" s="141"/>
    </row>
    <row r="32878">
      <c r="BB32878" s="122"/>
      <c r="BC32878" s="141"/>
    </row>
    <row r="32879">
      <c r="BB32879" s="122"/>
      <c r="BC32879" s="141"/>
    </row>
    <row r="32880">
      <c r="BB32880" s="122"/>
      <c r="BC32880" s="141"/>
    </row>
    <row r="32881">
      <c r="BB32881" s="122"/>
      <c r="BC32881" s="141"/>
    </row>
    <row r="32882">
      <c r="BB32882" s="122"/>
      <c r="BC32882" s="141"/>
    </row>
    <row r="32883">
      <c r="BB32883" s="122"/>
      <c r="BC32883" s="141"/>
    </row>
    <row r="32884">
      <c r="BB32884" s="122"/>
      <c r="BC32884" s="141"/>
    </row>
    <row r="32885">
      <c r="BB32885" s="122"/>
      <c r="BC32885" s="141"/>
    </row>
    <row r="32886">
      <c r="BB32886" s="122"/>
      <c r="BC32886" s="141"/>
    </row>
    <row r="32887">
      <c r="BB32887" s="122"/>
      <c r="BC32887" s="141"/>
    </row>
    <row r="32888">
      <c r="BB32888" s="122"/>
      <c r="BC32888" s="141"/>
    </row>
    <row r="32889">
      <c r="BB32889" s="122"/>
      <c r="BC32889" s="141"/>
    </row>
    <row r="32890">
      <c r="BB32890" s="122"/>
      <c r="BC32890" s="141"/>
    </row>
    <row r="32891">
      <c r="BB32891" s="122"/>
      <c r="BC32891" s="141"/>
    </row>
    <row r="32892">
      <c r="BB32892" s="122"/>
      <c r="BC32892" s="141"/>
    </row>
    <row r="32893">
      <c r="BB32893" s="122"/>
      <c r="BC32893" s="141"/>
    </row>
    <row r="32894">
      <c r="BB32894" s="122"/>
      <c r="BC32894" s="141"/>
    </row>
    <row r="32895">
      <c r="BB32895" s="122"/>
      <c r="BC32895" s="141"/>
    </row>
    <row r="32896">
      <c r="BB32896" s="122"/>
      <c r="BC32896" s="141"/>
    </row>
    <row r="32897">
      <c r="BB32897" s="122"/>
      <c r="BC32897" s="141"/>
    </row>
    <row r="32898">
      <c r="BB32898" s="122"/>
      <c r="BC32898" s="141"/>
    </row>
    <row r="32899">
      <c r="BB32899" s="122"/>
      <c r="BC32899" s="141"/>
    </row>
    <row r="32900">
      <c r="BB32900" s="122"/>
      <c r="BC32900" s="141"/>
    </row>
    <row r="32901">
      <c r="BB32901" s="122"/>
      <c r="BC32901" s="141"/>
    </row>
    <row r="32902">
      <c r="BB32902" s="122"/>
      <c r="BC32902" s="141"/>
    </row>
    <row r="32903">
      <c r="BB32903" s="122"/>
      <c r="BC32903" s="141"/>
    </row>
    <row r="32904">
      <c r="BB32904" s="122"/>
      <c r="BC32904" s="141"/>
    </row>
    <row r="32905">
      <c r="BB32905" s="122"/>
      <c r="BC32905" s="141"/>
    </row>
    <row r="32906">
      <c r="BB32906" s="122"/>
      <c r="BC32906" s="141"/>
    </row>
    <row r="32907">
      <c r="BB32907" s="122"/>
      <c r="BC32907" s="141"/>
    </row>
    <row r="32908">
      <c r="BB32908" s="122"/>
      <c r="BC32908" s="141"/>
    </row>
    <row r="32909">
      <c r="BB32909" s="122"/>
      <c r="BC32909" s="141"/>
    </row>
    <row r="32910">
      <c r="BB32910" s="122"/>
      <c r="BC32910" s="141"/>
    </row>
    <row r="32911">
      <c r="BB32911" s="122"/>
      <c r="BC32911" s="141"/>
    </row>
    <row r="32912">
      <c r="BB32912" s="122"/>
      <c r="BC32912" s="141"/>
    </row>
    <row r="32913">
      <c r="BB32913" s="122"/>
      <c r="BC32913" s="141"/>
    </row>
    <row r="32914">
      <c r="BB32914" s="122"/>
      <c r="BC32914" s="141"/>
    </row>
    <row r="32915">
      <c r="BB32915" s="122"/>
      <c r="BC32915" s="141"/>
    </row>
    <row r="32916">
      <c r="BB32916" s="122"/>
      <c r="BC32916" s="141"/>
    </row>
    <row r="32917">
      <c r="BB32917" s="122"/>
      <c r="BC32917" s="141"/>
    </row>
    <row r="32918">
      <c r="BB32918" s="122"/>
      <c r="BC32918" s="141"/>
    </row>
    <row r="32919">
      <c r="BB32919" s="122"/>
      <c r="BC32919" s="141"/>
    </row>
    <row r="32920">
      <c r="BB32920" s="122"/>
      <c r="BC32920" s="141"/>
    </row>
    <row r="32921">
      <c r="BB32921" s="122"/>
      <c r="BC32921" s="141"/>
    </row>
    <row r="32922">
      <c r="BB32922" s="122"/>
      <c r="BC32922" s="141"/>
    </row>
    <row r="32923">
      <c r="BB32923" s="122"/>
      <c r="BC32923" s="141"/>
    </row>
    <row r="32924">
      <c r="BB32924" s="122"/>
      <c r="BC32924" s="141"/>
    </row>
    <row r="32925">
      <c r="BB32925" s="122"/>
      <c r="BC32925" s="141"/>
    </row>
    <row r="32926">
      <c r="BB32926" s="122"/>
      <c r="BC32926" s="141"/>
    </row>
    <row r="32927">
      <c r="BB32927" s="122"/>
      <c r="BC32927" s="141"/>
    </row>
    <row r="32928">
      <c r="BB32928" s="122"/>
      <c r="BC32928" s="141"/>
    </row>
    <row r="32929">
      <c r="BB32929" s="122"/>
      <c r="BC32929" s="141"/>
    </row>
    <row r="32930">
      <c r="BB32930" s="122"/>
      <c r="BC32930" s="141"/>
    </row>
    <row r="32931">
      <c r="BB32931" s="122"/>
      <c r="BC32931" s="141"/>
    </row>
    <row r="32932">
      <c r="BB32932" s="122"/>
      <c r="BC32932" s="141"/>
    </row>
    <row r="32933">
      <c r="BB32933" s="122"/>
      <c r="BC32933" s="141"/>
    </row>
    <row r="32934">
      <c r="BB32934" s="122"/>
      <c r="BC32934" s="141"/>
    </row>
    <row r="32935">
      <c r="BB32935" s="122"/>
      <c r="BC32935" s="141"/>
    </row>
    <row r="32936">
      <c r="BB32936" s="122"/>
      <c r="BC32936" s="141"/>
    </row>
    <row r="32937">
      <c r="BB32937" s="122"/>
      <c r="BC32937" s="141"/>
    </row>
    <row r="32938">
      <c r="BB32938" s="122"/>
      <c r="BC32938" s="141"/>
    </row>
    <row r="32939">
      <c r="BB32939" s="122"/>
      <c r="BC32939" s="141"/>
    </row>
    <row r="32940">
      <c r="BB32940" s="122"/>
      <c r="BC32940" s="141"/>
    </row>
    <row r="32941">
      <c r="BB32941" s="122"/>
      <c r="BC32941" s="141"/>
    </row>
    <row r="32942">
      <c r="BB32942" s="122"/>
      <c r="BC32942" s="141"/>
    </row>
    <row r="32943">
      <c r="BB32943" s="122"/>
      <c r="BC32943" s="141"/>
    </row>
    <row r="32944">
      <c r="BB32944" s="122"/>
      <c r="BC32944" s="141"/>
    </row>
    <row r="32945">
      <c r="BB32945" s="122"/>
      <c r="BC32945" s="141"/>
    </row>
    <row r="32946">
      <c r="BB32946" s="122"/>
      <c r="BC32946" s="141"/>
    </row>
    <row r="32947">
      <c r="BB32947" s="122"/>
      <c r="BC32947" s="141"/>
    </row>
    <row r="32948">
      <c r="BB32948" s="122"/>
      <c r="BC32948" s="141"/>
    </row>
    <row r="32949">
      <c r="BB32949" s="122"/>
      <c r="BC32949" s="141"/>
    </row>
    <row r="32950">
      <c r="BB32950" s="122"/>
      <c r="BC32950" s="141"/>
    </row>
    <row r="32951">
      <c r="BB32951" s="122"/>
      <c r="BC32951" s="141"/>
    </row>
    <row r="32952">
      <c r="BB32952" s="122"/>
      <c r="BC32952" s="141"/>
    </row>
    <row r="32953">
      <c r="BB32953" s="122"/>
      <c r="BC32953" s="141"/>
    </row>
    <row r="32954">
      <c r="BB32954" s="122"/>
      <c r="BC32954" s="141"/>
    </row>
    <row r="32955">
      <c r="BB32955" s="122"/>
      <c r="BC32955" s="141"/>
    </row>
    <row r="32956">
      <c r="BB32956" s="122"/>
      <c r="BC32956" s="141"/>
    </row>
    <row r="32957">
      <c r="BB32957" s="122"/>
      <c r="BC32957" s="141"/>
    </row>
    <row r="32958">
      <c r="BB32958" s="122"/>
      <c r="BC32958" s="141"/>
    </row>
    <row r="32959">
      <c r="BB32959" s="122"/>
      <c r="BC32959" s="141"/>
    </row>
    <row r="32960">
      <c r="BB32960" s="122"/>
      <c r="BC32960" s="141"/>
    </row>
    <row r="32961">
      <c r="BB32961" s="122"/>
      <c r="BC32961" s="141"/>
    </row>
    <row r="32962">
      <c r="BB32962" s="122"/>
      <c r="BC32962" s="141"/>
    </row>
    <row r="32963">
      <c r="BB32963" s="122"/>
      <c r="BC32963" s="141"/>
    </row>
    <row r="32964">
      <c r="BB32964" s="122"/>
      <c r="BC32964" s="141"/>
    </row>
    <row r="32965">
      <c r="BB32965" s="122"/>
      <c r="BC32965" s="141"/>
    </row>
    <row r="32966">
      <c r="BB32966" s="122"/>
      <c r="BC32966" s="141"/>
    </row>
    <row r="32967">
      <c r="BB32967" s="122"/>
      <c r="BC32967" s="141"/>
    </row>
    <row r="32968">
      <c r="BB32968" s="122"/>
      <c r="BC32968" s="141"/>
    </row>
    <row r="32969">
      <c r="BB32969" s="122"/>
      <c r="BC32969" s="141"/>
    </row>
    <row r="32970">
      <c r="BB32970" s="122"/>
      <c r="BC32970" s="141"/>
    </row>
    <row r="32971">
      <c r="BB32971" s="122"/>
      <c r="BC32971" s="141"/>
    </row>
    <row r="32972">
      <c r="BB32972" s="122"/>
      <c r="BC32972" s="141"/>
    </row>
    <row r="32973">
      <c r="BB32973" s="122"/>
      <c r="BC32973" s="141"/>
    </row>
    <row r="32974">
      <c r="BB32974" s="122"/>
      <c r="BC32974" s="141"/>
    </row>
    <row r="32975">
      <c r="BB32975" s="122"/>
      <c r="BC32975" s="141"/>
    </row>
    <row r="32976">
      <c r="BB32976" s="122"/>
      <c r="BC32976" s="141"/>
    </row>
    <row r="32977">
      <c r="BB32977" s="122"/>
      <c r="BC32977" s="141"/>
    </row>
    <row r="32978">
      <c r="BB32978" s="122"/>
      <c r="BC32978" s="141"/>
    </row>
    <row r="32979">
      <c r="BB32979" s="122"/>
      <c r="BC32979" s="141"/>
    </row>
    <row r="32980">
      <c r="BB32980" s="122"/>
      <c r="BC32980" s="141"/>
    </row>
    <row r="32981">
      <c r="BB32981" s="122"/>
      <c r="BC32981" s="141"/>
    </row>
    <row r="32982">
      <c r="BB32982" s="122"/>
      <c r="BC32982" s="141"/>
    </row>
    <row r="32983">
      <c r="BB32983" s="122"/>
      <c r="BC32983" s="141"/>
    </row>
    <row r="32984">
      <c r="BB32984" s="122"/>
      <c r="BC32984" s="141"/>
    </row>
    <row r="32985">
      <c r="BB32985" s="122"/>
      <c r="BC32985" s="141"/>
    </row>
    <row r="32986">
      <c r="BB32986" s="122"/>
      <c r="BC32986" s="141"/>
    </row>
    <row r="32987">
      <c r="BB32987" s="122"/>
      <c r="BC32987" s="141"/>
    </row>
    <row r="32988">
      <c r="BB32988" s="122"/>
      <c r="BC32988" s="141"/>
    </row>
    <row r="32989">
      <c r="BB32989" s="122"/>
      <c r="BC32989" s="141"/>
    </row>
    <row r="32990">
      <c r="BB32990" s="122"/>
      <c r="BC32990" s="141"/>
    </row>
    <row r="32991">
      <c r="BB32991" s="122"/>
      <c r="BC32991" s="141"/>
    </row>
    <row r="32992">
      <c r="BB32992" s="122"/>
      <c r="BC32992" s="141"/>
    </row>
    <row r="32993">
      <c r="BB32993" s="122"/>
      <c r="BC32993" s="141"/>
    </row>
    <row r="32994">
      <c r="BB32994" s="122"/>
      <c r="BC32994" s="141"/>
    </row>
    <row r="32995">
      <c r="BB32995" s="122"/>
      <c r="BC32995" s="141"/>
    </row>
    <row r="32996">
      <c r="BB32996" s="122"/>
      <c r="BC32996" s="141"/>
    </row>
    <row r="32997">
      <c r="BB32997" s="122"/>
      <c r="BC32997" s="141"/>
    </row>
    <row r="32998">
      <c r="BB32998" s="122"/>
      <c r="BC32998" s="141"/>
    </row>
    <row r="32999">
      <c r="BB32999" s="122"/>
      <c r="BC32999" s="141"/>
    </row>
    <row r="33000">
      <c r="BB33000" s="122"/>
      <c r="BC33000" s="141"/>
    </row>
    <row r="33001">
      <c r="BB33001" s="122"/>
      <c r="BC33001" s="141"/>
    </row>
    <row r="33002">
      <c r="BB33002" s="122"/>
      <c r="BC33002" s="141"/>
    </row>
    <row r="33003">
      <c r="BB33003" s="122"/>
      <c r="BC33003" s="141"/>
    </row>
    <row r="33004">
      <c r="BB33004" s="122"/>
      <c r="BC33004" s="141"/>
    </row>
    <row r="33005">
      <c r="BB33005" s="122"/>
      <c r="BC33005" s="141"/>
    </row>
    <row r="33006">
      <c r="BB33006" s="122"/>
      <c r="BC33006" s="141"/>
    </row>
    <row r="33007">
      <c r="BB33007" s="122"/>
      <c r="BC33007" s="141"/>
    </row>
    <row r="33008">
      <c r="BB33008" s="122"/>
      <c r="BC33008" s="141"/>
    </row>
    <row r="33009">
      <c r="BB33009" s="122"/>
      <c r="BC33009" s="141"/>
    </row>
    <row r="33010">
      <c r="BB33010" s="122"/>
      <c r="BC33010" s="141"/>
    </row>
    <row r="33011">
      <c r="BB33011" s="122"/>
      <c r="BC33011" s="141"/>
    </row>
    <row r="33012">
      <c r="BB33012" s="122"/>
      <c r="BC33012" s="141"/>
    </row>
    <row r="33013">
      <c r="BB33013" s="122"/>
      <c r="BC33013" s="141"/>
    </row>
    <row r="33014">
      <c r="BB33014" s="122"/>
      <c r="BC33014" s="141"/>
    </row>
    <row r="33015">
      <c r="BB33015" s="122"/>
      <c r="BC33015" s="141"/>
    </row>
    <row r="33016">
      <c r="BB33016" s="122"/>
      <c r="BC33016" s="141"/>
    </row>
    <row r="33017">
      <c r="BB33017" s="122"/>
      <c r="BC33017" s="141"/>
    </row>
    <row r="33018">
      <c r="BB33018" s="122"/>
      <c r="BC33018" s="141"/>
    </row>
    <row r="33019">
      <c r="BB33019" s="122"/>
      <c r="BC33019" s="141"/>
    </row>
    <row r="33020">
      <c r="BB33020" s="122"/>
      <c r="BC33020" s="141"/>
    </row>
    <row r="33021">
      <c r="BB33021" s="122"/>
      <c r="BC33021" s="141"/>
    </row>
    <row r="33022">
      <c r="BB33022" s="122"/>
      <c r="BC33022" s="141"/>
    </row>
    <row r="33023">
      <c r="BB33023" s="122"/>
      <c r="BC33023" s="141"/>
    </row>
    <row r="33024">
      <c r="BB33024" s="122"/>
      <c r="BC33024" s="141"/>
    </row>
    <row r="33025">
      <c r="BB33025" s="122"/>
      <c r="BC33025" s="141"/>
    </row>
    <row r="33026">
      <c r="BB33026" s="122"/>
      <c r="BC33026" s="141"/>
    </row>
    <row r="33027">
      <c r="BB33027" s="122"/>
      <c r="BC33027" s="141"/>
    </row>
    <row r="33028">
      <c r="BB33028" s="122"/>
      <c r="BC33028" s="141"/>
    </row>
    <row r="33029">
      <c r="BB33029" s="122"/>
      <c r="BC33029" s="141"/>
    </row>
    <row r="33030">
      <c r="BB33030" s="122"/>
      <c r="BC33030" s="141"/>
    </row>
    <row r="33031">
      <c r="BB33031" s="122"/>
      <c r="BC33031" s="141"/>
    </row>
    <row r="33032">
      <c r="BB33032" s="122"/>
      <c r="BC33032" s="141"/>
    </row>
    <row r="33033">
      <c r="BB33033" s="122"/>
      <c r="BC33033" s="141"/>
    </row>
    <row r="33034">
      <c r="BB33034" s="122"/>
      <c r="BC33034" s="141"/>
    </row>
    <row r="33035">
      <c r="BB33035" s="122"/>
      <c r="BC33035" s="141"/>
    </row>
    <row r="33036">
      <c r="BB33036" s="122"/>
      <c r="BC33036" s="141"/>
    </row>
    <row r="33037">
      <c r="BB33037" s="122"/>
      <c r="BC33037" s="141"/>
    </row>
    <row r="33038">
      <c r="BB33038" s="122"/>
      <c r="BC33038" s="141"/>
    </row>
    <row r="33039">
      <c r="BB33039" s="122"/>
      <c r="BC33039" s="141"/>
    </row>
    <row r="33040">
      <c r="BB33040" s="122"/>
      <c r="BC33040" s="141"/>
    </row>
    <row r="33041">
      <c r="BB33041" s="122"/>
      <c r="BC33041" s="141"/>
    </row>
    <row r="33042">
      <c r="BB33042" s="122"/>
      <c r="BC33042" s="141"/>
    </row>
    <row r="33043">
      <c r="BB33043" s="122"/>
      <c r="BC33043" s="141"/>
    </row>
    <row r="33044">
      <c r="BB33044" s="122"/>
      <c r="BC33044" s="141"/>
    </row>
    <row r="33045">
      <c r="BB33045" s="122"/>
      <c r="BC33045" s="141"/>
    </row>
    <row r="33046">
      <c r="BB33046" s="122"/>
      <c r="BC33046" s="141"/>
    </row>
    <row r="33047">
      <c r="BB33047" s="122"/>
      <c r="BC33047" s="141"/>
    </row>
    <row r="33048">
      <c r="BB33048" s="122"/>
      <c r="BC33048" s="141"/>
    </row>
    <row r="33049">
      <c r="BB33049" s="122"/>
      <c r="BC33049" s="141"/>
    </row>
    <row r="33050">
      <c r="BB33050" s="122"/>
      <c r="BC33050" s="141"/>
    </row>
    <row r="33051">
      <c r="BB33051" s="122"/>
      <c r="BC33051" s="141"/>
    </row>
    <row r="33052">
      <c r="BB33052" s="122"/>
      <c r="BC33052" s="141"/>
    </row>
    <row r="33053">
      <c r="BB33053" s="122"/>
      <c r="BC33053" s="141"/>
    </row>
    <row r="33054">
      <c r="BB33054" s="122"/>
      <c r="BC33054" s="141"/>
    </row>
    <row r="33055">
      <c r="BB33055" s="122"/>
      <c r="BC33055" s="141"/>
    </row>
    <row r="33056">
      <c r="BB33056" s="122"/>
      <c r="BC33056" s="141"/>
    </row>
    <row r="33057">
      <c r="BB33057" s="122"/>
      <c r="BC33057" s="141"/>
    </row>
    <row r="33058">
      <c r="BB33058" s="122"/>
      <c r="BC33058" s="141"/>
    </row>
    <row r="33059">
      <c r="BB33059" s="122"/>
      <c r="BC33059" s="141"/>
    </row>
    <row r="33060">
      <c r="BB33060" s="122"/>
      <c r="BC33060" s="141"/>
    </row>
    <row r="33061">
      <c r="BB33061" s="122"/>
      <c r="BC33061" s="141"/>
    </row>
    <row r="33062">
      <c r="BB33062" s="122"/>
      <c r="BC33062" s="141"/>
    </row>
    <row r="33063">
      <c r="BB33063" s="122"/>
      <c r="BC33063" s="141"/>
    </row>
    <row r="33064">
      <c r="BB33064" s="122"/>
      <c r="BC33064" s="141"/>
    </row>
    <row r="33065">
      <c r="BB33065" s="122"/>
      <c r="BC33065" s="141"/>
    </row>
    <row r="33066">
      <c r="BB33066" s="122"/>
      <c r="BC33066" s="141"/>
    </row>
    <row r="33067">
      <c r="BB33067" s="122"/>
      <c r="BC33067" s="141"/>
    </row>
    <row r="33068">
      <c r="BB33068" s="122"/>
      <c r="BC33068" s="141"/>
    </row>
    <row r="33069">
      <c r="BB33069" s="122"/>
      <c r="BC33069" s="141"/>
    </row>
    <row r="33070">
      <c r="BB33070" s="122"/>
      <c r="BC33070" s="141"/>
    </row>
    <row r="33071">
      <c r="BB33071" s="122"/>
      <c r="BC33071" s="141"/>
    </row>
    <row r="33072">
      <c r="BB33072" s="122"/>
      <c r="BC33072" s="141"/>
    </row>
    <row r="33073">
      <c r="BB33073" s="122"/>
      <c r="BC33073" s="141"/>
    </row>
    <row r="33074">
      <c r="BB33074" s="122"/>
      <c r="BC33074" s="141"/>
    </row>
    <row r="33075">
      <c r="BB33075" s="122"/>
      <c r="BC33075" s="141"/>
    </row>
    <row r="33076">
      <c r="BB33076" s="122"/>
      <c r="BC33076" s="141"/>
    </row>
    <row r="33077">
      <c r="BB33077" s="122"/>
      <c r="BC33077" s="141"/>
    </row>
    <row r="33078">
      <c r="BB33078" s="122"/>
      <c r="BC33078" s="141"/>
    </row>
    <row r="33079">
      <c r="BB33079" s="122"/>
      <c r="BC33079" s="141"/>
    </row>
    <row r="33080">
      <c r="BB33080" s="122"/>
      <c r="BC33080" s="141"/>
    </row>
    <row r="33081">
      <c r="BB33081" s="122"/>
      <c r="BC33081" s="141"/>
    </row>
    <row r="33082">
      <c r="BB33082" s="122"/>
      <c r="BC33082" s="141"/>
    </row>
    <row r="33083">
      <c r="BB33083" s="122"/>
      <c r="BC33083" s="141"/>
    </row>
    <row r="33084">
      <c r="BB33084" s="122"/>
      <c r="BC33084" s="141"/>
    </row>
    <row r="33085">
      <c r="BB33085" s="122"/>
      <c r="BC33085" s="141"/>
    </row>
    <row r="33086">
      <c r="BB33086" s="122"/>
      <c r="BC33086" s="141"/>
    </row>
    <row r="33087">
      <c r="BB33087" s="122"/>
      <c r="BC33087" s="141"/>
    </row>
    <row r="33088">
      <c r="BB33088" s="122"/>
      <c r="BC33088" s="141"/>
    </row>
    <row r="33089">
      <c r="BB33089" s="122"/>
      <c r="BC33089" s="141"/>
    </row>
    <row r="33090">
      <c r="BB33090" s="122"/>
      <c r="BC33090" s="141"/>
    </row>
    <row r="33091">
      <c r="BB33091" s="122"/>
      <c r="BC33091" s="141"/>
    </row>
    <row r="33092">
      <c r="BB33092" s="122"/>
      <c r="BC33092" s="141"/>
    </row>
    <row r="33093">
      <c r="BB33093" s="122"/>
      <c r="BC33093" s="141"/>
    </row>
    <row r="33094">
      <c r="BB33094" s="122"/>
      <c r="BC33094" s="141"/>
    </row>
    <row r="33095">
      <c r="BB33095" s="122"/>
      <c r="BC33095" s="141"/>
    </row>
    <row r="33096">
      <c r="BB33096" s="122"/>
      <c r="BC33096" s="141"/>
    </row>
    <row r="33097">
      <c r="BB33097" s="122"/>
      <c r="BC33097" s="141"/>
    </row>
    <row r="33098">
      <c r="BB33098" s="122"/>
      <c r="BC33098" s="141"/>
    </row>
    <row r="33099">
      <c r="BB33099" s="122"/>
      <c r="BC33099" s="141"/>
    </row>
    <row r="33100">
      <c r="BB33100" s="122"/>
      <c r="BC33100" s="141"/>
    </row>
    <row r="33101">
      <c r="BB33101" s="122"/>
      <c r="BC33101" s="141"/>
    </row>
    <row r="33102">
      <c r="BB33102" s="122"/>
      <c r="BC33102" s="141"/>
    </row>
    <row r="33103">
      <c r="BB33103" s="122"/>
      <c r="BC33103" s="141"/>
    </row>
    <row r="33104">
      <c r="BB33104" s="122"/>
      <c r="BC33104" s="141"/>
    </row>
    <row r="33105">
      <c r="BB33105" s="122"/>
      <c r="BC33105" s="141"/>
    </row>
    <row r="33106">
      <c r="BB33106" s="122"/>
      <c r="BC33106" s="141"/>
    </row>
    <row r="33107">
      <c r="BB33107" s="122"/>
      <c r="BC33107" s="141"/>
    </row>
    <row r="33108">
      <c r="BB33108" s="122"/>
      <c r="BC33108" s="141"/>
    </row>
    <row r="33109">
      <c r="BB33109" s="122"/>
      <c r="BC33109" s="141"/>
    </row>
    <row r="33110">
      <c r="BB33110" s="122"/>
      <c r="BC33110" s="141"/>
    </row>
    <row r="33111">
      <c r="BB33111" s="122"/>
      <c r="BC33111" s="141"/>
    </row>
    <row r="33112">
      <c r="BB33112" s="122"/>
      <c r="BC33112" s="141"/>
    </row>
    <row r="33113">
      <c r="BB33113" s="122"/>
      <c r="BC33113" s="141"/>
    </row>
    <row r="33114">
      <c r="BB33114" s="122"/>
      <c r="BC33114" s="141"/>
    </row>
    <row r="33115">
      <c r="BB33115" s="122"/>
      <c r="BC33115" s="141"/>
    </row>
    <row r="33116">
      <c r="BB33116" s="122"/>
      <c r="BC33116" s="141"/>
    </row>
    <row r="33117">
      <c r="BB33117" s="122"/>
      <c r="BC33117" s="141"/>
    </row>
    <row r="33118">
      <c r="BB33118" s="122"/>
      <c r="BC33118" s="141"/>
    </row>
    <row r="33119">
      <c r="BB33119" s="122"/>
      <c r="BC33119" s="141"/>
    </row>
    <row r="33120">
      <c r="BB33120" s="122"/>
      <c r="BC33120" s="141"/>
    </row>
    <row r="33121">
      <c r="BB33121" s="122"/>
      <c r="BC33121" s="141"/>
    </row>
    <row r="33122">
      <c r="BB33122" s="122"/>
      <c r="BC33122" s="141"/>
    </row>
    <row r="33123">
      <c r="BB33123" s="122"/>
      <c r="BC33123" s="141"/>
    </row>
    <row r="33124">
      <c r="BB33124" s="122"/>
      <c r="BC33124" s="141"/>
    </row>
    <row r="33125">
      <c r="BB33125" s="122"/>
      <c r="BC33125" s="141"/>
    </row>
    <row r="33126">
      <c r="BB33126" s="122"/>
      <c r="BC33126" s="141"/>
    </row>
    <row r="33127">
      <c r="BB33127" s="122"/>
      <c r="BC33127" s="141"/>
    </row>
    <row r="33128">
      <c r="BB33128" s="122"/>
      <c r="BC33128" s="141"/>
    </row>
    <row r="33129">
      <c r="BB33129" s="122"/>
      <c r="BC33129" s="141"/>
    </row>
    <row r="33130">
      <c r="BB33130" s="122"/>
      <c r="BC33130" s="141"/>
    </row>
    <row r="33131">
      <c r="BB33131" s="122"/>
      <c r="BC33131" s="141"/>
    </row>
    <row r="33132">
      <c r="BB33132" s="122"/>
      <c r="BC33132" s="141"/>
    </row>
    <row r="33133">
      <c r="BB33133" s="122"/>
      <c r="BC33133" s="141"/>
    </row>
    <row r="33134">
      <c r="BB33134" s="122"/>
      <c r="BC33134" s="141"/>
    </row>
    <row r="33135">
      <c r="BB33135" s="122"/>
      <c r="BC33135" s="141"/>
    </row>
    <row r="33136">
      <c r="BB33136" s="122"/>
      <c r="BC33136" s="141"/>
    </row>
    <row r="33137">
      <c r="BB33137" s="122"/>
      <c r="BC33137" s="141"/>
    </row>
    <row r="33138">
      <c r="BB33138" s="122"/>
      <c r="BC33138" s="141"/>
    </row>
    <row r="33139">
      <c r="BB33139" s="122"/>
      <c r="BC33139" s="141"/>
    </row>
    <row r="33140">
      <c r="BB33140" s="122"/>
      <c r="BC33140" s="141"/>
    </row>
    <row r="33141">
      <c r="BB33141" s="122"/>
      <c r="BC33141" s="141"/>
    </row>
    <row r="33142">
      <c r="BB33142" s="122"/>
      <c r="BC33142" s="141"/>
    </row>
    <row r="33143">
      <c r="BB33143" s="122"/>
      <c r="BC33143" s="141"/>
    </row>
    <row r="33144">
      <c r="BB33144" s="122"/>
      <c r="BC33144" s="141"/>
    </row>
    <row r="33145">
      <c r="BB33145" s="122"/>
      <c r="BC33145" s="141"/>
    </row>
    <row r="33146">
      <c r="BB33146" s="122"/>
      <c r="BC33146" s="141"/>
    </row>
    <row r="33147">
      <c r="BB33147" s="122"/>
      <c r="BC33147" s="141"/>
    </row>
    <row r="33148">
      <c r="BB33148" s="122"/>
      <c r="BC33148" s="141"/>
    </row>
    <row r="33149">
      <c r="BB33149" s="122"/>
      <c r="BC33149" s="141"/>
    </row>
    <row r="33150">
      <c r="BB33150" s="122"/>
      <c r="BC33150" s="141"/>
    </row>
    <row r="33151">
      <c r="BB33151" s="122"/>
      <c r="BC33151" s="141"/>
    </row>
    <row r="33152">
      <c r="BB33152" s="122"/>
      <c r="BC33152" s="141"/>
    </row>
    <row r="33153">
      <c r="BB33153" s="122"/>
      <c r="BC33153" s="141"/>
    </row>
    <row r="33154">
      <c r="BB33154" s="122"/>
      <c r="BC33154" s="141"/>
    </row>
    <row r="33155">
      <c r="BB33155" s="122"/>
      <c r="BC33155" s="141"/>
    </row>
    <row r="33156">
      <c r="BB33156" s="122"/>
      <c r="BC33156" s="141"/>
    </row>
    <row r="33157">
      <c r="BB33157" s="122"/>
      <c r="BC33157" s="141"/>
    </row>
    <row r="33158">
      <c r="BB33158" s="122"/>
      <c r="BC33158" s="141"/>
    </row>
    <row r="33159">
      <c r="BB33159" s="122"/>
      <c r="BC33159" s="141"/>
    </row>
    <row r="33160">
      <c r="BB33160" s="122"/>
      <c r="BC33160" s="141"/>
    </row>
    <row r="33161">
      <c r="BB33161" s="122"/>
      <c r="BC33161" s="141"/>
    </row>
    <row r="33162">
      <c r="BB33162" s="122"/>
      <c r="BC33162" s="141"/>
    </row>
    <row r="33163">
      <c r="BB33163" s="122"/>
      <c r="BC33163" s="141"/>
    </row>
    <row r="33164">
      <c r="BB33164" s="122"/>
      <c r="BC33164" s="141"/>
    </row>
    <row r="33165">
      <c r="BB33165" s="122"/>
      <c r="BC33165" s="141"/>
    </row>
    <row r="33166">
      <c r="BB33166" s="122"/>
      <c r="BC33166" s="141"/>
    </row>
    <row r="33167">
      <c r="BB33167" s="122"/>
      <c r="BC33167" s="141"/>
    </row>
    <row r="33168">
      <c r="BB33168" s="122"/>
      <c r="BC33168" s="141"/>
    </row>
    <row r="33169">
      <c r="BB33169" s="122"/>
      <c r="BC33169" s="141"/>
    </row>
    <row r="33170">
      <c r="BB33170" s="122"/>
      <c r="BC33170" s="141"/>
    </row>
    <row r="33171">
      <c r="BB33171" s="122"/>
      <c r="BC33171" s="141"/>
    </row>
    <row r="33172">
      <c r="BB33172" s="122"/>
      <c r="BC33172" s="141"/>
    </row>
    <row r="33173">
      <c r="BB33173" s="122"/>
      <c r="BC33173" s="141"/>
    </row>
    <row r="33174">
      <c r="BB33174" s="122"/>
      <c r="BC33174" s="141"/>
    </row>
    <row r="33175">
      <c r="BB33175" s="122"/>
      <c r="BC33175" s="141"/>
    </row>
    <row r="33176">
      <c r="BB33176" s="122"/>
      <c r="BC33176" s="141"/>
    </row>
    <row r="33177">
      <c r="BB33177" s="122"/>
      <c r="BC33177" s="141"/>
    </row>
    <row r="33178">
      <c r="BB33178" s="122"/>
      <c r="BC33178" s="141"/>
    </row>
    <row r="33179">
      <c r="BB33179" s="122"/>
      <c r="BC33179" s="141"/>
    </row>
    <row r="33180">
      <c r="BB33180" s="122"/>
      <c r="BC33180" s="141"/>
    </row>
    <row r="33181">
      <c r="BB33181" s="122"/>
      <c r="BC33181" s="141"/>
    </row>
    <row r="33182">
      <c r="BB33182" s="122"/>
      <c r="BC33182" s="141"/>
    </row>
    <row r="33183">
      <c r="BB33183" s="122"/>
      <c r="BC33183" s="141"/>
    </row>
    <row r="33184">
      <c r="BB33184" s="122"/>
      <c r="BC33184" s="141"/>
    </row>
    <row r="33185">
      <c r="BB33185" s="122"/>
      <c r="BC33185" s="141"/>
    </row>
    <row r="33186">
      <c r="BB33186" s="122"/>
      <c r="BC33186" s="141"/>
    </row>
    <row r="33187">
      <c r="BB33187" s="122"/>
      <c r="BC33187" s="141"/>
    </row>
    <row r="33188">
      <c r="BB33188" s="122"/>
      <c r="BC33188" s="141"/>
    </row>
    <row r="33189">
      <c r="BB33189" s="122"/>
      <c r="BC33189" s="141"/>
    </row>
    <row r="33190">
      <c r="BB33190" s="122"/>
      <c r="BC33190" s="141"/>
    </row>
    <row r="33191">
      <c r="BB33191" s="122"/>
      <c r="BC33191" s="141"/>
    </row>
    <row r="33192">
      <c r="BB33192" s="122"/>
      <c r="BC33192" s="141"/>
    </row>
    <row r="33193">
      <c r="BB33193" s="122"/>
      <c r="BC33193" s="141"/>
    </row>
    <row r="33194">
      <c r="BB33194" s="122"/>
      <c r="BC33194" s="141"/>
    </row>
    <row r="33195">
      <c r="BB33195" s="122"/>
      <c r="BC33195" s="141"/>
    </row>
    <row r="33196">
      <c r="BB33196" s="122"/>
      <c r="BC33196" s="141"/>
    </row>
    <row r="33197">
      <c r="BB33197" s="122"/>
      <c r="BC33197" s="141"/>
    </row>
    <row r="33198">
      <c r="BB33198" s="122"/>
      <c r="BC33198" s="141"/>
    </row>
    <row r="33199">
      <c r="BB33199" s="122"/>
      <c r="BC33199" s="141"/>
    </row>
    <row r="33200">
      <c r="BB33200" s="122"/>
      <c r="BC33200" s="141"/>
    </row>
    <row r="33201">
      <c r="BB33201" s="122"/>
      <c r="BC33201" s="141"/>
    </row>
    <row r="33202">
      <c r="BB33202" s="122"/>
      <c r="BC33202" s="141"/>
    </row>
    <row r="33203">
      <c r="BB33203" s="122"/>
      <c r="BC33203" s="141"/>
    </row>
    <row r="33204">
      <c r="BB33204" s="122"/>
      <c r="BC33204" s="141"/>
    </row>
    <row r="33205">
      <c r="BB33205" s="122"/>
      <c r="BC33205" s="141"/>
    </row>
    <row r="33206">
      <c r="BB33206" s="122"/>
      <c r="BC33206" s="141"/>
    </row>
    <row r="33207">
      <c r="BB33207" s="122"/>
      <c r="BC33207" s="141"/>
    </row>
    <row r="33208">
      <c r="BB33208" s="122"/>
      <c r="BC33208" s="141"/>
    </row>
    <row r="33209">
      <c r="BB33209" s="122"/>
      <c r="BC33209" s="141"/>
    </row>
    <row r="33210">
      <c r="BB33210" s="122"/>
      <c r="BC33210" s="141"/>
    </row>
    <row r="33211">
      <c r="BB33211" s="122"/>
      <c r="BC33211" s="141"/>
    </row>
    <row r="33212">
      <c r="BB33212" s="122"/>
      <c r="BC33212" s="141"/>
    </row>
    <row r="33213">
      <c r="BB33213" s="122"/>
      <c r="BC33213" s="141"/>
    </row>
    <row r="33214">
      <c r="BB33214" s="122"/>
      <c r="BC33214" s="141"/>
    </row>
    <row r="33215">
      <c r="BB33215" s="122"/>
      <c r="BC33215" s="141"/>
    </row>
    <row r="33216">
      <c r="BB33216" s="122"/>
      <c r="BC33216" s="141"/>
    </row>
    <row r="33217">
      <c r="BB33217" s="122"/>
      <c r="BC33217" s="141"/>
    </row>
    <row r="33218">
      <c r="BB33218" s="122"/>
      <c r="BC33218" s="141"/>
    </row>
    <row r="33219">
      <c r="BB33219" s="122"/>
      <c r="BC33219" s="141"/>
    </row>
    <row r="33220">
      <c r="BB33220" s="122"/>
      <c r="BC33220" s="141"/>
    </row>
    <row r="33221">
      <c r="BB33221" s="122"/>
      <c r="BC33221" s="141"/>
    </row>
    <row r="33222">
      <c r="BB33222" s="122"/>
      <c r="BC33222" s="141"/>
    </row>
    <row r="33223">
      <c r="BB33223" s="122"/>
      <c r="BC33223" s="141"/>
    </row>
    <row r="33224">
      <c r="BB33224" s="122"/>
      <c r="BC33224" s="141"/>
    </row>
    <row r="33225">
      <c r="BB33225" s="122"/>
      <c r="BC33225" s="141"/>
    </row>
    <row r="33226">
      <c r="BB33226" s="122"/>
      <c r="BC33226" s="141"/>
    </row>
    <row r="33227">
      <c r="BB33227" s="122"/>
      <c r="BC33227" s="141"/>
    </row>
    <row r="33228">
      <c r="BB33228" s="122"/>
      <c r="BC33228" s="141"/>
    </row>
    <row r="33229">
      <c r="BB33229" s="122"/>
      <c r="BC33229" s="141"/>
    </row>
    <row r="33230">
      <c r="BB33230" s="122"/>
      <c r="BC33230" s="141"/>
    </row>
    <row r="33231">
      <c r="BB33231" s="122"/>
      <c r="BC33231" s="141"/>
    </row>
    <row r="33232">
      <c r="BB33232" s="122"/>
      <c r="BC33232" s="141"/>
    </row>
    <row r="33233">
      <c r="BB33233" s="122"/>
      <c r="BC33233" s="141"/>
    </row>
    <row r="33234">
      <c r="BB33234" s="122"/>
      <c r="BC33234" s="141"/>
    </row>
    <row r="33235">
      <c r="BB33235" s="122"/>
      <c r="BC33235" s="141"/>
    </row>
    <row r="33236">
      <c r="BB33236" s="122"/>
      <c r="BC33236" s="141"/>
    </row>
    <row r="33237">
      <c r="BB33237" s="122"/>
      <c r="BC33237" s="141"/>
    </row>
    <row r="33238">
      <c r="BB33238" s="122"/>
      <c r="BC33238" s="141"/>
    </row>
    <row r="33239">
      <c r="BB33239" s="122"/>
      <c r="BC33239" s="141"/>
    </row>
    <row r="33240">
      <c r="BB33240" s="122"/>
      <c r="BC33240" s="141"/>
    </row>
    <row r="33241">
      <c r="BB33241" s="122"/>
      <c r="BC33241" s="141"/>
    </row>
    <row r="33242">
      <c r="BB33242" s="122"/>
      <c r="BC33242" s="141"/>
    </row>
    <row r="33243">
      <c r="BB33243" s="122"/>
      <c r="BC33243" s="141"/>
    </row>
    <row r="33244">
      <c r="BB33244" s="122"/>
      <c r="BC33244" s="141"/>
    </row>
    <row r="33245">
      <c r="BB33245" s="122"/>
      <c r="BC33245" s="141"/>
    </row>
    <row r="33246">
      <c r="BB33246" s="122"/>
      <c r="BC33246" s="141"/>
    </row>
    <row r="33247">
      <c r="BB33247" s="122"/>
      <c r="BC33247" s="141"/>
    </row>
    <row r="33248">
      <c r="BB33248" s="122"/>
      <c r="BC33248" s="141"/>
    </row>
    <row r="33249">
      <c r="BB33249" s="122"/>
      <c r="BC33249" s="141"/>
    </row>
    <row r="33250">
      <c r="BB33250" s="122"/>
      <c r="BC33250" s="141"/>
    </row>
    <row r="33251">
      <c r="BB33251" s="122"/>
      <c r="BC33251" s="141"/>
    </row>
    <row r="33252">
      <c r="BB33252" s="122"/>
      <c r="BC33252" s="141"/>
    </row>
    <row r="33253">
      <c r="BB33253" s="122"/>
      <c r="BC33253" s="141"/>
    </row>
    <row r="33254">
      <c r="BB33254" s="122"/>
      <c r="BC33254" s="141"/>
    </row>
    <row r="33255">
      <c r="BB33255" s="122"/>
      <c r="BC33255" s="141"/>
    </row>
    <row r="33256">
      <c r="BB33256" s="122"/>
      <c r="BC33256" s="141"/>
    </row>
    <row r="33257">
      <c r="BB33257" s="122"/>
      <c r="BC33257" s="141"/>
    </row>
    <row r="33258">
      <c r="BB33258" s="122"/>
      <c r="BC33258" s="141"/>
    </row>
    <row r="33259">
      <c r="BB33259" s="122"/>
      <c r="BC33259" s="141"/>
    </row>
    <row r="33260">
      <c r="BB33260" s="122"/>
      <c r="BC33260" s="141"/>
    </row>
    <row r="33261">
      <c r="BB33261" s="122"/>
      <c r="BC33261" s="141"/>
    </row>
    <row r="33262">
      <c r="BB33262" s="122"/>
      <c r="BC33262" s="141"/>
    </row>
    <row r="33263">
      <c r="BB33263" s="122"/>
      <c r="BC33263" s="141"/>
    </row>
    <row r="33264">
      <c r="BB33264" s="122"/>
      <c r="BC33264" s="141"/>
    </row>
    <row r="33265">
      <c r="BB33265" s="122"/>
      <c r="BC33265" s="141"/>
    </row>
    <row r="33266">
      <c r="BB33266" s="122"/>
      <c r="BC33266" s="141"/>
    </row>
    <row r="33267">
      <c r="BB33267" s="122"/>
      <c r="BC33267" s="141"/>
    </row>
    <row r="33268">
      <c r="BB33268" s="122"/>
      <c r="BC33268" s="141"/>
    </row>
    <row r="33269">
      <c r="BB33269" s="122"/>
      <c r="BC33269" s="141"/>
    </row>
    <row r="33270">
      <c r="BB33270" s="122"/>
      <c r="BC33270" s="141"/>
    </row>
    <row r="33271">
      <c r="BB33271" s="122"/>
      <c r="BC33271" s="141"/>
    </row>
    <row r="33272">
      <c r="BB33272" s="122"/>
      <c r="BC33272" s="141"/>
    </row>
    <row r="33273">
      <c r="BB33273" s="122"/>
      <c r="BC33273" s="141"/>
    </row>
    <row r="33274">
      <c r="BB33274" s="122"/>
      <c r="BC33274" s="141"/>
    </row>
    <row r="33275">
      <c r="BB33275" s="122"/>
      <c r="BC33275" s="141"/>
    </row>
    <row r="33276">
      <c r="BB33276" s="122"/>
      <c r="BC33276" s="141"/>
    </row>
    <row r="33277">
      <c r="BB33277" s="122"/>
      <c r="BC33277" s="141"/>
    </row>
    <row r="33278">
      <c r="BB33278" s="122"/>
      <c r="BC33278" s="141"/>
    </row>
    <row r="33279">
      <c r="BB33279" s="122"/>
      <c r="BC33279" s="141"/>
    </row>
    <row r="33280">
      <c r="BB33280" s="122"/>
      <c r="BC33280" s="141"/>
    </row>
    <row r="33281">
      <c r="BB33281" s="122"/>
      <c r="BC33281" s="141"/>
    </row>
    <row r="33282">
      <c r="BB33282" s="122"/>
      <c r="BC33282" s="141"/>
    </row>
    <row r="33283">
      <c r="BB33283" s="122"/>
      <c r="BC33283" s="141"/>
    </row>
    <row r="33284">
      <c r="BB33284" s="122"/>
      <c r="BC33284" s="141"/>
    </row>
    <row r="33285">
      <c r="BB33285" s="122"/>
      <c r="BC33285" s="141"/>
    </row>
    <row r="33286">
      <c r="BB33286" s="122"/>
      <c r="BC33286" s="141"/>
    </row>
    <row r="33287">
      <c r="BB33287" s="122"/>
      <c r="BC33287" s="141"/>
    </row>
    <row r="33288">
      <c r="BB33288" s="122"/>
      <c r="BC33288" s="141"/>
    </row>
    <row r="33289">
      <c r="BB33289" s="122"/>
      <c r="BC33289" s="141"/>
    </row>
    <row r="33290">
      <c r="BB33290" s="122"/>
      <c r="BC33290" s="141"/>
    </row>
    <row r="33291">
      <c r="BB33291" s="122"/>
      <c r="BC33291" s="141"/>
    </row>
    <row r="33292">
      <c r="BB33292" s="122"/>
      <c r="BC33292" s="141"/>
    </row>
    <row r="33293">
      <c r="BB33293" s="122"/>
      <c r="BC33293" s="141"/>
    </row>
    <row r="33294">
      <c r="BB33294" s="122"/>
      <c r="BC33294" s="141"/>
    </row>
    <row r="33295">
      <c r="BB33295" s="122"/>
      <c r="BC33295" s="141"/>
    </row>
    <row r="33296">
      <c r="BB33296" s="122"/>
      <c r="BC33296" s="141"/>
    </row>
    <row r="33297">
      <c r="BB33297" s="122"/>
      <c r="BC33297" s="141"/>
    </row>
    <row r="33298">
      <c r="BB33298" s="122"/>
      <c r="BC33298" s="141"/>
    </row>
    <row r="33299">
      <c r="BB33299" s="122"/>
      <c r="BC33299" s="141"/>
    </row>
    <row r="33300">
      <c r="BB33300" s="122"/>
      <c r="BC33300" s="141"/>
    </row>
    <row r="33301">
      <c r="BB33301" s="122"/>
      <c r="BC33301" s="141"/>
    </row>
    <row r="33302">
      <c r="BB33302" s="122"/>
      <c r="BC33302" s="141"/>
    </row>
    <row r="33303">
      <c r="BB33303" s="122"/>
      <c r="BC33303" s="141"/>
    </row>
    <row r="33304">
      <c r="BB33304" s="122"/>
      <c r="BC33304" s="141"/>
    </row>
    <row r="33305">
      <c r="BB33305" s="122"/>
      <c r="BC33305" s="141"/>
    </row>
    <row r="33306">
      <c r="BB33306" s="122"/>
      <c r="BC33306" s="141"/>
    </row>
    <row r="33307">
      <c r="BB33307" s="122"/>
      <c r="BC33307" s="141"/>
    </row>
    <row r="33308">
      <c r="BB33308" s="122"/>
      <c r="BC33308" s="141"/>
    </row>
    <row r="33309">
      <c r="BB33309" s="122"/>
      <c r="BC33309" s="141"/>
    </row>
    <row r="33310">
      <c r="BB33310" s="122"/>
      <c r="BC33310" s="141"/>
    </row>
    <row r="33311">
      <c r="BB33311" s="122"/>
      <c r="BC33311" s="141"/>
    </row>
    <row r="33312">
      <c r="BB33312" s="122"/>
      <c r="BC33312" s="141"/>
    </row>
    <row r="33313">
      <c r="BB33313" s="122"/>
      <c r="BC33313" s="141"/>
    </row>
    <row r="33314">
      <c r="BB33314" s="122"/>
      <c r="BC33314" s="141"/>
    </row>
    <row r="33315">
      <c r="BB33315" s="122"/>
      <c r="BC33315" s="141"/>
    </row>
    <row r="33316">
      <c r="BB33316" s="122"/>
      <c r="BC33316" s="141"/>
    </row>
    <row r="33317">
      <c r="BB33317" s="122"/>
      <c r="BC33317" s="141"/>
    </row>
    <row r="33318">
      <c r="BB33318" s="122"/>
      <c r="BC33318" s="141"/>
    </row>
    <row r="33319">
      <c r="BB33319" s="122"/>
      <c r="BC33319" s="141"/>
    </row>
    <row r="33320">
      <c r="BB33320" s="122"/>
      <c r="BC33320" s="141"/>
    </row>
    <row r="33321">
      <c r="BB33321" s="122"/>
      <c r="BC33321" s="141"/>
    </row>
    <row r="33322">
      <c r="BB33322" s="122"/>
      <c r="BC33322" s="141"/>
    </row>
    <row r="33323">
      <c r="BB33323" s="122"/>
      <c r="BC33323" s="141"/>
    </row>
    <row r="33324">
      <c r="BB33324" s="122"/>
      <c r="BC33324" s="141"/>
    </row>
    <row r="33325">
      <c r="BB33325" s="122"/>
      <c r="BC33325" s="141"/>
    </row>
    <row r="33326">
      <c r="BB33326" s="122"/>
      <c r="BC33326" s="141"/>
    </row>
    <row r="33327">
      <c r="BB33327" s="122"/>
      <c r="BC33327" s="141"/>
    </row>
    <row r="33328">
      <c r="BB33328" s="122"/>
      <c r="BC33328" s="141"/>
    </row>
    <row r="33329">
      <c r="BB33329" s="122"/>
      <c r="BC33329" s="141"/>
    </row>
    <row r="33330">
      <c r="BB33330" s="122"/>
      <c r="BC33330" s="141"/>
    </row>
    <row r="33331">
      <c r="BB33331" s="122"/>
      <c r="BC33331" s="141"/>
    </row>
    <row r="33332">
      <c r="BB33332" s="122"/>
      <c r="BC33332" s="141"/>
    </row>
    <row r="33333">
      <c r="BB33333" s="122"/>
      <c r="BC33333" s="141"/>
    </row>
    <row r="33334">
      <c r="BB33334" s="122"/>
      <c r="BC33334" s="141"/>
    </row>
    <row r="33335">
      <c r="BB33335" s="122"/>
      <c r="BC33335" s="141"/>
    </row>
    <row r="33336">
      <c r="BB33336" s="122"/>
      <c r="BC33336" s="141"/>
    </row>
    <row r="33337">
      <c r="BB33337" s="122"/>
      <c r="BC33337" s="141"/>
    </row>
    <row r="33338">
      <c r="BB33338" s="122"/>
      <c r="BC33338" s="141"/>
    </row>
    <row r="33339">
      <c r="BB33339" s="122"/>
      <c r="BC33339" s="141"/>
    </row>
    <row r="33340">
      <c r="BB33340" s="122"/>
      <c r="BC33340" s="141"/>
    </row>
    <row r="33341">
      <c r="BB33341" s="122"/>
      <c r="BC33341" s="141"/>
    </row>
    <row r="33342">
      <c r="BB33342" s="122"/>
      <c r="BC33342" s="141"/>
    </row>
    <row r="33343">
      <c r="BB33343" s="122"/>
      <c r="BC33343" s="141"/>
    </row>
    <row r="33344">
      <c r="BB33344" s="122"/>
      <c r="BC33344" s="141"/>
    </row>
    <row r="33345">
      <c r="BB33345" s="122"/>
      <c r="BC33345" s="141"/>
    </row>
    <row r="33346">
      <c r="BB33346" s="122"/>
      <c r="BC33346" s="141"/>
    </row>
    <row r="33347">
      <c r="BB33347" s="122"/>
      <c r="BC33347" s="141"/>
    </row>
    <row r="33348">
      <c r="BB33348" s="122"/>
      <c r="BC33348" s="141"/>
    </row>
    <row r="33349">
      <c r="BB33349" s="122"/>
      <c r="BC33349" s="141"/>
    </row>
    <row r="33350">
      <c r="BB33350" s="122"/>
      <c r="BC33350" s="141"/>
    </row>
    <row r="33351">
      <c r="BB33351" s="122"/>
      <c r="BC33351" s="141"/>
    </row>
    <row r="33352">
      <c r="BB33352" s="122"/>
      <c r="BC33352" s="141"/>
    </row>
    <row r="33353">
      <c r="BB33353" s="122"/>
      <c r="BC33353" s="141"/>
    </row>
    <row r="33354">
      <c r="BB33354" s="122"/>
      <c r="BC33354" s="141"/>
    </row>
    <row r="33355">
      <c r="BB33355" s="122"/>
      <c r="BC33355" s="141"/>
    </row>
    <row r="33356">
      <c r="BB33356" s="122"/>
      <c r="BC33356" s="141"/>
    </row>
    <row r="33357">
      <c r="BB33357" s="122"/>
      <c r="BC33357" s="141"/>
    </row>
    <row r="33358">
      <c r="BB33358" s="122"/>
      <c r="BC33358" s="141"/>
    </row>
    <row r="33359">
      <c r="BB33359" s="122"/>
      <c r="BC33359" s="141"/>
    </row>
    <row r="33360">
      <c r="BB33360" s="122"/>
      <c r="BC33360" s="141"/>
    </row>
    <row r="33361">
      <c r="BB33361" s="122"/>
      <c r="BC33361" s="141"/>
    </row>
    <row r="33362">
      <c r="BB33362" s="122"/>
      <c r="BC33362" s="141"/>
    </row>
    <row r="33363">
      <c r="BB33363" s="122"/>
      <c r="BC33363" s="141"/>
    </row>
    <row r="33364">
      <c r="BB33364" s="122"/>
      <c r="BC33364" s="141"/>
    </row>
    <row r="33365">
      <c r="BB33365" s="122"/>
      <c r="BC33365" s="141"/>
    </row>
    <row r="33366">
      <c r="BB33366" s="122"/>
      <c r="BC33366" s="141"/>
    </row>
    <row r="33367">
      <c r="BB33367" s="122"/>
      <c r="BC33367" s="141"/>
    </row>
    <row r="33368">
      <c r="BB33368" s="122"/>
      <c r="BC33368" s="141"/>
    </row>
    <row r="33369">
      <c r="BB33369" s="122"/>
      <c r="BC33369" s="141"/>
    </row>
    <row r="33370">
      <c r="BB33370" s="122"/>
      <c r="BC33370" s="141"/>
    </row>
    <row r="33371">
      <c r="BB33371" s="122"/>
      <c r="BC33371" s="141"/>
    </row>
    <row r="33372">
      <c r="BB33372" s="122"/>
      <c r="BC33372" s="141"/>
    </row>
    <row r="33373">
      <c r="BB33373" s="122"/>
      <c r="BC33373" s="141"/>
    </row>
    <row r="33374">
      <c r="BB33374" s="122"/>
      <c r="BC33374" s="141"/>
    </row>
    <row r="33375">
      <c r="BB33375" s="122"/>
      <c r="BC33375" s="141"/>
    </row>
    <row r="33376">
      <c r="BB33376" s="122"/>
      <c r="BC33376" s="141"/>
    </row>
    <row r="33377">
      <c r="BB33377" s="122"/>
      <c r="BC33377" s="141"/>
    </row>
    <row r="33378">
      <c r="BB33378" s="122"/>
      <c r="BC33378" s="141"/>
    </row>
    <row r="33379">
      <c r="BB33379" s="122"/>
      <c r="BC33379" s="141"/>
    </row>
    <row r="33380">
      <c r="BB33380" s="122"/>
      <c r="BC33380" s="141"/>
    </row>
    <row r="33381">
      <c r="BB33381" s="122"/>
      <c r="BC33381" s="141"/>
    </row>
    <row r="33382">
      <c r="BB33382" s="122"/>
      <c r="BC33382" s="141"/>
    </row>
    <row r="33383">
      <c r="BB33383" s="122"/>
      <c r="BC33383" s="141"/>
    </row>
    <row r="33384">
      <c r="BB33384" s="122"/>
      <c r="BC33384" s="141"/>
    </row>
    <row r="33385">
      <c r="BB33385" s="122"/>
      <c r="BC33385" s="141"/>
    </row>
    <row r="33386">
      <c r="BB33386" s="122"/>
      <c r="BC33386" s="141"/>
    </row>
    <row r="33387">
      <c r="BB33387" s="122"/>
      <c r="BC33387" s="141"/>
    </row>
    <row r="33388">
      <c r="BB33388" s="122"/>
      <c r="BC33388" s="141"/>
    </row>
    <row r="33389">
      <c r="BB33389" s="122"/>
      <c r="BC33389" s="141"/>
    </row>
    <row r="33390">
      <c r="BB33390" s="122"/>
      <c r="BC33390" s="141"/>
    </row>
    <row r="33391">
      <c r="BB33391" s="122"/>
      <c r="BC33391" s="141"/>
    </row>
    <row r="33392">
      <c r="BB33392" s="122"/>
      <c r="BC33392" s="141"/>
    </row>
    <row r="33393">
      <c r="BB33393" s="122"/>
      <c r="BC33393" s="141"/>
    </row>
    <row r="33394">
      <c r="BB33394" s="122"/>
      <c r="BC33394" s="141"/>
    </row>
    <row r="33395">
      <c r="BB33395" s="122"/>
      <c r="BC33395" s="141"/>
    </row>
    <row r="33396">
      <c r="BB33396" s="122"/>
      <c r="BC33396" s="141"/>
    </row>
    <row r="33397">
      <c r="BB33397" s="122"/>
      <c r="BC33397" s="141"/>
    </row>
    <row r="33398">
      <c r="BB33398" s="122"/>
      <c r="BC33398" s="141"/>
    </row>
    <row r="33399">
      <c r="BB33399" s="122"/>
      <c r="BC33399" s="141"/>
    </row>
    <row r="33400">
      <c r="BB33400" s="122"/>
      <c r="BC33400" s="141"/>
    </row>
    <row r="33401">
      <c r="BB33401" s="122"/>
      <c r="BC33401" s="141"/>
    </row>
    <row r="33402">
      <c r="BB33402" s="122"/>
      <c r="BC33402" s="141"/>
    </row>
    <row r="33403">
      <c r="BB33403" s="122"/>
      <c r="BC33403" s="141"/>
    </row>
    <row r="33404">
      <c r="BB33404" s="122"/>
      <c r="BC33404" s="141"/>
    </row>
    <row r="33405">
      <c r="BB33405" s="122"/>
      <c r="BC33405" s="141"/>
    </row>
    <row r="33406">
      <c r="BB33406" s="122"/>
      <c r="BC33406" s="141"/>
    </row>
    <row r="33407">
      <c r="BB33407" s="122"/>
      <c r="BC33407" s="141"/>
    </row>
    <row r="33408">
      <c r="BB33408" s="122"/>
      <c r="BC33408" s="141"/>
    </row>
    <row r="33409">
      <c r="BB33409" s="122"/>
      <c r="BC33409" s="141"/>
    </row>
    <row r="33410">
      <c r="BB33410" s="122"/>
      <c r="BC33410" s="141"/>
    </row>
    <row r="33411">
      <c r="BB33411" s="122"/>
      <c r="BC33411" s="141"/>
    </row>
    <row r="33412">
      <c r="BB33412" s="122"/>
      <c r="BC33412" s="141"/>
    </row>
    <row r="33413">
      <c r="BB33413" s="122"/>
      <c r="BC33413" s="141"/>
    </row>
    <row r="33414">
      <c r="BB33414" s="122"/>
      <c r="BC33414" s="141"/>
    </row>
    <row r="33415">
      <c r="BB33415" s="122"/>
      <c r="BC33415" s="141"/>
    </row>
    <row r="33416">
      <c r="BB33416" s="122"/>
      <c r="BC33416" s="141"/>
    </row>
    <row r="33417">
      <c r="BB33417" s="122"/>
      <c r="BC33417" s="141"/>
    </row>
    <row r="33418">
      <c r="BB33418" s="122"/>
      <c r="BC33418" s="141"/>
    </row>
    <row r="33419">
      <c r="BB33419" s="122"/>
      <c r="BC33419" s="141"/>
    </row>
    <row r="33420">
      <c r="BB33420" s="122"/>
      <c r="BC33420" s="141"/>
    </row>
    <row r="33421">
      <c r="BB33421" s="122"/>
      <c r="BC33421" s="141"/>
    </row>
    <row r="33422">
      <c r="BB33422" s="122"/>
      <c r="BC33422" s="141"/>
    </row>
    <row r="33423">
      <c r="BB33423" s="122"/>
      <c r="BC33423" s="141"/>
    </row>
    <row r="33424">
      <c r="BB33424" s="122"/>
      <c r="BC33424" s="141"/>
    </row>
    <row r="33425">
      <c r="BB33425" s="122"/>
      <c r="BC33425" s="141"/>
    </row>
    <row r="33426">
      <c r="BB33426" s="122"/>
      <c r="BC33426" s="141"/>
    </row>
    <row r="33427">
      <c r="BB33427" s="122"/>
      <c r="BC33427" s="141"/>
    </row>
    <row r="33428">
      <c r="BB33428" s="122"/>
      <c r="BC33428" s="141"/>
    </row>
    <row r="33429">
      <c r="BB33429" s="122"/>
      <c r="BC33429" s="141"/>
    </row>
    <row r="33430">
      <c r="BB33430" s="122"/>
      <c r="BC33430" s="141"/>
    </row>
    <row r="33431">
      <c r="BB33431" s="122"/>
      <c r="BC33431" s="141"/>
    </row>
    <row r="33432">
      <c r="BB33432" s="122"/>
      <c r="BC33432" s="141"/>
    </row>
    <row r="33433">
      <c r="BB33433" s="122"/>
      <c r="BC33433" s="141"/>
    </row>
    <row r="33434">
      <c r="BB33434" s="122"/>
      <c r="BC33434" s="141"/>
    </row>
    <row r="33435">
      <c r="BB33435" s="122"/>
      <c r="BC33435" s="141"/>
    </row>
    <row r="33436">
      <c r="BB33436" s="122"/>
      <c r="BC33436" s="141"/>
    </row>
    <row r="33437">
      <c r="BB33437" s="122"/>
      <c r="BC33437" s="141"/>
    </row>
    <row r="33438">
      <c r="BB33438" s="122"/>
      <c r="BC33438" s="141"/>
    </row>
    <row r="33439">
      <c r="BB33439" s="122"/>
      <c r="BC33439" s="141"/>
    </row>
    <row r="33440">
      <c r="BB33440" s="122"/>
      <c r="BC33440" s="141"/>
    </row>
    <row r="33441">
      <c r="BB33441" s="122"/>
      <c r="BC33441" s="141"/>
    </row>
    <row r="33442">
      <c r="BB33442" s="122"/>
      <c r="BC33442" s="141"/>
    </row>
    <row r="33443">
      <c r="BB33443" s="122"/>
      <c r="BC33443" s="141"/>
    </row>
    <row r="33444">
      <c r="BB33444" s="122"/>
      <c r="BC33444" s="141"/>
    </row>
    <row r="33445">
      <c r="BB33445" s="122"/>
      <c r="BC33445" s="141"/>
    </row>
    <row r="33446">
      <c r="BB33446" s="122"/>
      <c r="BC33446" s="141"/>
    </row>
    <row r="33447">
      <c r="BB33447" s="122"/>
      <c r="BC33447" s="141"/>
    </row>
    <row r="33448">
      <c r="BB33448" s="122"/>
      <c r="BC33448" s="141"/>
    </row>
    <row r="33449">
      <c r="BB33449" s="122"/>
      <c r="BC33449" s="141"/>
    </row>
    <row r="33450">
      <c r="BB33450" s="122"/>
      <c r="BC33450" s="141"/>
    </row>
    <row r="33451">
      <c r="BB33451" s="122"/>
      <c r="BC33451" s="141"/>
    </row>
    <row r="33452">
      <c r="BB33452" s="122"/>
      <c r="BC33452" s="141"/>
    </row>
    <row r="33453">
      <c r="BB33453" s="122"/>
      <c r="BC33453" s="141"/>
    </row>
    <row r="33454">
      <c r="BB33454" s="122"/>
      <c r="BC33454" s="141"/>
    </row>
    <row r="33455">
      <c r="BB33455" s="122"/>
      <c r="BC33455" s="141"/>
    </row>
    <row r="33456">
      <c r="BB33456" s="122"/>
      <c r="BC33456" s="141"/>
    </row>
    <row r="33457">
      <c r="BB33457" s="122"/>
      <c r="BC33457" s="141"/>
    </row>
    <row r="33458">
      <c r="BB33458" s="122"/>
      <c r="BC33458" s="141"/>
    </row>
    <row r="33459">
      <c r="BB33459" s="122"/>
      <c r="BC33459" s="141"/>
    </row>
    <row r="33460">
      <c r="BB33460" s="122"/>
      <c r="BC33460" s="141"/>
    </row>
    <row r="33461">
      <c r="BB33461" s="122"/>
      <c r="BC33461" s="141"/>
    </row>
    <row r="33462">
      <c r="BB33462" s="122"/>
      <c r="BC33462" s="141"/>
    </row>
    <row r="33463">
      <c r="BB33463" s="122"/>
      <c r="BC33463" s="141"/>
    </row>
    <row r="33464">
      <c r="BB33464" s="122"/>
      <c r="BC33464" s="141"/>
    </row>
    <row r="33465">
      <c r="BB33465" s="122"/>
      <c r="BC33465" s="141"/>
    </row>
    <row r="33466">
      <c r="BB33466" s="122"/>
      <c r="BC33466" s="141"/>
    </row>
    <row r="33467">
      <c r="BB33467" s="122"/>
      <c r="BC33467" s="141"/>
    </row>
    <row r="33468">
      <c r="BB33468" s="122"/>
      <c r="BC33468" s="141"/>
    </row>
    <row r="33469">
      <c r="BB33469" s="122"/>
      <c r="BC33469" s="141"/>
    </row>
    <row r="33470">
      <c r="BB33470" s="122"/>
      <c r="BC33470" s="141"/>
    </row>
    <row r="33471">
      <c r="BB33471" s="122"/>
      <c r="BC33471" s="141"/>
    </row>
    <row r="33472">
      <c r="BB33472" s="122"/>
      <c r="BC33472" s="141"/>
    </row>
    <row r="33473">
      <c r="BB33473" s="122"/>
      <c r="BC33473" s="141"/>
    </row>
    <row r="33474">
      <c r="BB33474" s="122"/>
      <c r="BC33474" s="141"/>
    </row>
    <row r="33475">
      <c r="BB33475" s="122"/>
      <c r="BC33475" s="141"/>
    </row>
    <row r="33476">
      <c r="BB33476" s="122"/>
      <c r="BC33476" s="141"/>
    </row>
    <row r="33477">
      <c r="BB33477" s="122"/>
      <c r="BC33477" s="141"/>
    </row>
    <row r="33478">
      <c r="BB33478" s="122"/>
      <c r="BC33478" s="141"/>
    </row>
    <row r="33479">
      <c r="BB33479" s="122"/>
      <c r="BC33479" s="141"/>
    </row>
    <row r="33480">
      <c r="BB33480" s="122"/>
      <c r="BC33480" s="141"/>
    </row>
    <row r="33481">
      <c r="BB33481" s="122"/>
      <c r="BC33481" s="141"/>
    </row>
    <row r="33482">
      <c r="BB33482" s="122"/>
      <c r="BC33482" s="141"/>
    </row>
    <row r="33483">
      <c r="BB33483" s="122"/>
      <c r="BC33483" s="141"/>
    </row>
    <row r="33484">
      <c r="BB33484" s="122"/>
      <c r="BC33484" s="141"/>
    </row>
    <row r="33485">
      <c r="BB33485" s="122"/>
      <c r="BC33485" s="141"/>
    </row>
    <row r="33486">
      <c r="BB33486" s="122"/>
      <c r="BC33486" s="141"/>
    </row>
    <row r="33487">
      <c r="BB33487" s="122"/>
      <c r="BC33487" s="141"/>
    </row>
    <row r="33488">
      <c r="BB33488" s="122"/>
      <c r="BC33488" s="141"/>
    </row>
    <row r="33489">
      <c r="BB33489" s="122"/>
      <c r="BC33489" s="141"/>
    </row>
    <row r="33490">
      <c r="BB33490" s="122"/>
      <c r="BC33490" s="141"/>
    </row>
    <row r="33491">
      <c r="BB33491" s="122"/>
      <c r="BC33491" s="141"/>
    </row>
    <row r="33492">
      <c r="BB33492" s="122"/>
      <c r="BC33492" s="141"/>
    </row>
    <row r="33493">
      <c r="BB33493" s="122"/>
      <c r="BC33493" s="141"/>
    </row>
    <row r="33494">
      <c r="BB33494" s="122"/>
      <c r="BC33494" s="141"/>
    </row>
    <row r="33495">
      <c r="BB33495" s="122"/>
      <c r="BC33495" s="141"/>
    </row>
    <row r="33496">
      <c r="BB33496" s="122"/>
      <c r="BC33496" s="141"/>
    </row>
    <row r="33497">
      <c r="BB33497" s="122"/>
      <c r="BC33497" s="141"/>
    </row>
    <row r="33498">
      <c r="BB33498" s="122"/>
      <c r="BC33498" s="141"/>
    </row>
    <row r="33499">
      <c r="BB33499" s="122"/>
      <c r="BC33499" s="141"/>
    </row>
    <row r="33500">
      <c r="BB33500" s="122"/>
      <c r="BC33500" s="141"/>
    </row>
    <row r="33501">
      <c r="BB33501" s="122"/>
      <c r="BC33501" s="141"/>
    </row>
    <row r="33502">
      <c r="BB33502" s="122"/>
      <c r="BC33502" s="141"/>
    </row>
    <row r="33503">
      <c r="BB33503" s="122"/>
      <c r="BC33503" s="141"/>
    </row>
    <row r="33504">
      <c r="BB33504" s="122"/>
      <c r="BC33504" s="141"/>
    </row>
    <row r="33505">
      <c r="BB33505" s="122"/>
      <c r="BC33505" s="141"/>
    </row>
    <row r="33506">
      <c r="BB33506" s="122"/>
      <c r="BC33506" s="141"/>
    </row>
    <row r="33507">
      <c r="BB33507" s="122"/>
      <c r="BC33507" s="141"/>
    </row>
    <row r="33508">
      <c r="BB33508" s="122"/>
      <c r="BC33508" s="141"/>
    </row>
    <row r="33509">
      <c r="BB33509" s="122"/>
      <c r="BC33509" s="141"/>
    </row>
    <row r="33510">
      <c r="BB33510" s="122"/>
      <c r="BC33510" s="141"/>
    </row>
    <row r="33511">
      <c r="BB33511" s="122"/>
      <c r="BC33511" s="141"/>
    </row>
    <row r="33512">
      <c r="BB33512" s="122"/>
      <c r="BC33512" s="141"/>
    </row>
    <row r="33513">
      <c r="BB33513" s="122"/>
      <c r="BC33513" s="141"/>
    </row>
    <row r="33514">
      <c r="BB33514" s="122"/>
      <c r="BC33514" s="141"/>
    </row>
    <row r="33515">
      <c r="BB33515" s="122"/>
      <c r="BC33515" s="141"/>
    </row>
    <row r="33516">
      <c r="BB33516" s="122"/>
      <c r="BC33516" s="141"/>
    </row>
    <row r="33517">
      <c r="BB33517" s="122"/>
      <c r="BC33517" s="141"/>
    </row>
    <row r="33518">
      <c r="BB33518" s="122"/>
      <c r="BC33518" s="141"/>
    </row>
    <row r="33519">
      <c r="BB33519" s="122"/>
      <c r="BC33519" s="141"/>
    </row>
    <row r="33520">
      <c r="BB33520" s="122"/>
      <c r="BC33520" s="141"/>
    </row>
    <row r="33521">
      <c r="BB33521" s="122"/>
      <c r="BC33521" s="141"/>
    </row>
    <row r="33522">
      <c r="BB33522" s="122"/>
      <c r="BC33522" s="141"/>
    </row>
    <row r="33523">
      <c r="BB33523" s="122"/>
      <c r="BC33523" s="141"/>
    </row>
    <row r="33524">
      <c r="BB33524" s="122"/>
      <c r="BC33524" s="141"/>
    </row>
    <row r="33525">
      <c r="BB33525" s="122"/>
      <c r="BC33525" s="141"/>
    </row>
    <row r="33526">
      <c r="BB33526" s="122"/>
      <c r="BC33526" s="141"/>
    </row>
    <row r="33527">
      <c r="BB33527" s="122"/>
      <c r="BC33527" s="141"/>
    </row>
    <row r="33528">
      <c r="BB33528" s="122"/>
      <c r="BC33528" s="141"/>
    </row>
    <row r="33529">
      <c r="BB33529" s="122"/>
      <c r="BC33529" s="141"/>
    </row>
    <row r="33530">
      <c r="BB33530" s="122"/>
      <c r="BC33530" s="141"/>
    </row>
    <row r="33531">
      <c r="BB33531" s="122"/>
      <c r="BC33531" s="141"/>
    </row>
    <row r="33532">
      <c r="BB33532" s="122"/>
      <c r="BC33532" s="141"/>
    </row>
    <row r="33533">
      <c r="BB33533" s="122"/>
      <c r="BC33533" s="141"/>
    </row>
    <row r="33534">
      <c r="BB33534" s="122"/>
      <c r="BC33534" s="141"/>
    </row>
    <row r="33535">
      <c r="BB33535" s="122"/>
      <c r="BC33535" s="141"/>
    </row>
    <row r="33536">
      <c r="BB33536" s="122"/>
      <c r="BC33536" s="141"/>
    </row>
    <row r="33537">
      <c r="BB33537" s="122"/>
      <c r="BC33537" s="141"/>
    </row>
    <row r="33538">
      <c r="BB33538" s="122"/>
      <c r="BC33538" s="141"/>
    </row>
    <row r="33539">
      <c r="BB33539" s="122"/>
      <c r="BC33539" s="141"/>
    </row>
    <row r="33540">
      <c r="BB33540" s="122"/>
      <c r="BC33540" s="141"/>
    </row>
    <row r="33541">
      <c r="BB33541" s="122"/>
      <c r="BC33541" s="141"/>
    </row>
    <row r="33542">
      <c r="BB33542" s="122"/>
      <c r="BC33542" s="141"/>
    </row>
    <row r="33543">
      <c r="BB33543" s="122"/>
      <c r="BC33543" s="141"/>
    </row>
    <row r="33544">
      <c r="BB33544" s="122"/>
      <c r="BC33544" s="141"/>
    </row>
    <row r="33545">
      <c r="BB33545" s="122"/>
      <c r="BC33545" s="141"/>
    </row>
    <row r="33546">
      <c r="BB33546" s="122"/>
      <c r="BC33546" s="141"/>
    </row>
    <row r="33547">
      <c r="BB33547" s="122"/>
      <c r="BC33547" s="141"/>
    </row>
    <row r="33548">
      <c r="BB33548" s="122"/>
      <c r="BC33548" s="141"/>
    </row>
    <row r="33549">
      <c r="BB33549" s="122"/>
      <c r="BC33549" s="141"/>
    </row>
    <row r="33550">
      <c r="BB33550" s="122"/>
      <c r="BC33550" s="141"/>
    </row>
    <row r="33551">
      <c r="BB33551" s="122"/>
      <c r="BC33551" s="141"/>
    </row>
    <row r="33552">
      <c r="BB33552" s="122"/>
      <c r="BC33552" s="141"/>
    </row>
    <row r="33553">
      <c r="BB33553" s="122"/>
      <c r="BC33553" s="141"/>
    </row>
    <row r="33554">
      <c r="BB33554" s="122"/>
      <c r="BC33554" s="141"/>
    </row>
    <row r="33555">
      <c r="BB33555" s="122"/>
      <c r="BC33555" s="141"/>
    </row>
    <row r="33556">
      <c r="BB33556" s="122"/>
      <c r="BC33556" s="141"/>
    </row>
    <row r="33557">
      <c r="BB33557" s="122"/>
      <c r="BC33557" s="141"/>
    </row>
    <row r="33558">
      <c r="BB33558" s="122"/>
      <c r="BC33558" s="141"/>
    </row>
    <row r="33559">
      <c r="BB33559" s="122"/>
      <c r="BC33559" s="141"/>
    </row>
    <row r="33560">
      <c r="BB33560" s="122"/>
      <c r="BC33560" s="141"/>
    </row>
    <row r="33561">
      <c r="BB33561" s="122"/>
      <c r="BC33561" s="141"/>
    </row>
    <row r="33562">
      <c r="BB33562" s="122"/>
      <c r="BC33562" s="141"/>
    </row>
    <row r="33563">
      <c r="BB33563" s="122"/>
      <c r="BC33563" s="141"/>
    </row>
    <row r="33564">
      <c r="BB33564" s="122"/>
      <c r="BC33564" s="141"/>
    </row>
    <row r="33565">
      <c r="BB33565" s="122"/>
      <c r="BC33565" s="141"/>
    </row>
    <row r="33566">
      <c r="BB33566" s="122"/>
      <c r="BC33566" s="141"/>
    </row>
    <row r="33567">
      <c r="BB33567" s="122"/>
      <c r="BC33567" s="141"/>
    </row>
    <row r="33568">
      <c r="BB33568" s="122"/>
      <c r="BC33568" s="141"/>
    </row>
    <row r="33569">
      <c r="BB33569" s="122"/>
      <c r="BC33569" s="141"/>
    </row>
    <row r="33570">
      <c r="BB33570" s="122"/>
      <c r="BC33570" s="141"/>
    </row>
    <row r="33571">
      <c r="BB33571" s="122"/>
      <c r="BC33571" s="141"/>
    </row>
    <row r="33572">
      <c r="BB33572" s="122"/>
      <c r="BC33572" s="141"/>
    </row>
    <row r="33573">
      <c r="BB33573" s="122"/>
      <c r="BC33573" s="141"/>
    </row>
    <row r="33574">
      <c r="BB33574" s="122"/>
      <c r="BC33574" s="141"/>
    </row>
    <row r="33575">
      <c r="BB33575" s="122"/>
      <c r="BC33575" s="141"/>
    </row>
    <row r="33576">
      <c r="BB33576" s="122"/>
      <c r="BC33576" s="141"/>
    </row>
    <row r="33577">
      <c r="BB33577" s="122"/>
      <c r="BC33577" s="141"/>
    </row>
    <row r="33578">
      <c r="BB33578" s="122"/>
      <c r="BC33578" s="141"/>
    </row>
    <row r="33579">
      <c r="BB33579" s="122"/>
      <c r="BC33579" s="141"/>
    </row>
    <row r="33580">
      <c r="BB33580" s="122"/>
      <c r="BC33580" s="141"/>
    </row>
    <row r="33581">
      <c r="BB33581" s="122"/>
      <c r="BC33581" s="141"/>
    </row>
    <row r="33582">
      <c r="BB33582" s="122"/>
      <c r="BC33582" s="141"/>
    </row>
    <row r="33583">
      <c r="BB33583" s="122"/>
      <c r="BC33583" s="141"/>
    </row>
    <row r="33584">
      <c r="BB33584" s="122"/>
      <c r="BC33584" s="141"/>
    </row>
    <row r="33585">
      <c r="BB33585" s="122"/>
      <c r="BC33585" s="141"/>
    </row>
    <row r="33586">
      <c r="BB33586" s="122"/>
      <c r="BC33586" s="141"/>
    </row>
    <row r="33587">
      <c r="BB33587" s="122"/>
      <c r="BC33587" s="141"/>
    </row>
    <row r="33588">
      <c r="BB33588" s="122"/>
      <c r="BC33588" s="141"/>
    </row>
    <row r="33589">
      <c r="BB33589" s="122"/>
      <c r="BC33589" s="141"/>
    </row>
    <row r="33590">
      <c r="BB33590" s="122"/>
      <c r="BC33590" s="141"/>
    </row>
    <row r="33591">
      <c r="BB33591" s="122"/>
      <c r="BC33591" s="141"/>
    </row>
    <row r="33592">
      <c r="BB33592" s="122"/>
      <c r="BC33592" s="141"/>
    </row>
    <row r="33593">
      <c r="BB33593" s="122"/>
      <c r="BC33593" s="141"/>
    </row>
    <row r="33594">
      <c r="BB33594" s="122"/>
      <c r="BC33594" s="141"/>
    </row>
    <row r="33595">
      <c r="BB33595" s="122"/>
      <c r="BC33595" s="141"/>
    </row>
    <row r="33596">
      <c r="BB33596" s="122"/>
      <c r="BC33596" s="141"/>
    </row>
    <row r="33597">
      <c r="BB33597" s="122"/>
      <c r="BC33597" s="141"/>
    </row>
    <row r="33598">
      <c r="BB33598" s="122"/>
      <c r="BC33598" s="141"/>
    </row>
    <row r="33599">
      <c r="BB33599" s="122"/>
      <c r="BC33599" s="141"/>
    </row>
    <row r="33600">
      <c r="BB33600" s="122"/>
      <c r="BC33600" s="141"/>
    </row>
    <row r="33601">
      <c r="BB33601" s="122"/>
      <c r="BC33601" s="141"/>
    </row>
    <row r="33602">
      <c r="BB33602" s="122"/>
      <c r="BC33602" s="141"/>
    </row>
    <row r="33603">
      <c r="BB33603" s="122"/>
      <c r="BC33603" s="141"/>
    </row>
    <row r="33604">
      <c r="BB33604" s="122"/>
      <c r="BC33604" s="141"/>
    </row>
    <row r="33605">
      <c r="BB33605" s="122"/>
      <c r="BC33605" s="141"/>
    </row>
    <row r="33606">
      <c r="BB33606" s="122"/>
      <c r="BC33606" s="141"/>
    </row>
    <row r="33607">
      <c r="BB33607" s="122"/>
      <c r="BC33607" s="141"/>
    </row>
    <row r="33608">
      <c r="BB33608" s="122"/>
      <c r="BC33608" s="141"/>
    </row>
    <row r="33609">
      <c r="BB33609" s="122"/>
      <c r="BC33609" s="141"/>
    </row>
    <row r="33610">
      <c r="BB33610" s="122"/>
      <c r="BC33610" s="141"/>
    </row>
    <row r="33611">
      <c r="BB33611" s="122"/>
      <c r="BC33611" s="141"/>
    </row>
    <row r="33612">
      <c r="BB33612" s="122"/>
      <c r="BC33612" s="141"/>
    </row>
    <row r="33613">
      <c r="BB33613" s="122"/>
      <c r="BC33613" s="141"/>
    </row>
    <row r="33614">
      <c r="BB33614" s="122"/>
      <c r="BC33614" s="141"/>
    </row>
    <row r="33615">
      <c r="BB33615" s="122"/>
      <c r="BC33615" s="141"/>
    </row>
    <row r="33616">
      <c r="BB33616" s="122"/>
      <c r="BC33616" s="141"/>
    </row>
    <row r="33617">
      <c r="BB33617" s="122"/>
      <c r="BC33617" s="141"/>
    </row>
    <row r="33618">
      <c r="BB33618" s="122"/>
      <c r="BC33618" s="141"/>
    </row>
    <row r="33619">
      <c r="BB33619" s="122"/>
      <c r="BC33619" s="141"/>
    </row>
    <row r="33620">
      <c r="BB33620" s="122"/>
      <c r="BC33620" s="141"/>
    </row>
    <row r="33621">
      <c r="BB33621" s="122"/>
      <c r="BC33621" s="141"/>
    </row>
    <row r="33622">
      <c r="BB33622" s="122"/>
      <c r="BC33622" s="141"/>
    </row>
    <row r="33623">
      <c r="BB33623" s="122"/>
      <c r="BC33623" s="141"/>
    </row>
    <row r="33624">
      <c r="BB33624" s="122"/>
      <c r="BC33624" s="141"/>
    </row>
    <row r="33625">
      <c r="BB33625" s="122"/>
      <c r="BC33625" s="141"/>
    </row>
    <row r="33626">
      <c r="BB33626" s="122"/>
      <c r="BC33626" s="141"/>
    </row>
    <row r="33627">
      <c r="BB33627" s="122"/>
      <c r="BC33627" s="141"/>
    </row>
    <row r="33628">
      <c r="BB33628" s="122"/>
      <c r="BC33628" s="141"/>
    </row>
    <row r="33629">
      <c r="BB33629" s="122"/>
      <c r="BC33629" s="141"/>
    </row>
    <row r="33630">
      <c r="BB33630" s="122"/>
      <c r="BC33630" s="141"/>
    </row>
    <row r="33631">
      <c r="BB33631" s="122"/>
      <c r="BC33631" s="141"/>
    </row>
    <row r="33632">
      <c r="BB33632" s="122"/>
      <c r="BC33632" s="141"/>
    </row>
    <row r="33633">
      <c r="BB33633" s="122"/>
      <c r="BC33633" s="141"/>
    </row>
    <row r="33634">
      <c r="BB33634" s="122"/>
      <c r="BC33634" s="141"/>
    </row>
    <row r="33635">
      <c r="BB33635" s="122"/>
      <c r="BC33635" s="141"/>
    </row>
    <row r="33636">
      <c r="BB33636" s="122"/>
      <c r="BC33636" s="141"/>
    </row>
    <row r="33637">
      <c r="BB33637" s="122"/>
      <c r="BC33637" s="141"/>
    </row>
    <row r="33638">
      <c r="BB33638" s="122"/>
      <c r="BC33638" s="141"/>
    </row>
    <row r="33639">
      <c r="BB33639" s="122"/>
      <c r="BC33639" s="141"/>
    </row>
    <row r="33640">
      <c r="BB33640" s="122"/>
      <c r="BC33640" s="141"/>
    </row>
    <row r="33641">
      <c r="BB33641" s="122"/>
      <c r="BC33641" s="141"/>
    </row>
    <row r="33642">
      <c r="BB33642" s="122"/>
      <c r="BC33642" s="141"/>
    </row>
    <row r="33643">
      <c r="BB33643" s="122"/>
      <c r="BC33643" s="141"/>
    </row>
    <row r="33644">
      <c r="BB33644" s="122"/>
      <c r="BC33644" s="141"/>
    </row>
    <row r="33645">
      <c r="BB33645" s="122"/>
      <c r="BC33645" s="141"/>
    </row>
    <row r="33646">
      <c r="BB33646" s="122"/>
      <c r="BC33646" s="141"/>
    </row>
    <row r="33647">
      <c r="BB33647" s="122"/>
      <c r="BC33647" s="141"/>
    </row>
    <row r="33648">
      <c r="BB33648" s="122"/>
      <c r="BC33648" s="141"/>
    </row>
    <row r="33649">
      <c r="BB33649" s="122"/>
      <c r="BC33649" s="141"/>
    </row>
    <row r="33650">
      <c r="BB33650" s="122"/>
      <c r="BC33650" s="141"/>
    </row>
    <row r="33651">
      <c r="BB33651" s="122"/>
      <c r="BC33651" s="141"/>
    </row>
    <row r="33652">
      <c r="BB33652" s="122"/>
      <c r="BC33652" s="141"/>
    </row>
    <row r="33653">
      <c r="BB33653" s="122"/>
      <c r="BC33653" s="141"/>
    </row>
    <row r="33654">
      <c r="BB33654" s="122"/>
      <c r="BC33654" s="141"/>
    </row>
    <row r="33655">
      <c r="BB33655" s="122"/>
      <c r="BC33655" s="141"/>
    </row>
    <row r="33656">
      <c r="BB33656" s="122"/>
      <c r="BC33656" s="141"/>
    </row>
    <row r="33657">
      <c r="BB33657" s="122"/>
      <c r="BC33657" s="141"/>
    </row>
    <row r="33658">
      <c r="BB33658" s="122"/>
      <c r="BC33658" s="141"/>
    </row>
    <row r="33659">
      <c r="BB33659" s="122"/>
      <c r="BC33659" s="141"/>
    </row>
    <row r="33660">
      <c r="BB33660" s="122"/>
      <c r="BC33660" s="141"/>
    </row>
    <row r="33661">
      <c r="BB33661" s="122"/>
      <c r="BC33661" s="141"/>
    </row>
    <row r="33662">
      <c r="BB33662" s="122"/>
      <c r="BC33662" s="141"/>
    </row>
    <row r="33663">
      <c r="BB33663" s="122"/>
      <c r="BC33663" s="141"/>
    </row>
    <row r="33664">
      <c r="BB33664" s="122"/>
      <c r="BC33664" s="141"/>
    </row>
    <row r="33665">
      <c r="BB33665" s="122"/>
      <c r="BC33665" s="141"/>
    </row>
    <row r="33666">
      <c r="BB33666" s="122"/>
      <c r="BC33666" s="141"/>
    </row>
    <row r="33667">
      <c r="BB33667" s="122"/>
      <c r="BC33667" s="141"/>
    </row>
    <row r="33668">
      <c r="BB33668" s="122"/>
      <c r="BC33668" s="141"/>
    </row>
    <row r="33669">
      <c r="BB33669" s="122"/>
      <c r="BC33669" s="141"/>
    </row>
    <row r="33670">
      <c r="BB33670" s="122"/>
      <c r="BC33670" s="141"/>
    </row>
    <row r="33671">
      <c r="BB33671" s="122"/>
      <c r="BC33671" s="141"/>
    </row>
    <row r="33672">
      <c r="BB33672" s="122"/>
      <c r="BC33672" s="141"/>
    </row>
    <row r="33673">
      <c r="BB33673" s="122"/>
      <c r="BC33673" s="141"/>
    </row>
    <row r="33674">
      <c r="BB33674" s="122"/>
      <c r="BC33674" s="141"/>
    </row>
    <row r="33675">
      <c r="BB33675" s="122"/>
      <c r="BC33675" s="141"/>
    </row>
    <row r="33676">
      <c r="BB33676" s="122"/>
      <c r="BC33676" s="141"/>
    </row>
    <row r="33677">
      <c r="BB33677" s="122"/>
      <c r="BC33677" s="141"/>
    </row>
    <row r="33678">
      <c r="BB33678" s="122"/>
      <c r="BC33678" s="141"/>
    </row>
    <row r="33679">
      <c r="BB33679" s="122"/>
      <c r="BC33679" s="141"/>
    </row>
    <row r="33680">
      <c r="BB33680" s="122"/>
      <c r="BC33680" s="141"/>
    </row>
    <row r="33681">
      <c r="BB33681" s="122"/>
      <c r="BC33681" s="141"/>
    </row>
    <row r="33682">
      <c r="BB33682" s="122"/>
      <c r="BC33682" s="141"/>
    </row>
    <row r="33683">
      <c r="BB33683" s="122"/>
      <c r="BC33683" s="141"/>
    </row>
    <row r="33684">
      <c r="BB33684" s="122"/>
      <c r="BC33684" s="141"/>
    </row>
    <row r="33685">
      <c r="BB33685" s="122"/>
      <c r="BC33685" s="141"/>
    </row>
    <row r="33686">
      <c r="BB33686" s="122"/>
      <c r="BC33686" s="141"/>
    </row>
    <row r="33687">
      <c r="BB33687" s="122"/>
      <c r="BC33687" s="141"/>
    </row>
    <row r="33688">
      <c r="BB33688" s="122"/>
      <c r="BC33688" s="141"/>
    </row>
    <row r="33689">
      <c r="BB33689" s="122"/>
      <c r="BC33689" s="141"/>
    </row>
    <row r="33690">
      <c r="BB33690" s="122"/>
      <c r="BC33690" s="141"/>
    </row>
    <row r="33691">
      <c r="BB33691" s="122"/>
      <c r="BC33691" s="141"/>
    </row>
    <row r="33692">
      <c r="BB33692" s="122"/>
      <c r="BC33692" s="141"/>
    </row>
    <row r="33693">
      <c r="BB33693" s="122"/>
      <c r="BC33693" s="141"/>
    </row>
    <row r="33694">
      <c r="BB33694" s="122"/>
      <c r="BC33694" s="141"/>
    </row>
    <row r="33695">
      <c r="BB33695" s="122"/>
      <c r="BC33695" s="141"/>
    </row>
    <row r="33696">
      <c r="BB33696" s="122"/>
      <c r="BC33696" s="141"/>
    </row>
    <row r="33697">
      <c r="BB33697" s="122"/>
      <c r="BC33697" s="141"/>
    </row>
    <row r="33698">
      <c r="BB33698" s="122"/>
      <c r="BC33698" s="141"/>
    </row>
    <row r="33699">
      <c r="BB33699" s="122"/>
      <c r="BC33699" s="141"/>
    </row>
    <row r="33700">
      <c r="BB33700" s="122"/>
      <c r="BC33700" s="141"/>
    </row>
    <row r="33701">
      <c r="BB33701" s="122"/>
      <c r="BC33701" s="141"/>
    </row>
    <row r="33702">
      <c r="BB33702" s="122"/>
      <c r="BC33702" s="141"/>
    </row>
    <row r="33703">
      <c r="BB33703" s="122"/>
      <c r="BC33703" s="141"/>
    </row>
    <row r="33704">
      <c r="BB33704" s="122"/>
      <c r="BC33704" s="141"/>
    </row>
    <row r="33705">
      <c r="BB33705" s="122"/>
      <c r="BC33705" s="141"/>
    </row>
    <row r="33706">
      <c r="BB33706" s="122"/>
      <c r="BC33706" s="141"/>
    </row>
    <row r="33707">
      <c r="BB33707" s="122"/>
      <c r="BC33707" s="141"/>
    </row>
    <row r="33708">
      <c r="BB33708" s="122"/>
      <c r="BC33708" s="141"/>
    </row>
    <row r="33709">
      <c r="BB33709" s="122"/>
      <c r="BC33709" s="141"/>
    </row>
    <row r="33710">
      <c r="BB33710" s="122"/>
      <c r="BC33710" s="141"/>
    </row>
    <row r="33711">
      <c r="BB33711" s="122"/>
      <c r="BC33711" s="141"/>
    </row>
    <row r="33712">
      <c r="BB33712" s="122"/>
      <c r="BC33712" s="141"/>
    </row>
    <row r="33713">
      <c r="BB33713" s="122"/>
      <c r="BC33713" s="141"/>
    </row>
    <row r="33714">
      <c r="BB33714" s="122"/>
      <c r="BC33714" s="141"/>
    </row>
    <row r="33715">
      <c r="BB33715" s="122"/>
      <c r="BC33715" s="141"/>
    </row>
    <row r="33716">
      <c r="BB33716" s="122"/>
      <c r="BC33716" s="141"/>
    </row>
    <row r="33717">
      <c r="BB33717" s="122"/>
      <c r="BC33717" s="141"/>
    </row>
    <row r="33718">
      <c r="BB33718" s="122"/>
      <c r="BC33718" s="141"/>
    </row>
    <row r="33719">
      <c r="BB33719" s="122"/>
      <c r="BC33719" s="141"/>
    </row>
    <row r="33720">
      <c r="BB33720" s="122"/>
      <c r="BC33720" s="141"/>
    </row>
    <row r="33721">
      <c r="BB33721" s="122"/>
      <c r="BC33721" s="141"/>
    </row>
    <row r="33722">
      <c r="BB33722" s="122"/>
      <c r="BC33722" s="141"/>
    </row>
    <row r="33723">
      <c r="BB33723" s="122"/>
      <c r="BC33723" s="141"/>
    </row>
    <row r="33724">
      <c r="BB33724" s="122"/>
      <c r="BC33724" s="141"/>
    </row>
    <row r="33725">
      <c r="BB33725" s="122"/>
      <c r="BC33725" s="141"/>
    </row>
    <row r="33726">
      <c r="BB33726" s="122"/>
      <c r="BC33726" s="141"/>
    </row>
    <row r="33727">
      <c r="BB33727" s="122"/>
      <c r="BC33727" s="141"/>
    </row>
    <row r="33728">
      <c r="BB33728" s="122"/>
      <c r="BC33728" s="141"/>
    </row>
    <row r="33729">
      <c r="BB33729" s="122"/>
      <c r="BC33729" s="141"/>
    </row>
    <row r="33730">
      <c r="BB33730" s="122"/>
      <c r="BC33730" s="141"/>
    </row>
    <row r="33731">
      <c r="BB33731" s="122"/>
      <c r="BC33731" s="141"/>
    </row>
    <row r="33732">
      <c r="BB33732" s="122"/>
      <c r="BC33732" s="141"/>
    </row>
    <row r="33733">
      <c r="BB33733" s="122"/>
      <c r="BC33733" s="141"/>
    </row>
    <row r="33734">
      <c r="BB33734" s="122"/>
      <c r="BC33734" s="141"/>
    </row>
    <row r="33735">
      <c r="BB33735" s="122"/>
      <c r="BC33735" s="141"/>
    </row>
    <row r="33736">
      <c r="BB33736" s="122"/>
      <c r="BC33736" s="141"/>
    </row>
    <row r="33737">
      <c r="BB33737" s="122"/>
      <c r="BC33737" s="141"/>
    </row>
    <row r="33738">
      <c r="BB33738" s="122"/>
      <c r="BC33738" s="141"/>
    </row>
    <row r="33739">
      <c r="BB33739" s="122"/>
      <c r="BC33739" s="141"/>
    </row>
    <row r="33740">
      <c r="BB33740" s="122"/>
      <c r="BC33740" s="141"/>
    </row>
    <row r="33741">
      <c r="BB33741" s="122"/>
      <c r="BC33741" s="141"/>
    </row>
    <row r="33742">
      <c r="BB33742" s="122"/>
      <c r="BC33742" s="141"/>
    </row>
    <row r="33743">
      <c r="BB33743" s="122"/>
      <c r="BC33743" s="141"/>
    </row>
    <row r="33744">
      <c r="BB33744" s="122"/>
      <c r="BC33744" s="141"/>
    </row>
    <row r="33745">
      <c r="BB33745" s="122"/>
      <c r="BC33745" s="141"/>
    </row>
    <row r="33746">
      <c r="BB33746" s="122"/>
      <c r="BC33746" s="141"/>
    </row>
    <row r="33747">
      <c r="BB33747" s="122"/>
      <c r="BC33747" s="141"/>
    </row>
    <row r="33748">
      <c r="BB33748" s="122"/>
      <c r="BC33748" s="141"/>
    </row>
    <row r="33749">
      <c r="BB33749" s="122"/>
      <c r="BC33749" s="141"/>
    </row>
    <row r="33750">
      <c r="BB33750" s="122"/>
      <c r="BC33750" s="141"/>
    </row>
    <row r="33751">
      <c r="BB33751" s="122"/>
      <c r="BC33751" s="141"/>
    </row>
    <row r="33752">
      <c r="BB33752" s="122"/>
      <c r="BC33752" s="141"/>
    </row>
    <row r="33753">
      <c r="BB33753" s="122"/>
      <c r="BC33753" s="141"/>
    </row>
    <row r="33754">
      <c r="BB33754" s="122"/>
      <c r="BC33754" s="141"/>
    </row>
    <row r="33755">
      <c r="BB33755" s="122"/>
      <c r="BC33755" s="141"/>
    </row>
    <row r="33756">
      <c r="BB33756" s="122"/>
      <c r="BC33756" s="141"/>
    </row>
    <row r="33757">
      <c r="BB33757" s="122"/>
      <c r="BC33757" s="141"/>
    </row>
    <row r="33758">
      <c r="BB33758" s="122"/>
      <c r="BC33758" s="141"/>
    </row>
    <row r="33759">
      <c r="BB33759" s="122"/>
      <c r="BC33759" s="141"/>
    </row>
    <row r="33760">
      <c r="BB33760" s="122"/>
      <c r="BC33760" s="141"/>
    </row>
    <row r="33761">
      <c r="BB33761" s="122"/>
      <c r="BC33761" s="141"/>
    </row>
    <row r="33762">
      <c r="BB33762" s="122"/>
      <c r="BC33762" s="141"/>
    </row>
    <row r="33763">
      <c r="BB33763" s="122"/>
      <c r="BC33763" s="141"/>
    </row>
    <row r="33764">
      <c r="BB33764" s="122"/>
      <c r="BC33764" s="141"/>
    </row>
    <row r="33765">
      <c r="BB33765" s="122"/>
      <c r="BC33765" s="141"/>
    </row>
    <row r="33766">
      <c r="BB33766" s="122"/>
      <c r="BC33766" s="141"/>
    </row>
    <row r="33767">
      <c r="BB33767" s="122"/>
      <c r="BC33767" s="141"/>
    </row>
    <row r="33768">
      <c r="BB33768" s="122"/>
      <c r="BC33768" s="141"/>
    </row>
    <row r="33769">
      <c r="BB33769" s="122"/>
      <c r="BC33769" s="141"/>
    </row>
    <row r="33770">
      <c r="BB33770" s="122"/>
      <c r="BC33770" s="141"/>
    </row>
    <row r="33771">
      <c r="BB33771" s="122"/>
      <c r="BC33771" s="141"/>
    </row>
    <row r="33772">
      <c r="BB33772" s="122"/>
      <c r="BC33772" s="141"/>
    </row>
    <row r="33773">
      <c r="BB33773" s="122"/>
      <c r="BC33773" s="141"/>
    </row>
    <row r="33774">
      <c r="BB33774" s="122"/>
      <c r="BC33774" s="141"/>
    </row>
    <row r="33775">
      <c r="BB33775" s="122"/>
      <c r="BC33775" s="141"/>
    </row>
    <row r="33776">
      <c r="BB33776" s="122"/>
      <c r="BC33776" s="141"/>
    </row>
    <row r="33777">
      <c r="BB33777" s="122"/>
      <c r="BC33777" s="141"/>
    </row>
    <row r="33778">
      <c r="BB33778" s="122"/>
      <c r="BC33778" s="141"/>
    </row>
    <row r="33779">
      <c r="BB33779" s="122"/>
      <c r="BC33779" s="141"/>
    </row>
    <row r="33780">
      <c r="BB33780" s="122"/>
      <c r="BC33780" s="141"/>
    </row>
    <row r="33781">
      <c r="BB33781" s="122"/>
      <c r="BC33781" s="141"/>
    </row>
    <row r="33782">
      <c r="BB33782" s="122"/>
      <c r="BC33782" s="141"/>
    </row>
    <row r="33783">
      <c r="BB33783" s="122"/>
      <c r="BC33783" s="141"/>
    </row>
    <row r="33784">
      <c r="BB33784" s="122"/>
      <c r="BC33784" s="141"/>
    </row>
    <row r="33785">
      <c r="BB33785" s="122"/>
      <c r="BC33785" s="141"/>
    </row>
    <row r="33786">
      <c r="BB33786" s="122"/>
      <c r="BC33786" s="141"/>
    </row>
    <row r="33787">
      <c r="BB33787" s="122"/>
      <c r="BC33787" s="141"/>
    </row>
    <row r="33788">
      <c r="BB33788" s="122"/>
      <c r="BC33788" s="141"/>
    </row>
    <row r="33789">
      <c r="BB33789" s="122"/>
      <c r="BC33789" s="141"/>
    </row>
    <row r="33790">
      <c r="BB33790" s="122"/>
      <c r="BC33790" s="141"/>
    </row>
    <row r="33791">
      <c r="BB33791" s="122"/>
      <c r="BC33791" s="141"/>
    </row>
    <row r="33792">
      <c r="BB33792" s="122"/>
      <c r="BC33792" s="141"/>
    </row>
    <row r="33793">
      <c r="BB33793" s="122"/>
      <c r="BC33793" s="141"/>
    </row>
    <row r="33794">
      <c r="BB33794" s="122"/>
      <c r="BC33794" s="141"/>
    </row>
    <row r="33795">
      <c r="BB33795" s="122"/>
      <c r="BC33795" s="141"/>
    </row>
    <row r="33796">
      <c r="BB33796" s="122"/>
      <c r="BC33796" s="141"/>
    </row>
    <row r="33797">
      <c r="BB33797" s="122"/>
      <c r="BC33797" s="141"/>
    </row>
    <row r="33798">
      <c r="BB33798" s="122"/>
      <c r="BC33798" s="141"/>
    </row>
    <row r="33799">
      <c r="BB33799" s="122"/>
      <c r="BC33799" s="141"/>
    </row>
    <row r="33800">
      <c r="BB33800" s="122"/>
      <c r="BC33800" s="141"/>
    </row>
    <row r="33801">
      <c r="BB33801" s="122"/>
      <c r="BC33801" s="141"/>
    </row>
    <row r="33802">
      <c r="BB33802" s="122"/>
      <c r="BC33802" s="141"/>
    </row>
    <row r="33803">
      <c r="BB33803" s="122"/>
      <c r="BC33803" s="141"/>
    </row>
    <row r="33804">
      <c r="BB33804" s="122"/>
      <c r="BC33804" s="141"/>
    </row>
    <row r="33805">
      <c r="BB33805" s="122"/>
      <c r="BC33805" s="141"/>
    </row>
    <row r="33806">
      <c r="BB33806" s="122"/>
      <c r="BC33806" s="141"/>
    </row>
    <row r="33807">
      <c r="BB33807" s="122"/>
      <c r="BC33807" s="141"/>
    </row>
    <row r="33808">
      <c r="BB33808" s="122"/>
      <c r="BC33808" s="141"/>
    </row>
    <row r="33809">
      <c r="BB33809" s="122"/>
      <c r="BC33809" s="141"/>
    </row>
    <row r="33810">
      <c r="BB33810" s="122"/>
      <c r="BC33810" s="141"/>
    </row>
    <row r="33811">
      <c r="BB33811" s="122"/>
      <c r="BC33811" s="141"/>
    </row>
    <row r="33812">
      <c r="BB33812" s="122"/>
      <c r="BC33812" s="141"/>
    </row>
    <row r="33813">
      <c r="BB33813" s="122"/>
      <c r="BC33813" s="141"/>
    </row>
    <row r="33814">
      <c r="BB33814" s="122"/>
      <c r="BC33814" s="141"/>
    </row>
    <row r="33815">
      <c r="BB33815" s="122"/>
      <c r="BC33815" s="141"/>
    </row>
    <row r="33816">
      <c r="BB33816" s="122"/>
      <c r="BC33816" s="141"/>
    </row>
    <row r="33817">
      <c r="BB33817" s="122"/>
      <c r="BC33817" s="141"/>
    </row>
    <row r="33818">
      <c r="BB33818" s="122"/>
      <c r="BC33818" s="141"/>
    </row>
    <row r="33819">
      <c r="BB33819" s="122"/>
      <c r="BC33819" s="141"/>
    </row>
    <row r="33820">
      <c r="BB33820" s="122"/>
      <c r="BC33820" s="141"/>
    </row>
    <row r="33821">
      <c r="BB33821" s="122"/>
      <c r="BC33821" s="141"/>
    </row>
    <row r="33822">
      <c r="BB33822" s="122"/>
      <c r="BC33822" s="141"/>
    </row>
    <row r="33823">
      <c r="BB33823" s="122"/>
      <c r="BC33823" s="141"/>
    </row>
    <row r="33824">
      <c r="BB33824" s="122"/>
      <c r="BC33824" s="141"/>
    </row>
    <row r="33825">
      <c r="BB33825" s="122"/>
      <c r="BC33825" s="141"/>
    </row>
    <row r="33826">
      <c r="BB33826" s="122"/>
      <c r="BC33826" s="141"/>
    </row>
    <row r="33827">
      <c r="BB33827" s="122"/>
      <c r="BC33827" s="141"/>
    </row>
    <row r="33828">
      <c r="BB33828" s="122"/>
      <c r="BC33828" s="141"/>
    </row>
    <row r="33829">
      <c r="BB33829" s="122"/>
      <c r="BC33829" s="141"/>
    </row>
    <row r="33830">
      <c r="BB33830" s="122"/>
      <c r="BC33830" s="141"/>
    </row>
    <row r="33831">
      <c r="BB33831" s="122"/>
      <c r="BC33831" s="141"/>
    </row>
    <row r="33832">
      <c r="BB33832" s="122"/>
      <c r="BC33832" s="141"/>
    </row>
    <row r="33833">
      <c r="BB33833" s="122"/>
      <c r="BC33833" s="141"/>
    </row>
    <row r="33834">
      <c r="BB33834" s="122"/>
      <c r="BC33834" s="141"/>
    </row>
    <row r="33835">
      <c r="BB33835" s="122"/>
      <c r="BC33835" s="141"/>
    </row>
    <row r="33836">
      <c r="BB33836" s="122"/>
      <c r="BC33836" s="141"/>
    </row>
    <row r="33837">
      <c r="BB33837" s="122"/>
      <c r="BC33837" s="141"/>
    </row>
    <row r="33838">
      <c r="BB33838" s="122"/>
      <c r="BC33838" s="141"/>
    </row>
    <row r="33839">
      <c r="BB33839" s="122"/>
      <c r="BC33839" s="141"/>
    </row>
    <row r="33840">
      <c r="BB33840" s="122"/>
      <c r="BC33840" s="141"/>
    </row>
    <row r="33841">
      <c r="BB33841" s="122"/>
      <c r="BC33841" s="141"/>
    </row>
    <row r="33842">
      <c r="BB33842" s="122"/>
      <c r="BC33842" s="141"/>
    </row>
    <row r="33843">
      <c r="BB33843" s="122"/>
      <c r="BC33843" s="141"/>
    </row>
    <row r="33844">
      <c r="BB33844" s="122"/>
      <c r="BC33844" s="141"/>
    </row>
    <row r="33845">
      <c r="BB33845" s="122"/>
      <c r="BC33845" s="141"/>
    </row>
    <row r="33846">
      <c r="BB33846" s="122"/>
      <c r="BC33846" s="141"/>
    </row>
    <row r="33847">
      <c r="BB33847" s="122"/>
      <c r="BC33847" s="141"/>
    </row>
    <row r="33848">
      <c r="BB33848" s="122"/>
      <c r="BC33848" s="141"/>
    </row>
    <row r="33849">
      <c r="BB33849" s="122"/>
      <c r="BC33849" s="141"/>
    </row>
    <row r="33850">
      <c r="BB33850" s="122"/>
      <c r="BC33850" s="141"/>
    </row>
    <row r="33851">
      <c r="BB33851" s="122"/>
      <c r="BC33851" s="141"/>
    </row>
    <row r="33852">
      <c r="BB33852" s="122"/>
      <c r="BC33852" s="141"/>
    </row>
    <row r="33853">
      <c r="BB33853" s="122"/>
      <c r="BC33853" s="141"/>
    </row>
    <row r="33854">
      <c r="BB33854" s="122"/>
      <c r="BC33854" s="141"/>
    </row>
    <row r="33855">
      <c r="BB33855" s="122"/>
      <c r="BC33855" s="141"/>
    </row>
    <row r="33856">
      <c r="BB33856" s="122"/>
      <c r="BC33856" s="141"/>
    </row>
    <row r="33857">
      <c r="BB33857" s="122"/>
      <c r="BC33857" s="141"/>
    </row>
    <row r="33858">
      <c r="BB33858" s="122"/>
      <c r="BC33858" s="141"/>
    </row>
    <row r="33859">
      <c r="BB33859" s="122"/>
      <c r="BC33859" s="141"/>
    </row>
    <row r="33860">
      <c r="BB33860" s="122"/>
      <c r="BC33860" s="141"/>
    </row>
    <row r="33861">
      <c r="BB33861" s="122"/>
      <c r="BC33861" s="141"/>
    </row>
    <row r="33862">
      <c r="BB33862" s="122"/>
      <c r="BC33862" s="141"/>
    </row>
    <row r="33863">
      <c r="BB33863" s="122"/>
      <c r="BC33863" s="141"/>
    </row>
    <row r="33864">
      <c r="BB33864" s="122"/>
      <c r="BC33864" s="141"/>
    </row>
    <row r="33865">
      <c r="BB33865" s="122"/>
      <c r="BC33865" s="141"/>
    </row>
    <row r="33866">
      <c r="BB33866" s="122"/>
      <c r="BC33866" s="141"/>
    </row>
    <row r="33867">
      <c r="BB33867" s="122"/>
      <c r="BC33867" s="141"/>
    </row>
    <row r="33868">
      <c r="BB33868" s="122"/>
      <c r="BC33868" s="141"/>
    </row>
    <row r="33869">
      <c r="BB33869" s="122"/>
      <c r="BC33869" s="141"/>
    </row>
    <row r="33870">
      <c r="BB33870" s="122"/>
      <c r="BC33870" s="141"/>
    </row>
    <row r="33871">
      <c r="BB33871" s="122"/>
      <c r="BC33871" s="141"/>
    </row>
    <row r="33872">
      <c r="BB33872" s="122"/>
      <c r="BC33872" s="141"/>
    </row>
    <row r="33873">
      <c r="BB33873" s="122"/>
      <c r="BC33873" s="141"/>
    </row>
    <row r="33874">
      <c r="BB33874" s="122"/>
      <c r="BC33874" s="141"/>
    </row>
    <row r="33875">
      <c r="BB33875" s="122"/>
      <c r="BC33875" s="141"/>
    </row>
    <row r="33876">
      <c r="BB33876" s="122"/>
      <c r="BC33876" s="141"/>
    </row>
    <row r="33877">
      <c r="BB33877" s="122"/>
      <c r="BC33877" s="141"/>
    </row>
    <row r="33878">
      <c r="BB33878" s="122"/>
      <c r="BC33878" s="141"/>
    </row>
    <row r="33879">
      <c r="BB33879" s="122"/>
      <c r="BC33879" s="141"/>
    </row>
    <row r="33880">
      <c r="BB33880" s="122"/>
      <c r="BC33880" s="141"/>
    </row>
    <row r="33881">
      <c r="BB33881" s="122"/>
      <c r="BC33881" s="141"/>
    </row>
    <row r="33882">
      <c r="BB33882" s="122"/>
      <c r="BC33882" s="141"/>
    </row>
    <row r="33883">
      <c r="BB33883" s="122"/>
      <c r="BC33883" s="141"/>
    </row>
    <row r="33884">
      <c r="BB33884" s="122"/>
      <c r="BC33884" s="141"/>
    </row>
    <row r="33885">
      <c r="BB33885" s="122"/>
      <c r="BC33885" s="141"/>
    </row>
    <row r="33886">
      <c r="BB33886" s="122"/>
      <c r="BC33886" s="141"/>
    </row>
    <row r="33887">
      <c r="BB33887" s="122"/>
      <c r="BC33887" s="141"/>
    </row>
    <row r="33888">
      <c r="BB33888" s="122"/>
      <c r="BC33888" s="141"/>
    </row>
    <row r="33889">
      <c r="BB33889" s="122"/>
      <c r="BC33889" s="141"/>
    </row>
    <row r="33890">
      <c r="BB33890" s="122"/>
      <c r="BC33890" s="141"/>
    </row>
    <row r="33891">
      <c r="BB33891" s="122"/>
      <c r="BC33891" s="141"/>
    </row>
    <row r="33892">
      <c r="BB33892" s="122"/>
      <c r="BC33892" s="141"/>
    </row>
    <row r="33893">
      <c r="BB33893" s="122"/>
      <c r="BC33893" s="141"/>
    </row>
    <row r="33894">
      <c r="BB33894" s="122"/>
      <c r="BC33894" s="141"/>
    </row>
    <row r="33895">
      <c r="BB33895" s="122"/>
      <c r="BC33895" s="141"/>
    </row>
    <row r="33896">
      <c r="BB33896" s="122"/>
      <c r="BC33896" s="141"/>
    </row>
    <row r="33897">
      <c r="BB33897" s="122"/>
      <c r="BC33897" s="141"/>
    </row>
    <row r="33898">
      <c r="BB33898" s="122"/>
      <c r="BC33898" s="141"/>
    </row>
    <row r="33899">
      <c r="BB33899" s="122"/>
      <c r="BC33899" s="141"/>
    </row>
    <row r="33900">
      <c r="BB33900" s="122"/>
      <c r="BC33900" s="141"/>
    </row>
    <row r="33901">
      <c r="BB33901" s="122"/>
      <c r="BC33901" s="141"/>
    </row>
    <row r="33902">
      <c r="BB33902" s="122"/>
      <c r="BC33902" s="141"/>
    </row>
    <row r="33903">
      <c r="BB33903" s="122"/>
      <c r="BC33903" s="141"/>
    </row>
    <row r="33904">
      <c r="BB33904" s="122"/>
      <c r="BC33904" s="141"/>
    </row>
    <row r="33905">
      <c r="BB33905" s="122"/>
      <c r="BC33905" s="141"/>
    </row>
    <row r="33906">
      <c r="BB33906" s="122"/>
      <c r="BC33906" s="141"/>
    </row>
    <row r="33907">
      <c r="BB33907" s="122"/>
      <c r="BC33907" s="141"/>
    </row>
    <row r="33908">
      <c r="BB33908" s="122"/>
      <c r="BC33908" s="141"/>
    </row>
    <row r="33909">
      <c r="BB33909" s="122"/>
      <c r="BC33909" s="141"/>
    </row>
    <row r="33910">
      <c r="BB33910" s="122"/>
      <c r="BC33910" s="141"/>
    </row>
    <row r="33911">
      <c r="BB33911" s="122"/>
      <c r="BC33911" s="141"/>
    </row>
    <row r="33912">
      <c r="BB33912" s="122"/>
      <c r="BC33912" s="141"/>
    </row>
    <row r="33913">
      <c r="BB33913" s="122"/>
      <c r="BC33913" s="141"/>
    </row>
    <row r="33914">
      <c r="BB33914" s="122"/>
      <c r="BC33914" s="141"/>
    </row>
    <row r="33915">
      <c r="BB33915" s="122"/>
      <c r="BC33915" s="141"/>
    </row>
    <row r="33916">
      <c r="BB33916" s="122"/>
      <c r="BC33916" s="141"/>
    </row>
    <row r="33917">
      <c r="BB33917" s="122"/>
      <c r="BC33917" s="141"/>
    </row>
    <row r="33918">
      <c r="BB33918" s="122"/>
      <c r="BC33918" s="141"/>
    </row>
    <row r="33919">
      <c r="BB33919" s="122"/>
      <c r="BC33919" s="141"/>
    </row>
    <row r="33920">
      <c r="BB33920" s="122"/>
      <c r="BC33920" s="141"/>
    </row>
    <row r="33921">
      <c r="BB33921" s="122"/>
      <c r="BC33921" s="141"/>
    </row>
    <row r="33922">
      <c r="BB33922" s="122"/>
      <c r="BC33922" s="141"/>
    </row>
    <row r="33923">
      <c r="BB33923" s="122"/>
      <c r="BC33923" s="141"/>
    </row>
    <row r="33924">
      <c r="BB33924" s="122"/>
      <c r="BC33924" s="141"/>
    </row>
    <row r="33925">
      <c r="BB33925" s="122"/>
      <c r="BC33925" s="141"/>
    </row>
    <row r="33926">
      <c r="BB33926" s="122"/>
      <c r="BC33926" s="141"/>
    </row>
    <row r="33927">
      <c r="BB33927" s="122"/>
      <c r="BC33927" s="141"/>
    </row>
    <row r="33928">
      <c r="BB33928" s="122"/>
      <c r="BC33928" s="141"/>
    </row>
    <row r="33929">
      <c r="BB33929" s="122"/>
      <c r="BC33929" s="141"/>
    </row>
    <row r="33930">
      <c r="BB33930" s="122"/>
      <c r="BC33930" s="141"/>
    </row>
    <row r="33931">
      <c r="BB33931" s="122"/>
      <c r="BC33931" s="141"/>
    </row>
    <row r="33932">
      <c r="BB33932" s="122"/>
      <c r="BC33932" s="141"/>
    </row>
    <row r="33933">
      <c r="BB33933" s="122"/>
      <c r="BC33933" s="141"/>
    </row>
    <row r="33934">
      <c r="BB33934" s="122"/>
      <c r="BC33934" s="141"/>
    </row>
    <row r="33935">
      <c r="BB33935" s="122"/>
      <c r="BC33935" s="141"/>
    </row>
    <row r="33936">
      <c r="BB33936" s="122"/>
      <c r="BC33936" s="141"/>
    </row>
    <row r="33937">
      <c r="BB33937" s="122"/>
      <c r="BC33937" s="141"/>
    </row>
    <row r="33938">
      <c r="BB33938" s="122"/>
      <c r="BC33938" s="141"/>
    </row>
    <row r="33939">
      <c r="BB33939" s="122"/>
      <c r="BC33939" s="141"/>
    </row>
    <row r="33940">
      <c r="BB33940" s="122"/>
      <c r="BC33940" s="141"/>
    </row>
    <row r="33941">
      <c r="BB33941" s="122"/>
      <c r="BC33941" s="141"/>
    </row>
    <row r="33942">
      <c r="BB33942" s="122"/>
      <c r="BC33942" s="141"/>
    </row>
    <row r="33943">
      <c r="BB33943" s="122"/>
      <c r="BC33943" s="141"/>
    </row>
    <row r="33944">
      <c r="BB33944" s="122"/>
      <c r="BC33944" s="141"/>
    </row>
    <row r="33945">
      <c r="BB33945" s="122"/>
      <c r="BC33945" s="141"/>
    </row>
    <row r="33946">
      <c r="BB33946" s="122"/>
      <c r="BC33946" s="141"/>
    </row>
    <row r="33947">
      <c r="BB33947" s="122"/>
      <c r="BC33947" s="141"/>
    </row>
    <row r="33948">
      <c r="BB33948" s="122"/>
      <c r="BC33948" s="141"/>
    </row>
    <row r="33949">
      <c r="BB33949" s="122"/>
      <c r="BC33949" s="141"/>
    </row>
    <row r="33950">
      <c r="BB33950" s="122"/>
      <c r="BC33950" s="141"/>
    </row>
    <row r="33951">
      <c r="BB33951" s="122"/>
      <c r="BC33951" s="141"/>
    </row>
    <row r="33952">
      <c r="BB33952" s="122"/>
      <c r="BC33952" s="141"/>
    </row>
    <row r="33953">
      <c r="BB33953" s="122"/>
      <c r="BC33953" s="141"/>
    </row>
    <row r="33954">
      <c r="BB33954" s="122"/>
      <c r="BC33954" s="141"/>
    </row>
    <row r="33955">
      <c r="BB33955" s="122"/>
      <c r="BC33955" s="141"/>
    </row>
    <row r="33956">
      <c r="BB33956" s="122"/>
      <c r="BC33956" s="141"/>
    </row>
    <row r="33957">
      <c r="BB33957" s="122"/>
      <c r="BC33957" s="141"/>
    </row>
    <row r="33958">
      <c r="BB33958" s="122"/>
      <c r="BC33958" s="141"/>
    </row>
    <row r="33959">
      <c r="BB33959" s="122"/>
      <c r="BC33959" s="141"/>
    </row>
    <row r="33960">
      <c r="BB33960" s="122"/>
      <c r="BC33960" s="141"/>
    </row>
    <row r="33961">
      <c r="BB33961" s="122"/>
      <c r="BC33961" s="141"/>
    </row>
    <row r="33962">
      <c r="BB33962" s="122"/>
      <c r="BC33962" s="141"/>
    </row>
    <row r="33963">
      <c r="BB33963" s="122"/>
      <c r="BC33963" s="141"/>
    </row>
    <row r="33964">
      <c r="BB33964" s="122"/>
      <c r="BC33964" s="141"/>
    </row>
    <row r="33965">
      <c r="BB33965" s="122"/>
      <c r="BC33965" s="141"/>
    </row>
    <row r="33966">
      <c r="BB33966" s="122"/>
      <c r="BC33966" s="141"/>
    </row>
    <row r="33967">
      <c r="BB33967" s="122"/>
      <c r="BC33967" s="141"/>
    </row>
    <row r="33968">
      <c r="BB33968" s="122"/>
      <c r="BC33968" s="141"/>
    </row>
    <row r="33969">
      <c r="BB33969" s="122"/>
      <c r="BC33969" s="141"/>
    </row>
    <row r="33970">
      <c r="BB33970" s="122"/>
      <c r="BC33970" s="141"/>
    </row>
    <row r="33971">
      <c r="BB33971" s="122"/>
      <c r="BC33971" s="141"/>
    </row>
    <row r="33972">
      <c r="BB33972" s="122"/>
      <c r="BC33972" s="141"/>
    </row>
    <row r="33973">
      <c r="BB33973" s="122"/>
      <c r="BC33973" s="141"/>
    </row>
    <row r="33974">
      <c r="BB33974" s="122"/>
      <c r="BC33974" s="141"/>
    </row>
    <row r="33975">
      <c r="BB33975" s="122"/>
      <c r="BC33975" s="141"/>
    </row>
    <row r="33976">
      <c r="BB33976" s="122"/>
      <c r="BC33976" s="141"/>
    </row>
    <row r="33977">
      <c r="BB33977" s="122"/>
      <c r="BC33977" s="141"/>
    </row>
    <row r="33978">
      <c r="BB33978" s="122"/>
      <c r="BC33978" s="141"/>
    </row>
    <row r="33979">
      <c r="BB33979" s="122"/>
      <c r="BC33979" s="141"/>
    </row>
    <row r="33980">
      <c r="BB33980" s="122"/>
      <c r="BC33980" s="141"/>
    </row>
    <row r="33981">
      <c r="BB33981" s="122"/>
      <c r="BC33981" s="141"/>
    </row>
    <row r="33982">
      <c r="BB33982" s="122"/>
      <c r="BC33982" s="141"/>
    </row>
    <row r="33983">
      <c r="BB33983" s="122"/>
      <c r="BC33983" s="141"/>
    </row>
    <row r="33984">
      <c r="BB33984" s="122"/>
      <c r="BC33984" s="141"/>
    </row>
    <row r="33985">
      <c r="BB33985" s="122"/>
      <c r="BC33985" s="141"/>
    </row>
    <row r="33986">
      <c r="BB33986" s="122"/>
      <c r="BC33986" s="141"/>
    </row>
    <row r="33987">
      <c r="BB33987" s="122"/>
      <c r="BC33987" s="141"/>
    </row>
    <row r="33988">
      <c r="BB33988" s="122"/>
      <c r="BC33988" s="141"/>
    </row>
    <row r="33989">
      <c r="BB33989" s="122"/>
      <c r="BC33989" s="141"/>
    </row>
    <row r="33990">
      <c r="BB33990" s="122"/>
      <c r="BC33990" s="141"/>
    </row>
    <row r="33991">
      <c r="BB33991" s="122"/>
      <c r="BC33991" s="141"/>
    </row>
    <row r="33992">
      <c r="BB33992" s="122"/>
      <c r="BC33992" s="141"/>
    </row>
    <row r="33993">
      <c r="BB33993" s="122"/>
      <c r="BC33993" s="141"/>
    </row>
    <row r="33994">
      <c r="BB33994" s="122"/>
      <c r="BC33994" s="141"/>
    </row>
    <row r="33995">
      <c r="BB33995" s="122"/>
      <c r="BC33995" s="141"/>
    </row>
    <row r="33996">
      <c r="BB33996" s="122"/>
      <c r="BC33996" s="141"/>
    </row>
    <row r="33997">
      <c r="BB33997" s="122"/>
      <c r="BC33997" s="141"/>
    </row>
    <row r="33998">
      <c r="BB33998" s="122"/>
      <c r="BC33998" s="141"/>
    </row>
    <row r="33999">
      <c r="BB33999" s="122"/>
      <c r="BC33999" s="141"/>
    </row>
    <row r="34000">
      <c r="BB34000" s="122"/>
      <c r="BC34000" s="141"/>
    </row>
    <row r="34001">
      <c r="BB34001" s="122"/>
      <c r="BC34001" s="141"/>
    </row>
    <row r="34002">
      <c r="BB34002" s="122"/>
      <c r="BC34002" s="141"/>
    </row>
    <row r="34003">
      <c r="BB34003" s="122"/>
      <c r="BC34003" s="141"/>
    </row>
    <row r="34004">
      <c r="BB34004" s="122"/>
      <c r="BC34004" s="141"/>
    </row>
    <row r="34005">
      <c r="BB34005" s="122"/>
      <c r="BC34005" s="141"/>
    </row>
    <row r="34006">
      <c r="BB34006" s="122"/>
      <c r="BC34006" s="141"/>
    </row>
    <row r="34007">
      <c r="BB34007" s="122"/>
      <c r="BC34007" s="141"/>
    </row>
    <row r="34008">
      <c r="BB34008" s="122"/>
      <c r="BC34008" s="141"/>
    </row>
    <row r="34009">
      <c r="BB34009" s="122"/>
      <c r="BC34009" s="141"/>
    </row>
    <row r="34010">
      <c r="BB34010" s="122"/>
      <c r="BC34010" s="141"/>
    </row>
    <row r="34011">
      <c r="BB34011" s="122"/>
      <c r="BC34011" s="141"/>
    </row>
    <row r="34012">
      <c r="BB34012" s="122"/>
      <c r="BC34012" s="141"/>
    </row>
    <row r="34013">
      <c r="BB34013" s="122"/>
      <c r="BC34013" s="141"/>
    </row>
    <row r="34014">
      <c r="BB34014" s="122"/>
      <c r="BC34014" s="141"/>
    </row>
    <row r="34015">
      <c r="BB34015" s="122"/>
      <c r="BC34015" s="141"/>
    </row>
    <row r="34016">
      <c r="BB34016" s="122"/>
      <c r="BC34016" s="141"/>
    </row>
    <row r="34017">
      <c r="BB34017" s="122"/>
      <c r="BC34017" s="141"/>
    </row>
    <row r="34018">
      <c r="BB34018" s="122"/>
      <c r="BC34018" s="141"/>
    </row>
    <row r="34019">
      <c r="BB34019" s="122"/>
      <c r="BC34019" s="141"/>
    </row>
    <row r="34020">
      <c r="BB34020" s="122"/>
      <c r="BC34020" s="141"/>
    </row>
    <row r="34021">
      <c r="BB34021" s="122"/>
      <c r="BC34021" s="141"/>
    </row>
    <row r="34022">
      <c r="BB34022" s="122"/>
      <c r="BC34022" s="141"/>
    </row>
    <row r="34023">
      <c r="BB34023" s="122"/>
      <c r="BC34023" s="141"/>
    </row>
    <row r="34024">
      <c r="BB34024" s="122"/>
      <c r="BC34024" s="141"/>
    </row>
    <row r="34025">
      <c r="BB34025" s="122"/>
      <c r="BC34025" s="141"/>
    </row>
    <row r="34026">
      <c r="BB34026" s="122"/>
      <c r="BC34026" s="141"/>
    </row>
    <row r="34027">
      <c r="BB34027" s="122"/>
      <c r="BC34027" s="141"/>
    </row>
    <row r="34028">
      <c r="BB34028" s="122"/>
      <c r="BC34028" s="141"/>
    </row>
    <row r="34029">
      <c r="BB34029" s="122"/>
      <c r="BC34029" s="141"/>
    </row>
    <row r="34030">
      <c r="BB34030" s="122"/>
      <c r="BC34030" s="141"/>
    </row>
    <row r="34031">
      <c r="BB34031" s="122"/>
      <c r="BC34031" s="141"/>
    </row>
    <row r="34032">
      <c r="BB34032" s="122"/>
      <c r="BC34032" s="141"/>
    </row>
    <row r="34033">
      <c r="BB34033" s="122"/>
      <c r="BC34033" s="141"/>
    </row>
    <row r="34034">
      <c r="BB34034" s="122"/>
      <c r="BC34034" s="141"/>
    </row>
    <row r="34035">
      <c r="BB34035" s="122"/>
      <c r="BC34035" s="141"/>
    </row>
    <row r="34036">
      <c r="BB34036" s="122"/>
      <c r="BC34036" s="141"/>
    </row>
    <row r="34037">
      <c r="BB34037" s="122"/>
      <c r="BC34037" s="141"/>
    </row>
    <row r="34038">
      <c r="BB34038" s="122"/>
      <c r="BC34038" s="141"/>
    </row>
    <row r="34039">
      <c r="BB34039" s="122"/>
      <c r="BC34039" s="141"/>
    </row>
    <row r="34040">
      <c r="BB34040" s="122"/>
      <c r="BC34040" s="141"/>
    </row>
    <row r="34041">
      <c r="BB34041" s="122"/>
      <c r="BC34041" s="141"/>
    </row>
    <row r="34042">
      <c r="BB34042" s="122"/>
      <c r="BC34042" s="141"/>
    </row>
    <row r="34043">
      <c r="BB34043" s="122"/>
      <c r="BC34043" s="141"/>
    </row>
    <row r="34044">
      <c r="BB34044" s="122"/>
      <c r="BC34044" s="141"/>
    </row>
    <row r="34045">
      <c r="BB34045" s="122"/>
      <c r="BC34045" s="141"/>
    </row>
    <row r="34046">
      <c r="BB34046" s="122"/>
      <c r="BC34046" s="141"/>
    </row>
    <row r="34047">
      <c r="BB34047" s="122"/>
      <c r="BC34047" s="141"/>
    </row>
    <row r="34048">
      <c r="BB34048" s="122"/>
      <c r="BC34048" s="141"/>
    </row>
    <row r="34049">
      <c r="BB34049" s="122"/>
      <c r="BC34049" s="141"/>
    </row>
    <row r="34050">
      <c r="BB34050" s="122"/>
      <c r="BC34050" s="141"/>
    </row>
    <row r="34051">
      <c r="BB34051" s="122"/>
      <c r="BC34051" s="141"/>
    </row>
    <row r="34052">
      <c r="BB34052" s="122"/>
      <c r="BC34052" s="141"/>
    </row>
    <row r="34053">
      <c r="BB34053" s="122"/>
      <c r="BC34053" s="141"/>
    </row>
    <row r="34054">
      <c r="BB34054" s="122"/>
      <c r="BC34054" s="141"/>
    </row>
    <row r="34055">
      <c r="BB34055" s="122"/>
      <c r="BC34055" s="141"/>
    </row>
    <row r="34056">
      <c r="BB34056" s="122"/>
      <c r="BC34056" s="141"/>
    </row>
    <row r="34057">
      <c r="BB34057" s="122"/>
      <c r="BC34057" s="141"/>
    </row>
    <row r="34058">
      <c r="BB34058" s="122"/>
      <c r="BC34058" s="141"/>
    </row>
    <row r="34059">
      <c r="BB34059" s="122"/>
      <c r="BC34059" s="141"/>
    </row>
    <row r="34060">
      <c r="BB34060" s="122"/>
      <c r="BC34060" s="141"/>
    </row>
    <row r="34061">
      <c r="BB34061" s="122"/>
      <c r="BC34061" s="141"/>
    </row>
    <row r="34062">
      <c r="BB34062" s="122"/>
      <c r="BC34062" s="141"/>
    </row>
    <row r="34063">
      <c r="BB34063" s="122"/>
      <c r="BC34063" s="141"/>
    </row>
    <row r="34064">
      <c r="BB34064" s="122"/>
      <c r="BC34064" s="141"/>
    </row>
    <row r="34065">
      <c r="BB34065" s="122"/>
      <c r="BC34065" s="141"/>
    </row>
    <row r="34066">
      <c r="BB34066" s="122"/>
      <c r="BC34066" s="141"/>
    </row>
    <row r="34067">
      <c r="BB34067" s="122"/>
      <c r="BC34067" s="141"/>
    </row>
    <row r="34068">
      <c r="BB34068" s="122"/>
      <c r="BC34068" s="141"/>
    </row>
    <row r="34069">
      <c r="BB34069" s="122"/>
      <c r="BC34069" s="141"/>
    </row>
    <row r="34070">
      <c r="BB34070" s="122"/>
      <c r="BC34070" s="141"/>
    </row>
    <row r="34071">
      <c r="BB34071" s="122"/>
      <c r="BC34071" s="141"/>
    </row>
    <row r="34072">
      <c r="BB34072" s="122"/>
      <c r="BC34072" s="141"/>
    </row>
    <row r="34073">
      <c r="BB34073" s="122"/>
      <c r="BC34073" s="141"/>
    </row>
    <row r="34074">
      <c r="BB34074" s="122"/>
      <c r="BC34074" s="141"/>
    </row>
    <row r="34075">
      <c r="BB34075" s="122"/>
      <c r="BC34075" s="141"/>
    </row>
    <row r="34076">
      <c r="BB34076" s="122"/>
      <c r="BC34076" s="141"/>
    </row>
    <row r="34077">
      <c r="BB34077" s="122"/>
      <c r="BC34077" s="141"/>
    </row>
    <row r="34078">
      <c r="BB34078" s="122"/>
      <c r="BC34078" s="141"/>
    </row>
    <row r="34079">
      <c r="BB34079" s="122"/>
      <c r="BC34079" s="141"/>
    </row>
    <row r="34080">
      <c r="BB34080" s="122"/>
      <c r="BC34080" s="141"/>
    </row>
    <row r="34081">
      <c r="BB34081" s="122"/>
      <c r="BC34081" s="141"/>
    </row>
    <row r="34082">
      <c r="BB34082" s="122"/>
      <c r="BC34082" s="141"/>
    </row>
    <row r="34083">
      <c r="BB34083" s="122"/>
      <c r="BC34083" s="141"/>
    </row>
    <row r="34084">
      <c r="BB34084" s="122"/>
      <c r="BC34084" s="141"/>
    </row>
    <row r="34085">
      <c r="BB34085" s="122"/>
      <c r="BC34085" s="141"/>
    </row>
    <row r="34086">
      <c r="BB34086" s="122"/>
      <c r="BC34086" s="141"/>
    </row>
    <row r="34087">
      <c r="BB34087" s="122"/>
      <c r="BC34087" s="141"/>
    </row>
    <row r="34088">
      <c r="BB34088" s="122"/>
      <c r="BC34088" s="141"/>
    </row>
    <row r="34089">
      <c r="BB34089" s="122"/>
      <c r="BC34089" s="141"/>
    </row>
    <row r="34090">
      <c r="BB34090" s="122"/>
      <c r="BC34090" s="141"/>
    </row>
    <row r="34091">
      <c r="BB34091" s="122"/>
      <c r="BC34091" s="141"/>
    </row>
    <row r="34092">
      <c r="BB34092" s="122"/>
      <c r="BC34092" s="141"/>
    </row>
    <row r="34093">
      <c r="BB34093" s="122"/>
      <c r="BC34093" s="141"/>
    </row>
    <row r="34094">
      <c r="BB34094" s="122"/>
      <c r="BC34094" s="141"/>
    </row>
    <row r="34095">
      <c r="BB34095" s="122"/>
      <c r="BC34095" s="141"/>
    </row>
    <row r="34096">
      <c r="BB34096" s="122"/>
      <c r="BC34096" s="141"/>
    </row>
    <row r="34097">
      <c r="BB34097" s="122"/>
      <c r="BC34097" s="141"/>
    </row>
    <row r="34098">
      <c r="BB34098" s="122"/>
      <c r="BC34098" s="141"/>
    </row>
    <row r="34099">
      <c r="BB34099" s="122"/>
      <c r="BC34099" s="141"/>
    </row>
    <row r="34100">
      <c r="BB34100" s="122"/>
      <c r="BC34100" s="141"/>
    </row>
    <row r="34101">
      <c r="BB34101" s="122"/>
      <c r="BC34101" s="141"/>
    </row>
    <row r="34102">
      <c r="BB34102" s="122"/>
      <c r="BC34102" s="141"/>
    </row>
    <row r="34103">
      <c r="BB34103" s="122"/>
      <c r="BC34103" s="141"/>
    </row>
    <row r="34104">
      <c r="BB34104" s="122"/>
      <c r="BC34104" s="141"/>
    </row>
    <row r="34105">
      <c r="BB34105" s="122"/>
      <c r="BC34105" s="141"/>
    </row>
    <row r="34106">
      <c r="BB34106" s="122"/>
      <c r="BC34106" s="141"/>
    </row>
    <row r="34107">
      <c r="BB34107" s="122"/>
      <c r="BC34107" s="141"/>
    </row>
    <row r="34108">
      <c r="BB34108" s="122"/>
      <c r="BC34108" s="141"/>
    </row>
    <row r="34109">
      <c r="BB34109" s="122"/>
      <c r="BC34109" s="141"/>
    </row>
    <row r="34110">
      <c r="BB34110" s="122"/>
      <c r="BC34110" s="141"/>
    </row>
    <row r="34111">
      <c r="BB34111" s="122"/>
      <c r="BC34111" s="141"/>
    </row>
    <row r="34112">
      <c r="BB34112" s="122"/>
      <c r="BC34112" s="141"/>
    </row>
    <row r="34113">
      <c r="BB34113" s="122"/>
      <c r="BC34113" s="141"/>
    </row>
    <row r="34114">
      <c r="BB34114" s="122"/>
      <c r="BC34114" s="141"/>
    </row>
    <row r="34115">
      <c r="BB34115" s="122"/>
      <c r="BC34115" s="141"/>
    </row>
    <row r="34116">
      <c r="BB34116" s="122"/>
      <c r="BC34116" s="141"/>
    </row>
    <row r="34117">
      <c r="BB34117" s="122"/>
      <c r="BC34117" s="141"/>
    </row>
    <row r="34118">
      <c r="BB34118" s="122"/>
      <c r="BC34118" s="141"/>
    </row>
    <row r="34119">
      <c r="BB34119" s="122"/>
      <c r="BC34119" s="141"/>
    </row>
    <row r="34120">
      <c r="BB34120" s="122"/>
      <c r="BC34120" s="141"/>
    </row>
    <row r="34121">
      <c r="BB34121" s="122"/>
      <c r="BC34121" s="141"/>
    </row>
    <row r="34122">
      <c r="BB34122" s="122"/>
      <c r="BC34122" s="141"/>
    </row>
    <row r="34123">
      <c r="BB34123" s="122"/>
      <c r="BC34123" s="141"/>
    </row>
    <row r="34124">
      <c r="BB34124" s="122"/>
      <c r="BC34124" s="141"/>
    </row>
    <row r="34125">
      <c r="BB34125" s="122"/>
      <c r="BC34125" s="141"/>
    </row>
    <row r="34126">
      <c r="BB34126" s="122"/>
      <c r="BC34126" s="141"/>
    </row>
    <row r="34127">
      <c r="BB34127" s="122"/>
      <c r="BC34127" s="141"/>
    </row>
    <row r="34128">
      <c r="BB34128" s="122"/>
      <c r="BC34128" s="141"/>
    </row>
    <row r="34129">
      <c r="BB34129" s="122"/>
      <c r="BC34129" s="141"/>
    </row>
    <row r="34130">
      <c r="BB34130" s="122"/>
      <c r="BC34130" s="141"/>
    </row>
    <row r="34131">
      <c r="BB34131" s="122"/>
      <c r="BC34131" s="141"/>
    </row>
    <row r="34132">
      <c r="BB34132" s="122"/>
      <c r="BC34132" s="141"/>
    </row>
    <row r="34133">
      <c r="BB34133" s="122"/>
      <c r="BC34133" s="141"/>
    </row>
    <row r="34134">
      <c r="BB34134" s="122"/>
      <c r="BC34134" s="141"/>
    </row>
    <row r="34135">
      <c r="BB34135" s="122"/>
      <c r="BC34135" s="141"/>
    </row>
    <row r="34136">
      <c r="BB34136" s="122"/>
      <c r="BC34136" s="141"/>
    </row>
    <row r="34137">
      <c r="BB34137" s="122"/>
      <c r="BC34137" s="141"/>
    </row>
    <row r="34138">
      <c r="BB34138" s="122"/>
      <c r="BC34138" s="141"/>
    </row>
    <row r="34139">
      <c r="BB34139" s="122"/>
      <c r="BC34139" s="141"/>
    </row>
    <row r="34140">
      <c r="BB34140" s="122"/>
      <c r="BC34140" s="141"/>
    </row>
    <row r="34141">
      <c r="BB34141" s="122"/>
      <c r="BC34141" s="141"/>
    </row>
    <row r="34142">
      <c r="BB34142" s="122"/>
      <c r="BC34142" s="141"/>
    </row>
    <row r="34143">
      <c r="BB34143" s="122"/>
      <c r="BC34143" s="141"/>
    </row>
    <row r="34144">
      <c r="BB34144" s="122"/>
      <c r="BC34144" s="141"/>
    </row>
    <row r="34145">
      <c r="BB34145" s="122"/>
      <c r="BC34145" s="141"/>
    </row>
    <row r="34146">
      <c r="BB34146" s="122"/>
      <c r="BC34146" s="141"/>
    </row>
    <row r="34147">
      <c r="BB34147" s="122"/>
      <c r="BC34147" s="141"/>
    </row>
    <row r="34148">
      <c r="BB34148" s="122"/>
      <c r="BC34148" s="141"/>
    </row>
    <row r="34149">
      <c r="BB34149" s="122"/>
      <c r="BC34149" s="141"/>
    </row>
    <row r="34150">
      <c r="BB34150" s="122"/>
      <c r="BC34150" s="141"/>
    </row>
    <row r="34151">
      <c r="BB34151" s="122"/>
      <c r="BC34151" s="141"/>
    </row>
    <row r="34152">
      <c r="BB34152" s="122"/>
      <c r="BC34152" s="141"/>
    </row>
    <row r="34153">
      <c r="BB34153" s="122"/>
      <c r="BC34153" s="141"/>
    </row>
    <row r="34154">
      <c r="BB34154" s="122"/>
      <c r="BC34154" s="141"/>
    </row>
    <row r="34155">
      <c r="BB34155" s="122"/>
      <c r="BC34155" s="141"/>
    </row>
    <row r="34156">
      <c r="BB34156" s="122"/>
      <c r="BC34156" s="141"/>
    </row>
    <row r="34157">
      <c r="BB34157" s="122"/>
      <c r="BC34157" s="141"/>
    </row>
    <row r="34158">
      <c r="BB34158" s="122"/>
      <c r="BC34158" s="141"/>
    </row>
    <row r="34159">
      <c r="BB34159" s="122"/>
      <c r="BC34159" s="141"/>
    </row>
    <row r="34160">
      <c r="BB34160" s="122"/>
      <c r="BC34160" s="141"/>
    </row>
    <row r="34161">
      <c r="BB34161" s="122"/>
      <c r="BC34161" s="141"/>
    </row>
    <row r="34162">
      <c r="BB34162" s="122"/>
      <c r="BC34162" s="141"/>
    </row>
    <row r="34163">
      <c r="BB34163" s="122"/>
      <c r="BC34163" s="141"/>
    </row>
    <row r="34164">
      <c r="BB34164" s="122"/>
      <c r="BC34164" s="141"/>
    </row>
    <row r="34165">
      <c r="BB34165" s="122"/>
      <c r="BC34165" s="141"/>
    </row>
    <row r="34166">
      <c r="BB34166" s="122"/>
      <c r="BC34166" s="141"/>
    </row>
    <row r="34167">
      <c r="BB34167" s="122"/>
      <c r="BC34167" s="141"/>
    </row>
    <row r="34168">
      <c r="BB34168" s="122"/>
      <c r="BC34168" s="141"/>
    </row>
    <row r="34169">
      <c r="BB34169" s="122"/>
      <c r="BC34169" s="141"/>
    </row>
    <row r="34170">
      <c r="BB34170" s="122"/>
      <c r="BC34170" s="141"/>
    </row>
    <row r="34171">
      <c r="BB34171" s="122"/>
      <c r="BC34171" s="141"/>
    </row>
    <row r="34172">
      <c r="BB34172" s="122"/>
      <c r="BC34172" s="141"/>
    </row>
    <row r="34173">
      <c r="BB34173" s="122"/>
      <c r="BC34173" s="141"/>
    </row>
    <row r="34174">
      <c r="BB34174" s="122"/>
      <c r="BC34174" s="141"/>
    </row>
    <row r="34175">
      <c r="BB34175" s="122"/>
      <c r="BC34175" s="141"/>
    </row>
    <row r="34176">
      <c r="BB34176" s="122"/>
      <c r="BC34176" s="141"/>
    </row>
    <row r="34177">
      <c r="BB34177" s="122"/>
      <c r="BC34177" s="141"/>
    </row>
    <row r="34178">
      <c r="BB34178" s="122"/>
      <c r="BC34178" s="141"/>
    </row>
    <row r="34179">
      <c r="BB34179" s="122"/>
      <c r="BC34179" s="141"/>
    </row>
    <row r="34180">
      <c r="BB34180" s="122"/>
      <c r="BC34180" s="141"/>
    </row>
    <row r="34181">
      <c r="BB34181" s="122"/>
      <c r="BC34181" s="141"/>
    </row>
    <row r="34182">
      <c r="BB34182" s="122"/>
      <c r="BC34182" s="141"/>
    </row>
    <row r="34183">
      <c r="BB34183" s="122"/>
      <c r="BC34183" s="141"/>
    </row>
    <row r="34184">
      <c r="BB34184" s="122"/>
      <c r="BC34184" s="141"/>
    </row>
    <row r="34185">
      <c r="BB34185" s="122"/>
      <c r="BC34185" s="141"/>
    </row>
    <row r="34186">
      <c r="BB34186" s="122"/>
      <c r="BC34186" s="141"/>
    </row>
    <row r="34187">
      <c r="BB34187" s="122"/>
      <c r="BC34187" s="141"/>
    </row>
    <row r="34188">
      <c r="BB34188" s="122"/>
      <c r="BC34188" s="141"/>
    </row>
    <row r="34189">
      <c r="BB34189" s="122"/>
      <c r="BC34189" s="141"/>
    </row>
    <row r="34190">
      <c r="BB34190" s="122"/>
      <c r="BC34190" s="141"/>
    </row>
    <row r="34191">
      <c r="BB34191" s="122"/>
      <c r="BC34191" s="141"/>
    </row>
    <row r="34192">
      <c r="BB34192" s="122"/>
      <c r="BC34192" s="141"/>
    </row>
    <row r="34193">
      <c r="BB34193" s="122"/>
      <c r="BC34193" s="141"/>
    </row>
    <row r="34194">
      <c r="BB34194" s="122"/>
      <c r="BC34194" s="141"/>
    </row>
    <row r="34195">
      <c r="BB34195" s="122"/>
      <c r="BC34195" s="141"/>
    </row>
    <row r="34196">
      <c r="BB34196" s="122"/>
      <c r="BC34196" s="141"/>
    </row>
    <row r="34197">
      <c r="BB34197" s="122"/>
      <c r="BC34197" s="141"/>
    </row>
    <row r="34198">
      <c r="BB34198" s="122"/>
      <c r="BC34198" s="141"/>
    </row>
    <row r="34199">
      <c r="BB34199" s="122"/>
      <c r="BC34199" s="141"/>
    </row>
    <row r="34200">
      <c r="BB34200" s="122"/>
      <c r="BC34200" s="141"/>
    </row>
    <row r="34201">
      <c r="BB34201" s="122"/>
      <c r="BC34201" s="141"/>
    </row>
    <row r="34202">
      <c r="BB34202" s="122"/>
      <c r="BC34202" s="141"/>
    </row>
    <row r="34203">
      <c r="BB34203" s="122"/>
      <c r="BC34203" s="141"/>
    </row>
    <row r="34204">
      <c r="BB34204" s="122"/>
      <c r="BC34204" s="141"/>
    </row>
    <row r="34205">
      <c r="BB34205" s="122"/>
      <c r="BC34205" s="141"/>
    </row>
    <row r="34206">
      <c r="BB34206" s="122"/>
      <c r="BC34206" s="141"/>
    </row>
    <row r="34207">
      <c r="BB34207" s="122"/>
      <c r="BC34207" s="141"/>
    </row>
    <row r="34208">
      <c r="BB34208" s="122"/>
      <c r="BC34208" s="141"/>
    </row>
    <row r="34209">
      <c r="BB34209" s="122"/>
      <c r="BC34209" s="141"/>
    </row>
    <row r="34210">
      <c r="BB34210" s="122"/>
      <c r="BC34210" s="141"/>
    </row>
    <row r="34211">
      <c r="BB34211" s="122"/>
      <c r="BC34211" s="141"/>
    </row>
    <row r="34212">
      <c r="BB34212" s="122"/>
      <c r="BC34212" s="141"/>
    </row>
    <row r="34213">
      <c r="BB34213" s="122"/>
      <c r="BC34213" s="141"/>
    </row>
    <row r="34214">
      <c r="BB34214" s="122"/>
      <c r="BC34214" s="141"/>
    </row>
    <row r="34215">
      <c r="BB34215" s="122"/>
      <c r="BC34215" s="141"/>
    </row>
    <row r="34216">
      <c r="BB34216" s="122"/>
      <c r="BC34216" s="141"/>
    </row>
    <row r="34217">
      <c r="BB34217" s="122"/>
      <c r="BC34217" s="141"/>
    </row>
    <row r="34218">
      <c r="BB34218" s="122"/>
      <c r="BC34218" s="141"/>
    </row>
    <row r="34219">
      <c r="BB34219" s="122"/>
      <c r="BC34219" s="141"/>
    </row>
    <row r="34220">
      <c r="BB34220" s="122"/>
      <c r="BC34220" s="141"/>
    </row>
    <row r="34221">
      <c r="BB34221" s="122"/>
      <c r="BC34221" s="141"/>
    </row>
    <row r="34222">
      <c r="BB34222" s="122"/>
      <c r="BC34222" s="141"/>
    </row>
    <row r="34223">
      <c r="BB34223" s="122"/>
      <c r="BC34223" s="141"/>
    </row>
    <row r="34224">
      <c r="BB34224" s="122"/>
      <c r="BC34224" s="141"/>
    </row>
    <row r="34225">
      <c r="BB34225" s="122"/>
      <c r="BC34225" s="141"/>
    </row>
    <row r="34226">
      <c r="BB34226" s="122"/>
      <c r="BC34226" s="141"/>
    </row>
    <row r="34227">
      <c r="BB34227" s="122"/>
      <c r="BC34227" s="141"/>
    </row>
    <row r="34228">
      <c r="BB34228" s="122"/>
      <c r="BC34228" s="141"/>
    </row>
    <row r="34229">
      <c r="BB34229" s="122"/>
      <c r="BC34229" s="141"/>
    </row>
    <row r="34230">
      <c r="BB34230" s="122"/>
      <c r="BC34230" s="141"/>
    </row>
    <row r="34231">
      <c r="BB34231" s="122"/>
      <c r="BC34231" s="141"/>
    </row>
    <row r="34232">
      <c r="BB34232" s="122"/>
      <c r="BC34232" s="141"/>
    </row>
    <row r="34233">
      <c r="BB34233" s="122"/>
      <c r="BC34233" s="141"/>
    </row>
    <row r="34234">
      <c r="BB34234" s="122"/>
      <c r="BC34234" s="141"/>
    </row>
    <row r="34235">
      <c r="BB34235" s="122"/>
      <c r="BC34235" s="141"/>
    </row>
    <row r="34236">
      <c r="BB34236" s="122"/>
      <c r="BC34236" s="141"/>
    </row>
    <row r="34237">
      <c r="BB34237" s="122"/>
      <c r="BC34237" s="141"/>
    </row>
    <row r="34238">
      <c r="BB34238" s="122"/>
      <c r="BC34238" s="141"/>
    </row>
    <row r="34239">
      <c r="BB34239" s="122"/>
      <c r="BC34239" s="141"/>
    </row>
    <row r="34240">
      <c r="BB34240" s="122"/>
      <c r="BC34240" s="141"/>
    </row>
    <row r="34241">
      <c r="BB34241" s="122"/>
      <c r="BC34241" s="141"/>
    </row>
    <row r="34242">
      <c r="BB34242" s="122"/>
      <c r="BC34242" s="141"/>
    </row>
    <row r="34243">
      <c r="BB34243" s="122"/>
      <c r="BC34243" s="141"/>
    </row>
    <row r="34244">
      <c r="BB34244" s="122"/>
      <c r="BC34244" s="141"/>
    </row>
    <row r="34245">
      <c r="BB34245" s="122"/>
      <c r="BC34245" s="141"/>
    </row>
    <row r="34246">
      <c r="BB34246" s="122"/>
      <c r="BC34246" s="141"/>
    </row>
    <row r="34247">
      <c r="BB34247" s="122"/>
      <c r="BC34247" s="141"/>
    </row>
    <row r="34248">
      <c r="BB34248" s="122"/>
      <c r="BC34248" s="141"/>
    </row>
    <row r="34249">
      <c r="BB34249" s="122"/>
      <c r="BC34249" s="141"/>
    </row>
    <row r="34250">
      <c r="BB34250" s="122"/>
      <c r="BC34250" s="141"/>
    </row>
    <row r="34251">
      <c r="BB34251" s="122"/>
      <c r="BC34251" s="141"/>
    </row>
    <row r="34252">
      <c r="BB34252" s="122"/>
      <c r="BC34252" s="141"/>
    </row>
    <row r="34253">
      <c r="BB34253" s="122"/>
      <c r="BC34253" s="141"/>
    </row>
    <row r="34254">
      <c r="BB34254" s="122"/>
      <c r="BC34254" s="141"/>
    </row>
    <row r="34255">
      <c r="BB34255" s="122"/>
      <c r="BC34255" s="141"/>
    </row>
    <row r="34256">
      <c r="BB34256" s="122"/>
      <c r="BC34256" s="141"/>
    </row>
    <row r="34257">
      <c r="BB34257" s="122"/>
      <c r="BC34257" s="141"/>
    </row>
    <row r="34258">
      <c r="BB34258" s="122"/>
      <c r="BC34258" s="141"/>
    </row>
    <row r="34259">
      <c r="BB34259" s="122"/>
      <c r="BC34259" s="141"/>
    </row>
    <row r="34260">
      <c r="BB34260" s="122"/>
      <c r="BC34260" s="141"/>
    </row>
    <row r="34261">
      <c r="BB34261" s="122"/>
      <c r="BC34261" s="141"/>
    </row>
    <row r="34262">
      <c r="BB34262" s="122"/>
      <c r="BC34262" s="141"/>
    </row>
    <row r="34263">
      <c r="BB34263" s="122"/>
      <c r="BC34263" s="141"/>
    </row>
    <row r="34264">
      <c r="BB34264" s="122"/>
      <c r="BC34264" s="141"/>
    </row>
    <row r="34265">
      <c r="BB34265" s="122"/>
      <c r="BC34265" s="141"/>
    </row>
    <row r="34266">
      <c r="BB34266" s="122"/>
      <c r="BC34266" s="141"/>
    </row>
    <row r="34267">
      <c r="BB34267" s="122"/>
      <c r="BC34267" s="141"/>
    </row>
    <row r="34268">
      <c r="BB34268" s="122"/>
      <c r="BC34268" s="141"/>
    </row>
    <row r="34269">
      <c r="BB34269" s="122"/>
      <c r="BC34269" s="141"/>
    </row>
    <row r="34270">
      <c r="BB34270" s="122"/>
      <c r="BC34270" s="141"/>
    </row>
    <row r="34271">
      <c r="BB34271" s="122"/>
      <c r="BC34271" s="141"/>
    </row>
    <row r="34272">
      <c r="BB34272" s="122"/>
      <c r="BC34272" s="141"/>
    </row>
    <row r="34273">
      <c r="BB34273" s="122"/>
      <c r="BC34273" s="141"/>
    </row>
    <row r="34274">
      <c r="BB34274" s="122"/>
      <c r="BC34274" s="141"/>
    </row>
    <row r="34275">
      <c r="BB34275" s="122"/>
      <c r="BC34275" s="141"/>
    </row>
    <row r="34276">
      <c r="BB34276" s="122"/>
      <c r="BC34276" s="141"/>
    </row>
    <row r="34277">
      <c r="BB34277" s="122"/>
      <c r="BC34277" s="141"/>
    </row>
    <row r="34278">
      <c r="BB34278" s="122"/>
      <c r="BC34278" s="141"/>
    </row>
    <row r="34279">
      <c r="BB34279" s="122"/>
      <c r="BC34279" s="141"/>
    </row>
    <row r="34280">
      <c r="BB34280" s="122"/>
      <c r="BC34280" s="141"/>
    </row>
    <row r="34281">
      <c r="BB34281" s="122"/>
      <c r="BC34281" s="141"/>
    </row>
    <row r="34282">
      <c r="BB34282" s="122"/>
      <c r="BC34282" s="141"/>
    </row>
    <row r="34283">
      <c r="BB34283" s="122"/>
      <c r="BC34283" s="141"/>
    </row>
    <row r="34284">
      <c r="BB34284" s="122"/>
      <c r="BC34284" s="141"/>
    </row>
    <row r="34285">
      <c r="BB34285" s="122"/>
      <c r="BC34285" s="141"/>
    </row>
    <row r="34286">
      <c r="BB34286" s="122"/>
      <c r="BC34286" s="141"/>
    </row>
    <row r="34287">
      <c r="BB34287" s="122"/>
      <c r="BC34287" s="141"/>
    </row>
    <row r="34288">
      <c r="BB34288" s="122"/>
      <c r="BC34288" s="141"/>
    </row>
    <row r="34289">
      <c r="BB34289" s="122"/>
      <c r="BC34289" s="141"/>
    </row>
    <row r="34290">
      <c r="BB34290" s="122"/>
      <c r="BC34290" s="141"/>
    </row>
    <row r="34291">
      <c r="BB34291" s="122"/>
      <c r="BC34291" s="141"/>
    </row>
    <row r="34292">
      <c r="BB34292" s="122"/>
      <c r="BC34292" s="141"/>
    </row>
    <row r="34293">
      <c r="BB34293" s="122"/>
      <c r="BC34293" s="141"/>
    </row>
    <row r="34294">
      <c r="BB34294" s="122"/>
      <c r="BC34294" s="141"/>
    </row>
    <row r="34295">
      <c r="BB34295" s="122"/>
      <c r="BC34295" s="141"/>
    </row>
    <row r="34296">
      <c r="BB34296" s="122"/>
      <c r="BC34296" s="141"/>
    </row>
    <row r="34297">
      <c r="BB34297" s="122"/>
      <c r="BC34297" s="141"/>
    </row>
    <row r="34298">
      <c r="BB34298" s="122"/>
      <c r="BC34298" s="141"/>
    </row>
    <row r="34299">
      <c r="BB34299" s="122"/>
      <c r="BC34299" s="141"/>
    </row>
    <row r="34300">
      <c r="BB34300" s="122"/>
      <c r="BC34300" s="141"/>
    </row>
    <row r="34301">
      <c r="BB34301" s="122"/>
      <c r="BC34301" s="141"/>
    </row>
    <row r="34302">
      <c r="BB34302" s="122"/>
      <c r="BC34302" s="141"/>
    </row>
    <row r="34303">
      <c r="BB34303" s="122"/>
      <c r="BC34303" s="141"/>
    </row>
    <row r="34304">
      <c r="BB34304" s="122"/>
      <c r="BC34304" s="141"/>
    </row>
    <row r="34305">
      <c r="BB34305" s="122"/>
      <c r="BC34305" s="141"/>
    </row>
    <row r="34306">
      <c r="BB34306" s="122"/>
      <c r="BC34306" s="141"/>
    </row>
    <row r="34307">
      <c r="BB34307" s="122"/>
      <c r="BC34307" s="141"/>
    </row>
    <row r="34308">
      <c r="BB34308" s="122"/>
      <c r="BC34308" s="141"/>
    </row>
    <row r="34309">
      <c r="BB34309" s="122"/>
      <c r="BC34309" s="141"/>
    </row>
    <row r="34310">
      <c r="BB34310" s="122"/>
      <c r="BC34310" s="141"/>
    </row>
    <row r="34311">
      <c r="BB34311" s="122"/>
      <c r="BC34311" s="141"/>
    </row>
    <row r="34312">
      <c r="BB34312" s="122"/>
      <c r="BC34312" s="141"/>
    </row>
    <row r="34313">
      <c r="BB34313" s="122"/>
      <c r="BC34313" s="141"/>
    </row>
    <row r="34314">
      <c r="BB34314" s="122"/>
      <c r="BC34314" s="141"/>
    </row>
    <row r="34315">
      <c r="BB34315" s="122"/>
      <c r="BC34315" s="141"/>
    </row>
    <row r="34316">
      <c r="BB34316" s="122"/>
      <c r="BC34316" s="141"/>
    </row>
    <row r="34317">
      <c r="BB34317" s="122"/>
      <c r="BC34317" s="141"/>
    </row>
    <row r="34318">
      <c r="BB34318" s="122"/>
      <c r="BC34318" s="141"/>
    </row>
    <row r="34319">
      <c r="BB34319" s="122"/>
      <c r="BC34319" s="141"/>
    </row>
    <row r="34320">
      <c r="BB34320" s="122"/>
      <c r="BC34320" s="141"/>
    </row>
    <row r="34321">
      <c r="BB34321" s="122"/>
      <c r="BC34321" s="141"/>
    </row>
    <row r="34322">
      <c r="BB34322" s="122"/>
      <c r="BC34322" s="141"/>
    </row>
    <row r="34323">
      <c r="BB34323" s="122"/>
      <c r="BC34323" s="141"/>
    </row>
    <row r="34324">
      <c r="BB34324" s="122"/>
      <c r="BC34324" s="141"/>
    </row>
    <row r="34325">
      <c r="BB34325" s="122"/>
      <c r="BC34325" s="141"/>
    </row>
    <row r="34326">
      <c r="BB34326" s="122"/>
      <c r="BC34326" s="141"/>
    </row>
    <row r="34327">
      <c r="BB34327" s="122"/>
      <c r="BC34327" s="141"/>
    </row>
    <row r="34328">
      <c r="BB34328" s="122"/>
      <c r="BC34328" s="141"/>
    </row>
    <row r="34329">
      <c r="BB34329" s="122"/>
      <c r="BC34329" s="141"/>
    </row>
    <row r="34330">
      <c r="BB34330" s="122"/>
      <c r="BC34330" s="141"/>
    </row>
    <row r="34331">
      <c r="BB34331" s="122"/>
      <c r="BC34331" s="141"/>
    </row>
    <row r="34332">
      <c r="BB34332" s="122"/>
      <c r="BC34332" s="141"/>
    </row>
    <row r="34333">
      <c r="BB34333" s="122"/>
      <c r="BC34333" s="141"/>
    </row>
    <row r="34334">
      <c r="BB34334" s="122"/>
      <c r="BC34334" s="141"/>
    </row>
    <row r="34335">
      <c r="BB34335" s="122"/>
      <c r="BC34335" s="141"/>
    </row>
    <row r="34336">
      <c r="BB34336" s="122"/>
      <c r="BC34336" s="141"/>
    </row>
    <row r="34337">
      <c r="BB34337" s="122"/>
      <c r="BC34337" s="141"/>
    </row>
    <row r="34338">
      <c r="BB34338" s="122"/>
      <c r="BC34338" s="141"/>
    </row>
    <row r="34339">
      <c r="BB34339" s="122"/>
      <c r="BC34339" s="141"/>
    </row>
    <row r="34340">
      <c r="BB34340" s="122"/>
      <c r="BC34340" s="141"/>
    </row>
    <row r="34341">
      <c r="BB34341" s="122"/>
      <c r="BC34341" s="141"/>
    </row>
    <row r="34342">
      <c r="BB34342" s="122"/>
      <c r="BC34342" s="141"/>
    </row>
    <row r="34343">
      <c r="BB34343" s="122"/>
      <c r="BC34343" s="141"/>
    </row>
    <row r="34344">
      <c r="BB34344" s="122"/>
      <c r="BC34344" s="141"/>
    </row>
    <row r="34345">
      <c r="BB34345" s="122"/>
      <c r="BC34345" s="141"/>
    </row>
    <row r="34346">
      <c r="BB34346" s="122"/>
      <c r="BC34346" s="141"/>
    </row>
    <row r="34347">
      <c r="BB34347" s="122"/>
      <c r="BC34347" s="141"/>
    </row>
    <row r="34348">
      <c r="BB34348" s="122"/>
      <c r="BC34348" s="141"/>
    </row>
    <row r="34349">
      <c r="BB34349" s="122"/>
      <c r="BC34349" s="141"/>
    </row>
    <row r="34350">
      <c r="BB34350" s="122"/>
      <c r="BC34350" s="141"/>
    </row>
    <row r="34351">
      <c r="BB34351" s="122"/>
      <c r="BC34351" s="141"/>
    </row>
    <row r="34352">
      <c r="BB34352" s="122"/>
      <c r="BC34352" s="141"/>
    </row>
    <row r="34353">
      <c r="BB34353" s="122"/>
      <c r="BC34353" s="141"/>
    </row>
    <row r="34354">
      <c r="BB34354" s="122"/>
      <c r="BC34354" s="141"/>
    </row>
    <row r="34355">
      <c r="BB34355" s="122"/>
      <c r="BC34355" s="141"/>
    </row>
    <row r="34356">
      <c r="BB34356" s="122"/>
      <c r="BC34356" s="141"/>
    </row>
    <row r="34357">
      <c r="BB34357" s="122"/>
      <c r="BC34357" s="141"/>
    </row>
    <row r="34358">
      <c r="BB34358" s="122"/>
      <c r="BC34358" s="141"/>
    </row>
    <row r="34359">
      <c r="BB34359" s="122"/>
      <c r="BC34359" s="141"/>
    </row>
    <row r="34360">
      <c r="BB34360" s="122"/>
      <c r="BC34360" s="141"/>
    </row>
    <row r="34361">
      <c r="BB34361" s="122"/>
      <c r="BC34361" s="141"/>
    </row>
    <row r="34362">
      <c r="BB34362" s="122"/>
      <c r="BC34362" s="141"/>
    </row>
    <row r="34363">
      <c r="BB34363" s="122"/>
      <c r="BC34363" s="141"/>
    </row>
    <row r="34364">
      <c r="BB34364" s="122"/>
      <c r="BC34364" s="141"/>
    </row>
    <row r="34365">
      <c r="BB34365" s="122"/>
      <c r="BC34365" s="141"/>
    </row>
    <row r="34366">
      <c r="BB34366" s="122"/>
      <c r="BC34366" s="141"/>
    </row>
    <row r="34367">
      <c r="BB34367" s="122"/>
      <c r="BC34367" s="141"/>
    </row>
    <row r="34368">
      <c r="BB34368" s="122"/>
      <c r="BC34368" s="141"/>
    </row>
    <row r="34369">
      <c r="BB34369" s="122"/>
      <c r="BC34369" s="141"/>
    </row>
    <row r="34370">
      <c r="BB34370" s="122"/>
      <c r="BC34370" s="141"/>
    </row>
    <row r="34371">
      <c r="BB34371" s="122"/>
      <c r="BC34371" s="141"/>
    </row>
    <row r="34372">
      <c r="BB34372" s="122"/>
      <c r="BC34372" s="141"/>
    </row>
    <row r="34373">
      <c r="BB34373" s="122"/>
      <c r="BC34373" s="141"/>
    </row>
    <row r="34374">
      <c r="BB34374" s="122"/>
      <c r="BC34374" s="141"/>
    </row>
    <row r="34375">
      <c r="BB34375" s="122"/>
      <c r="BC34375" s="141"/>
    </row>
    <row r="34376">
      <c r="BB34376" s="122"/>
      <c r="BC34376" s="141"/>
    </row>
    <row r="34377">
      <c r="BB34377" s="122"/>
      <c r="BC34377" s="141"/>
    </row>
    <row r="34378">
      <c r="BB34378" s="122"/>
      <c r="BC34378" s="141"/>
    </row>
    <row r="34379">
      <c r="BB34379" s="122"/>
      <c r="BC34379" s="141"/>
    </row>
    <row r="34380">
      <c r="BB34380" s="122"/>
      <c r="BC34380" s="141"/>
    </row>
    <row r="34381">
      <c r="BB34381" s="122"/>
      <c r="BC34381" s="141"/>
    </row>
    <row r="34382">
      <c r="BB34382" s="122"/>
      <c r="BC34382" s="141"/>
    </row>
    <row r="34383">
      <c r="BB34383" s="122"/>
      <c r="BC34383" s="141"/>
    </row>
    <row r="34384">
      <c r="BB34384" s="122"/>
      <c r="BC34384" s="141"/>
    </row>
    <row r="34385">
      <c r="BB34385" s="122"/>
      <c r="BC34385" s="141"/>
    </row>
    <row r="34386">
      <c r="BB34386" s="122"/>
      <c r="BC34386" s="141"/>
    </row>
    <row r="34387">
      <c r="BB34387" s="122"/>
      <c r="BC34387" s="141"/>
    </row>
    <row r="34388">
      <c r="BB34388" s="122"/>
      <c r="BC34388" s="141"/>
    </row>
    <row r="34389">
      <c r="BB34389" s="122"/>
      <c r="BC34389" s="141"/>
    </row>
    <row r="34390">
      <c r="BB34390" s="122"/>
      <c r="BC34390" s="141"/>
    </row>
    <row r="34391">
      <c r="BB34391" s="122"/>
      <c r="BC34391" s="141"/>
    </row>
    <row r="34392">
      <c r="BB34392" s="122"/>
      <c r="BC34392" s="141"/>
    </row>
    <row r="34393">
      <c r="BB34393" s="122"/>
      <c r="BC34393" s="141"/>
    </row>
    <row r="34394">
      <c r="BB34394" s="122"/>
      <c r="BC34394" s="141"/>
    </row>
    <row r="34395">
      <c r="BB34395" s="122"/>
      <c r="BC34395" s="141"/>
    </row>
    <row r="34396">
      <c r="BB34396" s="122"/>
      <c r="BC34396" s="141"/>
    </row>
    <row r="34397">
      <c r="BB34397" s="122"/>
      <c r="BC34397" s="141"/>
    </row>
    <row r="34398">
      <c r="BB34398" s="122"/>
      <c r="BC34398" s="141"/>
    </row>
    <row r="34399">
      <c r="BB34399" s="122"/>
      <c r="BC34399" s="141"/>
    </row>
    <row r="34400">
      <c r="BB34400" s="122"/>
      <c r="BC34400" s="141"/>
    </row>
    <row r="34401">
      <c r="BB34401" s="122"/>
      <c r="BC34401" s="141"/>
    </row>
    <row r="34402">
      <c r="BB34402" s="122"/>
      <c r="BC34402" s="141"/>
    </row>
    <row r="34403">
      <c r="BB34403" s="122"/>
      <c r="BC34403" s="141"/>
    </row>
    <row r="34404">
      <c r="BB34404" s="122"/>
      <c r="BC34404" s="141"/>
    </row>
    <row r="34405">
      <c r="BB34405" s="122"/>
      <c r="BC34405" s="141"/>
    </row>
    <row r="34406">
      <c r="BB34406" s="122"/>
      <c r="BC34406" s="141"/>
    </row>
    <row r="34407">
      <c r="BB34407" s="122"/>
      <c r="BC34407" s="141"/>
    </row>
    <row r="34408">
      <c r="BB34408" s="122"/>
      <c r="BC34408" s="141"/>
    </row>
    <row r="34409">
      <c r="BB34409" s="122"/>
      <c r="BC34409" s="141"/>
    </row>
    <row r="34410">
      <c r="BB34410" s="122"/>
      <c r="BC34410" s="141"/>
    </row>
    <row r="34411">
      <c r="BB34411" s="122"/>
      <c r="BC34411" s="141"/>
    </row>
    <row r="34412">
      <c r="BB34412" s="122"/>
      <c r="BC34412" s="141"/>
    </row>
    <row r="34413">
      <c r="BB34413" s="122"/>
      <c r="BC34413" s="141"/>
    </row>
    <row r="34414">
      <c r="BB34414" s="122"/>
      <c r="BC34414" s="141"/>
    </row>
    <row r="34415">
      <c r="BB34415" s="122"/>
      <c r="BC34415" s="141"/>
    </row>
    <row r="34416">
      <c r="BB34416" s="122"/>
      <c r="BC34416" s="141"/>
    </row>
    <row r="34417">
      <c r="BB34417" s="122"/>
      <c r="BC34417" s="141"/>
    </row>
    <row r="34418">
      <c r="BB34418" s="122"/>
      <c r="BC34418" s="141"/>
    </row>
    <row r="34419">
      <c r="BB34419" s="122"/>
      <c r="BC34419" s="141"/>
    </row>
    <row r="34420">
      <c r="BB34420" s="122"/>
      <c r="BC34420" s="141"/>
    </row>
    <row r="34421">
      <c r="BB34421" s="122"/>
      <c r="BC34421" s="141"/>
    </row>
    <row r="34422">
      <c r="BB34422" s="122"/>
      <c r="BC34422" s="141"/>
    </row>
    <row r="34423">
      <c r="BB34423" s="122"/>
      <c r="BC34423" s="141"/>
    </row>
    <row r="34424">
      <c r="BB34424" s="122"/>
      <c r="BC34424" s="141"/>
    </row>
    <row r="34425">
      <c r="BB34425" s="122"/>
      <c r="BC34425" s="141"/>
    </row>
    <row r="34426">
      <c r="BB34426" s="122"/>
      <c r="BC34426" s="141"/>
    </row>
    <row r="34427">
      <c r="BB34427" s="122"/>
      <c r="BC34427" s="141"/>
    </row>
    <row r="34428">
      <c r="BB34428" s="122"/>
      <c r="BC34428" s="141"/>
    </row>
    <row r="34429">
      <c r="BB34429" s="122"/>
      <c r="BC34429" s="141"/>
    </row>
    <row r="34430">
      <c r="BB34430" s="122"/>
      <c r="BC34430" s="141"/>
    </row>
    <row r="34431">
      <c r="BB34431" s="122"/>
      <c r="BC34431" s="141"/>
    </row>
    <row r="34432">
      <c r="BB34432" s="122"/>
      <c r="BC34432" s="141"/>
    </row>
    <row r="34433">
      <c r="BB34433" s="122"/>
      <c r="BC34433" s="141"/>
    </row>
    <row r="34434">
      <c r="BB34434" s="122"/>
      <c r="BC34434" s="141"/>
    </row>
    <row r="34435">
      <c r="BB34435" s="122"/>
      <c r="BC34435" s="141"/>
    </row>
    <row r="34436">
      <c r="BB34436" s="122"/>
      <c r="BC34436" s="141"/>
    </row>
    <row r="34437">
      <c r="BB34437" s="122"/>
      <c r="BC34437" s="141"/>
    </row>
    <row r="34438">
      <c r="BB34438" s="122"/>
      <c r="BC34438" s="141"/>
    </row>
    <row r="34439">
      <c r="BB34439" s="122"/>
      <c r="BC34439" s="141"/>
    </row>
    <row r="34440">
      <c r="BB34440" s="122"/>
      <c r="BC34440" s="141"/>
    </row>
    <row r="34441">
      <c r="BB34441" s="122"/>
      <c r="BC34441" s="141"/>
    </row>
    <row r="34442">
      <c r="BB34442" s="122"/>
      <c r="BC34442" s="141"/>
    </row>
    <row r="34443">
      <c r="BB34443" s="122"/>
      <c r="BC34443" s="141"/>
    </row>
    <row r="34444">
      <c r="BB34444" s="122"/>
      <c r="BC34444" s="141"/>
    </row>
    <row r="34445">
      <c r="BB34445" s="122"/>
      <c r="BC34445" s="141"/>
    </row>
    <row r="34446">
      <c r="BB34446" s="122"/>
      <c r="BC34446" s="141"/>
    </row>
    <row r="34447">
      <c r="BB34447" s="122"/>
      <c r="BC34447" s="141"/>
    </row>
    <row r="34448">
      <c r="BB34448" s="122"/>
      <c r="BC34448" s="141"/>
    </row>
    <row r="34449">
      <c r="BB34449" s="122"/>
      <c r="BC34449" s="141"/>
    </row>
    <row r="34450">
      <c r="BB34450" s="122"/>
      <c r="BC34450" s="141"/>
    </row>
    <row r="34451">
      <c r="BB34451" s="122"/>
      <c r="BC34451" s="141"/>
    </row>
    <row r="34452">
      <c r="BB34452" s="122"/>
      <c r="BC34452" s="141"/>
    </row>
    <row r="34453">
      <c r="BB34453" s="122"/>
      <c r="BC34453" s="141"/>
    </row>
    <row r="34454">
      <c r="BB34454" s="122"/>
      <c r="BC34454" s="141"/>
    </row>
    <row r="34455">
      <c r="BB34455" s="122"/>
      <c r="BC34455" s="141"/>
    </row>
    <row r="34456">
      <c r="BB34456" s="122"/>
      <c r="BC34456" s="141"/>
    </row>
    <row r="34457">
      <c r="BB34457" s="122"/>
      <c r="BC34457" s="141"/>
    </row>
    <row r="34458">
      <c r="BB34458" s="122"/>
      <c r="BC34458" s="141"/>
    </row>
    <row r="34459">
      <c r="BB34459" s="122"/>
      <c r="BC34459" s="141"/>
    </row>
    <row r="34460">
      <c r="BB34460" s="122"/>
      <c r="BC34460" s="141"/>
    </row>
    <row r="34461">
      <c r="BB34461" s="122"/>
      <c r="BC34461" s="141"/>
    </row>
    <row r="34462">
      <c r="BB34462" s="122"/>
      <c r="BC34462" s="141"/>
    </row>
    <row r="34463">
      <c r="BB34463" s="122"/>
      <c r="BC34463" s="141"/>
    </row>
    <row r="34464">
      <c r="BB34464" s="122"/>
      <c r="BC34464" s="141"/>
    </row>
    <row r="34465">
      <c r="BB34465" s="122"/>
      <c r="BC34465" s="141"/>
    </row>
    <row r="34466">
      <c r="BB34466" s="122"/>
      <c r="BC34466" s="141"/>
    </row>
    <row r="34467">
      <c r="BB34467" s="122"/>
      <c r="BC34467" s="141"/>
    </row>
    <row r="34468">
      <c r="BB34468" s="122"/>
      <c r="BC34468" s="141"/>
    </row>
    <row r="34469">
      <c r="BB34469" s="122"/>
      <c r="BC34469" s="141"/>
    </row>
    <row r="34470">
      <c r="BB34470" s="122"/>
      <c r="BC34470" s="141"/>
    </row>
    <row r="34471">
      <c r="BB34471" s="122"/>
      <c r="BC34471" s="141"/>
    </row>
    <row r="34472">
      <c r="BB34472" s="122"/>
      <c r="BC34472" s="141"/>
    </row>
    <row r="34473">
      <c r="BB34473" s="122"/>
      <c r="BC34473" s="141"/>
    </row>
    <row r="34474">
      <c r="BB34474" s="122"/>
      <c r="BC34474" s="141"/>
    </row>
    <row r="34475">
      <c r="BB34475" s="122"/>
      <c r="BC34475" s="141"/>
    </row>
    <row r="34476">
      <c r="BB34476" s="122"/>
      <c r="BC34476" s="141"/>
    </row>
    <row r="34477">
      <c r="BB34477" s="122"/>
      <c r="BC34477" s="141"/>
    </row>
    <row r="34478">
      <c r="BB34478" s="122"/>
      <c r="BC34478" s="141"/>
    </row>
    <row r="34479">
      <c r="BB34479" s="122"/>
      <c r="BC34479" s="141"/>
    </row>
    <row r="34480">
      <c r="BB34480" s="122"/>
      <c r="BC34480" s="141"/>
    </row>
    <row r="34481">
      <c r="BB34481" s="122"/>
      <c r="BC34481" s="141"/>
    </row>
    <row r="34482">
      <c r="BB34482" s="122"/>
      <c r="BC34482" s="141"/>
    </row>
    <row r="34483">
      <c r="BB34483" s="122"/>
      <c r="BC34483" s="141"/>
    </row>
    <row r="34484">
      <c r="BB34484" s="122"/>
      <c r="BC34484" s="141"/>
    </row>
    <row r="34485">
      <c r="BB34485" s="122"/>
      <c r="BC34485" s="141"/>
    </row>
    <row r="34486">
      <c r="BB34486" s="122"/>
      <c r="BC34486" s="141"/>
    </row>
    <row r="34487">
      <c r="BB34487" s="122"/>
      <c r="BC34487" s="141"/>
    </row>
    <row r="34488">
      <c r="BB34488" s="122"/>
      <c r="BC34488" s="141"/>
    </row>
    <row r="34489">
      <c r="BB34489" s="122"/>
      <c r="BC34489" s="141"/>
    </row>
    <row r="34490">
      <c r="BB34490" s="122"/>
      <c r="BC34490" s="141"/>
    </row>
    <row r="34491">
      <c r="BB34491" s="122"/>
      <c r="BC34491" s="141"/>
    </row>
    <row r="34492">
      <c r="BB34492" s="122"/>
      <c r="BC34492" s="141"/>
    </row>
    <row r="34493">
      <c r="BB34493" s="122"/>
      <c r="BC34493" s="141"/>
    </row>
    <row r="34494">
      <c r="BB34494" s="122"/>
      <c r="BC34494" s="141"/>
    </row>
    <row r="34495">
      <c r="BB34495" s="122"/>
      <c r="BC34495" s="141"/>
    </row>
    <row r="34496">
      <c r="BB34496" s="122"/>
      <c r="BC34496" s="141"/>
    </row>
    <row r="34497">
      <c r="BB34497" s="122"/>
      <c r="BC34497" s="141"/>
    </row>
    <row r="34498">
      <c r="BB34498" s="122"/>
      <c r="BC34498" s="141"/>
    </row>
    <row r="34499">
      <c r="BB34499" s="122"/>
      <c r="BC34499" s="141"/>
    </row>
    <row r="34500">
      <c r="BB34500" s="122"/>
      <c r="BC34500" s="141"/>
    </row>
    <row r="34501">
      <c r="BB34501" s="122"/>
      <c r="BC34501" s="141"/>
    </row>
    <row r="34502">
      <c r="BB34502" s="122"/>
      <c r="BC34502" s="141"/>
    </row>
    <row r="34503">
      <c r="BB34503" s="122"/>
      <c r="BC34503" s="141"/>
    </row>
    <row r="34504">
      <c r="BB34504" s="122"/>
      <c r="BC34504" s="141"/>
    </row>
    <row r="34505">
      <c r="BB34505" s="122"/>
      <c r="BC34505" s="141"/>
    </row>
    <row r="34506">
      <c r="BB34506" s="122"/>
      <c r="BC34506" s="141"/>
    </row>
    <row r="34507">
      <c r="BB34507" s="122"/>
      <c r="BC34507" s="141"/>
    </row>
    <row r="34508">
      <c r="BB34508" s="122"/>
      <c r="BC34508" s="141"/>
    </row>
    <row r="34509">
      <c r="BB34509" s="122"/>
      <c r="BC34509" s="141"/>
    </row>
    <row r="34510">
      <c r="BB34510" s="122"/>
      <c r="BC34510" s="141"/>
    </row>
    <row r="34511">
      <c r="BB34511" s="122"/>
      <c r="BC34511" s="141"/>
    </row>
    <row r="34512">
      <c r="BB34512" s="122"/>
      <c r="BC34512" s="141"/>
    </row>
    <row r="34513">
      <c r="BB34513" s="122"/>
      <c r="BC34513" s="141"/>
    </row>
    <row r="34514">
      <c r="BB34514" s="122"/>
      <c r="BC34514" s="141"/>
    </row>
    <row r="34515">
      <c r="BB34515" s="122"/>
      <c r="BC34515" s="141"/>
    </row>
    <row r="34516">
      <c r="BB34516" s="122"/>
      <c r="BC34516" s="141"/>
    </row>
    <row r="34517">
      <c r="BB34517" s="122"/>
      <c r="BC34517" s="141"/>
    </row>
    <row r="34518">
      <c r="BB34518" s="122"/>
      <c r="BC34518" s="141"/>
    </row>
    <row r="34519">
      <c r="BB34519" s="122"/>
      <c r="BC34519" s="141"/>
    </row>
    <row r="34520">
      <c r="BB34520" s="122"/>
      <c r="BC34520" s="141"/>
    </row>
    <row r="34521">
      <c r="BB34521" s="122"/>
      <c r="BC34521" s="141"/>
    </row>
    <row r="34522">
      <c r="BB34522" s="122"/>
      <c r="BC34522" s="141"/>
    </row>
    <row r="34523">
      <c r="BB34523" s="122"/>
      <c r="BC34523" s="141"/>
    </row>
    <row r="34524">
      <c r="BB34524" s="122"/>
      <c r="BC34524" s="141"/>
    </row>
    <row r="34525">
      <c r="BB34525" s="122"/>
      <c r="BC34525" s="141"/>
    </row>
    <row r="34526">
      <c r="BB34526" s="122"/>
      <c r="BC34526" s="141"/>
    </row>
    <row r="34527">
      <c r="BB34527" s="122"/>
      <c r="BC34527" s="141"/>
    </row>
    <row r="34528">
      <c r="BB34528" s="122"/>
      <c r="BC34528" s="141"/>
    </row>
    <row r="34529">
      <c r="BB34529" s="122"/>
      <c r="BC34529" s="141"/>
    </row>
    <row r="34530">
      <c r="BB34530" s="122"/>
      <c r="BC34530" s="141"/>
    </row>
    <row r="34531">
      <c r="BB34531" s="122"/>
      <c r="BC34531" s="141"/>
    </row>
    <row r="34532">
      <c r="BB34532" s="122"/>
      <c r="BC34532" s="141"/>
    </row>
    <row r="34533">
      <c r="BB34533" s="122"/>
      <c r="BC34533" s="141"/>
    </row>
    <row r="34534">
      <c r="BB34534" s="122"/>
      <c r="BC34534" s="141"/>
    </row>
    <row r="34535">
      <c r="BB34535" s="122"/>
      <c r="BC34535" s="141"/>
    </row>
    <row r="34536">
      <c r="BB34536" s="122"/>
      <c r="BC34536" s="141"/>
    </row>
    <row r="34537">
      <c r="BB34537" s="122"/>
      <c r="BC34537" s="141"/>
    </row>
    <row r="34538">
      <c r="BB34538" s="122"/>
      <c r="BC34538" s="141"/>
    </row>
    <row r="34539">
      <c r="BB34539" s="122"/>
      <c r="BC34539" s="141"/>
    </row>
    <row r="34540">
      <c r="BB34540" s="122"/>
      <c r="BC34540" s="141"/>
    </row>
    <row r="34541">
      <c r="BB34541" s="122"/>
      <c r="BC34541" s="141"/>
    </row>
    <row r="34542">
      <c r="BB34542" s="122"/>
      <c r="BC34542" s="141"/>
    </row>
    <row r="34543">
      <c r="BB34543" s="122"/>
      <c r="BC34543" s="141"/>
    </row>
    <row r="34544">
      <c r="BB34544" s="122"/>
      <c r="BC34544" s="141"/>
    </row>
    <row r="34545">
      <c r="BB34545" s="122"/>
      <c r="BC34545" s="141"/>
    </row>
    <row r="34546">
      <c r="BB34546" s="122"/>
      <c r="BC34546" s="141"/>
    </row>
    <row r="34547">
      <c r="BB34547" s="122"/>
      <c r="BC34547" s="141"/>
    </row>
    <row r="34548">
      <c r="BB34548" s="122"/>
      <c r="BC34548" s="141"/>
    </row>
    <row r="34549">
      <c r="BB34549" s="122"/>
      <c r="BC34549" s="141"/>
    </row>
    <row r="34550">
      <c r="BB34550" s="122"/>
      <c r="BC34550" s="141"/>
    </row>
    <row r="34551">
      <c r="BB34551" s="122"/>
      <c r="BC34551" s="141"/>
    </row>
    <row r="34552">
      <c r="BB34552" s="122"/>
      <c r="BC34552" s="141"/>
    </row>
    <row r="34553">
      <c r="BB34553" s="122"/>
      <c r="BC34553" s="141"/>
    </row>
    <row r="34554">
      <c r="BB34554" s="122"/>
      <c r="BC34554" s="141"/>
    </row>
    <row r="34555">
      <c r="BB34555" s="122"/>
      <c r="BC34555" s="141"/>
    </row>
    <row r="34556">
      <c r="BB34556" s="122"/>
      <c r="BC34556" s="141"/>
    </row>
    <row r="34557">
      <c r="BB34557" s="122"/>
      <c r="BC34557" s="141"/>
    </row>
    <row r="34558">
      <c r="BB34558" s="122"/>
      <c r="BC34558" s="141"/>
    </row>
    <row r="34559">
      <c r="BB34559" s="122"/>
      <c r="BC34559" s="141"/>
    </row>
    <row r="34560">
      <c r="BB34560" s="122"/>
      <c r="BC34560" s="141"/>
    </row>
    <row r="34561">
      <c r="BB34561" s="122"/>
      <c r="BC34561" s="141"/>
    </row>
    <row r="34562">
      <c r="BB34562" s="122"/>
      <c r="BC34562" s="141"/>
    </row>
    <row r="34563">
      <c r="BB34563" s="122"/>
      <c r="BC34563" s="141"/>
    </row>
    <row r="34564">
      <c r="BB34564" s="122"/>
      <c r="BC34564" s="141"/>
    </row>
    <row r="34565">
      <c r="BB34565" s="122"/>
      <c r="BC34565" s="141"/>
    </row>
    <row r="34566">
      <c r="BB34566" s="122"/>
      <c r="BC34566" s="141"/>
    </row>
    <row r="34567">
      <c r="BB34567" s="122"/>
      <c r="BC34567" s="141"/>
    </row>
    <row r="34568">
      <c r="BB34568" s="122"/>
      <c r="BC34568" s="141"/>
    </row>
    <row r="34569">
      <c r="BB34569" s="122"/>
      <c r="BC34569" s="141"/>
    </row>
    <row r="34570">
      <c r="BB34570" s="122"/>
      <c r="BC34570" s="141"/>
    </row>
    <row r="34571">
      <c r="BB34571" s="122"/>
      <c r="BC34571" s="141"/>
    </row>
    <row r="34572">
      <c r="BB34572" s="122"/>
      <c r="BC34572" s="141"/>
    </row>
    <row r="34573">
      <c r="BB34573" s="122"/>
      <c r="BC34573" s="141"/>
    </row>
    <row r="34574">
      <c r="BB34574" s="122"/>
      <c r="BC34574" s="141"/>
    </row>
    <row r="34575">
      <c r="BB34575" s="122"/>
      <c r="BC34575" s="141"/>
    </row>
    <row r="34576">
      <c r="BB34576" s="122"/>
      <c r="BC34576" s="141"/>
    </row>
    <row r="34577">
      <c r="BB34577" s="122"/>
      <c r="BC34577" s="141"/>
    </row>
    <row r="34578">
      <c r="BB34578" s="122"/>
      <c r="BC34578" s="141"/>
    </row>
    <row r="34579">
      <c r="BB34579" s="122"/>
      <c r="BC34579" s="141"/>
    </row>
    <row r="34580">
      <c r="BB34580" s="122"/>
      <c r="BC34580" s="141"/>
    </row>
    <row r="34581">
      <c r="BB34581" s="122"/>
      <c r="BC34581" s="141"/>
    </row>
    <row r="34582">
      <c r="BB34582" s="122"/>
      <c r="BC34582" s="141"/>
    </row>
    <row r="34583">
      <c r="BB34583" s="122"/>
      <c r="BC34583" s="141"/>
    </row>
    <row r="34584">
      <c r="BB34584" s="122"/>
      <c r="BC34584" s="141"/>
    </row>
    <row r="34585">
      <c r="BB34585" s="122"/>
      <c r="BC34585" s="141"/>
    </row>
    <row r="34586">
      <c r="BB34586" s="122"/>
      <c r="BC34586" s="141"/>
    </row>
    <row r="34587">
      <c r="BB34587" s="122"/>
      <c r="BC34587" s="141"/>
    </row>
    <row r="34588">
      <c r="BB34588" s="122"/>
      <c r="BC34588" s="141"/>
    </row>
    <row r="34589">
      <c r="BB34589" s="122"/>
      <c r="BC34589" s="141"/>
    </row>
    <row r="34590">
      <c r="BB34590" s="122"/>
      <c r="BC34590" s="141"/>
    </row>
    <row r="34591">
      <c r="BB34591" s="122"/>
      <c r="BC34591" s="141"/>
    </row>
    <row r="34592">
      <c r="BB34592" s="122"/>
      <c r="BC34592" s="141"/>
    </row>
    <row r="34593">
      <c r="BB34593" s="122"/>
      <c r="BC34593" s="141"/>
    </row>
    <row r="34594">
      <c r="BB34594" s="122"/>
      <c r="BC34594" s="141"/>
    </row>
    <row r="34595">
      <c r="BB34595" s="122"/>
      <c r="BC34595" s="141"/>
    </row>
    <row r="34596">
      <c r="BB34596" s="122"/>
      <c r="BC34596" s="141"/>
    </row>
    <row r="34597">
      <c r="BB34597" s="122"/>
      <c r="BC34597" s="141"/>
    </row>
    <row r="34598">
      <c r="BB34598" s="122"/>
      <c r="BC34598" s="141"/>
    </row>
    <row r="34599">
      <c r="BB34599" s="122"/>
      <c r="BC34599" s="141"/>
    </row>
    <row r="34600">
      <c r="BB34600" s="122"/>
      <c r="BC34600" s="141"/>
    </row>
    <row r="34601">
      <c r="BB34601" s="122"/>
      <c r="BC34601" s="141"/>
    </row>
    <row r="34602">
      <c r="BB34602" s="122"/>
      <c r="BC34602" s="141"/>
    </row>
    <row r="34603">
      <c r="BB34603" s="122"/>
      <c r="BC34603" s="141"/>
    </row>
    <row r="34604">
      <c r="BB34604" s="122"/>
      <c r="BC34604" s="141"/>
    </row>
    <row r="34605">
      <c r="BB34605" s="122"/>
      <c r="BC34605" s="141"/>
    </row>
    <row r="34606">
      <c r="BB34606" s="122"/>
      <c r="BC34606" s="141"/>
    </row>
    <row r="34607">
      <c r="BB34607" s="122"/>
      <c r="BC34607" s="141"/>
    </row>
    <row r="34608">
      <c r="BB34608" s="122"/>
      <c r="BC34608" s="141"/>
    </row>
    <row r="34609">
      <c r="BB34609" s="122"/>
      <c r="BC34609" s="141"/>
    </row>
    <row r="34610">
      <c r="BB34610" s="122"/>
      <c r="BC34610" s="141"/>
    </row>
    <row r="34611">
      <c r="BB34611" s="122"/>
      <c r="BC34611" s="141"/>
    </row>
    <row r="34612">
      <c r="BB34612" s="122"/>
      <c r="BC34612" s="141"/>
    </row>
    <row r="34613">
      <c r="BB34613" s="122"/>
      <c r="BC34613" s="141"/>
    </row>
    <row r="34614">
      <c r="BB34614" s="122"/>
      <c r="BC34614" s="141"/>
    </row>
    <row r="34615">
      <c r="BB34615" s="122"/>
      <c r="BC34615" s="141"/>
    </row>
    <row r="34616">
      <c r="BB34616" s="122"/>
      <c r="BC34616" s="141"/>
    </row>
    <row r="34617">
      <c r="BB34617" s="122"/>
      <c r="BC34617" s="141"/>
    </row>
    <row r="34618">
      <c r="BB34618" s="122"/>
      <c r="BC34618" s="141"/>
    </row>
    <row r="34619">
      <c r="BB34619" s="122"/>
      <c r="BC34619" s="141"/>
    </row>
    <row r="34620">
      <c r="BB34620" s="122"/>
      <c r="BC34620" s="141"/>
    </row>
    <row r="34621">
      <c r="BB34621" s="122"/>
      <c r="BC34621" s="141"/>
    </row>
    <row r="34622">
      <c r="BB34622" s="122"/>
      <c r="BC34622" s="141"/>
    </row>
    <row r="34623">
      <c r="BB34623" s="122"/>
      <c r="BC34623" s="141"/>
    </row>
    <row r="34624">
      <c r="BB34624" s="122"/>
      <c r="BC34624" s="141"/>
    </row>
    <row r="34625">
      <c r="BB34625" s="122"/>
      <c r="BC34625" s="141"/>
    </row>
    <row r="34626">
      <c r="BB34626" s="122"/>
      <c r="BC34626" s="141"/>
    </row>
    <row r="34627">
      <c r="BB34627" s="122"/>
      <c r="BC34627" s="141"/>
    </row>
    <row r="34628">
      <c r="BB34628" s="122"/>
      <c r="BC34628" s="141"/>
    </row>
    <row r="34629">
      <c r="BB34629" s="122"/>
      <c r="BC34629" s="141"/>
    </row>
    <row r="34630">
      <c r="BB34630" s="122"/>
      <c r="BC34630" s="141"/>
    </row>
    <row r="34631">
      <c r="BB34631" s="122"/>
      <c r="BC34631" s="141"/>
    </row>
    <row r="34632">
      <c r="BB34632" s="122"/>
      <c r="BC34632" s="141"/>
    </row>
    <row r="34633">
      <c r="BB34633" s="122"/>
      <c r="BC34633" s="141"/>
    </row>
    <row r="34634">
      <c r="BB34634" s="122"/>
      <c r="BC34634" s="141"/>
    </row>
    <row r="34635">
      <c r="BB34635" s="122"/>
      <c r="BC34635" s="141"/>
    </row>
    <row r="34636">
      <c r="BB34636" s="122"/>
      <c r="BC34636" s="141"/>
    </row>
    <row r="34637">
      <c r="BB34637" s="122"/>
      <c r="BC34637" s="141"/>
    </row>
    <row r="34638">
      <c r="BB34638" s="122"/>
      <c r="BC34638" s="141"/>
    </row>
    <row r="34639">
      <c r="BB34639" s="122"/>
      <c r="BC34639" s="141"/>
    </row>
    <row r="34640">
      <c r="BB34640" s="122"/>
      <c r="BC34640" s="141"/>
    </row>
    <row r="34641">
      <c r="BB34641" s="122"/>
      <c r="BC34641" s="141"/>
    </row>
    <row r="34642">
      <c r="BB34642" s="122"/>
      <c r="BC34642" s="141"/>
    </row>
    <row r="34643">
      <c r="BB34643" s="122"/>
      <c r="BC34643" s="141"/>
    </row>
    <row r="34644">
      <c r="BB34644" s="122"/>
      <c r="BC34644" s="141"/>
    </row>
    <row r="34645">
      <c r="BB34645" s="122"/>
      <c r="BC34645" s="141"/>
    </row>
    <row r="34646">
      <c r="BB34646" s="122"/>
      <c r="BC34646" s="141"/>
    </row>
    <row r="34647">
      <c r="BB34647" s="122"/>
      <c r="BC34647" s="141"/>
    </row>
    <row r="34648">
      <c r="BB34648" s="122"/>
      <c r="BC34648" s="141"/>
    </row>
    <row r="34649">
      <c r="BB34649" s="122"/>
      <c r="BC34649" s="141"/>
    </row>
    <row r="34650">
      <c r="BB34650" s="122"/>
      <c r="BC34650" s="141"/>
    </row>
    <row r="34651">
      <c r="BB34651" s="122"/>
      <c r="BC34651" s="141"/>
    </row>
    <row r="34652">
      <c r="BB34652" s="122"/>
      <c r="BC34652" s="141"/>
    </row>
    <row r="34653">
      <c r="BB34653" s="122"/>
      <c r="BC34653" s="141"/>
    </row>
    <row r="34654">
      <c r="BB34654" s="122"/>
      <c r="BC34654" s="141"/>
    </row>
    <row r="34655">
      <c r="BB34655" s="122"/>
      <c r="BC34655" s="141"/>
    </row>
    <row r="34656">
      <c r="BB34656" s="122"/>
      <c r="BC34656" s="141"/>
    </row>
    <row r="34657">
      <c r="BB34657" s="122"/>
      <c r="BC34657" s="141"/>
    </row>
    <row r="34658">
      <c r="BB34658" s="122"/>
      <c r="BC34658" s="141"/>
    </row>
    <row r="34659">
      <c r="BB34659" s="122"/>
      <c r="BC34659" s="141"/>
    </row>
    <row r="34660">
      <c r="BB34660" s="122"/>
      <c r="BC34660" s="141"/>
    </row>
    <row r="34661">
      <c r="BB34661" s="122"/>
      <c r="BC34661" s="141"/>
    </row>
    <row r="34662">
      <c r="BB34662" s="122"/>
      <c r="BC34662" s="141"/>
    </row>
    <row r="34663">
      <c r="BB34663" s="122"/>
      <c r="BC34663" s="141"/>
    </row>
    <row r="34664">
      <c r="BB34664" s="122"/>
      <c r="BC34664" s="141"/>
    </row>
    <row r="34665">
      <c r="BB34665" s="122"/>
      <c r="BC34665" s="141"/>
    </row>
    <row r="34666">
      <c r="BB34666" s="122"/>
      <c r="BC34666" s="141"/>
    </row>
    <row r="34667">
      <c r="BB34667" s="122"/>
      <c r="BC34667" s="141"/>
    </row>
    <row r="34668">
      <c r="BB34668" s="122"/>
      <c r="BC34668" s="141"/>
    </row>
    <row r="34669">
      <c r="BB34669" s="122"/>
      <c r="BC34669" s="141"/>
    </row>
    <row r="34670">
      <c r="BB34670" s="122"/>
      <c r="BC34670" s="141"/>
    </row>
    <row r="34671">
      <c r="BB34671" s="122"/>
      <c r="BC34671" s="141"/>
    </row>
    <row r="34672">
      <c r="BB34672" s="122"/>
      <c r="BC34672" s="141"/>
    </row>
    <row r="34673">
      <c r="BB34673" s="122"/>
      <c r="BC34673" s="141"/>
    </row>
    <row r="34674">
      <c r="BB34674" s="122"/>
      <c r="BC34674" s="141"/>
    </row>
    <row r="34675">
      <c r="BB34675" s="122"/>
      <c r="BC34675" s="141"/>
    </row>
    <row r="34676">
      <c r="BB34676" s="122"/>
      <c r="BC34676" s="141"/>
    </row>
    <row r="34677">
      <c r="BB34677" s="122"/>
      <c r="BC34677" s="141"/>
    </row>
    <row r="34678">
      <c r="BB34678" s="122"/>
      <c r="BC34678" s="141"/>
    </row>
    <row r="34679">
      <c r="BB34679" s="122"/>
      <c r="BC34679" s="141"/>
    </row>
    <row r="34680">
      <c r="BB34680" s="122"/>
      <c r="BC34680" s="141"/>
    </row>
    <row r="34681">
      <c r="BB34681" s="122"/>
      <c r="BC34681" s="141"/>
    </row>
    <row r="34682">
      <c r="BB34682" s="122"/>
      <c r="BC34682" s="141"/>
    </row>
    <row r="34683">
      <c r="BB34683" s="122"/>
      <c r="BC34683" s="141"/>
    </row>
    <row r="34684">
      <c r="BB34684" s="122"/>
      <c r="BC34684" s="141"/>
    </row>
    <row r="34685">
      <c r="BB34685" s="122"/>
      <c r="BC34685" s="141"/>
    </row>
    <row r="34686">
      <c r="BB34686" s="122"/>
      <c r="BC34686" s="141"/>
    </row>
    <row r="34687">
      <c r="BB34687" s="122"/>
      <c r="BC34687" s="141"/>
    </row>
    <row r="34688">
      <c r="BB34688" s="122"/>
      <c r="BC34688" s="141"/>
    </row>
    <row r="34689">
      <c r="BB34689" s="122"/>
      <c r="BC34689" s="141"/>
    </row>
    <row r="34690">
      <c r="BB34690" s="122"/>
      <c r="BC34690" s="141"/>
    </row>
    <row r="34691">
      <c r="BB34691" s="122"/>
      <c r="BC34691" s="141"/>
    </row>
    <row r="34692">
      <c r="BB34692" s="122"/>
      <c r="BC34692" s="141"/>
    </row>
    <row r="34693">
      <c r="BB34693" s="122"/>
      <c r="BC34693" s="141"/>
    </row>
    <row r="34694">
      <c r="BB34694" s="122"/>
      <c r="BC34694" s="141"/>
    </row>
    <row r="34695">
      <c r="BB34695" s="122"/>
      <c r="BC34695" s="141"/>
    </row>
    <row r="34696">
      <c r="BB34696" s="122"/>
      <c r="BC34696" s="141"/>
    </row>
    <row r="34697">
      <c r="BB34697" s="122"/>
      <c r="BC34697" s="141"/>
    </row>
    <row r="34698">
      <c r="BB34698" s="122"/>
      <c r="BC34698" s="141"/>
    </row>
    <row r="34699">
      <c r="BB34699" s="122"/>
      <c r="BC34699" s="141"/>
    </row>
    <row r="34700">
      <c r="BB34700" s="122"/>
      <c r="BC34700" s="141"/>
    </row>
    <row r="34701">
      <c r="BB34701" s="122"/>
      <c r="BC34701" s="141"/>
    </row>
    <row r="34702">
      <c r="BB34702" s="122"/>
      <c r="BC34702" s="141"/>
    </row>
    <row r="34703">
      <c r="BB34703" s="122"/>
      <c r="BC34703" s="141"/>
    </row>
    <row r="34704">
      <c r="BB34704" s="122"/>
      <c r="BC34704" s="141"/>
    </row>
    <row r="34705">
      <c r="BB34705" s="122"/>
      <c r="BC34705" s="141"/>
    </row>
    <row r="34706">
      <c r="BB34706" s="122"/>
      <c r="BC34706" s="141"/>
    </row>
    <row r="34707">
      <c r="BB34707" s="122"/>
      <c r="BC34707" s="141"/>
    </row>
    <row r="34708">
      <c r="BB34708" s="122"/>
      <c r="BC34708" s="141"/>
    </row>
    <row r="34709">
      <c r="BB34709" s="122"/>
      <c r="BC34709" s="141"/>
    </row>
    <row r="34710">
      <c r="BB34710" s="122"/>
      <c r="BC34710" s="141"/>
    </row>
    <row r="34711">
      <c r="BB34711" s="122"/>
      <c r="BC34711" s="141"/>
    </row>
    <row r="34712">
      <c r="BB34712" s="122"/>
      <c r="BC34712" s="141"/>
    </row>
    <row r="34713">
      <c r="BB34713" s="122"/>
      <c r="BC34713" s="141"/>
    </row>
    <row r="34714">
      <c r="BB34714" s="122"/>
      <c r="BC34714" s="141"/>
    </row>
    <row r="34715">
      <c r="BB34715" s="122"/>
      <c r="BC34715" s="141"/>
    </row>
    <row r="34716">
      <c r="BB34716" s="122"/>
      <c r="BC34716" s="141"/>
    </row>
    <row r="34717">
      <c r="BB34717" s="122"/>
      <c r="BC34717" s="141"/>
    </row>
    <row r="34718">
      <c r="BB34718" s="122"/>
      <c r="BC34718" s="141"/>
    </row>
    <row r="34719">
      <c r="BB34719" s="122"/>
      <c r="BC34719" s="141"/>
    </row>
    <row r="34720">
      <c r="BB34720" s="122"/>
      <c r="BC34720" s="141"/>
    </row>
    <row r="34721">
      <c r="BB34721" s="122"/>
      <c r="BC34721" s="141"/>
    </row>
    <row r="34722">
      <c r="BB34722" s="122"/>
      <c r="BC34722" s="141"/>
    </row>
    <row r="34723">
      <c r="BB34723" s="122"/>
      <c r="BC34723" s="141"/>
    </row>
    <row r="34724">
      <c r="BB34724" s="122"/>
      <c r="BC34724" s="141"/>
    </row>
    <row r="34725">
      <c r="BB34725" s="122"/>
      <c r="BC34725" s="141"/>
    </row>
    <row r="34726">
      <c r="BB34726" s="122"/>
      <c r="BC34726" s="141"/>
    </row>
    <row r="34727">
      <c r="BB34727" s="122"/>
      <c r="BC34727" s="141"/>
    </row>
    <row r="34728">
      <c r="BB34728" s="122"/>
      <c r="BC34728" s="141"/>
    </row>
    <row r="34729">
      <c r="BB34729" s="122"/>
      <c r="BC34729" s="141"/>
    </row>
    <row r="34730">
      <c r="BB34730" s="122"/>
      <c r="BC34730" s="141"/>
    </row>
    <row r="34731">
      <c r="BB34731" s="122"/>
      <c r="BC34731" s="141"/>
    </row>
    <row r="34732">
      <c r="BB34732" s="122"/>
      <c r="BC34732" s="141"/>
    </row>
    <row r="34733">
      <c r="BB34733" s="122"/>
      <c r="BC34733" s="141"/>
    </row>
    <row r="34734">
      <c r="BB34734" s="122"/>
      <c r="BC34734" s="141"/>
    </row>
    <row r="34735">
      <c r="BB34735" s="122"/>
      <c r="BC34735" s="141"/>
    </row>
    <row r="34736">
      <c r="BB34736" s="122"/>
      <c r="BC34736" s="141"/>
    </row>
    <row r="34737">
      <c r="BB34737" s="122"/>
      <c r="BC34737" s="141"/>
    </row>
    <row r="34738">
      <c r="BB34738" s="122"/>
      <c r="BC34738" s="141"/>
    </row>
    <row r="34739">
      <c r="BB34739" s="122"/>
      <c r="BC34739" s="141"/>
    </row>
    <row r="34740">
      <c r="BB34740" s="122"/>
      <c r="BC34740" s="141"/>
    </row>
    <row r="34741">
      <c r="BB34741" s="122"/>
      <c r="BC34741" s="141"/>
    </row>
    <row r="34742">
      <c r="BB34742" s="122"/>
      <c r="BC34742" s="141"/>
    </row>
    <row r="34743">
      <c r="BB34743" s="122"/>
      <c r="BC34743" s="141"/>
    </row>
    <row r="34744">
      <c r="BB34744" s="122"/>
      <c r="BC34744" s="141"/>
    </row>
    <row r="34745">
      <c r="BB34745" s="122"/>
      <c r="BC34745" s="141"/>
    </row>
    <row r="34746">
      <c r="BB34746" s="122"/>
      <c r="BC34746" s="141"/>
    </row>
    <row r="34747">
      <c r="BB34747" s="122"/>
      <c r="BC34747" s="141"/>
    </row>
    <row r="34748">
      <c r="BB34748" s="122"/>
      <c r="BC34748" s="141"/>
    </row>
    <row r="34749">
      <c r="BB34749" s="122"/>
      <c r="BC34749" s="141"/>
    </row>
    <row r="34750">
      <c r="BB34750" s="122"/>
      <c r="BC34750" s="141"/>
    </row>
    <row r="34751">
      <c r="BB34751" s="122"/>
      <c r="BC34751" s="141"/>
    </row>
    <row r="34752">
      <c r="BB34752" s="122"/>
      <c r="BC34752" s="141"/>
    </row>
    <row r="34753">
      <c r="BB34753" s="122"/>
      <c r="BC34753" s="141"/>
    </row>
    <row r="34754">
      <c r="BB34754" s="122"/>
      <c r="BC34754" s="141"/>
    </row>
    <row r="34755">
      <c r="BB34755" s="122"/>
      <c r="BC34755" s="141"/>
    </row>
    <row r="34756">
      <c r="BB34756" s="122"/>
      <c r="BC34756" s="141"/>
    </row>
    <row r="34757">
      <c r="BB34757" s="122"/>
      <c r="BC34757" s="141"/>
    </row>
    <row r="34758">
      <c r="BB34758" s="122"/>
      <c r="BC34758" s="141"/>
    </row>
    <row r="34759">
      <c r="BB34759" s="122"/>
      <c r="BC34759" s="141"/>
    </row>
    <row r="34760">
      <c r="BB34760" s="122"/>
      <c r="BC34760" s="141"/>
    </row>
    <row r="34761">
      <c r="BB34761" s="122"/>
      <c r="BC34761" s="141"/>
    </row>
    <row r="34762">
      <c r="BB34762" s="122"/>
      <c r="BC34762" s="141"/>
    </row>
    <row r="34763">
      <c r="BB34763" s="122"/>
      <c r="BC34763" s="141"/>
    </row>
    <row r="34764">
      <c r="BB34764" s="122"/>
      <c r="BC34764" s="141"/>
    </row>
    <row r="34765">
      <c r="BB34765" s="122"/>
      <c r="BC34765" s="141"/>
    </row>
    <row r="34766">
      <c r="BB34766" s="122"/>
      <c r="BC34766" s="141"/>
    </row>
    <row r="34767">
      <c r="BB34767" s="122"/>
      <c r="BC34767" s="141"/>
    </row>
    <row r="34768">
      <c r="BB34768" s="122"/>
      <c r="BC34768" s="141"/>
    </row>
    <row r="34769">
      <c r="BB34769" s="122"/>
      <c r="BC34769" s="141"/>
    </row>
    <row r="34770">
      <c r="BB34770" s="122"/>
      <c r="BC34770" s="141"/>
    </row>
    <row r="34771">
      <c r="BB34771" s="122"/>
      <c r="BC34771" s="141"/>
    </row>
    <row r="34772">
      <c r="BB34772" s="122"/>
      <c r="BC34772" s="141"/>
    </row>
    <row r="34773">
      <c r="BB34773" s="122"/>
      <c r="BC34773" s="141"/>
    </row>
    <row r="34774">
      <c r="BB34774" s="122"/>
      <c r="BC34774" s="141"/>
    </row>
    <row r="34775">
      <c r="BB34775" s="122"/>
      <c r="BC34775" s="141"/>
    </row>
    <row r="34776">
      <c r="BB34776" s="122"/>
      <c r="BC34776" s="141"/>
    </row>
    <row r="34777">
      <c r="BB34777" s="122"/>
      <c r="BC34777" s="141"/>
    </row>
    <row r="34778">
      <c r="BB34778" s="122"/>
      <c r="BC34778" s="141"/>
    </row>
    <row r="34779">
      <c r="BB34779" s="122"/>
      <c r="BC34779" s="141"/>
    </row>
    <row r="34780">
      <c r="BB34780" s="122"/>
      <c r="BC34780" s="141"/>
    </row>
    <row r="34781">
      <c r="BB34781" s="122"/>
      <c r="BC34781" s="141"/>
    </row>
    <row r="34782">
      <c r="BB34782" s="122"/>
      <c r="BC34782" s="141"/>
    </row>
    <row r="34783">
      <c r="BB34783" s="122"/>
      <c r="BC34783" s="141"/>
    </row>
    <row r="34784">
      <c r="BB34784" s="122"/>
      <c r="BC34784" s="141"/>
    </row>
    <row r="34785">
      <c r="BB34785" s="122"/>
      <c r="BC34785" s="141"/>
    </row>
    <row r="34786">
      <c r="BB34786" s="122"/>
      <c r="BC34786" s="141"/>
    </row>
    <row r="34787">
      <c r="BB34787" s="122"/>
      <c r="BC34787" s="141"/>
    </row>
    <row r="34788">
      <c r="BB34788" s="122"/>
      <c r="BC34788" s="141"/>
    </row>
    <row r="34789">
      <c r="BB34789" s="122"/>
      <c r="BC34789" s="141"/>
    </row>
    <row r="34790">
      <c r="BB34790" s="122"/>
      <c r="BC34790" s="141"/>
    </row>
    <row r="34791">
      <c r="BB34791" s="122"/>
      <c r="BC34791" s="141"/>
    </row>
    <row r="34792">
      <c r="BB34792" s="122"/>
      <c r="BC34792" s="141"/>
    </row>
    <row r="34793">
      <c r="BB34793" s="122"/>
      <c r="BC34793" s="141"/>
    </row>
    <row r="34794">
      <c r="BB34794" s="122"/>
      <c r="BC34794" s="141"/>
    </row>
    <row r="34795">
      <c r="BB34795" s="122"/>
      <c r="BC34795" s="141"/>
    </row>
    <row r="34796">
      <c r="BB34796" s="122"/>
      <c r="BC34796" s="141"/>
    </row>
    <row r="34797">
      <c r="BB34797" s="122"/>
      <c r="BC34797" s="141"/>
    </row>
    <row r="34798">
      <c r="BB34798" s="122"/>
      <c r="BC34798" s="141"/>
    </row>
    <row r="34799">
      <c r="BB34799" s="122"/>
      <c r="BC34799" s="141"/>
    </row>
    <row r="34800">
      <c r="BB34800" s="122"/>
      <c r="BC34800" s="141"/>
    </row>
    <row r="34801">
      <c r="BB34801" s="122"/>
      <c r="BC34801" s="141"/>
    </row>
    <row r="34802">
      <c r="BB34802" s="122"/>
      <c r="BC34802" s="141"/>
    </row>
    <row r="34803">
      <c r="BB34803" s="122"/>
      <c r="BC34803" s="141"/>
    </row>
    <row r="34804">
      <c r="BB34804" s="122"/>
      <c r="BC34804" s="141"/>
    </row>
    <row r="34805">
      <c r="BB34805" s="122"/>
      <c r="BC34805" s="141"/>
    </row>
    <row r="34806">
      <c r="BB34806" s="122"/>
      <c r="BC34806" s="141"/>
    </row>
    <row r="34807">
      <c r="BB34807" s="122"/>
      <c r="BC34807" s="141"/>
    </row>
    <row r="34808">
      <c r="BB34808" s="122"/>
      <c r="BC34808" s="141"/>
    </row>
    <row r="34809">
      <c r="BB34809" s="122"/>
      <c r="BC34809" s="141"/>
    </row>
    <row r="34810">
      <c r="BB34810" s="122"/>
      <c r="BC34810" s="141"/>
    </row>
    <row r="34811">
      <c r="BB34811" s="122"/>
      <c r="BC34811" s="141"/>
    </row>
    <row r="34812">
      <c r="BB34812" s="122"/>
      <c r="BC34812" s="141"/>
    </row>
    <row r="34813">
      <c r="BB34813" s="122"/>
      <c r="BC34813" s="141"/>
    </row>
    <row r="34814">
      <c r="BB34814" s="122"/>
      <c r="BC34814" s="141"/>
    </row>
    <row r="34815">
      <c r="BB34815" s="122"/>
      <c r="BC34815" s="141"/>
    </row>
    <row r="34816">
      <c r="BB34816" s="122"/>
      <c r="BC34816" s="141"/>
    </row>
    <row r="34817">
      <c r="BB34817" s="122"/>
      <c r="BC34817" s="141"/>
    </row>
    <row r="34818">
      <c r="BB34818" s="122"/>
      <c r="BC34818" s="141"/>
    </row>
    <row r="34819">
      <c r="BB34819" s="122"/>
      <c r="BC34819" s="141"/>
    </row>
    <row r="34820">
      <c r="BB34820" s="122"/>
      <c r="BC34820" s="141"/>
    </row>
    <row r="34821">
      <c r="BB34821" s="122"/>
      <c r="BC34821" s="141"/>
    </row>
    <row r="34822">
      <c r="BB34822" s="122"/>
      <c r="BC34822" s="141"/>
    </row>
    <row r="34823">
      <c r="BB34823" s="122"/>
      <c r="BC34823" s="141"/>
    </row>
    <row r="34824">
      <c r="BB34824" s="122"/>
      <c r="BC34824" s="141"/>
    </row>
    <row r="34825">
      <c r="BB34825" s="122"/>
      <c r="BC34825" s="141"/>
    </row>
    <row r="34826">
      <c r="BB34826" s="122"/>
      <c r="BC34826" s="141"/>
    </row>
    <row r="34827">
      <c r="BB34827" s="122"/>
      <c r="BC34827" s="141"/>
    </row>
    <row r="34828">
      <c r="BB34828" s="122"/>
      <c r="BC34828" s="141"/>
    </row>
    <row r="34829">
      <c r="BB34829" s="122"/>
      <c r="BC34829" s="141"/>
    </row>
    <row r="34830">
      <c r="BB34830" s="122"/>
      <c r="BC34830" s="141"/>
    </row>
    <row r="34831">
      <c r="BB34831" s="122"/>
      <c r="BC34831" s="141"/>
    </row>
    <row r="34832">
      <c r="BB34832" s="122"/>
      <c r="BC34832" s="141"/>
    </row>
    <row r="34833">
      <c r="BB34833" s="122"/>
      <c r="BC34833" s="141"/>
    </row>
    <row r="34834">
      <c r="BB34834" s="122"/>
      <c r="BC34834" s="141"/>
    </row>
    <row r="34835">
      <c r="BB34835" s="122"/>
      <c r="BC34835" s="141"/>
    </row>
    <row r="34836">
      <c r="BB34836" s="122"/>
      <c r="BC34836" s="141"/>
    </row>
    <row r="34837">
      <c r="BB34837" s="122"/>
      <c r="BC34837" s="141"/>
    </row>
    <row r="34838">
      <c r="BB34838" s="122"/>
      <c r="BC34838" s="141"/>
    </row>
    <row r="34839">
      <c r="BB34839" s="122"/>
      <c r="BC34839" s="141"/>
    </row>
    <row r="34840">
      <c r="BB34840" s="122"/>
      <c r="BC34840" s="141"/>
    </row>
    <row r="34841">
      <c r="BB34841" s="122"/>
      <c r="BC34841" s="141"/>
    </row>
    <row r="34842">
      <c r="BB34842" s="122"/>
      <c r="BC34842" s="141"/>
    </row>
    <row r="34843">
      <c r="BB34843" s="122"/>
      <c r="BC34843" s="141"/>
    </row>
    <row r="34844">
      <c r="BB34844" s="122"/>
      <c r="BC34844" s="141"/>
    </row>
    <row r="34845">
      <c r="BB34845" s="122"/>
      <c r="BC34845" s="141"/>
    </row>
    <row r="34846">
      <c r="BB34846" s="122"/>
      <c r="BC34846" s="141"/>
    </row>
    <row r="34847">
      <c r="BB34847" s="122"/>
      <c r="BC34847" s="141"/>
    </row>
    <row r="34848">
      <c r="BB34848" s="122"/>
      <c r="BC34848" s="141"/>
    </row>
    <row r="34849">
      <c r="BB34849" s="122"/>
      <c r="BC34849" s="141"/>
    </row>
    <row r="34850">
      <c r="BB34850" s="122"/>
      <c r="BC34850" s="141"/>
    </row>
    <row r="34851">
      <c r="BB34851" s="122"/>
      <c r="BC34851" s="141"/>
    </row>
    <row r="34852">
      <c r="BB34852" s="122"/>
      <c r="BC34852" s="141"/>
    </row>
    <row r="34853">
      <c r="BB34853" s="122"/>
      <c r="BC34853" s="141"/>
    </row>
    <row r="34854">
      <c r="BB34854" s="122"/>
      <c r="BC34854" s="141"/>
    </row>
    <row r="34855">
      <c r="BB34855" s="122"/>
      <c r="BC34855" s="141"/>
    </row>
    <row r="34856">
      <c r="BB34856" s="122"/>
      <c r="BC34856" s="141"/>
    </row>
    <row r="34857">
      <c r="BB34857" s="122"/>
      <c r="BC34857" s="141"/>
    </row>
    <row r="34858">
      <c r="BB34858" s="122"/>
      <c r="BC34858" s="141"/>
    </row>
    <row r="34859">
      <c r="BB34859" s="122"/>
      <c r="BC34859" s="141"/>
    </row>
    <row r="34860">
      <c r="BB34860" s="122"/>
      <c r="BC34860" s="141"/>
    </row>
    <row r="34861">
      <c r="BB34861" s="122"/>
      <c r="BC34861" s="141"/>
    </row>
    <row r="34862">
      <c r="BB34862" s="122"/>
      <c r="BC34862" s="141"/>
    </row>
    <row r="34863">
      <c r="BB34863" s="122"/>
      <c r="BC34863" s="141"/>
    </row>
    <row r="34864">
      <c r="BB34864" s="122"/>
      <c r="BC34864" s="141"/>
    </row>
    <row r="34865">
      <c r="BB34865" s="122"/>
      <c r="BC34865" s="141"/>
    </row>
    <row r="34866">
      <c r="BB34866" s="122"/>
      <c r="BC34866" s="141"/>
    </row>
    <row r="34867">
      <c r="BB34867" s="122"/>
      <c r="BC34867" s="141"/>
    </row>
    <row r="34868">
      <c r="BB34868" s="122"/>
      <c r="BC34868" s="141"/>
    </row>
    <row r="34869">
      <c r="BB34869" s="122"/>
      <c r="BC34869" s="141"/>
    </row>
    <row r="34870">
      <c r="BB34870" s="122"/>
      <c r="BC34870" s="141"/>
    </row>
    <row r="34871">
      <c r="BB34871" s="122"/>
      <c r="BC34871" s="141"/>
    </row>
    <row r="34872">
      <c r="BB34872" s="122"/>
      <c r="BC34872" s="141"/>
    </row>
    <row r="34873">
      <c r="BB34873" s="122"/>
      <c r="BC34873" s="141"/>
    </row>
    <row r="34874">
      <c r="BB34874" s="122"/>
      <c r="BC34874" s="141"/>
    </row>
    <row r="34875">
      <c r="BB34875" s="122"/>
      <c r="BC34875" s="141"/>
    </row>
    <row r="34876">
      <c r="BB34876" s="122"/>
      <c r="BC34876" s="141"/>
    </row>
    <row r="34877">
      <c r="BB34877" s="122"/>
      <c r="BC34877" s="141"/>
    </row>
    <row r="34878">
      <c r="BB34878" s="122"/>
      <c r="BC34878" s="141"/>
    </row>
    <row r="34879">
      <c r="BB34879" s="122"/>
      <c r="BC34879" s="141"/>
    </row>
    <row r="34880">
      <c r="BB34880" s="122"/>
      <c r="BC34880" s="141"/>
    </row>
    <row r="34881">
      <c r="BB34881" s="122"/>
      <c r="BC34881" s="141"/>
    </row>
    <row r="34882">
      <c r="BB34882" s="122"/>
      <c r="BC34882" s="141"/>
    </row>
    <row r="34883">
      <c r="BB34883" s="122"/>
      <c r="BC34883" s="141"/>
    </row>
    <row r="34884">
      <c r="BB34884" s="122"/>
      <c r="BC34884" s="141"/>
    </row>
    <row r="34885">
      <c r="BB34885" s="122"/>
      <c r="BC34885" s="141"/>
    </row>
    <row r="34886">
      <c r="BB34886" s="122"/>
      <c r="BC34886" s="141"/>
    </row>
    <row r="34887">
      <c r="BB34887" s="122"/>
      <c r="BC34887" s="141"/>
    </row>
    <row r="34888">
      <c r="BB34888" s="122"/>
      <c r="BC34888" s="141"/>
    </row>
    <row r="34889">
      <c r="BB34889" s="122"/>
      <c r="BC34889" s="141"/>
    </row>
    <row r="34890">
      <c r="BB34890" s="122"/>
      <c r="BC34890" s="141"/>
    </row>
    <row r="34891">
      <c r="BB34891" s="122"/>
      <c r="BC34891" s="141"/>
    </row>
    <row r="34892">
      <c r="BB34892" s="122"/>
      <c r="BC34892" s="141"/>
    </row>
    <row r="34893">
      <c r="BB34893" s="122"/>
      <c r="BC34893" s="141"/>
    </row>
    <row r="34894">
      <c r="BB34894" s="122"/>
      <c r="BC34894" s="141"/>
    </row>
    <row r="34895">
      <c r="BB34895" s="122"/>
      <c r="BC34895" s="141"/>
    </row>
    <row r="34896">
      <c r="BB34896" s="122"/>
      <c r="BC34896" s="141"/>
    </row>
    <row r="34897">
      <c r="BB34897" s="122"/>
      <c r="BC34897" s="141"/>
    </row>
    <row r="34898">
      <c r="BB34898" s="122"/>
      <c r="BC34898" s="141"/>
    </row>
    <row r="34899">
      <c r="BB34899" s="122"/>
      <c r="BC34899" s="141"/>
    </row>
    <row r="34900">
      <c r="BB34900" s="122"/>
      <c r="BC34900" s="141"/>
    </row>
    <row r="34901">
      <c r="BB34901" s="122"/>
      <c r="BC34901" s="141"/>
    </row>
    <row r="34902">
      <c r="BB34902" s="122"/>
      <c r="BC34902" s="141"/>
    </row>
    <row r="34903">
      <c r="BB34903" s="122"/>
      <c r="BC34903" s="141"/>
    </row>
    <row r="34904">
      <c r="BB34904" s="122"/>
      <c r="BC34904" s="141"/>
    </row>
    <row r="34905">
      <c r="BB34905" s="122"/>
      <c r="BC34905" s="141"/>
    </row>
    <row r="34906">
      <c r="BB34906" s="122"/>
      <c r="BC34906" s="141"/>
    </row>
    <row r="34907">
      <c r="BB34907" s="122"/>
      <c r="BC34907" s="141"/>
    </row>
    <row r="34908">
      <c r="BB34908" s="122"/>
      <c r="BC34908" s="141"/>
    </row>
    <row r="34909">
      <c r="BB34909" s="122"/>
      <c r="BC34909" s="141"/>
    </row>
    <row r="34910">
      <c r="BB34910" s="122"/>
      <c r="BC34910" s="141"/>
    </row>
    <row r="34911">
      <c r="BB34911" s="122"/>
      <c r="BC34911" s="141"/>
    </row>
    <row r="34912">
      <c r="BB34912" s="122"/>
      <c r="BC34912" s="141"/>
    </row>
    <row r="34913">
      <c r="BB34913" s="122"/>
      <c r="BC34913" s="141"/>
    </row>
    <row r="34914">
      <c r="BB34914" s="122"/>
      <c r="BC34914" s="141"/>
    </row>
    <row r="34915">
      <c r="BB34915" s="122"/>
      <c r="BC34915" s="141"/>
    </row>
    <row r="34916">
      <c r="BB34916" s="122"/>
      <c r="BC34916" s="141"/>
    </row>
    <row r="34917">
      <c r="BB34917" s="122"/>
      <c r="BC34917" s="141"/>
    </row>
    <row r="34918">
      <c r="BB34918" s="122"/>
      <c r="BC34918" s="141"/>
    </row>
    <row r="34919">
      <c r="BB34919" s="122"/>
      <c r="BC34919" s="141"/>
    </row>
    <row r="34920">
      <c r="BB34920" s="122"/>
      <c r="BC34920" s="141"/>
    </row>
    <row r="34921">
      <c r="BB34921" s="122"/>
      <c r="BC34921" s="141"/>
    </row>
    <row r="34922">
      <c r="BB34922" s="122"/>
      <c r="BC34922" s="141"/>
    </row>
    <row r="34923">
      <c r="BB34923" s="122"/>
      <c r="BC34923" s="141"/>
    </row>
    <row r="34924">
      <c r="BB34924" s="122"/>
      <c r="BC34924" s="141"/>
    </row>
    <row r="34925">
      <c r="BB34925" s="122"/>
      <c r="BC34925" s="141"/>
    </row>
    <row r="34926">
      <c r="BB34926" s="122"/>
      <c r="BC34926" s="141"/>
    </row>
    <row r="34927">
      <c r="BB34927" s="122"/>
      <c r="BC34927" s="141"/>
    </row>
    <row r="34928">
      <c r="BB34928" s="122"/>
      <c r="BC34928" s="141"/>
    </row>
    <row r="34929">
      <c r="BB34929" s="122"/>
      <c r="BC34929" s="141"/>
    </row>
    <row r="34930">
      <c r="BB34930" s="122"/>
      <c r="BC34930" s="141"/>
    </row>
    <row r="34931">
      <c r="BB34931" s="122"/>
      <c r="BC34931" s="141"/>
    </row>
    <row r="34932">
      <c r="BB34932" s="122"/>
      <c r="BC34932" s="141"/>
    </row>
    <row r="34933">
      <c r="BB34933" s="122"/>
      <c r="BC34933" s="141"/>
    </row>
    <row r="34934">
      <c r="BB34934" s="122"/>
      <c r="BC34934" s="141"/>
    </row>
    <row r="34935">
      <c r="BB34935" s="122"/>
      <c r="BC34935" s="141"/>
    </row>
    <row r="34936">
      <c r="BB34936" s="122"/>
      <c r="BC34936" s="141"/>
    </row>
    <row r="34937">
      <c r="BB34937" s="122"/>
      <c r="BC34937" s="141"/>
    </row>
    <row r="34938">
      <c r="BB34938" s="122"/>
      <c r="BC34938" s="141"/>
    </row>
    <row r="34939">
      <c r="BB34939" s="122"/>
      <c r="BC34939" s="141"/>
    </row>
    <row r="34940">
      <c r="BB34940" s="122"/>
      <c r="BC34940" s="141"/>
    </row>
    <row r="34941">
      <c r="BB34941" s="122"/>
      <c r="BC34941" s="141"/>
    </row>
    <row r="34942">
      <c r="BB34942" s="122"/>
      <c r="BC34942" s="141"/>
    </row>
    <row r="34943">
      <c r="BB34943" s="122"/>
      <c r="BC34943" s="141"/>
    </row>
    <row r="34944">
      <c r="BB34944" s="122"/>
      <c r="BC34944" s="141"/>
    </row>
    <row r="34945">
      <c r="BB34945" s="122"/>
      <c r="BC34945" s="141"/>
    </row>
    <row r="34946">
      <c r="BB34946" s="122"/>
      <c r="BC34946" s="141"/>
    </row>
    <row r="34947">
      <c r="BB34947" s="122"/>
      <c r="BC34947" s="141"/>
    </row>
    <row r="34948">
      <c r="BB34948" s="122"/>
      <c r="BC34948" s="141"/>
    </row>
    <row r="34949">
      <c r="BB34949" s="122"/>
      <c r="BC34949" s="141"/>
    </row>
    <row r="34950">
      <c r="BB34950" s="122"/>
      <c r="BC34950" s="141"/>
    </row>
    <row r="34951">
      <c r="BB34951" s="122"/>
      <c r="BC34951" s="141"/>
    </row>
    <row r="34952">
      <c r="BB34952" s="122"/>
      <c r="BC34952" s="141"/>
    </row>
    <row r="34953">
      <c r="BB34953" s="122"/>
      <c r="BC34953" s="141"/>
    </row>
    <row r="34954">
      <c r="BB34954" s="122"/>
      <c r="BC34954" s="141"/>
    </row>
    <row r="34955">
      <c r="BB34955" s="122"/>
      <c r="BC34955" s="141"/>
    </row>
    <row r="34956">
      <c r="BB34956" s="122"/>
      <c r="BC34956" s="141"/>
    </row>
    <row r="34957">
      <c r="BB34957" s="122"/>
      <c r="BC34957" s="141"/>
    </row>
    <row r="34958">
      <c r="BB34958" s="122"/>
      <c r="BC34958" s="141"/>
    </row>
    <row r="34959">
      <c r="BB34959" s="122"/>
      <c r="BC34959" s="141"/>
    </row>
    <row r="34960">
      <c r="BB34960" s="122"/>
      <c r="BC34960" s="141"/>
    </row>
    <row r="34961">
      <c r="BB34961" s="122"/>
      <c r="BC34961" s="141"/>
    </row>
    <row r="34962">
      <c r="BB34962" s="122"/>
      <c r="BC34962" s="141"/>
    </row>
    <row r="34963">
      <c r="BB34963" s="122"/>
      <c r="BC34963" s="141"/>
    </row>
    <row r="34964">
      <c r="BB34964" s="122"/>
      <c r="BC34964" s="141"/>
    </row>
    <row r="34965">
      <c r="BB34965" s="122"/>
      <c r="BC34965" s="141"/>
    </row>
    <row r="34966">
      <c r="BB34966" s="122"/>
      <c r="BC34966" s="141"/>
    </row>
    <row r="34967">
      <c r="BB34967" s="122"/>
      <c r="BC34967" s="141"/>
    </row>
    <row r="34968">
      <c r="BB34968" s="122"/>
      <c r="BC34968" s="141"/>
    </row>
    <row r="34969">
      <c r="BB34969" s="122"/>
      <c r="BC34969" s="141"/>
    </row>
    <row r="34970">
      <c r="BB34970" s="122"/>
      <c r="BC34970" s="141"/>
    </row>
    <row r="34971">
      <c r="BB34971" s="122"/>
      <c r="BC34971" s="141"/>
    </row>
    <row r="34972">
      <c r="BB34972" s="122"/>
      <c r="BC34972" s="141"/>
    </row>
    <row r="34973">
      <c r="BB34973" s="122"/>
      <c r="BC34973" s="141"/>
    </row>
    <row r="34974">
      <c r="BB34974" s="122"/>
      <c r="BC34974" s="141"/>
    </row>
    <row r="34975">
      <c r="BB34975" s="122"/>
      <c r="BC34975" s="141"/>
    </row>
    <row r="34976">
      <c r="BB34976" s="122"/>
      <c r="BC34976" s="141"/>
    </row>
    <row r="34977">
      <c r="BB34977" s="122"/>
      <c r="BC34977" s="141"/>
    </row>
    <row r="34978">
      <c r="BB34978" s="122"/>
      <c r="BC34978" s="141"/>
    </row>
    <row r="34979">
      <c r="BB34979" s="122"/>
      <c r="BC34979" s="141"/>
    </row>
    <row r="34980">
      <c r="BB34980" s="122"/>
      <c r="BC34980" s="141"/>
    </row>
    <row r="34981">
      <c r="BB34981" s="122"/>
      <c r="BC34981" s="141"/>
    </row>
    <row r="34982">
      <c r="BB34982" s="122"/>
      <c r="BC34982" s="141"/>
    </row>
    <row r="34983">
      <c r="BB34983" s="122"/>
      <c r="BC34983" s="141"/>
    </row>
    <row r="34984">
      <c r="BB34984" s="122"/>
      <c r="BC34984" s="141"/>
    </row>
    <row r="34985">
      <c r="BB34985" s="122"/>
      <c r="BC34985" s="141"/>
    </row>
    <row r="34986">
      <c r="BB34986" s="122"/>
      <c r="BC34986" s="141"/>
    </row>
    <row r="34987">
      <c r="BB34987" s="122"/>
      <c r="BC34987" s="141"/>
    </row>
    <row r="34988">
      <c r="BB34988" s="122"/>
      <c r="BC34988" s="141"/>
    </row>
    <row r="34989">
      <c r="BB34989" s="122"/>
      <c r="BC34989" s="141"/>
    </row>
    <row r="34990">
      <c r="BB34990" s="122"/>
      <c r="BC34990" s="141"/>
    </row>
    <row r="34991">
      <c r="BB34991" s="122"/>
      <c r="BC34991" s="141"/>
    </row>
    <row r="34992">
      <c r="BB34992" s="122"/>
      <c r="BC34992" s="141"/>
    </row>
    <row r="34993">
      <c r="BB34993" s="122"/>
      <c r="BC34993" s="141"/>
    </row>
    <row r="34994">
      <c r="BB34994" s="122"/>
      <c r="BC34994" s="141"/>
    </row>
    <row r="34995">
      <c r="BB34995" s="122"/>
      <c r="BC34995" s="141"/>
    </row>
    <row r="34996">
      <c r="BB34996" s="122"/>
      <c r="BC34996" s="141"/>
    </row>
    <row r="34997">
      <c r="BB34997" s="122"/>
      <c r="BC34997" s="141"/>
    </row>
    <row r="34998">
      <c r="BB34998" s="122"/>
      <c r="BC34998" s="141"/>
    </row>
    <row r="34999">
      <c r="BB34999" s="122"/>
      <c r="BC34999" s="141"/>
    </row>
    <row r="35000">
      <c r="BB35000" s="122"/>
      <c r="BC35000" s="141"/>
    </row>
    <row r="35001">
      <c r="BB35001" s="122"/>
      <c r="BC35001" s="141"/>
    </row>
    <row r="35002">
      <c r="BB35002" s="122"/>
      <c r="BC35002" s="141"/>
    </row>
    <row r="35003">
      <c r="BB35003" s="122"/>
      <c r="BC35003" s="141"/>
    </row>
    <row r="35004">
      <c r="BB35004" s="122"/>
      <c r="BC35004" s="141"/>
    </row>
    <row r="35005">
      <c r="BB35005" s="122"/>
      <c r="BC35005" s="141"/>
    </row>
    <row r="35006">
      <c r="BB35006" s="122"/>
      <c r="BC35006" s="141"/>
    </row>
    <row r="35007">
      <c r="BB35007" s="122"/>
      <c r="BC35007" s="141"/>
    </row>
    <row r="35008">
      <c r="BB35008" s="122"/>
      <c r="BC35008" s="141"/>
    </row>
    <row r="35009">
      <c r="BB35009" s="122"/>
      <c r="BC35009" s="141"/>
    </row>
    <row r="35010">
      <c r="BB35010" s="122"/>
      <c r="BC35010" s="141"/>
    </row>
    <row r="35011">
      <c r="BB35011" s="122"/>
      <c r="BC35011" s="141"/>
    </row>
    <row r="35012">
      <c r="BB35012" s="122"/>
      <c r="BC35012" s="141"/>
    </row>
    <row r="35013">
      <c r="BB35013" s="122"/>
      <c r="BC35013" s="141"/>
    </row>
    <row r="35014">
      <c r="BB35014" s="122"/>
      <c r="BC35014" s="141"/>
    </row>
    <row r="35015">
      <c r="BB35015" s="122"/>
      <c r="BC35015" s="141"/>
    </row>
    <row r="35016">
      <c r="BB35016" s="122"/>
      <c r="BC35016" s="141"/>
    </row>
    <row r="35017">
      <c r="BB35017" s="122"/>
      <c r="BC35017" s="141"/>
    </row>
    <row r="35018">
      <c r="BB35018" s="122"/>
      <c r="BC35018" s="141"/>
    </row>
    <row r="35019">
      <c r="BB35019" s="122"/>
      <c r="BC35019" s="141"/>
    </row>
    <row r="35020">
      <c r="BB35020" s="122"/>
      <c r="BC35020" s="141"/>
    </row>
    <row r="35021">
      <c r="BB35021" s="122"/>
      <c r="BC35021" s="141"/>
    </row>
    <row r="35022">
      <c r="BB35022" s="122"/>
      <c r="BC35022" s="141"/>
    </row>
    <row r="35023">
      <c r="BB35023" s="122"/>
      <c r="BC35023" s="141"/>
    </row>
    <row r="35024">
      <c r="BB35024" s="122"/>
      <c r="BC35024" s="141"/>
    </row>
    <row r="35025">
      <c r="BB35025" s="122"/>
      <c r="BC35025" s="141"/>
    </row>
    <row r="35026">
      <c r="BB35026" s="122"/>
      <c r="BC35026" s="141"/>
    </row>
    <row r="35027">
      <c r="BB35027" s="122"/>
      <c r="BC35027" s="141"/>
    </row>
    <row r="35028">
      <c r="BB35028" s="122"/>
      <c r="BC35028" s="141"/>
    </row>
    <row r="35029">
      <c r="BB35029" s="122"/>
      <c r="BC35029" s="141"/>
    </row>
    <row r="35030">
      <c r="BB35030" s="122"/>
      <c r="BC35030" s="141"/>
    </row>
    <row r="35031">
      <c r="BB35031" s="122"/>
      <c r="BC35031" s="141"/>
    </row>
    <row r="35032">
      <c r="BB35032" s="122"/>
      <c r="BC35032" s="141"/>
    </row>
    <row r="35033">
      <c r="BB35033" s="122"/>
      <c r="BC35033" s="141"/>
    </row>
    <row r="35034">
      <c r="BB35034" s="122"/>
      <c r="BC35034" s="141"/>
    </row>
    <row r="35035">
      <c r="BB35035" s="122"/>
      <c r="BC35035" s="141"/>
    </row>
    <row r="35036">
      <c r="BB35036" s="122"/>
      <c r="BC35036" s="141"/>
    </row>
    <row r="35037">
      <c r="BB35037" s="122"/>
      <c r="BC35037" s="141"/>
    </row>
    <row r="35038">
      <c r="BB35038" s="122"/>
      <c r="BC35038" s="141"/>
    </row>
    <row r="35039">
      <c r="BB35039" s="122"/>
      <c r="BC35039" s="141"/>
    </row>
    <row r="35040">
      <c r="BB35040" s="122"/>
      <c r="BC35040" s="141"/>
    </row>
    <row r="35041">
      <c r="BB35041" s="122"/>
      <c r="BC35041" s="141"/>
    </row>
    <row r="35042">
      <c r="BB35042" s="122"/>
      <c r="BC35042" s="141"/>
    </row>
    <row r="35043">
      <c r="BB35043" s="122"/>
      <c r="BC35043" s="141"/>
    </row>
    <row r="35044">
      <c r="BB35044" s="122"/>
      <c r="BC35044" s="141"/>
    </row>
    <row r="35045">
      <c r="BB35045" s="122"/>
      <c r="BC35045" s="141"/>
    </row>
    <row r="35046">
      <c r="BB35046" s="122"/>
      <c r="BC35046" s="141"/>
    </row>
    <row r="35047">
      <c r="BB35047" s="122"/>
      <c r="BC35047" s="141"/>
    </row>
    <row r="35048">
      <c r="BB35048" s="122"/>
      <c r="BC35048" s="141"/>
    </row>
    <row r="35049">
      <c r="BB35049" s="122"/>
      <c r="BC35049" s="141"/>
    </row>
    <row r="35050">
      <c r="BB35050" s="122"/>
      <c r="BC35050" s="141"/>
    </row>
    <row r="35051">
      <c r="BB35051" s="122"/>
      <c r="BC35051" s="141"/>
    </row>
    <row r="35052">
      <c r="BB35052" s="122"/>
      <c r="BC35052" s="141"/>
    </row>
    <row r="35053">
      <c r="BB35053" s="122"/>
      <c r="BC35053" s="141"/>
    </row>
    <row r="35054">
      <c r="BB35054" s="122"/>
      <c r="BC35054" s="141"/>
    </row>
    <row r="35055">
      <c r="BB35055" s="122"/>
      <c r="BC35055" s="141"/>
    </row>
    <row r="35056">
      <c r="BB35056" s="122"/>
      <c r="BC35056" s="141"/>
    </row>
    <row r="35057">
      <c r="BB35057" s="122"/>
      <c r="BC35057" s="141"/>
    </row>
    <row r="35058">
      <c r="BB35058" s="122"/>
      <c r="BC35058" s="141"/>
    </row>
    <row r="35059">
      <c r="BB35059" s="122"/>
      <c r="BC35059" s="141"/>
    </row>
    <row r="35060">
      <c r="BB35060" s="122"/>
      <c r="BC35060" s="141"/>
    </row>
    <row r="35061">
      <c r="BB35061" s="122"/>
      <c r="BC35061" s="141"/>
    </row>
    <row r="35062">
      <c r="BB35062" s="122"/>
      <c r="BC35062" s="141"/>
    </row>
    <row r="35063">
      <c r="BB35063" s="122"/>
      <c r="BC35063" s="141"/>
    </row>
    <row r="35064">
      <c r="BB35064" s="122"/>
      <c r="BC35064" s="141"/>
    </row>
    <row r="35065">
      <c r="BB35065" s="122"/>
      <c r="BC35065" s="141"/>
    </row>
    <row r="35066">
      <c r="BB35066" s="122"/>
      <c r="BC35066" s="141"/>
    </row>
    <row r="35067">
      <c r="BB35067" s="122"/>
      <c r="BC35067" s="141"/>
    </row>
    <row r="35068">
      <c r="BB35068" s="122"/>
      <c r="BC35068" s="141"/>
    </row>
    <row r="35069">
      <c r="BB35069" s="122"/>
      <c r="BC35069" s="141"/>
    </row>
    <row r="35070">
      <c r="BB35070" s="122"/>
      <c r="BC35070" s="141"/>
    </row>
    <row r="35071">
      <c r="BB35071" s="122"/>
      <c r="BC35071" s="141"/>
    </row>
    <row r="35072">
      <c r="BB35072" s="122"/>
      <c r="BC35072" s="141"/>
    </row>
    <row r="35073">
      <c r="BB35073" s="122"/>
      <c r="BC35073" s="141"/>
    </row>
    <row r="35074">
      <c r="BB35074" s="122"/>
      <c r="BC35074" s="141"/>
    </row>
    <row r="35075">
      <c r="BB35075" s="122"/>
      <c r="BC35075" s="141"/>
    </row>
    <row r="35076">
      <c r="BB35076" s="122"/>
      <c r="BC35076" s="141"/>
    </row>
    <row r="35077">
      <c r="BB35077" s="122"/>
      <c r="BC35077" s="141"/>
    </row>
    <row r="35078">
      <c r="BB35078" s="122"/>
      <c r="BC35078" s="141"/>
    </row>
    <row r="35079">
      <c r="BB35079" s="122"/>
      <c r="BC35079" s="141"/>
    </row>
    <row r="35080">
      <c r="BB35080" s="122"/>
      <c r="BC35080" s="141"/>
    </row>
    <row r="35081">
      <c r="BB35081" s="122"/>
      <c r="BC35081" s="141"/>
    </row>
    <row r="35082">
      <c r="BB35082" s="122"/>
      <c r="BC35082" s="141"/>
    </row>
    <row r="35083">
      <c r="BB35083" s="122"/>
      <c r="BC35083" s="141"/>
    </row>
    <row r="35084">
      <c r="BB35084" s="122"/>
      <c r="BC35084" s="141"/>
    </row>
    <row r="35085">
      <c r="BB35085" s="122"/>
      <c r="BC35085" s="141"/>
    </row>
    <row r="35086">
      <c r="BB35086" s="122"/>
      <c r="BC35086" s="141"/>
    </row>
    <row r="35087">
      <c r="BB35087" s="122"/>
      <c r="BC35087" s="141"/>
    </row>
    <row r="35088">
      <c r="BB35088" s="122"/>
      <c r="BC35088" s="141"/>
    </row>
    <row r="35089">
      <c r="BB35089" s="122"/>
      <c r="BC35089" s="141"/>
    </row>
    <row r="35090">
      <c r="BB35090" s="122"/>
      <c r="BC35090" s="141"/>
    </row>
    <row r="35091">
      <c r="BB35091" s="122"/>
      <c r="BC35091" s="141"/>
    </row>
    <row r="35092">
      <c r="BB35092" s="122"/>
      <c r="BC35092" s="141"/>
    </row>
    <row r="35093">
      <c r="BB35093" s="122"/>
      <c r="BC35093" s="141"/>
    </row>
    <row r="35094">
      <c r="BB35094" s="122"/>
      <c r="BC35094" s="141"/>
    </row>
    <row r="35095">
      <c r="BB35095" s="122"/>
      <c r="BC35095" s="141"/>
    </row>
    <row r="35096">
      <c r="BB35096" s="122"/>
      <c r="BC35096" s="141"/>
    </row>
    <row r="35097">
      <c r="BB35097" s="122"/>
      <c r="BC35097" s="141"/>
    </row>
    <row r="35098">
      <c r="BB35098" s="122"/>
      <c r="BC35098" s="141"/>
    </row>
    <row r="35099">
      <c r="BB35099" s="122"/>
      <c r="BC35099" s="141"/>
    </row>
    <row r="35100">
      <c r="BB35100" s="122"/>
      <c r="BC35100" s="141"/>
    </row>
    <row r="35101">
      <c r="BB35101" s="122"/>
      <c r="BC35101" s="141"/>
    </row>
    <row r="35102">
      <c r="BB35102" s="122"/>
      <c r="BC35102" s="141"/>
    </row>
    <row r="35103">
      <c r="BB35103" s="122"/>
      <c r="BC35103" s="141"/>
    </row>
    <row r="35104">
      <c r="BB35104" s="122"/>
      <c r="BC35104" s="141"/>
    </row>
    <row r="35105">
      <c r="BB35105" s="122"/>
      <c r="BC35105" s="141"/>
    </row>
    <row r="35106">
      <c r="BB35106" s="122"/>
      <c r="BC35106" s="141"/>
    </row>
    <row r="35107">
      <c r="BB35107" s="122"/>
      <c r="BC35107" s="141"/>
    </row>
    <row r="35108">
      <c r="BB35108" s="122"/>
      <c r="BC35108" s="141"/>
    </row>
    <row r="35109">
      <c r="BB35109" s="122"/>
      <c r="BC35109" s="141"/>
    </row>
    <row r="35110">
      <c r="BB35110" s="122"/>
      <c r="BC35110" s="141"/>
    </row>
    <row r="35111">
      <c r="BB35111" s="122"/>
      <c r="BC35111" s="141"/>
    </row>
    <row r="35112">
      <c r="BB35112" s="122"/>
      <c r="BC35112" s="141"/>
    </row>
    <row r="35113">
      <c r="BB35113" s="122"/>
      <c r="BC35113" s="141"/>
    </row>
    <row r="35114">
      <c r="BB35114" s="122"/>
      <c r="BC35114" s="141"/>
    </row>
    <row r="35115">
      <c r="BB35115" s="122"/>
      <c r="BC35115" s="141"/>
    </row>
    <row r="35116">
      <c r="BB35116" s="122"/>
      <c r="BC35116" s="141"/>
    </row>
    <row r="35117">
      <c r="BB35117" s="122"/>
      <c r="BC35117" s="141"/>
    </row>
    <row r="35118">
      <c r="BB35118" s="122"/>
      <c r="BC35118" s="141"/>
    </row>
    <row r="35119">
      <c r="BB35119" s="122"/>
      <c r="BC35119" s="141"/>
    </row>
    <row r="35120">
      <c r="BB35120" s="122"/>
      <c r="BC35120" s="141"/>
    </row>
    <row r="35121">
      <c r="BB35121" s="122"/>
      <c r="BC35121" s="141"/>
    </row>
    <row r="35122">
      <c r="BB35122" s="122"/>
      <c r="BC35122" s="141"/>
    </row>
    <row r="35123">
      <c r="BB35123" s="122"/>
      <c r="BC35123" s="141"/>
    </row>
    <row r="35124">
      <c r="BB35124" s="122"/>
      <c r="BC35124" s="141"/>
    </row>
    <row r="35125">
      <c r="BB35125" s="122"/>
      <c r="BC35125" s="141"/>
    </row>
    <row r="35126">
      <c r="BB35126" s="122"/>
      <c r="BC35126" s="141"/>
    </row>
    <row r="35127">
      <c r="BB35127" s="122"/>
      <c r="BC35127" s="141"/>
    </row>
    <row r="35128">
      <c r="BB35128" s="122"/>
      <c r="BC35128" s="141"/>
    </row>
    <row r="35129">
      <c r="BB35129" s="122"/>
      <c r="BC35129" s="141"/>
    </row>
    <row r="35130">
      <c r="BB35130" s="122"/>
      <c r="BC35130" s="141"/>
    </row>
    <row r="35131">
      <c r="BB35131" s="122"/>
      <c r="BC35131" s="141"/>
    </row>
    <row r="35132">
      <c r="BB35132" s="122"/>
      <c r="BC35132" s="141"/>
    </row>
    <row r="35133">
      <c r="BB35133" s="122"/>
      <c r="BC35133" s="141"/>
    </row>
    <row r="35134">
      <c r="BB35134" s="122"/>
      <c r="BC35134" s="141"/>
    </row>
    <row r="35135">
      <c r="BB35135" s="122"/>
      <c r="BC35135" s="141"/>
    </row>
    <row r="35136">
      <c r="BB35136" s="122"/>
      <c r="BC35136" s="141"/>
    </row>
    <row r="35137">
      <c r="BB35137" s="122"/>
      <c r="BC35137" s="141"/>
    </row>
    <row r="35138">
      <c r="BB35138" s="122"/>
      <c r="BC35138" s="141"/>
    </row>
    <row r="35139">
      <c r="BB35139" s="122"/>
      <c r="BC35139" s="141"/>
    </row>
    <row r="35140">
      <c r="BB35140" s="122"/>
      <c r="BC35140" s="141"/>
    </row>
    <row r="35141">
      <c r="BB35141" s="122"/>
      <c r="BC35141" s="141"/>
    </row>
    <row r="35142">
      <c r="BB35142" s="122"/>
      <c r="BC35142" s="141"/>
    </row>
    <row r="35143">
      <c r="BB35143" s="122"/>
      <c r="BC35143" s="141"/>
    </row>
    <row r="35144">
      <c r="BB35144" s="122"/>
      <c r="BC35144" s="141"/>
    </row>
    <row r="35145">
      <c r="BB35145" s="122"/>
      <c r="BC35145" s="141"/>
    </row>
    <row r="35146">
      <c r="BB35146" s="122"/>
      <c r="BC35146" s="141"/>
    </row>
    <row r="35147">
      <c r="BB35147" s="122"/>
      <c r="BC35147" s="141"/>
    </row>
    <row r="35148">
      <c r="BB35148" s="122"/>
      <c r="BC35148" s="141"/>
    </row>
    <row r="35149">
      <c r="BB35149" s="122"/>
      <c r="BC35149" s="141"/>
    </row>
    <row r="35150">
      <c r="BB35150" s="122"/>
      <c r="BC35150" s="141"/>
    </row>
    <row r="35151">
      <c r="BB35151" s="122"/>
      <c r="BC35151" s="141"/>
    </row>
    <row r="35152">
      <c r="BB35152" s="122"/>
      <c r="BC35152" s="141"/>
    </row>
    <row r="35153">
      <c r="BB35153" s="122"/>
      <c r="BC35153" s="141"/>
    </row>
    <row r="35154">
      <c r="BB35154" s="122"/>
      <c r="BC35154" s="141"/>
    </row>
    <row r="35155">
      <c r="BB35155" s="122"/>
      <c r="BC35155" s="141"/>
    </row>
    <row r="35156">
      <c r="BB35156" s="122"/>
      <c r="BC35156" s="141"/>
    </row>
    <row r="35157">
      <c r="BB35157" s="122"/>
      <c r="BC35157" s="141"/>
    </row>
    <row r="35158">
      <c r="BB35158" s="122"/>
      <c r="BC35158" s="141"/>
    </row>
    <row r="35159">
      <c r="BB35159" s="122"/>
      <c r="BC35159" s="141"/>
    </row>
    <row r="35160">
      <c r="BB35160" s="122"/>
      <c r="BC35160" s="141"/>
    </row>
    <row r="35161">
      <c r="BB35161" s="122"/>
      <c r="BC35161" s="141"/>
    </row>
    <row r="35162">
      <c r="BB35162" s="122"/>
      <c r="BC35162" s="141"/>
    </row>
    <row r="35163">
      <c r="BB35163" s="122"/>
      <c r="BC35163" s="141"/>
    </row>
    <row r="35164">
      <c r="BB35164" s="122"/>
      <c r="BC35164" s="141"/>
    </row>
    <row r="35165">
      <c r="BB35165" s="122"/>
      <c r="BC35165" s="141"/>
    </row>
    <row r="35166">
      <c r="BB35166" s="122"/>
      <c r="BC35166" s="141"/>
    </row>
    <row r="35167">
      <c r="BB35167" s="122"/>
      <c r="BC35167" s="141"/>
    </row>
    <row r="35168">
      <c r="BB35168" s="122"/>
      <c r="BC35168" s="141"/>
    </row>
    <row r="35169">
      <c r="BB35169" s="122"/>
      <c r="BC35169" s="141"/>
    </row>
    <row r="35170">
      <c r="BB35170" s="122"/>
      <c r="BC35170" s="141"/>
    </row>
    <row r="35171">
      <c r="BB35171" s="122"/>
      <c r="BC35171" s="141"/>
    </row>
    <row r="35172">
      <c r="BB35172" s="122"/>
      <c r="BC35172" s="141"/>
    </row>
    <row r="35173">
      <c r="BB35173" s="122"/>
      <c r="BC35173" s="141"/>
    </row>
    <row r="35174">
      <c r="BB35174" s="122"/>
      <c r="BC35174" s="141"/>
    </row>
    <row r="35175">
      <c r="BB35175" s="122"/>
      <c r="BC35175" s="141"/>
    </row>
    <row r="35176">
      <c r="BB35176" s="122"/>
      <c r="BC35176" s="141"/>
    </row>
    <row r="35177">
      <c r="BB35177" s="122"/>
      <c r="BC35177" s="141"/>
    </row>
    <row r="35178">
      <c r="BB35178" s="122"/>
      <c r="BC35178" s="141"/>
    </row>
    <row r="35179">
      <c r="BB35179" s="122"/>
      <c r="BC35179" s="141"/>
    </row>
    <row r="35180">
      <c r="BB35180" s="122"/>
      <c r="BC35180" s="141"/>
    </row>
    <row r="35181">
      <c r="BB35181" s="122"/>
      <c r="BC35181" s="141"/>
    </row>
    <row r="35182">
      <c r="BB35182" s="122"/>
      <c r="BC35182" s="141"/>
    </row>
    <row r="35183">
      <c r="BB35183" s="122"/>
      <c r="BC35183" s="141"/>
    </row>
    <row r="35184">
      <c r="BB35184" s="122"/>
      <c r="BC35184" s="141"/>
    </row>
    <row r="35185">
      <c r="BB35185" s="122"/>
      <c r="BC35185" s="141"/>
    </row>
    <row r="35186">
      <c r="BB35186" s="122"/>
      <c r="BC35186" s="141"/>
    </row>
    <row r="35187">
      <c r="BB35187" s="122"/>
      <c r="BC35187" s="141"/>
    </row>
    <row r="35188">
      <c r="BB35188" s="122"/>
      <c r="BC35188" s="141"/>
    </row>
    <row r="35189">
      <c r="BB35189" s="122"/>
      <c r="BC35189" s="141"/>
    </row>
    <row r="35190">
      <c r="BB35190" s="122"/>
      <c r="BC35190" s="141"/>
    </row>
    <row r="35191">
      <c r="BB35191" s="122"/>
      <c r="BC35191" s="141"/>
    </row>
    <row r="35192">
      <c r="BB35192" s="122"/>
      <c r="BC35192" s="141"/>
    </row>
    <row r="35193">
      <c r="BB35193" s="122"/>
      <c r="BC35193" s="141"/>
    </row>
    <row r="35194">
      <c r="BB35194" s="122"/>
      <c r="BC35194" s="141"/>
    </row>
    <row r="35195">
      <c r="BB35195" s="122"/>
      <c r="BC35195" s="141"/>
    </row>
    <row r="35196">
      <c r="BB35196" s="122"/>
      <c r="BC35196" s="141"/>
    </row>
    <row r="35197">
      <c r="BB35197" s="122"/>
      <c r="BC35197" s="141"/>
    </row>
    <row r="35198">
      <c r="BB35198" s="122"/>
      <c r="BC35198" s="141"/>
    </row>
    <row r="35199">
      <c r="BB35199" s="122"/>
      <c r="BC35199" s="141"/>
    </row>
    <row r="35200">
      <c r="BB35200" s="122"/>
      <c r="BC35200" s="141"/>
    </row>
    <row r="35201">
      <c r="BB35201" s="122"/>
      <c r="BC35201" s="141"/>
    </row>
    <row r="35202">
      <c r="BB35202" s="122"/>
      <c r="BC35202" s="141"/>
    </row>
    <row r="35203">
      <c r="BB35203" s="122"/>
      <c r="BC35203" s="141"/>
    </row>
    <row r="35204">
      <c r="BB35204" s="122"/>
      <c r="BC35204" s="141"/>
    </row>
    <row r="35205">
      <c r="BB35205" s="122"/>
      <c r="BC35205" s="141"/>
    </row>
    <row r="35206">
      <c r="BB35206" s="122"/>
      <c r="BC35206" s="141"/>
    </row>
    <row r="35207">
      <c r="BB35207" s="122"/>
      <c r="BC35207" s="141"/>
    </row>
    <row r="35208">
      <c r="BB35208" s="122"/>
      <c r="BC35208" s="141"/>
    </row>
    <row r="35209">
      <c r="BB35209" s="122"/>
      <c r="BC35209" s="141"/>
    </row>
    <row r="35210">
      <c r="BB35210" s="122"/>
      <c r="BC35210" s="141"/>
    </row>
    <row r="35211">
      <c r="BB35211" s="122"/>
      <c r="BC35211" s="141"/>
    </row>
    <row r="35212">
      <c r="BB35212" s="122"/>
      <c r="BC35212" s="141"/>
    </row>
    <row r="35213">
      <c r="BB35213" s="122"/>
      <c r="BC35213" s="141"/>
    </row>
    <row r="35214">
      <c r="BB35214" s="122"/>
      <c r="BC35214" s="141"/>
    </row>
    <row r="35215">
      <c r="BB35215" s="122"/>
      <c r="BC35215" s="141"/>
    </row>
    <row r="35216">
      <c r="BB35216" s="122"/>
      <c r="BC35216" s="141"/>
    </row>
    <row r="35217">
      <c r="BB35217" s="122"/>
      <c r="BC35217" s="141"/>
    </row>
    <row r="35218">
      <c r="BB35218" s="122"/>
      <c r="BC35218" s="141"/>
    </row>
    <row r="35219">
      <c r="BB35219" s="122"/>
      <c r="BC35219" s="141"/>
    </row>
    <row r="35220">
      <c r="BB35220" s="122"/>
      <c r="BC35220" s="141"/>
    </row>
    <row r="35221">
      <c r="BB35221" s="122"/>
      <c r="BC35221" s="141"/>
    </row>
    <row r="35222">
      <c r="BB35222" s="122"/>
      <c r="BC35222" s="141"/>
    </row>
    <row r="35223">
      <c r="BB35223" s="122"/>
      <c r="BC35223" s="141"/>
    </row>
    <row r="35224">
      <c r="BB35224" s="122"/>
      <c r="BC35224" s="141"/>
    </row>
    <row r="35225">
      <c r="BB35225" s="122"/>
      <c r="BC35225" s="141"/>
    </row>
    <row r="35226">
      <c r="BB35226" s="122"/>
      <c r="BC35226" s="141"/>
    </row>
    <row r="35227">
      <c r="BB35227" s="122"/>
      <c r="BC35227" s="141"/>
    </row>
    <row r="35228">
      <c r="BB35228" s="122"/>
      <c r="BC35228" s="141"/>
    </row>
    <row r="35229">
      <c r="BB35229" s="122"/>
      <c r="BC35229" s="141"/>
    </row>
    <row r="35230">
      <c r="BB35230" s="122"/>
      <c r="BC35230" s="141"/>
    </row>
    <row r="35231">
      <c r="BB35231" s="122"/>
      <c r="BC35231" s="141"/>
    </row>
    <row r="35232">
      <c r="BB35232" s="122"/>
      <c r="BC35232" s="141"/>
    </row>
    <row r="35233">
      <c r="BB35233" s="122"/>
      <c r="BC35233" s="141"/>
    </row>
    <row r="35234">
      <c r="BB35234" s="122"/>
      <c r="BC35234" s="141"/>
    </row>
    <row r="35235">
      <c r="BB35235" s="122"/>
      <c r="BC35235" s="141"/>
    </row>
    <row r="35236">
      <c r="BB35236" s="122"/>
      <c r="BC35236" s="141"/>
    </row>
    <row r="35237">
      <c r="BB35237" s="122"/>
      <c r="BC35237" s="141"/>
    </row>
    <row r="35238">
      <c r="BB35238" s="122"/>
      <c r="BC35238" s="141"/>
    </row>
    <row r="35239">
      <c r="BB35239" s="122"/>
      <c r="BC35239" s="141"/>
    </row>
    <row r="35240">
      <c r="BB35240" s="122"/>
      <c r="BC35240" s="141"/>
    </row>
    <row r="35241">
      <c r="BB35241" s="122"/>
      <c r="BC35241" s="141"/>
    </row>
    <row r="35242">
      <c r="BB35242" s="122"/>
      <c r="BC35242" s="141"/>
    </row>
    <row r="35243">
      <c r="BB35243" s="122"/>
      <c r="BC35243" s="141"/>
    </row>
    <row r="35244">
      <c r="BB35244" s="122"/>
      <c r="BC35244" s="141"/>
    </row>
    <row r="35245">
      <c r="BB35245" s="122"/>
      <c r="BC35245" s="141"/>
    </row>
    <row r="35246">
      <c r="BB35246" s="122"/>
      <c r="BC35246" s="141"/>
    </row>
    <row r="35247">
      <c r="BB35247" s="122"/>
      <c r="BC35247" s="141"/>
    </row>
    <row r="35248">
      <c r="BB35248" s="122"/>
      <c r="BC35248" s="141"/>
    </row>
    <row r="35249">
      <c r="BB35249" s="122"/>
      <c r="BC35249" s="141"/>
    </row>
    <row r="35250">
      <c r="BB35250" s="122"/>
      <c r="BC35250" s="141"/>
    </row>
    <row r="35251">
      <c r="BB35251" s="122"/>
      <c r="BC35251" s="141"/>
    </row>
    <row r="35252">
      <c r="BB35252" s="122"/>
      <c r="BC35252" s="141"/>
    </row>
    <row r="35253">
      <c r="BB35253" s="122"/>
      <c r="BC35253" s="141"/>
    </row>
    <row r="35254">
      <c r="BB35254" s="122"/>
      <c r="BC35254" s="141"/>
    </row>
    <row r="35255">
      <c r="BB35255" s="122"/>
      <c r="BC35255" s="141"/>
    </row>
    <row r="35256">
      <c r="BB35256" s="122"/>
      <c r="BC35256" s="141"/>
    </row>
    <row r="35257">
      <c r="BB35257" s="122"/>
      <c r="BC35257" s="141"/>
    </row>
    <row r="35258">
      <c r="BB35258" s="122"/>
      <c r="BC35258" s="141"/>
    </row>
    <row r="35259">
      <c r="BB35259" s="122"/>
      <c r="BC35259" s="141"/>
    </row>
    <row r="35260">
      <c r="BB35260" s="122"/>
      <c r="BC35260" s="141"/>
    </row>
    <row r="35261">
      <c r="BB35261" s="122"/>
      <c r="BC35261" s="141"/>
    </row>
    <row r="35262">
      <c r="BB35262" s="122"/>
      <c r="BC35262" s="141"/>
    </row>
    <row r="35263">
      <c r="BB35263" s="122"/>
      <c r="BC35263" s="141"/>
    </row>
    <row r="35264">
      <c r="BB35264" s="122"/>
      <c r="BC35264" s="141"/>
    </row>
    <row r="35265">
      <c r="BB35265" s="122"/>
      <c r="BC35265" s="141"/>
    </row>
    <row r="35266">
      <c r="BB35266" s="122"/>
      <c r="BC35266" s="141"/>
    </row>
    <row r="35267">
      <c r="BB35267" s="122"/>
      <c r="BC35267" s="141"/>
    </row>
    <row r="35268">
      <c r="BB35268" s="122"/>
      <c r="BC35268" s="141"/>
    </row>
    <row r="35269">
      <c r="BB35269" s="122"/>
      <c r="BC35269" s="141"/>
    </row>
    <row r="35270">
      <c r="BB35270" s="122"/>
      <c r="BC35270" s="141"/>
    </row>
    <row r="35271">
      <c r="BB35271" s="122"/>
      <c r="BC35271" s="141"/>
    </row>
    <row r="35272">
      <c r="BB35272" s="122"/>
      <c r="BC35272" s="141"/>
    </row>
    <row r="35273">
      <c r="BB35273" s="122"/>
      <c r="BC35273" s="141"/>
    </row>
    <row r="35274">
      <c r="BB35274" s="122"/>
      <c r="BC35274" s="141"/>
    </row>
    <row r="35275">
      <c r="BB35275" s="122"/>
      <c r="BC35275" s="141"/>
    </row>
    <row r="35276">
      <c r="BB35276" s="122"/>
      <c r="BC35276" s="141"/>
    </row>
    <row r="35277">
      <c r="BB35277" s="122"/>
      <c r="BC35277" s="141"/>
    </row>
    <row r="35278">
      <c r="BB35278" s="122"/>
      <c r="BC35278" s="141"/>
    </row>
    <row r="35279">
      <c r="BB35279" s="122"/>
      <c r="BC35279" s="141"/>
    </row>
    <row r="35280">
      <c r="BB35280" s="122"/>
      <c r="BC35280" s="141"/>
    </row>
    <row r="35281">
      <c r="BB35281" s="122"/>
      <c r="BC35281" s="141"/>
    </row>
    <row r="35282">
      <c r="BB35282" s="122"/>
      <c r="BC35282" s="141"/>
    </row>
    <row r="35283">
      <c r="BB35283" s="122"/>
      <c r="BC35283" s="141"/>
    </row>
    <row r="35284">
      <c r="BB35284" s="122"/>
      <c r="BC35284" s="141"/>
    </row>
    <row r="35285">
      <c r="BB35285" s="122"/>
      <c r="BC35285" s="141"/>
    </row>
    <row r="35286">
      <c r="BB35286" s="122"/>
      <c r="BC35286" s="141"/>
    </row>
    <row r="35287">
      <c r="BB35287" s="122"/>
      <c r="BC35287" s="141"/>
    </row>
    <row r="35288">
      <c r="BB35288" s="122"/>
      <c r="BC35288" s="141"/>
    </row>
    <row r="35289">
      <c r="BB35289" s="122"/>
      <c r="BC35289" s="141"/>
    </row>
    <row r="35290">
      <c r="BB35290" s="122"/>
      <c r="BC35290" s="141"/>
    </row>
    <row r="35291">
      <c r="BB35291" s="122"/>
      <c r="BC35291" s="141"/>
    </row>
    <row r="35292">
      <c r="BB35292" s="122"/>
      <c r="BC35292" s="141"/>
    </row>
    <row r="35293">
      <c r="BB35293" s="122"/>
      <c r="BC35293" s="141"/>
    </row>
    <row r="35294">
      <c r="BB35294" s="122"/>
      <c r="BC35294" s="141"/>
    </row>
    <row r="35295">
      <c r="BB35295" s="122"/>
      <c r="BC35295" s="141"/>
    </row>
    <row r="35296">
      <c r="BB35296" s="122"/>
      <c r="BC35296" s="141"/>
    </row>
    <row r="35297">
      <c r="BB35297" s="122"/>
      <c r="BC35297" s="141"/>
    </row>
    <row r="35298">
      <c r="BB35298" s="122"/>
      <c r="BC35298" s="141"/>
    </row>
    <row r="35299">
      <c r="BB35299" s="122"/>
      <c r="BC35299" s="141"/>
    </row>
    <row r="35300">
      <c r="BB35300" s="122"/>
      <c r="BC35300" s="141"/>
    </row>
    <row r="35301">
      <c r="BB35301" s="122"/>
      <c r="BC35301" s="141"/>
    </row>
    <row r="35302">
      <c r="BB35302" s="122"/>
      <c r="BC35302" s="141"/>
    </row>
    <row r="35303">
      <c r="BB35303" s="122"/>
      <c r="BC35303" s="141"/>
    </row>
    <row r="35304">
      <c r="BB35304" s="122"/>
      <c r="BC35304" s="141"/>
    </row>
    <row r="35305">
      <c r="BB35305" s="122"/>
      <c r="BC35305" s="141"/>
    </row>
    <row r="35306">
      <c r="BB35306" s="122"/>
      <c r="BC35306" s="141"/>
    </row>
    <row r="35307">
      <c r="BB35307" s="122"/>
      <c r="BC35307" s="141"/>
    </row>
    <row r="35308">
      <c r="BB35308" s="122"/>
      <c r="BC35308" s="141"/>
    </row>
    <row r="35309">
      <c r="BB35309" s="122"/>
      <c r="BC35309" s="141"/>
    </row>
    <row r="35310">
      <c r="BB35310" s="122"/>
      <c r="BC35310" s="141"/>
    </row>
    <row r="35311">
      <c r="BB35311" s="122"/>
      <c r="BC35311" s="141"/>
    </row>
    <row r="35312">
      <c r="BB35312" s="122"/>
      <c r="BC35312" s="141"/>
    </row>
    <row r="35313">
      <c r="BB35313" s="122"/>
      <c r="BC35313" s="141"/>
    </row>
    <row r="35314">
      <c r="BB35314" s="122"/>
      <c r="BC35314" s="141"/>
    </row>
    <row r="35315">
      <c r="BB35315" s="122"/>
      <c r="BC35315" s="141"/>
    </row>
    <row r="35316">
      <c r="BB35316" s="122"/>
      <c r="BC35316" s="141"/>
    </row>
    <row r="35317">
      <c r="BB35317" s="122"/>
      <c r="BC35317" s="141"/>
    </row>
    <row r="35318">
      <c r="BB35318" s="122"/>
      <c r="BC35318" s="141"/>
    </row>
    <row r="35319">
      <c r="BB35319" s="122"/>
      <c r="BC35319" s="141"/>
    </row>
    <row r="35320">
      <c r="BB35320" s="122"/>
      <c r="BC35320" s="141"/>
    </row>
    <row r="35321">
      <c r="BB35321" s="122"/>
      <c r="BC35321" s="141"/>
    </row>
    <row r="35322">
      <c r="BB35322" s="122"/>
      <c r="BC35322" s="141"/>
    </row>
    <row r="35323">
      <c r="BB35323" s="122"/>
      <c r="BC35323" s="141"/>
    </row>
    <row r="35324">
      <c r="BB35324" s="122"/>
      <c r="BC35324" s="141"/>
    </row>
    <row r="35325">
      <c r="BB35325" s="122"/>
      <c r="BC35325" s="141"/>
    </row>
    <row r="35326">
      <c r="BB35326" s="122"/>
      <c r="BC35326" s="141"/>
    </row>
    <row r="35327">
      <c r="BB35327" s="122"/>
      <c r="BC35327" s="141"/>
    </row>
    <row r="35328">
      <c r="BB35328" s="122"/>
      <c r="BC35328" s="141"/>
    </row>
    <row r="35329">
      <c r="BB35329" s="122"/>
      <c r="BC35329" s="141"/>
    </row>
    <row r="35330">
      <c r="BB35330" s="122"/>
      <c r="BC35330" s="141"/>
    </row>
    <row r="35331">
      <c r="BB35331" s="122"/>
      <c r="BC35331" s="141"/>
    </row>
    <row r="35332">
      <c r="BB35332" s="122"/>
      <c r="BC35332" s="141"/>
    </row>
    <row r="35333">
      <c r="BB35333" s="122"/>
      <c r="BC35333" s="141"/>
    </row>
    <row r="35334">
      <c r="BB35334" s="122"/>
      <c r="BC35334" s="141"/>
    </row>
    <row r="35335">
      <c r="BB35335" s="122"/>
      <c r="BC35335" s="141"/>
    </row>
    <row r="35336">
      <c r="BB35336" s="122"/>
      <c r="BC35336" s="141"/>
    </row>
    <row r="35337">
      <c r="BB35337" s="122"/>
      <c r="BC35337" s="141"/>
    </row>
    <row r="35338">
      <c r="BB35338" s="122"/>
      <c r="BC35338" s="141"/>
    </row>
    <row r="35339">
      <c r="BB35339" s="122"/>
      <c r="BC35339" s="141"/>
    </row>
    <row r="35340">
      <c r="BB35340" s="122"/>
      <c r="BC35340" s="141"/>
    </row>
    <row r="35341">
      <c r="BB35341" s="122"/>
      <c r="BC35341" s="141"/>
    </row>
    <row r="35342">
      <c r="BB35342" s="122"/>
      <c r="BC35342" s="141"/>
    </row>
    <row r="35343">
      <c r="BB35343" s="122"/>
      <c r="BC35343" s="141"/>
    </row>
    <row r="35344">
      <c r="BB35344" s="122"/>
      <c r="BC35344" s="141"/>
    </row>
    <row r="35345">
      <c r="BB35345" s="122"/>
      <c r="BC35345" s="141"/>
    </row>
    <row r="35346">
      <c r="BB35346" s="122"/>
      <c r="BC35346" s="141"/>
    </row>
    <row r="35347">
      <c r="BB35347" s="122"/>
      <c r="BC35347" s="141"/>
    </row>
    <row r="35348">
      <c r="BB35348" s="122"/>
      <c r="BC35348" s="141"/>
    </row>
    <row r="35349">
      <c r="BB35349" s="122"/>
      <c r="BC35349" s="141"/>
    </row>
    <row r="35350">
      <c r="BB35350" s="122"/>
      <c r="BC35350" s="141"/>
    </row>
    <row r="35351">
      <c r="BB35351" s="122"/>
      <c r="BC35351" s="141"/>
    </row>
    <row r="35352">
      <c r="BB35352" s="122"/>
      <c r="BC35352" s="141"/>
    </row>
    <row r="35353">
      <c r="BB35353" s="122"/>
      <c r="BC35353" s="141"/>
    </row>
    <row r="35354">
      <c r="BB35354" s="122"/>
      <c r="BC35354" s="141"/>
    </row>
    <row r="35355">
      <c r="BB35355" s="122"/>
      <c r="BC35355" s="141"/>
    </row>
    <row r="35356">
      <c r="BB35356" s="122"/>
      <c r="BC35356" s="141"/>
    </row>
    <row r="35357">
      <c r="BB35357" s="122"/>
      <c r="BC35357" s="141"/>
    </row>
    <row r="35358">
      <c r="BB35358" s="122"/>
      <c r="BC35358" s="141"/>
    </row>
    <row r="35359">
      <c r="BB35359" s="122"/>
      <c r="BC35359" s="141"/>
    </row>
    <row r="35360">
      <c r="BB35360" s="122"/>
      <c r="BC35360" s="141"/>
    </row>
    <row r="35361">
      <c r="BB35361" s="122"/>
      <c r="BC35361" s="141"/>
    </row>
    <row r="35362">
      <c r="BB35362" s="122"/>
      <c r="BC35362" s="141"/>
    </row>
    <row r="35363">
      <c r="BB35363" s="122"/>
      <c r="BC35363" s="141"/>
    </row>
    <row r="35364">
      <c r="BB35364" s="122"/>
      <c r="BC35364" s="141"/>
    </row>
    <row r="35365">
      <c r="BB35365" s="122"/>
      <c r="BC35365" s="141"/>
    </row>
    <row r="35366">
      <c r="BB35366" s="122"/>
      <c r="BC35366" s="141"/>
    </row>
    <row r="35367">
      <c r="BB35367" s="122"/>
      <c r="BC35367" s="141"/>
    </row>
    <row r="35368">
      <c r="BB35368" s="122"/>
      <c r="BC35368" s="141"/>
    </row>
    <row r="35369">
      <c r="BB35369" s="122"/>
      <c r="BC35369" s="141"/>
    </row>
    <row r="35370">
      <c r="BB35370" s="122"/>
      <c r="BC35370" s="141"/>
    </row>
    <row r="35371">
      <c r="BB35371" s="122"/>
      <c r="BC35371" s="141"/>
    </row>
    <row r="35372">
      <c r="BB35372" s="122"/>
      <c r="BC35372" s="141"/>
    </row>
    <row r="35373">
      <c r="BB35373" s="122"/>
      <c r="BC35373" s="141"/>
    </row>
    <row r="35374">
      <c r="BB35374" s="122"/>
      <c r="BC35374" s="141"/>
    </row>
    <row r="35375">
      <c r="BB35375" s="122"/>
      <c r="BC35375" s="141"/>
    </row>
    <row r="35376">
      <c r="BB35376" s="122"/>
      <c r="BC35376" s="141"/>
    </row>
    <row r="35377">
      <c r="BB35377" s="122"/>
      <c r="BC35377" s="141"/>
    </row>
    <row r="35378">
      <c r="BB35378" s="122"/>
      <c r="BC35378" s="141"/>
    </row>
    <row r="35379">
      <c r="BB35379" s="122"/>
      <c r="BC35379" s="141"/>
    </row>
    <row r="35380">
      <c r="BB35380" s="122"/>
      <c r="BC35380" s="141"/>
    </row>
    <row r="35381">
      <c r="BB35381" s="122"/>
      <c r="BC35381" s="141"/>
    </row>
    <row r="35382">
      <c r="BB35382" s="122"/>
      <c r="BC35382" s="141"/>
    </row>
    <row r="35383">
      <c r="BB35383" s="122"/>
      <c r="BC35383" s="141"/>
    </row>
    <row r="35384">
      <c r="BB35384" s="122"/>
      <c r="BC35384" s="141"/>
    </row>
    <row r="35385">
      <c r="BB35385" s="122"/>
      <c r="BC35385" s="141"/>
    </row>
    <row r="35386">
      <c r="BB35386" s="122"/>
      <c r="BC35386" s="141"/>
    </row>
    <row r="35387">
      <c r="BB35387" s="122"/>
      <c r="BC35387" s="141"/>
    </row>
    <row r="35388">
      <c r="BB35388" s="122"/>
      <c r="BC35388" s="141"/>
    </row>
    <row r="35389">
      <c r="BB35389" s="122"/>
      <c r="BC35389" s="141"/>
    </row>
    <row r="35390">
      <c r="BB35390" s="122"/>
      <c r="BC35390" s="141"/>
    </row>
    <row r="35391">
      <c r="BB35391" s="122"/>
      <c r="BC35391" s="141"/>
    </row>
    <row r="35392">
      <c r="BB35392" s="122"/>
      <c r="BC35392" s="141"/>
    </row>
    <row r="35393">
      <c r="BB35393" s="122"/>
      <c r="BC35393" s="141"/>
    </row>
    <row r="35394">
      <c r="BB35394" s="122"/>
      <c r="BC35394" s="141"/>
    </row>
    <row r="35395">
      <c r="BB35395" s="122"/>
      <c r="BC35395" s="141"/>
    </row>
    <row r="35396">
      <c r="BB35396" s="122"/>
      <c r="BC35396" s="141"/>
    </row>
    <row r="35397">
      <c r="BB35397" s="122"/>
      <c r="BC35397" s="141"/>
    </row>
    <row r="35398">
      <c r="BB35398" s="122"/>
      <c r="BC35398" s="141"/>
    </row>
    <row r="35399">
      <c r="BB35399" s="122"/>
      <c r="BC35399" s="141"/>
    </row>
    <row r="35400">
      <c r="BB35400" s="122"/>
      <c r="BC35400" s="141"/>
    </row>
    <row r="35401">
      <c r="BB35401" s="122"/>
      <c r="BC35401" s="141"/>
    </row>
    <row r="35402">
      <c r="BB35402" s="122"/>
      <c r="BC35402" s="141"/>
    </row>
    <row r="35403">
      <c r="BB35403" s="122"/>
      <c r="BC35403" s="141"/>
    </row>
    <row r="35404">
      <c r="BB35404" s="122"/>
      <c r="BC35404" s="141"/>
    </row>
    <row r="35405">
      <c r="BB35405" s="122"/>
      <c r="BC35405" s="141"/>
    </row>
    <row r="35406">
      <c r="BB35406" s="122"/>
      <c r="BC35406" s="141"/>
    </row>
    <row r="35407">
      <c r="BB35407" s="122"/>
      <c r="BC35407" s="141"/>
    </row>
    <row r="35408">
      <c r="BB35408" s="122"/>
      <c r="BC35408" s="141"/>
    </row>
    <row r="35409">
      <c r="BB35409" s="122"/>
      <c r="BC35409" s="141"/>
    </row>
    <row r="35410">
      <c r="BB35410" s="122"/>
      <c r="BC35410" s="141"/>
    </row>
    <row r="35411">
      <c r="BB35411" s="122"/>
      <c r="BC35411" s="141"/>
    </row>
    <row r="35412">
      <c r="BB35412" s="122"/>
      <c r="BC35412" s="141"/>
    </row>
    <row r="35413">
      <c r="BB35413" s="122"/>
      <c r="BC35413" s="141"/>
    </row>
    <row r="35414">
      <c r="BB35414" s="122"/>
      <c r="BC35414" s="141"/>
    </row>
    <row r="35415">
      <c r="BB35415" s="122"/>
      <c r="BC35415" s="141"/>
    </row>
    <row r="35416">
      <c r="BB35416" s="122"/>
      <c r="BC35416" s="141"/>
    </row>
    <row r="35417">
      <c r="BB35417" s="122"/>
      <c r="BC35417" s="141"/>
    </row>
    <row r="35418">
      <c r="BB35418" s="122"/>
      <c r="BC35418" s="141"/>
    </row>
    <row r="35419">
      <c r="BB35419" s="122"/>
      <c r="BC35419" s="141"/>
    </row>
    <row r="35420">
      <c r="BB35420" s="122"/>
      <c r="BC35420" s="141"/>
    </row>
    <row r="35421">
      <c r="BB35421" s="122"/>
      <c r="BC35421" s="141"/>
    </row>
    <row r="35422">
      <c r="BB35422" s="122"/>
      <c r="BC35422" s="141"/>
    </row>
    <row r="35423">
      <c r="BB35423" s="122"/>
      <c r="BC35423" s="141"/>
    </row>
    <row r="35424">
      <c r="BB35424" s="122"/>
      <c r="BC35424" s="141"/>
    </row>
    <row r="35425">
      <c r="BB35425" s="122"/>
      <c r="BC35425" s="141"/>
    </row>
    <row r="35426">
      <c r="BB35426" s="122"/>
      <c r="BC35426" s="141"/>
    </row>
    <row r="35427">
      <c r="BB35427" s="122"/>
      <c r="BC35427" s="141"/>
    </row>
    <row r="35428">
      <c r="BB35428" s="122"/>
      <c r="BC35428" s="141"/>
    </row>
    <row r="35429">
      <c r="BB35429" s="122"/>
      <c r="BC35429" s="141"/>
    </row>
    <row r="35430">
      <c r="BB35430" s="122"/>
      <c r="BC35430" s="141"/>
    </row>
    <row r="35431">
      <c r="BB35431" s="122"/>
      <c r="BC35431" s="141"/>
    </row>
    <row r="35432">
      <c r="BB35432" s="122"/>
      <c r="BC35432" s="141"/>
    </row>
    <row r="35433">
      <c r="BB35433" s="122"/>
      <c r="BC35433" s="141"/>
    </row>
    <row r="35434">
      <c r="BB35434" s="122"/>
      <c r="BC35434" s="141"/>
    </row>
    <row r="35435">
      <c r="BB35435" s="122"/>
      <c r="BC35435" s="141"/>
    </row>
    <row r="35436">
      <c r="BB35436" s="122"/>
      <c r="BC35436" s="141"/>
    </row>
    <row r="35437">
      <c r="BB35437" s="122"/>
      <c r="BC35437" s="141"/>
    </row>
    <row r="35438">
      <c r="BB35438" s="122"/>
      <c r="BC35438" s="141"/>
    </row>
    <row r="35439">
      <c r="BB35439" s="122"/>
      <c r="BC35439" s="141"/>
    </row>
    <row r="35440">
      <c r="BB35440" s="122"/>
      <c r="BC35440" s="141"/>
    </row>
    <row r="35441">
      <c r="BB35441" s="122"/>
      <c r="BC35441" s="141"/>
    </row>
    <row r="35442">
      <c r="BB35442" s="122"/>
      <c r="BC35442" s="141"/>
    </row>
    <row r="35443">
      <c r="BB35443" s="122"/>
      <c r="BC35443" s="141"/>
    </row>
    <row r="35444">
      <c r="BB35444" s="122"/>
      <c r="BC35444" s="141"/>
    </row>
    <row r="35445">
      <c r="BB35445" s="122"/>
      <c r="BC35445" s="141"/>
    </row>
    <row r="35446">
      <c r="BB35446" s="122"/>
      <c r="BC35446" s="141"/>
    </row>
    <row r="35447">
      <c r="BB35447" s="122"/>
      <c r="BC35447" s="141"/>
    </row>
    <row r="35448">
      <c r="BB35448" s="122"/>
      <c r="BC35448" s="141"/>
    </row>
    <row r="35449">
      <c r="BB35449" s="122"/>
      <c r="BC35449" s="141"/>
    </row>
    <row r="35450">
      <c r="BB35450" s="122"/>
      <c r="BC35450" s="141"/>
    </row>
    <row r="35451">
      <c r="BB35451" s="122"/>
      <c r="BC35451" s="141"/>
    </row>
    <row r="35452">
      <c r="BB35452" s="122"/>
      <c r="BC35452" s="141"/>
    </row>
    <row r="35453">
      <c r="BB35453" s="122"/>
      <c r="BC35453" s="141"/>
    </row>
    <row r="35454">
      <c r="BB35454" s="122"/>
      <c r="BC35454" s="141"/>
    </row>
    <row r="35455">
      <c r="BB35455" s="122"/>
      <c r="BC35455" s="141"/>
    </row>
    <row r="35456">
      <c r="BB35456" s="122"/>
      <c r="BC35456" s="141"/>
    </row>
    <row r="35457">
      <c r="BB35457" s="122"/>
      <c r="BC35457" s="141"/>
    </row>
    <row r="35458">
      <c r="BB35458" s="122"/>
      <c r="BC35458" s="141"/>
    </row>
    <row r="35459">
      <c r="BB35459" s="122"/>
      <c r="BC35459" s="141"/>
    </row>
    <row r="35460">
      <c r="BB35460" s="122"/>
      <c r="BC35460" s="141"/>
    </row>
    <row r="35461">
      <c r="BB35461" s="122"/>
      <c r="BC35461" s="141"/>
    </row>
    <row r="35462">
      <c r="BB35462" s="122"/>
      <c r="BC35462" s="141"/>
    </row>
    <row r="35463">
      <c r="BB35463" s="122"/>
      <c r="BC35463" s="141"/>
    </row>
    <row r="35464">
      <c r="BB35464" s="122"/>
      <c r="BC35464" s="141"/>
    </row>
    <row r="35465">
      <c r="BB35465" s="122"/>
      <c r="BC35465" s="141"/>
    </row>
    <row r="35466">
      <c r="BB35466" s="122"/>
      <c r="BC35466" s="141"/>
    </row>
    <row r="35467">
      <c r="BB35467" s="122"/>
      <c r="BC35467" s="141"/>
    </row>
    <row r="35468">
      <c r="BB35468" s="122"/>
      <c r="BC35468" s="141"/>
    </row>
    <row r="35469">
      <c r="BB35469" s="122"/>
      <c r="BC35469" s="141"/>
    </row>
    <row r="35470">
      <c r="BB35470" s="122"/>
      <c r="BC35470" s="141"/>
    </row>
    <row r="35471">
      <c r="BB35471" s="122"/>
      <c r="BC35471" s="141"/>
    </row>
    <row r="35472">
      <c r="BB35472" s="122"/>
      <c r="BC35472" s="141"/>
    </row>
    <row r="35473">
      <c r="BB35473" s="122"/>
      <c r="BC35473" s="141"/>
    </row>
    <row r="35474">
      <c r="BB35474" s="122"/>
      <c r="BC35474" s="141"/>
    </row>
    <row r="35475">
      <c r="BB35475" s="122"/>
      <c r="BC35475" s="141"/>
    </row>
    <row r="35476">
      <c r="BB35476" s="122"/>
      <c r="BC35476" s="141"/>
    </row>
    <row r="35477">
      <c r="BB35477" s="122"/>
      <c r="BC35477" s="141"/>
    </row>
    <row r="35478">
      <c r="BB35478" s="122"/>
      <c r="BC35478" s="141"/>
    </row>
    <row r="35479">
      <c r="BB35479" s="122"/>
      <c r="BC35479" s="141"/>
    </row>
    <row r="35480">
      <c r="BB35480" s="122"/>
      <c r="BC35480" s="141"/>
    </row>
    <row r="35481">
      <c r="BB35481" s="122"/>
      <c r="BC35481" s="141"/>
    </row>
    <row r="35482">
      <c r="BB35482" s="122"/>
      <c r="BC35482" s="141"/>
    </row>
    <row r="35483">
      <c r="BB35483" s="122"/>
      <c r="BC35483" s="141"/>
    </row>
    <row r="35484">
      <c r="BB35484" s="122"/>
      <c r="BC35484" s="141"/>
    </row>
    <row r="35485">
      <c r="BB35485" s="122"/>
      <c r="BC35485" s="141"/>
    </row>
    <row r="35486">
      <c r="BB35486" s="122"/>
      <c r="BC35486" s="141"/>
    </row>
    <row r="35487">
      <c r="BB35487" s="122"/>
      <c r="BC35487" s="141"/>
    </row>
    <row r="35488">
      <c r="BB35488" s="122"/>
      <c r="BC35488" s="141"/>
    </row>
    <row r="35489">
      <c r="BB35489" s="122"/>
      <c r="BC35489" s="141"/>
    </row>
    <row r="35490">
      <c r="BB35490" s="122"/>
      <c r="BC35490" s="141"/>
    </row>
    <row r="35491">
      <c r="BB35491" s="122"/>
      <c r="BC35491" s="141"/>
    </row>
    <row r="35492">
      <c r="BB35492" s="122"/>
      <c r="BC35492" s="141"/>
    </row>
    <row r="35493">
      <c r="BB35493" s="122"/>
      <c r="BC35493" s="141"/>
    </row>
    <row r="35494">
      <c r="BB35494" s="122"/>
      <c r="BC35494" s="141"/>
    </row>
    <row r="35495">
      <c r="BB35495" s="122"/>
      <c r="BC35495" s="141"/>
    </row>
    <row r="35496">
      <c r="BB35496" s="122"/>
      <c r="BC35496" s="141"/>
    </row>
    <row r="35497">
      <c r="BB35497" s="122"/>
      <c r="BC35497" s="141"/>
    </row>
    <row r="35498">
      <c r="BB35498" s="122"/>
      <c r="BC35498" s="141"/>
    </row>
    <row r="35499">
      <c r="BB35499" s="122"/>
      <c r="BC35499" s="141"/>
    </row>
    <row r="35500">
      <c r="BB35500" s="122"/>
      <c r="BC35500" s="141"/>
    </row>
    <row r="35501">
      <c r="BB35501" s="122"/>
      <c r="BC35501" s="141"/>
    </row>
    <row r="35502">
      <c r="BB35502" s="122"/>
      <c r="BC35502" s="141"/>
    </row>
    <row r="35503">
      <c r="BB35503" s="122"/>
      <c r="BC35503" s="141"/>
    </row>
    <row r="35504">
      <c r="BB35504" s="122"/>
      <c r="BC35504" s="141"/>
    </row>
    <row r="35505">
      <c r="BB35505" s="122"/>
      <c r="BC35505" s="141"/>
    </row>
    <row r="35506">
      <c r="BB35506" s="122"/>
      <c r="BC35506" s="141"/>
    </row>
    <row r="35507">
      <c r="BB35507" s="122"/>
      <c r="BC35507" s="141"/>
    </row>
    <row r="35508">
      <c r="BB35508" s="122"/>
      <c r="BC35508" s="141"/>
    </row>
    <row r="35509">
      <c r="BB35509" s="122"/>
      <c r="BC35509" s="141"/>
    </row>
    <row r="35510">
      <c r="BB35510" s="122"/>
      <c r="BC35510" s="141"/>
    </row>
    <row r="35511">
      <c r="BB35511" s="122"/>
      <c r="BC35511" s="141"/>
    </row>
    <row r="35512">
      <c r="BB35512" s="122"/>
      <c r="BC35512" s="141"/>
    </row>
    <row r="35513">
      <c r="BB35513" s="122"/>
      <c r="BC35513" s="141"/>
    </row>
    <row r="35514">
      <c r="BB35514" s="122"/>
      <c r="BC35514" s="141"/>
    </row>
    <row r="35515">
      <c r="BB35515" s="122"/>
      <c r="BC35515" s="141"/>
    </row>
    <row r="35516">
      <c r="BB35516" s="122"/>
      <c r="BC35516" s="141"/>
    </row>
    <row r="35517">
      <c r="BB35517" s="122"/>
      <c r="BC35517" s="141"/>
    </row>
    <row r="35518">
      <c r="BB35518" s="122"/>
      <c r="BC35518" s="141"/>
    </row>
    <row r="35519">
      <c r="BB35519" s="122"/>
      <c r="BC35519" s="141"/>
    </row>
    <row r="35520">
      <c r="BB35520" s="122"/>
      <c r="BC35520" s="141"/>
    </row>
    <row r="35521">
      <c r="BB35521" s="122"/>
      <c r="BC35521" s="141"/>
    </row>
    <row r="35522">
      <c r="BB35522" s="122"/>
      <c r="BC35522" s="141"/>
    </row>
    <row r="35523">
      <c r="BB35523" s="122"/>
      <c r="BC35523" s="141"/>
    </row>
    <row r="35524">
      <c r="BB35524" s="122"/>
      <c r="BC35524" s="141"/>
    </row>
    <row r="35525">
      <c r="BB35525" s="122"/>
      <c r="BC35525" s="141"/>
    </row>
    <row r="35526">
      <c r="BB35526" s="122"/>
      <c r="BC35526" s="141"/>
    </row>
    <row r="35527">
      <c r="BB35527" s="122"/>
      <c r="BC35527" s="141"/>
    </row>
    <row r="35528">
      <c r="BB35528" s="122"/>
      <c r="BC35528" s="141"/>
    </row>
    <row r="35529">
      <c r="BB35529" s="122"/>
      <c r="BC35529" s="141"/>
    </row>
    <row r="35530">
      <c r="BB35530" s="122"/>
      <c r="BC35530" s="141"/>
    </row>
    <row r="35531">
      <c r="BB35531" s="122"/>
      <c r="BC35531" s="141"/>
    </row>
    <row r="35532">
      <c r="BB35532" s="122"/>
      <c r="BC35532" s="141"/>
    </row>
    <row r="35533">
      <c r="BB35533" s="122"/>
      <c r="BC35533" s="141"/>
    </row>
    <row r="35534">
      <c r="BB35534" s="122"/>
      <c r="BC35534" s="141"/>
    </row>
    <row r="35535">
      <c r="BB35535" s="122"/>
      <c r="BC35535" s="141"/>
    </row>
    <row r="35536">
      <c r="BB35536" s="122"/>
      <c r="BC35536" s="141"/>
    </row>
    <row r="35537">
      <c r="BB35537" s="122"/>
      <c r="BC35537" s="141"/>
    </row>
    <row r="35538">
      <c r="BB35538" s="122"/>
      <c r="BC35538" s="141"/>
    </row>
    <row r="35539">
      <c r="BB35539" s="122"/>
      <c r="BC35539" s="141"/>
    </row>
    <row r="35540">
      <c r="BB35540" s="122"/>
      <c r="BC35540" s="141"/>
    </row>
    <row r="35541">
      <c r="BB35541" s="122"/>
      <c r="BC35541" s="141"/>
    </row>
    <row r="35542">
      <c r="BB35542" s="122"/>
      <c r="BC35542" s="141"/>
    </row>
    <row r="35543">
      <c r="BB35543" s="122"/>
      <c r="BC35543" s="141"/>
    </row>
    <row r="35544">
      <c r="BB35544" s="122"/>
      <c r="BC35544" s="141"/>
    </row>
    <row r="35545">
      <c r="BB35545" s="122"/>
      <c r="BC35545" s="141"/>
    </row>
    <row r="35546">
      <c r="BB35546" s="122"/>
      <c r="BC35546" s="141"/>
    </row>
    <row r="35547">
      <c r="BB35547" s="122"/>
      <c r="BC35547" s="141"/>
    </row>
    <row r="35548">
      <c r="BB35548" s="122"/>
      <c r="BC35548" s="141"/>
    </row>
    <row r="35549">
      <c r="BB35549" s="122"/>
      <c r="BC35549" s="141"/>
    </row>
    <row r="35550">
      <c r="BB35550" s="122"/>
      <c r="BC35550" s="141"/>
    </row>
    <row r="35551">
      <c r="BB35551" s="122"/>
      <c r="BC35551" s="141"/>
    </row>
    <row r="35552">
      <c r="BB35552" s="122"/>
      <c r="BC35552" s="141"/>
    </row>
    <row r="35553">
      <c r="BB35553" s="122"/>
      <c r="BC35553" s="141"/>
    </row>
    <row r="35554">
      <c r="BB35554" s="122"/>
      <c r="BC35554" s="141"/>
    </row>
    <row r="35555">
      <c r="BB35555" s="122"/>
      <c r="BC35555" s="141"/>
    </row>
    <row r="35556">
      <c r="BB35556" s="122"/>
      <c r="BC35556" s="141"/>
    </row>
    <row r="35557">
      <c r="BB35557" s="122"/>
      <c r="BC35557" s="141"/>
    </row>
    <row r="35558">
      <c r="BB35558" s="122"/>
      <c r="BC35558" s="141"/>
    </row>
    <row r="35559">
      <c r="BB35559" s="122"/>
      <c r="BC35559" s="141"/>
    </row>
    <row r="35560">
      <c r="BB35560" s="122"/>
      <c r="BC35560" s="141"/>
    </row>
    <row r="35561">
      <c r="BB35561" s="122"/>
      <c r="BC35561" s="141"/>
    </row>
    <row r="35562">
      <c r="BB35562" s="122"/>
      <c r="BC35562" s="141"/>
    </row>
    <row r="35563">
      <c r="BB35563" s="122"/>
      <c r="BC35563" s="141"/>
    </row>
    <row r="35564">
      <c r="BB35564" s="122"/>
      <c r="BC35564" s="141"/>
    </row>
    <row r="35565">
      <c r="BB35565" s="122"/>
      <c r="BC35565" s="141"/>
    </row>
    <row r="35566">
      <c r="BB35566" s="122"/>
      <c r="BC35566" s="141"/>
    </row>
    <row r="35567">
      <c r="BB35567" s="122"/>
      <c r="BC35567" s="141"/>
    </row>
    <row r="35568">
      <c r="BB35568" s="122"/>
      <c r="BC35568" s="141"/>
    </row>
    <row r="35569">
      <c r="BB35569" s="122"/>
      <c r="BC35569" s="141"/>
    </row>
    <row r="35570">
      <c r="BB35570" s="122"/>
      <c r="BC35570" s="141"/>
    </row>
    <row r="35571">
      <c r="BB35571" s="122"/>
      <c r="BC35571" s="141"/>
    </row>
    <row r="35572">
      <c r="BB35572" s="122"/>
      <c r="BC35572" s="141"/>
    </row>
    <row r="35573">
      <c r="BB35573" s="122"/>
      <c r="BC35573" s="141"/>
    </row>
    <row r="35574">
      <c r="BB35574" s="122"/>
      <c r="BC35574" s="141"/>
    </row>
    <row r="35575">
      <c r="BB35575" s="122"/>
      <c r="BC35575" s="141"/>
    </row>
    <row r="35576">
      <c r="BB35576" s="122"/>
      <c r="BC35576" s="141"/>
    </row>
    <row r="35577">
      <c r="BB35577" s="122"/>
      <c r="BC35577" s="141"/>
    </row>
    <row r="35578">
      <c r="BB35578" s="122"/>
      <c r="BC35578" s="141"/>
    </row>
    <row r="35579">
      <c r="BB35579" s="122"/>
      <c r="BC35579" s="141"/>
    </row>
    <row r="35580">
      <c r="BB35580" s="122"/>
      <c r="BC35580" s="141"/>
    </row>
    <row r="35581">
      <c r="BB35581" s="122"/>
      <c r="BC35581" s="141"/>
    </row>
    <row r="35582">
      <c r="BB35582" s="122"/>
      <c r="BC35582" s="141"/>
    </row>
    <row r="35583">
      <c r="BB35583" s="122"/>
      <c r="BC35583" s="141"/>
    </row>
    <row r="35584">
      <c r="BB35584" s="122"/>
      <c r="BC35584" s="141"/>
    </row>
    <row r="35585">
      <c r="BB35585" s="122"/>
      <c r="BC35585" s="141"/>
    </row>
    <row r="35586">
      <c r="BB35586" s="122"/>
      <c r="BC35586" s="141"/>
    </row>
    <row r="35587">
      <c r="BB35587" s="122"/>
      <c r="BC35587" s="141"/>
    </row>
    <row r="35588">
      <c r="BB35588" s="122"/>
      <c r="BC35588" s="141"/>
    </row>
    <row r="35589">
      <c r="BB35589" s="122"/>
      <c r="BC35589" s="141"/>
    </row>
    <row r="35590">
      <c r="BB35590" s="122"/>
      <c r="BC35590" s="141"/>
    </row>
    <row r="35591">
      <c r="BB35591" s="122"/>
      <c r="BC35591" s="141"/>
    </row>
    <row r="35592">
      <c r="BB35592" s="122"/>
      <c r="BC35592" s="141"/>
    </row>
    <row r="35593">
      <c r="BB35593" s="122"/>
      <c r="BC35593" s="141"/>
    </row>
    <row r="35594">
      <c r="BB35594" s="122"/>
      <c r="BC35594" s="141"/>
    </row>
    <row r="35595">
      <c r="BB35595" s="122"/>
      <c r="BC35595" s="141"/>
    </row>
    <row r="35596">
      <c r="BB35596" s="122"/>
      <c r="BC35596" s="141"/>
    </row>
    <row r="35597">
      <c r="BB35597" s="122"/>
      <c r="BC35597" s="141"/>
    </row>
    <row r="35598">
      <c r="BB35598" s="122"/>
      <c r="BC35598" s="141"/>
    </row>
    <row r="35599">
      <c r="BB35599" s="122"/>
      <c r="BC35599" s="141"/>
    </row>
    <row r="35600">
      <c r="BB35600" s="122"/>
      <c r="BC35600" s="141"/>
    </row>
    <row r="35601">
      <c r="BB35601" s="122"/>
      <c r="BC35601" s="141"/>
    </row>
    <row r="35602">
      <c r="BB35602" s="122"/>
      <c r="BC35602" s="141"/>
    </row>
    <row r="35603">
      <c r="BB35603" s="122"/>
      <c r="BC35603" s="141"/>
    </row>
    <row r="35604">
      <c r="BB35604" s="122"/>
      <c r="BC35604" s="141"/>
    </row>
    <row r="35605">
      <c r="BB35605" s="122"/>
      <c r="BC35605" s="141"/>
    </row>
    <row r="35606">
      <c r="BB35606" s="122"/>
      <c r="BC35606" s="141"/>
    </row>
    <row r="35607">
      <c r="BB35607" s="122"/>
      <c r="BC35607" s="141"/>
    </row>
    <row r="35608">
      <c r="BB35608" s="122"/>
      <c r="BC35608" s="141"/>
    </row>
    <row r="35609">
      <c r="BB35609" s="122"/>
      <c r="BC35609" s="141"/>
    </row>
    <row r="35610">
      <c r="BB35610" s="122"/>
      <c r="BC35610" s="141"/>
    </row>
    <row r="35611">
      <c r="BB35611" s="122"/>
      <c r="BC35611" s="141"/>
    </row>
    <row r="35612">
      <c r="BB35612" s="122"/>
      <c r="BC35612" s="141"/>
    </row>
    <row r="35613">
      <c r="BB35613" s="122"/>
      <c r="BC35613" s="141"/>
    </row>
    <row r="35614">
      <c r="BB35614" s="122"/>
      <c r="BC35614" s="141"/>
    </row>
    <row r="35615">
      <c r="BB35615" s="122"/>
      <c r="BC35615" s="141"/>
    </row>
    <row r="35616">
      <c r="BB35616" s="122"/>
      <c r="BC35616" s="141"/>
    </row>
    <row r="35617">
      <c r="BB35617" s="122"/>
      <c r="BC35617" s="141"/>
    </row>
    <row r="35618">
      <c r="BB35618" s="122"/>
      <c r="BC35618" s="141"/>
    </row>
    <row r="35619">
      <c r="BB35619" s="122"/>
      <c r="BC35619" s="141"/>
    </row>
    <row r="35620">
      <c r="BB35620" s="122"/>
      <c r="BC35620" s="141"/>
    </row>
    <row r="35621">
      <c r="BB35621" s="122"/>
      <c r="BC35621" s="141"/>
    </row>
    <row r="35622">
      <c r="BB35622" s="122"/>
      <c r="BC35622" s="141"/>
    </row>
    <row r="35623">
      <c r="BB35623" s="122"/>
      <c r="BC35623" s="141"/>
    </row>
    <row r="35624">
      <c r="BB35624" s="122"/>
      <c r="BC35624" s="141"/>
    </row>
    <row r="35625">
      <c r="BB35625" s="122"/>
      <c r="BC35625" s="141"/>
    </row>
    <row r="35626">
      <c r="BB35626" s="122"/>
      <c r="BC35626" s="141"/>
    </row>
    <row r="35627">
      <c r="BB35627" s="122"/>
      <c r="BC35627" s="141"/>
    </row>
    <row r="35628">
      <c r="BB35628" s="122"/>
      <c r="BC35628" s="141"/>
    </row>
    <row r="35629">
      <c r="BB35629" s="122"/>
      <c r="BC35629" s="141"/>
    </row>
    <row r="35630">
      <c r="BB35630" s="122"/>
      <c r="BC35630" s="141"/>
    </row>
    <row r="35631">
      <c r="BB35631" s="122"/>
      <c r="BC35631" s="141"/>
    </row>
    <row r="35632">
      <c r="BB35632" s="122"/>
      <c r="BC35632" s="141"/>
    </row>
    <row r="35633">
      <c r="BB35633" s="122"/>
      <c r="BC35633" s="141"/>
    </row>
    <row r="35634">
      <c r="BB35634" s="122"/>
      <c r="BC35634" s="141"/>
    </row>
    <row r="35635">
      <c r="BB35635" s="122"/>
      <c r="BC35635" s="141"/>
    </row>
    <row r="35636">
      <c r="BB35636" s="122"/>
      <c r="BC35636" s="141"/>
    </row>
    <row r="35637">
      <c r="BB35637" s="122"/>
      <c r="BC35637" s="141"/>
    </row>
    <row r="35638">
      <c r="BB35638" s="122"/>
      <c r="BC35638" s="141"/>
    </row>
    <row r="35639">
      <c r="BB35639" s="122"/>
      <c r="BC35639" s="141"/>
    </row>
    <row r="35640">
      <c r="BB35640" s="122"/>
      <c r="BC35640" s="141"/>
    </row>
    <row r="35641">
      <c r="BB35641" s="122"/>
      <c r="BC35641" s="141"/>
    </row>
    <row r="35642">
      <c r="BB35642" s="122"/>
      <c r="BC35642" s="141"/>
    </row>
    <row r="35643">
      <c r="BB35643" s="122"/>
      <c r="BC35643" s="141"/>
    </row>
    <row r="35644">
      <c r="BB35644" s="122"/>
      <c r="BC35644" s="141"/>
    </row>
    <row r="35645">
      <c r="BB35645" s="122"/>
      <c r="BC35645" s="141"/>
    </row>
    <row r="35646">
      <c r="BB35646" s="122"/>
      <c r="BC35646" s="141"/>
    </row>
    <row r="35647">
      <c r="BB35647" s="122"/>
      <c r="BC35647" s="141"/>
    </row>
    <row r="35648">
      <c r="BB35648" s="122"/>
      <c r="BC35648" s="141"/>
    </row>
    <row r="35649">
      <c r="BB35649" s="122"/>
      <c r="BC35649" s="141"/>
    </row>
    <row r="35650">
      <c r="BB35650" s="122"/>
      <c r="BC35650" s="141"/>
    </row>
    <row r="35651">
      <c r="BB35651" s="122"/>
      <c r="BC35651" s="141"/>
    </row>
    <row r="35652">
      <c r="BB35652" s="122"/>
      <c r="BC35652" s="141"/>
    </row>
    <row r="35653">
      <c r="BB35653" s="122"/>
      <c r="BC35653" s="141"/>
    </row>
    <row r="35654">
      <c r="BB35654" s="122"/>
      <c r="BC35654" s="141"/>
    </row>
    <row r="35655">
      <c r="BB35655" s="122"/>
      <c r="BC35655" s="141"/>
    </row>
    <row r="35656">
      <c r="BB35656" s="122"/>
      <c r="BC35656" s="141"/>
    </row>
    <row r="35657">
      <c r="BB35657" s="122"/>
      <c r="BC35657" s="141"/>
    </row>
    <row r="35658">
      <c r="BB35658" s="122"/>
      <c r="BC35658" s="141"/>
    </row>
    <row r="35659">
      <c r="BB35659" s="122"/>
      <c r="BC35659" s="141"/>
    </row>
    <row r="35660">
      <c r="BB35660" s="122"/>
      <c r="BC35660" s="141"/>
    </row>
    <row r="35661">
      <c r="BB35661" s="122"/>
      <c r="BC35661" s="141"/>
    </row>
    <row r="35662">
      <c r="BB35662" s="122"/>
      <c r="BC35662" s="141"/>
    </row>
    <row r="35663">
      <c r="BB35663" s="122"/>
      <c r="BC35663" s="141"/>
    </row>
    <row r="35664">
      <c r="BB35664" s="122"/>
      <c r="BC35664" s="141"/>
    </row>
    <row r="35665">
      <c r="BB35665" s="122"/>
      <c r="BC35665" s="141"/>
    </row>
    <row r="35666">
      <c r="BB35666" s="122"/>
      <c r="BC35666" s="141"/>
    </row>
    <row r="35667">
      <c r="BB35667" s="122"/>
      <c r="BC35667" s="141"/>
    </row>
    <row r="35668">
      <c r="BB35668" s="122"/>
      <c r="BC35668" s="141"/>
    </row>
    <row r="35669">
      <c r="BB35669" s="122"/>
      <c r="BC35669" s="141"/>
    </row>
    <row r="35670">
      <c r="BB35670" s="122"/>
      <c r="BC35670" s="141"/>
    </row>
    <row r="35671">
      <c r="BB35671" s="122"/>
      <c r="BC35671" s="141"/>
    </row>
    <row r="35672">
      <c r="BB35672" s="122"/>
      <c r="BC35672" s="141"/>
    </row>
    <row r="35673">
      <c r="BB35673" s="122"/>
      <c r="BC35673" s="141"/>
    </row>
    <row r="35674">
      <c r="BB35674" s="122"/>
      <c r="BC35674" s="141"/>
    </row>
    <row r="35675">
      <c r="BB35675" s="122"/>
      <c r="BC35675" s="141"/>
    </row>
    <row r="35676">
      <c r="BB35676" s="122"/>
      <c r="BC35676" s="141"/>
    </row>
    <row r="35677">
      <c r="BB35677" s="122"/>
      <c r="BC35677" s="141"/>
    </row>
    <row r="35678">
      <c r="BB35678" s="122"/>
      <c r="BC35678" s="141"/>
    </row>
    <row r="35679">
      <c r="BB35679" s="122"/>
      <c r="BC35679" s="141"/>
    </row>
    <row r="35680">
      <c r="BB35680" s="122"/>
      <c r="BC35680" s="141"/>
    </row>
    <row r="35681">
      <c r="BB35681" s="122"/>
      <c r="BC35681" s="141"/>
    </row>
    <row r="35682">
      <c r="BB35682" s="122"/>
      <c r="BC35682" s="141"/>
    </row>
    <row r="35683">
      <c r="BB35683" s="122"/>
      <c r="BC35683" s="141"/>
    </row>
    <row r="35684">
      <c r="BB35684" s="122"/>
      <c r="BC35684" s="141"/>
    </row>
    <row r="35685">
      <c r="BB35685" s="122"/>
      <c r="BC35685" s="141"/>
    </row>
    <row r="35686">
      <c r="BB35686" s="122"/>
      <c r="BC35686" s="141"/>
    </row>
    <row r="35687">
      <c r="BB35687" s="122"/>
      <c r="BC35687" s="141"/>
    </row>
    <row r="35688">
      <c r="BB35688" s="122"/>
      <c r="BC35688" s="141"/>
    </row>
    <row r="35689">
      <c r="BB35689" s="122"/>
      <c r="BC35689" s="141"/>
    </row>
    <row r="35690">
      <c r="BB35690" s="122"/>
      <c r="BC35690" s="141"/>
    </row>
    <row r="35691">
      <c r="BB35691" s="122"/>
      <c r="BC35691" s="141"/>
    </row>
    <row r="35692">
      <c r="BB35692" s="122"/>
      <c r="BC35692" s="141"/>
    </row>
    <row r="35693">
      <c r="BB35693" s="122"/>
      <c r="BC35693" s="141"/>
    </row>
    <row r="35694">
      <c r="BB35694" s="122"/>
      <c r="BC35694" s="141"/>
    </row>
    <row r="35695">
      <c r="BB35695" s="122"/>
      <c r="BC35695" s="141"/>
    </row>
    <row r="35696">
      <c r="BB35696" s="122"/>
      <c r="BC35696" s="141"/>
    </row>
    <row r="35697">
      <c r="BB35697" s="122"/>
      <c r="BC35697" s="141"/>
    </row>
    <row r="35698">
      <c r="BB35698" s="122"/>
      <c r="BC35698" s="141"/>
    </row>
    <row r="35699">
      <c r="BB35699" s="122"/>
      <c r="BC35699" s="141"/>
    </row>
    <row r="35700">
      <c r="BB35700" s="122"/>
      <c r="BC35700" s="141"/>
    </row>
    <row r="35701">
      <c r="BB35701" s="122"/>
      <c r="BC35701" s="141"/>
    </row>
    <row r="35702">
      <c r="BB35702" s="122"/>
      <c r="BC35702" s="141"/>
    </row>
    <row r="35703">
      <c r="BB35703" s="122"/>
      <c r="BC35703" s="141"/>
    </row>
    <row r="35704">
      <c r="BB35704" s="122"/>
      <c r="BC35704" s="141"/>
    </row>
    <row r="35705">
      <c r="BB35705" s="122"/>
      <c r="BC35705" s="141"/>
    </row>
    <row r="35706">
      <c r="BB35706" s="122"/>
      <c r="BC35706" s="141"/>
    </row>
    <row r="35707">
      <c r="BB35707" s="122"/>
      <c r="BC35707" s="141"/>
    </row>
    <row r="35708">
      <c r="BB35708" s="122"/>
      <c r="BC35708" s="141"/>
    </row>
    <row r="35709">
      <c r="BB35709" s="122"/>
      <c r="BC35709" s="141"/>
    </row>
    <row r="35710">
      <c r="BB35710" s="122"/>
      <c r="BC35710" s="141"/>
    </row>
    <row r="35711">
      <c r="BB35711" s="122"/>
      <c r="BC35711" s="141"/>
    </row>
    <row r="35712">
      <c r="BB35712" s="122"/>
      <c r="BC35712" s="141"/>
    </row>
    <row r="35713">
      <c r="BB35713" s="122"/>
      <c r="BC35713" s="141"/>
    </row>
    <row r="35714">
      <c r="BB35714" s="122"/>
      <c r="BC35714" s="141"/>
    </row>
    <row r="35715">
      <c r="BB35715" s="122"/>
      <c r="BC35715" s="141"/>
    </row>
    <row r="35716">
      <c r="BB35716" s="122"/>
      <c r="BC35716" s="141"/>
    </row>
    <row r="35717">
      <c r="BB35717" s="122"/>
      <c r="BC35717" s="141"/>
    </row>
    <row r="35718">
      <c r="BB35718" s="122"/>
      <c r="BC35718" s="141"/>
    </row>
    <row r="35719">
      <c r="BB35719" s="122"/>
      <c r="BC35719" s="141"/>
    </row>
    <row r="35720">
      <c r="BB35720" s="122"/>
      <c r="BC35720" s="141"/>
    </row>
    <row r="35721">
      <c r="BB35721" s="122"/>
      <c r="BC35721" s="141"/>
    </row>
    <row r="35722">
      <c r="BB35722" s="122"/>
      <c r="BC35722" s="141"/>
    </row>
    <row r="35723">
      <c r="BB35723" s="122"/>
      <c r="BC35723" s="141"/>
    </row>
    <row r="35724">
      <c r="BB35724" s="122"/>
      <c r="BC35724" s="141"/>
    </row>
    <row r="35725">
      <c r="BB35725" s="122"/>
      <c r="BC35725" s="141"/>
    </row>
    <row r="35726">
      <c r="BB35726" s="122"/>
      <c r="BC35726" s="141"/>
    </row>
    <row r="35727">
      <c r="BB35727" s="122"/>
      <c r="BC35727" s="141"/>
    </row>
    <row r="35728">
      <c r="BB35728" s="122"/>
      <c r="BC35728" s="141"/>
    </row>
    <row r="35729">
      <c r="BB35729" s="122"/>
      <c r="BC35729" s="141"/>
    </row>
    <row r="35730">
      <c r="BB35730" s="122"/>
      <c r="BC35730" s="141"/>
    </row>
    <row r="35731">
      <c r="BB35731" s="122"/>
      <c r="BC35731" s="141"/>
    </row>
    <row r="35732">
      <c r="BB35732" s="122"/>
      <c r="BC35732" s="141"/>
    </row>
    <row r="35733">
      <c r="BB35733" s="122"/>
      <c r="BC35733" s="141"/>
    </row>
    <row r="35734">
      <c r="BB35734" s="122"/>
      <c r="BC35734" s="141"/>
    </row>
    <row r="35735">
      <c r="BB35735" s="122"/>
      <c r="BC35735" s="141"/>
    </row>
    <row r="35736">
      <c r="BB35736" s="122"/>
      <c r="BC35736" s="141"/>
    </row>
    <row r="35737">
      <c r="BB35737" s="122"/>
      <c r="BC35737" s="141"/>
    </row>
    <row r="35738">
      <c r="BB35738" s="122"/>
      <c r="BC35738" s="141"/>
    </row>
    <row r="35739">
      <c r="BB35739" s="122"/>
      <c r="BC35739" s="141"/>
    </row>
    <row r="35740">
      <c r="BB35740" s="122"/>
      <c r="BC35740" s="141"/>
    </row>
    <row r="35741">
      <c r="BB35741" s="122"/>
      <c r="BC35741" s="141"/>
    </row>
    <row r="35742">
      <c r="BB35742" s="122"/>
      <c r="BC35742" s="141"/>
    </row>
    <row r="35743">
      <c r="BB35743" s="122"/>
      <c r="BC35743" s="141"/>
    </row>
    <row r="35744">
      <c r="BB35744" s="122"/>
      <c r="BC35744" s="141"/>
    </row>
    <row r="35745">
      <c r="BB35745" s="122"/>
      <c r="BC35745" s="141"/>
    </row>
    <row r="35746">
      <c r="BB35746" s="122"/>
      <c r="BC35746" s="141"/>
    </row>
    <row r="35747">
      <c r="BB35747" s="122"/>
      <c r="BC35747" s="141"/>
    </row>
    <row r="35748">
      <c r="BB35748" s="122"/>
      <c r="BC35748" s="141"/>
    </row>
    <row r="35749">
      <c r="BB35749" s="122"/>
      <c r="BC35749" s="141"/>
    </row>
    <row r="35750">
      <c r="BB35750" s="122"/>
      <c r="BC35750" s="141"/>
    </row>
    <row r="35751">
      <c r="BB35751" s="122"/>
      <c r="BC35751" s="141"/>
    </row>
    <row r="35752">
      <c r="BB35752" s="122"/>
      <c r="BC35752" s="141"/>
    </row>
    <row r="35753">
      <c r="BB35753" s="122"/>
      <c r="BC35753" s="141"/>
    </row>
    <row r="35754">
      <c r="BB35754" s="122"/>
      <c r="BC35754" s="141"/>
    </row>
    <row r="35755">
      <c r="BB35755" s="122"/>
      <c r="BC35755" s="141"/>
    </row>
    <row r="35756">
      <c r="BB35756" s="122"/>
      <c r="BC35756" s="141"/>
    </row>
    <row r="35757">
      <c r="BB35757" s="122"/>
      <c r="BC35757" s="141"/>
    </row>
    <row r="35758">
      <c r="BB35758" s="122"/>
      <c r="BC35758" s="141"/>
    </row>
    <row r="35759">
      <c r="BB35759" s="122"/>
      <c r="BC35759" s="141"/>
    </row>
    <row r="35760">
      <c r="BB35760" s="122"/>
      <c r="BC35760" s="141"/>
    </row>
    <row r="35761">
      <c r="BB35761" s="122"/>
      <c r="BC35761" s="141"/>
    </row>
    <row r="35762">
      <c r="BB35762" s="122"/>
      <c r="BC35762" s="141"/>
    </row>
    <row r="35763">
      <c r="BB35763" s="122"/>
      <c r="BC35763" s="141"/>
    </row>
    <row r="35764">
      <c r="BB35764" s="122"/>
      <c r="BC35764" s="141"/>
    </row>
    <row r="35765">
      <c r="BB35765" s="122"/>
      <c r="BC35765" s="141"/>
    </row>
    <row r="35766">
      <c r="BB35766" s="122"/>
      <c r="BC35766" s="141"/>
    </row>
    <row r="35767">
      <c r="BB35767" s="122"/>
      <c r="BC35767" s="141"/>
    </row>
    <row r="35768">
      <c r="BB35768" s="122"/>
      <c r="BC35768" s="141"/>
    </row>
    <row r="35769">
      <c r="BB35769" s="122"/>
      <c r="BC35769" s="141"/>
    </row>
    <row r="35770">
      <c r="BB35770" s="122"/>
      <c r="BC35770" s="141"/>
    </row>
    <row r="35771">
      <c r="BB35771" s="122"/>
      <c r="BC35771" s="141"/>
    </row>
    <row r="35772">
      <c r="BB35772" s="122"/>
      <c r="BC35772" s="141"/>
    </row>
    <row r="35773">
      <c r="BB35773" s="122"/>
      <c r="BC35773" s="141"/>
    </row>
    <row r="35774">
      <c r="BB35774" s="122"/>
      <c r="BC35774" s="141"/>
    </row>
    <row r="35775">
      <c r="BB35775" s="122"/>
      <c r="BC35775" s="141"/>
    </row>
    <row r="35776">
      <c r="BB35776" s="122"/>
      <c r="BC35776" s="141"/>
    </row>
    <row r="35777">
      <c r="BB35777" s="122"/>
      <c r="BC35777" s="141"/>
    </row>
    <row r="35778">
      <c r="BB35778" s="122"/>
      <c r="BC35778" s="141"/>
    </row>
    <row r="35779">
      <c r="BB35779" s="122"/>
      <c r="BC35779" s="141"/>
    </row>
    <row r="35780">
      <c r="BB35780" s="122"/>
      <c r="BC35780" s="141"/>
    </row>
    <row r="35781">
      <c r="BB35781" s="122"/>
      <c r="BC35781" s="141"/>
    </row>
    <row r="35782">
      <c r="BB35782" s="122"/>
      <c r="BC35782" s="141"/>
    </row>
    <row r="35783">
      <c r="BB35783" s="122"/>
      <c r="BC35783" s="141"/>
    </row>
    <row r="35784">
      <c r="BB35784" s="122"/>
      <c r="BC35784" s="141"/>
    </row>
    <row r="35785">
      <c r="BB35785" s="122"/>
      <c r="BC35785" s="141"/>
    </row>
    <row r="35786">
      <c r="BB35786" s="122"/>
      <c r="BC35786" s="141"/>
    </row>
    <row r="35787">
      <c r="BB35787" s="122"/>
      <c r="BC35787" s="141"/>
    </row>
    <row r="35788">
      <c r="BB35788" s="122"/>
      <c r="BC35788" s="141"/>
    </row>
    <row r="35789">
      <c r="BB35789" s="122"/>
      <c r="BC35789" s="141"/>
    </row>
    <row r="35790">
      <c r="BB35790" s="122"/>
      <c r="BC35790" s="141"/>
    </row>
    <row r="35791">
      <c r="BB35791" s="122"/>
      <c r="BC35791" s="141"/>
    </row>
    <row r="35792">
      <c r="BB35792" s="122"/>
      <c r="BC35792" s="141"/>
    </row>
    <row r="35793">
      <c r="BB35793" s="122"/>
      <c r="BC35793" s="141"/>
    </row>
    <row r="35794">
      <c r="BB35794" s="122"/>
      <c r="BC35794" s="141"/>
    </row>
    <row r="35795">
      <c r="BB35795" s="122"/>
      <c r="BC35795" s="141"/>
    </row>
    <row r="35796">
      <c r="BB35796" s="122"/>
      <c r="BC35796" s="141"/>
    </row>
    <row r="35797">
      <c r="BB35797" s="122"/>
      <c r="BC35797" s="141"/>
    </row>
    <row r="35798">
      <c r="BB35798" s="122"/>
      <c r="BC35798" s="141"/>
    </row>
    <row r="35799">
      <c r="BB35799" s="122"/>
      <c r="BC35799" s="141"/>
    </row>
    <row r="35800">
      <c r="BB35800" s="122"/>
      <c r="BC35800" s="141"/>
    </row>
    <row r="35801">
      <c r="BB35801" s="122"/>
      <c r="BC35801" s="141"/>
    </row>
    <row r="35802">
      <c r="BB35802" s="122"/>
      <c r="BC35802" s="141"/>
    </row>
    <row r="35803">
      <c r="BB35803" s="122"/>
      <c r="BC35803" s="141"/>
    </row>
    <row r="35804">
      <c r="BB35804" s="122"/>
      <c r="BC35804" s="141"/>
    </row>
    <row r="35805">
      <c r="BB35805" s="122"/>
      <c r="BC35805" s="141"/>
    </row>
    <row r="35806">
      <c r="BB35806" s="122"/>
      <c r="BC35806" s="141"/>
    </row>
    <row r="35807">
      <c r="BB35807" s="122"/>
      <c r="BC35807" s="141"/>
    </row>
    <row r="35808">
      <c r="BB35808" s="122"/>
      <c r="BC35808" s="141"/>
    </row>
    <row r="35809">
      <c r="BB35809" s="122"/>
      <c r="BC35809" s="141"/>
    </row>
    <row r="35810">
      <c r="BB35810" s="122"/>
      <c r="BC35810" s="141"/>
    </row>
    <row r="35811">
      <c r="BB35811" s="122"/>
      <c r="BC35811" s="141"/>
    </row>
    <row r="35812">
      <c r="BB35812" s="122"/>
      <c r="BC35812" s="141"/>
    </row>
    <row r="35813">
      <c r="BB35813" s="122"/>
      <c r="BC35813" s="141"/>
    </row>
    <row r="35814">
      <c r="BB35814" s="122"/>
      <c r="BC35814" s="141"/>
    </row>
    <row r="35815">
      <c r="BB35815" s="122"/>
      <c r="BC35815" s="141"/>
    </row>
    <row r="35816">
      <c r="BB35816" s="122"/>
      <c r="BC35816" s="141"/>
    </row>
    <row r="35817">
      <c r="BB35817" s="122"/>
      <c r="BC35817" s="141"/>
    </row>
    <row r="35818">
      <c r="BB35818" s="122"/>
      <c r="BC35818" s="141"/>
    </row>
    <row r="35819">
      <c r="BB35819" s="122"/>
      <c r="BC35819" s="141"/>
    </row>
    <row r="35820">
      <c r="BB35820" s="122"/>
      <c r="BC35820" s="141"/>
    </row>
    <row r="35821">
      <c r="BB35821" s="122"/>
      <c r="BC35821" s="141"/>
    </row>
    <row r="35822">
      <c r="BB35822" s="122"/>
      <c r="BC35822" s="141"/>
    </row>
    <row r="35823">
      <c r="BB35823" s="122"/>
      <c r="BC35823" s="141"/>
    </row>
    <row r="35824">
      <c r="BB35824" s="122"/>
      <c r="BC35824" s="141"/>
    </row>
    <row r="35825">
      <c r="BB35825" s="122"/>
      <c r="BC35825" s="141"/>
    </row>
    <row r="35826">
      <c r="BB35826" s="122"/>
      <c r="BC35826" s="141"/>
    </row>
    <row r="35827">
      <c r="BB35827" s="122"/>
      <c r="BC35827" s="141"/>
    </row>
    <row r="35828">
      <c r="BB35828" s="122"/>
      <c r="BC35828" s="141"/>
    </row>
    <row r="35829">
      <c r="BB35829" s="122"/>
      <c r="BC35829" s="141"/>
    </row>
    <row r="35830">
      <c r="BB35830" s="122"/>
      <c r="BC35830" s="141"/>
    </row>
    <row r="35831">
      <c r="BB35831" s="122"/>
      <c r="BC35831" s="141"/>
    </row>
    <row r="35832">
      <c r="BB35832" s="122"/>
      <c r="BC35832" s="141"/>
    </row>
    <row r="35833">
      <c r="BB35833" s="122"/>
      <c r="BC35833" s="141"/>
    </row>
    <row r="35834">
      <c r="BB35834" s="122"/>
      <c r="BC35834" s="141"/>
    </row>
    <row r="35835">
      <c r="BB35835" s="122"/>
      <c r="BC35835" s="141"/>
    </row>
    <row r="35836">
      <c r="BB35836" s="122"/>
      <c r="BC35836" s="141"/>
    </row>
    <row r="35837">
      <c r="BB35837" s="122"/>
      <c r="BC35837" s="141"/>
    </row>
    <row r="35838">
      <c r="BB35838" s="122"/>
      <c r="BC35838" s="141"/>
    </row>
    <row r="35839">
      <c r="BB35839" s="122"/>
      <c r="BC35839" s="141"/>
    </row>
    <row r="35840">
      <c r="BB35840" s="122"/>
      <c r="BC35840" s="141"/>
    </row>
    <row r="35841">
      <c r="BB35841" s="122"/>
      <c r="BC35841" s="141"/>
    </row>
    <row r="35842">
      <c r="BB35842" s="122"/>
      <c r="BC35842" s="141"/>
    </row>
    <row r="35843">
      <c r="BB35843" s="122"/>
      <c r="BC35843" s="141"/>
    </row>
    <row r="35844">
      <c r="BB35844" s="122"/>
      <c r="BC35844" s="141"/>
    </row>
    <row r="35845">
      <c r="BB35845" s="122"/>
      <c r="BC35845" s="141"/>
    </row>
    <row r="35846">
      <c r="BB35846" s="122"/>
      <c r="BC35846" s="141"/>
    </row>
    <row r="35847">
      <c r="BB35847" s="122"/>
      <c r="BC35847" s="141"/>
    </row>
    <row r="35848">
      <c r="BB35848" s="122"/>
      <c r="BC35848" s="141"/>
    </row>
    <row r="35849">
      <c r="BB35849" s="122"/>
      <c r="BC35849" s="141"/>
    </row>
    <row r="35850">
      <c r="BB35850" s="122"/>
      <c r="BC35850" s="141"/>
    </row>
    <row r="35851">
      <c r="BB35851" s="122"/>
      <c r="BC35851" s="141"/>
    </row>
    <row r="35852">
      <c r="BB35852" s="122"/>
      <c r="BC35852" s="141"/>
    </row>
    <row r="35853">
      <c r="BB35853" s="122"/>
      <c r="BC35853" s="141"/>
    </row>
    <row r="35854">
      <c r="BB35854" s="122"/>
      <c r="BC35854" s="141"/>
    </row>
    <row r="35855">
      <c r="BB35855" s="122"/>
      <c r="BC35855" s="141"/>
    </row>
    <row r="35856">
      <c r="BB35856" s="122"/>
      <c r="BC35856" s="141"/>
    </row>
    <row r="35857">
      <c r="BB35857" s="122"/>
      <c r="BC35857" s="141"/>
    </row>
    <row r="35858">
      <c r="BB35858" s="122"/>
      <c r="BC35858" s="141"/>
    </row>
    <row r="35859">
      <c r="BB35859" s="122"/>
      <c r="BC35859" s="141"/>
    </row>
    <row r="35860">
      <c r="BB35860" s="122"/>
      <c r="BC35860" s="141"/>
    </row>
    <row r="35861">
      <c r="BB35861" s="122"/>
      <c r="BC35861" s="141"/>
    </row>
    <row r="35862">
      <c r="BB35862" s="122"/>
      <c r="BC35862" s="141"/>
    </row>
    <row r="35863">
      <c r="BB35863" s="122"/>
      <c r="BC35863" s="141"/>
    </row>
    <row r="35864">
      <c r="BB35864" s="122"/>
      <c r="BC35864" s="141"/>
    </row>
    <row r="35865">
      <c r="BB35865" s="122"/>
      <c r="BC35865" s="141"/>
    </row>
    <row r="35866">
      <c r="BB35866" s="122"/>
      <c r="BC35866" s="141"/>
    </row>
    <row r="35867">
      <c r="BB35867" s="122"/>
      <c r="BC35867" s="141"/>
    </row>
    <row r="35868">
      <c r="BB35868" s="122"/>
      <c r="BC35868" s="141"/>
    </row>
    <row r="35869">
      <c r="BB35869" s="122"/>
      <c r="BC35869" s="141"/>
    </row>
    <row r="35870">
      <c r="BB35870" s="122"/>
      <c r="BC35870" s="141"/>
    </row>
    <row r="35871">
      <c r="BB35871" s="122"/>
      <c r="BC35871" s="141"/>
    </row>
    <row r="35872">
      <c r="BB35872" s="122"/>
      <c r="BC35872" s="141"/>
    </row>
    <row r="35873">
      <c r="BB35873" s="122"/>
      <c r="BC35873" s="141"/>
    </row>
    <row r="35874">
      <c r="BB35874" s="122"/>
      <c r="BC35874" s="141"/>
    </row>
    <row r="35875">
      <c r="BB35875" s="122"/>
      <c r="BC35875" s="141"/>
    </row>
    <row r="35876">
      <c r="BB35876" s="122"/>
      <c r="BC35876" s="141"/>
    </row>
    <row r="35877">
      <c r="BB35877" s="122"/>
      <c r="BC35877" s="141"/>
    </row>
    <row r="35878">
      <c r="BB35878" s="122"/>
      <c r="BC35878" s="141"/>
    </row>
    <row r="35879">
      <c r="BB35879" s="122"/>
      <c r="BC35879" s="141"/>
    </row>
    <row r="35880">
      <c r="BB35880" s="122"/>
      <c r="BC35880" s="141"/>
    </row>
    <row r="35881">
      <c r="BB35881" s="122"/>
      <c r="BC35881" s="141"/>
    </row>
    <row r="35882">
      <c r="BB35882" s="122"/>
      <c r="BC35882" s="141"/>
    </row>
    <row r="35883">
      <c r="BB35883" s="122"/>
      <c r="BC35883" s="141"/>
    </row>
    <row r="35884">
      <c r="BB35884" s="122"/>
      <c r="BC35884" s="141"/>
    </row>
    <row r="35885">
      <c r="BB35885" s="122"/>
      <c r="BC35885" s="141"/>
    </row>
    <row r="35886">
      <c r="BB35886" s="122"/>
      <c r="BC35886" s="141"/>
    </row>
    <row r="35887">
      <c r="BB35887" s="122"/>
      <c r="BC35887" s="141"/>
    </row>
    <row r="35888">
      <c r="BB35888" s="122"/>
      <c r="BC35888" s="141"/>
    </row>
    <row r="35889">
      <c r="BB35889" s="122"/>
      <c r="BC35889" s="141"/>
    </row>
    <row r="35890">
      <c r="BB35890" s="122"/>
      <c r="BC35890" s="141"/>
    </row>
    <row r="35891">
      <c r="BB35891" s="122"/>
      <c r="BC35891" s="141"/>
    </row>
    <row r="35892">
      <c r="BB35892" s="122"/>
      <c r="BC35892" s="141"/>
    </row>
    <row r="35893">
      <c r="BB35893" s="122"/>
      <c r="BC35893" s="141"/>
    </row>
    <row r="35894">
      <c r="BB35894" s="122"/>
      <c r="BC35894" s="141"/>
    </row>
    <row r="35895">
      <c r="BB35895" s="122"/>
      <c r="BC35895" s="141"/>
    </row>
    <row r="35896">
      <c r="BB35896" s="122"/>
      <c r="BC35896" s="141"/>
    </row>
    <row r="35897">
      <c r="BB35897" s="122"/>
      <c r="BC35897" s="141"/>
    </row>
    <row r="35898">
      <c r="BB35898" s="122"/>
      <c r="BC35898" s="141"/>
    </row>
    <row r="35899">
      <c r="BB35899" s="122"/>
      <c r="BC35899" s="141"/>
    </row>
    <row r="35900">
      <c r="BB35900" s="122"/>
      <c r="BC35900" s="141"/>
    </row>
    <row r="35901">
      <c r="BB35901" s="122"/>
      <c r="BC35901" s="141"/>
    </row>
    <row r="35902">
      <c r="BB35902" s="122"/>
      <c r="BC35902" s="141"/>
    </row>
    <row r="35903">
      <c r="BB35903" s="122"/>
      <c r="BC35903" s="141"/>
    </row>
    <row r="35904">
      <c r="BB35904" s="122"/>
      <c r="BC35904" s="141"/>
    </row>
    <row r="35905">
      <c r="BB35905" s="122"/>
      <c r="BC35905" s="141"/>
    </row>
    <row r="35906">
      <c r="BB35906" s="122"/>
      <c r="BC35906" s="141"/>
    </row>
    <row r="35907">
      <c r="BB35907" s="122"/>
      <c r="BC35907" s="141"/>
    </row>
    <row r="35908">
      <c r="BB35908" s="122"/>
      <c r="BC35908" s="141"/>
    </row>
    <row r="35909">
      <c r="BB35909" s="122"/>
      <c r="BC35909" s="141"/>
    </row>
    <row r="35910">
      <c r="BB35910" s="122"/>
      <c r="BC35910" s="141"/>
    </row>
    <row r="35911">
      <c r="BB35911" s="122"/>
      <c r="BC35911" s="141"/>
    </row>
    <row r="35912">
      <c r="BB35912" s="122"/>
      <c r="BC35912" s="141"/>
    </row>
    <row r="35913">
      <c r="BB35913" s="122"/>
      <c r="BC35913" s="141"/>
    </row>
    <row r="35914">
      <c r="BB35914" s="122"/>
      <c r="BC35914" s="141"/>
    </row>
    <row r="35915">
      <c r="BB35915" s="122"/>
      <c r="BC35915" s="141"/>
    </row>
    <row r="35916">
      <c r="BB35916" s="122"/>
      <c r="BC35916" s="141"/>
    </row>
    <row r="35917">
      <c r="BB35917" s="122"/>
      <c r="BC35917" s="141"/>
    </row>
    <row r="35918">
      <c r="BB35918" s="122"/>
      <c r="BC35918" s="141"/>
    </row>
    <row r="35919">
      <c r="BB35919" s="122"/>
      <c r="BC35919" s="141"/>
    </row>
    <row r="35920">
      <c r="BB35920" s="122"/>
      <c r="BC35920" s="141"/>
    </row>
    <row r="35921">
      <c r="BB35921" s="122"/>
      <c r="BC35921" s="141"/>
    </row>
    <row r="35922">
      <c r="BB35922" s="122"/>
      <c r="BC35922" s="141"/>
    </row>
    <row r="35923">
      <c r="BB35923" s="122"/>
      <c r="BC35923" s="141"/>
    </row>
    <row r="35924">
      <c r="BB35924" s="122"/>
      <c r="BC35924" s="141"/>
    </row>
    <row r="35925">
      <c r="BB35925" s="122"/>
      <c r="BC35925" s="141"/>
    </row>
    <row r="35926">
      <c r="BB35926" s="122"/>
      <c r="BC35926" s="141"/>
    </row>
    <row r="35927">
      <c r="BB35927" s="122"/>
      <c r="BC35927" s="141"/>
    </row>
    <row r="35928">
      <c r="BB35928" s="122"/>
      <c r="BC35928" s="141"/>
    </row>
    <row r="35929">
      <c r="BB35929" s="122"/>
      <c r="BC35929" s="141"/>
    </row>
    <row r="35930">
      <c r="BB35930" s="122"/>
      <c r="BC35930" s="141"/>
    </row>
    <row r="35931">
      <c r="BB35931" s="122"/>
      <c r="BC35931" s="141"/>
    </row>
    <row r="35932">
      <c r="BB35932" s="122"/>
      <c r="BC35932" s="141"/>
    </row>
    <row r="35933">
      <c r="BB35933" s="122"/>
      <c r="BC35933" s="141"/>
    </row>
    <row r="35934">
      <c r="BB35934" s="122"/>
      <c r="BC35934" s="141"/>
    </row>
    <row r="35935">
      <c r="BB35935" s="122"/>
      <c r="BC35935" s="141"/>
    </row>
    <row r="35936">
      <c r="BB35936" s="122"/>
      <c r="BC35936" s="141"/>
    </row>
    <row r="35937">
      <c r="BB35937" s="122"/>
      <c r="BC35937" s="141"/>
    </row>
    <row r="35938">
      <c r="BB35938" s="122"/>
      <c r="BC35938" s="141"/>
    </row>
    <row r="35939">
      <c r="BB35939" s="122"/>
      <c r="BC35939" s="141"/>
    </row>
    <row r="35940">
      <c r="BB35940" s="122"/>
      <c r="BC35940" s="141"/>
    </row>
    <row r="35941">
      <c r="BB35941" s="122"/>
      <c r="BC35941" s="141"/>
    </row>
    <row r="35942">
      <c r="BB35942" s="122"/>
      <c r="BC35942" s="141"/>
    </row>
    <row r="35943">
      <c r="BB35943" s="122"/>
      <c r="BC35943" s="141"/>
    </row>
    <row r="35944">
      <c r="BB35944" s="122"/>
      <c r="BC35944" s="141"/>
    </row>
    <row r="35945">
      <c r="BB35945" s="122"/>
      <c r="BC35945" s="141"/>
    </row>
    <row r="35946">
      <c r="BB35946" s="122"/>
      <c r="BC35946" s="141"/>
    </row>
    <row r="35947">
      <c r="BB35947" s="122"/>
      <c r="BC35947" s="141"/>
    </row>
    <row r="35948">
      <c r="BB35948" s="122"/>
      <c r="BC35948" s="141"/>
    </row>
    <row r="35949">
      <c r="BB35949" s="122"/>
      <c r="BC35949" s="141"/>
    </row>
    <row r="35950">
      <c r="BB35950" s="122"/>
      <c r="BC35950" s="141"/>
    </row>
    <row r="35951">
      <c r="BB35951" s="122"/>
      <c r="BC35951" s="141"/>
    </row>
    <row r="35952">
      <c r="BB35952" s="122"/>
      <c r="BC35952" s="141"/>
    </row>
    <row r="35953">
      <c r="BB35953" s="122"/>
      <c r="BC35953" s="141"/>
    </row>
    <row r="35954">
      <c r="BB35954" s="122"/>
      <c r="BC35954" s="141"/>
    </row>
    <row r="35955">
      <c r="BB35955" s="122"/>
      <c r="BC35955" s="141"/>
    </row>
    <row r="35956">
      <c r="BB35956" s="122"/>
      <c r="BC35956" s="141"/>
    </row>
    <row r="35957">
      <c r="BB35957" s="122"/>
      <c r="BC35957" s="141"/>
    </row>
    <row r="35958">
      <c r="BB35958" s="122"/>
      <c r="BC35958" s="141"/>
    </row>
    <row r="35959">
      <c r="BB35959" s="122"/>
      <c r="BC35959" s="141"/>
    </row>
    <row r="35960">
      <c r="BB35960" s="122"/>
      <c r="BC35960" s="141"/>
    </row>
    <row r="35961">
      <c r="BB35961" s="122"/>
      <c r="BC35961" s="141"/>
    </row>
    <row r="35962">
      <c r="BB35962" s="122"/>
      <c r="BC35962" s="141"/>
    </row>
    <row r="35963">
      <c r="BB35963" s="122"/>
      <c r="BC35963" s="141"/>
    </row>
    <row r="35964">
      <c r="BB35964" s="122"/>
      <c r="BC35964" s="141"/>
    </row>
    <row r="35965">
      <c r="BB35965" s="122"/>
      <c r="BC35965" s="141"/>
    </row>
    <row r="35966">
      <c r="BB35966" s="122"/>
      <c r="BC35966" s="141"/>
    </row>
    <row r="35967">
      <c r="BB35967" s="122"/>
      <c r="BC35967" s="141"/>
    </row>
    <row r="35968">
      <c r="BB35968" s="122"/>
      <c r="BC35968" s="141"/>
    </row>
    <row r="35969">
      <c r="BB35969" s="122"/>
      <c r="BC35969" s="141"/>
    </row>
    <row r="35970">
      <c r="BB35970" s="122"/>
      <c r="BC35970" s="141"/>
    </row>
    <row r="35971">
      <c r="BB35971" s="122"/>
      <c r="BC35971" s="141"/>
    </row>
    <row r="35972">
      <c r="BB35972" s="122"/>
      <c r="BC35972" s="141"/>
    </row>
    <row r="35973">
      <c r="BB35973" s="122"/>
      <c r="BC35973" s="141"/>
    </row>
    <row r="35974">
      <c r="BB35974" s="122"/>
      <c r="BC35974" s="141"/>
    </row>
    <row r="35975">
      <c r="BB35975" s="122"/>
      <c r="BC35975" s="141"/>
    </row>
    <row r="35976">
      <c r="BB35976" s="122"/>
      <c r="BC35976" s="141"/>
    </row>
    <row r="35977">
      <c r="BB35977" s="122"/>
      <c r="BC35977" s="141"/>
    </row>
    <row r="35978">
      <c r="BB35978" s="122"/>
      <c r="BC35978" s="141"/>
    </row>
    <row r="35979">
      <c r="BB35979" s="122"/>
      <c r="BC35979" s="141"/>
    </row>
    <row r="35980">
      <c r="BB35980" s="122"/>
      <c r="BC35980" s="141"/>
    </row>
    <row r="35981">
      <c r="BB35981" s="122"/>
      <c r="BC35981" s="141"/>
    </row>
    <row r="35982">
      <c r="BB35982" s="122"/>
      <c r="BC35982" s="141"/>
    </row>
    <row r="35983">
      <c r="BB35983" s="122"/>
      <c r="BC35983" s="141"/>
    </row>
    <row r="35984">
      <c r="BB35984" s="122"/>
      <c r="BC35984" s="141"/>
    </row>
    <row r="35985">
      <c r="BB35985" s="122"/>
      <c r="BC35985" s="141"/>
    </row>
    <row r="35986">
      <c r="BB35986" s="122"/>
      <c r="BC35986" s="141"/>
    </row>
    <row r="35987">
      <c r="BB35987" s="122"/>
      <c r="BC35987" s="141"/>
    </row>
    <row r="35988">
      <c r="BB35988" s="122"/>
      <c r="BC35988" s="141"/>
    </row>
    <row r="35989">
      <c r="BB35989" s="122"/>
      <c r="BC35989" s="141"/>
    </row>
    <row r="35990">
      <c r="BB35990" s="122"/>
      <c r="BC35990" s="141"/>
    </row>
    <row r="35991">
      <c r="BB35991" s="122"/>
      <c r="BC35991" s="141"/>
    </row>
    <row r="35992">
      <c r="BB35992" s="122"/>
      <c r="BC35992" s="141"/>
    </row>
    <row r="35993">
      <c r="BB35993" s="122"/>
      <c r="BC35993" s="141"/>
    </row>
    <row r="35994">
      <c r="BB35994" s="122"/>
      <c r="BC35994" s="141"/>
    </row>
    <row r="35995">
      <c r="BB35995" s="122"/>
      <c r="BC35995" s="141"/>
    </row>
    <row r="35996">
      <c r="BB35996" s="122"/>
      <c r="BC35996" s="141"/>
    </row>
    <row r="35997">
      <c r="BB35997" s="122"/>
      <c r="BC35997" s="141"/>
    </row>
    <row r="35998">
      <c r="BB35998" s="122"/>
      <c r="BC35998" s="141"/>
    </row>
    <row r="35999">
      <c r="BB35999" s="122"/>
      <c r="BC35999" s="141"/>
    </row>
    <row r="36000">
      <c r="BB36000" s="122"/>
      <c r="BC36000" s="141"/>
    </row>
    <row r="36001">
      <c r="BB36001" s="122"/>
      <c r="BC36001" s="141"/>
    </row>
    <row r="36002">
      <c r="BB36002" s="122"/>
      <c r="BC36002" s="141"/>
    </row>
    <row r="36003">
      <c r="BB36003" s="122"/>
      <c r="BC36003" s="141"/>
    </row>
    <row r="36004">
      <c r="BB36004" s="122"/>
      <c r="BC36004" s="141"/>
    </row>
    <row r="36005">
      <c r="BB36005" s="122"/>
      <c r="BC36005" s="141"/>
    </row>
    <row r="36006">
      <c r="BB36006" s="122"/>
      <c r="BC36006" s="141"/>
    </row>
    <row r="36007">
      <c r="BB36007" s="122"/>
      <c r="BC36007" s="141"/>
    </row>
    <row r="36008">
      <c r="BB36008" s="122"/>
      <c r="BC36008" s="141"/>
    </row>
    <row r="36009">
      <c r="BB36009" s="122"/>
      <c r="BC36009" s="141"/>
    </row>
    <row r="36010">
      <c r="BB36010" s="122"/>
      <c r="BC36010" s="141"/>
    </row>
    <row r="36011">
      <c r="BB36011" s="122"/>
      <c r="BC36011" s="141"/>
    </row>
    <row r="36012">
      <c r="BB36012" s="122"/>
      <c r="BC36012" s="141"/>
    </row>
    <row r="36013">
      <c r="BB36013" s="122"/>
      <c r="BC36013" s="141"/>
    </row>
    <row r="36014">
      <c r="BB36014" s="122"/>
      <c r="BC36014" s="141"/>
    </row>
    <row r="36015">
      <c r="BB36015" s="122"/>
      <c r="BC36015" s="141"/>
    </row>
    <row r="36016">
      <c r="BB36016" s="122"/>
      <c r="BC36016" s="141"/>
    </row>
    <row r="36017">
      <c r="BB36017" s="122"/>
      <c r="BC36017" s="141"/>
    </row>
    <row r="36018">
      <c r="BB36018" s="122"/>
      <c r="BC36018" s="141"/>
    </row>
    <row r="36019">
      <c r="BB36019" s="122"/>
      <c r="BC36019" s="141"/>
    </row>
    <row r="36020">
      <c r="BB36020" s="122"/>
      <c r="BC36020" s="141"/>
    </row>
    <row r="36021">
      <c r="BB36021" s="122"/>
      <c r="BC36021" s="141"/>
    </row>
    <row r="36022">
      <c r="BB36022" s="122"/>
      <c r="BC36022" s="141"/>
    </row>
    <row r="36023">
      <c r="BB36023" s="122"/>
      <c r="BC36023" s="141"/>
    </row>
    <row r="36024">
      <c r="BB36024" s="122"/>
      <c r="BC36024" s="141"/>
    </row>
    <row r="36025">
      <c r="BB36025" s="122"/>
      <c r="BC36025" s="141"/>
    </row>
    <row r="36026">
      <c r="BB36026" s="122"/>
      <c r="BC36026" s="141"/>
    </row>
    <row r="36027">
      <c r="BB36027" s="122"/>
      <c r="BC36027" s="141"/>
    </row>
    <row r="36028">
      <c r="BB36028" s="122"/>
      <c r="BC36028" s="141"/>
    </row>
    <row r="36029">
      <c r="BB36029" s="122"/>
      <c r="BC36029" s="141"/>
    </row>
    <row r="36030">
      <c r="BB36030" s="122"/>
      <c r="BC36030" s="141"/>
    </row>
    <row r="36031">
      <c r="BB36031" s="122"/>
      <c r="BC36031" s="141"/>
    </row>
    <row r="36032">
      <c r="BB36032" s="122"/>
      <c r="BC36032" s="141"/>
    </row>
    <row r="36033">
      <c r="BB36033" s="122"/>
      <c r="BC36033" s="141"/>
    </row>
    <row r="36034">
      <c r="BB36034" s="122"/>
      <c r="BC36034" s="141"/>
    </row>
    <row r="36035">
      <c r="BB36035" s="122"/>
      <c r="BC36035" s="141"/>
    </row>
    <row r="36036">
      <c r="BB36036" s="122"/>
      <c r="BC36036" s="141"/>
    </row>
    <row r="36037">
      <c r="BB36037" s="122"/>
      <c r="BC36037" s="141"/>
    </row>
    <row r="36038">
      <c r="BB36038" s="122"/>
      <c r="BC36038" s="141"/>
    </row>
    <row r="36039">
      <c r="BB36039" s="122"/>
      <c r="BC36039" s="141"/>
    </row>
    <row r="36040">
      <c r="BB36040" s="122"/>
      <c r="BC36040" s="141"/>
    </row>
    <row r="36041">
      <c r="BB36041" s="122"/>
      <c r="BC36041" s="141"/>
    </row>
    <row r="36042">
      <c r="BB36042" s="122"/>
      <c r="BC36042" s="141"/>
    </row>
    <row r="36043">
      <c r="BB36043" s="122"/>
      <c r="BC36043" s="141"/>
    </row>
    <row r="36044">
      <c r="BB36044" s="122"/>
      <c r="BC36044" s="141"/>
    </row>
    <row r="36045">
      <c r="BB36045" s="122"/>
      <c r="BC36045" s="141"/>
    </row>
    <row r="36046">
      <c r="BB36046" s="122"/>
      <c r="BC36046" s="141"/>
    </row>
    <row r="36047">
      <c r="BB36047" s="122"/>
      <c r="BC36047" s="141"/>
    </row>
    <row r="36048">
      <c r="BB36048" s="122"/>
      <c r="BC36048" s="141"/>
    </row>
    <row r="36049">
      <c r="BB36049" s="122"/>
      <c r="BC36049" s="141"/>
    </row>
    <row r="36050">
      <c r="BB36050" s="122"/>
      <c r="BC36050" s="141"/>
    </row>
    <row r="36051">
      <c r="BB36051" s="122"/>
      <c r="BC36051" s="141"/>
    </row>
    <row r="36052">
      <c r="BB36052" s="122"/>
      <c r="BC36052" s="141"/>
    </row>
    <row r="36053">
      <c r="BB36053" s="122"/>
      <c r="BC36053" s="141"/>
    </row>
    <row r="36054">
      <c r="BB36054" s="122"/>
      <c r="BC36054" s="141"/>
    </row>
    <row r="36055">
      <c r="BB36055" s="122"/>
      <c r="BC36055" s="141"/>
    </row>
    <row r="36056">
      <c r="BB36056" s="122"/>
      <c r="BC36056" s="141"/>
    </row>
    <row r="36057">
      <c r="BB36057" s="122"/>
      <c r="BC36057" s="141"/>
    </row>
    <row r="36058">
      <c r="BB36058" s="122"/>
      <c r="BC36058" s="141"/>
    </row>
    <row r="36059">
      <c r="BB36059" s="122"/>
      <c r="BC36059" s="141"/>
    </row>
    <row r="36060">
      <c r="BB36060" s="122"/>
      <c r="BC36060" s="141"/>
    </row>
    <row r="36061">
      <c r="BB36061" s="122"/>
      <c r="BC36061" s="141"/>
    </row>
    <row r="36062">
      <c r="BB36062" s="122"/>
      <c r="BC36062" s="141"/>
    </row>
    <row r="36063">
      <c r="BB36063" s="122"/>
      <c r="BC36063" s="141"/>
    </row>
    <row r="36064">
      <c r="BB36064" s="122"/>
      <c r="BC36064" s="141"/>
    </row>
    <row r="36065">
      <c r="BB36065" s="122"/>
      <c r="BC36065" s="141"/>
    </row>
    <row r="36066">
      <c r="BB36066" s="122"/>
      <c r="BC36066" s="141"/>
    </row>
    <row r="36067">
      <c r="BB36067" s="122"/>
      <c r="BC36067" s="141"/>
    </row>
    <row r="36068">
      <c r="BB36068" s="122"/>
      <c r="BC36068" s="141"/>
    </row>
    <row r="36069">
      <c r="BB36069" s="122"/>
      <c r="BC36069" s="141"/>
    </row>
    <row r="36070">
      <c r="BB36070" s="122"/>
      <c r="BC36070" s="141"/>
    </row>
    <row r="36071">
      <c r="BB36071" s="122"/>
      <c r="BC36071" s="141"/>
    </row>
    <row r="36072">
      <c r="BB36072" s="122"/>
      <c r="BC36072" s="141"/>
    </row>
    <row r="36073">
      <c r="BB36073" s="122"/>
      <c r="BC36073" s="141"/>
    </row>
    <row r="36074">
      <c r="BB36074" s="122"/>
      <c r="BC36074" s="141"/>
    </row>
    <row r="36075">
      <c r="BB36075" s="122"/>
      <c r="BC36075" s="141"/>
    </row>
    <row r="36076">
      <c r="BB36076" s="122"/>
      <c r="BC36076" s="141"/>
    </row>
    <row r="36077">
      <c r="BB36077" s="122"/>
      <c r="BC36077" s="141"/>
    </row>
    <row r="36078">
      <c r="BB36078" s="122"/>
      <c r="BC36078" s="141"/>
    </row>
    <row r="36079">
      <c r="BB36079" s="122"/>
      <c r="BC36079" s="141"/>
    </row>
    <row r="36080">
      <c r="BB36080" s="122"/>
      <c r="BC36080" s="141"/>
    </row>
    <row r="36081">
      <c r="BB36081" s="122"/>
      <c r="BC36081" s="141"/>
    </row>
    <row r="36082">
      <c r="BB36082" s="122"/>
      <c r="BC36082" s="141"/>
    </row>
    <row r="36083">
      <c r="BB36083" s="122"/>
      <c r="BC36083" s="141"/>
    </row>
    <row r="36084">
      <c r="BB36084" s="122"/>
      <c r="BC36084" s="141"/>
    </row>
    <row r="36085">
      <c r="BB36085" s="122"/>
      <c r="BC36085" s="141"/>
    </row>
    <row r="36086">
      <c r="BB36086" s="122"/>
      <c r="BC36086" s="141"/>
    </row>
    <row r="36087">
      <c r="BB36087" s="122"/>
      <c r="BC36087" s="141"/>
    </row>
    <row r="36088">
      <c r="BB36088" s="122"/>
      <c r="BC36088" s="141"/>
    </row>
    <row r="36089">
      <c r="BB36089" s="122"/>
      <c r="BC36089" s="141"/>
    </row>
    <row r="36090">
      <c r="BB36090" s="122"/>
      <c r="BC36090" s="141"/>
    </row>
    <row r="36091">
      <c r="BB36091" s="122"/>
      <c r="BC36091" s="141"/>
    </row>
    <row r="36092">
      <c r="BB36092" s="122"/>
      <c r="BC36092" s="141"/>
    </row>
    <row r="36093">
      <c r="BB36093" s="122"/>
      <c r="BC36093" s="141"/>
    </row>
    <row r="36094">
      <c r="BB36094" s="122"/>
      <c r="BC36094" s="141"/>
    </row>
    <row r="36095">
      <c r="BB36095" s="122"/>
      <c r="BC36095" s="141"/>
    </row>
    <row r="36096">
      <c r="BB36096" s="122"/>
      <c r="BC36096" s="141"/>
    </row>
    <row r="36097">
      <c r="BB36097" s="122"/>
      <c r="BC36097" s="141"/>
    </row>
    <row r="36098">
      <c r="BB36098" s="122"/>
      <c r="BC36098" s="141"/>
    </row>
    <row r="36099">
      <c r="BB36099" s="122"/>
      <c r="BC36099" s="141"/>
    </row>
    <row r="36100">
      <c r="BB36100" s="122"/>
      <c r="BC36100" s="141"/>
    </row>
    <row r="36101">
      <c r="BB36101" s="122"/>
      <c r="BC36101" s="141"/>
    </row>
    <row r="36102">
      <c r="BB36102" s="122"/>
      <c r="BC36102" s="141"/>
    </row>
    <row r="36103">
      <c r="BB36103" s="122"/>
      <c r="BC36103" s="141"/>
    </row>
    <row r="36104">
      <c r="BB36104" s="122"/>
      <c r="BC36104" s="141"/>
    </row>
    <row r="36105">
      <c r="BB36105" s="122"/>
      <c r="BC36105" s="141"/>
    </row>
    <row r="36106">
      <c r="BB36106" s="122"/>
      <c r="BC36106" s="141"/>
    </row>
    <row r="36107">
      <c r="BB36107" s="122"/>
      <c r="BC36107" s="141"/>
    </row>
    <row r="36108">
      <c r="BB36108" s="122"/>
      <c r="BC36108" s="141"/>
    </row>
    <row r="36109">
      <c r="BB36109" s="122"/>
      <c r="BC36109" s="141"/>
    </row>
    <row r="36110">
      <c r="BB36110" s="122"/>
      <c r="BC36110" s="141"/>
    </row>
    <row r="36111">
      <c r="BB36111" s="122"/>
      <c r="BC36111" s="141"/>
    </row>
    <row r="36112">
      <c r="BB36112" s="122"/>
      <c r="BC36112" s="141"/>
    </row>
    <row r="36113">
      <c r="BB36113" s="122"/>
      <c r="BC36113" s="141"/>
    </row>
    <row r="36114">
      <c r="BB36114" s="122"/>
      <c r="BC36114" s="141"/>
    </row>
    <row r="36115">
      <c r="BB36115" s="122"/>
      <c r="BC36115" s="141"/>
    </row>
    <row r="36116">
      <c r="BB36116" s="122"/>
      <c r="BC36116" s="141"/>
    </row>
    <row r="36117">
      <c r="BB36117" s="122"/>
      <c r="BC36117" s="141"/>
    </row>
    <row r="36118">
      <c r="BB36118" s="122"/>
      <c r="BC36118" s="141"/>
    </row>
    <row r="36119">
      <c r="BB36119" s="122"/>
      <c r="BC36119" s="141"/>
    </row>
    <row r="36120">
      <c r="BB36120" s="122"/>
      <c r="BC36120" s="141"/>
    </row>
    <row r="36121">
      <c r="BB36121" s="122"/>
      <c r="BC36121" s="141"/>
    </row>
    <row r="36122">
      <c r="BB36122" s="122"/>
      <c r="BC36122" s="141"/>
    </row>
    <row r="36123">
      <c r="BB36123" s="122"/>
      <c r="BC36123" s="141"/>
    </row>
    <row r="36124">
      <c r="BB36124" s="122"/>
      <c r="BC36124" s="141"/>
    </row>
    <row r="36125">
      <c r="BB36125" s="122"/>
      <c r="BC36125" s="141"/>
    </row>
    <row r="36126">
      <c r="BB36126" s="122"/>
      <c r="BC36126" s="141"/>
    </row>
    <row r="36127">
      <c r="BB36127" s="122"/>
      <c r="BC36127" s="141"/>
    </row>
    <row r="36128">
      <c r="BB36128" s="122"/>
      <c r="BC36128" s="141"/>
    </row>
    <row r="36129">
      <c r="BB36129" s="122"/>
      <c r="BC36129" s="141"/>
    </row>
    <row r="36130">
      <c r="BB36130" s="122"/>
      <c r="BC36130" s="141"/>
    </row>
    <row r="36131">
      <c r="BB36131" s="122"/>
      <c r="BC36131" s="141"/>
    </row>
    <row r="36132">
      <c r="BB36132" s="122"/>
      <c r="BC36132" s="141"/>
    </row>
    <row r="36133">
      <c r="BB36133" s="122"/>
      <c r="BC36133" s="141"/>
    </row>
    <row r="36134">
      <c r="BB36134" s="122"/>
      <c r="BC36134" s="141"/>
    </row>
    <row r="36135">
      <c r="BB36135" s="122"/>
      <c r="BC36135" s="141"/>
    </row>
    <row r="36136">
      <c r="BB36136" s="122"/>
      <c r="BC36136" s="141"/>
    </row>
    <row r="36137">
      <c r="BB36137" s="122"/>
      <c r="BC36137" s="141"/>
    </row>
    <row r="36138">
      <c r="BB36138" s="122"/>
      <c r="BC36138" s="141"/>
    </row>
    <row r="36139">
      <c r="BB36139" s="122"/>
      <c r="BC36139" s="141"/>
    </row>
    <row r="36140">
      <c r="BB36140" s="122"/>
      <c r="BC36140" s="141"/>
    </row>
    <row r="36141">
      <c r="BB36141" s="122"/>
      <c r="BC36141" s="141"/>
    </row>
    <row r="36142">
      <c r="BB36142" s="122"/>
      <c r="BC36142" s="141"/>
    </row>
    <row r="36143">
      <c r="BB36143" s="122"/>
      <c r="BC36143" s="141"/>
    </row>
    <row r="36144">
      <c r="BB36144" s="122"/>
      <c r="BC36144" s="141"/>
    </row>
    <row r="36145">
      <c r="BB36145" s="122"/>
      <c r="BC36145" s="141"/>
    </row>
    <row r="36146">
      <c r="BB36146" s="122"/>
      <c r="BC36146" s="141"/>
    </row>
    <row r="36147">
      <c r="BB36147" s="122"/>
      <c r="BC36147" s="141"/>
    </row>
    <row r="36148">
      <c r="BB36148" s="122"/>
      <c r="BC36148" s="141"/>
    </row>
    <row r="36149">
      <c r="BB36149" s="122"/>
      <c r="BC36149" s="141"/>
    </row>
    <row r="36150">
      <c r="BB36150" s="122"/>
      <c r="BC36150" s="141"/>
    </row>
    <row r="36151">
      <c r="BB36151" s="122"/>
      <c r="BC36151" s="141"/>
    </row>
    <row r="36152">
      <c r="BB36152" s="122"/>
      <c r="BC36152" s="141"/>
    </row>
    <row r="36153">
      <c r="BB36153" s="122"/>
      <c r="BC36153" s="141"/>
    </row>
    <row r="36154">
      <c r="BB36154" s="122"/>
      <c r="BC36154" s="141"/>
    </row>
    <row r="36155">
      <c r="BB36155" s="122"/>
      <c r="BC36155" s="141"/>
    </row>
    <row r="36156">
      <c r="BB36156" s="122"/>
      <c r="BC36156" s="141"/>
    </row>
    <row r="36157">
      <c r="BB36157" s="122"/>
      <c r="BC36157" s="141"/>
    </row>
    <row r="36158">
      <c r="BB36158" s="122"/>
      <c r="BC36158" s="141"/>
    </row>
    <row r="36159">
      <c r="BB36159" s="122"/>
      <c r="BC36159" s="141"/>
    </row>
    <row r="36160">
      <c r="BB36160" s="122"/>
      <c r="BC36160" s="141"/>
    </row>
    <row r="36161">
      <c r="BB36161" s="122"/>
      <c r="BC36161" s="141"/>
    </row>
    <row r="36162">
      <c r="BB36162" s="122"/>
      <c r="BC36162" s="141"/>
    </row>
    <row r="36163">
      <c r="BB36163" s="122"/>
      <c r="BC36163" s="141"/>
    </row>
    <row r="36164">
      <c r="BB36164" s="122"/>
      <c r="BC36164" s="141"/>
    </row>
    <row r="36165">
      <c r="BB36165" s="122"/>
      <c r="BC36165" s="141"/>
    </row>
    <row r="36166">
      <c r="BB36166" s="122"/>
      <c r="BC36166" s="141"/>
    </row>
    <row r="36167">
      <c r="BB36167" s="122"/>
      <c r="BC36167" s="141"/>
    </row>
    <row r="36168">
      <c r="BB36168" s="122"/>
      <c r="BC36168" s="141"/>
    </row>
    <row r="36169">
      <c r="BB36169" s="122"/>
      <c r="BC36169" s="141"/>
    </row>
    <row r="36170">
      <c r="BB36170" s="122"/>
      <c r="BC36170" s="141"/>
    </row>
    <row r="36171">
      <c r="BB36171" s="122"/>
      <c r="BC36171" s="141"/>
    </row>
    <row r="36172">
      <c r="BB36172" s="122"/>
      <c r="BC36172" s="141"/>
    </row>
    <row r="36173">
      <c r="BB36173" s="122"/>
      <c r="BC36173" s="141"/>
    </row>
    <row r="36174">
      <c r="BB36174" s="122"/>
      <c r="BC36174" s="141"/>
    </row>
    <row r="36175">
      <c r="BB36175" s="122"/>
      <c r="BC36175" s="141"/>
    </row>
    <row r="36176">
      <c r="BB36176" s="122"/>
      <c r="BC36176" s="141"/>
    </row>
    <row r="36177">
      <c r="BB36177" s="122"/>
      <c r="BC36177" s="141"/>
    </row>
    <row r="36178">
      <c r="BB36178" s="122"/>
      <c r="BC36178" s="141"/>
    </row>
    <row r="36179">
      <c r="BB36179" s="122"/>
      <c r="BC36179" s="141"/>
    </row>
    <row r="36180">
      <c r="BB36180" s="122"/>
      <c r="BC36180" s="141"/>
    </row>
    <row r="36181">
      <c r="BB36181" s="122"/>
      <c r="BC36181" s="141"/>
    </row>
    <row r="36182">
      <c r="BB36182" s="122"/>
      <c r="BC36182" s="141"/>
    </row>
    <row r="36183">
      <c r="BB36183" s="122"/>
      <c r="BC36183" s="141"/>
    </row>
    <row r="36184">
      <c r="BB36184" s="122"/>
      <c r="BC36184" s="141"/>
    </row>
    <row r="36185">
      <c r="BB36185" s="122"/>
      <c r="BC36185" s="141"/>
    </row>
    <row r="36186">
      <c r="BB36186" s="122"/>
      <c r="BC36186" s="141"/>
    </row>
    <row r="36187">
      <c r="BB36187" s="122"/>
      <c r="BC36187" s="141"/>
    </row>
    <row r="36188">
      <c r="BB36188" s="122"/>
      <c r="BC36188" s="141"/>
    </row>
    <row r="36189">
      <c r="BB36189" s="122"/>
      <c r="BC36189" s="141"/>
    </row>
    <row r="36190">
      <c r="BB36190" s="122"/>
      <c r="BC36190" s="141"/>
    </row>
    <row r="36191">
      <c r="BB36191" s="122"/>
      <c r="BC36191" s="141"/>
    </row>
    <row r="36192">
      <c r="BB36192" s="122"/>
      <c r="BC36192" s="141"/>
    </row>
    <row r="36193">
      <c r="BB36193" s="122"/>
      <c r="BC36193" s="141"/>
    </row>
    <row r="36194">
      <c r="BB36194" s="122"/>
      <c r="BC36194" s="141"/>
    </row>
    <row r="36195">
      <c r="BB36195" s="122"/>
      <c r="BC36195" s="141"/>
    </row>
    <row r="36196">
      <c r="BB36196" s="122"/>
      <c r="BC36196" s="141"/>
    </row>
    <row r="36197">
      <c r="BB36197" s="122"/>
      <c r="BC36197" s="141"/>
    </row>
    <row r="36198">
      <c r="BB36198" s="122"/>
      <c r="BC36198" s="141"/>
    </row>
    <row r="36199">
      <c r="BB36199" s="122"/>
      <c r="BC36199" s="141"/>
    </row>
    <row r="36200">
      <c r="BB36200" s="122"/>
      <c r="BC36200" s="141"/>
    </row>
    <row r="36201">
      <c r="BB36201" s="122"/>
      <c r="BC36201" s="141"/>
    </row>
    <row r="36202">
      <c r="BB36202" s="122"/>
      <c r="BC36202" s="141"/>
    </row>
    <row r="36203">
      <c r="BB36203" s="122"/>
      <c r="BC36203" s="141"/>
    </row>
    <row r="36204">
      <c r="BB36204" s="122"/>
      <c r="BC36204" s="141"/>
    </row>
    <row r="36205">
      <c r="BB36205" s="122"/>
      <c r="BC36205" s="141"/>
    </row>
    <row r="36206">
      <c r="BB36206" s="122"/>
      <c r="BC36206" s="141"/>
    </row>
    <row r="36207">
      <c r="BB36207" s="122"/>
      <c r="BC36207" s="141"/>
    </row>
    <row r="36208">
      <c r="BB36208" s="122"/>
      <c r="BC36208" s="141"/>
    </row>
    <row r="36209">
      <c r="BB36209" s="122"/>
      <c r="BC36209" s="141"/>
    </row>
    <row r="36210">
      <c r="BB36210" s="122"/>
      <c r="BC36210" s="141"/>
    </row>
    <row r="36211">
      <c r="BB36211" s="122"/>
      <c r="BC36211" s="141"/>
    </row>
    <row r="36212">
      <c r="BB36212" s="122"/>
      <c r="BC36212" s="141"/>
    </row>
    <row r="36213">
      <c r="BB36213" s="122"/>
      <c r="BC36213" s="141"/>
    </row>
    <row r="36214">
      <c r="BB36214" s="122"/>
      <c r="BC36214" s="141"/>
    </row>
    <row r="36215">
      <c r="BB36215" s="122"/>
      <c r="BC36215" s="141"/>
    </row>
    <row r="36216">
      <c r="BB36216" s="122"/>
      <c r="BC36216" s="141"/>
    </row>
    <row r="36217">
      <c r="BB36217" s="122"/>
      <c r="BC36217" s="141"/>
    </row>
    <row r="36218">
      <c r="BB36218" s="122"/>
      <c r="BC36218" s="141"/>
    </row>
    <row r="36219">
      <c r="BB36219" s="122"/>
      <c r="BC36219" s="141"/>
    </row>
    <row r="36220">
      <c r="BB36220" s="122"/>
      <c r="BC36220" s="141"/>
    </row>
    <row r="36221">
      <c r="BB36221" s="122"/>
      <c r="BC36221" s="141"/>
    </row>
    <row r="36222">
      <c r="BB36222" s="122"/>
      <c r="BC36222" s="141"/>
    </row>
    <row r="36223">
      <c r="BB36223" s="122"/>
      <c r="BC36223" s="141"/>
    </row>
    <row r="36224">
      <c r="BB36224" s="122"/>
      <c r="BC36224" s="141"/>
    </row>
    <row r="36225">
      <c r="BB36225" s="122"/>
      <c r="BC36225" s="141"/>
    </row>
    <row r="36226">
      <c r="BB36226" s="122"/>
      <c r="BC36226" s="141"/>
    </row>
    <row r="36227">
      <c r="BB36227" s="122"/>
      <c r="BC36227" s="141"/>
    </row>
    <row r="36228">
      <c r="BB36228" s="122"/>
      <c r="BC36228" s="141"/>
    </row>
    <row r="36229">
      <c r="BB36229" s="122"/>
      <c r="BC36229" s="141"/>
    </row>
    <row r="36230">
      <c r="BB36230" s="122"/>
      <c r="BC36230" s="141"/>
    </row>
    <row r="36231">
      <c r="BB36231" s="122"/>
      <c r="BC36231" s="141"/>
    </row>
    <row r="36232">
      <c r="BB36232" s="122"/>
      <c r="BC36232" s="141"/>
    </row>
    <row r="36233">
      <c r="BB36233" s="122"/>
      <c r="BC36233" s="141"/>
    </row>
    <row r="36234">
      <c r="BB36234" s="122"/>
      <c r="BC36234" s="141"/>
    </row>
    <row r="36235">
      <c r="BB36235" s="122"/>
      <c r="BC36235" s="141"/>
    </row>
    <row r="36236">
      <c r="BB36236" s="122"/>
      <c r="BC36236" s="141"/>
    </row>
    <row r="36237">
      <c r="BB36237" s="122"/>
      <c r="BC36237" s="141"/>
    </row>
    <row r="36238">
      <c r="BB36238" s="122"/>
      <c r="BC36238" s="141"/>
    </row>
    <row r="36239">
      <c r="BB36239" s="122"/>
      <c r="BC36239" s="141"/>
    </row>
    <row r="36240">
      <c r="BB36240" s="122"/>
      <c r="BC36240" s="141"/>
    </row>
    <row r="36241">
      <c r="BB36241" s="122"/>
      <c r="BC36241" s="141"/>
    </row>
    <row r="36242">
      <c r="BB36242" s="122"/>
      <c r="BC36242" s="141"/>
    </row>
    <row r="36243">
      <c r="BB36243" s="122"/>
      <c r="BC36243" s="141"/>
    </row>
    <row r="36244">
      <c r="BB36244" s="122"/>
      <c r="BC36244" s="141"/>
    </row>
    <row r="36245">
      <c r="BB36245" s="122"/>
      <c r="BC36245" s="141"/>
    </row>
    <row r="36246">
      <c r="BB36246" s="122"/>
      <c r="BC36246" s="141"/>
    </row>
    <row r="36247">
      <c r="BB36247" s="122"/>
      <c r="BC36247" s="141"/>
    </row>
    <row r="36248">
      <c r="BB36248" s="122"/>
      <c r="BC36248" s="141"/>
    </row>
    <row r="36249">
      <c r="BB36249" s="122"/>
      <c r="BC36249" s="141"/>
    </row>
    <row r="36250">
      <c r="BB36250" s="122"/>
      <c r="BC36250" s="141"/>
    </row>
    <row r="36251">
      <c r="BB36251" s="122"/>
      <c r="BC36251" s="141"/>
    </row>
    <row r="36252">
      <c r="BB36252" s="122"/>
      <c r="BC36252" s="141"/>
    </row>
    <row r="36253">
      <c r="BB36253" s="122"/>
      <c r="BC36253" s="141"/>
    </row>
    <row r="36254">
      <c r="BB36254" s="122"/>
      <c r="BC36254" s="141"/>
    </row>
    <row r="36255">
      <c r="BB36255" s="122"/>
      <c r="BC36255" s="141"/>
    </row>
    <row r="36256">
      <c r="BB36256" s="122"/>
      <c r="BC36256" s="141"/>
    </row>
    <row r="36257">
      <c r="BB36257" s="122"/>
      <c r="BC36257" s="141"/>
    </row>
    <row r="36258">
      <c r="BB36258" s="122"/>
      <c r="BC36258" s="141"/>
    </row>
    <row r="36259">
      <c r="BB36259" s="122"/>
      <c r="BC36259" s="141"/>
    </row>
    <row r="36260">
      <c r="BB36260" s="122"/>
      <c r="BC36260" s="141"/>
    </row>
    <row r="36261">
      <c r="BB36261" s="122"/>
      <c r="BC36261" s="141"/>
    </row>
    <row r="36262">
      <c r="BB36262" s="122"/>
      <c r="BC36262" s="141"/>
    </row>
    <row r="36263">
      <c r="BB36263" s="122"/>
      <c r="BC36263" s="141"/>
    </row>
    <row r="36264">
      <c r="BB36264" s="122"/>
      <c r="BC36264" s="141"/>
    </row>
    <row r="36265">
      <c r="BB36265" s="122"/>
      <c r="BC36265" s="141"/>
    </row>
    <row r="36266">
      <c r="BB36266" s="122"/>
      <c r="BC36266" s="141"/>
    </row>
    <row r="36267">
      <c r="BB36267" s="122"/>
      <c r="BC36267" s="141"/>
    </row>
    <row r="36268">
      <c r="BB36268" s="122"/>
      <c r="BC36268" s="141"/>
    </row>
    <row r="36269">
      <c r="BB36269" s="122"/>
      <c r="BC36269" s="141"/>
    </row>
    <row r="36270">
      <c r="BB36270" s="122"/>
      <c r="BC36270" s="141"/>
    </row>
    <row r="36271">
      <c r="BB36271" s="122"/>
      <c r="BC36271" s="141"/>
    </row>
    <row r="36272">
      <c r="BB36272" s="122"/>
      <c r="BC36272" s="141"/>
    </row>
    <row r="36273">
      <c r="BB36273" s="122"/>
      <c r="BC36273" s="141"/>
    </row>
    <row r="36274">
      <c r="BB36274" s="122"/>
      <c r="BC36274" s="141"/>
    </row>
    <row r="36275">
      <c r="BB36275" s="122"/>
      <c r="BC36275" s="141"/>
    </row>
    <row r="36276">
      <c r="BB36276" s="122"/>
      <c r="BC36276" s="141"/>
    </row>
    <row r="36277">
      <c r="BB36277" s="122"/>
      <c r="BC36277" s="141"/>
    </row>
    <row r="36278">
      <c r="BB36278" s="122"/>
      <c r="BC36278" s="141"/>
    </row>
    <row r="36279">
      <c r="BB36279" s="122"/>
      <c r="BC36279" s="141"/>
    </row>
    <row r="36280">
      <c r="BB36280" s="122"/>
      <c r="BC36280" s="141"/>
    </row>
    <row r="36281">
      <c r="BB36281" s="122"/>
      <c r="BC36281" s="141"/>
    </row>
    <row r="36282">
      <c r="BB36282" s="122"/>
      <c r="BC36282" s="141"/>
    </row>
    <row r="36283">
      <c r="BB36283" s="122"/>
      <c r="BC36283" s="141"/>
    </row>
    <row r="36284">
      <c r="BB36284" s="122"/>
      <c r="BC36284" s="141"/>
    </row>
    <row r="36285">
      <c r="BB36285" s="122"/>
      <c r="BC36285" s="141"/>
    </row>
    <row r="36286">
      <c r="BB36286" s="122"/>
      <c r="BC36286" s="141"/>
    </row>
    <row r="36287">
      <c r="BB36287" s="122"/>
      <c r="BC36287" s="141"/>
    </row>
    <row r="36288">
      <c r="BB36288" s="122"/>
      <c r="BC36288" s="141"/>
    </row>
    <row r="36289">
      <c r="BB36289" s="122"/>
      <c r="BC36289" s="141"/>
    </row>
    <row r="36290">
      <c r="BB36290" s="122"/>
      <c r="BC36290" s="141"/>
    </row>
    <row r="36291">
      <c r="BB36291" s="122"/>
      <c r="BC36291" s="141"/>
    </row>
    <row r="36292">
      <c r="BB36292" s="122"/>
      <c r="BC36292" s="141"/>
    </row>
    <row r="36293">
      <c r="BB36293" s="122"/>
      <c r="BC36293" s="141"/>
    </row>
    <row r="36294">
      <c r="BB36294" s="122"/>
      <c r="BC36294" s="141"/>
    </row>
    <row r="36295">
      <c r="BB36295" s="122"/>
      <c r="BC36295" s="141"/>
    </row>
    <row r="36296">
      <c r="BB36296" s="122"/>
      <c r="BC36296" s="141"/>
    </row>
    <row r="36297">
      <c r="BB36297" s="122"/>
      <c r="BC36297" s="141"/>
    </row>
    <row r="36298">
      <c r="BB36298" s="122"/>
      <c r="BC36298" s="141"/>
    </row>
    <row r="36299">
      <c r="BB36299" s="122"/>
      <c r="BC36299" s="141"/>
    </row>
    <row r="36300">
      <c r="BB36300" s="122"/>
      <c r="BC36300" s="141"/>
    </row>
    <row r="36301">
      <c r="BB36301" s="122"/>
      <c r="BC36301" s="141"/>
    </row>
    <row r="36302">
      <c r="BB36302" s="122"/>
      <c r="BC36302" s="141"/>
    </row>
    <row r="36303">
      <c r="BB36303" s="122"/>
      <c r="BC36303" s="141"/>
    </row>
    <row r="36304">
      <c r="BB36304" s="122"/>
      <c r="BC36304" s="141"/>
    </row>
    <row r="36305">
      <c r="BB36305" s="122"/>
      <c r="BC36305" s="141"/>
    </row>
    <row r="36306">
      <c r="BB36306" s="122"/>
      <c r="BC36306" s="141"/>
    </row>
    <row r="36307">
      <c r="BB36307" s="122"/>
      <c r="BC36307" s="141"/>
    </row>
    <row r="36308">
      <c r="BB36308" s="122"/>
      <c r="BC36308" s="141"/>
    </row>
    <row r="36309">
      <c r="BB36309" s="122"/>
      <c r="BC36309" s="141"/>
    </row>
    <row r="36310">
      <c r="BB36310" s="122"/>
      <c r="BC36310" s="141"/>
    </row>
    <row r="36311">
      <c r="BB36311" s="122"/>
      <c r="BC36311" s="141"/>
    </row>
    <row r="36312">
      <c r="BB36312" s="122"/>
      <c r="BC36312" s="141"/>
    </row>
    <row r="36313">
      <c r="BB36313" s="122"/>
      <c r="BC36313" s="141"/>
    </row>
    <row r="36314">
      <c r="BB36314" s="122"/>
      <c r="BC36314" s="141"/>
    </row>
    <row r="36315">
      <c r="BB36315" s="122"/>
      <c r="BC36315" s="141"/>
    </row>
    <row r="36316">
      <c r="BB36316" s="122"/>
      <c r="BC36316" s="141"/>
    </row>
    <row r="36317">
      <c r="BB36317" s="122"/>
      <c r="BC36317" s="141"/>
    </row>
    <row r="36318">
      <c r="BB36318" s="122"/>
      <c r="BC36318" s="141"/>
    </row>
    <row r="36319">
      <c r="BB36319" s="122"/>
      <c r="BC36319" s="141"/>
    </row>
    <row r="36320">
      <c r="BB36320" s="122"/>
      <c r="BC36320" s="141"/>
    </row>
    <row r="36321">
      <c r="BB36321" s="122"/>
      <c r="BC36321" s="141"/>
    </row>
    <row r="36322">
      <c r="BB36322" s="122"/>
      <c r="BC36322" s="141"/>
    </row>
    <row r="36323">
      <c r="BB36323" s="122"/>
      <c r="BC36323" s="141"/>
    </row>
    <row r="36324">
      <c r="BB36324" s="122"/>
      <c r="BC36324" s="141"/>
    </row>
    <row r="36325">
      <c r="BB36325" s="122"/>
      <c r="BC36325" s="141"/>
    </row>
    <row r="36326">
      <c r="BB36326" s="122"/>
      <c r="BC36326" s="141"/>
    </row>
    <row r="36327">
      <c r="BB36327" s="122"/>
      <c r="BC36327" s="141"/>
    </row>
    <row r="36328">
      <c r="BB36328" s="122"/>
      <c r="BC36328" s="141"/>
    </row>
    <row r="36329">
      <c r="BB36329" s="122"/>
      <c r="BC36329" s="141"/>
    </row>
    <row r="36330">
      <c r="BB36330" s="122"/>
      <c r="BC36330" s="141"/>
    </row>
    <row r="36331">
      <c r="BB36331" s="122"/>
      <c r="BC36331" s="141"/>
    </row>
    <row r="36332">
      <c r="BB36332" s="122"/>
      <c r="BC36332" s="141"/>
    </row>
    <row r="36333">
      <c r="BB36333" s="122"/>
      <c r="BC36333" s="141"/>
    </row>
    <row r="36334">
      <c r="BB36334" s="122"/>
      <c r="BC36334" s="141"/>
    </row>
    <row r="36335">
      <c r="BB36335" s="122"/>
      <c r="BC36335" s="141"/>
    </row>
    <row r="36336">
      <c r="BB36336" s="122"/>
      <c r="BC36336" s="141"/>
    </row>
    <row r="36337">
      <c r="BB36337" s="122"/>
      <c r="BC36337" s="141"/>
    </row>
    <row r="36338">
      <c r="BB36338" s="122"/>
      <c r="BC36338" s="141"/>
    </row>
    <row r="36339">
      <c r="BB36339" s="122"/>
      <c r="BC36339" s="141"/>
    </row>
    <row r="36340">
      <c r="BB36340" s="122"/>
      <c r="BC36340" s="141"/>
    </row>
    <row r="36341">
      <c r="BB36341" s="122"/>
      <c r="BC36341" s="141"/>
    </row>
    <row r="36342">
      <c r="BB36342" s="122"/>
      <c r="BC36342" s="141"/>
    </row>
    <row r="36343">
      <c r="BB36343" s="122"/>
      <c r="BC36343" s="141"/>
    </row>
    <row r="36344">
      <c r="BB36344" s="122"/>
      <c r="BC36344" s="141"/>
    </row>
    <row r="36345">
      <c r="BB36345" s="122"/>
      <c r="BC36345" s="141"/>
    </row>
    <row r="36346">
      <c r="BB36346" s="122"/>
      <c r="BC36346" s="141"/>
    </row>
    <row r="36347">
      <c r="BB36347" s="122"/>
      <c r="BC36347" s="141"/>
    </row>
    <row r="36348">
      <c r="BB36348" s="122"/>
      <c r="BC36348" s="141"/>
    </row>
    <row r="36349">
      <c r="BB36349" s="122"/>
      <c r="BC36349" s="141"/>
    </row>
    <row r="36350">
      <c r="BB36350" s="122"/>
      <c r="BC36350" s="141"/>
    </row>
    <row r="36351">
      <c r="BB36351" s="122"/>
      <c r="BC36351" s="141"/>
    </row>
    <row r="36352">
      <c r="BB36352" s="122"/>
      <c r="BC36352" s="141"/>
    </row>
    <row r="36353">
      <c r="BB36353" s="122"/>
      <c r="BC36353" s="141"/>
    </row>
    <row r="36354">
      <c r="BB36354" s="122"/>
      <c r="BC36354" s="141"/>
    </row>
    <row r="36355">
      <c r="BB36355" s="122"/>
      <c r="BC36355" s="141"/>
    </row>
    <row r="36356">
      <c r="BB36356" s="122"/>
      <c r="BC36356" s="141"/>
    </row>
    <row r="36357">
      <c r="BB36357" s="122"/>
      <c r="BC36357" s="141"/>
    </row>
    <row r="36358">
      <c r="BB36358" s="122"/>
      <c r="BC36358" s="141"/>
    </row>
    <row r="36359">
      <c r="BB36359" s="122"/>
      <c r="BC36359" s="141"/>
    </row>
    <row r="36360">
      <c r="BB36360" s="122"/>
      <c r="BC36360" s="141"/>
    </row>
    <row r="36361">
      <c r="BB36361" s="122"/>
      <c r="BC36361" s="141"/>
    </row>
    <row r="36362">
      <c r="BB36362" s="122"/>
      <c r="BC36362" s="141"/>
    </row>
    <row r="36363">
      <c r="BB36363" s="122"/>
      <c r="BC36363" s="141"/>
    </row>
    <row r="36364">
      <c r="BB36364" s="122"/>
      <c r="BC36364" s="141"/>
    </row>
    <row r="36365">
      <c r="BB36365" s="122"/>
      <c r="BC36365" s="141"/>
    </row>
    <row r="36366">
      <c r="BB36366" s="122"/>
      <c r="BC36366" s="141"/>
    </row>
    <row r="36367">
      <c r="BB36367" s="122"/>
      <c r="BC36367" s="141"/>
    </row>
    <row r="36368">
      <c r="BB36368" s="122"/>
      <c r="BC36368" s="141"/>
    </row>
    <row r="36369">
      <c r="BB36369" s="122"/>
      <c r="BC36369" s="141"/>
    </row>
    <row r="36370">
      <c r="BB36370" s="122"/>
      <c r="BC36370" s="141"/>
    </row>
    <row r="36371">
      <c r="BB36371" s="122"/>
      <c r="BC36371" s="141"/>
    </row>
    <row r="36372">
      <c r="BB36372" s="122"/>
      <c r="BC36372" s="141"/>
    </row>
    <row r="36373">
      <c r="BB36373" s="122"/>
      <c r="BC36373" s="141"/>
    </row>
    <row r="36374">
      <c r="BB36374" s="122"/>
      <c r="BC36374" s="141"/>
    </row>
    <row r="36375">
      <c r="BB36375" s="122"/>
      <c r="BC36375" s="141"/>
    </row>
    <row r="36376">
      <c r="BB36376" s="122"/>
      <c r="BC36376" s="141"/>
    </row>
    <row r="36377">
      <c r="BB36377" s="122"/>
      <c r="BC36377" s="141"/>
    </row>
    <row r="36378">
      <c r="BB36378" s="122"/>
      <c r="BC36378" s="141"/>
    </row>
    <row r="36379">
      <c r="BB36379" s="122"/>
      <c r="BC36379" s="141"/>
    </row>
    <row r="36380">
      <c r="BB36380" s="122"/>
      <c r="BC36380" s="141"/>
    </row>
    <row r="36381">
      <c r="BB36381" s="122"/>
      <c r="BC36381" s="141"/>
    </row>
    <row r="36382">
      <c r="BB36382" s="122"/>
      <c r="BC36382" s="141"/>
    </row>
    <row r="36383">
      <c r="BB36383" s="122"/>
      <c r="BC36383" s="141"/>
    </row>
    <row r="36384">
      <c r="BB36384" s="122"/>
      <c r="BC36384" s="141"/>
    </row>
    <row r="36385">
      <c r="BB36385" s="122"/>
      <c r="BC36385" s="141"/>
    </row>
    <row r="36386">
      <c r="BB36386" s="122"/>
      <c r="BC36386" s="141"/>
    </row>
    <row r="36387">
      <c r="BB36387" s="122"/>
      <c r="BC36387" s="141"/>
    </row>
    <row r="36388">
      <c r="BB36388" s="122"/>
      <c r="BC36388" s="141"/>
    </row>
    <row r="36389">
      <c r="BB36389" s="122"/>
      <c r="BC36389" s="141"/>
    </row>
    <row r="36390">
      <c r="BB36390" s="122"/>
      <c r="BC36390" s="141"/>
    </row>
    <row r="36391">
      <c r="BB36391" s="122"/>
      <c r="BC36391" s="141"/>
    </row>
    <row r="36392">
      <c r="BB36392" s="122"/>
      <c r="BC36392" s="141"/>
    </row>
    <row r="36393">
      <c r="BB36393" s="122"/>
      <c r="BC36393" s="141"/>
    </row>
    <row r="36394">
      <c r="BB36394" s="122"/>
      <c r="BC36394" s="141"/>
    </row>
    <row r="36395">
      <c r="BB36395" s="122"/>
      <c r="BC36395" s="141"/>
    </row>
    <row r="36396">
      <c r="BB36396" s="122"/>
      <c r="BC36396" s="141"/>
    </row>
    <row r="36397">
      <c r="BB36397" s="122"/>
      <c r="BC36397" s="141"/>
    </row>
    <row r="36398">
      <c r="BB36398" s="122"/>
      <c r="BC36398" s="141"/>
    </row>
    <row r="36399">
      <c r="BB36399" s="122"/>
      <c r="BC36399" s="141"/>
    </row>
    <row r="36400">
      <c r="BB36400" s="122"/>
      <c r="BC36400" s="141"/>
    </row>
    <row r="36401">
      <c r="BB36401" s="122"/>
      <c r="BC36401" s="141"/>
    </row>
    <row r="36402">
      <c r="BB36402" s="122"/>
      <c r="BC36402" s="141"/>
    </row>
    <row r="36403">
      <c r="BB36403" s="122"/>
      <c r="BC36403" s="141"/>
    </row>
    <row r="36404">
      <c r="BB36404" s="122"/>
      <c r="BC36404" s="141"/>
    </row>
    <row r="36405">
      <c r="BB36405" s="122"/>
      <c r="BC36405" s="141"/>
    </row>
    <row r="36406">
      <c r="BB36406" s="122"/>
      <c r="BC36406" s="141"/>
    </row>
    <row r="36407">
      <c r="BB36407" s="122"/>
      <c r="BC36407" s="141"/>
    </row>
    <row r="36408">
      <c r="BB36408" s="122"/>
      <c r="BC36408" s="141"/>
    </row>
    <row r="36409">
      <c r="BB36409" s="122"/>
      <c r="BC36409" s="141"/>
    </row>
    <row r="36410">
      <c r="BB36410" s="122"/>
      <c r="BC36410" s="141"/>
    </row>
    <row r="36411">
      <c r="BB36411" s="122"/>
      <c r="BC36411" s="141"/>
    </row>
    <row r="36412">
      <c r="BB36412" s="122"/>
      <c r="BC36412" s="141"/>
    </row>
    <row r="36413">
      <c r="BB36413" s="122"/>
      <c r="BC36413" s="141"/>
    </row>
    <row r="36414">
      <c r="BB36414" s="122"/>
      <c r="BC36414" s="141"/>
    </row>
    <row r="36415">
      <c r="BB36415" s="122"/>
      <c r="BC36415" s="141"/>
    </row>
    <row r="36416">
      <c r="BB36416" s="122"/>
      <c r="BC36416" s="141"/>
    </row>
    <row r="36417">
      <c r="BB36417" s="122"/>
      <c r="BC36417" s="141"/>
    </row>
    <row r="36418">
      <c r="BB36418" s="122"/>
      <c r="BC36418" s="141"/>
    </row>
    <row r="36419">
      <c r="BB36419" s="122"/>
      <c r="BC36419" s="141"/>
    </row>
    <row r="36420">
      <c r="BB36420" s="122"/>
      <c r="BC36420" s="141"/>
    </row>
    <row r="36421">
      <c r="BB36421" s="122"/>
      <c r="BC36421" s="141"/>
    </row>
    <row r="36422">
      <c r="BB36422" s="122"/>
      <c r="BC36422" s="141"/>
    </row>
    <row r="36423">
      <c r="BB36423" s="122"/>
      <c r="BC36423" s="141"/>
    </row>
    <row r="36424">
      <c r="BB36424" s="122"/>
      <c r="BC36424" s="141"/>
    </row>
    <row r="36425">
      <c r="BB36425" s="122"/>
      <c r="BC36425" s="141"/>
    </row>
    <row r="36426">
      <c r="BB36426" s="122"/>
      <c r="BC36426" s="141"/>
    </row>
    <row r="36427">
      <c r="BB36427" s="122"/>
      <c r="BC36427" s="141"/>
    </row>
    <row r="36428">
      <c r="BB36428" s="122"/>
      <c r="BC36428" s="141"/>
    </row>
    <row r="36429">
      <c r="BB36429" s="122"/>
      <c r="BC36429" s="141"/>
    </row>
    <row r="36430">
      <c r="BB36430" s="122"/>
      <c r="BC36430" s="141"/>
    </row>
    <row r="36431">
      <c r="BB36431" s="122"/>
      <c r="BC36431" s="141"/>
    </row>
    <row r="36432">
      <c r="BB36432" s="122"/>
      <c r="BC36432" s="141"/>
    </row>
    <row r="36433">
      <c r="BB36433" s="122"/>
      <c r="BC36433" s="141"/>
    </row>
    <row r="36434">
      <c r="BB36434" s="122"/>
      <c r="BC36434" s="141"/>
    </row>
    <row r="36435">
      <c r="BB36435" s="122"/>
      <c r="BC36435" s="141"/>
    </row>
    <row r="36436">
      <c r="BB36436" s="122"/>
      <c r="BC36436" s="141"/>
    </row>
    <row r="36437">
      <c r="BB36437" s="122"/>
      <c r="BC36437" s="141"/>
    </row>
    <row r="36438">
      <c r="BB36438" s="122"/>
      <c r="BC36438" s="141"/>
    </row>
    <row r="36439">
      <c r="BB36439" s="122"/>
      <c r="BC36439" s="141"/>
    </row>
    <row r="36440">
      <c r="BB36440" s="122"/>
      <c r="BC36440" s="141"/>
    </row>
    <row r="36441">
      <c r="BB36441" s="122"/>
      <c r="BC36441" s="141"/>
    </row>
    <row r="36442">
      <c r="BB36442" s="122"/>
      <c r="BC36442" s="141"/>
    </row>
    <row r="36443">
      <c r="BB36443" s="122"/>
      <c r="BC36443" s="141"/>
    </row>
    <row r="36444">
      <c r="BB36444" s="122"/>
      <c r="BC36444" s="141"/>
    </row>
    <row r="36445">
      <c r="BB36445" s="122"/>
      <c r="BC36445" s="141"/>
    </row>
    <row r="36446">
      <c r="BB36446" s="122"/>
      <c r="BC36446" s="141"/>
    </row>
    <row r="36447">
      <c r="BB36447" s="122"/>
      <c r="BC36447" s="141"/>
    </row>
    <row r="36448">
      <c r="BB36448" s="122"/>
      <c r="BC36448" s="141"/>
    </row>
    <row r="36449">
      <c r="BB36449" s="122"/>
      <c r="BC36449" s="141"/>
    </row>
    <row r="36450">
      <c r="BB36450" s="122"/>
      <c r="BC36450" s="141"/>
    </row>
    <row r="36451">
      <c r="BB36451" s="122"/>
      <c r="BC36451" s="141"/>
    </row>
    <row r="36452">
      <c r="BB36452" s="122"/>
      <c r="BC36452" s="141"/>
    </row>
    <row r="36453">
      <c r="BB36453" s="122"/>
      <c r="BC36453" s="141"/>
    </row>
    <row r="36454">
      <c r="BB36454" s="122"/>
      <c r="BC36454" s="141"/>
    </row>
    <row r="36455">
      <c r="BB36455" s="122"/>
      <c r="BC36455" s="141"/>
    </row>
    <row r="36456">
      <c r="BB36456" s="122"/>
      <c r="BC36456" s="141"/>
    </row>
    <row r="36457">
      <c r="BB36457" s="122"/>
      <c r="BC36457" s="141"/>
    </row>
    <row r="36458">
      <c r="BB36458" s="122"/>
      <c r="BC36458" s="141"/>
    </row>
    <row r="36459">
      <c r="BB36459" s="122"/>
      <c r="BC36459" s="141"/>
    </row>
    <row r="36460">
      <c r="BB36460" s="122"/>
      <c r="BC36460" s="141"/>
    </row>
    <row r="36461">
      <c r="BB36461" s="122"/>
      <c r="BC36461" s="141"/>
    </row>
    <row r="36462">
      <c r="BB36462" s="122"/>
      <c r="BC36462" s="141"/>
    </row>
    <row r="36463">
      <c r="BB36463" s="122"/>
      <c r="BC36463" s="141"/>
    </row>
    <row r="36464">
      <c r="BB36464" s="122"/>
      <c r="BC36464" s="141"/>
    </row>
    <row r="36465">
      <c r="BB36465" s="122"/>
      <c r="BC36465" s="141"/>
    </row>
    <row r="36466">
      <c r="BB36466" s="122"/>
      <c r="BC36466" s="141"/>
    </row>
    <row r="36467">
      <c r="BB36467" s="122"/>
      <c r="BC36467" s="141"/>
    </row>
    <row r="36468">
      <c r="BB36468" s="122"/>
      <c r="BC36468" s="141"/>
    </row>
    <row r="36469">
      <c r="BB36469" s="122"/>
      <c r="BC36469" s="141"/>
    </row>
    <row r="36470">
      <c r="BB36470" s="122"/>
      <c r="BC36470" s="141"/>
    </row>
    <row r="36471">
      <c r="BB36471" s="122"/>
      <c r="BC36471" s="141"/>
    </row>
    <row r="36472">
      <c r="BB36472" s="122"/>
      <c r="BC36472" s="141"/>
    </row>
    <row r="36473">
      <c r="BB36473" s="122"/>
      <c r="BC36473" s="141"/>
    </row>
    <row r="36474">
      <c r="BB36474" s="122"/>
      <c r="BC36474" s="141"/>
    </row>
    <row r="36475">
      <c r="BB36475" s="122"/>
      <c r="BC36475" s="141"/>
    </row>
    <row r="36476">
      <c r="BB36476" s="122"/>
      <c r="BC36476" s="141"/>
    </row>
    <row r="36477">
      <c r="BB36477" s="122"/>
      <c r="BC36477" s="141"/>
    </row>
    <row r="36478">
      <c r="BB36478" s="122"/>
      <c r="BC36478" s="141"/>
    </row>
    <row r="36479">
      <c r="BB36479" s="122"/>
      <c r="BC36479" s="141"/>
    </row>
    <row r="36480">
      <c r="BB36480" s="122"/>
      <c r="BC36480" s="141"/>
    </row>
    <row r="36481">
      <c r="BB36481" s="122"/>
      <c r="BC36481" s="141"/>
    </row>
    <row r="36482">
      <c r="BB36482" s="122"/>
      <c r="BC36482" s="141"/>
    </row>
    <row r="36483">
      <c r="BB36483" s="122"/>
      <c r="BC36483" s="141"/>
    </row>
    <row r="36484">
      <c r="BB36484" s="122"/>
      <c r="BC36484" s="141"/>
    </row>
    <row r="36485">
      <c r="BB36485" s="122"/>
      <c r="BC36485" s="141"/>
    </row>
    <row r="36486">
      <c r="BB36486" s="122"/>
      <c r="BC36486" s="141"/>
    </row>
    <row r="36487">
      <c r="BB36487" s="122"/>
      <c r="BC36487" s="141"/>
    </row>
    <row r="36488">
      <c r="BB36488" s="122"/>
      <c r="BC36488" s="141"/>
    </row>
    <row r="36489">
      <c r="BB36489" s="122"/>
      <c r="BC36489" s="141"/>
    </row>
    <row r="36490">
      <c r="BB36490" s="122"/>
      <c r="BC36490" s="141"/>
    </row>
    <row r="36491">
      <c r="BB36491" s="122"/>
      <c r="BC36491" s="141"/>
    </row>
    <row r="36492">
      <c r="BB36492" s="122"/>
      <c r="BC36492" s="141"/>
    </row>
    <row r="36493">
      <c r="BB36493" s="122"/>
      <c r="BC36493" s="141"/>
    </row>
    <row r="36494">
      <c r="BB36494" s="122"/>
      <c r="BC36494" s="141"/>
    </row>
    <row r="36495">
      <c r="BB36495" s="122"/>
      <c r="BC36495" s="141"/>
    </row>
    <row r="36496">
      <c r="BB36496" s="122"/>
      <c r="BC36496" s="141"/>
    </row>
    <row r="36497">
      <c r="BB36497" s="122"/>
      <c r="BC36497" s="141"/>
    </row>
    <row r="36498">
      <c r="BB36498" s="122"/>
      <c r="BC36498" s="141"/>
    </row>
    <row r="36499">
      <c r="BB36499" s="122"/>
      <c r="BC36499" s="141"/>
    </row>
    <row r="36500">
      <c r="BB36500" s="122"/>
      <c r="BC36500" s="141"/>
    </row>
    <row r="36501">
      <c r="BB36501" s="122"/>
      <c r="BC36501" s="141"/>
    </row>
    <row r="36502">
      <c r="BB36502" s="122"/>
      <c r="BC36502" s="141"/>
    </row>
    <row r="36503">
      <c r="BB36503" s="122"/>
      <c r="BC36503" s="141"/>
    </row>
    <row r="36504">
      <c r="BB36504" s="122"/>
      <c r="BC36504" s="141"/>
    </row>
    <row r="36505">
      <c r="BB36505" s="122"/>
      <c r="BC36505" s="141"/>
    </row>
    <row r="36506">
      <c r="BB36506" s="122"/>
      <c r="BC36506" s="141"/>
    </row>
    <row r="36507">
      <c r="BB36507" s="122"/>
      <c r="BC36507" s="141"/>
    </row>
    <row r="36508">
      <c r="BB36508" s="122"/>
      <c r="BC36508" s="141"/>
    </row>
    <row r="36509">
      <c r="BB36509" s="122"/>
      <c r="BC36509" s="141"/>
    </row>
    <row r="36510">
      <c r="BB36510" s="122"/>
      <c r="BC36510" s="141"/>
    </row>
    <row r="36511">
      <c r="BB36511" s="122"/>
      <c r="BC36511" s="141"/>
    </row>
    <row r="36512">
      <c r="BB36512" s="122"/>
      <c r="BC36512" s="141"/>
    </row>
    <row r="36513">
      <c r="BB36513" s="122"/>
      <c r="BC36513" s="141"/>
    </row>
    <row r="36514">
      <c r="BB36514" s="122"/>
      <c r="BC36514" s="141"/>
    </row>
    <row r="36515">
      <c r="BB36515" s="122"/>
      <c r="BC36515" s="141"/>
    </row>
    <row r="36516">
      <c r="BB36516" s="122"/>
      <c r="BC36516" s="141"/>
    </row>
    <row r="36517">
      <c r="BB36517" s="122"/>
      <c r="BC36517" s="141"/>
    </row>
    <row r="36518">
      <c r="BB36518" s="122"/>
      <c r="BC36518" s="141"/>
    </row>
    <row r="36519">
      <c r="BB36519" s="122"/>
      <c r="BC36519" s="141"/>
    </row>
    <row r="36520">
      <c r="BB36520" s="122"/>
      <c r="BC36520" s="141"/>
    </row>
    <row r="36521">
      <c r="BB36521" s="122"/>
      <c r="BC36521" s="141"/>
    </row>
    <row r="36522">
      <c r="BB36522" s="122"/>
      <c r="BC36522" s="141"/>
    </row>
    <row r="36523">
      <c r="BB36523" s="122"/>
      <c r="BC36523" s="141"/>
    </row>
    <row r="36524">
      <c r="BB36524" s="122"/>
      <c r="BC36524" s="141"/>
    </row>
    <row r="36525">
      <c r="BB36525" s="122"/>
      <c r="BC36525" s="141"/>
    </row>
    <row r="36526">
      <c r="BB36526" s="122"/>
      <c r="BC36526" s="141"/>
    </row>
    <row r="36527">
      <c r="BB36527" s="122"/>
      <c r="BC36527" s="141"/>
    </row>
    <row r="36528">
      <c r="BB36528" s="122"/>
      <c r="BC36528" s="141"/>
    </row>
    <row r="36529">
      <c r="BB36529" s="122"/>
      <c r="BC36529" s="141"/>
    </row>
    <row r="36530">
      <c r="BB36530" s="122"/>
      <c r="BC36530" s="141"/>
    </row>
    <row r="36531">
      <c r="BB36531" s="122"/>
      <c r="BC36531" s="141"/>
    </row>
    <row r="36532">
      <c r="BB36532" s="122"/>
      <c r="BC36532" s="141"/>
    </row>
    <row r="36533">
      <c r="BB36533" s="122"/>
      <c r="BC36533" s="141"/>
    </row>
    <row r="36534">
      <c r="BB36534" s="122"/>
      <c r="BC36534" s="141"/>
    </row>
    <row r="36535">
      <c r="BB36535" s="122"/>
      <c r="BC36535" s="141"/>
    </row>
    <row r="36536">
      <c r="BB36536" s="122"/>
      <c r="BC36536" s="141"/>
    </row>
    <row r="36537">
      <c r="BB36537" s="122"/>
      <c r="BC36537" s="141"/>
    </row>
    <row r="36538">
      <c r="BB36538" s="122"/>
      <c r="BC36538" s="141"/>
    </row>
    <row r="36539">
      <c r="BB36539" s="122"/>
      <c r="BC36539" s="141"/>
    </row>
    <row r="36540">
      <c r="BB36540" s="122"/>
      <c r="BC36540" s="141"/>
    </row>
    <row r="36541">
      <c r="BB36541" s="122"/>
      <c r="BC36541" s="141"/>
    </row>
    <row r="36542">
      <c r="BB36542" s="122"/>
      <c r="BC36542" s="141"/>
    </row>
    <row r="36543">
      <c r="BB36543" s="122"/>
      <c r="BC36543" s="141"/>
    </row>
    <row r="36544">
      <c r="BB36544" s="122"/>
      <c r="BC36544" s="141"/>
    </row>
    <row r="36545">
      <c r="BB36545" s="122"/>
      <c r="BC36545" s="141"/>
    </row>
    <row r="36546">
      <c r="BB36546" s="122"/>
      <c r="BC36546" s="141"/>
    </row>
    <row r="36547">
      <c r="BB36547" s="122"/>
      <c r="BC36547" s="141"/>
    </row>
    <row r="36548">
      <c r="BB36548" s="122"/>
      <c r="BC36548" s="141"/>
    </row>
    <row r="36549">
      <c r="BB36549" s="122"/>
      <c r="BC36549" s="141"/>
    </row>
    <row r="36550">
      <c r="BB36550" s="122"/>
      <c r="BC36550" s="141"/>
    </row>
    <row r="36551">
      <c r="BB36551" s="122"/>
      <c r="BC36551" s="141"/>
    </row>
    <row r="36552">
      <c r="BB36552" s="122"/>
      <c r="BC36552" s="141"/>
    </row>
    <row r="36553">
      <c r="BB36553" s="122"/>
      <c r="BC36553" s="141"/>
    </row>
    <row r="36554">
      <c r="BB36554" s="122"/>
      <c r="BC36554" s="141"/>
    </row>
    <row r="36555">
      <c r="BB36555" s="122"/>
      <c r="BC36555" s="141"/>
    </row>
    <row r="36556">
      <c r="BB36556" s="122"/>
      <c r="BC36556" s="141"/>
    </row>
    <row r="36557">
      <c r="BB36557" s="122"/>
      <c r="BC36557" s="141"/>
    </row>
    <row r="36558">
      <c r="BB36558" s="122"/>
      <c r="BC36558" s="141"/>
    </row>
    <row r="36559">
      <c r="BB36559" s="122"/>
      <c r="BC36559" s="141"/>
    </row>
    <row r="36560">
      <c r="BB36560" s="122"/>
      <c r="BC36560" s="141"/>
    </row>
    <row r="36561">
      <c r="BB36561" s="122"/>
      <c r="BC36561" s="141"/>
    </row>
    <row r="36562">
      <c r="BB36562" s="122"/>
      <c r="BC36562" s="141"/>
    </row>
    <row r="36563">
      <c r="BB36563" s="122"/>
      <c r="BC36563" s="141"/>
    </row>
    <row r="36564">
      <c r="BB36564" s="122"/>
      <c r="BC36564" s="141"/>
    </row>
    <row r="36565">
      <c r="BB36565" s="122"/>
      <c r="BC36565" s="141"/>
    </row>
    <row r="36566">
      <c r="BB36566" s="122"/>
      <c r="BC36566" s="141"/>
    </row>
    <row r="36567">
      <c r="BB36567" s="122"/>
      <c r="BC36567" s="141"/>
    </row>
    <row r="36568">
      <c r="BB36568" s="122"/>
      <c r="BC36568" s="141"/>
    </row>
    <row r="36569">
      <c r="BB36569" s="122"/>
      <c r="BC36569" s="141"/>
    </row>
    <row r="36570">
      <c r="BB36570" s="122"/>
      <c r="BC36570" s="141"/>
    </row>
    <row r="36571">
      <c r="BB36571" s="122"/>
      <c r="BC36571" s="141"/>
    </row>
    <row r="36572">
      <c r="BB36572" s="122"/>
      <c r="BC36572" s="141"/>
    </row>
    <row r="36573">
      <c r="BB36573" s="122"/>
      <c r="BC36573" s="141"/>
    </row>
    <row r="36574">
      <c r="BB36574" s="122"/>
      <c r="BC36574" s="141"/>
    </row>
    <row r="36575">
      <c r="BB36575" s="122"/>
      <c r="BC36575" s="141"/>
    </row>
    <row r="36576">
      <c r="BB36576" s="122"/>
      <c r="BC36576" s="141"/>
    </row>
    <row r="36577">
      <c r="BB36577" s="122"/>
      <c r="BC36577" s="141"/>
    </row>
    <row r="36578">
      <c r="BB36578" s="122"/>
      <c r="BC36578" s="141"/>
    </row>
    <row r="36579">
      <c r="BB36579" s="122"/>
      <c r="BC36579" s="141"/>
    </row>
    <row r="36580">
      <c r="BB36580" s="122"/>
      <c r="BC36580" s="141"/>
    </row>
    <row r="36581">
      <c r="BB36581" s="122"/>
      <c r="BC36581" s="141"/>
    </row>
    <row r="36582">
      <c r="BB36582" s="122"/>
      <c r="BC36582" s="141"/>
    </row>
    <row r="36583">
      <c r="BB36583" s="122"/>
      <c r="BC36583" s="141"/>
    </row>
    <row r="36584">
      <c r="BB36584" s="122"/>
      <c r="BC36584" s="141"/>
    </row>
    <row r="36585">
      <c r="BB36585" s="122"/>
      <c r="BC36585" s="141"/>
    </row>
    <row r="36586">
      <c r="BB36586" s="122"/>
      <c r="BC36586" s="141"/>
    </row>
    <row r="36587">
      <c r="BB36587" s="122"/>
      <c r="BC36587" s="141"/>
    </row>
    <row r="36588">
      <c r="BB36588" s="122"/>
      <c r="BC36588" s="141"/>
    </row>
    <row r="36589">
      <c r="BB36589" s="122"/>
      <c r="BC36589" s="141"/>
    </row>
    <row r="36590">
      <c r="BB36590" s="122"/>
      <c r="BC36590" s="141"/>
    </row>
    <row r="36591">
      <c r="BB36591" s="122"/>
      <c r="BC36591" s="141"/>
    </row>
    <row r="36592">
      <c r="BB36592" s="122"/>
      <c r="BC36592" s="141"/>
    </row>
    <row r="36593">
      <c r="BB36593" s="122"/>
      <c r="BC36593" s="141"/>
    </row>
    <row r="36594">
      <c r="BB36594" s="122"/>
      <c r="BC36594" s="141"/>
    </row>
    <row r="36595">
      <c r="BB36595" s="122"/>
      <c r="BC36595" s="141"/>
    </row>
    <row r="36596">
      <c r="BB36596" s="122"/>
      <c r="BC36596" s="141"/>
    </row>
    <row r="36597">
      <c r="BB36597" s="122"/>
      <c r="BC36597" s="141"/>
    </row>
    <row r="36598">
      <c r="BB36598" s="122"/>
      <c r="BC36598" s="141"/>
    </row>
    <row r="36599">
      <c r="BB36599" s="122"/>
      <c r="BC36599" s="141"/>
    </row>
    <row r="36600">
      <c r="BB36600" s="122"/>
      <c r="BC36600" s="141"/>
    </row>
    <row r="36601">
      <c r="BB36601" s="122"/>
      <c r="BC36601" s="141"/>
    </row>
    <row r="36602">
      <c r="BB36602" s="122"/>
      <c r="BC36602" s="141"/>
    </row>
    <row r="36603">
      <c r="BB36603" s="122"/>
      <c r="BC36603" s="141"/>
    </row>
    <row r="36604">
      <c r="BB36604" s="122"/>
      <c r="BC36604" s="141"/>
    </row>
    <row r="36605">
      <c r="BB36605" s="122"/>
      <c r="BC36605" s="141"/>
    </row>
    <row r="36606">
      <c r="BB36606" s="122"/>
      <c r="BC36606" s="141"/>
    </row>
    <row r="36607">
      <c r="BB36607" s="122"/>
      <c r="BC36607" s="141"/>
    </row>
    <row r="36608">
      <c r="BB36608" s="122"/>
      <c r="BC36608" s="141"/>
    </row>
    <row r="36609">
      <c r="BB36609" s="122"/>
      <c r="BC36609" s="141"/>
    </row>
    <row r="36610">
      <c r="BB36610" s="122"/>
      <c r="BC36610" s="141"/>
    </row>
    <row r="36611">
      <c r="BB36611" s="122"/>
      <c r="BC36611" s="141"/>
    </row>
    <row r="36612">
      <c r="BB36612" s="122"/>
      <c r="BC36612" s="141"/>
    </row>
    <row r="36613">
      <c r="BB36613" s="122"/>
      <c r="BC36613" s="141"/>
    </row>
    <row r="36614">
      <c r="BB36614" s="122"/>
      <c r="BC36614" s="141"/>
    </row>
    <row r="36615">
      <c r="BB36615" s="122"/>
      <c r="BC36615" s="141"/>
    </row>
    <row r="36616">
      <c r="BB36616" s="122"/>
      <c r="BC36616" s="141"/>
    </row>
    <row r="36617">
      <c r="BB36617" s="122"/>
      <c r="BC36617" s="141"/>
    </row>
    <row r="36618">
      <c r="BB36618" s="122"/>
      <c r="BC36618" s="141"/>
    </row>
    <row r="36619">
      <c r="BB36619" s="122"/>
      <c r="BC36619" s="141"/>
    </row>
    <row r="36620">
      <c r="BB36620" s="122"/>
      <c r="BC36620" s="141"/>
    </row>
    <row r="36621">
      <c r="BB36621" s="122"/>
      <c r="BC36621" s="141"/>
    </row>
    <row r="36622">
      <c r="BB36622" s="122"/>
      <c r="BC36622" s="141"/>
    </row>
    <row r="36623">
      <c r="BB36623" s="122"/>
      <c r="BC36623" s="141"/>
    </row>
    <row r="36624">
      <c r="BB36624" s="122"/>
      <c r="BC36624" s="141"/>
    </row>
    <row r="36625">
      <c r="BB36625" s="122"/>
      <c r="BC36625" s="141"/>
    </row>
    <row r="36626">
      <c r="BB36626" s="122"/>
      <c r="BC36626" s="141"/>
    </row>
    <row r="36627">
      <c r="BB36627" s="122"/>
      <c r="BC36627" s="141"/>
    </row>
    <row r="36628">
      <c r="BB36628" s="122"/>
      <c r="BC36628" s="141"/>
    </row>
    <row r="36629">
      <c r="BB36629" s="122"/>
      <c r="BC36629" s="141"/>
    </row>
    <row r="36630">
      <c r="BB36630" s="122"/>
      <c r="BC36630" s="141"/>
    </row>
    <row r="36631">
      <c r="BB36631" s="122"/>
      <c r="BC36631" s="141"/>
    </row>
    <row r="36632">
      <c r="BB36632" s="122"/>
      <c r="BC36632" s="141"/>
    </row>
    <row r="36633">
      <c r="BB36633" s="122"/>
      <c r="BC36633" s="141"/>
    </row>
    <row r="36634">
      <c r="BB36634" s="122"/>
      <c r="BC36634" s="141"/>
    </row>
    <row r="36635">
      <c r="BB36635" s="122"/>
      <c r="BC36635" s="141"/>
    </row>
    <row r="36636">
      <c r="BB36636" s="122"/>
      <c r="BC36636" s="141"/>
    </row>
    <row r="36637">
      <c r="BB36637" s="122"/>
      <c r="BC36637" s="141"/>
    </row>
    <row r="36638">
      <c r="BB36638" s="122"/>
      <c r="BC36638" s="141"/>
    </row>
    <row r="36639">
      <c r="BB36639" s="122"/>
      <c r="BC36639" s="141"/>
    </row>
    <row r="36640">
      <c r="BB36640" s="122"/>
      <c r="BC36640" s="141"/>
    </row>
    <row r="36641">
      <c r="BB36641" s="122"/>
      <c r="BC36641" s="141"/>
    </row>
    <row r="36642">
      <c r="BB36642" s="122"/>
      <c r="BC36642" s="141"/>
    </row>
    <row r="36643">
      <c r="BB36643" s="122"/>
      <c r="BC36643" s="141"/>
    </row>
    <row r="36644">
      <c r="BB36644" s="122"/>
      <c r="BC36644" s="141"/>
    </row>
    <row r="36645">
      <c r="BB36645" s="122"/>
      <c r="BC36645" s="141"/>
    </row>
    <row r="36646">
      <c r="BB36646" s="122"/>
      <c r="BC36646" s="141"/>
    </row>
    <row r="36647">
      <c r="BB36647" s="122"/>
      <c r="BC36647" s="141"/>
    </row>
    <row r="36648">
      <c r="BB36648" s="122"/>
      <c r="BC36648" s="141"/>
    </row>
    <row r="36649">
      <c r="BB36649" s="122"/>
      <c r="BC36649" s="141"/>
    </row>
    <row r="36650">
      <c r="BB36650" s="122"/>
      <c r="BC36650" s="141"/>
    </row>
    <row r="36651">
      <c r="BB36651" s="122"/>
      <c r="BC36651" s="141"/>
    </row>
    <row r="36652">
      <c r="BB36652" s="122"/>
      <c r="BC36652" s="141"/>
    </row>
    <row r="36653">
      <c r="BB36653" s="122"/>
      <c r="BC36653" s="141"/>
    </row>
    <row r="36654">
      <c r="BB36654" s="122"/>
      <c r="BC36654" s="141"/>
    </row>
    <row r="36655">
      <c r="BB36655" s="122"/>
      <c r="BC36655" s="141"/>
    </row>
    <row r="36656">
      <c r="BB36656" s="122"/>
      <c r="BC36656" s="141"/>
    </row>
    <row r="36657">
      <c r="BB36657" s="122"/>
      <c r="BC36657" s="141"/>
    </row>
    <row r="36658">
      <c r="BB36658" s="122"/>
      <c r="BC36658" s="141"/>
    </row>
    <row r="36659">
      <c r="BB36659" s="122"/>
      <c r="BC36659" s="141"/>
    </row>
    <row r="36660">
      <c r="BB36660" s="122"/>
      <c r="BC36660" s="141"/>
    </row>
    <row r="36661">
      <c r="BB36661" s="122"/>
      <c r="BC36661" s="141"/>
    </row>
    <row r="36662">
      <c r="BB36662" s="122"/>
      <c r="BC36662" s="141"/>
    </row>
    <row r="36663">
      <c r="BB36663" s="122"/>
      <c r="BC36663" s="141"/>
    </row>
    <row r="36664">
      <c r="BB36664" s="122"/>
      <c r="BC36664" s="141"/>
    </row>
    <row r="36665">
      <c r="BB36665" s="122"/>
      <c r="BC36665" s="141"/>
    </row>
    <row r="36666">
      <c r="BB36666" s="122"/>
      <c r="BC36666" s="141"/>
    </row>
    <row r="36667">
      <c r="BB36667" s="122"/>
      <c r="BC36667" s="141"/>
    </row>
    <row r="36668">
      <c r="BB36668" s="122"/>
      <c r="BC36668" s="141"/>
    </row>
    <row r="36669">
      <c r="BB36669" s="122"/>
      <c r="BC36669" s="141"/>
    </row>
    <row r="36670">
      <c r="BB36670" s="122"/>
      <c r="BC36670" s="141"/>
    </row>
    <row r="36671">
      <c r="BB36671" s="122"/>
      <c r="BC36671" s="141"/>
    </row>
    <row r="36672">
      <c r="BB36672" s="122"/>
      <c r="BC36672" s="141"/>
    </row>
    <row r="36673">
      <c r="BB36673" s="122"/>
      <c r="BC36673" s="141"/>
    </row>
    <row r="36674">
      <c r="BB36674" s="122"/>
      <c r="BC36674" s="141"/>
    </row>
    <row r="36675">
      <c r="BB36675" s="122"/>
      <c r="BC36675" s="141"/>
    </row>
    <row r="36676">
      <c r="BB36676" s="122"/>
      <c r="BC36676" s="141"/>
    </row>
    <row r="36677">
      <c r="BB36677" s="122"/>
      <c r="BC36677" s="141"/>
    </row>
    <row r="36678">
      <c r="BB36678" s="122"/>
      <c r="BC36678" s="141"/>
    </row>
    <row r="36679">
      <c r="BB36679" s="122"/>
      <c r="BC36679" s="141"/>
    </row>
    <row r="36680">
      <c r="BB36680" s="122"/>
      <c r="BC36680" s="141"/>
    </row>
    <row r="36681">
      <c r="BB36681" s="122"/>
      <c r="BC36681" s="141"/>
    </row>
    <row r="36682">
      <c r="BB36682" s="122"/>
      <c r="BC36682" s="141"/>
    </row>
    <row r="36683">
      <c r="BB36683" s="122"/>
      <c r="BC36683" s="141"/>
    </row>
    <row r="36684">
      <c r="BB36684" s="122"/>
      <c r="BC36684" s="141"/>
    </row>
    <row r="36685">
      <c r="BB36685" s="122"/>
      <c r="BC36685" s="141"/>
    </row>
    <row r="36686">
      <c r="BB36686" s="122"/>
      <c r="BC36686" s="141"/>
    </row>
    <row r="36687">
      <c r="BB36687" s="122"/>
      <c r="BC36687" s="141"/>
    </row>
    <row r="36688">
      <c r="BB36688" s="122"/>
      <c r="BC36688" s="141"/>
    </row>
    <row r="36689">
      <c r="BB36689" s="122"/>
      <c r="BC36689" s="141"/>
    </row>
    <row r="36690">
      <c r="BB36690" s="122"/>
      <c r="BC36690" s="141"/>
    </row>
    <row r="36691">
      <c r="BB36691" s="122"/>
      <c r="BC36691" s="141"/>
    </row>
    <row r="36692">
      <c r="BB36692" s="122"/>
      <c r="BC36692" s="141"/>
    </row>
    <row r="36693">
      <c r="BB36693" s="122"/>
      <c r="BC36693" s="141"/>
    </row>
    <row r="36694">
      <c r="BB36694" s="122"/>
      <c r="BC36694" s="141"/>
    </row>
    <row r="36695">
      <c r="BB36695" s="122"/>
      <c r="BC36695" s="141"/>
    </row>
    <row r="36696">
      <c r="BB36696" s="122"/>
      <c r="BC36696" s="141"/>
    </row>
    <row r="36697">
      <c r="BB36697" s="122"/>
      <c r="BC36697" s="141"/>
    </row>
    <row r="36698">
      <c r="BB36698" s="122"/>
      <c r="BC36698" s="141"/>
    </row>
    <row r="36699">
      <c r="BB36699" s="122"/>
      <c r="BC36699" s="141"/>
    </row>
    <row r="36700">
      <c r="BB36700" s="122"/>
      <c r="BC36700" s="141"/>
    </row>
    <row r="36701">
      <c r="BB36701" s="122"/>
      <c r="BC36701" s="141"/>
    </row>
    <row r="36702">
      <c r="BB36702" s="122"/>
      <c r="BC36702" s="141"/>
    </row>
    <row r="36703">
      <c r="BB36703" s="122"/>
      <c r="BC36703" s="141"/>
    </row>
    <row r="36704">
      <c r="BB36704" s="122"/>
      <c r="BC36704" s="141"/>
    </row>
    <row r="36705">
      <c r="BB36705" s="122"/>
      <c r="BC36705" s="141"/>
    </row>
    <row r="36706">
      <c r="BB36706" s="122"/>
      <c r="BC36706" s="141"/>
    </row>
    <row r="36707">
      <c r="BB36707" s="122"/>
      <c r="BC36707" s="141"/>
    </row>
    <row r="36708">
      <c r="BB36708" s="122"/>
      <c r="BC36708" s="141"/>
    </row>
    <row r="36709">
      <c r="BB36709" s="122"/>
      <c r="BC36709" s="141"/>
    </row>
    <row r="36710">
      <c r="BB36710" s="122"/>
      <c r="BC36710" s="141"/>
    </row>
    <row r="36711">
      <c r="BB36711" s="122"/>
      <c r="BC36711" s="141"/>
    </row>
    <row r="36712">
      <c r="BB36712" s="122"/>
      <c r="BC36712" s="141"/>
    </row>
    <row r="36713">
      <c r="BB36713" s="122"/>
      <c r="BC36713" s="141"/>
    </row>
    <row r="36714">
      <c r="BB36714" s="122"/>
      <c r="BC36714" s="141"/>
    </row>
    <row r="36715">
      <c r="BB36715" s="122"/>
      <c r="BC36715" s="141"/>
    </row>
    <row r="36716">
      <c r="BB36716" s="122"/>
      <c r="BC36716" s="141"/>
    </row>
    <row r="36717">
      <c r="BB36717" s="122"/>
      <c r="BC36717" s="141"/>
    </row>
    <row r="36718">
      <c r="BB36718" s="122"/>
      <c r="BC36718" s="141"/>
    </row>
    <row r="36719">
      <c r="BB36719" s="122"/>
      <c r="BC36719" s="141"/>
    </row>
    <row r="36720">
      <c r="BB36720" s="122"/>
      <c r="BC36720" s="141"/>
    </row>
    <row r="36721">
      <c r="BB36721" s="122"/>
      <c r="BC36721" s="141"/>
    </row>
    <row r="36722">
      <c r="BB36722" s="122"/>
      <c r="BC36722" s="141"/>
    </row>
    <row r="36723">
      <c r="BB36723" s="122"/>
      <c r="BC36723" s="141"/>
    </row>
    <row r="36724">
      <c r="BB36724" s="122"/>
      <c r="BC36724" s="141"/>
    </row>
    <row r="36725">
      <c r="BB36725" s="122"/>
      <c r="BC36725" s="141"/>
    </row>
    <row r="36726">
      <c r="BB36726" s="122"/>
      <c r="BC36726" s="141"/>
    </row>
    <row r="36727">
      <c r="BB36727" s="122"/>
      <c r="BC36727" s="141"/>
    </row>
    <row r="36728">
      <c r="BB36728" s="122"/>
      <c r="BC36728" s="141"/>
    </row>
    <row r="36729">
      <c r="BB36729" s="122"/>
      <c r="BC36729" s="141"/>
    </row>
    <row r="36730">
      <c r="BB36730" s="122"/>
      <c r="BC36730" s="141"/>
    </row>
    <row r="36731">
      <c r="BB36731" s="122"/>
      <c r="BC36731" s="141"/>
    </row>
    <row r="36732">
      <c r="BB36732" s="122"/>
      <c r="BC36732" s="141"/>
    </row>
    <row r="36733">
      <c r="BB36733" s="122"/>
      <c r="BC36733" s="141"/>
    </row>
    <row r="36734">
      <c r="BB36734" s="122"/>
      <c r="BC36734" s="141"/>
    </row>
    <row r="36735">
      <c r="BB36735" s="122"/>
      <c r="BC36735" s="141"/>
    </row>
    <row r="36736">
      <c r="BB36736" s="122"/>
      <c r="BC36736" s="141"/>
    </row>
    <row r="36737">
      <c r="BB36737" s="122"/>
      <c r="BC36737" s="141"/>
    </row>
    <row r="36738">
      <c r="BB36738" s="122"/>
      <c r="BC36738" s="141"/>
    </row>
    <row r="36739">
      <c r="BB36739" s="122"/>
      <c r="BC36739" s="141"/>
    </row>
    <row r="36740">
      <c r="BB36740" s="122"/>
      <c r="BC36740" s="141"/>
    </row>
    <row r="36741">
      <c r="BB36741" s="122"/>
      <c r="BC36741" s="141"/>
    </row>
    <row r="36742">
      <c r="BB36742" s="122"/>
      <c r="BC36742" s="141"/>
    </row>
    <row r="36743">
      <c r="BB36743" s="122"/>
      <c r="BC36743" s="141"/>
    </row>
    <row r="36744">
      <c r="BB36744" s="122"/>
      <c r="BC36744" s="141"/>
    </row>
    <row r="36745">
      <c r="BB36745" s="122"/>
      <c r="BC36745" s="141"/>
    </row>
    <row r="36746">
      <c r="BB36746" s="122"/>
      <c r="BC36746" s="141"/>
    </row>
    <row r="36747">
      <c r="BB36747" s="122"/>
      <c r="BC36747" s="141"/>
    </row>
    <row r="36748">
      <c r="BB36748" s="122"/>
      <c r="BC36748" s="141"/>
    </row>
    <row r="36749">
      <c r="BB36749" s="122"/>
      <c r="BC36749" s="141"/>
    </row>
    <row r="36750">
      <c r="BB36750" s="122"/>
      <c r="BC36750" s="141"/>
    </row>
    <row r="36751">
      <c r="BB36751" s="122"/>
      <c r="BC36751" s="141"/>
    </row>
    <row r="36752">
      <c r="BB36752" s="122"/>
      <c r="BC36752" s="141"/>
    </row>
    <row r="36753">
      <c r="BB36753" s="122"/>
      <c r="BC36753" s="141"/>
    </row>
    <row r="36754">
      <c r="BB36754" s="122"/>
      <c r="BC36754" s="141"/>
    </row>
    <row r="36755">
      <c r="BB36755" s="122"/>
      <c r="BC36755" s="141"/>
    </row>
    <row r="36756">
      <c r="BB36756" s="122"/>
      <c r="BC36756" s="141"/>
    </row>
    <row r="36757">
      <c r="BB36757" s="122"/>
      <c r="BC36757" s="141"/>
    </row>
    <row r="36758">
      <c r="BB36758" s="122"/>
      <c r="BC36758" s="141"/>
    </row>
    <row r="36759">
      <c r="BB36759" s="122"/>
      <c r="BC36759" s="141"/>
    </row>
    <row r="36760">
      <c r="BB36760" s="122"/>
      <c r="BC36760" s="141"/>
    </row>
    <row r="36761">
      <c r="BB36761" s="122"/>
      <c r="BC36761" s="141"/>
    </row>
    <row r="36762">
      <c r="BB36762" s="122"/>
      <c r="BC36762" s="141"/>
    </row>
    <row r="36763">
      <c r="BB36763" s="122"/>
      <c r="BC36763" s="141"/>
    </row>
    <row r="36764">
      <c r="BB36764" s="122"/>
      <c r="BC36764" s="141"/>
    </row>
    <row r="36765">
      <c r="BB36765" s="122"/>
      <c r="BC36765" s="141"/>
    </row>
    <row r="36766">
      <c r="BB36766" s="122"/>
      <c r="BC36766" s="141"/>
    </row>
    <row r="36767">
      <c r="BB36767" s="122"/>
      <c r="BC36767" s="141"/>
    </row>
    <row r="36768">
      <c r="BB36768" s="122"/>
      <c r="BC36768" s="141"/>
    </row>
    <row r="36769">
      <c r="BB36769" s="122"/>
      <c r="BC36769" s="141"/>
    </row>
    <row r="36770">
      <c r="BB36770" s="122"/>
      <c r="BC36770" s="141"/>
    </row>
    <row r="36771">
      <c r="BB36771" s="122"/>
      <c r="BC36771" s="141"/>
    </row>
    <row r="36772">
      <c r="BB36772" s="122"/>
      <c r="BC36772" s="141"/>
    </row>
    <row r="36773">
      <c r="BB36773" s="122"/>
      <c r="BC36773" s="141"/>
    </row>
    <row r="36774">
      <c r="BB36774" s="122"/>
      <c r="BC36774" s="141"/>
    </row>
    <row r="36775">
      <c r="BB36775" s="122"/>
      <c r="BC36775" s="141"/>
    </row>
    <row r="36776">
      <c r="BB36776" s="122"/>
      <c r="BC36776" s="141"/>
    </row>
    <row r="36777">
      <c r="BB36777" s="122"/>
      <c r="BC36777" s="141"/>
    </row>
    <row r="36778">
      <c r="BB36778" s="122"/>
      <c r="BC36778" s="141"/>
    </row>
    <row r="36779">
      <c r="BB36779" s="122"/>
      <c r="BC36779" s="141"/>
    </row>
    <row r="36780">
      <c r="BB36780" s="122"/>
      <c r="BC36780" s="141"/>
    </row>
    <row r="36781">
      <c r="BB36781" s="122"/>
      <c r="BC36781" s="141"/>
    </row>
    <row r="36782">
      <c r="BB36782" s="122"/>
      <c r="BC36782" s="141"/>
    </row>
    <row r="36783">
      <c r="BB36783" s="122"/>
      <c r="BC36783" s="141"/>
    </row>
    <row r="36784">
      <c r="BB36784" s="122"/>
      <c r="BC36784" s="141"/>
    </row>
    <row r="36785">
      <c r="BB36785" s="122"/>
      <c r="BC36785" s="141"/>
    </row>
    <row r="36786">
      <c r="BB36786" s="122"/>
      <c r="BC36786" s="141"/>
    </row>
    <row r="36787">
      <c r="BB36787" s="122"/>
      <c r="BC36787" s="141"/>
    </row>
    <row r="36788">
      <c r="BB36788" s="122"/>
      <c r="BC36788" s="141"/>
    </row>
    <row r="36789">
      <c r="BB36789" s="122"/>
      <c r="BC36789" s="141"/>
    </row>
    <row r="36790">
      <c r="BB36790" s="122"/>
      <c r="BC36790" s="141"/>
    </row>
    <row r="36791">
      <c r="BB36791" s="122"/>
      <c r="BC36791" s="141"/>
    </row>
    <row r="36792">
      <c r="BB36792" s="122"/>
      <c r="BC36792" s="141"/>
    </row>
    <row r="36793">
      <c r="BB36793" s="122"/>
      <c r="BC36793" s="141"/>
    </row>
    <row r="36794">
      <c r="BB36794" s="122"/>
      <c r="BC36794" s="141"/>
    </row>
    <row r="36795">
      <c r="BB36795" s="122"/>
      <c r="BC36795" s="141"/>
    </row>
    <row r="36796">
      <c r="BB36796" s="122"/>
      <c r="BC36796" s="141"/>
    </row>
    <row r="36797">
      <c r="BB36797" s="122"/>
      <c r="BC36797" s="141"/>
    </row>
    <row r="36798">
      <c r="BB36798" s="122"/>
      <c r="BC36798" s="141"/>
    </row>
    <row r="36799">
      <c r="BB36799" s="122"/>
      <c r="BC36799" s="141"/>
    </row>
    <row r="36800">
      <c r="BB36800" s="122"/>
      <c r="BC36800" s="141"/>
    </row>
    <row r="36801">
      <c r="BB36801" s="122"/>
      <c r="BC36801" s="141"/>
    </row>
    <row r="36802">
      <c r="BB36802" s="122"/>
      <c r="BC36802" s="141"/>
    </row>
    <row r="36803">
      <c r="BB36803" s="122"/>
      <c r="BC36803" s="141"/>
    </row>
    <row r="36804">
      <c r="BB36804" s="122"/>
      <c r="BC36804" s="141"/>
    </row>
    <row r="36805">
      <c r="BB36805" s="122"/>
      <c r="BC36805" s="141"/>
    </row>
    <row r="36806">
      <c r="BB36806" s="122"/>
      <c r="BC36806" s="141"/>
    </row>
    <row r="36807">
      <c r="BB36807" s="122"/>
      <c r="BC36807" s="141"/>
    </row>
    <row r="36808">
      <c r="BB36808" s="122"/>
      <c r="BC36808" s="141"/>
    </row>
    <row r="36809">
      <c r="BB36809" s="122"/>
      <c r="BC36809" s="141"/>
    </row>
    <row r="36810">
      <c r="BB36810" s="122"/>
      <c r="BC36810" s="141"/>
    </row>
    <row r="36811">
      <c r="BB36811" s="122"/>
      <c r="BC36811" s="141"/>
    </row>
    <row r="36812">
      <c r="BB36812" s="122"/>
      <c r="BC36812" s="141"/>
    </row>
    <row r="36813">
      <c r="BB36813" s="122"/>
      <c r="BC36813" s="141"/>
    </row>
    <row r="36814">
      <c r="BB36814" s="122"/>
      <c r="BC36814" s="141"/>
    </row>
    <row r="36815">
      <c r="BB36815" s="122"/>
      <c r="BC36815" s="141"/>
    </row>
    <row r="36816">
      <c r="BB36816" s="122"/>
      <c r="BC36816" s="141"/>
    </row>
    <row r="36817">
      <c r="BB36817" s="122"/>
      <c r="BC36817" s="141"/>
    </row>
    <row r="36818">
      <c r="BB36818" s="122"/>
      <c r="BC36818" s="141"/>
    </row>
    <row r="36819">
      <c r="BB36819" s="122"/>
      <c r="BC36819" s="141"/>
    </row>
    <row r="36820">
      <c r="BB36820" s="122"/>
      <c r="BC36820" s="141"/>
    </row>
    <row r="36821">
      <c r="BB36821" s="122"/>
      <c r="BC36821" s="141"/>
    </row>
    <row r="36822">
      <c r="BB36822" s="122"/>
      <c r="BC36822" s="141"/>
    </row>
    <row r="36823">
      <c r="BB36823" s="122"/>
      <c r="BC36823" s="141"/>
    </row>
    <row r="36824">
      <c r="BB36824" s="122"/>
      <c r="BC36824" s="141"/>
    </row>
    <row r="36825">
      <c r="BB36825" s="122"/>
      <c r="BC36825" s="141"/>
    </row>
    <row r="36826">
      <c r="BB36826" s="122"/>
      <c r="BC36826" s="141"/>
    </row>
    <row r="36827">
      <c r="BB36827" s="122"/>
      <c r="BC36827" s="141"/>
    </row>
    <row r="36828">
      <c r="BB36828" s="122"/>
      <c r="BC36828" s="141"/>
    </row>
    <row r="36829">
      <c r="BB36829" s="122"/>
      <c r="BC36829" s="141"/>
    </row>
    <row r="36830">
      <c r="BB36830" s="122"/>
      <c r="BC36830" s="141"/>
    </row>
    <row r="36831">
      <c r="BB36831" s="122"/>
      <c r="BC36831" s="141"/>
    </row>
    <row r="36832">
      <c r="BB36832" s="122"/>
      <c r="BC36832" s="141"/>
    </row>
    <row r="36833">
      <c r="BB36833" s="122"/>
      <c r="BC36833" s="141"/>
    </row>
    <row r="36834">
      <c r="BB36834" s="122"/>
      <c r="BC36834" s="141"/>
    </row>
    <row r="36835">
      <c r="BB36835" s="122"/>
      <c r="BC36835" s="141"/>
    </row>
    <row r="36836">
      <c r="BB36836" s="122"/>
      <c r="BC36836" s="141"/>
    </row>
    <row r="36837">
      <c r="BB36837" s="122"/>
      <c r="BC36837" s="141"/>
    </row>
    <row r="36838">
      <c r="BB36838" s="122"/>
      <c r="BC36838" s="141"/>
    </row>
    <row r="36839">
      <c r="BB36839" s="122"/>
      <c r="BC36839" s="141"/>
    </row>
    <row r="36840">
      <c r="BB36840" s="122"/>
      <c r="BC36840" s="141"/>
    </row>
    <row r="36841">
      <c r="BB36841" s="122"/>
      <c r="BC36841" s="141"/>
    </row>
    <row r="36842">
      <c r="BB36842" s="122"/>
      <c r="BC36842" s="141"/>
    </row>
    <row r="36843">
      <c r="BB36843" s="122"/>
      <c r="BC36843" s="141"/>
    </row>
    <row r="36844">
      <c r="BB36844" s="122"/>
      <c r="BC36844" s="141"/>
    </row>
    <row r="36845">
      <c r="BB36845" s="122"/>
      <c r="BC36845" s="141"/>
    </row>
    <row r="36846">
      <c r="BB36846" s="122"/>
      <c r="BC36846" s="141"/>
    </row>
    <row r="36847">
      <c r="BB36847" s="122"/>
      <c r="BC36847" s="141"/>
    </row>
    <row r="36848">
      <c r="BB36848" s="122"/>
      <c r="BC36848" s="141"/>
    </row>
    <row r="36849">
      <c r="BB36849" s="122"/>
      <c r="BC36849" s="141"/>
    </row>
    <row r="36850">
      <c r="BB36850" s="122"/>
      <c r="BC36850" s="141"/>
    </row>
    <row r="36851">
      <c r="BB36851" s="122"/>
      <c r="BC36851" s="141"/>
    </row>
    <row r="36852">
      <c r="BB36852" s="122"/>
      <c r="BC36852" s="141"/>
    </row>
    <row r="36853">
      <c r="BB36853" s="122"/>
      <c r="BC36853" s="141"/>
    </row>
    <row r="36854">
      <c r="BB36854" s="122"/>
      <c r="BC36854" s="141"/>
    </row>
    <row r="36855">
      <c r="BB36855" s="122"/>
      <c r="BC36855" s="141"/>
    </row>
    <row r="36856">
      <c r="BB36856" s="122"/>
      <c r="BC36856" s="141"/>
    </row>
    <row r="36857">
      <c r="BB36857" s="122"/>
      <c r="BC36857" s="141"/>
    </row>
    <row r="36858">
      <c r="BB36858" s="122"/>
      <c r="BC36858" s="141"/>
    </row>
    <row r="36859">
      <c r="BB36859" s="122"/>
      <c r="BC36859" s="141"/>
    </row>
    <row r="36860">
      <c r="BB36860" s="122"/>
      <c r="BC36860" s="141"/>
    </row>
    <row r="36861">
      <c r="BB36861" s="122"/>
      <c r="BC36861" s="141"/>
    </row>
    <row r="36862">
      <c r="BB36862" s="122"/>
      <c r="BC36862" s="141"/>
    </row>
    <row r="36863">
      <c r="BB36863" s="122"/>
      <c r="BC36863" s="141"/>
    </row>
    <row r="36864">
      <c r="BB36864" s="122"/>
      <c r="BC36864" s="141"/>
    </row>
    <row r="36865">
      <c r="BB36865" s="122"/>
      <c r="BC36865" s="141"/>
    </row>
    <row r="36866">
      <c r="BB36866" s="122"/>
      <c r="BC36866" s="141"/>
    </row>
    <row r="36867">
      <c r="BB36867" s="122"/>
      <c r="BC36867" s="141"/>
    </row>
    <row r="36868">
      <c r="BB36868" s="122"/>
      <c r="BC36868" s="141"/>
    </row>
    <row r="36869">
      <c r="BB36869" s="122"/>
      <c r="BC36869" s="141"/>
    </row>
    <row r="36870">
      <c r="BB36870" s="122"/>
      <c r="BC36870" s="141"/>
    </row>
    <row r="36871">
      <c r="BB36871" s="122"/>
      <c r="BC36871" s="141"/>
    </row>
    <row r="36872">
      <c r="BB36872" s="122"/>
      <c r="BC36872" s="141"/>
    </row>
    <row r="36873">
      <c r="BB36873" s="122"/>
      <c r="BC36873" s="141"/>
    </row>
    <row r="36874">
      <c r="BB36874" s="122"/>
      <c r="BC36874" s="141"/>
    </row>
    <row r="36875">
      <c r="BB36875" s="122"/>
      <c r="BC36875" s="141"/>
    </row>
    <row r="36876">
      <c r="BB36876" s="122"/>
      <c r="BC36876" s="141"/>
    </row>
    <row r="36877">
      <c r="BB36877" s="122"/>
      <c r="BC36877" s="141"/>
    </row>
    <row r="36878">
      <c r="BB36878" s="122"/>
      <c r="BC36878" s="141"/>
    </row>
    <row r="36879">
      <c r="BB36879" s="122"/>
      <c r="BC36879" s="141"/>
    </row>
    <row r="36880">
      <c r="BB36880" s="122"/>
      <c r="BC36880" s="141"/>
    </row>
    <row r="36881">
      <c r="BB36881" s="122"/>
      <c r="BC36881" s="141"/>
    </row>
    <row r="36882">
      <c r="BB36882" s="122"/>
      <c r="BC36882" s="141"/>
    </row>
    <row r="36883">
      <c r="BB36883" s="122"/>
      <c r="BC36883" s="141"/>
    </row>
    <row r="36884">
      <c r="BB36884" s="122"/>
      <c r="BC36884" s="141"/>
    </row>
    <row r="36885">
      <c r="BB36885" s="122"/>
      <c r="BC36885" s="141"/>
    </row>
    <row r="36886">
      <c r="BB36886" s="122"/>
      <c r="BC36886" s="141"/>
    </row>
    <row r="36887">
      <c r="BB36887" s="122"/>
      <c r="BC36887" s="141"/>
    </row>
    <row r="36888">
      <c r="BB36888" s="122"/>
      <c r="BC36888" s="141"/>
    </row>
    <row r="36889">
      <c r="BB36889" s="122"/>
      <c r="BC36889" s="141"/>
    </row>
    <row r="36890">
      <c r="BB36890" s="122"/>
      <c r="BC36890" s="141"/>
    </row>
    <row r="36891">
      <c r="BB36891" s="122"/>
      <c r="BC36891" s="141"/>
    </row>
    <row r="36892">
      <c r="BB36892" s="122"/>
      <c r="BC36892" s="141"/>
    </row>
    <row r="36893">
      <c r="BB36893" s="122"/>
      <c r="BC36893" s="141"/>
    </row>
    <row r="36894">
      <c r="BB36894" s="122"/>
      <c r="BC36894" s="141"/>
    </row>
    <row r="36895">
      <c r="BB36895" s="122"/>
      <c r="BC36895" s="141"/>
    </row>
    <row r="36896">
      <c r="BB36896" s="122"/>
      <c r="BC36896" s="141"/>
    </row>
    <row r="36897">
      <c r="BB36897" s="122"/>
      <c r="BC36897" s="141"/>
    </row>
    <row r="36898">
      <c r="BB36898" s="122"/>
      <c r="BC36898" s="141"/>
    </row>
    <row r="36899">
      <c r="BB36899" s="122"/>
      <c r="BC36899" s="141"/>
    </row>
    <row r="36900">
      <c r="BB36900" s="122"/>
      <c r="BC36900" s="141"/>
    </row>
    <row r="36901">
      <c r="BB36901" s="122"/>
      <c r="BC36901" s="141"/>
    </row>
    <row r="36902">
      <c r="BB36902" s="122"/>
      <c r="BC36902" s="141"/>
    </row>
    <row r="36903">
      <c r="BB36903" s="122"/>
      <c r="BC36903" s="141"/>
    </row>
    <row r="36904">
      <c r="BB36904" s="122"/>
      <c r="BC36904" s="141"/>
    </row>
    <row r="36905">
      <c r="BB36905" s="122"/>
      <c r="BC36905" s="141"/>
    </row>
    <row r="36906">
      <c r="BB36906" s="122"/>
      <c r="BC36906" s="141"/>
    </row>
    <row r="36907">
      <c r="BB36907" s="122"/>
      <c r="BC36907" s="141"/>
    </row>
    <row r="36908">
      <c r="BB36908" s="122"/>
      <c r="BC36908" s="141"/>
    </row>
    <row r="36909">
      <c r="BB36909" s="122"/>
      <c r="BC36909" s="141"/>
    </row>
    <row r="36910">
      <c r="BB36910" s="122"/>
      <c r="BC36910" s="141"/>
    </row>
    <row r="36911">
      <c r="BB36911" s="122"/>
      <c r="BC36911" s="141"/>
    </row>
    <row r="36912">
      <c r="BB36912" s="122"/>
      <c r="BC36912" s="141"/>
    </row>
    <row r="36913">
      <c r="BB36913" s="122"/>
      <c r="BC36913" s="141"/>
    </row>
    <row r="36914">
      <c r="BB36914" s="122"/>
      <c r="BC36914" s="141"/>
    </row>
    <row r="36915">
      <c r="BB36915" s="122"/>
      <c r="BC36915" s="141"/>
    </row>
    <row r="36916">
      <c r="BB36916" s="122"/>
      <c r="BC36916" s="141"/>
    </row>
    <row r="36917">
      <c r="BB36917" s="122"/>
      <c r="BC36917" s="141"/>
    </row>
    <row r="36918">
      <c r="BB36918" s="122"/>
      <c r="BC36918" s="141"/>
    </row>
    <row r="36919">
      <c r="BB36919" s="122"/>
      <c r="BC36919" s="141"/>
    </row>
    <row r="36920">
      <c r="BB36920" s="122"/>
      <c r="BC36920" s="141"/>
    </row>
    <row r="36921">
      <c r="BB36921" s="122"/>
      <c r="BC36921" s="141"/>
    </row>
    <row r="36922">
      <c r="BB36922" s="122"/>
      <c r="BC36922" s="141"/>
    </row>
    <row r="36923">
      <c r="BB36923" s="122"/>
      <c r="BC36923" s="141"/>
    </row>
    <row r="36924">
      <c r="BB36924" s="122"/>
      <c r="BC36924" s="141"/>
    </row>
    <row r="36925">
      <c r="BB36925" s="122"/>
      <c r="BC36925" s="141"/>
    </row>
    <row r="36926">
      <c r="BB36926" s="122"/>
      <c r="BC36926" s="141"/>
    </row>
    <row r="36927">
      <c r="BB36927" s="122"/>
      <c r="BC36927" s="141"/>
    </row>
    <row r="36928">
      <c r="BB36928" s="122"/>
      <c r="BC36928" s="141"/>
    </row>
    <row r="36929">
      <c r="BB36929" s="122"/>
      <c r="BC36929" s="141"/>
    </row>
    <row r="36930">
      <c r="BB36930" s="122"/>
      <c r="BC36930" s="141"/>
    </row>
    <row r="36931">
      <c r="BB36931" s="122"/>
      <c r="BC36931" s="141"/>
    </row>
    <row r="36932">
      <c r="BB36932" s="122"/>
      <c r="BC36932" s="141"/>
    </row>
    <row r="36933">
      <c r="BB36933" s="122"/>
      <c r="BC36933" s="141"/>
    </row>
    <row r="36934">
      <c r="BB36934" s="122"/>
      <c r="BC36934" s="141"/>
    </row>
    <row r="36935">
      <c r="BB36935" s="122"/>
      <c r="BC36935" s="141"/>
    </row>
    <row r="36936">
      <c r="BB36936" s="122"/>
      <c r="BC36936" s="141"/>
    </row>
    <row r="36937">
      <c r="BB36937" s="122"/>
      <c r="BC36937" s="141"/>
    </row>
    <row r="36938">
      <c r="BB36938" s="122"/>
      <c r="BC36938" s="141"/>
    </row>
    <row r="36939">
      <c r="BB36939" s="122"/>
      <c r="BC36939" s="141"/>
    </row>
    <row r="36940">
      <c r="BB36940" s="122"/>
      <c r="BC36940" s="141"/>
    </row>
    <row r="36941">
      <c r="BB36941" s="122"/>
      <c r="BC36941" s="141"/>
    </row>
    <row r="36942">
      <c r="BB36942" s="122"/>
      <c r="BC36942" s="141"/>
    </row>
    <row r="36943">
      <c r="BB36943" s="122"/>
      <c r="BC36943" s="141"/>
    </row>
    <row r="36944">
      <c r="BB36944" s="122"/>
      <c r="BC36944" s="141"/>
    </row>
    <row r="36945">
      <c r="BB36945" s="122"/>
      <c r="BC36945" s="141"/>
    </row>
    <row r="36946">
      <c r="BB36946" s="122"/>
      <c r="BC36946" s="141"/>
    </row>
    <row r="36947">
      <c r="BB36947" s="122"/>
      <c r="BC36947" s="141"/>
    </row>
    <row r="36948">
      <c r="BB36948" s="122"/>
      <c r="BC36948" s="141"/>
    </row>
    <row r="36949">
      <c r="BB36949" s="122"/>
      <c r="BC36949" s="141"/>
    </row>
    <row r="36950">
      <c r="BB36950" s="122"/>
      <c r="BC36950" s="141"/>
    </row>
    <row r="36951">
      <c r="BB36951" s="122"/>
      <c r="BC36951" s="141"/>
    </row>
    <row r="36952">
      <c r="BB36952" s="122"/>
      <c r="BC36952" s="141"/>
    </row>
    <row r="36953">
      <c r="BB36953" s="122"/>
      <c r="BC36953" s="141"/>
    </row>
    <row r="36954">
      <c r="BB36954" s="122"/>
      <c r="BC36954" s="141"/>
    </row>
    <row r="36955">
      <c r="BB36955" s="122"/>
      <c r="BC36955" s="141"/>
    </row>
    <row r="36956">
      <c r="BB36956" s="122"/>
      <c r="BC36956" s="141"/>
    </row>
    <row r="36957">
      <c r="BB36957" s="122"/>
      <c r="BC36957" s="141"/>
    </row>
    <row r="36958">
      <c r="BB36958" s="122"/>
      <c r="BC36958" s="141"/>
    </row>
    <row r="36959">
      <c r="BB36959" s="122"/>
      <c r="BC36959" s="141"/>
    </row>
    <row r="36960">
      <c r="BB36960" s="122"/>
      <c r="BC36960" s="141"/>
    </row>
    <row r="36961">
      <c r="BB36961" s="122"/>
      <c r="BC36961" s="141"/>
    </row>
    <row r="36962">
      <c r="BB36962" s="122"/>
      <c r="BC36962" s="141"/>
    </row>
    <row r="36963">
      <c r="BB36963" s="122"/>
      <c r="BC36963" s="141"/>
    </row>
    <row r="36964">
      <c r="BB36964" s="122"/>
      <c r="BC36964" s="141"/>
    </row>
    <row r="36965">
      <c r="BB36965" s="122"/>
      <c r="BC36965" s="141"/>
    </row>
    <row r="36966">
      <c r="BB36966" s="122"/>
      <c r="BC36966" s="141"/>
    </row>
    <row r="36967">
      <c r="BB36967" s="122"/>
      <c r="BC36967" s="141"/>
    </row>
    <row r="36968">
      <c r="BB36968" s="122"/>
      <c r="BC36968" s="141"/>
    </row>
    <row r="36969">
      <c r="BB36969" s="122"/>
      <c r="BC36969" s="141"/>
    </row>
    <row r="36970">
      <c r="BB36970" s="122"/>
      <c r="BC36970" s="141"/>
    </row>
    <row r="36971">
      <c r="BB36971" s="122"/>
      <c r="BC36971" s="141"/>
    </row>
    <row r="36972">
      <c r="BB36972" s="122"/>
      <c r="BC36972" s="141"/>
    </row>
    <row r="36973">
      <c r="BB36973" s="122"/>
      <c r="BC36973" s="141"/>
    </row>
    <row r="36974">
      <c r="BB36974" s="122"/>
      <c r="BC36974" s="141"/>
    </row>
    <row r="36975">
      <c r="BB36975" s="122"/>
      <c r="BC36975" s="141"/>
    </row>
    <row r="36976">
      <c r="BB36976" s="122"/>
      <c r="BC36976" s="141"/>
    </row>
    <row r="36977">
      <c r="BB36977" s="122"/>
      <c r="BC36977" s="141"/>
    </row>
    <row r="36978">
      <c r="BB36978" s="122"/>
      <c r="BC36978" s="141"/>
    </row>
    <row r="36979">
      <c r="BB36979" s="122"/>
      <c r="BC36979" s="141"/>
    </row>
    <row r="36980">
      <c r="BB36980" s="122"/>
      <c r="BC36980" s="141"/>
    </row>
    <row r="36981">
      <c r="BB36981" s="122"/>
      <c r="BC36981" s="141"/>
    </row>
    <row r="36982">
      <c r="BB36982" s="122"/>
      <c r="BC36982" s="141"/>
    </row>
    <row r="36983">
      <c r="BB36983" s="122"/>
      <c r="BC36983" s="141"/>
    </row>
    <row r="36984">
      <c r="BB36984" s="122"/>
      <c r="BC36984" s="141"/>
    </row>
    <row r="36985">
      <c r="BB36985" s="122"/>
      <c r="BC36985" s="141"/>
    </row>
    <row r="36986">
      <c r="BB36986" s="122"/>
      <c r="BC36986" s="141"/>
    </row>
    <row r="36987">
      <c r="BB36987" s="122"/>
      <c r="BC36987" s="141"/>
    </row>
    <row r="36988">
      <c r="BB36988" s="122"/>
      <c r="BC36988" s="141"/>
    </row>
    <row r="36989">
      <c r="BB36989" s="122"/>
      <c r="BC36989" s="141"/>
    </row>
    <row r="36990">
      <c r="BB36990" s="122"/>
      <c r="BC36990" s="141"/>
    </row>
    <row r="36991">
      <c r="BB36991" s="122"/>
      <c r="BC36991" s="141"/>
    </row>
    <row r="36992">
      <c r="BB36992" s="122"/>
      <c r="BC36992" s="141"/>
    </row>
    <row r="36993">
      <c r="BB36993" s="122"/>
      <c r="BC36993" s="141"/>
    </row>
    <row r="36994">
      <c r="BB36994" s="122"/>
      <c r="BC36994" s="141"/>
    </row>
    <row r="36995">
      <c r="BB36995" s="122"/>
      <c r="BC36995" s="141"/>
    </row>
    <row r="36996">
      <c r="BB36996" s="122"/>
      <c r="BC36996" s="141"/>
    </row>
    <row r="36997">
      <c r="BB36997" s="122"/>
      <c r="BC36997" s="141"/>
    </row>
    <row r="36998">
      <c r="BB36998" s="122"/>
      <c r="BC36998" s="141"/>
    </row>
    <row r="36999">
      <c r="BB36999" s="122"/>
      <c r="BC36999" s="141"/>
    </row>
    <row r="37000">
      <c r="BB37000" s="122"/>
      <c r="BC37000" s="141"/>
    </row>
    <row r="37001">
      <c r="BB37001" s="122"/>
      <c r="BC37001" s="141"/>
    </row>
    <row r="37002">
      <c r="BB37002" s="122"/>
      <c r="BC37002" s="141"/>
    </row>
    <row r="37003">
      <c r="BB37003" s="122"/>
      <c r="BC37003" s="141"/>
    </row>
    <row r="37004">
      <c r="BB37004" s="122"/>
      <c r="BC37004" s="141"/>
    </row>
    <row r="37005">
      <c r="BB37005" s="122"/>
      <c r="BC37005" s="141"/>
    </row>
    <row r="37006">
      <c r="BB37006" s="122"/>
      <c r="BC37006" s="141"/>
    </row>
    <row r="37007">
      <c r="BB37007" s="122"/>
      <c r="BC37007" s="141"/>
    </row>
    <row r="37008">
      <c r="BB37008" s="122"/>
      <c r="BC37008" s="141"/>
    </row>
    <row r="37009">
      <c r="BB37009" s="122"/>
      <c r="BC37009" s="141"/>
    </row>
    <row r="37010">
      <c r="BB37010" s="122"/>
      <c r="BC37010" s="141"/>
    </row>
    <row r="37011">
      <c r="BB37011" s="122"/>
      <c r="BC37011" s="141"/>
    </row>
    <row r="37012">
      <c r="BB37012" s="122"/>
      <c r="BC37012" s="141"/>
    </row>
    <row r="37013">
      <c r="BB37013" s="122"/>
      <c r="BC37013" s="141"/>
    </row>
    <row r="37014">
      <c r="BB37014" s="122"/>
      <c r="BC37014" s="141"/>
    </row>
    <row r="37015">
      <c r="BB37015" s="122"/>
      <c r="BC37015" s="141"/>
    </row>
    <row r="37016">
      <c r="BB37016" s="122"/>
      <c r="BC37016" s="141"/>
    </row>
    <row r="37017">
      <c r="BB37017" s="122"/>
      <c r="BC37017" s="141"/>
    </row>
    <row r="37018">
      <c r="BB37018" s="122"/>
      <c r="BC37018" s="141"/>
    </row>
    <row r="37019">
      <c r="BB37019" s="122"/>
      <c r="BC37019" s="141"/>
    </row>
    <row r="37020">
      <c r="BB37020" s="122"/>
      <c r="BC37020" s="141"/>
    </row>
    <row r="37021">
      <c r="BB37021" s="122"/>
      <c r="BC37021" s="141"/>
    </row>
    <row r="37022">
      <c r="BB37022" s="122"/>
      <c r="BC37022" s="141"/>
    </row>
    <row r="37023">
      <c r="BB37023" s="122"/>
      <c r="BC37023" s="141"/>
    </row>
    <row r="37024">
      <c r="BB37024" s="122"/>
      <c r="BC37024" s="141"/>
    </row>
    <row r="37025">
      <c r="BB37025" s="122"/>
      <c r="BC37025" s="141"/>
    </row>
    <row r="37026">
      <c r="BB37026" s="122"/>
      <c r="BC37026" s="141"/>
    </row>
    <row r="37027">
      <c r="BB37027" s="122"/>
      <c r="BC37027" s="141"/>
    </row>
    <row r="37028">
      <c r="BB37028" s="122"/>
      <c r="BC37028" s="141"/>
    </row>
    <row r="37029">
      <c r="BB37029" s="122"/>
      <c r="BC37029" s="141"/>
    </row>
    <row r="37030">
      <c r="BB37030" s="122"/>
      <c r="BC37030" s="141"/>
    </row>
    <row r="37031">
      <c r="BB37031" s="122"/>
      <c r="BC37031" s="141"/>
    </row>
    <row r="37032">
      <c r="BB37032" s="122"/>
      <c r="BC37032" s="141"/>
    </row>
    <row r="37033">
      <c r="BB37033" s="122"/>
      <c r="BC37033" s="141"/>
    </row>
    <row r="37034">
      <c r="BB37034" s="122"/>
      <c r="BC37034" s="141"/>
    </row>
    <row r="37035">
      <c r="BB37035" s="122"/>
      <c r="BC37035" s="141"/>
    </row>
    <row r="37036">
      <c r="BB37036" s="122"/>
      <c r="BC37036" s="141"/>
    </row>
    <row r="37037">
      <c r="BB37037" s="122"/>
      <c r="BC37037" s="141"/>
    </row>
    <row r="37038">
      <c r="BB37038" s="122"/>
      <c r="BC37038" s="141"/>
    </row>
    <row r="37039">
      <c r="BB37039" s="122"/>
      <c r="BC37039" s="141"/>
    </row>
    <row r="37040">
      <c r="BB37040" s="122"/>
      <c r="BC37040" s="141"/>
    </row>
    <row r="37041">
      <c r="BB37041" s="122"/>
      <c r="BC37041" s="141"/>
    </row>
    <row r="37042">
      <c r="BB37042" s="122"/>
      <c r="BC37042" s="141"/>
    </row>
    <row r="37043">
      <c r="BB37043" s="122"/>
      <c r="BC37043" s="141"/>
    </row>
    <row r="37044">
      <c r="BB37044" s="122"/>
      <c r="BC37044" s="141"/>
    </row>
    <row r="37045">
      <c r="BB37045" s="122"/>
      <c r="BC37045" s="141"/>
    </row>
    <row r="37046">
      <c r="BB37046" s="122"/>
      <c r="BC37046" s="141"/>
    </row>
    <row r="37047">
      <c r="BB37047" s="122"/>
      <c r="BC37047" s="141"/>
    </row>
    <row r="37048">
      <c r="BB37048" s="122"/>
      <c r="BC37048" s="141"/>
    </row>
    <row r="37049">
      <c r="BB37049" s="122"/>
      <c r="BC37049" s="141"/>
    </row>
    <row r="37050">
      <c r="BB37050" s="122"/>
      <c r="BC37050" s="141"/>
    </row>
    <row r="37051">
      <c r="BB37051" s="122"/>
      <c r="BC37051" s="141"/>
    </row>
    <row r="37052">
      <c r="BB37052" s="122"/>
      <c r="BC37052" s="141"/>
    </row>
    <row r="37053">
      <c r="BB37053" s="122"/>
      <c r="BC37053" s="141"/>
    </row>
    <row r="37054">
      <c r="BB37054" s="122"/>
      <c r="BC37054" s="141"/>
    </row>
    <row r="37055">
      <c r="BB37055" s="122"/>
      <c r="BC37055" s="141"/>
    </row>
    <row r="37056">
      <c r="BB37056" s="122"/>
      <c r="BC37056" s="141"/>
    </row>
    <row r="37057">
      <c r="BB37057" s="122"/>
      <c r="BC37057" s="141"/>
    </row>
    <row r="37058">
      <c r="BB37058" s="122"/>
      <c r="BC37058" s="141"/>
    </row>
    <row r="37059">
      <c r="BB37059" s="122"/>
      <c r="BC37059" s="141"/>
    </row>
    <row r="37060">
      <c r="BB37060" s="122"/>
      <c r="BC37060" s="141"/>
    </row>
    <row r="37061">
      <c r="BB37061" s="122"/>
      <c r="BC37061" s="141"/>
    </row>
    <row r="37062">
      <c r="BB37062" s="122"/>
      <c r="BC37062" s="141"/>
    </row>
    <row r="37063">
      <c r="BB37063" s="122"/>
      <c r="BC37063" s="141"/>
    </row>
    <row r="37064">
      <c r="BB37064" s="122"/>
      <c r="BC37064" s="141"/>
    </row>
    <row r="37065">
      <c r="BB37065" s="122"/>
      <c r="BC37065" s="141"/>
    </row>
    <row r="37066">
      <c r="BB37066" s="122"/>
      <c r="BC37066" s="141"/>
    </row>
    <row r="37067">
      <c r="BB37067" s="122"/>
      <c r="BC37067" s="141"/>
    </row>
    <row r="37068">
      <c r="BB37068" s="122"/>
      <c r="BC37068" s="141"/>
    </row>
    <row r="37069">
      <c r="BB37069" s="122"/>
      <c r="BC37069" s="141"/>
    </row>
    <row r="37070">
      <c r="BB37070" s="122"/>
      <c r="BC37070" s="141"/>
    </row>
    <row r="37071">
      <c r="BB37071" s="122"/>
      <c r="BC37071" s="141"/>
    </row>
    <row r="37072">
      <c r="BB37072" s="122"/>
      <c r="BC37072" s="141"/>
    </row>
    <row r="37073">
      <c r="BB37073" s="122"/>
      <c r="BC37073" s="141"/>
    </row>
    <row r="37074">
      <c r="BB37074" s="122"/>
      <c r="BC37074" s="141"/>
    </row>
    <row r="37075">
      <c r="BB37075" s="122"/>
      <c r="BC37075" s="141"/>
    </row>
    <row r="37076">
      <c r="BB37076" s="122"/>
      <c r="BC37076" s="141"/>
    </row>
    <row r="37077">
      <c r="BB37077" s="122"/>
      <c r="BC37077" s="141"/>
    </row>
    <row r="37078">
      <c r="BB37078" s="122"/>
      <c r="BC37078" s="141"/>
    </row>
    <row r="37079">
      <c r="BB37079" s="122"/>
      <c r="BC37079" s="141"/>
    </row>
    <row r="37080">
      <c r="BB37080" s="122"/>
      <c r="BC37080" s="141"/>
    </row>
    <row r="37081">
      <c r="BB37081" s="122"/>
      <c r="BC37081" s="141"/>
    </row>
    <row r="37082">
      <c r="BB37082" s="122"/>
      <c r="BC37082" s="141"/>
    </row>
    <row r="37083">
      <c r="BB37083" s="122"/>
      <c r="BC37083" s="141"/>
    </row>
    <row r="37084">
      <c r="BB37084" s="122"/>
      <c r="BC37084" s="141"/>
    </row>
    <row r="37085">
      <c r="BB37085" s="122"/>
      <c r="BC37085" s="141"/>
    </row>
    <row r="37086">
      <c r="BB37086" s="122"/>
      <c r="BC37086" s="141"/>
    </row>
    <row r="37087">
      <c r="BB37087" s="122"/>
      <c r="BC37087" s="141"/>
    </row>
    <row r="37088">
      <c r="BB37088" s="122"/>
      <c r="BC37088" s="141"/>
    </row>
    <row r="37089">
      <c r="BB37089" s="122"/>
      <c r="BC37089" s="141"/>
    </row>
    <row r="37090">
      <c r="BB37090" s="122"/>
      <c r="BC37090" s="141"/>
    </row>
    <row r="37091">
      <c r="BB37091" s="122"/>
      <c r="BC37091" s="141"/>
    </row>
    <row r="37092">
      <c r="BB37092" s="122"/>
      <c r="BC37092" s="141"/>
    </row>
    <row r="37093">
      <c r="BB37093" s="122"/>
      <c r="BC37093" s="141"/>
    </row>
    <row r="37094">
      <c r="BB37094" s="122"/>
      <c r="BC37094" s="141"/>
    </row>
    <row r="37095">
      <c r="BB37095" s="122"/>
      <c r="BC37095" s="141"/>
    </row>
    <row r="37096">
      <c r="BB37096" s="122"/>
      <c r="BC37096" s="141"/>
    </row>
    <row r="37097">
      <c r="BB37097" s="122"/>
      <c r="BC37097" s="141"/>
    </row>
    <row r="37098">
      <c r="BB37098" s="122"/>
      <c r="BC37098" s="141"/>
    </row>
    <row r="37099">
      <c r="BB37099" s="122"/>
      <c r="BC37099" s="141"/>
    </row>
    <row r="37100">
      <c r="BB37100" s="122"/>
      <c r="BC37100" s="141"/>
    </row>
    <row r="37101">
      <c r="BB37101" s="122"/>
      <c r="BC37101" s="141"/>
    </row>
    <row r="37102">
      <c r="BB37102" s="122"/>
      <c r="BC37102" s="141"/>
    </row>
    <row r="37103">
      <c r="BB37103" s="122"/>
      <c r="BC37103" s="141"/>
    </row>
    <row r="37104">
      <c r="BB37104" s="122"/>
      <c r="BC37104" s="141"/>
    </row>
    <row r="37105">
      <c r="BB37105" s="122"/>
      <c r="BC37105" s="141"/>
    </row>
    <row r="37106">
      <c r="BB37106" s="122"/>
      <c r="BC37106" s="141"/>
    </row>
    <row r="37107">
      <c r="BB37107" s="122"/>
      <c r="BC37107" s="141"/>
    </row>
    <row r="37108">
      <c r="BB37108" s="122"/>
      <c r="BC37108" s="141"/>
    </row>
    <row r="37109">
      <c r="BB37109" s="122"/>
      <c r="BC37109" s="141"/>
    </row>
    <row r="37110">
      <c r="BB37110" s="122"/>
      <c r="BC37110" s="141"/>
    </row>
    <row r="37111">
      <c r="BB37111" s="122"/>
      <c r="BC37111" s="141"/>
    </row>
    <row r="37112">
      <c r="BB37112" s="122"/>
      <c r="BC37112" s="141"/>
    </row>
    <row r="37113">
      <c r="BB37113" s="122"/>
      <c r="BC37113" s="141"/>
    </row>
    <row r="37114">
      <c r="BB37114" s="122"/>
      <c r="BC37114" s="141"/>
    </row>
    <row r="37115">
      <c r="BB37115" s="122"/>
      <c r="BC37115" s="141"/>
    </row>
    <row r="37116">
      <c r="BB37116" s="122"/>
      <c r="BC37116" s="141"/>
    </row>
    <row r="37117">
      <c r="BB37117" s="122"/>
      <c r="BC37117" s="141"/>
    </row>
    <row r="37118">
      <c r="BB37118" s="122"/>
      <c r="BC37118" s="141"/>
    </row>
    <row r="37119">
      <c r="BB37119" s="122"/>
      <c r="BC37119" s="141"/>
    </row>
    <row r="37120">
      <c r="BB37120" s="122"/>
      <c r="BC37120" s="141"/>
    </row>
    <row r="37121">
      <c r="BB37121" s="122"/>
      <c r="BC37121" s="141"/>
    </row>
    <row r="37122">
      <c r="BB37122" s="122"/>
      <c r="BC37122" s="141"/>
    </row>
    <row r="37123">
      <c r="BB37123" s="122"/>
      <c r="BC37123" s="141"/>
    </row>
    <row r="37124">
      <c r="BB37124" s="122"/>
      <c r="BC37124" s="141"/>
    </row>
    <row r="37125">
      <c r="BB37125" s="122"/>
      <c r="BC37125" s="141"/>
    </row>
    <row r="37126">
      <c r="BB37126" s="122"/>
      <c r="BC37126" s="141"/>
    </row>
    <row r="37127">
      <c r="BB37127" s="122"/>
      <c r="BC37127" s="141"/>
    </row>
    <row r="37128">
      <c r="BB37128" s="122"/>
      <c r="BC37128" s="141"/>
    </row>
    <row r="37129">
      <c r="BB37129" s="122"/>
      <c r="BC37129" s="141"/>
    </row>
    <row r="37130">
      <c r="BB37130" s="122"/>
      <c r="BC37130" s="141"/>
    </row>
    <row r="37131">
      <c r="BB37131" s="122"/>
      <c r="BC37131" s="141"/>
    </row>
    <row r="37132">
      <c r="BB37132" s="122"/>
      <c r="BC37132" s="141"/>
    </row>
    <row r="37133">
      <c r="BB37133" s="122"/>
      <c r="BC37133" s="141"/>
    </row>
    <row r="37134">
      <c r="BB37134" s="122"/>
      <c r="BC37134" s="141"/>
    </row>
    <row r="37135">
      <c r="BB37135" s="122"/>
      <c r="BC37135" s="141"/>
    </row>
    <row r="37136">
      <c r="BB37136" s="122"/>
      <c r="BC37136" s="141"/>
    </row>
    <row r="37137">
      <c r="BB37137" s="122"/>
      <c r="BC37137" s="141"/>
    </row>
    <row r="37138">
      <c r="BB37138" s="122"/>
      <c r="BC37138" s="141"/>
    </row>
    <row r="37139">
      <c r="BB37139" s="122"/>
      <c r="BC37139" s="141"/>
    </row>
    <row r="37140">
      <c r="BB37140" s="122"/>
      <c r="BC37140" s="141"/>
    </row>
    <row r="37141">
      <c r="BB37141" s="122"/>
      <c r="BC37141" s="141"/>
    </row>
    <row r="37142">
      <c r="BB37142" s="122"/>
      <c r="BC37142" s="141"/>
    </row>
    <row r="37143">
      <c r="BB37143" s="122"/>
      <c r="BC37143" s="141"/>
    </row>
    <row r="37144">
      <c r="BB37144" s="122"/>
      <c r="BC37144" s="141"/>
    </row>
    <row r="37145">
      <c r="BB37145" s="122"/>
      <c r="BC37145" s="141"/>
    </row>
    <row r="37146">
      <c r="BB37146" s="122"/>
      <c r="BC37146" s="141"/>
    </row>
    <row r="37147">
      <c r="BB37147" s="122"/>
      <c r="BC37147" s="141"/>
    </row>
    <row r="37148">
      <c r="BB37148" s="122"/>
      <c r="BC37148" s="141"/>
    </row>
    <row r="37149">
      <c r="BB37149" s="122"/>
      <c r="BC37149" s="141"/>
    </row>
    <row r="37150">
      <c r="BB37150" s="122"/>
      <c r="BC37150" s="141"/>
    </row>
    <row r="37151">
      <c r="BB37151" s="122"/>
      <c r="BC37151" s="141"/>
    </row>
    <row r="37152">
      <c r="BB37152" s="122"/>
      <c r="BC37152" s="141"/>
    </row>
    <row r="37153">
      <c r="BB37153" s="122"/>
      <c r="BC37153" s="141"/>
    </row>
    <row r="37154">
      <c r="BB37154" s="122"/>
      <c r="BC37154" s="141"/>
    </row>
    <row r="37155">
      <c r="BB37155" s="122"/>
      <c r="BC37155" s="141"/>
    </row>
    <row r="37156">
      <c r="BB37156" s="122"/>
      <c r="BC37156" s="141"/>
    </row>
    <row r="37157">
      <c r="BB37157" s="122"/>
      <c r="BC37157" s="141"/>
    </row>
    <row r="37158">
      <c r="BB37158" s="122"/>
      <c r="BC37158" s="141"/>
    </row>
    <row r="37159">
      <c r="BB37159" s="122"/>
      <c r="BC37159" s="141"/>
    </row>
    <row r="37160">
      <c r="BB37160" s="122"/>
      <c r="BC37160" s="141"/>
    </row>
    <row r="37161">
      <c r="BB37161" s="122"/>
      <c r="BC37161" s="141"/>
    </row>
    <row r="37162">
      <c r="BB37162" s="122"/>
      <c r="BC37162" s="141"/>
    </row>
    <row r="37163">
      <c r="BB37163" s="122"/>
      <c r="BC37163" s="141"/>
    </row>
    <row r="37164">
      <c r="BB37164" s="122"/>
      <c r="BC37164" s="141"/>
    </row>
    <row r="37165">
      <c r="BB37165" s="122"/>
      <c r="BC37165" s="141"/>
    </row>
    <row r="37166">
      <c r="BB37166" s="122"/>
      <c r="BC37166" s="141"/>
    </row>
    <row r="37167">
      <c r="BB37167" s="122"/>
      <c r="BC37167" s="141"/>
    </row>
    <row r="37168">
      <c r="BB37168" s="122"/>
      <c r="BC37168" s="141"/>
    </row>
    <row r="37169">
      <c r="BB37169" s="122"/>
      <c r="BC37169" s="141"/>
    </row>
    <row r="37170">
      <c r="BB37170" s="122"/>
      <c r="BC37170" s="141"/>
    </row>
    <row r="37171">
      <c r="BB37171" s="122"/>
      <c r="BC37171" s="141"/>
    </row>
    <row r="37172">
      <c r="BB37172" s="122"/>
      <c r="BC37172" s="141"/>
    </row>
    <row r="37173">
      <c r="BB37173" s="122"/>
      <c r="BC37173" s="141"/>
    </row>
    <row r="37174">
      <c r="BB37174" s="122"/>
      <c r="BC37174" s="141"/>
    </row>
    <row r="37175">
      <c r="BB37175" s="122"/>
      <c r="BC37175" s="141"/>
    </row>
    <row r="37176">
      <c r="BB37176" s="122"/>
      <c r="BC37176" s="141"/>
    </row>
    <row r="37177">
      <c r="BB37177" s="122"/>
      <c r="BC37177" s="141"/>
    </row>
    <row r="37178">
      <c r="BB37178" s="122"/>
      <c r="BC37178" s="141"/>
    </row>
    <row r="37179">
      <c r="BB37179" s="122"/>
      <c r="BC37179" s="141"/>
    </row>
    <row r="37180">
      <c r="BB37180" s="122"/>
      <c r="BC37180" s="141"/>
    </row>
    <row r="37181">
      <c r="BB37181" s="122"/>
      <c r="BC37181" s="141"/>
    </row>
    <row r="37182">
      <c r="BB37182" s="122"/>
      <c r="BC37182" s="141"/>
    </row>
    <row r="37183">
      <c r="BB37183" s="122"/>
      <c r="BC37183" s="141"/>
    </row>
    <row r="37184">
      <c r="BB37184" s="122"/>
      <c r="BC37184" s="141"/>
    </row>
    <row r="37185">
      <c r="BB37185" s="122"/>
      <c r="BC37185" s="141"/>
    </row>
    <row r="37186">
      <c r="BB37186" s="122"/>
      <c r="BC37186" s="141"/>
    </row>
    <row r="37187">
      <c r="BB37187" s="122"/>
      <c r="BC37187" s="141"/>
    </row>
    <row r="37188">
      <c r="BB37188" s="122"/>
      <c r="BC37188" s="141"/>
    </row>
    <row r="37189">
      <c r="BB37189" s="122"/>
      <c r="BC37189" s="141"/>
    </row>
    <row r="37190">
      <c r="BB37190" s="122"/>
      <c r="BC37190" s="141"/>
    </row>
    <row r="37191">
      <c r="BB37191" s="122"/>
      <c r="BC37191" s="141"/>
    </row>
    <row r="37192">
      <c r="BB37192" s="122"/>
      <c r="BC37192" s="141"/>
    </row>
    <row r="37193">
      <c r="BB37193" s="122"/>
      <c r="BC37193" s="141"/>
    </row>
    <row r="37194">
      <c r="BB37194" s="122"/>
      <c r="BC37194" s="141"/>
    </row>
    <row r="37195">
      <c r="BB37195" s="122"/>
      <c r="BC37195" s="141"/>
    </row>
    <row r="37196">
      <c r="BB37196" s="122"/>
      <c r="BC37196" s="141"/>
    </row>
    <row r="37197">
      <c r="BB37197" s="122"/>
      <c r="BC37197" s="141"/>
    </row>
    <row r="37198">
      <c r="BB37198" s="122"/>
      <c r="BC37198" s="141"/>
    </row>
    <row r="37199">
      <c r="BB37199" s="122"/>
      <c r="BC37199" s="141"/>
    </row>
    <row r="37200">
      <c r="BB37200" s="122"/>
      <c r="BC37200" s="141"/>
    </row>
    <row r="37201">
      <c r="BB37201" s="122"/>
      <c r="BC37201" s="141"/>
    </row>
    <row r="37202">
      <c r="BB37202" s="122"/>
      <c r="BC37202" s="141"/>
    </row>
    <row r="37203">
      <c r="BB37203" s="122"/>
      <c r="BC37203" s="141"/>
    </row>
    <row r="37204">
      <c r="BB37204" s="122"/>
      <c r="BC37204" s="141"/>
    </row>
    <row r="37205">
      <c r="BB37205" s="122"/>
      <c r="BC37205" s="141"/>
    </row>
    <row r="37206">
      <c r="BB37206" s="122"/>
      <c r="BC37206" s="141"/>
    </row>
    <row r="37207">
      <c r="BB37207" s="122"/>
      <c r="BC37207" s="141"/>
    </row>
    <row r="37208">
      <c r="BB37208" s="122"/>
      <c r="BC37208" s="141"/>
    </row>
    <row r="37209">
      <c r="BB37209" s="122"/>
      <c r="BC37209" s="141"/>
    </row>
    <row r="37210">
      <c r="BB37210" s="122"/>
      <c r="BC37210" s="141"/>
    </row>
    <row r="37211">
      <c r="BB37211" s="122"/>
      <c r="BC37211" s="141"/>
    </row>
    <row r="37212">
      <c r="BB37212" s="122"/>
      <c r="BC37212" s="141"/>
    </row>
    <row r="37213">
      <c r="BB37213" s="122"/>
      <c r="BC37213" s="141"/>
    </row>
    <row r="37214">
      <c r="BB37214" s="122"/>
      <c r="BC37214" s="141"/>
    </row>
    <row r="37215">
      <c r="BB37215" s="122"/>
      <c r="BC37215" s="141"/>
    </row>
    <row r="37216">
      <c r="BB37216" s="122"/>
      <c r="BC37216" s="141"/>
    </row>
    <row r="37217">
      <c r="BB37217" s="122"/>
      <c r="BC37217" s="141"/>
    </row>
    <row r="37218">
      <c r="BB37218" s="122"/>
      <c r="BC37218" s="141"/>
    </row>
    <row r="37219">
      <c r="BB37219" s="122"/>
      <c r="BC37219" s="141"/>
    </row>
    <row r="37220">
      <c r="BB37220" s="122"/>
      <c r="BC37220" s="141"/>
    </row>
    <row r="37221">
      <c r="BB37221" s="122"/>
      <c r="BC37221" s="141"/>
    </row>
    <row r="37222">
      <c r="BB37222" s="122"/>
      <c r="BC37222" s="141"/>
    </row>
    <row r="37223">
      <c r="BB37223" s="122"/>
      <c r="BC37223" s="141"/>
    </row>
    <row r="37224">
      <c r="BB37224" s="122"/>
      <c r="BC37224" s="141"/>
    </row>
    <row r="37225">
      <c r="BB37225" s="122"/>
      <c r="BC37225" s="141"/>
    </row>
    <row r="37226">
      <c r="BB37226" s="122"/>
      <c r="BC37226" s="141"/>
    </row>
    <row r="37227">
      <c r="BB37227" s="122"/>
      <c r="BC37227" s="141"/>
    </row>
    <row r="37228">
      <c r="BB37228" s="122"/>
      <c r="BC37228" s="141"/>
    </row>
    <row r="37229">
      <c r="BB37229" s="122"/>
      <c r="BC37229" s="141"/>
    </row>
    <row r="37230">
      <c r="BB37230" s="122"/>
      <c r="BC37230" s="141"/>
    </row>
    <row r="37231">
      <c r="BB37231" s="122"/>
      <c r="BC37231" s="141"/>
    </row>
    <row r="37232">
      <c r="BB37232" s="122"/>
      <c r="BC37232" s="141"/>
    </row>
    <row r="37233">
      <c r="BB37233" s="122"/>
      <c r="BC37233" s="141"/>
    </row>
    <row r="37234">
      <c r="BB37234" s="122"/>
      <c r="BC37234" s="141"/>
    </row>
    <row r="37235">
      <c r="BB37235" s="122"/>
      <c r="BC37235" s="141"/>
    </row>
    <row r="37236">
      <c r="BB37236" s="122"/>
      <c r="BC37236" s="141"/>
    </row>
    <row r="37237">
      <c r="BB37237" s="122"/>
      <c r="BC37237" s="141"/>
    </row>
    <row r="37238">
      <c r="BB37238" s="122"/>
      <c r="BC37238" s="141"/>
    </row>
    <row r="37239">
      <c r="BB37239" s="122"/>
      <c r="BC37239" s="141"/>
    </row>
    <row r="37240">
      <c r="BB37240" s="122"/>
      <c r="BC37240" s="141"/>
    </row>
    <row r="37241">
      <c r="BB37241" s="122"/>
      <c r="BC37241" s="141"/>
    </row>
    <row r="37242">
      <c r="BB37242" s="122"/>
      <c r="BC37242" s="141"/>
    </row>
    <row r="37243">
      <c r="BB37243" s="122"/>
      <c r="BC37243" s="141"/>
    </row>
    <row r="37244">
      <c r="BB37244" s="122"/>
      <c r="BC37244" s="141"/>
    </row>
    <row r="37245">
      <c r="BB37245" s="122"/>
      <c r="BC37245" s="141"/>
    </row>
    <row r="37246">
      <c r="BB37246" s="122"/>
      <c r="BC37246" s="141"/>
    </row>
    <row r="37247">
      <c r="BB37247" s="122"/>
      <c r="BC37247" s="141"/>
    </row>
    <row r="37248">
      <c r="BB37248" s="122"/>
      <c r="BC37248" s="141"/>
    </row>
    <row r="37249">
      <c r="BB37249" s="122"/>
      <c r="BC37249" s="141"/>
    </row>
    <row r="37250">
      <c r="BB37250" s="122"/>
      <c r="BC37250" s="141"/>
    </row>
    <row r="37251">
      <c r="BB37251" s="122"/>
      <c r="BC37251" s="141"/>
    </row>
    <row r="37252">
      <c r="BB37252" s="122"/>
      <c r="BC37252" s="141"/>
    </row>
    <row r="37253">
      <c r="BB37253" s="122"/>
      <c r="BC37253" s="141"/>
    </row>
    <row r="37254">
      <c r="BB37254" s="122"/>
      <c r="BC37254" s="141"/>
    </row>
    <row r="37255">
      <c r="BB37255" s="122"/>
      <c r="BC37255" s="141"/>
    </row>
    <row r="37256">
      <c r="BB37256" s="122"/>
      <c r="BC37256" s="141"/>
    </row>
    <row r="37257">
      <c r="BB37257" s="122"/>
      <c r="BC37257" s="141"/>
    </row>
    <row r="37258">
      <c r="BB37258" s="122"/>
      <c r="BC37258" s="141"/>
    </row>
    <row r="37259">
      <c r="BB37259" s="122"/>
      <c r="BC37259" s="141"/>
    </row>
    <row r="37260">
      <c r="BB37260" s="122"/>
      <c r="BC37260" s="141"/>
    </row>
    <row r="37261">
      <c r="BB37261" s="122"/>
      <c r="BC37261" s="141"/>
    </row>
    <row r="37262">
      <c r="BB37262" s="122"/>
      <c r="BC37262" s="141"/>
    </row>
    <row r="37263">
      <c r="BB37263" s="122"/>
      <c r="BC37263" s="141"/>
    </row>
    <row r="37264">
      <c r="BB37264" s="122"/>
      <c r="BC37264" s="141"/>
    </row>
    <row r="37265">
      <c r="BB37265" s="122"/>
      <c r="BC37265" s="141"/>
    </row>
    <row r="37266">
      <c r="BB37266" s="122"/>
      <c r="BC37266" s="141"/>
    </row>
    <row r="37267">
      <c r="BB37267" s="122"/>
      <c r="BC37267" s="141"/>
    </row>
    <row r="37268">
      <c r="BB37268" s="122"/>
      <c r="BC37268" s="141"/>
    </row>
    <row r="37269">
      <c r="BB37269" s="122"/>
      <c r="BC37269" s="141"/>
    </row>
    <row r="37270">
      <c r="BB37270" s="122"/>
      <c r="BC37270" s="141"/>
    </row>
    <row r="37271">
      <c r="BB37271" s="122"/>
      <c r="BC37271" s="141"/>
    </row>
    <row r="37272">
      <c r="BB37272" s="122"/>
      <c r="BC37272" s="141"/>
    </row>
    <row r="37273">
      <c r="BB37273" s="122"/>
      <c r="BC37273" s="141"/>
    </row>
    <row r="37274">
      <c r="BB37274" s="122"/>
      <c r="BC37274" s="141"/>
    </row>
    <row r="37275">
      <c r="BB37275" s="122"/>
      <c r="BC37275" s="141"/>
    </row>
    <row r="37276">
      <c r="BB37276" s="122"/>
      <c r="BC37276" s="141"/>
    </row>
    <row r="37277">
      <c r="BB37277" s="122"/>
      <c r="BC37277" s="141"/>
    </row>
    <row r="37278">
      <c r="BB37278" s="122"/>
      <c r="BC37278" s="141"/>
    </row>
    <row r="37279">
      <c r="BB37279" s="122"/>
      <c r="BC37279" s="141"/>
    </row>
    <row r="37280">
      <c r="BB37280" s="122"/>
      <c r="BC37280" s="141"/>
    </row>
    <row r="37281">
      <c r="BB37281" s="122"/>
      <c r="BC37281" s="141"/>
    </row>
    <row r="37282">
      <c r="BB37282" s="122"/>
      <c r="BC37282" s="141"/>
    </row>
    <row r="37283">
      <c r="BB37283" s="122"/>
      <c r="BC37283" s="141"/>
    </row>
    <row r="37284">
      <c r="BB37284" s="122"/>
      <c r="BC37284" s="141"/>
    </row>
    <row r="37285">
      <c r="BB37285" s="122"/>
      <c r="BC37285" s="141"/>
    </row>
    <row r="37286">
      <c r="BB37286" s="122"/>
      <c r="BC37286" s="141"/>
    </row>
    <row r="37287">
      <c r="BB37287" s="122"/>
      <c r="BC37287" s="141"/>
    </row>
    <row r="37288">
      <c r="BB37288" s="122"/>
      <c r="BC37288" s="141"/>
    </row>
    <row r="37289">
      <c r="BB37289" s="122"/>
      <c r="BC37289" s="141"/>
    </row>
    <row r="37290">
      <c r="BB37290" s="122"/>
      <c r="BC37290" s="141"/>
    </row>
    <row r="37291">
      <c r="BB37291" s="122"/>
      <c r="BC37291" s="141"/>
    </row>
    <row r="37292">
      <c r="BB37292" s="122"/>
      <c r="BC37292" s="141"/>
    </row>
    <row r="37293">
      <c r="BB37293" s="122"/>
      <c r="BC37293" s="141"/>
    </row>
    <row r="37294">
      <c r="BB37294" s="122"/>
      <c r="BC37294" s="141"/>
    </row>
    <row r="37295">
      <c r="BB37295" s="122"/>
      <c r="BC37295" s="141"/>
    </row>
    <row r="37296">
      <c r="BB37296" s="122"/>
      <c r="BC37296" s="141"/>
    </row>
    <row r="37297">
      <c r="BB37297" s="122"/>
      <c r="BC37297" s="141"/>
    </row>
    <row r="37298">
      <c r="BB37298" s="122"/>
      <c r="BC37298" s="141"/>
    </row>
    <row r="37299">
      <c r="BB37299" s="122"/>
      <c r="BC37299" s="141"/>
    </row>
    <row r="37300">
      <c r="BB37300" s="122"/>
      <c r="BC37300" s="141"/>
    </row>
    <row r="37301">
      <c r="BB37301" s="122"/>
      <c r="BC37301" s="141"/>
    </row>
    <row r="37302">
      <c r="BB37302" s="122"/>
      <c r="BC37302" s="141"/>
    </row>
    <row r="37303">
      <c r="BB37303" s="122"/>
      <c r="BC37303" s="141"/>
    </row>
    <row r="37304">
      <c r="BB37304" s="122"/>
      <c r="BC37304" s="141"/>
    </row>
    <row r="37305">
      <c r="BB37305" s="122"/>
      <c r="BC37305" s="141"/>
    </row>
    <row r="37306">
      <c r="BB37306" s="122"/>
      <c r="BC37306" s="141"/>
    </row>
    <row r="37307">
      <c r="BB37307" s="122"/>
      <c r="BC37307" s="141"/>
    </row>
    <row r="37308">
      <c r="BB37308" s="122"/>
      <c r="BC37308" s="141"/>
    </row>
    <row r="37309">
      <c r="BB37309" s="122"/>
      <c r="BC37309" s="141"/>
    </row>
    <row r="37310">
      <c r="BB37310" s="122"/>
      <c r="BC37310" s="141"/>
    </row>
    <row r="37311">
      <c r="BB37311" s="122"/>
      <c r="BC37311" s="141"/>
    </row>
    <row r="37312">
      <c r="BB37312" s="122"/>
      <c r="BC37312" s="141"/>
    </row>
    <row r="37313">
      <c r="BB37313" s="122"/>
      <c r="BC37313" s="141"/>
    </row>
    <row r="37314">
      <c r="BB37314" s="122"/>
      <c r="BC37314" s="141"/>
    </row>
    <row r="37315">
      <c r="BB37315" s="122"/>
      <c r="BC37315" s="141"/>
    </row>
    <row r="37316">
      <c r="BB37316" s="122"/>
      <c r="BC37316" s="141"/>
    </row>
    <row r="37317">
      <c r="BB37317" s="122"/>
      <c r="BC37317" s="141"/>
    </row>
    <row r="37318">
      <c r="BB37318" s="122"/>
      <c r="BC37318" s="141"/>
    </row>
    <row r="37319">
      <c r="BB37319" s="122"/>
      <c r="BC37319" s="141"/>
    </row>
    <row r="37320">
      <c r="BB37320" s="122"/>
      <c r="BC37320" s="141"/>
    </row>
    <row r="37321">
      <c r="BB37321" s="122"/>
      <c r="BC37321" s="141"/>
    </row>
    <row r="37322">
      <c r="BB37322" s="122"/>
      <c r="BC37322" s="141"/>
    </row>
    <row r="37323">
      <c r="BB37323" s="122"/>
      <c r="BC37323" s="141"/>
    </row>
    <row r="37324">
      <c r="BB37324" s="122"/>
      <c r="BC37324" s="141"/>
    </row>
    <row r="37325">
      <c r="BB37325" s="122"/>
      <c r="BC37325" s="141"/>
    </row>
    <row r="37326">
      <c r="BB37326" s="122"/>
      <c r="BC37326" s="141"/>
    </row>
    <row r="37327">
      <c r="BB37327" s="122"/>
      <c r="BC37327" s="141"/>
    </row>
    <row r="37328">
      <c r="BB37328" s="122"/>
      <c r="BC37328" s="141"/>
    </row>
    <row r="37329">
      <c r="BB37329" s="122"/>
      <c r="BC37329" s="141"/>
    </row>
    <row r="37330">
      <c r="BB37330" s="122"/>
      <c r="BC37330" s="141"/>
    </row>
    <row r="37331">
      <c r="BB37331" s="122"/>
      <c r="BC37331" s="141"/>
    </row>
    <row r="37332">
      <c r="BB37332" s="122"/>
      <c r="BC37332" s="141"/>
    </row>
    <row r="37333">
      <c r="BB37333" s="122"/>
      <c r="BC37333" s="141"/>
    </row>
    <row r="37334">
      <c r="BB37334" s="122"/>
      <c r="BC37334" s="141"/>
    </row>
    <row r="37335">
      <c r="BB37335" s="122"/>
      <c r="BC37335" s="141"/>
    </row>
    <row r="37336">
      <c r="BB37336" s="122"/>
      <c r="BC37336" s="141"/>
    </row>
    <row r="37337">
      <c r="BB37337" s="122"/>
      <c r="BC37337" s="141"/>
    </row>
    <row r="37338">
      <c r="BB37338" s="122"/>
      <c r="BC37338" s="141"/>
    </row>
    <row r="37339">
      <c r="BB37339" s="122"/>
      <c r="BC37339" s="141"/>
    </row>
    <row r="37340">
      <c r="BB37340" s="122"/>
      <c r="BC37340" s="141"/>
    </row>
    <row r="37341">
      <c r="BB37341" s="122"/>
      <c r="BC37341" s="141"/>
    </row>
    <row r="37342">
      <c r="BB37342" s="122"/>
      <c r="BC37342" s="141"/>
    </row>
    <row r="37343">
      <c r="BB37343" s="122"/>
      <c r="BC37343" s="141"/>
    </row>
    <row r="37344">
      <c r="BB37344" s="122"/>
      <c r="BC37344" s="141"/>
    </row>
    <row r="37345">
      <c r="BB37345" s="122"/>
      <c r="BC37345" s="141"/>
    </row>
    <row r="37346">
      <c r="BB37346" s="122"/>
      <c r="BC37346" s="141"/>
    </row>
    <row r="37347">
      <c r="BB37347" s="122"/>
      <c r="BC37347" s="141"/>
    </row>
    <row r="37348">
      <c r="BB37348" s="122"/>
      <c r="BC37348" s="141"/>
    </row>
    <row r="37349">
      <c r="BB37349" s="122"/>
      <c r="BC37349" s="141"/>
    </row>
    <row r="37350">
      <c r="BB37350" s="122"/>
      <c r="BC37350" s="141"/>
    </row>
    <row r="37351">
      <c r="BB37351" s="122"/>
      <c r="BC37351" s="141"/>
    </row>
    <row r="37352">
      <c r="BB37352" s="122"/>
      <c r="BC37352" s="141"/>
    </row>
    <row r="37353">
      <c r="BB37353" s="122"/>
      <c r="BC37353" s="141"/>
    </row>
    <row r="37354">
      <c r="BB37354" s="122"/>
      <c r="BC37354" s="141"/>
    </row>
    <row r="37355">
      <c r="BB37355" s="122"/>
      <c r="BC37355" s="141"/>
    </row>
    <row r="37356">
      <c r="BB37356" s="122"/>
      <c r="BC37356" s="141"/>
    </row>
    <row r="37357">
      <c r="BB37357" s="122"/>
      <c r="BC37357" s="141"/>
    </row>
    <row r="37358">
      <c r="BB37358" s="122"/>
      <c r="BC37358" s="141"/>
    </row>
    <row r="37359">
      <c r="BB37359" s="122"/>
      <c r="BC37359" s="141"/>
    </row>
    <row r="37360">
      <c r="BB37360" s="122"/>
      <c r="BC37360" s="141"/>
    </row>
    <row r="37361">
      <c r="BB37361" s="122"/>
      <c r="BC37361" s="141"/>
    </row>
    <row r="37362">
      <c r="BB37362" s="122"/>
      <c r="BC37362" s="141"/>
    </row>
    <row r="37363">
      <c r="BB37363" s="122"/>
      <c r="BC37363" s="141"/>
    </row>
    <row r="37364">
      <c r="BB37364" s="122"/>
      <c r="BC37364" s="141"/>
    </row>
    <row r="37365">
      <c r="BB37365" s="122"/>
      <c r="BC37365" s="141"/>
    </row>
    <row r="37366">
      <c r="BB37366" s="122"/>
      <c r="BC37366" s="141"/>
    </row>
    <row r="37367">
      <c r="BB37367" s="122"/>
      <c r="BC37367" s="141"/>
    </row>
    <row r="37368">
      <c r="BB37368" s="122"/>
      <c r="BC37368" s="141"/>
    </row>
    <row r="37369">
      <c r="BB37369" s="122"/>
      <c r="BC37369" s="141"/>
    </row>
    <row r="37370">
      <c r="BB37370" s="122"/>
      <c r="BC37370" s="141"/>
    </row>
    <row r="37371">
      <c r="BB37371" s="122"/>
      <c r="BC37371" s="141"/>
    </row>
    <row r="37372">
      <c r="BB37372" s="122"/>
      <c r="BC37372" s="141"/>
    </row>
    <row r="37373">
      <c r="BB37373" s="122"/>
      <c r="BC37373" s="141"/>
    </row>
    <row r="37374">
      <c r="BB37374" s="122"/>
      <c r="BC37374" s="141"/>
    </row>
    <row r="37375">
      <c r="BB37375" s="122"/>
      <c r="BC37375" s="141"/>
    </row>
    <row r="37376">
      <c r="BB37376" s="122"/>
      <c r="BC37376" s="141"/>
    </row>
    <row r="37377">
      <c r="BB37377" s="122"/>
      <c r="BC37377" s="141"/>
    </row>
    <row r="37378">
      <c r="BB37378" s="122"/>
      <c r="BC37378" s="141"/>
    </row>
    <row r="37379">
      <c r="BB37379" s="122"/>
      <c r="BC37379" s="141"/>
    </row>
    <row r="37380">
      <c r="BB37380" s="122"/>
      <c r="BC37380" s="141"/>
    </row>
    <row r="37381">
      <c r="BB37381" s="122"/>
      <c r="BC37381" s="141"/>
    </row>
    <row r="37382">
      <c r="BB37382" s="122"/>
      <c r="BC37382" s="141"/>
    </row>
    <row r="37383">
      <c r="BB37383" s="122"/>
      <c r="BC37383" s="141"/>
    </row>
    <row r="37384">
      <c r="BB37384" s="122"/>
      <c r="BC37384" s="141"/>
    </row>
    <row r="37385">
      <c r="BB37385" s="122"/>
      <c r="BC37385" s="141"/>
    </row>
    <row r="37386">
      <c r="BB37386" s="122"/>
      <c r="BC37386" s="141"/>
    </row>
    <row r="37387">
      <c r="BB37387" s="122"/>
      <c r="BC37387" s="141"/>
    </row>
    <row r="37388">
      <c r="BB37388" s="122"/>
      <c r="BC37388" s="141"/>
    </row>
    <row r="37389">
      <c r="BB37389" s="122"/>
      <c r="BC37389" s="141"/>
    </row>
    <row r="37390">
      <c r="BB37390" s="122"/>
      <c r="BC37390" s="141"/>
    </row>
    <row r="37391">
      <c r="BB37391" s="122"/>
      <c r="BC37391" s="141"/>
    </row>
    <row r="37392">
      <c r="BB37392" s="122"/>
      <c r="BC37392" s="141"/>
    </row>
    <row r="37393">
      <c r="BB37393" s="122"/>
      <c r="BC37393" s="141"/>
    </row>
    <row r="37394">
      <c r="BB37394" s="122"/>
      <c r="BC37394" s="141"/>
    </row>
    <row r="37395">
      <c r="BB37395" s="122"/>
      <c r="BC37395" s="141"/>
    </row>
    <row r="37396">
      <c r="BB37396" s="122"/>
      <c r="BC37396" s="141"/>
    </row>
    <row r="37397">
      <c r="BB37397" s="122"/>
      <c r="BC37397" s="141"/>
    </row>
    <row r="37398">
      <c r="BB37398" s="122"/>
      <c r="BC37398" s="141"/>
    </row>
    <row r="37399">
      <c r="BB37399" s="122"/>
      <c r="BC37399" s="141"/>
    </row>
    <row r="37400">
      <c r="BB37400" s="122"/>
      <c r="BC37400" s="141"/>
    </row>
    <row r="37401">
      <c r="BB37401" s="122"/>
      <c r="BC37401" s="141"/>
    </row>
    <row r="37402">
      <c r="BB37402" s="122"/>
      <c r="BC37402" s="141"/>
    </row>
    <row r="37403">
      <c r="BB37403" s="122"/>
      <c r="BC37403" s="141"/>
    </row>
    <row r="37404">
      <c r="BB37404" s="122"/>
      <c r="BC37404" s="141"/>
    </row>
    <row r="37405">
      <c r="BB37405" s="122"/>
      <c r="BC37405" s="141"/>
    </row>
    <row r="37406">
      <c r="BB37406" s="122"/>
      <c r="BC37406" s="141"/>
    </row>
    <row r="37407">
      <c r="BB37407" s="122"/>
      <c r="BC37407" s="141"/>
    </row>
    <row r="37408">
      <c r="BB37408" s="122"/>
      <c r="BC37408" s="141"/>
    </row>
    <row r="37409">
      <c r="BB37409" s="122"/>
      <c r="BC37409" s="141"/>
    </row>
    <row r="37410">
      <c r="BB37410" s="122"/>
      <c r="BC37410" s="141"/>
    </row>
    <row r="37411">
      <c r="BB37411" s="122"/>
      <c r="BC37411" s="141"/>
    </row>
    <row r="37412">
      <c r="BB37412" s="122"/>
      <c r="BC37412" s="141"/>
    </row>
    <row r="37413">
      <c r="BB37413" s="122"/>
      <c r="BC37413" s="141"/>
    </row>
    <row r="37414">
      <c r="BB37414" s="122"/>
      <c r="BC37414" s="141"/>
    </row>
    <row r="37415">
      <c r="BB37415" s="122"/>
      <c r="BC37415" s="141"/>
    </row>
    <row r="37416">
      <c r="BB37416" s="122"/>
      <c r="BC37416" s="141"/>
    </row>
    <row r="37417">
      <c r="BB37417" s="122"/>
      <c r="BC37417" s="141"/>
    </row>
    <row r="37418">
      <c r="BB37418" s="122"/>
      <c r="BC37418" s="141"/>
    </row>
    <row r="37419">
      <c r="BB37419" s="122"/>
      <c r="BC37419" s="141"/>
    </row>
    <row r="37420">
      <c r="BB37420" s="122"/>
      <c r="BC37420" s="141"/>
    </row>
    <row r="37421">
      <c r="BB37421" s="122"/>
      <c r="BC37421" s="141"/>
    </row>
    <row r="37422">
      <c r="BB37422" s="122"/>
      <c r="BC37422" s="141"/>
    </row>
    <row r="37423">
      <c r="BB37423" s="122"/>
      <c r="BC37423" s="141"/>
    </row>
    <row r="37424">
      <c r="BB37424" s="122"/>
      <c r="BC37424" s="141"/>
    </row>
    <row r="37425">
      <c r="BB37425" s="122"/>
      <c r="BC37425" s="141"/>
    </row>
    <row r="37426">
      <c r="BB37426" s="122"/>
      <c r="BC37426" s="141"/>
    </row>
    <row r="37427">
      <c r="BB37427" s="122"/>
      <c r="BC37427" s="141"/>
    </row>
    <row r="37428">
      <c r="BB37428" s="122"/>
      <c r="BC37428" s="141"/>
    </row>
    <row r="37429">
      <c r="BB37429" s="122"/>
      <c r="BC37429" s="141"/>
    </row>
    <row r="37430">
      <c r="BB37430" s="122"/>
      <c r="BC37430" s="141"/>
    </row>
    <row r="37431">
      <c r="BB37431" s="122"/>
      <c r="BC37431" s="141"/>
    </row>
    <row r="37432">
      <c r="BB37432" s="122"/>
      <c r="BC37432" s="141"/>
    </row>
    <row r="37433">
      <c r="BB37433" s="122"/>
      <c r="BC37433" s="141"/>
    </row>
    <row r="37434">
      <c r="BB37434" s="122"/>
      <c r="BC37434" s="141"/>
    </row>
    <row r="37435">
      <c r="BB37435" s="122"/>
      <c r="BC37435" s="141"/>
    </row>
    <row r="37436">
      <c r="BB37436" s="122"/>
      <c r="BC37436" s="141"/>
    </row>
    <row r="37437">
      <c r="BB37437" s="122"/>
      <c r="BC37437" s="141"/>
    </row>
    <row r="37438">
      <c r="BB37438" s="122"/>
      <c r="BC37438" s="141"/>
    </row>
    <row r="37439">
      <c r="BB37439" s="122"/>
      <c r="BC37439" s="141"/>
    </row>
    <row r="37440">
      <c r="BB37440" s="122"/>
      <c r="BC37440" s="141"/>
    </row>
    <row r="37441">
      <c r="BB37441" s="122"/>
      <c r="BC37441" s="141"/>
    </row>
    <row r="37442">
      <c r="BB37442" s="122"/>
      <c r="BC37442" s="141"/>
    </row>
    <row r="37443">
      <c r="BB37443" s="122"/>
      <c r="BC37443" s="141"/>
    </row>
    <row r="37444">
      <c r="BB37444" s="122"/>
      <c r="BC37444" s="141"/>
    </row>
    <row r="37445">
      <c r="BB37445" s="122"/>
      <c r="BC37445" s="141"/>
    </row>
    <row r="37446">
      <c r="BB37446" s="122"/>
      <c r="BC37446" s="141"/>
    </row>
    <row r="37447">
      <c r="BB37447" s="122"/>
      <c r="BC37447" s="141"/>
    </row>
    <row r="37448">
      <c r="BB37448" s="122"/>
      <c r="BC37448" s="141"/>
    </row>
    <row r="37449">
      <c r="BB37449" s="122"/>
      <c r="BC37449" s="141"/>
    </row>
    <row r="37450">
      <c r="BB37450" s="122"/>
      <c r="BC37450" s="141"/>
    </row>
    <row r="37451">
      <c r="BB37451" s="122"/>
      <c r="BC37451" s="141"/>
    </row>
    <row r="37452">
      <c r="BB37452" s="122"/>
      <c r="BC37452" s="141"/>
    </row>
    <row r="37453">
      <c r="BB37453" s="122"/>
      <c r="BC37453" s="141"/>
    </row>
    <row r="37454">
      <c r="BB37454" s="122"/>
      <c r="BC37454" s="141"/>
    </row>
    <row r="37455">
      <c r="BB37455" s="122"/>
      <c r="BC37455" s="141"/>
    </row>
    <row r="37456">
      <c r="BB37456" s="122"/>
      <c r="BC37456" s="141"/>
    </row>
    <row r="37457">
      <c r="BB37457" s="122"/>
      <c r="BC37457" s="141"/>
    </row>
    <row r="37458">
      <c r="BB37458" s="122"/>
      <c r="BC37458" s="141"/>
    </row>
    <row r="37459">
      <c r="BB37459" s="122"/>
      <c r="BC37459" s="141"/>
    </row>
    <row r="37460">
      <c r="BB37460" s="122"/>
      <c r="BC37460" s="141"/>
    </row>
    <row r="37461">
      <c r="BB37461" s="122"/>
      <c r="BC37461" s="141"/>
    </row>
    <row r="37462">
      <c r="BB37462" s="122"/>
      <c r="BC37462" s="141"/>
    </row>
    <row r="37463">
      <c r="BB37463" s="122"/>
      <c r="BC37463" s="141"/>
    </row>
    <row r="37464">
      <c r="BB37464" s="122"/>
      <c r="BC37464" s="141"/>
    </row>
    <row r="37465">
      <c r="BB37465" s="122"/>
      <c r="BC37465" s="141"/>
    </row>
    <row r="37466">
      <c r="BB37466" s="122"/>
      <c r="BC37466" s="141"/>
    </row>
    <row r="37467">
      <c r="BB37467" s="122"/>
      <c r="BC37467" s="141"/>
    </row>
    <row r="37468">
      <c r="BB37468" s="122"/>
      <c r="BC37468" s="141"/>
    </row>
    <row r="37469">
      <c r="BB37469" s="122"/>
      <c r="BC37469" s="141"/>
    </row>
    <row r="37470">
      <c r="BB37470" s="122"/>
      <c r="BC37470" s="141"/>
    </row>
    <row r="37471">
      <c r="BB37471" s="122"/>
      <c r="BC37471" s="141"/>
    </row>
    <row r="37472">
      <c r="BB37472" s="122"/>
      <c r="BC37472" s="141"/>
    </row>
    <row r="37473">
      <c r="BB37473" s="122"/>
      <c r="BC37473" s="141"/>
    </row>
    <row r="37474">
      <c r="BB37474" s="122"/>
      <c r="BC37474" s="141"/>
    </row>
    <row r="37475">
      <c r="BB37475" s="122"/>
      <c r="BC37475" s="141"/>
    </row>
    <row r="37476">
      <c r="BB37476" s="122"/>
      <c r="BC37476" s="141"/>
    </row>
    <row r="37477">
      <c r="BB37477" s="122"/>
      <c r="BC37477" s="141"/>
    </row>
    <row r="37478">
      <c r="BB37478" s="122"/>
      <c r="BC37478" s="141"/>
    </row>
    <row r="37479">
      <c r="BB37479" s="122"/>
      <c r="BC37479" s="141"/>
    </row>
    <row r="37480">
      <c r="BB37480" s="122"/>
      <c r="BC37480" s="141"/>
    </row>
    <row r="37481">
      <c r="BB37481" s="122"/>
      <c r="BC37481" s="141"/>
    </row>
    <row r="37482">
      <c r="BB37482" s="122"/>
      <c r="BC37482" s="141"/>
    </row>
    <row r="37483">
      <c r="BB37483" s="122"/>
      <c r="BC37483" s="141"/>
    </row>
    <row r="37484">
      <c r="BB37484" s="122"/>
      <c r="BC37484" s="141"/>
    </row>
    <row r="37485">
      <c r="BB37485" s="122"/>
      <c r="BC37485" s="141"/>
    </row>
    <row r="37486">
      <c r="BB37486" s="122"/>
      <c r="BC37486" s="141"/>
    </row>
    <row r="37487">
      <c r="BB37487" s="122"/>
      <c r="BC37487" s="141"/>
    </row>
    <row r="37488">
      <c r="BB37488" s="122"/>
      <c r="BC37488" s="141"/>
    </row>
    <row r="37489">
      <c r="BB37489" s="122"/>
      <c r="BC37489" s="141"/>
    </row>
    <row r="37490">
      <c r="BB37490" s="122"/>
      <c r="BC37490" s="141"/>
    </row>
    <row r="37491">
      <c r="BB37491" s="122"/>
      <c r="BC37491" s="141"/>
    </row>
    <row r="37492">
      <c r="BB37492" s="122"/>
      <c r="BC37492" s="141"/>
    </row>
    <row r="37493">
      <c r="BB37493" s="122"/>
      <c r="BC37493" s="141"/>
    </row>
    <row r="37494">
      <c r="BB37494" s="122"/>
      <c r="BC37494" s="141"/>
    </row>
    <row r="37495">
      <c r="BB37495" s="122"/>
      <c r="BC37495" s="141"/>
    </row>
    <row r="37496">
      <c r="BB37496" s="122"/>
      <c r="BC37496" s="141"/>
    </row>
    <row r="37497">
      <c r="BB37497" s="122"/>
      <c r="BC37497" s="141"/>
    </row>
    <row r="37498">
      <c r="BB37498" s="122"/>
      <c r="BC37498" s="141"/>
    </row>
    <row r="37499">
      <c r="BB37499" s="122"/>
      <c r="BC37499" s="141"/>
    </row>
    <row r="37500">
      <c r="BB37500" s="122"/>
      <c r="BC37500" s="141"/>
    </row>
    <row r="37501">
      <c r="BB37501" s="122"/>
      <c r="BC37501" s="141"/>
    </row>
    <row r="37502">
      <c r="BB37502" s="122"/>
      <c r="BC37502" s="141"/>
    </row>
    <row r="37503">
      <c r="BB37503" s="122"/>
      <c r="BC37503" s="141"/>
    </row>
    <row r="37504">
      <c r="BB37504" s="122"/>
      <c r="BC37504" s="141"/>
    </row>
    <row r="37505">
      <c r="BB37505" s="122"/>
      <c r="BC37505" s="141"/>
    </row>
    <row r="37506">
      <c r="BB37506" s="122"/>
      <c r="BC37506" s="141"/>
    </row>
    <row r="37507">
      <c r="BB37507" s="122"/>
      <c r="BC37507" s="141"/>
    </row>
    <row r="37508">
      <c r="BB37508" s="122"/>
      <c r="BC37508" s="141"/>
    </row>
    <row r="37509">
      <c r="BB37509" s="122"/>
      <c r="BC37509" s="141"/>
    </row>
    <row r="37510">
      <c r="BB37510" s="122"/>
      <c r="BC37510" s="141"/>
    </row>
    <row r="37511">
      <c r="BB37511" s="122"/>
      <c r="BC37511" s="141"/>
    </row>
    <row r="37512">
      <c r="BB37512" s="122"/>
      <c r="BC37512" s="141"/>
    </row>
    <row r="37513">
      <c r="BB37513" s="122"/>
      <c r="BC37513" s="141"/>
    </row>
    <row r="37514">
      <c r="BB37514" s="122"/>
      <c r="BC37514" s="141"/>
    </row>
    <row r="37515">
      <c r="BB37515" s="122"/>
      <c r="BC37515" s="141"/>
    </row>
    <row r="37516">
      <c r="BB37516" s="122"/>
      <c r="BC37516" s="141"/>
    </row>
    <row r="37517">
      <c r="BB37517" s="122"/>
      <c r="BC37517" s="141"/>
    </row>
    <row r="37518">
      <c r="BB37518" s="122"/>
      <c r="BC37518" s="141"/>
    </row>
    <row r="37519">
      <c r="BB37519" s="122"/>
      <c r="BC37519" s="141"/>
    </row>
    <row r="37520">
      <c r="BB37520" s="122"/>
      <c r="BC37520" s="141"/>
    </row>
    <row r="37521">
      <c r="BB37521" s="122"/>
      <c r="BC37521" s="141"/>
    </row>
    <row r="37522">
      <c r="BB37522" s="122"/>
      <c r="BC37522" s="141"/>
    </row>
    <row r="37523">
      <c r="BB37523" s="122"/>
      <c r="BC37523" s="141"/>
    </row>
    <row r="37524">
      <c r="BB37524" s="122"/>
      <c r="BC37524" s="141"/>
    </row>
    <row r="37525">
      <c r="BB37525" s="122"/>
      <c r="BC37525" s="141"/>
    </row>
    <row r="37526">
      <c r="BB37526" s="122"/>
      <c r="BC37526" s="141"/>
    </row>
    <row r="37527">
      <c r="BB37527" s="122"/>
      <c r="BC37527" s="141"/>
    </row>
    <row r="37528">
      <c r="BB37528" s="122"/>
      <c r="BC37528" s="141"/>
    </row>
    <row r="37529">
      <c r="BB37529" s="122"/>
      <c r="BC37529" s="141"/>
    </row>
    <row r="37530">
      <c r="BB37530" s="122"/>
      <c r="BC37530" s="141"/>
    </row>
    <row r="37531">
      <c r="BB37531" s="122"/>
      <c r="BC37531" s="141"/>
    </row>
    <row r="37532">
      <c r="BB37532" s="122"/>
      <c r="BC37532" s="141"/>
    </row>
    <row r="37533">
      <c r="BB37533" s="122"/>
      <c r="BC37533" s="141"/>
    </row>
    <row r="37534">
      <c r="BB37534" s="122"/>
      <c r="BC37534" s="141"/>
    </row>
    <row r="37535">
      <c r="BB37535" s="122"/>
      <c r="BC37535" s="141"/>
    </row>
    <row r="37536">
      <c r="BB37536" s="122"/>
      <c r="BC37536" s="141"/>
    </row>
    <row r="37537">
      <c r="BB37537" s="122"/>
      <c r="BC37537" s="141"/>
    </row>
    <row r="37538">
      <c r="BB37538" s="122"/>
      <c r="BC37538" s="141"/>
    </row>
    <row r="37539">
      <c r="BB37539" s="122"/>
      <c r="BC37539" s="141"/>
    </row>
    <row r="37540">
      <c r="BB37540" s="122"/>
      <c r="BC37540" s="141"/>
    </row>
    <row r="37541">
      <c r="BB37541" s="122"/>
      <c r="BC37541" s="141"/>
    </row>
    <row r="37542">
      <c r="BB37542" s="122"/>
      <c r="BC37542" s="141"/>
    </row>
    <row r="37543">
      <c r="BB37543" s="122"/>
      <c r="BC37543" s="141"/>
    </row>
    <row r="37544">
      <c r="BB37544" s="122"/>
      <c r="BC37544" s="141"/>
    </row>
    <row r="37545">
      <c r="BB37545" s="122"/>
      <c r="BC37545" s="141"/>
    </row>
    <row r="37546">
      <c r="BB37546" s="122"/>
      <c r="BC37546" s="141"/>
    </row>
    <row r="37547">
      <c r="BB37547" s="122"/>
      <c r="BC37547" s="141"/>
    </row>
    <row r="37548">
      <c r="BB37548" s="122"/>
      <c r="BC37548" s="141"/>
    </row>
    <row r="37549">
      <c r="BB37549" s="122"/>
      <c r="BC37549" s="141"/>
    </row>
    <row r="37550">
      <c r="BB37550" s="122"/>
      <c r="BC37550" s="141"/>
    </row>
    <row r="37551">
      <c r="BB37551" s="122"/>
      <c r="BC37551" s="141"/>
    </row>
    <row r="37552">
      <c r="BB37552" s="122"/>
      <c r="BC37552" s="141"/>
    </row>
    <row r="37553">
      <c r="BB37553" s="122"/>
      <c r="BC37553" s="141"/>
    </row>
    <row r="37554">
      <c r="BB37554" s="122"/>
      <c r="BC37554" s="141"/>
    </row>
    <row r="37555">
      <c r="BB37555" s="122"/>
      <c r="BC37555" s="141"/>
    </row>
    <row r="37556">
      <c r="BB37556" s="122"/>
      <c r="BC37556" s="141"/>
    </row>
    <row r="37557">
      <c r="BB37557" s="122"/>
      <c r="BC37557" s="141"/>
    </row>
    <row r="37558">
      <c r="BB37558" s="122"/>
      <c r="BC37558" s="141"/>
    </row>
    <row r="37559">
      <c r="BB37559" s="122"/>
      <c r="BC37559" s="141"/>
    </row>
    <row r="37560">
      <c r="BB37560" s="122"/>
      <c r="BC37560" s="141"/>
    </row>
    <row r="37561">
      <c r="BB37561" s="122"/>
      <c r="BC37561" s="141"/>
    </row>
    <row r="37562">
      <c r="BB37562" s="122"/>
      <c r="BC37562" s="141"/>
    </row>
    <row r="37563">
      <c r="BB37563" s="122"/>
      <c r="BC37563" s="141"/>
    </row>
    <row r="37564">
      <c r="BB37564" s="122"/>
      <c r="BC37564" s="141"/>
    </row>
    <row r="37565">
      <c r="BB37565" s="122"/>
      <c r="BC37565" s="141"/>
    </row>
    <row r="37566">
      <c r="BB37566" s="122"/>
      <c r="BC37566" s="141"/>
    </row>
    <row r="37567">
      <c r="BB37567" s="122"/>
      <c r="BC37567" s="141"/>
    </row>
    <row r="37568">
      <c r="BB37568" s="122"/>
      <c r="BC37568" s="141"/>
    </row>
    <row r="37569">
      <c r="BB37569" s="122"/>
      <c r="BC37569" s="141"/>
    </row>
    <row r="37570">
      <c r="BB37570" s="122"/>
      <c r="BC37570" s="141"/>
    </row>
    <row r="37571">
      <c r="BB37571" s="122"/>
      <c r="BC37571" s="141"/>
    </row>
    <row r="37572">
      <c r="BB37572" s="122"/>
      <c r="BC37572" s="141"/>
    </row>
    <row r="37573">
      <c r="BB37573" s="122"/>
      <c r="BC37573" s="141"/>
    </row>
    <row r="37574">
      <c r="BB37574" s="122"/>
      <c r="BC37574" s="141"/>
    </row>
    <row r="37575">
      <c r="BB37575" s="122"/>
      <c r="BC37575" s="141"/>
    </row>
    <row r="37576">
      <c r="BB37576" s="122"/>
      <c r="BC37576" s="141"/>
    </row>
    <row r="37577">
      <c r="BB37577" s="122"/>
      <c r="BC37577" s="141"/>
    </row>
    <row r="37578">
      <c r="BB37578" s="122"/>
      <c r="BC37578" s="141"/>
    </row>
    <row r="37579">
      <c r="BB37579" s="122"/>
      <c r="BC37579" s="141"/>
    </row>
    <row r="37580">
      <c r="BB37580" s="122"/>
      <c r="BC37580" s="141"/>
    </row>
    <row r="37581">
      <c r="BB37581" s="122"/>
      <c r="BC37581" s="141"/>
    </row>
    <row r="37582">
      <c r="BB37582" s="122"/>
      <c r="BC37582" s="141"/>
    </row>
    <row r="37583">
      <c r="BB37583" s="122"/>
      <c r="BC37583" s="141"/>
    </row>
    <row r="37584">
      <c r="BB37584" s="122"/>
      <c r="BC37584" s="141"/>
    </row>
    <row r="37585">
      <c r="BB37585" s="122"/>
      <c r="BC37585" s="141"/>
    </row>
    <row r="37586">
      <c r="BB37586" s="122"/>
      <c r="BC37586" s="141"/>
    </row>
    <row r="37587">
      <c r="BB37587" s="122"/>
      <c r="BC37587" s="141"/>
    </row>
    <row r="37588">
      <c r="BB37588" s="122"/>
      <c r="BC37588" s="141"/>
    </row>
    <row r="37589">
      <c r="BB37589" s="122"/>
      <c r="BC37589" s="141"/>
    </row>
    <row r="37590">
      <c r="BB37590" s="122"/>
      <c r="BC37590" s="141"/>
    </row>
    <row r="37591">
      <c r="BB37591" s="122"/>
      <c r="BC37591" s="141"/>
    </row>
    <row r="37592">
      <c r="BB37592" s="122"/>
      <c r="BC37592" s="141"/>
    </row>
    <row r="37593">
      <c r="BB37593" s="122"/>
      <c r="BC37593" s="141"/>
    </row>
    <row r="37594">
      <c r="BB37594" s="122"/>
      <c r="BC37594" s="141"/>
    </row>
    <row r="37595">
      <c r="BB37595" s="122"/>
      <c r="BC37595" s="141"/>
    </row>
    <row r="37596">
      <c r="BB37596" s="122"/>
      <c r="BC37596" s="141"/>
    </row>
    <row r="37597">
      <c r="BB37597" s="122"/>
      <c r="BC37597" s="141"/>
    </row>
    <row r="37598">
      <c r="BB37598" s="122"/>
      <c r="BC37598" s="141"/>
    </row>
    <row r="37599">
      <c r="BB37599" s="122"/>
      <c r="BC37599" s="141"/>
    </row>
    <row r="37600">
      <c r="BB37600" s="122"/>
      <c r="BC37600" s="141"/>
    </row>
    <row r="37601">
      <c r="BB37601" s="122"/>
      <c r="BC37601" s="141"/>
    </row>
    <row r="37602">
      <c r="BB37602" s="122"/>
      <c r="BC37602" s="141"/>
    </row>
    <row r="37603">
      <c r="BB37603" s="122"/>
      <c r="BC37603" s="141"/>
    </row>
    <row r="37604">
      <c r="BB37604" s="122"/>
      <c r="BC37604" s="141"/>
    </row>
    <row r="37605">
      <c r="BB37605" s="122"/>
      <c r="BC37605" s="141"/>
    </row>
    <row r="37606">
      <c r="BB37606" s="122"/>
      <c r="BC37606" s="141"/>
    </row>
    <row r="37607">
      <c r="BB37607" s="122"/>
      <c r="BC37607" s="141"/>
    </row>
    <row r="37608">
      <c r="BB37608" s="122"/>
      <c r="BC37608" s="141"/>
    </row>
    <row r="37609">
      <c r="BB37609" s="122"/>
      <c r="BC37609" s="141"/>
    </row>
    <row r="37610">
      <c r="BB37610" s="122"/>
      <c r="BC37610" s="141"/>
    </row>
    <row r="37611">
      <c r="BB37611" s="122"/>
      <c r="BC37611" s="141"/>
    </row>
    <row r="37612">
      <c r="BB37612" s="122"/>
      <c r="BC37612" s="141"/>
    </row>
    <row r="37613">
      <c r="BB37613" s="122"/>
      <c r="BC37613" s="141"/>
    </row>
    <row r="37614">
      <c r="BB37614" s="122"/>
      <c r="BC37614" s="141"/>
    </row>
    <row r="37615">
      <c r="BB37615" s="122"/>
      <c r="BC37615" s="141"/>
    </row>
    <row r="37616">
      <c r="BB37616" s="122"/>
      <c r="BC37616" s="141"/>
    </row>
    <row r="37617">
      <c r="BB37617" s="122"/>
      <c r="BC37617" s="141"/>
    </row>
    <row r="37618">
      <c r="BB37618" s="122"/>
      <c r="BC37618" s="141"/>
    </row>
    <row r="37619">
      <c r="BB37619" s="122"/>
      <c r="BC37619" s="141"/>
    </row>
    <row r="37620">
      <c r="BB37620" s="122"/>
      <c r="BC37620" s="141"/>
    </row>
    <row r="37621">
      <c r="BB37621" s="122"/>
      <c r="BC37621" s="141"/>
    </row>
    <row r="37622">
      <c r="BB37622" s="122"/>
      <c r="BC37622" s="141"/>
    </row>
    <row r="37623">
      <c r="BB37623" s="122"/>
      <c r="BC37623" s="141"/>
    </row>
    <row r="37624">
      <c r="BB37624" s="122"/>
      <c r="BC37624" s="141"/>
    </row>
    <row r="37625">
      <c r="BB37625" s="122"/>
      <c r="BC37625" s="141"/>
    </row>
    <row r="37626">
      <c r="BB37626" s="122"/>
      <c r="BC37626" s="141"/>
    </row>
    <row r="37627">
      <c r="BB37627" s="122"/>
      <c r="BC37627" s="141"/>
    </row>
    <row r="37628">
      <c r="BB37628" s="122"/>
      <c r="BC37628" s="141"/>
    </row>
    <row r="37629">
      <c r="BB37629" s="122"/>
      <c r="BC37629" s="141"/>
    </row>
    <row r="37630">
      <c r="BB37630" s="122"/>
      <c r="BC37630" s="141"/>
    </row>
    <row r="37631">
      <c r="BB37631" s="122"/>
      <c r="BC37631" s="141"/>
    </row>
    <row r="37632">
      <c r="BB37632" s="122"/>
      <c r="BC37632" s="141"/>
    </row>
    <row r="37633">
      <c r="BB37633" s="122"/>
      <c r="BC37633" s="141"/>
    </row>
    <row r="37634">
      <c r="BB37634" s="122"/>
      <c r="BC37634" s="141"/>
    </row>
    <row r="37635">
      <c r="BB37635" s="122"/>
      <c r="BC37635" s="141"/>
    </row>
    <row r="37636">
      <c r="BB37636" s="122"/>
      <c r="BC37636" s="141"/>
    </row>
    <row r="37637">
      <c r="BB37637" s="122"/>
      <c r="BC37637" s="141"/>
    </row>
    <row r="37638">
      <c r="BB37638" s="122"/>
      <c r="BC37638" s="141"/>
    </row>
    <row r="37639">
      <c r="BB37639" s="122"/>
      <c r="BC37639" s="141"/>
    </row>
    <row r="37640">
      <c r="BB37640" s="122"/>
      <c r="BC37640" s="141"/>
    </row>
    <row r="37641">
      <c r="BB37641" s="122"/>
      <c r="BC37641" s="141"/>
    </row>
    <row r="37642">
      <c r="BB37642" s="122"/>
      <c r="BC37642" s="141"/>
    </row>
    <row r="37643">
      <c r="BB37643" s="122"/>
      <c r="BC37643" s="141"/>
    </row>
    <row r="37644">
      <c r="BB37644" s="122"/>
      <c r="BC37644" s="141"/>
    </row>
    <row r="37645">
      <c r="BB37645" s="122"/>
      <c r="BC37645" s="141"/>
    </row>
    <row r="37646">
      <c r="BB37646" s="122"/>
      <c r="BC37646" s="141"/>
    </row>
    <row r="37647">
      <c r="BB37647" s="122"/>
      <c r="BC37647" s="141"/>
    </row>
    <row r="37648">
      <c r="BB37648" s="122"/>
      <c r="BC37648" s="141"/>
    </row>
    <row r="37649">
      <c r="BB37649" s="122"/>
      <c r="BC37649" s="141"/>
    </row>
    <row r="37650">
      <c r="BB37650" s="122"/>
      <c r="BC37650" s="141"/>
    </row>
    <row r="37651">
      <c r="BB37651" s="122"/>
      <c r="BC37651" s="141"/>
    </row>
    <row r="37652">
      <c r="BB37652" s="122"/>
      <c r="BC37652" s="141"/>
    </row>
    <row r="37653">
      <c r="BB37653" s="122"/>
      <c r="BC37653" s="141"/>
    </row>
    <row r="37654">
      <c r="BB37654" s="122"/>
      <c r="BC37654" s="141"/>
    </row>
    <row r="37655">
      <c r="BB37655" s="122"/>
      <c r="BC37655" s="141"/>
    </row>
    <row r="37656">
      <c r="BB37656" s="122"/>
      <c r="BC37656" s="141"/>
    </row>
    <row r="37657">
      <c r="BB37657" s="122"/>
      <c r="BC37657" s="141"/>
    </row>
    <row r="37658">
      <c r="BB37658" s="122"/>
      <c r="BC37658" s="141"/>
    </row>
    <row r="37659">
      <c r="BB37659" s="122"/>
      <c r="BC37659" s="141"/>
    </row>
    <row r="37660">
      <c r="BB37660" s="122"/>
      <c r="BC37660" s="141"/>
    </row>
    <row r="37661">
      <c r="BB37661" s="122"/>
      <c r="BC37661" s="141"/>
    </row>
    <row r="37662">
      <c r="BB37662" s="122"/>
      <c r="BC37662" s="141"/>
    </row>
    <row r="37663">
      <c r="BB37663" s="122"/>
      <c r="BC37663" s="141"/>
    </row>
    <row r="37664">
      <c r="BB37664" s="122"/>
      <c r="BC37664" s="141"/>
    </row>
    <row r="37665">
      <c r="BB37665" s="122"/>
      <c r="BC37665" s="141"/>
    </row>
    <row r="37666">
      <c r="BB37666" s="122"/>
      <c r="BC37666" s="141"/>
    </row>
    <row r="37667">
      <c r="BB37667" s="122"/>
      <c r="BC37667" s="141"/>
    </row>
    <row r="37668">
      <c r="BB37668" s="122"/>
      <c r="BC37668" s="141"/>
    </row>
    <row r="37669">
      <c r="BB37669" s="122"/>
      <c r="BC37669" s="141"/>
    </row>
    <row r="37670">
      <c r="BB37670" s="122"/>
      <c r="BC37670" s="141"/>
    </row>
    <row r="37671">
      <c r="BB37671" s="122"/>
      <c r="BC37671" s="141"/>
    </row>
    <row r="37672">
      <c r="BB37672" s="122"/>
      <c r="BC37672" s="141"/>
    </row>
    <row r="37673">
      <c r="BB37673" s="122"/>
      <c r="BC37673" s="141"/>
    </row>
    <row r="37674">
      <c r="BB37674" s="122"/>
      <c r="BC37674" s="141"/>
    </row>
    <row r="37675">
      <c r="BB37675" s="122"/>
      <c r="BC37675" s="141"/>
    </row>
    <row r="37676">
      <c r="BB37676" s="122"/>
      <c r="BC37676" s="141"/>
    </row>
    <row r="37677">
      <c r="BB37677" s="122"/>
      <c r="BC37677" s="141"/>
    </row>
    <row r="37678">
      <c r="BB37678" s="122"/>
      <c r="BC37678" s="141"/>
    </row>
    <row r="37679">
      <c r="BB37679" s="122"/>
      <c r="BC37679" s="141"/>
    </row>
    <row r="37680">
      <c r="BB37680" s="122"/>
      <c r="BC37680" s="141"/>
    </row>
    <row r="37681">
      <c r="BB37681" s="122"/>
      <c r="BC37681" s="141"/>
    </row>
    <row r="37682">
      <c r="BB37682" s="122"/>
      <c r="BC37682" s="141"/>
    </row>
    <row r="37683">
      <c r="BB37683" s="122"/>
      <c r="BC37683" s="141"/>
    </row>
    <row r="37684">
      <c r="BB37684" s="122"/>
      <c r="BC37684" s="141"/>
    </row>
    <row r="37685">
      <c r="BB37685" s="122"/>
      <c r="BC37685" s="141"/>
    </row>
    <row r="37686">
      <c r="BB37686" s="122"/>
      <c r="BC37686" s="141"/>
    </row>
    <row r="37687">
      <c r="BB37687" s="122"/>
      <c r="BC37687" s="141"/>
    </row>
    <row r="37688">
      <c r="BB37688" s="122"/>
      <c r="BC37688" s="141"/>
    </row>
    <row r="37689">
      <c r="BB37689" s="122"/>
      <c r="BC37689" s="141"/>
    </row>
    <row r="37690">
      <c r="BB37690" s="122"/>
      <c r="BC37690" s="141"/>
    </row>
    <row r="37691">
      <c r="BB37691" s="122"/>
      <c r="BC37691" s="141"/>
    </row>
    <row r="37692">
      <c r="BB37692" s="122"/>
      <c r="BC37692" s="141"/>
    </row>
    <row r="37693">
      <c r="BB37693" s="122"/>
      <c r="BC37693" s="141"/>
    </row>
    <row r="37694">
      <c r="BB37694" s="122"/>
      <c r="BC37694" s="141"/>
    </row>
    <row r="37695">
      <c r="BB37695" s="122"/>
      <c r="BC37695" s="141"/>
    </row>
    <row r="37696">
      <c r="BB37696" s="122"/>
      <c r="BC37696" s="141"/>
    </row>
    <row r="37697">
      <c r="BB37697" s="122"/>
      <c r="BC37697" s="141"/>
    </row>
    <row r="37698">
      <c r="BB37698" s="122"/>
      <c r="BC37698" s="141"/>
    </row>
    <row r="37699">
      <c r="BB37699" s="122"/>
      <c r="BC37699" s="141"/>
    </row>
    <row r="37700">
      <c r="BB37700" s="122"/>
      <c r="BC37700" s="141"/>
    </row>
    <row r="37701">
      <c r="BB37701" s="122"/>
      <c r="BC37701" s="141"/>
    </row>
    <row r="37702">
      <c r="BB37702" s="122"/>
      <c r="BC37702" s="141"/>
    </row>
    <row r="37703">
      <c r="BB37703" s="122"/>
      <c r="BC37703" s="141"/>
    </row>
    <row r="37704">
      <c r="BB37704" s="122"/>
      <c r="BC37704" s="141"/>
    </row>
    <row r="37705">
      <c r="BB37705" s="122"/>
      <c r="BC37705" s="141"/>
    </row>
    <row r="37706">
      <c r="BB37706" s="122"/>
      <c r="BC37706" s="141"/>
    </row>
    <row r="37707">
      <c r="BB37707" s="122"/>
      <c r="BC37707" s="141"/>
    </row>
    <row r="37708">
      <c r="BB37708" s="122"/>
      <c r="BC37708" s="141"/>
    </row>
    <row r="37709">
      <c r="BB37709" s="122"/>
      <c r="BC37709" s="141"/>
    </row>
    <row r="37710">
      <c r="BB37710" s="122"/>
      <c r="BC37710" s="141"/>
    </row>
    <row r="37711">
      <c r="BB37711" s="122"/>
      <c r="BC37711" s="141"/>
    </row>
    <row r="37712">
      <c r="BB37712" s="122"/>
      <c r="BC37712" s="141"/>
    </row>
    <row r="37713">
      <c r="BB37713" s="122"/>
      <c r="BC37713" s="141"/>
    </row>
    <row r="37714">
      <c r="BB37714" s="122"/>
      <c r="BC37714" s="141"/>
    </row>
    <row r="37715">
      <c r="BB37715" s="122"/>
      <c r="BC37715" s="141"/>
    </row>
    <row r="37716">
      <c r="BB37716" s="122"/>
      <c r="BC37716" s="141"/>
    </row>
    <row r="37717">
      <c r="BB37717" s="122"/>
      <c r="BC37717" s="141"/>
    </row>
    <row r="37718">
      <c r="BB37718" s="122"/>
      <c r="BC37718" s="141"/>
    </row>
    <row r="37719">
      <c r="BB37719" s="122"/>
      <c r="BC37719" s="141"/>
    </row>
    <row r="37720">
      <c r="BB37720" s="122"/>
      <c r="BC37720" s="141"/>
    </row>
    <row r="37721">
      <c r="BB37721" s="122"/>
      <c r="BC37721" s="141"/>
    </row>
    <row r="37722">
      <c r="BB37722" s="122"/>
      <c r="BC37722" s="141"/>
    </row>
    <row r="37723">
      <c r="BB37723" s="122"/>
      <c r="BC37723" s="141"/>
    </row>
    <row r="37724">
      <c r="BB37724" s="122"/>
      <c r="BC37724" s="141"/>
    </row>
    <row r="37725">
      <c r="BB37725" s="122"/>
      <c r="BC37725" s="141"/>
    </row>
    <row r="37726">
      <c r="BB37726" s="122"/>
      <c r="BC37726" s="141"/>
    </row>
    <row r="37727">
      <c r="BB37727" s="122"/>
      <c r="BC37727" s="141"/>
    </row>
    <row r="37728">
      <c r="BB37728" s="122"/>
      <c r="BC37728" s="141"/>
    </row>
    <row r="37729">
      <c r="BB37729" s="122"/>
      <c r="BC37729" s="141"/>
    </row>
    <row r="37730">
      <c r="BB37730" s="122"/>
      <c r="BC37730" s="141"/>
    </row>
    <row r="37731">
      <c r="BB37731" s="122"/>
      <c r="BC37731" s="141"/>
    </row>
    <row r="37732">
      <c r="BB37732" s="122"/>
      <c r="BC37732" s="141"/>
    </row>
    <row r="37733">
      <c r="BB37733" s="122"/>
      <c r="BC37733" s="141"/>
    </row>
    <row r="37734">
      <c r="BB37734" s="122"/>
      <c r="BC37734" s="141"/>
    </row>
    <row r="37735">
      <c r="BB37735" s="122"/>
      <c r="BC37735" s="141"/>
    </row>
    <row r="37736">
      <c r="BB37736" s="122"/>
      <c r="BC37736" s="141"/>
    </row>
    <row r="37737">
      <c r="BB37737" s="122"/>
      <c r="BC37737" s="141"/>
    </row>
    <row r="37738">
      <c r="BB37738" s="122"/>
      <c r="BC37738" s="141"/>
    </row>
    <row r="37739">
      <c r="BB37739" s="122"/>
      <c r="BC37739" s="141"/>
    </row>
    <row r="37740">
      <c r="BB37740" s="122"/>
      <c r="BC37740" s="141"/>
    </row>
    <row r="37741">
      <c r="BB37741" s="122"/>
      <c r="BC37741" s="141"/>
    </row>
    <row r="37742">
      <c r="BB37742" s="122"/>
      <c r="BC37742" s="141"/>
    </row>
    <row r="37743">
      <c r="BB37743" s="122"/>
      <c r="BC37743" s="141"/>
    </row>
    <row r="37744">
      <c r="BB37744" s="122"/>
      <c r="BC37744" s="141"/>
    </row>
    <row r="37745">
      <c r="BB37745" s="122"/>
      <c r="BC37745" s="141"/>
    </row>
    <row r="37746">
      <c r="BB37746" s="122"/>
      <c r="BC37746" s="141"/>
    </row>
    <row r="37747">
      <c r="BB37747" s="122"/>
      <c r="BC37747" s="141"/>
    </row>
    <row r="37748">
      <c r="BB37748" s="122"/>
      <c r="BC37748" s="141"/>
    </row>
    <row r="37749">
      <c r="BB37749" s="122"/>
      <c r="BC37749" s="141"/>
    </row>
    <row r="37750">
      <c r="BB37750" s="122"/>
      <c r="BC37750" s="141"/>
    </row>
    <row r="37751">
      <c r="BB37751" s="122"/>
      <c r="BC37751" s="141"/>
    </row>
    <row r="37752">
      <c r="BB37752" s="122"/>
      <c r="BC37752" s="141"/>
    </row>
    <row r="37753">
      <c r="BB37753" s="122"/>
      <c r="BC37753" s="141"/>
    </row>
    <row r="37754">
      <c r="BB37754" s="122"/>
      <c r="BC37754" s="141"/>
    </row>
    <row r="37755">
      <c r="BB37755" s="122"/>
      <c r="BC37755" s="141"/>
    </row>
    <row r="37756">
      <c r="BB37756" s="122"/>
      <c r="BC37756" s="141"/>
    </row>
    <row r="37757">
      <c r="BB37757" s="122"/>
      <c r="BC37757" s="141"/>
    </row>
    <row r="37758">
      <c r="BB37758" s="122"/>
      <c r="BC37758" s="141"/>
    </row>
    <row r="37759">
      <c r="BB37759" s="122"/>
      <c r="BC37759" s="141"/>
    </row>
    <row r="37760">
      <c r="BB37760" s="122"/>
      <c r="BC37760" s="141"/>
    </row>
    <row r="37761">
      <c r="BB37761" s="122"/>
      <c r="BC37761" s="141"/>
    </row>
    <row r="37762">
      <c r="BB37762" s="122"/>
      <c r="BC37762" s="141"/>
    </row>
    <row r="37763">
      <c r="BB37763" s="122"/>
      <c r="BC37763" s="141"/>
    </row>
    <row r="37764">
      <c r="BB37764" s="122"/>
      <c r="BC37764" s="141"/>
    </row>
    <row r="37765">
      <c r="BB37765" s="122"/>
      <c r="BC37765" s="141"/>
    </row>
    <row r="37766">
      <c r="BB37766" s="122"/>
      <c r="BC37766" s="141"/>
    </row>
    <row r="37767">
      <c r="BB37767" s="122"/>
      <c r="BC37767" s="141"/>
    </row>
    <row r="37768">
      <c r="BB37768" s="122"/>
      <c r="BC37768" s="141"/>
    </row>
    <row r="37769">
      <c r="BB37769" s="122"/>
      <c r="BC37769" s="141"/>
    </row>
    <row r="37770">
      <c r="BB37770" s="122"/>
      <c r="BC37770" s="141"/>
    </row>
    <row r="37771">
      <c r="BB37771" s="122"/>
      <c r="BC37771" s="141"/>
    </row>
    <row r="37772">
      <c r="BB37772" s="122"/>
      <c r="BC37772" s="141"/>
    </row>
    <row r="37773">
      <c r="BB37773" s="122"/>
      <c r="BC37773" s="141"/>
    </row>
    <row r="37774">
      <c r="BB37774" s="122"/>
      <c r="BC37774" s="141"/>
    </row>
    <row r="37775">
      <c r="BB37775" s="122"/>
      <c r="BC37775" s="141"/>
    </row>
    <row r="37776">
      <c r="BB37776" s="122"/>
      <c r="BC37776" s="141"/>
    </row>
    <row r="37777">
      <c r="BB37777" s="122"/>
      <c r="BC37777" s="141"/>
    </row>
    <row r="37778">
      <c r="BB37778" s="122"/>
      <c r="BC37778" s="141"/>
    </row>
    <row r="37779">
      <c r="BB37779" s="122"/>
      <c r="BC37779" s="141"/>
    </row>
    <row r="37780">
      <c r="BB37780" s="122"/>
      <c r="BC37780" s="141"/>
    </row>
    <row r="37781">
      <c r="BB37781" s="122"/>
      <c r="BC37781" s="141"/>
    </row>
    <row r="37782">
      <c r="BB37782" s="122"/>
      <c r="BC37782" s="141"/>
    </row>
    <row r="37783">
      <c r="BB37783" s="122"/>
      <c r="BC37783" s="141"/>
    </row>
    <row r="37784">
      <c r="BB37784" s="122"/>
      <c r="BC37784" s="141"/>
    </row>
    <row r="37785">
      <c r="BB37785" s="122"/>
      <c r="BC37785" s="141"/>
    </row>
    <row r="37786">
      <c r="BB37786" s="122"/>
      <c r="BC37786" s="141"/>
    </row>
    <row r="37787">
      <c r="BB37787" s="122"/>
      <c r="BC37787" s="141"/>
    </row>
    <row r="37788">
      <c r="BB37788" s="122"/>
      <c r="BC37788" s="141"/>
    </row>
    <row r="37789">
      <c r="BB37789" s="122"/>
      <c r="BC37789" s="141"/>
    </row>
    <row r="37790">
      <c r="BB37790" s="122"/>
      <c r="BC37790" s="141"/>
    </row>
    <row r="37791">
      <c r="BB37791" s="122"/>
      <c r="BC37791" s="141"/>
    </row>
    <row r="37792">
      <c r="BB37792" s="122"/>
      <c r="BC37792" s="141"/>
    </row>
    <row r="37793">
      <c r="BB37793" s="122"/>
      <c r="BC37793" s="141"/>
    </row>
    <row r="37794">
      <c r="BB37794" s="122"/>
      <c r="BC37794" s="141"/>
    </row>
    <row r="37795">
      <c r="BB37795" s="122"/>
      <c r="BC37795" s="141"/>
    </row>
    <row r="37796">
      <c r="BB37796" s="122"/>
      <c r="BC37796" s="141"/>
    </row>
    <row r="37797">
      <c r="BB37797" s="122"/>
      <c r="BC37797" s="141"/>
    </row>
    <row r="37798">
      <c r="BB37798" s="122"/>
      <c r="BC37798" s="141"/>
    </row>
    <row r="37799">
      <c r="BB37799" s="122"/>
      <c r="BC37799" s="141"/>
    </row>
    <row r="37800">
      <c r="BB37800" s="122"/>
      <c r="BC37800" s="141"/>
    </row>
    <row r="37801">
      <c r="BB37801" s="122"/>
      <c r="BC37801" s="141"/>
    </row>
    <row r="37802">
      <c r="BB37802" s="122"/>
      <c r="BC37802" s="141"/>
    </row>
    <row r="37803">
      <c r="BB37803" s="122"/>
      <c r="BC37803" s="141"/>
    </row>
    <row r="37804">
      <c r="BB37804" s="122"/>
      <c r="BC37804" s="141"/>
    </row>
    <row r="37805">
      <c r="BB37805" s="122"/>
      <c r="BC37805" s="141"/>
    </row>
    <row r="37806">
      <c r="BB37806" s="122"/>
      <c r="BC37806" s="141"/>
    </row>
    <row r="37807">
      <c r="BB37807" s="122"/>
      <c r="BC37807" s="141"/>
    </row>
    <row r="37808">
      <c r="BB37808" s="122"/>
      <c r="BC37808" s="141"/>
    </row>
    <row r="37809">
      <c r="BB37809" s="122"/>
      <c r="BC37809" s="141"/>
    </row>
    <row r="37810">
      <c r="BB37810" s="122"/>
      <c r="BC37810" s="141"/>
    </row>
    <row r="37811">
      <c r="BB37811" s="122"/>
      <c r="BC37811" s="141"/>
    </row>
    <row r="37812">
      <c r="BB37812" s="122"/>
      <c r="BC37812" s="141"/>
    </row>
    <row r="37813">
      <c r="BB37813" s="122"/>
      <c r="BC37813" s="141"/>
    </row>
    <row r="37814">
      <c r="BB37814" s="122"/>
      <c r="BC37814" s="141"/>
    </row>
    <row r="37815">
      <c r="BB37815" s="122"/>
      <c r="BC37815" s="141"/>
    </row>
    <row r="37816">
      <c r="BB37816" s="122"/>
      <c r="BC37816" s="141"/>
    </row>
    <row r="37817">
      <c r="BB37817" s="122"/>
      <c r="BC37817" s="141"/>
    </row>
    <row r="37818">
      <c r="BB37818" s="122"/>
      <c r="BC37818" s="141"/>
    </row>
    <row r="37819">
      <c r="BB37819" s="122"/>
      <c r="BC37819" s="141"/>
    </row>
    <row r="37820">
      <c r="BB37820" s="122"/>
      <c r="BC37820" s="141"/>
    </row>
    <row r="37821">
      <c r="BB37821" s="122"/>
      <c r="BC37821" s="141"/>
    </row>
    <row r="37822">
      <c r="BB37822" s="122"/>
      <c r="BC37822" s="141"/>
    </row>
    <row r="37823">
      <c r="BB37823" s="122"/>
      <c r="BC37823" s="141"/>
    </row>
    <row r="37824">
      <c r="BB37824" s="122"/>
      <c r="BC37824" s="141"/>
    </row>
    <row r="37825">
      <c r="BB37825" s="122"/>
      <c r="BC37825" s="141"/>
    </row>
    <row r="37826">
      <c r="BB37826" s="122"/>
      <c r="BC37826" s="141"/>
    </row>
    <row r="37827">
      <c r="BB37827" s="122"/>
      <c r="BC37827" s="141"/>
    </row>
    <row r="37828">
      <c r="BB37828" s="122"/>
      <c r="BC37828" s="141"/>
    </row>
    <row r="37829">
      <c r="BB37829" s="122"/>
      <c r="BC37829" s="141"/>
    </row>
    <row r="37830">
      <c r="BB37830" s="122"/>
      <c r="BC37830" s="141"/>
    </row>
    <row r="37831">
      <c r="BB37831" s="122"/>
      <c r="BC37831" s="141"/>
    </row>
    <row r="37832">
      <c r="BB37832" s="122"/>
      <c r="BC37832" s="141"/>
    </row>
    <row r="37833">
      <c r="BB37833" s="122"/>
      <c r="BC37833" s="141"/>
    </row>
    <row r="37834">
      <c r="BB37834" s="122"/>
      <c r="BC37834" s="141"/>
    </row>
    <row r="37835">
      <c r="BB37835" s="122"/>
      <c r="BC37835" s="141"/>
    </row>
    <row r="37836">
      <c r="BB37836" s="122"/>
      <c r="BC37836" s="141"/>
    </row>
    <row r="37837">
      <c r="BB37837" s="122"/>
      <c r="BC37837" s="141"/>
    </row>
    <row r="37838">
      <c r="BB37838" s="122"/>
      <c r="BC37838" s="141"/>
    </row>
    <row r="37839">
      <c r="BB37839" s="122"/>
      <c r="BC37839" s="141"/>
    </row>
    <row r="37840">
      <c r="BB37840" s="122"/>
      <c r="BC37840" s="141"/>
    </row>
    <row r="37841">
      <c r="BB37841" s="122"/>
      <c r="BC37841" s="141"/>
    </row>
    <row r="37842">
      <c r="BB37842" s="122"/>
      <c r="BC37842" s="141"/>
    </row>
    <row r="37843">
      <c r="BB37843" s="122"/>
      <c r="BC37843" s="141"/>
    </row>
    <row r="37844">
      <c r="BB37844" s="122"/>
      <c r="BC37844" s="141"/>
    </row>
    <row r="37845">
      <c r="BB37845" s="122"/>
      <c r="BC37845" s="141"/>
    </row>
    <row r="37846">
      <c r="BB37846" s="122"/>
      <c r="BC37846" s="141"/>
    </row>
    <row r="37847">
      <c r="BB37847" s="122"/>
      <c r="BC37847" s="141"/>
    </row>
    <row r="37848">
      <c r="BB37848" s="122"/>
      <c r="BC37848" s="141"/>
    </row>
    <row r="37849">
      <c r="BB37849" s="122"/>
      <c r="BC37849" s="141"/>
    </row>
    <row r="37850">
      <c r="BB37850" s="122"/>
      <c r="BC37850" s="141"/>
    </row>
    <row r="37851">
      <c r="BB37851" s="122"/>
      <c r="BC37851" s="141"/>
    </row>
    <row r="37852">
      <c r="BB37852" s="122"/>
      <c r="BC37852" s="141"/>
    </row>
    <row r="37853">
      <c r="BB37853" s="122"/>
      <c r="BC37853" s="141"/>
    </row>
    <row r="37854">
      <c r="BB37854" s="122"/>
      <c r="BC37854" s="141"/>
    </row>
    <row r="37855">
      <c r="BB37855" s="122"/>
      <c r="BC37855" s="141"/>
    </row>
    <row r="37856">
      <c r="BB37856" s="122"/>
      <c r="BC37856" s="141"/>
    </row>
    <row r="37857">
      <c r="BB37857" s="122"/>
      <c r="BC37857" s="141"/>
    </row>
    <row r="37858">
      <c r="BB37858" s="122"/>
      <c r="BC37858" s="141"/>
    </row>
    <row r="37859">
      <c r="BB37859" s="122"/>
      <c r="BC37859" s="141"/>
    </row>
    <row r="37860">
      <c r="BB37860" s="122"/>
      <c r="BC37860" s="141"/>
    </row>
    <row r="37861">
      <c r="BB37861" s="122"/>
      <c r="BC37861" s="141"/>
    </row>
    <row r="37862">
      <c r="BB37862" s="122"/>
      <c r="BC37862" s="141"/>
    </row>
    <row r="37863">
      <c r="BB37863" s="122"/>
      <c r="BC37863" s="141"/>
    </row>
    <row r="37864">
      <c r="BB37864" s="122"/>
      <c r="BC37864" s="141"/>
    </row>
    <row r="37865">
      <c r="BB37865" s="122"/>
      <c r="BC37865" s="141"/>
    </row>
    <row r="37866">
      <c r="BB37866" s="122"/>
      <c r="BC37866" s="141"/>
    </row>
    <row r="37867">
      <c r="BB37867" s="122"/>
      <c r="BC37867" s="141"/>
    </row>
    <row r="37868">
      <c r="BB37868" s="122"/>
      <c r="BC37868" s="141"/>
    </row>
    <row r="37869">
      <c r="BB37869" s="122"/>
      <c r="BC37869" s="141"/>
    </row>
    <row r="37870">
      <c r="BB37870" s="122"/>
      <c r="BC37870" s="141"/>
    </row>
    <row r="37871">
      <c r="BB37871" s="122"/>
      <c r="BC37871" s="141"/>
    </row>
    <row r="37872">
      <c r="BB37872" s="122"/>
      <c r="BC37872" s="141"/>
    </row>
    <row r="37873">
      <c r="BB37873" s="122"/>
      <c r="BC37873" s="141"/>
    </row>
    <row r="37874">
      <c r="BB37874" s="122"/>
      <c r="BC37874" s="141"/>
    </row>
    <row r="37875">
      <c r="BB37875" s="122"/>
      <c r="BC37875" s="141"/>
    </row>
    <row r="37876">
      <c r="BB37876" s="122"/>
      <c r="BC37876" s="141"/>
    </row>
    <row r="37877">
      <c r="BB37877" s="122"/>
      <c r="BC37877" s="141"/>
    </row>
    <row r="37878">
      <c r="BB37878" s="122"/>
      <c r="BC37878" s="141"/>
    </row>
    <row r="37879">
      <c r="BB37879" s="122"/>
      <c r="BC37879" s="141"/>
    </row>
    <row r="37880">
      <c r="BB37880" s="122"/>
      <c r="BC37880" s="141"/>
    </row>
    <row r="37881">
      <c r="BB37881" s="122"/>
      <c r="BC37881" s="141"/>
    </row>
    <row r="37882">
      <c r="BB37882" s="122"/>
      <c r="BC37882" s="141"/>
    </row>
    <row r="37883">
      <c r="BB37883" s="122"/>
      <c r="BC37883" s="141"/>
    </row>
    <row r="37884">
      <c r="BB37884" s="122"/>
      <c r="BC37884" s="141"/>
    </row>
    <row r="37885">
      <c r="BB37885" s="122"/>
      <c r="BC37885" s="141"/>
    </row>
    <row r="37886">
      <c r="BB37886" s="122"/>
      <c r="BC37886" s="141"/>
    </row>
    <row r="37887">
      <c r="BB37887" s="122"/>
      <c r="BC37887" s="141"/>
    </row>
    <row r="37888">
      <c r="BB37888" s="122"/>
      <c r="BC37888" s="141"/>
    </row>
    <row r="37889">
      <c r="BB37889" s="122"/>
      <c r="BC37889" s="141"/>
    </row>
    <row r="37890">
      <c r="BB37890" s="122"/>
      <c r="BC37890" s="141"/>
    </row>
    <row r="37891">
      <c r="BB37891" s="122"/>
      <c r="BC37891" s="141"/>
    </row>
    <row r="37892">
      <c r="BB37892" s="122"/>
      <c r="BC37892" s="141"/>
    </row>
    <row r="37893">
      <c r="BB37893" s="122"/>
      <c r="BC37893" s="141"/>
    </row>
    <row r="37894">
      <c r="BB37894" s="122"/>
      <c r="BC37894" s="141"/>
    </row>
    <row r="37895">
      <c r="BB37895" s="122"/>
      <c r="BC37895" s="141"/>
    </row>
    <row r="37896">
      <c r="BB37896" s="122"/>
      <c r="BC37896" s="141"/>
    </row>
    <row r="37897">
      <c r="BB37897" s="122"/>
      <c r="BC37897" s="141"/>
    </row>
    <row r="37898">
      <c r="BB37898" s="122"/>
      <c r="BC37898" s="141"/>
    </row>
    <row r="37899">
      <c r="BB37899" s="122"/>
      <c r="BC37899" s="141"/>
    </row>
    <row r="37900">
      <c r="BB37900" s="122"/>
      <c r="BC37900" s="141"/>
    </row>
    <row r="37901">
      <c r="BB37901" s="122"/>
      <c r="BC37901" s="141"/>
    </row>
    <row r="37902">
      <c r="BB37902" s="122"/>
      <c r="BC37902" s="141"/>
    </row>
    <row r="37903">
      <c r="BB37903" s="122"/>
      <c r="BC37903" s="141"/>
    </row>
    <row r="37904">
      <c r="BB37904" s="122"/>
      <c r="BC37904" s="141"/>
    </row>
    <row r="37905">
      <c r="BB37905" s="122"/>
      <c r="BC37905" s="141"/>
    </row>
    <row r="37906">
      <c r="BB37906" s="122"/>
      <c r="BC37906" s="141"/>
    </row>
    <row r="37907">
      <c r="BB37907" s="122"/>
      <c r="BC37907" s="141"/>
    </row>
    <row r="37908">
      <c r="BB37908" s="122"/>
      <c r="BC37908" s="141"/>
    </row>
    <row r="37909">
      <c r="BB37909" s="122"/>
      <c r="BC37909" s="141"/>
    </row>
    <row r="37910">
      <c r="BB37910" s="122"/>
      <c r="BC37910" s="141"/>
    </row>
    <row r="37911">
      <c r="BB37911" s="122"/>
      <c r="BC37911" s="141"/>
    </row>
    <row r="37912">
      <c r="BB37912" s="122"/>
      <c r="BC37912" s="141"/>
    </row>
    <row r="37913">
      <c r="BB37913" s="122"/>
      <c r="BC37913" s="141"/>
    </row>
    <row r="37914">
      <c r="BB37914" s="122"/>
      <c r="BC37914" s="141"/>
    </row>
    <row r="37915">
      <c r="BB37915" s="122"/>
      <c r="BC37915" s="141"/>
    </row>
    <row r="37916">
      <c r="BB37916" s="122"/>
      <c r="BC37916" s="141"/>
    </row>
    <row r="37917">
      <c r="BB37917" s="122"/>
      <c r="BC37917" s="141"/>
    </row>
    <row r="37918">
      <c r="BB37918" s="122"/>
      <c r="BC37918" s="141"/>
    </row>
    <row r="37919">
      <c r="BB37919" s="122"/>
      <c r="BC37919" s="141"/>
    </row>
    <row r="37920">
      <c r="BB37920" s="122"/>
      <c r="BC37920" s="141"/>
    </row>
    <row r="37921">
      <c r="BB37921" s="122"/>
      <c r="BC37921" s="141"/>
    </row>
    <row r="37922">
      <c r="BB37922" s="122"/>
      <c r="BC37922" s="141"/>
    </row>
    <row r="37923">
      <c r="BB37923" s="122"/>
      <c r="BC37923" s="141"/>
    </row>
    <row r="37924">
      <c r="BB37924" s="122"/>
      <c r="BC37924" s="141"/>
    </row>
    <row r="37925">
      <c r="BB37925" s="122"/>
      <c r="BC37925" s="141"/>
    </row>
    <row r="37926">
      <c r="BB37926" s="122"/>
      <c r="BC37926" s="141"/>
    </row>
    <row r="37927">
      <c r="BB37927" s="122"/>
      <c r="BC37927" s="141"/>
    </row>
    <row r="37928">
      <c r="BB37928" s="122"/>
      <c r="BC37928" s="141"/>
    </row>
    <row r="37929">
      <c r="BB37929" s="122"/>
      <c r="BC37929" s="141"/>
    </row>
    <row r="37930">
      <c r="BB37930" s="122"/>
      <c r="BC37930" s="141"/>
    </row>
    <row r="37931">
      <c r="BB37931" s="122"/>
      <c r="BC37931" s="141"/>
    </row>
    <row r="37932">
      <c r="BB37932" s="122"/>
      <c r="BC37932" s="141"/>
    </row>
    <row r="37933">
      <c r="BB37933" s="122"/>
      <c r="BC37933" s="141"/>
    </row>
    <row r="37934">
      <c r="BB37934" s="122"/>
      <c r="BC37934" s="141"/>
    </row>
    <row r="37935">
      <c r="BB37935" s="122"/>
      <c r="BC37935" s="141"/>
    </row>
    <row r="37936">
      <c r="BB37936" s="122"/>
      <c r="BC37936" s="141"/>
    </row>
    <row r="37937">
      <c r="BB37937" s="122"/>
      <c r="BC37937" s="141"/>
    </row>
    <row r="37938">
      <c r="BB37938" s="122"/>
      <c r="BC37938" s="141"/>
    </row>
    <row r="37939">
      <c r="BB37939" s="122"/>
      <c r="BC37939" s="141"/>
    </row>
    <row r="37940">
      <c r="BB37940" s="122"/>
      <c r="BC37940" s="141"/>
    </row>
    <row r="37941">
      <c r="BB37941" s="122"/>
      <c r="BC37941" s="141"/>
    </row>
    <row r="37942">
      <c r="BB37942" s="122"/>
      <c r="BC37942" s="141"/>
    </row>
    <row r="37943">
      <c r="BB37943" s="122"/>
      <c r="BC37943" s="141"/>
    </row>
    <row r="37944">
      <c r="BB37944" s="122"/>
      <c r="BC37944" s="141"/>
    </row>
    <row r="37945">
      <c r="BB37945" s="122"/>
      <c r="BC37945" s="141"/>
    </row>
    <row r="37946">
      <c r="BB37946" s="122"/>
      <c r="BC37946" s="141"/>
    </row>
    <row r="37947">
      <c r="BB37947" s="122"/>
      <c r="BC37947" s="141"/>
    </row>
    <row r="37948">
      <c r="BB37948" s="122"/>
      <c r="BC37948" s="141"/>
    </row>
    <row r="37949">
      <c r="BB37949" s="122"/>
      <c r="BC37949" s="141"/>
    </row>
    <row r="37950">
      <c r="BB37950" s="122"/>
      <c r="BC37950" s="141"/>
    </row>
    <row r="37951">
      <c r="BB37951" s="122"/>
      <c r="BC37951" s="141"/>
    </row>
    <row r="37952">
      <c r="BB37952" s="122"/>
      <c r="BC37952" s="141"/>
    </row>
    <row r="37953">
      <c r="BB37953" s="122"/>
      <c r="BC37953" s="141"/>
    </row>
    <row r="37954">
      <c r="BB37954" s="122"/>
      <c r="BC37954" s="141"/>
    </row>
    <row r="37955">
      <c r="BB37955" s="122"/>
      <c r="BC37955" s="141"/>
    </row>
    <row r="37956">
      <c r="BB37956" s="122"/>
      <c r="BC37956" s="141"/>
    </row>
    <row r="37957">
      <c r="BB37957" s="122"/>
      <c r="BC37957" s="141"/>
    </row>
    <row r="37958">
      <c r="BB37958" s="122"/>
      <c r="BC37958" s="141"/>
    </row>
    <row r="37959">
      <c r="BB37959" s="122"/>
      <c r="BC37959" s="141"/>
    </row>
    <row r="37960">
      <c r="BB37960" s="122"/>
      <c r="BC37960" s="141"/>
    </row>
    <row r="37961">
      <c r="BB37961" s="122"/>
      <c r="BC37961" s="141"/>
    </row>
    <row r="37962">
      <c r="BB37962" s="122"/>
      <c r="BC37962" s="141"/>
    </row>
    <row r="37963">
      <c r="BB37963" s="122"/>
      <c r="BC37963" s="141"/>
    </row>
    <row r="37964">
      <c r="BB37964" s="122"/>
      <c r="BC37964" s="141"/>
    </row>
    <row r="37965">
      <c r="BB37965" s="122"/>
      <c r="BC37965" s="141"/>
    </row>
    <row r="37966">
      <c r="BB37966" s="122"/>
      <c r="BC37966" s="141"/>
    </row>
    <row r="37967">
      <c r="BB37967" s="122"/>
      <c r="BC37967" s="141"/>
    </row>
    <row r="37968">
      <c r="BB37968" s="122"/>
      <c r="BC37968" s="141"/>
    </row>
    <row r="37969">
      <c r="BB37969" s="122"/>
      <c r="BC37969" s="141"/>
    </row>
    <row r="37970">
      <c r="BB37970" s="122"/>
      <c r="BC37970" s="141"/>
    </row>
    <row r="37971">
      <c r="BB37971" s="122"/>
      <c r="BC37971" s="141"/>
    </row>
    <row r="37972">
      <c r="BB37972" s="122"/>
      <c r="BC37972" s="141"/>
    </row>
    <row r="37973">
      <c r="BB37973" s="122"/>
      <c r="BC37973" s="141"/>
    </row>
    <row r="37974">
      <c r="BB37974" s="122"/>
      <c r="BC37974" s="141"/>
    </row>
    <row r="37975">
      <c r="BB37975" s="122"/>
      <c r="BC37975" s="141"/>
    </row>
    <row r="37976">
      <c r="BB37976" s="122"/>
      <c r="BC37976" s="141"/>
    </row>
    <row r="37977">
      <c r="BB37977" s="122"/>
      <c r="BC37977" s="141"/>
    </row>
    <row r="37978">
      <c r="BB37978" s="122"/>
      <c r="BC37978" s="141"/>
    </row>
    <row r="37979">
      <c r="BB37979" s="122"/>
      <c r="BC37979" s="141"/>
    </row>
    <row r="37980">
      <c r="BB37980" s="122"/>
      <c r="BC37980" s="141"/>
    </row>
    <row r="37981">
      <c r="BB37981" s="122"/>
      <c r="BC37981" s="141"/>
    </row>
    <row r="37982">
      <c r="BB37982" s="122"/>
      <c r="BC37982" s="141"/>
    </row>
    <row r="37983">
      <c r="BB37983" s="122"/>
      <c r="BC37983" s="141"/>
    </row>
    <row r="37984">
      <c r="BB37984" s="122"/>
      <c r="BC37984" s="141"/>
    </row>
    <row r="37985">
      <c r="BB37985" s="122"/>
      <c r="BC37985" s="141"/>
    </row>
    <row r="37986">
      <c r="BB37986" s="122"/>
      <c r="BC37986" s="141"/>
    </row>
    <row r="37987">
      <c r="BB37987" s="122"/>
      <c r="BC37987" s="141"/>
    </row>
    <row r="37988">
      <c r="BB37988" s="122"/>
      <c r="BC37988" s="141"/>
    </row>
    <row r="37989">
      <c r="BB37989" s="122"/>
      <c r="BC37989" s="141"/>
    </row>
    <row r="37990">
      <c r="BB37990" s="122"/>
      <c r="BC37990" s="141"/>
    </row>
    <row r="37991">
      <c r="BB37991" s="122"/>
      <c r="BC37991" s="141"/>
    </row>
    <row r="37992">
      <c r="BB37992" s="122"/>
      <c r="BC37992" s="141"/>
    </row>
    <row r="37993">
      <c r="BB37993" s="122"/>
      <c r="BC37993" s="141"/>
    </row>
    <row r="37994">
      <c r="BB37994" s="122"/>
      <c r="BC37994" s="141"/>
    </row>
    <row r="37995">
      <c r="BB37995" s="122"/>
      <c r="BC37995" s="141"/>
    </row>
    <row r="37996">
      <c r="BB37996" s="122"/>
      <c r="BC37996" s="141"/>
    </row>
    <row r="37997">
      <c r="BB37997" s="122"/>
      <c r="BC37997" s="141"/>
    </row>
    <row r="37998">
      <c r="BB37998" s="122"/>
      <c r="BC37998" s="141"/>
    </row>
    <row r="37999">
      <c r="BB37999" s="122"/>
      <c r="BC37999" s="141"/>
    </row>
    <row r="38000">
      <c r="BB38000" s="122"/>
      <c r="BC38000" s="141"/>
    </row>
    <row r="38001">
      <c r="BB38001" s="122"/>
      <c r="BC38001" s="141"/>
    </row>
    <row r="38002">
      <c r="BB38002" s="122"/>
      <c r="BC38002" s="141"/>
    </row>
    <row r="38003">
      <c r="BB38003" s="122"/>
      <c r="BC38003" s="141"/>
    </row>
    <row r="38004">
      <c r="BB38004" s="122"/>
      <c r="BC38004" s="141"/>
    </row>
    <row r="38005">
      <c r="BB38005" s="122"/>
      <c r="BC38005" s="141"/>
    </row>
    <row r="38006">
      <c r="BB38006" s="122"/>
      <c r="BC38006" s="141"/>
    </row>
    <row r="38007">
      <c r="BB38007" s="122"/>
      <c r="BC38007" s="141"/>
    </row>
    <row r="38008">
      <c r="BB38008" s="122"/>
      <c r="BC38008" s="141"/>
    </row>
    <row r="38009">
      <c r="BB38009" s="122"/>
      <c r="BC38009" s="141"/>
    </row>
    <row r="38010">
      <c r="BB38010" s="122"/>
      <c r="BC38010" s="141"/>
    </row>
    <row r="38011">
      <c r="BB38011" s="122"/>
      <c r="BC38011" s="141"/>
    </row>
    <row r="38012">
      <c r="BB38012" s="122"/>
      <c r="BC38012" s="141"/>
    </row>
    <row r="38013">
      <c r="BB38013" s="122"/>
      <c r="BC38013" s="141"/>
    </row>
    <row r="38014">
      <c r="BB38014" s="122"/>
      <c r="BC38014" s="141"/>
    </row>
    <row r="38015">
      <c r="BB38015" s="122"/>
      <c r="BC38015" s="141"/>
    </row>
    <row r="38016">
      <c r="BB38016" s="122"/>
      <c r="BC38016" s="141"/>
    </row>
    <row r="38017">
      <c r="BB38017" s="122"/>
      <c r="BC38017" s="141"/>
    </row>
    <row r="38018">
      <c r="BB38018" s="122"/>
      <c r="BC38018" s="141"/>
    </row>
    <row r="38019">
      <c r="BB38019" s="122"/>
      <c r="BC38019" s="141"/>
    </row>
    <row r="38020">
      <c r="BB38020" s="122"/>
      <c r="BC38020" s="141"/>
    </row>
    <row r="38021">
      <c r="BB38021" s="122"/>
      <c r="BC38021" s="141"/>
    </row>
    <row r="38022">
      <c r="BB38022" s="122"/>
      <c r="BC38022" s="141"/>
    </row>
    <row r="38023">
      <c r="BB38023" s="122"/>
      <c r="BC38023" s="141"/>
    </row>
    <row r="38024">
      <c r="BB38024" s="122"/>
      <c r="BC38024" s="141"/>
    </row>
    <row r="38025">
      <c r="BB38025" s="122"/>
      <c r="BC38025" s="141"/>
    </row>
    <row r="38026">
      <c r="BB38026" s="122"/>
      <c r="BC38026" s="141"/>
    </row>
    <row r="38027">
      <c r="BB38027" s="122"/>
      <c r="BC38027" s="141"/>
    </row>
    <row r="38028">
      <c r="BB38028" s="122"/>
      <c r="BC38028" s="141"/>
    </row>
    <row r="38029">
      <c r="BB38029" s="122"/>
      <c r="BC38029" s="141"/>
    </row>
    <row r="38030">
      <c r="BB38030" s="122"/>
      <c r="BC38030" s="141"/>
    </row>
    <row r="38031">
      <c r="BB38031" s="122"/>
      <c r="BC38031" s="141"/>
    </row>
    <row r="38032">
      <c r="BB38032" s="122"/>
      <c r="BC38032" s="141"/>
    </row>
    <row r="38033">
      <c r="BB38033" s="122"/>
      <c r="BC38033" s="141"/>
    </row>
    <row r="38034">
      <c r="BB38034" s="122"/>
      <c r="BC38034" s="141"/>
    </row>
    <row r="38035">
      <c r="BB38035" s="122"/>
      <c r="BC38035" s="141"/>
    </row>
    <row r="38036">
      <c r="BB38036" s="122"/>
      <c r="BC38036" s="141"/>
    </row>
    <row r="38037">
      <c r="BB38037" s="122"/>
      <c r="BC38037" s="141"/>
    </row>
    <row r="38038">
      <c r="BB38038" s="122"/>
      <c r="BC38038" s="141"/>
    </row>
    <row r="38039">
      <c r="BB38039" s="122"/>
      <c r="BC38039" s="141"/>
    </row>
    <row r="38040">
      <c r="BB38040" s="122"/>
      <c r="BC38040" s="141"/>
    </row>
    <row r="38041">
      <c r="BB38041" s="122"/>
      <c r="BC38041" s="141"/>
    </row>
    <row r="38042">
      <c r="BB38042" s="122"/>
      <c r="BC38042" s="141"/>
    </row>
    <row r="38043">
      <c r="BB38043" s="122"/>
      <c r="BC38043" s="141"/>
    </row>
    <row r="38044">
      <c r="BB38044" s="122"/>
      <c r="BC38044" s="141"/>
    </row>
    <row r="38045">
      <c r="BB38045" s="122"/>
      <c r="BC38045" s="141"/>
    </row>
    <row r="38046">
      <c r="BB38046" s="122"/>
      <c r="BC38046" s="141"/>
    </row>
    <row r="38047">
      <c r="BB38047" s="122"/>
      <c r="BC38047" s="141"/>
    </row>
    <row r="38048">
      <c r="BB38048" s="122"/>
      <c r="BC38048" s="141"/>
    </row>
    <row r="38049">
      <c r="BB38049" s="122"/>
      <c r="BC38049" s="141"/>
    </row>
    <row r="38050">
      <c r="BB38050" s="122"/>
      <c r="BC38050" s="141"/>
    </row>
    <row r="38051">
      <c r="BB38051" s="122"/>
      <c r="BC38051" s="141"/>
    </row>
    <row r="38052">
      <c r="BB38052" s="122"/>
      <c r="BC38052" s="141"/>
    </row>
    <row r="38053">
      <c r="BB38053" s="122"/>
      <c r="BC38053" s="141"/>
    </row>
    <row r="38054">
      <c r="BB38054" s="122"/>
      <c r="BC38054" s="141"/>
    </row>
    <row r="38055">
      <c r="BB38055" s="122"/>
      <c r="BC38055" s="141"/>
    </row>
    <row r="38056">
      <c r="BB38056" s="122"/>
      <c r="BC38056" s="141"/>
    </row>
    <row r="38057">
      <c r="BB38057" s="122"/>
      <c r="BC38057" s="141"/>
    </row>
    <row r="38058">
      <c r="BB38058" s="122"/>
      <c r="BC38058" s="141"/>
    </row>
    <row r="38059">
      <c r="BB38059" s="122"/>
      <c r="BC38059" s="141"/>
    </row>
    <row r="38060">
      <c r="BB38060" s="122"/>
      <c r="BC38060" s="141"/>
    </row>
    <row r="38061">
      <c r="BB38061" s="122"/>
      <c r="BC38061" s="141"/>
    </row>
    <row r="38062">
      <c r="BB38062" s="122"/>
      <c r="BC38062" s="141"/>
    </row>
    <row r="38063">
      <c r="BB38063" s="122"/>
      <c r="BC38063" s="141"/>
    </row>
    <row r="38064">
      <c r="BB38064" s="122"/>
      <c r="BC38064" s="141"/>
    </row>
    <row r="38065">
      <c r="BB38065" s="122"/>
      <c r="BC38065" s="141"/>
    </row>
    <row r="38066">
      <c r="BB38066" s="122"/>
      <c r="BC38066" s="141"/>
    </row>
    <row r="38067">
      <c r="BB38067" s="122"/>
      <c r="BC38067" s="141"/>
    </row>
    <row r="38068">
      <c r="BB38068" s="122"/>
      <c r="BC38068" s="141"/>
    </row>
    <row r="38069">
      <c r="BB38069" s="122"/>
      <c r="BC38069" s="141"/>
    </row>
    <row r="38070">
      <c r="BB38070" s="122"/>
      <c r="BC38070" s="141"/>
    </row>
    <row r="38071">
      <c r="BB38071" s="122"/>
      <c r="BC38071" s="141"/>
    </row>
    <row r="38072">
      <c r="BB38072" s="122"/>
      <c r="BC38072" s="141"/>
    </row>
    <row r="38073">
      <c r="BB38073" s="122"/>
      <c r="BC38073" s="141"/>
    </row>
    <row r="38074">
      <c r="BB38074" s="122"/>
      <c r="BC38074" s="141"/>
    </row>
    <row r="38075">
      <c r="BB38075" s="122"/>
      <c r="BC38075" s="141"/>
    </row>
    <row r="38076">
      <c r="BB38076" s="122"/>
      <c r="BC38076" s="141"/>
    </row>
    <row r="38077">
      <c r="BB38077" s="122"/>
      <c r="BC38077" s="141"/>
    </row>
    <row r="38078">
      <c r="BB38078" s="122"/>
      <c r="BC38078" s="141"/>
    </row>
    <row r="38079">
      <c r="BB38079" s="122"/>
      <c r="BC38079" s="141"/>
    </row>
    <row r="38080">
      <c r="BB38080" s="122"/>
      <c r="BC38080" s="141"/>
    </row>
    <row r="38081">
      <c r="BB38081" s="122"/>
      <c r="BC38081" s="141"/>
    </row>
    <row r="38082">
      <c r="BB38082" s="122"/>
      <c r="BC38082" s="141"/>
    </row>
    <row r="38083">
      <c r="BB38083" s="122"/>
      <c r="BC38083" s="141"/>
    </row>
    <row r="38084">
      <c r="BB38084" s="122"/>
      <c r="BC38084" s="141"/>
    </row>
    <row r="38085">
      <c r="BB38085" s="122"/>
      <c r="BC38085" s="141"/>
    </row>
    <row r="38086">
      <c r="BB38086" s="122"/>
      <c r="BC38086" s="141"/>
    </row>
    <row r="38087">
      <c r="BB38087" s="122"/>
      <c r="BC38087" s="141"/>
    </row>
    <row r="38088">
      <c r="BB38088" s="122"/>
      <c r="BC38088" s="141"/>
    </row>
    <row r="38089">
      <c r="BB38089" s="122"/>
      <c r="BC38089" s="141"/>
    </row>
    <row r="38090">
      <c r="BB38090" s="122"/>
      <c r="BC38090" s="141"/>
    </row>
    <row r="38091">
      <c r="BB38091" s="122"/>
      <c r="BC38091" s="141"/>
    </row>
    <row r="38092">
      <c r="BB38092" s="122"/>
      <c r="BC38092" s="141"/>
    </row>
    <row r="38093">
      <c r="BB38093" s="122"/>
      <c r="BC38093" s="141"/>
    </row>
    <row r="38094">
      <c r="BB38094" s="122"/>
      <c r="BC38094" s="141"/>
    </row>
    <row r="38095">
      <c r="BB38095" s="122"/>
      <c r="BC38095" s="141"/>
    </row>
    <row r="38096">
      <c r="BB38096" s="122"/>
      <c r="BC38096" s="141"/>
    </row>
    <row r="38097">
      <c r="BB38097" s="122"/>
      <c r="BC38097" s="141"/>
    </row>
    <row r="38098">
      <c r="BB38098" s="122"/>
      <c r="BC38098" s="141"/>
    </row>
    <row r="38099">
      <c r="BB38099" s="122"/>
      <c r="BC38099" s="141"/>
    </row>
    <row r="38100">
      <c r="BB38100" s="122"/>
      <c r="BC38100" s="141"/>
    </row>
    <row r="38101">
      <c r="BB38101" s="122"/>
      <c r="BC38101" s="141"/>
    </row>
    <row r="38102">
      <c r="BB38102" s="122"/>
      <c r="BC38102" s="141"/>
    </row>
    <row r="38103">
      <c r="BB38103" s="122"/>
      <c r="BC38103" s="141"/>
    </row>
    <row r="38104">
      <c r="BB38104" s="122"/>
      <c r="BC38104" s="141"/>
    </row>
    <row r="38105">
      <c r="BB38105" s="122"/>
      <c r="BC38105" s="141"/>
    </row>
    <row r="38106">
      <c r="BB38106" s="122"/>
      <c r="BC38106" s="141"/>
    </row>
    <row r="38107">
      <c r="BB38107" s="122"/>
      <c r="BC38107" s="141"/>
    </row>
    <row r="38108">
      <c r="BB38108" s="122"/>
      <c r="BC38108" s="141"/>
    </row>
    <row r="38109">
      <c r="BB38109" s="122"/>
      <c r="BC38109" s="141"/>
    </row>
    <row r="38110">
      <c r="BB38110" s="122"/>
      <c r="BC38110" s="141"/>
    </row>
    <row r="38111">
      <c r="BB38111" s="122"/>
      <c r="BC38111" s="141"/>
    </row>
    <row r="38112">
      <c r="BB38112" s="122"/>
      <c r="BC38112" s="141"/>
    </row>
    <row r="38113">
      <c r="BB38113" s="122"/>
      <c r="BC38113" s="141"/>
    </row>
    <row r="38114">
      <c r="BB38114" s="122"/>
      <c r="BC38114" s="141"/>
    </row>
    <row r="38115">
      <c r="BB38115" s="122"/>
      <c r="BC38115" s="141"/>
    </row>
    <row r="38116">
      <c r="BB38116" s="122"/>
      <c r="BC38116" s="141"/>
    </row>
    <row r="38117">
      <c r="BB38117" s="122"/>
      <c r="BC38117" s="141"/>
    </row>
    <row r="38118">
      <c r="BB38118" s="122"/>
      <c r="BC38118" s="141"/>
    </row>
    <row r="38119">
      <c r="BB38119" s="122"/>
      <c r="BC38119" s="141"/>
    </row>
    <row r="38120">
      <c r="BB38120" s="122"/>
      <c r="BC38120" s="141"/>
    </row>
    <row r="38121">
      <c r="BB38121" s="122"/>
      <c r="BC38121" s="141"/>
    </row>
    <row r="38122">
      <c r="BB38122" s="122"/>
      <c r="BC38122" s="141"/>
    </row>
    <row r="38123">
      <c r="BB38123" s="122"/>
      <c r="BC38123" s="141"/>
    </row>
    <row r="38124">
      <c r="BB38124" s="122"/>
      <c r="BC38124" s="141"/>
    </row>
    <row r="38125">
      <c r="BB38125" s="122"/>
      <c r="BC38125" s="141"/>
    </row>
    <row r="38126">
      <c r="BB38126" s="122"/>
      <c r="BC38126" s="141"/>
    </row>
    <row r="38127">
      <c r="BB38127" s="122"/>
      <c r="BC38127" s="141"/>
    </row>
    <row r="38128">
      <c r="BB38128" s="122"/>
      <c r="BC38128" s="141"/>
    </row>
    <row r="38129">
      <c r="BB38129" s="122"/>
      <c r="BC38129" s="141"/>
    </row>
    <row r="38130">
      <c r="BB38130" s="122"/>
      <c r="BC38130" s="141"/>
    </row>
    <row r="38131">
      <c r="BB38131" s="122"/>
      <c r="BC38131" s="141"/>
    </row>
    <row r="38132">
      <c r="BB38132" s="122"/>
      <c r="BC38132" s="141"/>
    </row>
    <row r="38133">
      <c r="BB38133" s="122"/>
      <c r="BC38133" s="141"/>
    </row>
    <row r="38134">
      <c r="BB38134" s="122"/>
      <c r="BC38134" s="141"/>
    </row>
    <row r="38135">
      <c r="BB38135" s="122"/>
      <c r="BC38135" s="141"/>
    </row>
    <row r="38136">
      <c r="BB38136" s="122"/>
      <c r="BC38136" s="141"/>
    </row>
    <row r="38137">
      <c r="BB38137" s="122"/>
      <c r="BC38137" s="141"/>
    </row>
    <row r="38138">
      <c r="BB38138" s="122"/>
      <c r="BC38138" s="141"/>
    </row>
    <row r="38139">
      <c r="BB38139" s="122"/>
      <c r="BC38139" s="141"/>
    </row>
    <row r="38140">
      <c r="BB38140" s="122"/>
      <c r="BC38140" s="141"/>
    </row>
    <row r="38141">
      <c r="BB38141" s="122"/>
      <c r="BC38141" s="141"/>
    </row>
    <row r="38142">
      <c r="BB38142" s="122"/>
      <c r="BC38142" s="141"/>
    </row>
    <row r="38143">
      <c r="BB38143" s="122"/>
      <c r="BC38143" s="141"/>
    </row>
    <row r="38144">
      <c r="BB38144" s="122"/>
      <c r="BC38144" s="141"/>
    </row>
    <row r="38145">
      <c r="BB38145" s="122"/>
      <c r="BC38145" s="141"/>
    </row>
    <row r="38146">
      <c r="BB38146" s="122"/>
      <c r="BC38146" s="141"/>
    </row>
    <row r="38147">
      <c r="BB38147" s="122"/>
      <c r="BC38147" s="141"/>
    </row>
    <row r="38148">
      <c r="BB38148" s="122"/>
      <c r="BC38148" s="141"/>
    </row>
    <row r="38149">
      <c r="BB38149" s="122"/>
      <c r="BC38149" s="141"/>
    </row>
    <row r="38150">
      <c r="BB38150" s="122"/>
      <c r="BC38150" s="141"/>
    </row>
    <row r="38151">
      <c r="BB38151" s="122"/>
      <c r="BC38151" s="141"/>
    </row>
    <row r="38152">
      <c r="BB38152" s="122"/>
      <c r="BC38152" s="141"/>
    </row>
    <row r="38153">
      <c r="BB38153" s="122"/>
      <c r="BC38153" s="141"/>
    </row>
    <row r="38154">
      <c r="BB38154" s="122"/>
      <c r="BC38154" s="141"/>
    </row>
    <row r="38155">
      <c r="BB38155" s="122"/>
      <c r="BC38155" s="141"/>
    </row>
    <row r="38156">
      <c r="BB38156" s="122"/>
      <c r="BC38156" s="141"/>
    </row>
    <row r="38157">
      <c r="BB38157" s="122"/>
      <c r="BC38157" s="141"/>
    </row>
    <row r="38158">
      <c r="BB38158" s="122"/>
      <c r="BC38158" s="141"/>
    </row>
    <row r="38159">
      <c r="BB38159" s="122"/>
      <c r="BC38159" s="141"/>
    </row>
    <row r="38160">
      <c r="BB38160" s="122"/>
      <c r="BC38160" s="141"/>
    </row>
    <row r="38161">
      <c r="BB38161" s="122"/>
      <c r="BC38161" s="141"/>
    </row>
    <row r="38162">
      <c r="BB38162" s="122"/>
      <c r="BC38162" s="141"/>
    </row>
    <row r="38163">
      <c r="BB38163" s="122"/>
      <c r="BC38163" s="141"/>
    </row>
    <row r="38164">
      <c r="BB38164" s="122"/>
      <c r="BC38164" s="141"/>
    </row>
    <row r="38165">
      <c r="BB38165" s="122"/>
      <c r="BC38165" s="141"/>
    </row>
    <row r="38166">
      <c r="BB38166" s="122"/>
      <c r="BC38166" s="141"/>
    </row>
    <row r="38167">
      <c r="BB38167" s="122"/>
      <c r="BC38167" s="141"/>
    </row>
    <row r="38168">
      <c r="BB38168" s="122"/>
      <c r="BC38168" s="141"/>
    </row>
    <row r="38169">
      <c r="BB38169" s="122"/>
      <c r="BC38169" s="141"/>
    </row>
    <row r="38170">
      <c r="BB38170" s="122"/>
      <c r="BC38170" s="141"/>
    </row>
    <row r="38171">
      <c r="BB38171" s="122"/>
      <c r="BC38171" s="141"/>
    </row>
    <row r="38172">
      <c r="BB38172" s="122"/>
      <c r="BC38172" s="141"/>
    </row>
    <row r="38173">
      <c r="BB38173" s="122"/>
      <c r="BC38173" s="141"/>
    </row>
    <row r="38174">
      <c r="BB38174" s="122"/>
      <c r="BC38174" s="141"/>
    </row>
    <row r="38175">
      <c r="BB38175" s="122"/>
      <c r="BC38175" s="141"/>
    </row>
    <row r="38176">
      <c r="BB38176" s="122"/>
      <c r="BC38176" s="141"/>
    </row>
    <row r="38177">
      <c r="BB38177" s="122"/>
      <c r="BC38177" s="141"/>
    </row>
    <row r="38178">
      <c r="BB38178" s="122"/>
      <c r="BC38178" s="141"/>
    </row>
    <row r="38179">
      <c r="BB38179" s="122"/>
      <c r="BC38179" s="141"/>
    </row>
    <row r="38180">
      <c r="BB38180" s="122"/>
      <c r="BC38180" s="141"/>
    </row>
    <row r="38181">
      <c r="BB38181" s="122"/>
      <c r="BC38181" s="141"/>
    </row>
    <row r="38182">
      <c r="BB38182" s="122"/>
      <c r="BC38182" s="141"/>
    </row>
    <row r="38183">
      <c r="BB38183" s="122"/>
      <c r="BC38183" s="141"/>
    </row>
    <row r="38184">
      <c r="BB38184" s="122"/>
      <c r="BC38184" s="141"/>
    </row>
    <row r="38185">
      <c r="BB38185" s="122"/>
      <c r="BC38185" s="141"/>
    </row>
    <row r="38186">
      <c r="BB38186" s="122"/>
      <c r="BC38186" s="141"/>
    </row>
    <row r="38187">
      <c r="BB38187" s="122"/>
      <c r="BC38187" s="141"/>
    </row>
    <row r="38188">
      <c r="BB38188" s="122"/>
      <c r="BC38188" s="141"/>
    </row>
    <row r="38189">
      <c r="BB38189" s="122"/>
      <c r="BC38189" s="141"/>
    </row>
    <row r="38190">
      <c r="BB38190" s="122"/>
      <c r="BC38190" s="141"/>
    </row>
    <row r="38191">
      <c r="BB38191" s="122"/>
      <c r="BC38191" s="141"/>
    </row>
    <row r="38192">
      <c r="BB38192" s="122"/>
      <c r="BC38192" s="141"/>
    </row>
    <row r="38193">
      <c r="BB38193" s="122"/>
      <c r="BC38193" s="141"/>
    </row>
    <row r="38194">
      <c r="BB38194" s="122"/>
      <c r="BC38194" s="141"/>
    </row>
    <row r="38195">
      <c r="BB38195" s="122"/>
      <c r="BC38195" s="141"/>
    </row>
    <row r="38196">
      <c r="BB38196" s="122"/>
      <c r="BC38196" s="141"/>
    </row>
    <row r="38197">
      <c r="BB38197" s="122"/>
      <c r="BC38197" s="141"/>
    </row>
    <row r="38198">
      <c r="BB38198" s="122"/>
      <c r="BC38198" s="141"/>
    </row>
    <row r="38199">
      <c r="BB38199" s="122"/>
      <c r="BC38199" s="141"/>
    </row>
    <row r="38200">
      <c r="BB38200" s="122"/>
      <c r="BC38200" s="141"/>
    </row>
    <row r="38201">
      <c r="BB38201" s="122"/>
      <c r="BC38201" s="141"/>
    </row>
    <row r="38202">
      <c r="BB38202" s="122"/>
      <c r="BC38202" s="141"/>
    </row>
    <row r="38203">
      <c r="BB38203" s="122"/>
      <c r="BC38203" s="141"/>
    </row>
    <row r="38204">
      <c r="BB38204" s="122"/>
      <c r="BC38204" s="141"/>
    </row>
    <row r="38205">
      <c r="BB38205" s="122"/>
      <c r="BC38205" s="141"/>
    </row>
    <row r="38206">
      <c r="BB38206" s="122"/>
      <c r="BC38206" s="141"/>
    </row>
    <row r="38207">
      <c r="BB38207" s="122"/>
      <c r="BC38207" s="141"/>
    </row>
    <row r="38208">
      <c r="BB38208" s="122"/>
      <c r="BC38208" s="141"/>
    </row>
    <row r="38209">
      <c r="BB38209" s="122"/>
      <c r="BC38209" s="141"/>
    </row>
    <row r="38210">
      <c r="BB38210" s="122"/>
      <c r="BC38210" s="141"/>
    </row>
    <row r="38211">
      <c r="BB38211" s="122"/>
      <c r="BC38211" s="141"/>
    </row>
    <row r="38212">
      <c r="BB38212" s="122"/>
      <c r="BC38212" s="141"/>
    </row>
    <row r="38213">
      <c r="BB38213" s="122"/>
      <c r="BC38213" s="141"/>
    </row>
    <row r="38214">
      <c r="BB38214" s="122"/>
      <c r="BC38214" s="141"/>
    </row>
    <row r="38215">
      <c r="BB38215" s="122"/>
      <c r="BC38215" s="141"/>
    </row>
    <row r="38216">
      <c r="BB38216" s="122"/>
      <c r="BC38216" s="141"/>
    </row>
    <row r="38217">
      <c r="BB38217" s="122"/>
      <c r="BC38217" s="141"/>
    </row>
    <row r="38218">
      <c r="BB38218" s="122"/>
      <c r="BC38218" s="141"/>
    </row>
    <row r="38219">
      <c r="BB38219" s="122"/>
      <c r="BC38219" s="141"/>
    </row>
    <row r="38220">
      <c r="BB38220" s="122"/>
      <c r="BC38220" s="141"/>
    </row>
    <row r="38221">
      <c r="BB38221" s="122"/>
      <c r="BC38221" s="141"/>
    </row>
    <row r="38222">
      <c r="BB38222" s="122"/>
      <c r="BC38222" s="141"/>
    </row>
    <row r="38223">
      <c r="BB38223" s="122"/>
      <c r="BC38223" s="141"/>
    </row>
    <row r="38224">
      <c r="BB38224" s="122"/>
      <c r="BC38224" s="141"/>
    </row>
    <row r="38225">
      <c r="BB38225" s="122"/>
      <c r="BC38225" s="141"/>
    </row>
    <row r="38226">
      <c r="BB38226" s="122"/>
      <c r="BC38226" s="141"/>
    </row>
    <row r="38227">
      <c r="BB38227" s="122"/>
      <c r="BC38227" s="141"/>
    </row>
    <row r="38228">
      <c r="BB38228" s="122"/>
      <c r="BC38228" s="141"/>
    </row>
    <row r="38229">
      <c r="BB38229" s="122"/>
      <c r="BC38229" s="141"/>
    </row>
    <row r="38230">
      <c r="BB38230" s="122"/>
      <c r="BC38230" s="141"/>
    </row>
    <row r="38231">
      <c r="BB38231" s="122"/>
      <c r="BC38231" s="141"/>
    </row>
    <row r="38232">
      <c r="BB38232" s="122"/>
      <c r="BC38232" s="141"/>
    </row>
    <row r="38233">
      <c r="BB38233" s="122"/>
      <c r="BC38233" s="141"/>
    </row>
    <row r="38234">
      <c r="BB38234" s="122"/>
      <c r="BC38234" s="141"/>
    </row>
    <row r="38235">
      <c r="BB38235" s="122"/>
      <c r="BC38235" s="141"/>
    </row>
    <row r="38236">
      <c r="BB38236" s="122"/>
      <c r="BC38236" s="141"/>
    </row>
    <row r="38237">
      <c r="BB38237" s="122"/>
      <c r="BC38237" s="141"/>
    </row>
    <row r="38238">
      <c r="BB38238" s="122"/>
      <c r="BC38238" s="141"/>
    </row>
    <row r="38239">
      <c r="BB38239" s="122"/>
      <c r="BC38239" s="141"/>
    </row>
    <row r="38240">
      <c r="BB38240" s="122"/>
      <c r="BC38240" s="141"/>
    </row>
    <row r="38241">
      <c r="BB38241" s="122"/>
      <c r="BC38241" s="141"/>
    </row>
    <row r="38242">
      <c r="BB38242" s="122"/>
      <c r="BC38242" s="141"/>
    </row>
    <row r="38243">
      <c r="BB38243" s="122"/>
      <c r="BC38243" s="141"/>
    </row>
    <row r="38244">
      <c r="BB38244" s="122"/>
      <c r="BC38244" s="141"/>
    </row>
    <row r="38245">
      <c r="BB38245" s="122"/>
      <c r="BC38245" s="141"/>
    </row>
    <row r="38246">
      <c r="BB38246" s="122"/>
      <c r="BC38246" s="141"/>
    </row>
    <row r="38247">
      <c r="BB38247" s="122"/>
      <c r="BC38247" s="141"/>
    </row>
    <row r="38248">
      <c r="BB38248" s="122"/>
      <c r="BC38248" s="141"/>
    </row>
    <row r="38249">
      <c r="BB38249" s="122"/>
      <c r="BC38249" s="141"/>
    </row>
    <row r="38250">
      <c r="BB38250" s="122"/>
      <c r="BC38250" s="141"/>
    </row>
    <row r="38251">
      <c r="BB38251" s="122"/>
      <c r="BC38251" s="141"/>
    </row>
    <row r="38252">
      <c r="BB38252" s="122"/>
      <c r="BC38252" s="141"/>
    </row>
    <row r="38253">
      <c r="BB38253" s="122"/>
      <c r="BC38253" s="141"/>
    </row>
    <row r="38254">
      <c r="BB38254" s="122"/>
      <c r="BC38254" s="141"/>
    </row>
    <row r="38255">
      <c r="BB38255" s="122"/>
      <c r="BC38255" s="141"/>
    </row>
    <row r="38256">
      <c r="BB38256" s="122"/>
      <c r="BC38256" s="141"/>
    </row>
    <row r="38257">
      <c r="BB38257" s="122"/>
      <c r="BC38257" s="141"/>
    </row>
    <row r="38258">
      <c r="BB38258" s="122"/>
      <c r="BC38258" s="141"/>
    </row>
    <row r="38259">
      <c r="BB38259" s="122"/>
      <c r="BC38259" s="141"/>
    </row>
    <row r="38260">
      <c r="BB38260" s="122"/>
      <c r="BC38260" s="141"/>
    </row>
    <row r="38261">
      <c r="BB38261" s="122"/>
      <c r="BC38261" s="141"/>
    </row>
    <row r="38262">
      <c r="BB38262" s="122"/>
      <c r="BC38262" s="141"/>
    </row>
    <row r="38263">
      <c r="BB38263" s="122"/>
      <c r="BC38263" s="141"/>
    </row>
    <row r="38264">
      <c r="BB38264" s="122"/>
      <c r="BC38264" s="141"/>
    </row>
    <row r="38265">
      <c r="BB38265" s="122"/>
      <c r="BC38265" s="141"/>
    </row>
    <row r="38266">
      <c r="BB38266" s="122"/>
      <c r="BC38266" s="141"/>
    </row>
    <row r="38267">
      <c r="BB38267" s="122"/>
      <c r="BC38267" s="141"/>
    </row>
    <row r="38268">
      <c r="BB38268" s="122"/>
      <c r="BC38268" s="141"/>
    </row>
    <row r="38269">
      <c r="BB38269" s="122"/>
      <c r="BC38269" s="141"/>
    </row>
    <row r="38270">
      <c r="BB38270" s="122"/>
      <c r="BC38270" s="141"/>
    </row>
    <row r="38271">
      <c r="BB38271" s="122"/>
      <c r="BC38271" s="141"/>
    </row>
    <row r="38272">
      <c r="BB38272" s="122"/>
      <c r="BC38272" s="141"/>
    </row>
    <row r="38273">
      <c r="BB38273" s="122"/>
      <c r="BC38273" s="141"/>
    </row>
    <row r="38274">
      <c r="BB38274" s="122"/>
      <c r="BC38274" s="141"/>
    </row>
    <row r="38275">
      <c r="BB38275" s="122"/>
      <c r="BC38275" s="141"/>
    </row>
    <row r="38276">
      <c r="BB38276" s="122"/>
      <c r="BC38276" s="141"/>
    </row>
    <row r="38277">
      <c r="BB38277" s="122"/>
      <c r="BC38277" s="141"/>
    </row>
    <row r="38278">
      <c r="BB38278" s="122"/>
      <c r="BC38278" s="141"/>
    </row>
    <row r="38279">
      <c r="BB38279" s="122"/>
      <c r="BC38279" s="141"/>
    </row>
    <row r="38280">
      <c r="BB38280" s="122"/>
      <c r="BC38280" s="141"/>
    </row>
    <row r="38281">
      <c r="BB38281" s="122"/>
      <c r="BC38281" s="141"/>
    </row>
    <row r="38282">
      <c r="BB38282" s="122"/>
      <c r="BC38282" s="141"/>
    </row>
    <row r="38283">
      <c r="BB38283" s="122"/>
      <c r="BC38283" s="141"/>
    </row>
    <row r="38284">
      <c r="BB38284" s="122"/>
      <c r="BC38284" s="141"/>
    </row>
    <row r="38285">
      <c r="BB38285" s="122"/>
      <c r="BC38285" s="141"/>
    </row>
    <row r="38286">
      <c r="BB38286" s="122"/>
      <c r="BC38286" s="141"/>
    </row>
    <row r="38287">
      <c r="BB38287" s="122"/>
      <c r="BC38287" s="141"/>
    </row>
    <row r="38288">
      <c r="BB38288" s="122"/>
      <c r="BC38288" s="141"/>
    </row>
    <row r="38289">
      <c r="BB38289" s="122"/>
      <c r="BC38289" s="141"/>
    </row>
    <row r="38290">
      <c r="BB38290" s="122"/>
      <c r="BC38290" s="141"/>
    </row>
    <row r="38291">
      <c r="BB38291" s="122"/>
      <c r="BC38291" s="141"/>
    </row>
    <row r="38292">
      <c r="BB38292" s="122"/>
      <c r="BC38292" s="141"/>
    </row>
    <row r="38293">
      <c r="BB38293" s="122"/>
      <c r="BC38293" s="141"/>
    </row>
    <row r="38294">
      <c r="BB38294" s="122"/>
      <c r="BC38294" s="141"/>
    </row>
    <row r="38295">
      <c r="BB38295" s="122"/>
      <c r="BC38295" s="141"/>
    </row>
    <row r="38296">
      <c r="BB38296" s="122"/>
      <c r="BC38296" s="141"/>
    </row>
    <row r="38297">
      <c r="BB38297" s="122"/>
      <c r="BC38297" s="141"/>
    </row>
    <row r="38298">
      <c r="BB38298" s="122"/>
      <c r="BC38298" s="141"/>
    </row>
    <row r="38299">
      <c r="BB38299" s="122"/>
      <c r="BC38299" s="141"/>
    </row>
    <row r="38300">
      <c r="BB38300" s="122"/>
      <c r="BC38300" s="141"/>
    </row>
    <row r="38301">
      <c r="BB38301" s="122"/>
      <c r="BC38301" s="141"/>
    </row>
    <row r="38302">
      <c r="BB38302" s="122"/>
      <c r="BC38302" s="141"/>
    </row>
    <row r="38303">
      <c r="BB38303" s="122"/>
      <c r="BC38303" s="141"/>
    </row>
    <row r="38304">
      <c r="BB38304" s="122"/>
      <c r="BC38304" s="141"/>
    </row>
    <row r="38305">
      <c r="BB38305" s="122"/>
      <c r="BC38305" s="141"/>
    </row>
    <row r="38306">
      <c r="BB38306" s="122"/>
      <c r="BC38306" s="141"/>
    </row>
    <row r="38307">
      <c r="BB38307" s="122"/>
      <c r="BC38307" s="141"/>
    </row>
    <row r="38308">
      <c r="BB38308" s="122"/>
      <c r="BC38308" s="141"/>
    </row>
    <row r="38309">
      <c r="BB38309" s="122"/>
      <c r="BC38309" s="141"/>
    </row>
    <row r="38310">
      <c r="BB38310" s="122"/>
      <c r="BC38310" s="141"/>
    </row>
    <row r="38311">
      <c r="BB38311" s="122"/>
      <c r="BC38311" s="141"/>
    </row>
    <row r="38312">
      <c r="BB38312" s="122"/>
      <c r="BC38312" s="141"/>
    </row>
    <row r="38313">
      <c r="BB38313" s="122"/>
      <c r="BC38313" s="141"/>
    </row>
    <row r="38314">
      <c r="BB38314" s="122"/>
      <c r="BC38314" s="141"/>
    </row>
    <row r="38315">
      <c r="BB38315" s="122"/>
      <c r="BC38315" s="141"/>
    </row>
    <row r="38316">
      <c r="BB38316" s="122"/>
      <c r="BC38316" s="141"/>
    </row>
    <row r="38317">
      <c r="BB38317" s="122"/>
      <c r="BC38317" s="141"/>
    </row>
    <row r="38318">
      <c r="BB38318" s="122"/>
      <c r="BC38318" s="141"/>
    </row>
    <row r="38319">
      <c r="BB38319" s="122"/>
      <c r="BC38319" s="141"/>
    </row>
    <row r="38320">
      <c r="BB38320" s="122"/>
      <c r="BC38320" s="141"/>
    </row>
    <row r="38321">
      <c r="BB38321" s="122"/>
      <c r="BC38321" s="141"/>
    </row>
    <row r="38322">
      <c r="BB38322" s="122"/>
      <c r="BC38322" s="141"/>
    </row>
    <row r="38323">
      <c r="BB38323" s="122"/>
      <c r="BC38323" s="141"/>
    </row>
    <row r="38324">
      <c r="BB38324" s="122"/>
      <c r="BC38324" s="141"/>
    </row>
    <row r="38325">
      <c r="BB38325" s="122"/>
      <c r="BC38325" s="141"/>
    </row>
    <row r="38326">
      <c r="BB38326" s="122"/>
      <c r="BC38326" s="141"/>
    </row>
    <row r="38327">
      <c r="BB38327" s="122"/>
      <c r="BC38327" s="141"/>
    </row>
    <row r="38328">
      <c r="BB38328" s="122"/>
      <c r="BC38328" s="141"/>
    </row>
    <row r="38329">
      <c r="BB38329" s="122"/>
      <c r="BC38329" s="141"/>
    </row>
    <row r="38330">
      <c r="BB38330" s="122"/>
      <c r="BC38330" s="141"/>
    </row>
    <row r="38331">
      <c r="BB38331" s="122"/>
      <c r="BC38331" s="141"/>
    </row>
    <row r="38332">
      <c r="BB38332" s="122"/>
      <c r="BC38332" s="141"/>
    </row>
    <row r="38333">
      <c r="BB38333" s="122"/>
      <c r="BC38333" s="141"/>
    </row>
    <row r="38334">
      <c r="BB38334" s="122"/>
      <c r="BC38334" s="141"/>
    </row>
    <row r="38335">
      <c r="BB38335" s="122"/>
      <c r="BC38335" s="141"/>
    </row>
    <row r="38336">
      <c r="BB38336" s="122"/>
      <c r="BC38336" s="141"/>
    </row>
    <row r="38337">
      <c r="BB38337" s="122"/>
      <c r="BC38337" s="141"/>
    </row>
    <row r="38338">
      <c r="BB38338" s="122"/>
      <c r="BC38338" s="141"/>
    </row>
    <row r="38339">
      <c r="BB38339" s="122"/>
      <c r="BC38339" s="141"/>
    </row>
    <row r="38340">
      <c r="BB38340" s="122"/>
      <c r="BC38340" s="141"/>
    </row>
    <row r="38341">
      <c r="BB38341" s="122"/>
      <c r="BC38341" s="141"/>
    </row>
    <row r="38342">
      <c r="BB38342" s="122"/>
      <c r="BC38342" s="141"/>
    </row>
    <row r="38343">
      <c r="BB38343" s="122"/>
      <c r="BC38343" s="141"/>
    </row>
    <row r="38344">
      <c r="BB38344" s="122"/>
      <c r="BC38344" s="141"/>
    </row>
    <row r="38345">
      <c r="BB38345" s="122"/>
      <c r="BC38345" s="141"/>
    </row>
    <row r="38346">
      <c r="BB38346" s="122"/>
      <c r="BC38346" s="141"/>
    </row>
    <row r="38347">
      <c r="BB38347" s="122"/>
      <c r="BC38347" s="141"/>
    </row>
    <row r="38348">
      <c r="BB38348" s="122"/>
      <c r="BC38348" s="141"/>
    </row>
    <row r="38349">
      <c r="BB38349" s="122"/>
      <c r="BC38349" s="141"/>
    </row>
    <row r="38350">
      <c r="BB38350" s="122"/>
      <c r="BC38350" s="141"/>
    </row>
    <row r="38351">
      <c r="BB38351" s="122"/>
      <c r="BC38351" s="141"/>
    </row>
    <row r="38352">
      <c r="BB38352" s="122"/>
      <c r="BC38352" s="141"/>
    </row>
    <row r="38353">
      <c r="BB38353" s="122"/>
      <c r="BC38353" s="141"/>
    </row>
    <row r="38354">
      <c r="BB38354" s="122"/>
      <c r="BC38354" s="141"/>
    </row>
    <row r="38355">
      <c r="BB38355" s="122"/>
      <c r="BC38355" s="141"/>
    </row>
    <row r="38356">
      <c r="BB38356" s="122"/>
      <c r="BC38356" s="141"/>
    </row>
    <row r="38357">
      <c r="BB38357" s="122"/>
      <c r="BC38357" s="141"/>
    </row>
    <row r="38358">
      <c r="BB38358" s="122"/>
      <c r="BC38358" s="141"/>
    </row>
    <row r="38359">
      <c r="BB38359" s="122"/>
      <c r="BC38359" s="141"/>
    </row>
    <row r="38360">
      <c r="BB38360" s="122"/>
      <c r="BC38360" s="141"/>
    </row>
    <row r="38361">
      <c r="BB38361" s="122"/>
      <c r="BC38361" s="141"/>
    </row>
    <row r="38362">
      <c r="BB38362" s="122"/>
      <c r="BC38362" s="141"/>
    </row>
    <row r="38363">
      <c r="BB38363" s="122"/>
      <c r="BC38363" s="141"/>
    </row>
    <row r="38364">
      <c r="BB38364" s="122"/>
      <c r="BC38364" s="141"/>
    </row>
    <row r="38365">
      <c r="BB38365" s="122"/>
      <c r="BC38365" s="141"/>
    </row>
    <row r="38366">
      <c r="BB38366" s="122"/>
      <c r="BC38366" s="141"/>
    </row>
    <row r="38367">
      <c r="BB38367" s="122"/>
      <c r="BC38367" s="141"/>
    </row>
    <row r="38368">
      <c r="BB38368" s="122"/>
      <c r="BC38368" s="141"/>
    </row>
    <row r="38369">
      <c r="BB38369" s="122"/>
      <c r="BC38369" s="141"/>
    </row>
    <row r="38370">
      <c r="BB38370" s="122"/>
      <c r="BC38370" s="141"/>
    </row>
    <row r="38371">
      <c r="BB38371" s="122"/>
      <c r="BC38371" s="141"/>
    </row>
    <row r="38372">
      <c r="BB38372" s="122"/>
      <c r="BC38372" s="141"/>
    </row>
    <row r="38373">
      <c r="BB38373" s="122"/>
      <c r="BC38373" s="141"/>
    </row>
    <row r="38374">
      <c r="BB38374" s="122"/>
      <c r="BC38374" s="141"/>
    </row>
    <row r="38375">
      <c r="BB38375" s="122"/>
      <c r="BC38375" s="141"/>
    </row>
    <row r="38376">
      <c r="BB38376" s="122"/>
      <c r="BC38376" s="141"/>
    </row>
    <row r="38377">
      <c r="BB38377" s="122"/>
      <c r="BC38377" s="141"/>
    </row>
    <row r="38378">
      <c r="BB38378" s="122"/>
      <c r="BC38378" s="141"/>
    </row>
    <row r="38379">
      <c r="BB38379" s="122"/>
      <c r="BC38379" s="141"/>
    </row>
    <row r="38380">
      <c r="BB38380" s="122"/>
      <c r="BC38380" s="141"/>
    </row>
    <row r="38381">
      <c r="BB38381" s="122"/>
      <c r="BC38381" s="141"/>
    </row>
    <row r="38382">
      <c r="BB38382" s="122"/>
      <c r="BC38382" s="141"/>
    </row>
    <row r="38383">
      <c r="BB38383" s="122"/>
      <c r="BC38383" s="141"/>
    </row>
    <row r="38384">
      <c r="BB38384" s="122"/>
      <c r="BC38384" s="141"/>
    </row>
    <row r="38385">
      <c r="BB38385" s="122"/>
      <c r="BC38385" s="141"/>
    </row>
    <row r="38386">
      <c r="BB38386" s="122"/>
      <c r="BC38386" s="141"/>
    </row>
    <row r="38387">
      <c r="BB38387" s="122"/>
      <c r="BC38387" s="141"/>
    </row>
    <row r="38388">
      <c r="BB38388" s="122"/>
      <c r="BC38388" s="141"/>
    </row>
    <row r="38389">
      <c r="BB38389" s="122"/>
      <c r="BC38389" s="141"/>
    </row>
    <row r="38390">
      <c r="BB38390" s="122"/>
      <c r="BC38390" s="141"/>
    </row>
    <row r="38391">
      <c r="BB38391" s="122"/>
      <c r="BC38391" s="141"/>
    </row>
    <row r="38392">
      <c r="BB38392" s="122"/>
      <c r="BC38392" s="141"/>
    </row>
    <row r="38393">
      <c r="BB38393" s="122"/>
      <c r="BC38393" s="141"/>
    </row>
    <row r="38394">
      <c r="BB38394" s="122"/>
      <c r="BC38394" s="141"/>
    </row>
    <row r="38395">
      <c r="BB38395" s="122"/>
      <c r="BC38395" s="141"/>
    </row>
    <row r="38396">
      <c r="BB38396" s="122"/>
      <c r="BC38396" s="141"/>
    </row>
    <row r="38397">
      <c r="BB38397" s="122"/>
      <c r="BC38397" s="141"/>
    </row>
    <row r="38398">
      <c r="BB38398" s="122"/>
      <c r="BC38398" s="141"/>
    </row>
    <row r="38399">
      <c r="BB38399" s="122"/>
      <c r="BC38399" s="141"/>
    </row>
    <row r="38400">
      <c r="BB38400" s="122"/>
      <c r="BC38400" s="141"/>
    </row>
    <row r="38401">
      <c r="BB38401" s="122"/>
      <c r="BC38401" s="141"/>
    </row>
    <row r="38402">
      <c r="BB38402" s="122"/>
      <c r="BC38402" s="141"/>
    </row>
    <row r="38403">
      <c r="BB38403" s="122"/>
      <c r="BC38403" s="141"/>
    </row>
    <row r="38404">
      <c r="BB38404" s="122"/>
      <c r="BC38404" s="141"/>
    </row>
    <row r="38405">
      <c r="BB38405" s="122"/>
      <c r="BC38405" s="141"/>
    </row>
    <row r="38406">
      <c r="BB38406" s="122"/>
      <c r="BC38406" s="141"/>
    </row>
    <row r="38407">
      <c r="BB38407" s="122"/>
      <c r="BC38407" s="141"/>
    </row>
    <row r="38408">
      <c r="BB38408" s="122"/>
      <c r="BC38408" s="141"/>
    </row>
    <row r="38409">
      <c r="BB38409" s="122"/>
      <c r="BC38409" s="141"/>
    </row>
    <row r="38410">
      <c r="BB38410" s="122"/>
      <c r="BC38410" s="141"/>
    </row>
    <row r="38411">
      <c r="BB38411" s="122"/>
      <c r="BC38411" s="141"/>
    </row>
    <row r="38412">
      <c r="BB38412" s="122"/>
      <c r="BC38412" s="141"/>
    </row>
    <row r="38413">
      <c r="BB38413" s="122"/>
      <c r="BC38413" s="141"/>
    </row>
    <row r="38414">
      <c r="BB38414" s="122"/>
      <c r="BC38414" s="141"/>
    </row>
    <row r="38415">
      <c r="BB38415" s="122"/>
      <c r="BC38415" s="141"/>
    </row>
    <row r="38416">
      <c r="BB38416" s="122"/>
      <c r="BC38416" s="141"/>
    </row>
    <row r="38417">
      <c r="BB38417" s="122"/>
      <c r="BC38417" s="141"/>
    </row>
    <row r="38418">
      <c r="BB38418" s="122"/>
      <c r="BC38418" s="141"/>
    </row>
    <row r="38419">
      <c r="BB38419" s="122"/>
      <c r="BC38419" s="141"/>
    </row>
    <row r="38420">
      <c r="BB38420" s="122"/>
      <c r="BC38420" s="141"/>
    </row>
    <row r="38421">
      <c r="BB38421" s="122"/>
      <c r="BC38421" s="141"/>
    </row>
    <row r="38422">
      <c r="BB38422" s="122"/>
      <c r="BC38422" s="141"/>
    </row>
    <row r="38423">
      <c r="BB38423" s="122"/>
      <c r="BC38423" s="141"/>
    </row>
    <row r="38424">
      <c r="BB38424" s="122"/>
      <c r="BC38424" s="141"/>
    </row>
    <row r="38425">
      <c r="BB38425" s="122"/>
      <c r="BC38425" s="141"/>
    </row>
    <row r="38426">
      <c r="BB38426" s="122"/>
      <c r="BC38426" s="141"/>
    </row>
    <row r="38427">
      <c r="BB38427" s="122"/>
      <c r="BC38427" s="141"/>
    </row>
    <row r="38428">
      <c r="BB38428" s="122"/>
      <c r="BC38428" s="141"/>
    </row>
    <row r="38429">
      <c r="BB38429" s="122"/>
      <c r="BC38429" s="141"/>
    </row>
    <row r="38430">
      <c r="BB38430" s="122"/>
      <c r="BC38430" s="141"/>
    </row>
    <row r="38431">
      <c r="BB38431" s="122"/>
      <c r="BC38431" s="141"/>
    </row>
    <row r="38432">
      <c r="BB38432" s="122"/>
      <c r="BC38432" s="141"/>
    </row>
    <row r="38433">
      <c r="BB38433" s="122"/>
      <c r="BC38433" s="141"/>
    </row>
    <row r="38434">
      <c r="BB38434" s="122"/>
      <c r="BC38434" s="141"/>
    </row>
    <row r="38435">
      <c r="BB38435" s="122"/>
      <c r="BC38435" s="141"/>
    </row>
    <row r="38436">
      <c r="BB38436" s="122"/>
      <c r="BC38436" s="141"/>
    </row>
    <row r="38437">
      <c r="BB38437" s="122"/>
      <c r="BC38437" s="141"/>
    </row>
    <row r="38438">
      <c r="BB38438" s="122"/>
      <c r="BC38438" s="141"/>
    </row>
    <row r="38439">
      <c r="BB38439" s="122"/>
      <c r="BC38439" s="141"/>
    </row>
    <row r="38440">
      <c r="BB38440" s="122"/>
      <c r="BC38440" s="141"/>
    </row>
    <row r="38441">
      <c r="BB38441" s="122"/>
      <c r="BC38441" s="141"/>
    </row>
    <row r="38442">
      <c r="BB38442" s="122"/>
      <c r="BC38442" s="141"/>
    </row>
    <row r="38443">
      <c r="BB38443" s="122"/>
      <c r="BC38443" s="141"/>
    </row>
    <row r="38444">
      <c r="BB38444" s="122"/>
      <c r="BC38444" s="141"/>
    </row>
    <row r="38445">
      <c r="BB38445" s="122"/>
      <c r="BC38445" s="141"/>
    </row>
    <row r="38446">
      <c r="BB38446" s="122"/>
      <c r="BC38446" s="141"/>
    </row>
    <row r="38447">
      <c r="BB38447" s="122"/>
      <c r="BC38447" s="141"/>
    </row>
    <row r="38448">
      <c r="BB38448" s="122"/>
      <c r="BC38448" s="141"/>
    </row>
    <row r="38449">
      <c r="BB38449" s="122"/>
      <c r="BC38449" s="141"/>
    </row>
    <row r="38450">
      <c r="BB38450" s="122"/>
      <c r="BC38450" s="141"/>
    </row>
    <row r="38451">
      <c r="BB38451" s="122"/>
      <c r="BC38451" s="141"/>
    </row>
    <row r="38452">
      <c r="BB38452" s="122"/>
      <c r="BC38452" s="141"/>
    </row>
    <row r="38453">
      <c r="BB38453" s="122"/>
      <c r="BC38453" s="141"/>
    </row>
    <row r="38454">
      <c r="BB38454" s="122"/>
      <c r="BC38454" s="141"/>
    </row>
    <row r="38455">
      <c r="BB38455" s="122"/>
      <c r="BC38455" s="141"/>
    </row>
    <row r="38456">
      <c r="BB38456" s="122"/>
      <c r="BC38456" s="141"/>
    </row>
    <row r="38457">
      <c r="BB38457" s="122"/>
      <c r="BC38457" s="141"/>
    </row>
    <row r="38458">
      <c r="BB38458" s="122"/>
      <c r="BC38458" s="141"/>
    </row>
    <row r="38459">
      <c r="BB38459" s="122"/>
      <c r="BC38459" s="141"/>
    </row>
    <row r="38460">
      <c r="BB38460" s="122"/>
      <c r="BC38460" s="141"/>
    </row>
    <row r="38461">
      <c r="BB38461" s="122"/>
      <c r="BC38461" s="141"/>
    </row>
    <row r="38462">
      <c r="BB38462" s="122"/>
      <c r="BC38462" s="141"/>
    </row>
    <row r="38463">
      <c r="BB38463" s="122"/>
      <c r="BC38463" s="141"/>
    </row>
    <row r="38464">
      <c r="BB38464" s="122"/>
      <c r="BC38464" s="141"/>
    </row>
    <row r="38465">
      <c r="BB38465" s="122"/>
      <c r="BC38465" s="141"/>
    </row>
    <row r="38466">
      <c r="BB38466" s="122"/>
      <c r="BC38466" s="141"/>
    </row>
    <row r="38467">
      <c r="BB38467" s="122"/>
      <c r="BC38467" s="141"/>
    </row>
    <row r="38468">
      <c r="BB38468" s="122"/>
      <c r="BC38468" s="141"/>
    </row>
    <row r="38469">
      <c r="BB38469" s="122"/>
      <c r="BC38469" s="141"/>
    </row>
    <row r="38470">
      <c r="BB38470" s="122"/>
      <c r="BC38470" s="141"/>
    </row>
    <row r="38471">
      <c r="BB38471" s="122"/>
      <c r="BC38471" s="141"/>
    </row>
    <row r="38472">
      <c r="BB38472" s="122"/>
      <c r="BC38472" s="141"/>
    </row>
    <row r="38473">
      <c r="BB38473" s="122"/>
      <c r="BC38473" s="141"/>
    </row>
    <row r="38474">
      <c r="BB38474" s="122"/>
      <c r="BC38474" s="141"/>
    </row>
    <row r="38475">
      <c r="BB38475" s="122"/>
      <c r="BC38475" s="141"/>
    </row>
    <row r="38476">
      <c r="BB38476" s="122"/>
      <c r="BC38476" s="141"/>
    </row>
    <row r="38477">
      <c r="BB38477" s="122"/>
      <c r="BC38477" s="141"/>
    </row>
    <row r="38478">
      <c r="BB38478" s="122"/>
      <c r="BC38478" s="141"/>
    </row>
    <row r="38479">
      <c r="BB38479" s="122"/>
      <c r="BC38479" s="141"/>
    </row>
    <row r="38480">
      <c r="BB38480" s="122"/>
      <c r="BC38480" s="141"/>
    </row>
    <row r="38481">
      <c r="BB38481" s="122"/>
      <c r="BC38481" s="141"/>
    </row>
    <row r="38482">
      <c r="BB38482" s="122"/>
      <c r="BC38482" s="141"/>
    </row>
    <row r="38483">
      <c r="BB38483" s="122"/>
      <c r="BC38483" s="141"/>
    </row>
    <row r="38484">
      <c r="BB38484" s="122"/>
      <c r="BC38484" s="141"/>
    </row>
    <row r="38485">
      <c r="BB38485" s="122"/>
      <c r="BC38485" s="141"/>
    </row>
    <row r="38486">
      <c r="BB38486" s="122"/>
      <c r="BC38486" s="141"/>
    </row>
    <row r="38487">
      <c r="BB38487" s="122"/>
      <c r="BC38487" s="141"/>
    </row>
    <row r="38488">
      <c r="BB38488" s="122"/>
      <c r="BC38488" s="141"/>
    </row>
    <row r="38489">
      <c r="BB38489" s="122"/>
      <c r="BC38489" s="141"/>
    </row>
    <row r="38490">
      <c r="BB38490" s="122"/>
      <c r="BC38490" s="141"/>
    </row>
    <row r="38491">
      <c r="BB38491" s="122"/>
      <c r="BC38491" s="141"/>
    </row>
    <row r="38492">
      <c r="BB38492" s="122"/>
      <c r="BC38492" s="141"/>
    </row>
    <row r="38493">
      <c r="BB38493" s="122"/>
      <c r="BC38493" s="141"/>
    </row>
    <row r="38494">
      <c r="BB38494" s="122"/>
      <c r="BC38494" s="141"/>
    </row>
    <row r="38495">
      <c r="BB38495" s="122"/>
      <c r="BC38495" s="141"/>
    </row>
    <row r="38496">
      <c r="BB38496" s="122"/>
      <c r="BC38496" s="141"/>
    </row>
    <row r="38497">
      <c r="BB38497" s="122"/>
      <c r="BC38497" s="141"/>
    </row>
    <row r="38498">
      <c r="BB38498" s="122"/>
      <c r="BC38498" s="141"/>
    </row>
    <row r="38499">
      <c r="BB38499" s="122"/>
      <c r="BC38499" s="141"/>
    </row>
    <row r="38500">
      <c r="BB38500" s="122"/>
      <c r="BC38500" s="141"/>
    </row>
    <row r="38501">
      <c r="BB38501" s="122"/>
      <c r="BC38501" s="141"/>
    </row>
    <row r="38502">
      <c r="BB38502" s="122"/>
      <c r="BC38502" s="141"/>
    </row>
    <row r="38503">
      <c r="BB38503" s="122"/>
      <c r="BC38503" s="141"/>
    </row>
    <row r="38504">
      <c r="BB38504" s="122"/>
      <c r="BC38504" s="141"/>
    </row>
    <row r="38505">
      <c r="BB38505" s="122"/>
      <c r="BC38505" s="141"/>
    </row>
    <row r="38506">
      <c r="BB38506" s="122"/>
      <c r="BC38506" s="141"/>
    </row>
    <row r="38507">
      <c r="BB38507" s="122"/>
      <c r="BC38507" s="141"/>
    </row>
    <row r="38508">
      <c r="BB38508" s="122"/>
      <c r="BC38508" s="141"/>
    </row>
    <row r="38509">
      <c r="BB38509" s="122"/>
      <c r="BC38509" s="141"/>
    </row>
    <row r="38510">
      <c r="BB38510" s="122"/>
      <c r="BC38510" s="141"/>
    </row>
    <row r="38511">
      <c r="BB38511" s="122"/>
      <c r="BC38511" s="141"/>
    </row>
    <row r="38512">
      <c r="BB38512" s="122"/>
      <c r="BC38512" s="141"/>
    </row>
    <row r="38513">
      <c r="BB38513" s="122"/>
      <c r="BC38513" s="141"/>
    </row>
    <row r="38514">
      <c r="BB38514" s="122"/>
      <c r="BC38514" s="141"/>
    </row>
    <row r="38515">
      <c r="BB38515" s="122"/>
      <c r="BC38515" s="141"/>
    </row>
    <row r="38516">
      <c r="BB38516" s="122"/>
      <c r="BC38516" s="141"/>
    </row>
    <row r="38517">
      <c r="BB38517" s="122"/>
      <c r="BC38517" s="141"/>
    </row>
    <row r="38518">
      <c r="BB38518" s="122"/>
      <c r="BC38518" s="141"/>
    </row>
    <row r="38519">
      <c r="BB38519" s="122"/>
      <c r="BC38519" s="141"/>
    </row>
    <row r="38520">
      <c r="BB38520" s="122"/>
      <c r="BC38520" s="141"/>
    </row>
    <row r="38521">
      <c r="BB38521" s="122"/>
      <c r="BC38521" s="141"/>
    </row>
    <row r="38522">
      <c r="BB38522" s="122"/>
      <c r="BC38522" s="141"/>
    </row>
    <row r="38523">
      <c r="BB38523" s="122"/>
      <c r="BC38523" s="141"/>
    </row>
    <row r="38524">
      <c r="BB38524" s="122"/>
      <c r="BC38524" s="141"/>
    </row>
    <row r="38525">
      <c r="BB38525" s="122"/>
      <c r="BC38525" s="141"/>
    </row>
    <row r="38526">
      <c r="BB38526" s="122"/>
      <c r="BC38526" s="141"/>
    </row>
    <row r="38527">
      <c r="BB38527" s="122"/>
      <c r="BC38527" s="141"/>
    </row>
    <row r="38528">
      <c r="BB38528" s="122"/>
      <c r="BC38528" s="141"/>
    </row>
    <row r="38529">
      <c r="BB38529" s="122"/>
      <c r="BC38529" s="141"/>
    </row>
    <row r="38530">
      <c r="BB38530" s="122"/>
      <c r="BC38530" s="141"/>
    </row>
    <row r="38531">
      <c r="BB38531" s="122"/>
      <c r="BC38531" s="141"/>
    </row>
    <row r="38532">
      <c r="BB38532" s="122"/>
      <c r="BC38532" s="141"/>
    </row>
    <row r="38533">
      <c r="BB38533" s="122"/>
      <c r="BC38533" s="141"/>
    </row>
    <row r="38534">
      <c r="BB38534" s="122"/>
      <c r="BC38534" s="141"/>
    </row>
    <row r="38535">
      <c r="BB38535" s="122"/>
      <c r="BC38535" s="141"/>
    </row>
    <row r="38536">
      <c r="BB38536" s="122"/>
      <c r="BC38536" s="141"/>
    </row>
    <row r="38537">
      <c r="BB38537" s="122"/>
      <c r="BC38537" s="141"/>
    </row>
    <row r="38538">
      <c r="BB38538" s="122"/>
      <c r="BC38538" s="141"/>
    </row>
    <row r="38539">
      <c r="BB38539" s="122"/>
      <c r="BC38539" s="141"/>
    </row>
    <row r="38540">
      <c r="BB38540" s="122"/>
      <c r="BC38540" s="141"/>
    </row>
    <row r="38541">
      <c r="BB38541" s="122"/>
      <c r="BC38541" s="141"/>
    </row>
    <row r="38542">
      <c r="BB38542" s="122"/>
      <c r="BC38542" s="141"/>
    </row>
    <row r="38543">
      <c r="BB38543" s="122"/>
      <c r="BC38543" s="141"/>
    </row>
    <row r="38544">
      <c r="BB38544" s="122"/>
      <c r="BC38544" s="141"/>
    </row>
    <row r="38545">
      <c r="BB38545" s="122"/>
      <c r="BC38545" s="141"/>
    </row>
    <row r="38546">
      <c r="BB38546" s="122"/>
      <c r="BC38546" s="141"/>
    </row>
    <row r="38547">
      <c r="BB38547" s="122"/>
      <c r="BC38547" s="141"/>
    </row>
    <row r="38548">
      <c r="BB38548" s="122"/>
      <c r="BC38548" s="141"/>
    </row>
    <row r="38549">
      <c r="BB38549" s="122"/>
      <c r="BC38549" s="141"/>
    </row>
    <row r="38550">
      <c r="BB38550" s="122"/>
      <c r="BC38550" s="141"/>
    </row>
    <row r="38551">
      <c r="BB38551" s="122"/>
      <c r="BC38551" s="141"/>
    </row>
    <row r="38552">
      <c r="BB38552" s="122"/>
      <c r="BC38552" s="141"/>
    </row>
    <row r="38553">
      <c r="BB38553" s="122"/>
      <c r="BC38553" s="141"/>
    </row>
    <row r="38554">
      <c r="BB38554" s="122"/>
      <c r="BC38554" s="141"/>
    </row>
    <row r="38555">
      <c r="BB38555" s="122"/>
      <c r="BC38555" s="141"/>
    </row>
    <row r="38556">
      <c r="BB38556" s="122"/>
      <c r="BC38556" s="141"/>
    </row>
    <row r="38557">
      <c r="BB38557" s="122"/>
      <c r="BC38557" s="141"/>
    </row>
    <row r="38558">
      <c r="BB38558" s="122"/>
      <c r="BC38558" s="141"/>
    </row>
    <row r="38559">
      <c r="BB38559" s="122"/>
      <c r="BC38559" s="141"/>
    </row>
    <row r="38560">
      <c r="BB38560" s="122"/>
      <c r="BC38560" s="141"/>
    </row>
    <row r="38561">
      <c r="BB38561" s="122"/>
      <c r="BC38561" s="141"/>
    </row>
    <row r="38562">
      <c r="BB38562" s="122"/>
      <c r="BC38562" s="141"/>
    </row>
    <row r="38563">
      <c r="BB38563" s="122"/>
      <c r="BC38563" s="141"/>
    </row>
    <row r="38564">
      <c r="BB38564" s="122"/>
      <c r="BC38564" s="141"/>
    </row>
    <row r="38565">
      <c r="BB38565" s="122"/>
      <c r="BC38565" s="141"/>
    </row>
    <row r="38566">
      <c r="BB38566" s="122"/>
      <c r="BC38566" s="141"/>
    </row>
    <row r="38567">
      <c r="BB38567" s="122"/>
      <c r="BC38567" s="141"/>
    </row>
    <row r="38568">
      <c r="BB38568" s="122"/>
      <c r="BC38568" s="141"/>
    </row>
    <row r="38569">
      <c r="BB38569" s="122"/>
      <c r="BC38569" s="141"/>
    </row>
    <row r="38570">
      <c r="BB38570" s="122"/>
      <c r="BC38570" s="141"/>
    </row>
    <row r="38571">
      <c r="BB38571" s="122"/>
      <c r="BC38571" s="141"/>
    </row>
    <row r="38572">
      <c r="BB38572" s="122"/>
      <c r="BC38572" s="141"/>
    </row>
    <row r="38573">
      <c r="BB38573" s="122"/>
      <c r="BC38573" s="141"/>
    </row>
    <row r="38574">
      <c r="BB38574" s="122"/>
      <c r="BC38574" s="141"/>
    </row>
    <row r="38575">
      <c r="BB38575" s="122"/>
      <c r="BC38575" s="141"/>
    </row>
    <row r="38576">
      <c r="BB38576" s="122"/>
      <c r="BC38576" s="141"/>
    </row>
    <row r="38577">
      <c r="BB38577" s="122"/>
      <c r="BC38577" s="141"/>
    </row>
    <row r="38578">
      <c r="BB38578" s="122"/>
      <c r="BC38578" s="141"/>
    </row>
    <row r="38579">
      <c r="BB38579" s="122"/>
      <c r="BC38579" s="141"/>
    </row>
    <row r="38580">
      <c r="BB38580" s="122"/>
      <c r="BC38580" s="141"/>
    </row>
    <row r="38581">
      <c r="BB38581" s="122"/>
      <c r="BC38581" s="141"/>
    </row>
    <row r="38582">
      <c r="BB38582" s="122"/>
      <c r="BC38582" s="141"/>
    </row>
    <row r="38583">
      <c r="BB38583" s="122"/>
      <c r="BC38583" s="141"/>
    </row>
    <row r="38584">
      <c r="BB38584" s="122"/>
      <c r="BC38584" s="141"/>
    </row>
    <row r="38585">
      <c r="BB38585" s="122"/>
      <c r="BC38585" s="141"/>
    </row>
    <row r="38586">
      <c r="BB38586" s="122"/>
      <c r="BC38586" s="141"/>
    </row>
    <row r="38587">
      <c r="BB38587" s="122"/>
      <c r="BC38587" s="141"/>
    </row>
    <row r="38588">
      <c r="BB38588" s="122"/>
      <c r="BC38588" s="141"/>
    </row>
    <row r="38589">
      <c r="BB38589" s="122"/>
      <c r="BC38589" s="141"/>
    </row>
    <row r="38590">
      <c r="BB38590" s="122"/>
      <c r="BC38590" s="141"/>
    </row>
    <row r="38591">
      <c r="BB38591" s="122"/>
      <c r="BC38591" s="141"/>
    </row>
    <row r="38592">
      <c r="BB38592" s="122"/>
      <c r="BC38592" s="141"/>
    </row>
    <row r="38593">
      <c r="BB38593" s="122"/>
      <c r="BC38593" s="141"/>
    </row>
    <row r="38594">
      <c r="BB38594" s="122"/>
      <c r="BC38594" s="141"/>
    </row>
    <row r="38595">
      <c r="BB38595" s="122"/>
      <c r="BC38595" s="141"/>
    </row>
    <row r="38596">
      <c r="BB38596" s="122"/>
      <c r="BC38596" s="141"/>
    </row>
    <row r="38597">
      <c r="BB38597" s="122"/>
      <c r="BC38597" s="141"/>
    </row>
    <row r="38598">
      <c r="BB38598" s="122"/>
      <c r="BC38598" s="141"/>
    </row>
    <row r="38599">
      <c r="BB38599" s="122"/>
      <c r="BC38599" s="141"/>
    </row>
    <row r="38600">
      <c r="BB38600" s="122"/>
      <c r="BC38600" s="141"/>
    </row>
    <row r="38601">
      <c r="BB38601" s="122"/>
      <c r="BC38601" s="141"/>
    </row>
    <row r="38602">
      <c r="BB38602" s="122"/>
      <c r="BC38602" s="141"/>
    </row>
    <row r="38603">
      <c r="BB38603" s="122"/>
      <c r="BC38603" s="141"/>
    </row>
    <row r="38604">
      <c r="BB38604" s="122"/>
      <c r="BC38604" s="141"/>
    </row>
    <row r="38605">
      <c r="BB38605" s="122"/>
      <c r="BC38605" s="141"/>
    </row>
    <row r="38606">
      <c r="BB38606" s="122"/>
      <c r="BC38606" s="141"/>
    </row>
    <row r="38607">
      <c r="BB38607" s="122"/>
      <c r="BC38607" s="141"/>
    </row>
    <row r="38608">
      <c r="BB38608" s="122"/>
      <c r="BC38608" s="141"/>
    </row>
    <row r="38609">
      <c r="BB38609" s="122"/>
      <c r="BC38609" s="141"/>
    </row>
    <row r="38610">
      <c r="BB38610" s="122"/>
      <c r="BC38610" s="141"/>
    </row>
    <row r="38611">
      <c r="BB38611" s="122"/>
      <c r="BC38611" s="141"/>
    </row>
    <row r="38612">
      <c r="BB38612" s="122"/>
      <c r="BC38612" s="141"/>
    </row>
    <row r="38613">
      <c r="BB38613" s="122"/>
      <c r="BC38613" s="141"/>
    </row>
    <row r="38614">
      <c r="BB38614" s="122"/>
      <c r="BC38614" s="141"/>
    </row>
    <row r="38615">
      <c r="BB38615" s="122"/>
      <c r="BC38615" s="141"/>
    </row>
    <row r="38616">
      <c r="BB38616" s="122"/>
      <c r="BC38616" s="141"/>
    </row>
    <row r="38617">
      <c r="BB38617" s="122"/>
      <c r="BC38617" s="141"/>
    </row>
    <row r="38618">
      <c r="BB38618" s="122"/>
      <c r="BC38618" s="141"/>
    </row>
    <row r="38619">
      <c r="BB38619" s="122"/>
      <c r="BC38619" s="141"/>
    </row>
    <row r="38620">
      <c r="BB38620" s="122"/>
      <c r="BC38620" s="141"/>
    </row>
    <row r="38621">
      <c r="BB38621" s="122"/>
      <c r="BC38621" s="141"/>
    </row>
    <row r="38622">
      <c r="BB38622" s="122"/>
      <c r="BC38622" s="141"/>
    </row>
    <row r="38623">
      <c r="BB38623" s="122"/>
      <c r="BC38623" s="141"/>
    </row>
    <row r="38624">
      <c r="BB38624" s="122"/>
      <c r="BC38624" s="141"/>
    </row>
    <row r="38625">
      <c r="BB38625" s="122"/>
      <c r="BC38625" s="141"/>
    </row>
    <row r="38626">
      <c r="BB38626" s="122"/>
      <c r="BC38626" s="141"/>
    </row>
    <row r="38627">
      <c r="BB38627" s="122"/>
      <c r="BC38627" s="141"/>
    </row>
    <row r="38628">
      <c r="BB38628" s="122"/>
      <c r="BC38628" s="141"/>
    </row>
    <row r="38629">
      <c r="BB38629" s="122"/>
      <c r="BC38629" s="141"/>
    </row>
    <row r="38630">
      <c r="BB38630" s="122"/>
      <c r="BC38630" s="141"/>
    </row>
    <row r="38631">
      <c r="BB38631" s="122"/>
      <c r="BC38631" s="141"/>
    </row>
    <row r="38632">
      <c r="BB38632" s="122"/>
      <c r="BC38632" s="141"/>
    </row>
    <row r="38633">
      <c r="BB38633" s="122"/>
      <c r="BC38633" s="141"/>
    </row>
    <row r="38634">
      <c r="BB38634" s="122"/>
      <c r="BC38634" s="141"/>
    </row>
    <row r="38635">
      <c r="BB38635" s="122"/>
      <c r="BC38635" s="141"/>
    </row>
    <row r="38636">
      <c r="BB38636" s="122"/>
      <c r="BC38636" s="141"/>
    </row>
    <row r="38637">
      <c r="BB38637" s="122"/>
      <c r="BC38637" s="141"/>
    </row>
    <row r="38638">
      <c r="BB38638" s="122"/>
      <c r="BC38638" s="141"/>
    </row>
    <row r="38639">
      <c r="BB38639" s="122"/>
      <c r="BC38639" s="141"/>
    </row>
    <row r="38640">
      <c r="BB38640" s="122"/>
      <c r="BC38640" s="141"/>
    </row>
    <row r="38641">
      <c r="BB38641" s="122"/>
      <c r="BC38641" s="141"/>
    </row>
    <row r="38642">
      <c r="BB38642" s="122"/>
      <c r="BC38642" s="141"/>
    </row>
    <row r="38643">
      <c r="BB38643" s="122"/>
      <c r="BC38643" s="141"/>
    </row>
    <row r="38644">
      <c r="BB38644" s="122"/>
      <c r="BC38644" s="141"/>
    </row>
    <row r="38645">
      <c r="BB38645" s="122"/>
      <c r="BC38645" s="141"/>
    </row>
    <row r="38646">
      <c r="BB38646" s="122"/>
      <c r="BC38646" s="141"/>
    </row>
    <row r="38647">
      <c r="BB38647" s="122"/>
      <c r="BC38647" s="141"/>
    </row>
    <row r="38648">
      <c r="BB38648" s="122"/>
      <c r="BC38648" s="141"/>
    </row>
    <row r="38649">
      <c r="BB38649" s="122"/>
      <c r="BC38649" s="141"/>
    </row>
    <row r="38650">
      <c r="BB38650" s="122"/>
      <c r="BC38650" s="141"/>
    </row>
    <row r="38651">
      <c r="BB38651" s="122"/>
      <c r="BC38651" s="141"/>
    </row>
    <row r="38652">
      <c r="BB38652" s="122"/>
      <c r="BC38652" s="141"/>
    </row>
    <row r="38653">
      <c r="BB38653" s="122"/>
      <c r="BC38653" s="141"/>
    </row>
    <row r="38654">
      <c r="BB38654" s="122"/>
      <c r="BC38654" s="141"/>
    </row>
    <row r="38655">
      <c r="BB38655" s="122"/>
      <c r="BC38655" s="141"/>
    </row>
    <row r="38656">
      <c r="BB38656" s="122"/>
      <c r="BC38656" s="141"/>
    </row>
    <row r="38657">
      <c r="BB38657" s="122"/>
      <c r="BC38657" s="141"/>
    </row>
    <row r="38658">
      <c r="BB38658" s="122"/>
      <c r="BC38658" s="141"/>
    </row>
    <row r="38659">
      <c r="BB38659" s="122"/>
      <c r="BC38659" s="141"/>
    </row>
    <row r="38660">
      <c r="BB38660" s="122"/>
      <c r="BC38660" s="141"/>
    </row>
    <row r="38661">
      <c r="BB38661" s="122"/>
      <c r="BC38661" s="141"/>
    </row>
    <row r="38662">
      <c r="BB38662" s="122"/>
      <c r="BC38662" s="141"/>
    </row>
    <row r="38663">
      <c r="BB38663" s="122"/>
      <c r="BC38663" s="141"/>
    </row>
    <row r="38664">
      <c r="BB38664" s="122"/>
      <c r="BC38664" s="141"/>
    </row>
    <row r="38665">
      <c r="BB38665" s="122"/>
      <c r="BC38665" s="141"/>
    </row>
    <row r="38666">
      <c r="BB38666" s="122"/>
      <c r="BC38666" s="141"/>
    </row>
    <row r="38667">
      <c r="BB38667" s="122"/>
      <c r="BC38667" s="141"/>
    </row>
    <row r="38668">
      <c r="BB38668" s="122"/>
      <c r="BC38668" s="141"/>
    </row>
    <row r="38669">
      <c r="BB38669" s="122"/>
      <c r="BC38669" s="141"/>
    </row>
    <row r="38670">
      <c r="BB38670" s="122"/>
      <c r="BC38670" s="141"/>
    </row>
    <row r="38671">
      <c r="BB38671" s="122"/>
      <c r="BC38671" s="141"/>
    </row>
    <row r="38672">
      <c r="BB38672" s="122"/>
      <c r="BC38672" s="141"/>
    </row>
    <row r="38673">
      <c r="BB38673" s="122"/>
      <c r="BC38673" s="141"/>
    </row>
    <row r="38674">
      <c r="BB38674" s="122"/>
      <c r="BC38674" s="141"/>
    </row>
    <row r="38675">
      <c r="BB38675" s="122"/>
      <c r="BC38675" s="141"/>
    </row>
    <row r="38676">
      <c r="BB38676" s="122"/>
      <c r="BC38676" s="141"/>
    </row>
    <row r="38677">
      <c r="BB38677" s="122"/>
      <c r="BC38677" s="141"/>
    </row>
    <row r="38678">
      <c r="BB38678" s="122"/>
      <c r="BC38678" s="141"/>
    </row>
    <row r="38679">
      <c r="BB38679" s="122"/>
      <c r="BC38679" s="141"/>
    </row>
    <row r="38680">
      <c r="BB38680" s="122"/>
      <c r="BC38680" s="141"/>
    </row>
    <row r="38681">
      <c r="BB38681" s="122"/>
      <c r="BC38681" s="141"/>
    </row>
    <row r="38682">
      <c r="BB38682" s="122"/>
      <c r="BC38682" s="141"/>
    </row>
    <row r="38683">
      <c r="BB38683" s="122"/>
      <c r="BC38683" s="141"/>
    </row>
    <row r="38684">
      <c r="BB38684" s="122"/>
      <c r="BC38684" s="141"/>
    </row>
    <row r="38685">
      <c r="BB38685" s="122"/>
      <c r="BC38685" s="141"/>
    </row>
    <row r="38686">
      <c r="BB38686" s="122"/>
      <c r="BC38686" s="141"/>
    </row>
    <row r="38687">
      <c r="BB38687" s="122"/>
      <c r="BC38687" s="141"/>
    </row>
    <row r="38688">
      <c r="BB38688" s="122"/>
      <c r="BC38688" s="141"/>
    </row>
    <row r="38689">
      <c r="BB38689" s="122"/>
      <c r="BC38689" s="141"/>
    </row>
    <row r="38690">
      <c r="BB38690" s="122"/>
      <c r="BC38690" s="141"/>
    </row>
    <row r="38691">
      <c r="BB38691" s="122"/>
      <c r="BC38691" s="141"/>
    </row>
    <row r="38692">
      <c r="BB38692" s="122"/>
      <c r="BC38692" s="141"/>
    </row>
    <row r="38693">
      <c r="BB38693" s="122"/>
      <c r="BC38693" s="141"/>
    </row>
    <row r="38694">
      <c r="BB38694" s="122"/>
      <c r="BC38694" s="141"/>
    </row>
    <row r="38695">
      <c r="BB38695" s="122"/>
      <c r="BC38695" s="141"/>
    </row>
    <row r="38696">
      <c r="BB38696" s="122"/>
      <c r="BC38696" s="141"/>
    </row>
    <row r="38697">
      <c r="BB38697" s="122"/>
      <c r="BC38697" s="141"/>
    </row>
    <row r="38698">
      <c r="BB38698" s="122"/>
      <c r="BC38698" s="141"/>
    </row>
    <row r="38699">
      <c r="BB38699" s="122"/>
      <c r="BC38699" s="141"/>
    </row>
    <row r="38700">
      <c r="BB38700" s="122"/>
      <c r="BC38700" s="141"/>
    </row>
    <row r="38701">
      <c r="BB38701" s="122"/>
      <c r="BC38701" s="141"/>
    </row>
    <row r="38702">
      <c r="BB38702" s="122"/>
      <c r="BC38702" s="141"/>
    </row>
    <row r="38703">
      <c r="BB38703" s="122"/>
      <c r="BC38703" s="141"/>
    </row>
    <row r="38704">
      <c r="BB38704" s="122"/>
      <c r="BC38704" s="141"/>
    </row>
    <row r="38705">
      <c r="BB38705" s="122"/>
      <c r="BC38705" s="141"/>
    </row>
    <row r="38706">
      <c r="BB38706" s="122"/>
      <c r="BC38706" s="141"/>
    </row>
    <row r="38707">
      <c r="BB38707" s="122"/>
      <c r="BC38707" s="141"/>
    </row>
    <row r="38708">
      <c r="BB38708" s="122"/>
      <c r="BC38708" s="141"/>
    </row>
    <row r="38709">
      <c r="BB38709" s="122"/>
      <c r="BC38709" s="141"/>
    </row>
    <row r="38710">
      <c r="BB38710" s="122"/>
      <c r="BC38710" s="141"/>
    </row>
    <row r="38711">
      <c r="BB38711" s="122"/>
      <c r="BC38711" s="141"/>
    </row>
    <row r="38712">
      <c r="BB38712" s="122"/>
      <c r="BC38712" s="141"/>
    </row>
    <row r="38713">
      <c r="BB38713" s="122"/>
      <c r="BC38713" s="141"/>
    </row>
    <row r="38714">
      <c r="BB38714" s="122"/>
      <c r="BC38714" s="141"/>
    </row>
    <row r="38715">
      <c r="BB38715" s="122"/>
      <c r="BC38715" s="141"/>
    </row>
    <row r="38716">
      <c r="BB38716" s="122"/>
      <c r="BC38716" s="141"/>
    </row>
    <row r="38717">
      <c r="BB38717" s="122"/>
      <c r="BC38717" s="141"/>
    </row>
    <row r="38718">
      <c r="BB38718" s="122"/>
      <c r="BC38718" s="141"/>
    </row>
    <row r="38719">
      <c r="BB38719" s="122"/>
      <c r="BC38719" s="141"/>
    </row>
    <row r="38720">
      <c r="BB38720" s="122"/>
      <c r="BC38720" s="141"/>
    </row>
    <row r="38721">
      <c r="BB38721" s="122"/>
      <c r="BC38721" s="141"/>
    </row>
    <row r="38722">
      <c r="BB38722" s="122"/>
      <c r="BC38722" s="141"/>
    </row>
    <row r="38723">
      <c r="BB38723" s="122"/>
      <c r="BC38723" s="141"/>
    </row>
    <row r="38724">
      <c r="BB38724" s="122"/>
      <c r="BC38724" s="141"/>
    </row>
    <row r="38725">
      <c r="BB38725" s="122"/>
      <c r="BC38725" s="141"/>
    </row>
    <row r="38726">
      <c r="BB38726" s="122"/>
      <c r="BC38726" s="141"/>
    </row>
    <row r="38727">
      <c r="BB38727" s="122"/>
      <c r="BC38727" s="141"/>
    </row>
    <row r="38728">
      <c r="BB38728" s="122"/>
      <c r="BC38728" s="141"/>
    </row>
    <row r="38729">
      <c r="BB38729" s="122"/>
      <c r="BC38729" s="141"/>
    </row>
    <row r="38730">
      <c r="BB38730" s="122"/>
      <c r="BC38730" s="141"/>
    </row>
    <row r="38731">
      <c r="BB38731" s="122"/>
      <c r="BC38731" s="141"/>
    </row>
    <row r="38732">
      <c r="BB38732" s="122"/>
      <c r="BC38732" s="141"/>
    </row>
    <row r="38733">
      <c r="BB38733" s="122"/>
      <c r="BC38733" s="141"/>
    </row>
    <row r="38734">
      <c r="BB38734" s="122"/>
      <c r="BC38734" s="141"/>
    </row>
    <row r="38735">
      <c r="BB38735" s="122"/>
      <c r="BC38735" s="141"/>
    </row>
    <row r="38736">
      <c r="BB38736" s="122"/>
      <c r="BC38736" s="141"/>
    </row>
    <row r="38737">
      <c r="BB38737" s="122"/>
      <c r="BC38737" s="141"/>
    </row>
    <row r="38738">
      <c r="BB38738" s="122"/>
      <c r="BC38738" s="141"/>
    </row>
    <row r="38739">
      <c r="BB38739" s="122"/>
      <c r="BC38739" s="141"/>
    </row>
    <row r="38740">
      <c r="BB38740" s="122"/>
      <c r="BC38740" s="141"/>
    </row>
    <row r="38741">
      <c r="BB38741" s="122"/>
      <c r="BC38741" s="141"/>
    </row>
    <row r="38742">
      <c r="BB38742" s="122"/>
      <c r="BC38742" s="141"/>
    </row>
    <row r="38743">
      <c r="BB38743" s="122"/>
      <c r="BC38743" s="141"/>
    </row>
    <row r="38744">
      <c r="BB38744" s="122"/>
      <c r="BC38744" s="141"/>
    </row>
    <row r="38745">
      <c r="BB38745" s="122"/>
      <c r="BC38745" s="141"/>
    </row>
    <row r="38746">
      <c r="BB38746" s="122"/>
      <c r="BC38746" s="141"/>
    </row>
    <row r="38747">
      <c r="BB38747" s="122"/>
      <c r="BC38747" s="141"/>
    </row>
    <row r="38748">
      <c r="BB38748" s="122"/>
      <c r="BC38748" s="141"/>
    </row>
    <row r="38749">
      <c r="BB38749" s="122"/>
      <c r="BC38749" s="141"/>
    </row>
    <row r="38750">
      <c r="BB38750" s="122"/>
      <c r="BC38750" s="141"/>
    </row>
    <row r="38751">
      <c r="BB38751" s="122"/>
      <c r="BC38751" s="141"/>
    </row>
    <row r="38752">
      <c r="BB38752" s="122"/>
      <c r="BC38752" s="141"/>
    </row>
    <row r="38753">
      <c r="BB38753" s="122"/>
      <c r="BC38753" s="141"/>
    </row>
    <row r="38754">
      <c r="BB38754" s="122"/>
      <c r="BC38754" s="141"/>
    </row>
    <row r="38755">
      <c r="BB38755" s="122"/>
      <c r="BC38755" s="141"/>
    </row>
    <row r="38756">
      <c r="BB38756" s="122"/>
      <c r="BC38756" s="141"/>
    </row>
    <row r="38757">
      <c r="BB38757" s="122"/>
      <c r="BC38757" s="141"/>
    </row>
    <row r="38758">
      <c r="BB38758" s="122"/>
      <c r="BC38758" s="141"/>
    </row>
    <row r="38759">
      <c r="BB38759" s="122"/>
      <c r="BC38759" s="141"/>
    </row>
    <row r="38760">
      <c r="BB38760" s="122"/>
      <c r="BC38760" s="141"/>
    </row>
    <row r="38761">
      <c r="BB38761" s="122"/>
      <c r="BC38761" s="141"/>
    </row>
    <row r="38762">
      <c r="BB38762" s="122"/>
      <c r="BC38762" s="141"/>
    </row>
    <row r="38763">
      <c r="BB38763" s="122"/>
      <c r="BC38763" s="141"/>
    </row>
    <row r="38764">
      <c r="BB38764" s="122"/>
      <c r="BC38764" s="141"/>
    </row>
    <row r="38765">
      <c r="BB38765" s="122"/>
      <c r="BC38765" s="141"/>
    </row>
    <row r="38766">
      <c r="BB38766" s="122"/>
      <c r="BC38766" s="141"/>
    </row>
    <row r="38767">
      <c r="BB38767" s="122"/>
      <c r="BC38767" s="141"/>
    </row>
    <row r="38768">
      <c r="BB38768" s="122"/>
      <c r="BC38768" s="141"/>
    </row>
    <row r="38769">
      <c r="BB38769" s="122"/>
      <c r="BC38769" s="141"/>
    </row>
    <row r="38770">
      <c r="BB38770" s="122"/>
      <c r="BC38770" s="141"/>
    </row>
    <row r="38771">
      <c r="BB38771" s="122"/>
      <c r="BC38771" s="141"/>
    </row>
    <row r="38772">
      <c r="BB38772" s="122"/>
      <c r="BC38772" s="141"/>
    </row>
    <row r="38773">
      <c r="BB38773" s="122"/>
      <c r="BC38773" s="141"/>
    </row>
    <row r="38774">
      <c r="BB38774" s="122"/>
      <c r="BC38774" s="141"/>
    </row>
    <row r="38775">
      <c r="BB38775" s="122"/>
      <c r="BC38775" s="141"/>
    </row>
    <row r="38776">
      <c r="BB38776" s="122"/>
      <c r="BC38776" s="141"/>
    </row>
    <row r="38777">
      <c r="BB38777" s="122"/>
      <c r="BC38777" s="141"/>
    </row>
    <row r="38778">
      <c r="BB38778" s="122"/>
      <c r="BC38778" s="141"/>
    </row>
    <row r="38779">
      <c r="BB38779" s="122"/>
      <c r="BC38779" s="141"/>
    </row>
    <row r="38780">
      <c r="BB38780" s="122"/>
      <c r="BC38780" s="141"/>
    </row>
    <row r="38781">
      <c r="BB38781" s="122"/>
      <c r="BC38781" s="141"/>
    </row>
    <row r="38782">
      <c r="BB38782" s="122"/>
      <c r="BC38782" s="141"/>
    </row>
    <row r="38783">
      <c r="BB38783" s="122"/>
      <c r="BC38783" s="141"/>
    </row>
    <row r="38784">
      <c r="BB38784" s="122"/>
      <c r="BC38784" s="141"/>
    </row>
    <row r="38785">
      <c r="BB38785" s="122"/>
      <c r="BC38785" s="141"/>
    </row>
    <row r="38786">
      <c r="BB38786" s="122"/>
      <c r="BC38786" s="141"/>
    </row>
    <row r="38787">
      <c r="BB38787" s="122"/>
      <c r="BC38787" s="141"/>
    </row>
    <row r="38788">
      <c r="BB38788" s="122"/>
      <c r="BC38788" s="141"/>
    </row>
    <row r="38789">
      <c r="BB38789" s="122"/>
      <c r="BC38789" s="141"/>
    </row>
    <row r="38790">
      <c r="BB38790" s="122"/>
      <c r="BC38790" s="141"/>
    </row>
    <row r="38791">
      <c r="BB38791" s="122"/>
      <c r="BC38791" s="141"/>
    </row>
    <row r="38792">
      <c r="BB38792" s="122"/>
      <c r="BC38792" s="141"/>
    </row>
    <row r="38793">
      <c r="BB38793" s="122"/>
      <c r="BC38793" s="141"/>
    </row>
    <row r="38794">
      <c r="BB38794" s="122"/>
      <c r="BC38794" s="141"/>
    </row>
    <row r="38795">
      <c r="BB38795" s="122"/>
      <c r="BC38795" s="141"/>
    </row>
    <row r="38796">
      <c r="BB38796" s="122"/>
      <c r="BC38796" s="141"/>
    </row>
    <row r="38797">
      <c r="BB38797" s="122"/>
      <c r="BC38797" s="141"/>
    </row>
    <row r="38798">
      <c r="BB38798" s="122"/>
      <c r="BC38798" s="141"/>
    </row>
    <row r="38799">
      <c r="BB38799" s="122"/>
      <c r="BC38799" s="141"/>
    </row>
    <row r="38800">
      <c r="BB38800" s="122"/>
      <c r="BC38800" s="141"/>
    </row>
    <row r="38801">
      <c r="BB38801" s="122"/>
      <c r="BC38801" s="141"/>
    </row>
    <row r="38802">
      <c r="BB38802" s="122"/>
      <c r="BC38802" s="141"/>
    </row>
    <row r="38803">
      <c r="BB38803" s="122"/>
      <c r="BC38803" s="141"/>
    </row>
    <row r="38804">
      <c r="BB38804" s="122"/>
      <c r="BC38804" s="141"/>
    </row>
    <row r="38805">
      <c r="BB38805" s="122"/>
      <c r="BC38805" s="141"/>
    </row>
    <row r="38806">
      <c r="BB38806" s="122"/>
      <c r="BC38806" s="141"/>
    </row>
    <row r="38807">
      <c r="BB38807" s="122"/>
      <c r="BC38807" s="141"/>
    </row>
    <row r="38808">
      <c r="BB38808" s="122"/>
      <c r="BC38808" s="141"/>
    </row>
    <row r="38809">
      <c r="BB38809" s="122"/>
      <c r="BC38809" s="141"/>
    </row>
    <row r="38810">
      <c r="BB38810" s="122"/>
      <c r="BC38810" s="141"/>
    </row>
    <row r="38811">
      <c r="BB38811" s="122"/>
      <c r="BC38811" s="141"/>
    </row>
    <row r="38812">
      <c r="BB38812" s="122"/>
      <c r="BC38812" s="141"/>
    </row>
    <row r="38813">
      <c r="BB38813" s="122"/>
      <c r="BC38813" s="141"/>
    </row>
    <row r="38814">
      <c r="BB38814" s="122"/>
      <c r="BC38814" s="141"/>
    </row>
    <row r="38815">
      <c r="BB38815" s="122"/>
      <c r="BC38815" s="141"/>
    </row>
    <row r="38816">
      <c r="BB38816" s="122"/>
      <c r="BC38816" s="141"/>
    </row>
    <row r="38817">
      <c r="BB38817" s="122"/>
      <c r="BC38817" s="141"/>
    </row>
    <row r="38818">
      <c r="BB38818" s="122"/>
      <c r="BC38818" s="141"/>
    </row>
    <row r="38819">
      <c r="BB38819" s="122"/>
      <c r="BC38819" s="141"/>
    </row>
    <row r="38820">
      <c r="BB38820" s="122"/>
      <c r="BC38820" s="141"/>
    </row>
    <row r="38821">
      <c r="BB38821" s="122"/>
      <c r="BC38821" s="141"/>
    </row>
    <row r="38822">
      <c r="BB38822" s="122"/>
      <c r="BC38822" s="141"/>
    </row>
    <row r="38823">
      <c r="BB38823" s="122"/>
      <c r="BC38823" s="141"/>
    </row>
    <row r="38824">
      <c r="BB38824" s="122"/>
      <c r="BC38824" s="141"/>
    </row>
    <row r="38825">
      <c r="BB38825" s="122"/>
      <c r="BC38825" s="141"/>
    </row>
    <row r="38826">
      <c r="BB38826" s="122"/>
      <c r="BC38826" s="141"/>
    </row>
    <row r="38827">
      <c r="BB38827" s="122"/>
      <c r="BC38827" s="141"/>
    </row>
    <row r="38828">
      <c r="BB38828" s="122"/>
      <c r="BC38828" s="141"/>
    </row>
    <row r="38829">
      <c r="BB38829" s="122"/>
      <c r="BC38829" s="141"/>
    </row>
    <row r="38830">
      <c r="BB38830" s="122"/>
      <c r="BC38830" s="141"/>
    </row>
    <row r="38831">
      <c r="BB38831" s="122"/>
      <c r="BC38831" s="141"/>
    </row>
    <row r="38832">
      <c r="BB38832" s="122"/>
      <c r="BC38832" s="141"/>
    </row>
    <row r="38833">
      <c r="BB38833" s="122"/>
      <c r="BC38833" s="141"/>
    </row>
    <row r="38834">
      <c r="BB38834" s="122"/>
      <c r="BC38834" s="141"/>
    </row>
    <row r="38835">
      <c r="BB38835" s="122"/>
      <c r="BC38835" s="141"/>
    </row>
    <row r="38836">
      <c r="BB38836" s="122"/>
      <c r="BC38836" s="141"/>
    </row>
    <row r="38837">
      <c r="BB38837" s="122"/>
      <c r="BC38837" s="141"/>
    </row>
    <row r="38838">
      <c r="BB38838" s="122"/>
      <c r="BC38838" s="141"/>
    </row>
    <row r="38839">
      <c r="BB38839" s="122"/>
      <c r="BC38839" s="141"/>
    </row>
    <row r="38840">
      <c r="BB38840" s="122"/>
      <c r="BC38840" s="141"/>
    </row>
    <row r="38841">
      <c r="BB38841" s="122"/>
      <c r="BC38841" s="141"/>
    </row>
    <row r="38842">
      <c r="BB38842" s="122"/>
      <c r="BC38842" s="141"/>
    </row>
    <row r="38843">
      <c r="BB38843" s="122"/>
      <c r="BC38843" s="141"/>
    </row>
    <row r="38844">
      <c r="BB38844" s="122"/>
      <c r="BC38844" s="141"/>
    </row>
    <row r="38845">
      <c r="BB38845" s="122"/>
      <c r="BC38845" s="141"/>
    </row>
    <row r="38846">
      <c r="BB38846" s="122"/>
      <c r="BC38846" s="141"/>
    </row>
    <row r="38847">
      <c r="BB38847" s="122"/>
      <c r="BC38847" s="141"/>
    </row>
    <row r="38848">
      <c r="BB38848" s="122"/>
      <c r="BC38848" s="141"/>
    </row>
    <row r="38849">
      <c r="BB38849" s="122"/>
      <c r="BC38849" s="141"/>
    </row>
    <row r="38850">
      <c r="BB38850" s="122"/>
      <c r="BC38850" s="141"/>
    </row>
    <row r="38851">
      <c r="BB38851" s="122"/>
      <c r="BC38851" s="141"/>
    </row>
    <row r="38852">
      <c r="BB38852" s="122"/>
      <c r="BC38852" s="141"/>
    </row>
    <row r="38853">
      <c r="BB38853" s="122"/>
      <c r="BC38853" s="141"/>
    </row>
    <row r="38854">
      <c r="BB38854" s="122"/>
      <c r="BC38854" s="141"/>
    </row>
    <row r="38855">
      <c r="BB38855" s="122"/>
      <c r="BC38855" s="141"/>
    </row>
    <row r="38856">
      <c r="BB38856" s="122"/>
      <c r="BC38856" s="141"/>
    </row>
    <row r="38857">
      <c r="BB38857" s="122"/>
      <c r="BC38857" s="141"/>
    </row>
    <row r="38858">
      <c r="BB38858" s="122"/>
      <c r="BC38858" s="141"/>
    </row>
    <row r="38859">
      <c r="BB38859" s="122"/>
      <c r="BC38859" s="141"/>
    </row>
    <row r="38860">
      <c r="BB38860" s="122"/>
      <c r="BC38860" s="141"/>
    </row>
    <row r="38861">
      <c r="BB38861" s="122"/>
      <c r="BC38861" s="141"/>
    </row>
    <row r="38862">
      <c r="BB38862" s="122"/>
      <c r="BC38862" s="141"/>
    </row>
    <row r="38863">
      <c r="BB38863" s="122"/>
      <c r="BC38863" s="141"/>
    </row>
    <row r="38864">
      <c r="BB38864" s="122"/>
      <c r="BC38864" s="141"/>
    </row>
    <row r="38865">
      <c r="BB38865" s="122"/>
      <c r="BC38865" s="141"/>
    </row>
    <row r="38866">
      <c r="BB38866" s="122"/>
      <c r="BC38866" s="141"/>
    </row>
    <row r="38867">
      <c r="BB38867" s="122"/>
      <c r="BC38867" s="141"/>
    </row>
    <row r="38868">
      <c r="BB38868" s="122"/>
      <c r="BC38868" s="141"/>
    </row>
    <row r="38869">
      <c r="BB38869" s="122"/>
      <c r="BC38869" s="141"/>
    </row>
    <row r="38870">
      <c r="BB38870" s="122"/>
      <c r="BC38870" s="141"/>
    </row>
    <row r="38871">
      <c r="BB38871" s="122"/>
      <c r="BC38871" s="141"/>
    </row>
    <row r="38872">
      <c r="BB38872" s="122"/>
      <c r="BC38872" s="141"/>
    </row>
    <row r="38873">
      <c r="BB38873" s="122"/>
      <c r="BC38873" s="141"/>
    </row>
    <row r="38874">
      <c r="BB38874" s="122"/>
      <c r="BC38874" s="141"/>
    </row>
    <row r="38875">
      <c r="BB38875" s="122"/>
      <c r="BC38875" s="141"/>
    </row>
    <row r="38876">
      <c r="BB38876" s="122"/>
      <c r="BC38876" s="141"/>
    </row>
    <row r="38877">
      <c r="BB38877" s="122"/>
      <c r="BC38877" s="141"/>
    </row>
    <row r="38878">
      <c r="BB38878" s="122"/>
      <c r="BC38878" s="141"/>
    </row>
    <row r="38879">
      <c r="BB38879" s="122"/>
      <c r="BC38879" s="141"/>
    </row>
    <row r="38880">
      <c r="BB38880" s="122"/>
      <c r="BC38880" s="141"/>
    </row>
    <row r="38881">
      <c r="BB38881" s="122"/>
      <c r="BC38881" s="141"/>
    </row>
    <row r="38882">
      <c r="BB38882" s="122"/>
      <c r="BC38882" s="141"/>
    </row>
    <row r="38883">
      <c r="BB38883" s="122"/>
      <c r="BC38883" s="141"/>
    </row>
    <row r="38884">
      <c r="BB38884" s="122"/>
      <c r="BC38884" s="141"/>
    </row>
    <row r="38885">
      <c r="BB38885" s="122"/>
      <c r="BC38885" s="141"/>
    </row>
    <row r="38886">
      <c r="BB38886" s="122"/>
      <c r="BC38886" s="141"/>
    </row>
    <row r="38887">
      <c r="BB38887" s="122"/>
      <c r="BC38887" s="141"/>
    </row>
    <row r="38888">
      <c r="BB38888" s="122"/>
      <c r="BC38888" s="141"/>
    </row>
    <row r="38889">
      <c r="BB38889" s="122"/>
      <c r="BC38889" s="141"/>
    </row>
    <row r="38890">
      <c r="BB38890" s="122"/>
      <c r="BC38890" s="141"/>
    </row>
    <row r="38891">
      <c r="BB38891" s="122"/>
      <c r="BC38891" s="141"/>
    </row>
    <row r="38892">
      <c r="BB38892" s="122"/>
      <c r="BC38892" s="141"/>
    </row>
    <row r="38893">
      <c r="BB38893" s="122"/>
      <c r="BC38893" s="141"/>
    </row>
    <row r="38894">
      <c r="BB38894" s="122"/>
      <c r="BC38894" s="141"/>
    </row>
    <row r="38895">
      <c r="BB38895" s="122"/>
      <c r="BC38895" s="141"/>
    </row>
    <row r="38896">
      <c r="BB38896" s="122"/>
      <c r="BC38896" s="141"/>
    </row>
    <row r="38897">
      <c r="BB38897" s="122"/>
      <c r="BC38897" s="141"/>
    </row>
    <row r="38898">
      <c r="BB38898" s="122"/>
      <c r="BC38898" s="141"/>
    </row>
    <row r="38899">
      <c r="BB38899" s="122"/>
      <c r="BC38899" s="141"/>
    </row>
    <row r="38900">
      <c r="BB38900" s="122"/>
      <c r="BC38900" s="141"/>
    </row>
    <row r="38901">
      <c r="BB38901" s="122"/>
      <c r="BC38901" s="141"/>
    </row>
    <row r="38902">
      <c r="BB38902" s="122"/>
      <c r="BC38902" s="141"/>
    </row>
    <row r="38903">
      <c r="BB38903" s="122"/>
      <c r="BC38903" s="141"/>
    </row>
    <row r="38904">
      <c r="BB38904" s="122"/>
      <c r="BC38904" s="141"/>
    </row>
    <row r="38905">
      <c r="BB38905" s="122"/>
      <c r="BC38905" s="141"/>
    </row>
    <row r="38906">
      <c r="BB38906" s="122"/>
      <c r="BC38906" s="141"/>
    </row>
    <row r="38907">
      <c r="BB38907" s="122"/>
      <c r="BC38907" s="141"/>
    </row>
    <row r="38908">
      <c r="BB38908" s="122"/>
      <c r="BC38908" s="141"/>
    </row>
    <row r="38909">
      <c r="BB38909" s="122"/>
      <c r="BC38909" s="141"/>
    </row>
    <row r="38910">
      <c r="BB38910" s="122"/>
      <c r="BC38910" s="141"/>
    </row>
    <row r="38911">
      <c r="BB38911" s="122"/>
      <c r="BC38911" s="141"/>
    </row>
    <row r="38912">
      <c r="BB38912" s="122"/>
      <c r="BC38912" s="141"/>
    </row>
    <row r="38913">
      <c r="BB38913" s="122"/>
      <c r="BC38913" s="141"/>
    </row>
    <row r="38914">
      <c r="BB38914" s="122"/>
      <c r="BC38914" s="141"/>
    </row>
    <row r="38915">
      <c r="BB38915" s="122"/>
      <c r="BC38915" s="141"/>
    </row>
    <row r="38916">
      <c r="BB38916" s="122"/>
      <c r="BC38916" s="141"/>
    </row>
    <row r="38917">
      <c r="BB38917" s="122"/>
      <c r="BC38917" s="141"/>
    </row>
    <row r="38918">
      <c r="BB38918" s="122"/>
      <c r="BC38918" s="141"/>
    </row>
    <row r="38919">
      <c r="BB38919" s="122"/>
      <c r="BC38919" s="141"/>
    </row>
    <row r="38920">
      <c r="BB38920" s="122"/>
      <c r="BC38920" s="141"/>
    </row>
    <row r="38921">
      <c r="BB38921" s="122"/>
      <c r="BC38921" s="141"/>
    </row>
    <row r="38922">
      <c r="BB38922" s="122"/>
      <c r="BC38922" s="141"/>
    </row>
    <row r="38923">
      <c r="BB38923" s="122"/>
      <c r="BC38923" s="141"/>
    </row>
    <row r="38924">
      <c r="BB38924" s="122"/>
      <c r="BC38924" s="141"/>
    </row>
    <row r="38925">
      <c r="BB38925" s="122"/>
      <c r="BC38925" s="141"/>
    </row>
    <row r="38926">
      <c r="BB38926" s="122"/>
      <c r="BC38926" s="141"/>
    </row>
    <row r="38927">
      <c r="BB38927" s="122"/>
      <c r="BC38927" s="141"/>
    </row>
    <row r="38928">
      <c r="BB38928" s="122"/>
      <c r="BC38928" s="141"/>
    </row>
    <row r="38929">
      <c r="BB38929" s="122"/>
      <c r="BC38929" s="141"/>
    </row>
    <row r="38930">
      <c r="BB38930" s="122"/>
      <c r="BC38930" s="141"/>
    </row>
    <row r="38931">
      <c r="BB38931" s="122"/>
      <c r="BC38931" s="141"/>
    </row>
    <row r="38932">
      <c r="BB38932" s="122"/>
      <c r="BC38932" s="141"/>
    </row>
    <row r="38933">
      <c r="BB38933" s="122"/>
      <c r="BC38933" s="141"/>
    </row>
    <row r="38934">
      <c r="BB38934" s="122"/>
      <c r="BC38934" s="141"/>
    </row>
    <row r="38935">
      <c r="BB38935" s="122"/>
      <c r="BC38935" s="141"/>
    </row>
    <row r="38936">
      <c r="BB38936" s="122"/>
      <c r="BC38936" s="141"/>
    </row>
    <row r="38937">
      <c r="BB38937" s="122"/>
      <c r="BC38937" s="141"/>
    </row>
    <row r="38938">
      <c r="BB38938" s="122"/>
      <c r="BC38938" s="141"/>
    </row>
    <row r="38939">
      <c r="BB38939" s="122"/>
      <c r="BC38939" s="141"/>
    </row>
    <row r="38940">
      <c r="BB38940" s="122"/>
      <c r="BC38940" s="141"/>
    </row>
    <row r="38941">
      <c r="BB38941" s="122"/>
      <c r="BC38941" s="141"/>
    </row>
    <row r="38942">
      <c r="BB38942" s="122"/>
      <c r="BC38942" s="141"/>
    </row>
    <row r="38943">
      <c r="BB38943" s="122"/>
      <c r="BC38943" s="141"/>
    </row>
    <row r="38944">
      <c r="BB38944" s="122"/>
      <c r="BC38944" s="141"/>
    </row>
    <row r="38945">
      <c r="BB38945" s="122"/>
      <c r="BC38945" s="141"/>
    </row>
    <row r="38946">
      <c r="BB38946" s="122"/>
      <c r="BC38946" s="141"/>
    </row>
    <row r="38947">
      <c r="BB38947" s="122"/>
      <c r="BC38947" s="141"/>
    </row>
    <row r="38948">
      <c r="BB38948" s="122"/>
      <c r="BC38948" s="141"/>
    </row>
    <row r="38949">
      <c r="BB38949" s="122"/>
      <c r="BC38949" s="141"/>
    </row>
    <row r="38950">
      <c r="BB38950" s="122"/>
      <c r="BC38950" s="141"/>
    </row>
    <row r="38951">
      <c r="BB38951" s="122"/>
      <c r="BC38951" s="141"/>
    </row>
    <row r="38952">
      <c r="BB38952" s="122"/>
      <c r="BC38952" s="141"/>
    </row>
    <row r="38953">
      <c r="BB38953" s="122"/>
      <c r="BC38953" s="141"/>
    </row>
    <row r="38954">
      <c r="BB38954" s="122"/>
      <c r="BC38954" s="141"/>
    </row>
    <row r="38955">
      <c r="BB38955" s="122"/>
      <c r="BC38955" s="141"/>
    </row>
    <row r="38956">
      <c r="BB38956" s="122"/>
      <c r="BC38956" s="141"/>
    </row>
    <row r="38957">
      <c r="BB38957" s="122"/>
      <c r="BC38957" s="141"/>
    </row>
    <row r="38958">
      <c r="BB38958" s="122"/>
      <c r="BC38958" s="141"/>
    </row>
    <row r="38959">
      <c r="BB38959" s="122"/>
      <c r="BC38959" s="141"/>
    </row>
    <row r="38960">
      <c r="BB38960" s="122"/>
      <c r="BC38960" s="141"/>
    </row>
    <row r="38961">
      <c r="BB38961" s="122"/>
      <c r="BC38961" s="141"/>
    </row>
    <row r="38962">
      <c r="BB38962" s="122"/>
      <c r="BC38962" s="141"/>
    </row>
    <row r="38963">
      <c r="BB38963" s="122"/>
      <c r="BC38963" s="141"/>
    </row>
    <row r="38964">
      <c r="BB38964" s="122"/>
      <c r="BC38964" s="141"/>
    </row>
    <row r="38965">
      <c r="BB38965" s="122"/>
      <c r="BC38965" s="141"/>
    </row>
    <row r="38966">
      <c r="BB38966" s="122"/>
      <c r="BC38966" s="141"/>
    </row>
    <row r="38967">
      <c r="BB38967" s="122"/>
      <c r="BC38967" s="141"/>
    </row>
    <row r="38968">
      <c r="BB38968" s="122"/>
      <c r="BC38968" s="141"/>
    </row>
    <row r="38969">
      <c r="BB38969" s="122"/>
      <c r="BC38969" s="141"/>
    </row>
    <row r="38970">
      <c r="BB38970" s="122"/>
      <c r="BC38970" s="141"/>
    </row>
    <row r="38971">
      <c r="BB38971" s="122"/>
      <c r="BC38971" s="141"/>
    </row>
    <row r="38972">
      <c r="BB38972" s="122"/>
      <c r="BC38972" s="141"/>
    </row>
    <row r="38973">
      <c r="BB38973" s="122"/>
      <c r="BC38973" s="141"/>
    </row>
    <row r="38974">
      <c r="BB38974" s="122"/>
      <c r="BC38974" s="141"/>
    </row>
    <row r="38975">
      <c r="BB38975" s="122"/>
      <c r="BC38975" s="141"/>
    </row>
    <row r="38976">
      <c r="BB38976" s="122"/>
      <c r="BC38976" s="141"/>
    </row>
    <row r="38977">
      <c r="BB38977" s="122"/>
      <c r="BC38977" s="141"/>
    </row>
    <row r="38978">
      <c r="BB38978" s="122"/>
      <c r="BC38978" s="141"/>
    </row>
    <row r="38979">
      <c r="BB38979" s="122"/>
      <c r="BC38979" s="141"/>
    </row>
    <row r="38980">
      <c r="BB38980" s="122"/>
      <c r="BC38980" s="141"/>
    </row>
    <row r="38981">
      <c r="BB38981" s="122"/>
      <c r="BC38981" s="141"/>
    </row>
    <row r="38982">
      <c r="BB38982" s="122"/>
      <c r="BC38982" s="141"/>
    </row>
    <row r="38983">
      <c r="BB38983" s="122"/>
      <c r="BC38983" s="141"/>
    </row>
    <row r="38984">
      <c r="BB38984" s="122"/>
      <c r="BC38984" s="141"/>
    </row>
    <row r="38985">
      <c r="BB38985" s="122"/>
      <c r="BC38985" s="141"/>
    </row>
    <row r="38986">
      <c r="BB38986" s="122"/>
      <c r="BC38986" s="141"/>
    </row>
    <row r="38987">
      <c r="BB38987" s="122"/>
      <c r="BC38987" s="141"/>
    </row>
    <row r="38988">
      <c r="BB38988" s="122"/>
      <c r="BC38988" s="141"/>
    </row>
    <row r="38989">
      <c r="BB38989" s="122"/>
      <c r="BC38989" s="141"/>
    </row>
    <row r="38990">
      <c r="BB38990" s="122"/>
      <c r="BC38990" s="141"/>
    </row>
    <row r="38991">
      <c r="BB38991" s="122"/>
      <c r="BC38991" s="141"/>
    </row>
    <row r="38992">
      <c r="BB38992" s="122"/>
      <c r="BC38992" s="141"/>
    </row>
    <row r="38993">
      <c r="BB38993" s="122"/>
      <c r="BC38993" s="141"/>
    </row>
    <row r="38994">
      <c r="BB38994" s="122"/>
      <c r="BC38994" s="141"/>
    </row>
    <row r="38995">
      <c r="BB38995" s="122"/>
      <c r="BC38995" s="141"/>
    </row>
    <row r="38996">
      <c r="BB38996" s="122"/>
      <c r="BC38996" s="141"/>
    </row>
    <row r="38997">
      <c r="BB38997" s="122"/>
      <c r="BC38997" s="141"/>
    </row>
    <row r="38998">
      <c r="BB38998" s="122"/>
      <c r="BC38998" s="141"/>
    </row>
    <row r="38999">
      <c r="BB38999" s="122"/>
      <c r="BC38999" s="141"/>
    </row>
    <row r="39000">
      <c r="BB39000" s="122"/>
      <c r="BC39000" s="141"/>
    </row>
    <row r="39001">
      <c r="BB39001" s="122"/>
      <c r="BC39001" s="141"/>
    </row>
    <row r="39002">
      <c r="BB39002" s="122"/>
      <c r="BC39002" s="141"/>
    </row>
    <row r="39003">
      <c r="BB39003" s="122"/>
      <c r="BC39003" s="141"/>
    </row>
    <row r="39004">
      <c r="BB39004" s="122"/>
      <c r="BC39004" s="141"/>
    </row>
    <row r="39005">
      <c r="BB39005" s="122"/>
      <c r="BC39005" s="141"/>
    </row>
    <row r="39006">
      <c r="BB39006" s="122"/>
      <c r="BC39006" s="141"/>
    </row>
    <row r="39007">
      <c r="BB39007" s="122"/>
      <c r="BC39007" s="141"/>
    </row>
    <row r="39008">
      <c r="BB39008" s="122"/>
      <c r="BC39008" s="141"/>
    </row>
    <row r="39009">
      <c r="BB39009" s="122"/>
      <c r="BC39009" s="141"/>
    </row>
    <row r="39010">
      <c r="BB39010" s="122"/>
      <c r="BC39010" s="141"/>
    </row>
    <row r="39011">
      <c r="BB39011" s="122"/>
      <c r="BC39011" s="141"/>
    </row>
    <row r="39012">
      <c r="BB39012" s="122"/>
      <c r="BC39012" s="141"/>
    </row>
    <row r="39013">
      <c r="BB39013" s="122"/>
      <c r="BC39013" s="141"/>
    </row>
    <row r="39014">
      <c r="BB39014" s="122"/>
      <c r="BC39014" s="141"/>
    </row>
    <row r="39015">
      <c r="BB39015" s="122"/>
      <c r="BC39015" s="141"/>
    </row>
    <row r="39016">
      <c r="BB39016" s="122"/>
      <c r="BC39016" s="141"/>
    </row>
    <row r="39017">
      <c r="BB39017" s="122"/>
      <c r="BC39017" s="141"/>
    </row>
    <row r="39018">
      <c r="BB39018" s="122"/>
      <c r="BC39018" s="141"/>
    </row>
    <row r="39019">
      <c r="BB39019" s="122"/>
      <c r="BC39019" s="141"/>
    </row>
    <row r="39020">
      <c r="BB39020" s="122"/>
      <c r="BC39020" s="141"/>
    </row>
    <row r="39021">
      <c r="BB39021" s="122"/>
      <c r="BC39021" s="141"/>
    </row>
    <row r="39022">
      <c r="BB39022" s="122"/>
      <c r="BC39022" s="141"/>
    </row>
    <row r="39023">
      <c r="BB39023" s="122"/>
      <c r="BC39023" s="141"/>
    </row>
    <row r="39024">
      <c r="BB39024" s="122"/>
      <c r="BC39024" s="141"/>
    </row>
    <row r="39025">
      <c r="BB39025" s="122"/>
      <c r="BC39025" s="141"/>
    </row>
    <row r="39026">
      <c r="BB39026" s="122"/>
      <c r="BC39026" s="141"/>
    </row>
    <row r="39027">
      <c r="BB39027" s="122"/>
      <c r="BC39027" s="141"/>
    </row>
    <row r="39028">
      <c r="BB39028" s="122"/>
      <c r="BC39028" s="141"/>
    </row>
    <row r="39029">
      <c r="BB39029" s="122"/>
      <c r="BC39029" s="141"/>
    </row>
    <row r="39030">
      <c r="BB39030" s="122"/>
      <c r="BC39030" s="141"/>
    </row>
    <row r="39031">
      <c r="BB39031" s="122"/>
      <c r="BC39031" s="141"/>
    </row>
    <row r="39032">
      <c r="BB39032" s="122"/>
      <c r="BC39032" s="141"/>
    </row>
    <row r="39033">
      <c r="BB39033" s="122"/>
      <c r="BC39033" s="141"/>
    </row>
    <row r="39034">
      <c r="BB39034" s="122"/>
      <c r="BC39034" s="141"/>
    </row>
    <row r="39035">
      <c r="BB39035" s="122"/>
      <c r="BC39035" s="141"/>
    </row>
    <row r="39036">
      <c r="BB39036" s="122"/>
      <c r="BC39036" s="141"/>
    </row>
    <row r="39037">
      <c r="BB39037" s="122"/>
      <c r="BC39037" s="141"/>
    </row>
    <row r="39038">
      <c r="BB39038" s="122"/>
      <c r="BC39038" s="141"/>
    </row>
    <row r="39039">
      <c r="BB39039" s="122"/>
      <c r="BC39039" s="141"/>
    </row>
    <row r="39040">
      <c r="BB39040" s="122"/>
      <c r="BC39040" s="141"/>
    </row>
    <row r="39041">
      <c r="BB39041" s="122"/>
      <c r="BC39041" s="141"/>
    </row>
    <row r="39042">
      <c r="BB39042" s="122"/>
      <c r="BC39042" s="141"/>
    </row>
    <row r="39043">
      <c r="BB39043" s="122"/>
      <c r="BC39043" s="141"/>
    </row>
    <row r="39044">
      <c r="BB39044" s="122"/>
      <c r="BC39044" s="141"/>
    </row>
    <row r="39045">
      <c r="BB39045" s="122"/>
      <c r="BC39045" s="141"/>
    </row>
    <row r="39046">
      <c r="BB39046" s="122"/>
      <c r="BC39046" s="141"/>
    </row>
    <row r="39047">
      <c r="BB39047" s="122"/>
      <c r="BC39047" s="141"/>
    </row>
    <row r="39048">
      <c r="BB39048" s="122"/>
      <c r="BC39048" s="141"/>
    </row>
    <row r="39049">
      <c r="BB39049" s="122"/>
      <c r="BC39049" s="141"/>
    </row>
    <row r="39050">
      <c r="BB39050" s="122"/>
      <c r="BC39050" s="141"/>
    </row>
    <row r="39051">
      <c r="BB39051" s="122"/>
      <c r="BC39051" s="141"/>
    </row>
    <row r="39052">
      <c r="BB39052" s="122"/>
      <c r="BC39052" s="141"/>
    </row>
    <row r="39053">
      <c r="BB39053" s="122"/>
      <c r="BC39053" s="141"/>
    </row>
    <row r="39054">
      <c r="BB39054" s="122"/>
      <c r="BC39054" s="141"/>
    </row>
    <row r="39055">
      <c r="BB39055" s="122"/>
      <c r="BC39055" s="141"/>
    </row>
    <row r="39056">
      <c r="BB39056" s="122"/>
      <c r="BC39056" s="141"/>
    </row>
    <row r="39057">
      <c r="BB39057" s="122"/>
      <c r="BC39057" s="141"/>
    </row>
    <row r="39058">
      <c r="BB39058" s="122"/>
      <c r="BC39058" s="141"/>
    </row>
    <row r="39059">
      <c r="BB39059" s="122"/>
      <c r="BC39059" s="141"/>
    </row>
    <row r="39060">
      <c r="BB39060" s="122"/>
      <c r="BC39060" s="141"/>
    </row>
    <row r="39061">
      <c r="BB39061" s="122"/>
      <c r="BC39061" s="141"/>
    </row>
    <row r="39062">
      <c r="BB39062" s="122"/>
      <c r="BC39062" s="141"/>
    </row>
    <row r="39063">
      <c r="BB39063" s="122"/>
      <c r="BC39063" s="141"/>
    </row>
    <row r="39064">
      <c r="BB39064" s="122"/>
      <c r="BC39064" s="141"/>
    </row>
    <row r="39065">
      <c r="BB39065" s="122"/>
      <c r="BC39065" s="141"/>
    </row>
    <row r="39066">
      <c r="BB39066" s="122"/>
      <c r="BC39066" s="141"/>
    </row>
    <row r="39067">
      <c r="BB39067" s="122"/>
      <c r="BC39067" s="141"/>
    </row>
    <row r="39068">
      <c r="BB39068" s="122"/>
      <c r="BC39068" s="141"/>
    </row>
    <row r="39069">
      <c r="BB39069" s="122"/>
      <c r="BC39069" s="141"/>
    </row>
    <row r="39070">
      <c r="BB39070" s="122"/>
      <c r="BC39070" s="141"/>
    </row>
    <row r="39071">
      <c r="BB39071" s="122"/>
      <c r="BC39071" s="141"/>
    </row>
    <row r="39072">
      <c r="BB39072" s="122"/>
      <c r="BC39072" s="141"/>
    </row>
    <row r="39073">
      <c r="BB39073" s="122"/>
      <c r="BC39073" s="141"/>
    </row>
    <row r="39074">
      <c r="BB39074" s="122"/>
      <c r="BC39074" s="141"/>
    </row>
    <row r="39075">
      <c r="BB39075" s="122"/>
      <c r="BC39075" s="141"/>
    </row>
    <row r="39076">
      <c r="BB39076" s="122"/>
      <c r="BC39076" s="141"/>
    </row>
    <row r="39077">
      <c r="BB39077" s="122"/>
      <c r="BC39077" s="141"/>
    </row>
    <row r="39078">
      <c r="BB39078" s="122"/>
      <c r="BC39078" s="141"/>
    </row>
    <row r="39079">
      <c r="BB39079" s="122"/>
      <c r="BC39079" s="141"/>
    </row>
    <row r="39080">
      <c r="BB39080" s="122"/>
      <c r="BC39080" s="141"/>
    </row>
    <row r="39081">
      <c r="BB39081" s="122"/>
      <c r="BC39081" s="141"/>
    </row>
    <row r="39082">
      <c r="BB39082" s="122"/>
      <c r="BC39082" s="141"/>
    </row>
    <row r="39083">
      <c r="BB39083" s="122"/>
      <c r="BC39083" s="141"/>
    </row>
    <row r="39084">
      <c r="BB39084" s="122"/>
      <c r="BC39084" s="141"/>
    </row>
    <row r="39085">
      <c r="BB39085" s="122"/>
      <c r="BC39085" s="141"/>
    </row>
    <row r="39086">
      <c r="BB39086" s="122"/>
      <c r="BC39086" s="141"/>
    </row>
    <row r="39087">
      <c r="BB39087" s="122"/>
      <c r="BC39087" s="141"/>
    </row>
    <row r="39088">
      <c r="BB39088" s="122"/>
      <c r="BC39088" s="141"/>
    </row>
    <row r="39089">
      <c r="BB39089" s="122"/>
      <c r="BC39089" s="141"/>
    </row>
    <row r="39090">
      <c r="BB39090" s="122"/>
      <c r="BC39090" s="141"/>
    </row>
    <row r="39091">
      <c r="BB39091" s="122"/>
      <c r="BC39091" s="141"/>
    </row>
    <row r="39092">
      <c r="BB39092" s="122"/>
      <c r="BC39092" s="141"/>
    </row>
    <row r="39093">
      <c r="BB39093" s="122"/>
      <c r="BC39093" s="141"/>
    </row>
    <row r="39094">
      <c r="BB39094" s="122"/>
      <c r="BC39094" s="141"/>
    </row>
    <row r="39095">
      <c r="BB39095" s="122"/>
      <c r="BC39095" s="141"/>
    </row>
    <row r="39096">
      <c r="BB39096" s="122"/>
      <c r="BC39096" s="141"/>
    </row>
    <row r="39097">
      <c r="BB39097" s="122"/>
      <c r="BC39097" s="141"/>
    </row>
    <row r="39098">
      <c r="BB39098" s="122"/>
      <c r="BC39098" s="141"/>
    </row>
    <row r="39099">
      <c r="BB39099" s="122"/>
      <c r="BC39099" s="141"/>
    </row>
    <row r="39100">
      <c r="BB39100" s="122"/>
      <c r="BC39100" s="141"/>
    </row>
    <row r="39101">
      <c r="BB39101" s="122"/>
      <c r="BC39101" s="141"/>
    </row>
    <row r="39102">
      <c r="BB39102" s="122"/>
      <c r="BC39102" s="141"/>
    </row>
    <row r="39103">
      <c r="BB39103" s="122"/>
      <c r="BC39103" s="141"/>
    </row>
    <row r="39104">
      <c r="BB39104" s="122"/>
      <c r="BC39104" s="141"/>
    </row>
    <row r="39105">
      <c r="BB39105" s="122"/>
      <c r="BC39105" s="141"/>
    </row>
    <row r="39106">
      <c r="BB39106" s="122"/>
      <c r="BC39106" s="141"/>
    </row>
    <row r="39107">
      <c r="BB39107" s="122"/>
      <c r="BC39107" s="141"/>
    </row>
    <row r="39108">
      <c r="BB39108" s="122"/>
      <c r="BC39108" s="141"/>
    </row>
    <row r="39109">
      <c r="BB39109" s="122"/>
      <c r="BC39109" s="141"/>
    </row>
    <row r="39110">
      <c r="BB39110" s="122"/>
      <c r="BC39110" s="141"/>
    </row>
    <row r="39111">
      <c r="BB39111" s="122"/>
      <c r="BC39111" s="141"/>
    </row>
    <row r="39112">
      <c r="BB39112" s="122"/>
      <c r="BC39112" s="141"/>
    </row>
    <row r="39113">
      <c r="BB39113" s="122"/>
      <c r="BC39113" s="141"/>
    </row>
    <row r="39114">
      <c r="BB39114" s="122"/>
      <c r="BC39114" s="141"/>
    </row>
    <row r="39115">
      <c r="BB39115" s="122"/>
      <c r="BC39115" s="141"/>
    </row>
    <row r="39116">
      <c r="BB39116" s="122"/>
      <c r="BC39116" s="141"/>
    </row>
    <row r="39117">
      <c r="BB39117" s="122"/>
      <c r="BC39117" s="141"/>
    </row>
    <row r="39118">
      <c r="BB39118" s="122"/>
      <c r="BC39118" s="141"/>
    </row>
    <row r="39119">
      <c r="BB39119" s="122"/>
      <c r="BC39119" s="141"/>
    </row>
    <row r="39120">
      <c r="BB39120" s="122"/>
      <c r="BC39120" s="141"/>
    </row>
    <row r="39121">
      <c r="BB39121" s="122"/>
      <c r="BC39121" s="141"/>
    </row>
    <row r="39122">
      <c r="BB39122" s="122"/>
      <c r="BC39122" s="141"/>
    </row>
    <row r="39123">
      <c r="BB39123" s="122"/>
      <c r="BC39123" s="141"/>
    </row>
    <row r="39124">
      <c r="BB39124" s="122"/>
      <c r="BC39124" s="141"/>
    </row>
    <row r="39125">
      <c r="BB39125" s="122"/>
      <c r="BC39125" s="141"/>
    </row>
    <row r="39126">
      <c r="BB39126" s="122"/>
      <c r="BC39126" s="141"/>
    </row>
    <row r="39127">
      <c r="BB39127" s="122"/>
      <c r="BC39127" s="141"/>
    </row>
    <row r="39128">
      <c r="BB39128" s="122"/>
      <c r="BC39128" s="141"/>
    </row>
    <row r="39129">
      <c r="BB39129" s="122"/>
      <c r="BC39129" s="141"/>
    </row>
    <row r="39130">
      <c r="BB39130" s="122"/>
      <c r="BC39130" s="141"/>
    </row>
    <row r="39131">
      <c r="BB39131" s="122"/>
      <c r="BC39131" s="141"/>
    </row>
    <row r="39132">
      <c r="BB39132" s="122"/>
      <c r="BC39132" s="141"/>
    </row>
    <row r="39133">
      <c r="BB39133" s="122"/>
      <c r="BC39133" s="141"/>
    </row>
    <row r="39134">
      <c r="BB39134" s="122"/>
      <c r="BC39134" s="141"/>
    </row>
    <row r="39135">
      <c r="BB39135" s="122"/>
      <c r="BC39135" s="141"/>
    </row>
    <row r="39136">
      <c r="BB39136" s="122"/>
      <c r="BC39136" s="141"/>
    </row>
    <row r="39137">
      <c r="BB39137" s="122"/>
      <c r="BC39137" s="141"/>
    </row>
    <row r="39138">
      <c r="BB39138" s="122"/>
      <c r="BC39138" s="141"/>
    </row>
    <row r="39139">
      <c r="BB39139" s="122"/>
      <c r="BC39139" s="141"/>
    </row>
    <row r="39140">
      <c r="BB39140" s="122"/>
      <c r="BC39140" s="141"/>
    </row>
    <row r="39141">
      <c r="BB39141" s="122"/>
      <c r="BC39141" s="141"/>
    </row>
    <row r="39142">
      <c r="BB39142" s="122"/>
      <c r="BC39142" s="141"/>
    </row>
    <row r="39143">
      <c r="BB39143" s="122"/>
      <c r="BC39143" s="141"/>
    </row>
    <row r="39144">
      <c r="BB39144" s="122"/>
      <c r="BC39144" s="141"/>
    </row>
    <row r="39145">
      <c r="BB39145" s="122"/>
      <c r="BC39145" s="141"/>
    </row>
    <row r="39146">
      <c r="BB39146" s="122"/>
      <c r="BC39146" s="141"/>
    </row>
    <row r="39147">
      <c r="BB39147" s="122"/>
      <c r="BC39147" s="141"/>
    </row>
    <row r="39148">
      <c r="BB39148" s="122"/>
      <c r="BC39148" s="141"/>
    </row>
    <row r="39149">
      <c r="BB39149" s="122"/>
      <c r="BC39149" s="141"/>
    </row>
    <row r="39150">
      <c r="BB39150" s="122"/>
      <c r="BC39150" s="141"/>
    </row>
    <row r="39151">
      <c r="BB39151" s="122"/>
      <c r="BC39151" s="141"/>
    </row>
    <row r="39152">
      <c r="BB39152" s="122"/>
      <c r="BC39152" s="141"/>
    </row>
    <row r="39153">
      <c r="BB39153" s="122"/>
      <c r="BC39153" s="141"/>
    </row>
    <row r="39154">
      <c r="BB39154" s="122"/>
      <c r="BC39154" s="141"/>
    </row>
    <row r="39155">
      <c r="BB39155" s="122"/>
      <c r="BC39155" s="141"/>
    </row>
    <row r="39156">
      <c r="BB39156" s="122"/>
      <c r="BC39156" s="141"/>
    </row>
    <row r="39157">
      <c r="BB39157" s="122"/>
      <c r="BC39157" s="141"/>
    </row>
    <row r="39158">
      <c r="BB39158" s="122"/>
      <c r="BC39158" s="141"/>
    </row>
    <row r="39159">
      <c r="BB39159" s="122"/>
      <c r="BC39159" s="141"/>
    </row>
    <row r="39160">
      <c r="BB39160" s="122"/>
      <c r="BC39160" s="141"/>
    </row>
    <row r="39161">
      <c r="BB39161" s="122"/>
      <c r="BC39161" s="141"/>
    </row>
    <row r="39162">
      <c r="BB39162" s="122"/>
      <c r="BC39162" s="141"/>
    </row>
    <row r="39163">
      <c r="BB39163" s="122"/>
      <c r="BC39163" s="141"/>
    </row>
    <row r="39164">
      <c r="BB39164" s="122"/>
      <c r="BC39164" s="141"/>
    </row>
    <row r="39165">
      <c r="BB39165" s="122"/>
      <c r="BC39165" s="141"/>
    </row>
    <row r="39166">
      <c r="BB39166" s="122"/>
      <c r="BC39166" s="141"/>
    </row>
    <row r="39167">
      <c r="BB39167" s="122"/>
      <c r="BC39167" s="141"/>
    </row>
    <row r="39168">
      <c r="BB39168" s="122"/>
      <c r="BC39168" s="141"/>
    </row>
    <row r="39169">
      <c r="BB39169" s="122"/>
      <c r="BC39169" s="141"/>
    </row>
    <row r="39170">
      <c r="BB39170" s="122"/>
      <c r="BC39170" s="141"/>
    </row>
    <row r="39171">
      <c r="BB39171" s="122"/>
      <c r="BC39171" s="141"/>
    </row>
    <row r="39172">
      <c r="BB39172" s="122"/>
      <c r="BC39172" s="141"/>
    </row>
    <row r="39173">
      <c r="BB39173" s="122"/>
      <c r="BC39173" s="141"/>
    </row>
    <row r="39174">
      <c r="BB39174" s="122"/>
      <c r="BC39174" s="141"/>
    </row>
    <row r="39175">
      <c r="BB39175" s="122"/>
      <c r="BC39175" s="141"/>
    </row>
    <row r="39176">
      <c r="BB39176" s="122"/>
      <c r="BC39176" s="141"/>
    </row>
    <row r="39177">
      <c r="BB39177" s="122"/>
      <c r="BC39177" s="141"/>
    </row>
    <row r="39178">
      <c r="BB39178" s="122"/>
      <c r="BC39178" s="141"/>
    </row>
    <row r="39179">
      <c r="BB39179" s="122"/>
      <c r="BC39179" s="141"/>
    </row>
    <row r="39180">
      <c r="BB39180" s="122"/>
      <c r="BC39180" s="141"/>
    </row>
    <row r="39181">
      <c r="BB39181" s="122"/>
      <c r="BC39181" s="141"/>
    </row>
    <row r="39182">
      <c r="BB39182" s="122"/>
      <c r="BC39182" s="141"/>
    </row>
    <row r="39183">
      <c r="BB39183" s="122"/>
      <c r="BC39183" s="141"/>
    </row>
    <row r="39184">
      <c r="BB39184" s="122"/>
      <c r="BC39184" s="141"/>
    </row>
    <row r="39185">
      <c r="BB39185" s="122"/>
      <c r="BC39185" s="141"/>
    </row>
    <row r="39186">
      <c r="BB39186" s="122"/>
      <c r="BC39186" s="141"/>
    </row>
    <row r="39187">
      <c r="BB39187" s="122"/>
      <c r="BC39187" s="141"/>
    </row>
    <row r="39188">
      <c r="BB39188" s="122"/>
      <c r="BC39188" s="141"/>
    </row>
    <row r="39189">
      <c r="BB39189" s="122"/>
      <c r="BC39189" s="141"/>
    </row>
    <row r="39190">
      <c r="BB39190" s="122"/>
      <c r="BC39190" s="141"/>
    </row>
    <row r="39191">
      <c r="BB39191" s="122"/>
      <c r="BC39191" s="141"/>
    </row>
    <row r="39192">
      <c r="BB39192" s="122"/>
      <c r="BC39192" s="141"/>
    </row>
    <row r="39193">
      <c r="BB39193" s="122"/>
      <c r="BC39193" s="141"/>
    </row>
    <row r="39194">
      <c r="BB39194" s="122"/>
      <c r="BC39194" s="141"/>
    </row>
    <row r="39195">
      <c r="BB39195" s="122"/>
      <c r="BC39195" s="141"/>
    </row>
    <row r="39196">
      <c r="BB39196" s="122"/>
      <c r="BC39196" s="141"/>
    </row>
    <row r="39197">
      <c r="BB39197" s="122"/>
      <c r="BC39197" s="141"/>
    </row>
    <row r="39198">
      <c r="BB39198" s="122"/>
      <c r="BC39198" s="141"/>
    </row>
    <row r="39199">
      <c r="BB39199" s="122"/>
      <c r="BC39199" s="141"/>
    </row>
    <row r="39200">
      <c r="BB39200" s="122"/>
      <c r="BC39200" s="141"/>
    </row>
    <row r="39201">
      <c r="BB39201" s="122"/>
      <c r="BC39201" s="141"/>
    </row>
    <row r="39202">
      <c r="BB39202" s="122"/>
      <c r="BC39202" s="141"/>
    </row>
    <row r="39203">
      <c r="BB39203" s="122"/>
      <c r="BC39203" s="141"/>
    </row>
    <row r="39204">
      <c r="BB39204" s="122"/>
      <c r="BC39204" s="141"/>
    </row>
    <row r="39205">
      <c r="BB39205" s="122"/>
      <c r="BC39205" s="141"/>
    </row>
    <row r="39206">
      <c r="BB39206" s="122"/>
      <c r="BC39206" s="141"/>
    </row>
    <row r="39207">
      <c r="BB39207" s="122"/>
      <c r="BC39207" s="141"/>
    </row>
    <row r="39208">
      <c r="BB39208" s="122"/>
      <c r="BC39208" s="141"/>
    </row>
    <row r="39209">
      <c r="BB39209" s="122"/>
      <c r="BC39209" s="141"/>
    </row>
    <row r="39210">
      <c r="BB39210" s="122"/>
      <c r="BC39210" s="141"/>
    </row>
    <row r="39211">
      <c r="BB39211" s="122"/>
      <c r="BC39211" s="141"/>
    </row>
    <row r="39212">
      <c r="BB39212" s="122"/>
      <c r="BC39212" s="141"/>
    </row>
    <row r="39213">
      <c r="BB39213" s="122"/>
      <c r="BC39213" s="141"/>
    </row>
    <row r="39214">
      <c r="BB39214" s="122"/>
      <c r="BC39214" s="141"/>
    </row>
    <row r="39215">
      <c r="BB39215" s="122"/>
      <c r="BC39215" s="141"/>
    </row>
    <row r="39216">
      <c r="BB39216" s="122"/>
      <c r="BC39216" s="141"/>
    </row>
    <row r="39217">
      <c r="BB39217" s="122"/>
      <c r="BC39217" s="141"/>
    </row>
    <row r="39218">
      <c r="BB39218" s="122"/>
      <c r="BC39218" s="141"/>
    </row>
    <row r="39219">
      <c r="BB39219" s="122"/>
      <c r="BC39219" s="141"/>
    </row>
    <row r="39220">
      <c r="BB39220" s="122"/>
      <c r="BC39220" s="141"/>
    </row>
    <row r="39221">
      <c r="BB39221" s="122"/>
      <c r="BC39221" s="141"/>
    </row>
    <row r="39222">
      <c r="BB39222" s="122"/>
      <c r="BC39222" s="141"/>
    </row>
    <row r="39223">
      <c r="BB39223" s="122"/>
      <c r="BC39223" s="141"/>
    </row>
    <row r="39224">
      <c r="BB39224" s="122"/>
      <c r="BC39224" s="141"/>
    </row>
    <row r="39225">
      <c r="BB39225" s="122"/>
      <c r="BC39225" s="141"/>
    </row>
    <row r="39226">
      <c r="BB39226" s="122"/>
      <c r="BC39226" s="141"/>
    </row>
    <row r="39227">
      <c r="BB39227" s="122"/>
      <c r="BC39227" s="141"/>
    </row>
    <row r="39228">
      <c r="BB39228" s="122"/>
      <c r="BC39228" s="141"/>
    </row>
    <row r="39229">
      <c r="BB39229" s="122"/>
      <c r="BC39229" s="141"/>
    </row>
    <row r="39230">
      <c r="BB39230" s="122"/>
      <c r="BC39230" s="141"/>
    </row>
    <row r="39231">
      <c r="BB39231" s="122"/>
      <c r="BC39231" s="141"/>
    </row>
    <row r="39232">
      <c r="BB39232" s="122"/>
      <c r="BC39232" s="141"/>
    </row>
    <row r="39233">
      <c r="BB39233" s="122"/>
      <c r="BC39233" s="141"/>
    </row>
    <row r="39234">
      <c r="BB39234" s="122"/>
      <c r="BC39234" s="141"/>
    </row>
    <row r="39235">
      <c r="BB39235" s="122"/>
      <c r="BC39235" s="141"/>
    </row>
    <row r="39236">
      <c r="BB39236" s="122"/>
      <c r="BC39236" s="141"/>
    </row>
    <row r="39237">
      <c r="BB39237" s="122"/>
      <c r="BC39237" s="141"/>
    </row>
    <row r="39238">
      <c r="BB39238" s="122"/>
      <c r="BC39238" s="141"/>
    </row>
    <row r="39239">
      <c r="BB39239" s="122"/>
      <c r="BC39239" s="141"/>
    </row>
    <row r="39240">
      <c r="BB39240" s="122"/>
      <c r="BC39240" s="141"/>
    </row>
    <row r="39241">
      <c r="BB39241" s="122"/>
      <c r="BC39241" s="141"/>
    </row>
    <row r="39242">
      <c r="BB39242" s="122"/>
      <c r="BC39242" s="141"/>
    </row>
    <row r="39243">
      <c r="BB39243" s="122"/>
      <c r="BC39243" s="141"/>
    </row>
    <row r="39244">
      <c r="BB39244" s="122"/>
      <c r="BC39244" s="141"/>
    </row>
    <row r="39245">
      <c r="BB39245" s="122"/>
      <c r="BC39245" s="141"/>
    </row>
    <row r="39246">
      <c r="BB39246" s="122"/>
      <c r="BC39246" s="141"/>
    </row>
    <row r="39247">
      <c r="BB39247" s="122"/>
      <c r="BC39247" s="141"/>
    </row>
    <row r="39248">
      <c r="BB39248" s="122"/>
      <c r="BC39248" s="141"/>
    </row>
    <row r="39249">
      <c r="BB39249" s="122"/>
      <c r="BC39249" s="141"/>
    </row>
    <row r="39250">
      <c r="BB39250" s="122"/>
      <c r="BC39250" s="141"/>
    </row>
    <row r="39251">
      <c r="BB39251" s="122"/>
      <c r="BC39251" s="141"/>
    </row>
    <row r="39252">
      <c r="BB39252" s="122"/>
      <c r="BC39252" s="141"/>
    </row>
    <row r="39253">
      <c r="BB39253" s="122"/>
      <c r="BC39253" s="141"/>
    </row>
    <row r="39254">
      <c r="BB39254" s="122"/>
      <c r="BC39254" s="141"/>
    </row>
    <row r="39255">
      <c r="BB39255" s="122"/>
      <c r="BC39255" s="141"/>
    </row>
    <row r="39256">
      <c r="BB39256" s="122"/>
      <c r="BC39256" s="141"/>
    </row>
    <row r="39257">
      <c r="BB39257" s="122"/>
      <c r="BC39257" s="141"/>
    </row>
    <row r="39258">
      <c r="BB39258" s="122"/>
      <c r="BC39258" s="141"/>
    </row>
    <row r="39259">
      <c r="BB39259" s="122"/>
      <c r="BC39259" s="141"/>
    </row>
    <row r="39260">
      <c r="BB39260" s="122"/>
      <c r="BC39260" s="141"/>
    </row>
    <row r="39261">
      <c r="BB39261" s="122"/>
      <c r="BC39261" s="141"/>
    </row>
    <row r="39262">
      <c r="BB39262" s="122"/>
      <c r="BC39262" s="141"/>
    </row>
    <row r="39263">
      <c r="BB39263" s="122"/>
      <c r="BC39263" s="141"/>
    </row>
    <row r="39264">
      <c r="BB39264" s="122"/>
      <c r="BC39264" s="141"/>
    </row>
    <row r="39265">
      <c r="BB39265" s="122"/>
      <c r="BC39265" s="141"/>
    </row>
    <row r="39266">
      <c r="BB39266" s="122"/>
      <c r="BC39266" s="141"/>
    </row>
    <row r="39267">
      <c r="BB39267" s="122"/>
      <c r="BC39267" s="141"/>
    </row>
    <row r="39268">
      <c r="BB39268" s="122"/>
      <c r="BC39268" s="141"/>
    </row>
    <row r="39269">
      <c r="BB39269" s="122"/>
      <c r="BC39269" s="141"/>
    </row>
    <row r="39270">
      <c r="BB39270" s="122"/>
      <c r="BC39270" s="141"/>
    </row>
    <row r="39271">
      <c r="BB39271" s="122"/>
      <c r="BC39271" s="141"/>
    </row>
    <row r="39272">
      <c r="BB39272" s="122"/>
      <c r="BC39272" s="141"/>
    </row>
    <row r="39273">
      <c r="BB39273" s="122"/>
      <c r="BC39273" s="141"/>
    </row>
    <row r="39274">
      <c r="BB39274" s="122"/>
      <c r="BC39274" s="141"/>
    </row>
    <row r="39275">
      <c r="BB39275" s="122"/>
      <c r="BC39275" s="141"/>
    </row>
    <row r="39276">
      <c r="BB39276" s="122"/>
      <c r="BC39276" s="141"/>
    </row>
    <row r="39277">
      <c r="BB39277" s="122"/>
      <c r="BC39277" s="141"/>
    </row>
    <row r="39278">
      <c r="BB39278" s="122"/>
      <c r="BC39278" s="141"/>
    </row>
    <row r="39279">
      <c r="BB39279" s="122"/>
      <c r="BC39279" s="141"/>
    </row>
    <row r="39280">
      <c r="BB39280" s="122"/>
      <c r="BC39280" s="141"/>
    </row>
    <row r="39281">
      <c r="BB39281" s="122"/>
      <c r="BC39281" s="141"/>
    </row>
    <row r="39282">
      <c r="BB39282" s="122"/>
      <c r="BC39282" s="141"/>
    </row>
    <row r="39283">
      <c r="BB39283" s="122"/>
      <c r="BC39283" s="141"/>
    </row>
    <row r="39284">
      <c r="BB39284" s="122"/>
      <c r="BC39284" s="141"/>
    </row>
    <row r="39285">
      <c r="BB39285" s="122"/>
      <c r="BC39285" s="141"/>
    </row>
    <row r="39286">
      <c r="BB39286" s="122"/>
      <c r="BC39286" s="141"/>
    </row>
    <row r="39287">
      <c r="BB39287" s="122"/>
      <c r="BC39287" s="141"/>
    </row>
    <row r="39288">
      <c r="BB39288" s="122"/>
      <c r="BC39288" s="141"/>
    </row>
    <row r="39289">
      <c r="BB39289" s="122"/>
      <c r="BC39289" s="141"/>
    </row>
    <row r="39290">
      <c r="BB39290" s="122"/>
      <c r="BC39290" s="141"/>
    </row>
    <row r="39291">
      <c r="BB39291" s="122"/>
      <c r="BC39291" s="141"/>
    </row>
    <row r="39292">
      <c r="BB39292" s="122"/>
      <c r="BC39292" s="141"/>
    </row>
    <row r="39293">
      <c r="BB39293" s="122"/>
      <c r="BC39293" s="141"/>
    </row>
    <row r="39294">
      <c r="BB39294" s="122"/>
      <c r="BC39294" s="141"/>
    </row>
    <row r="39295">
      <c r="BB39295" s="122"/>
      <c r="BC39295" s="141"/>
    </row>
    <row r="39296">
      <c r="BB39296" s="122"/>
      <c r="BC39296" s="141"/>
    </row>
    <row r="39297">
      <c r="BB39297" s="122"/>
      <c r="BC39297" s="141"/>
    </row>
    <row r="39298">
      <c r="BB39298" s="122"/>
      <c r="BC39298" s="141"/>
    </row>
    <row r="39299">
      <c r="BB39299" s="122"/>
      <c r="BC39299" s="141"/>
    </row>
    <row r="39300">
      <c r="BB39300" s="122"/>
      <c r="BC39300" s="141"/>
    </row>
    <row r="39301">
      <c r="BB39301" s="122"/>
      <c r="BC39301" s="141"/>
    </row>
    <row r="39302">
      <c r="BB39302" s="122"/>
      <c r="BC39302" s="141"/>
    </row>
    <row r="39303">
      <c r="BB39303" s="122"/>
      <c r="BC39303" s="141"/>
    </row>
    <row r="39304">
      <c r="BB39304" s="122"/>
      <c r="BC39304" s="141"/>
    </row>
    <row r="39305">
      <c r="BB39305" s="122"/>
      <c r="BC39305" s="141"/>
    </row>
    <row r="39306">
      <c r="BB39306" s="122"/>
      <c r="BC39306" s="141"/>
    </row>
    <row r="39307">
      <c r="BB39307" s="122"/>
      <c r="BC39307" s="141"/>
    </row>
    <row r="39308">
      <c r="BB39308" s="122"/>
      <c r="BC39308" s="141"/>
    </row>
    <row r="39309">
      <c r="BB39309" s="122"/>
      <c r="BC39309" s="141"/>
    </row>
    <row r="39310">
      <c r="BB39310" s="122"/>
      <c r="BC39310" s="141"/>
    </row>
    <row r="39311">
      <c r="BB39311" s="122"/>
      <c r="BC39311" s="141"/>
    </row>
    <row r="39312">
      <c r="BB39312" s="122"/>
      <c r="BC39312" s="141"/>
    </row>
    <row r="39313">
      <c r="BB39313" s="122"/>
      <c r="BC39313" s="141"/>
    </row>
    <row r="39314">
      <c r="BB39314" s="122"/>
      <c r="BC39314" s="141"/>
    </row>
    <row r="39315">
      <c r="BB39315" s="122"/>
      <c r="BC39315" s="141"/>
    </row>
    <row r="39316">
      <c r="BB39316" s="122"/>
      <c r="BC39316" s="141"/>
    </row>
    <row r="39317">
      <c r="BB39317" s="122"/>
      <c r="BC39317" s="141"/>
    </row>
    <row r="39318">
      <c r="BB39318" s="122"/>
      <c r="BC39318" s="141"/>
    </row>
    <row r="39319">
      <c r="BB39319" s="122"/>
      <c r="BC39319" s="141"/>
    </row>
    <row r="39320">
      <c r="BB39320" s="122"/>
      <c r="BC39320" s="141"/>
    </row>
    <row r="39321">
      <c r="BB39321" s="122"/>
      <c r="BC39321" s="141"/>
    </row>
    <row r="39322">
      <c r="BB39322" s="122"/>
      <c r="BC39322" s="141"/>
    </row>
    <row r="39323">
      <c r="BB39323" s="122"/>
      <c r="BC39323" s="141"/>
    </row>
    <row r="39324">
      <c r="BB39324" s="122"/>
      <c r="BC39324" s="141"/>
    </row>
    <row r="39325">
      <c r="BB39325" s="122"/>
      <c r="BC39325" s="141"/>
    </row>
    <row r="39326">
      <c r="BB39326" s="122"/>
      <c r="BC39326" s="141"/>
    </row>
    <row r="39327">
      <c r="BB39327" s="122"/>
      <c r="BC39327" s="141"/>
    </row>
    <row r="39328">
      <c r="BB39328" s="122"/>
      <c r="BC39328" s="141"/>
    </row>
    <row r="39329">
      <c r="BB39329" s="122"/>
      <c r="BC39329" s="141"/>
    </row>
    <row r="39330">
      <c r="BB39330" s="122"/>
      <c r="BC39330" s="141"/>
    </row>
    <row r="39331">
      <c r="BB39331" s="122"/>
      <c r="BC39331" s="141"/>
    </row>
    <row r="39332">
      <c r="BB39332" s="122"/>
      <c r="BC39332" s="141"/>
    </row>
    <row r="39333">
      <c r="BB39333" s="122"/>
      <c r="BC39333" s="141"/>
    </row>
    <row r="39334">
      <c r="BB39334" s="122"/>
      <c r="BC39334" s="141"/>
    </row>
    <row r="39335">
      <c r="BB39335" s="122"/>
      <c r="BC39335" s="141"/>
    </row>
    <row r="39336">
      <c r="BB39336" s="122"/>
      <c r="BC39336" s="141"/>
    </row>
    <row r="39337">
      <c r="BB39337" s="122"/>
      <c r="BC39337" s="141"/>
    </row>
    <row r="39338">
      <c r="BB39338" s="122"/>
      <c r="BC39338" s="141"/>
    </row>
    <row r="39339">
      <c r="BB39339" s="122"/>
      <c r="BC39339" s="141"/>
    </row>
    <row r="39340">
      <c r="BB39340" s="122"/>
      <c r="BC39340" s="141"/>
    </row>
    <row r="39341">
      <c r="BB39341" s="122"/>
      <c r="BC39341" s="141"/>
    </row>
    <row r="39342">
      <c r="BB39342" s="122"/>
      <c r="BC39342" s="141"/>
    </row>
    <row r="39343">
      <c r="BB39343" s="122"/>
      <c r="BC39343" s="141"/>
    </row>
    <row r="39344">
      <c r="BB39344" s="122"/>
      <c r="BC39344" s="141"/>
    </row>
    <row r="39345">
      <c r="BB39345" s="122"/>
      <c r="BC39345" s="141"/>
    </row>
    <row r="39346">
      <c r="BB39346" s="122"/>
      <c r="BC39346" s="141"/>
    </row>
    <row r="39347">
      <c r="BB39347" s="122"/>
      <c r="BC39347" s="141"/>
    </row>
    <row r="39348">
      <c r="BB39348" s="122"/>
      <c r="BC39348" s="141"/>
    </row>
    <row r="39349">
      <c r="BB39349" s="122"/>
      <c r="BC39349" s="141"/>
    </row>
    <row r="39350">
      <c r="BB39350" s="122"/>
      <c r="BC39350" s="141"/>
    </row>
    <row r="39351">
      <c r="BB39351" s="122"/>
      <c r="BC39351" s="141"/>
    </row>
    <row r="39352">
      <c r="BB39352" s="122"/>
      <c r="BC39352" s="141"/>
    </row>
    <row r="39353">
      <c r="BB39353" s="122"/>
      <c r="BC39353" s="141"/>
    </row>
    <row r="39354">
      <c r="BB39354" s="122"/>
      <c r="BC39354" s="141"/>
    </row>
    <row r="39355">
      <c r="BB39355" s="122"/>
      <c r="BC39355" s="141"/>
    </row>
    <row r="39356">
      <c r="BB39356" s="122"/>
      <c r="BC39356" s="141"/>
    </row>
    <row r="39357">
      <c r="BB39357" s="122"/>
      <c r="BC39357" s="141"/>
    </row>
    <row r="39358">
      <c r="BB39358" s="122"/>
      <c r="BC39358" s="141"/>
    </row>
    <row r="39359">
      <c r="BB39359" s="122"/>
      <c r="BC39359" s="141"/>
    </row>
    <row r="39360">
      <c r="BB39360" s="122"/>
      <c r="BC39360" s="141"/>
    </row>
    <row r="39361">
      <c r="BB39361" s="122"/>
      <c r="BC39361" s="141"/>
    </row>
    <row r="39362">
      <c r="BB39362" s="122"/>
      <c r="BC39362" s="141"/>
    </row>
    <row r="39363">
      <c r="BB39363" s="122"/>
      <c r="BC39363" s="141"/>
    </row>
    <row r="39364">
      <c r="BB39364" s="122"/>
      <c r="BC39364" s="141"/>
    </row>
    <row r="39365">
      <c r="BB39365" s="122"/>
      <c r="BC39365" s="141"/>
    </row>
    <row r="39366">
      <c r="BB39366" s="122"/>
      <c r="BC39366" s="141"/>
    </row>
    <row r="39367">
      <c r="BB39367" s="122"/>
      <c r="BC39367" s="141"/>
    </row>
    <row r="39368">
      <c r="BB39368" s="122"/>
      <c r="BC39368" s="141"/>
    </row>
    <row r="39369">
      <c r="BB39369" s="122"/>
      <c r="BC39369" s="141"/>
    </row>
    <row r="39370">
      <c r="BB39370" s="122"/>
      <c r="BC39370" s="141"/>
    </row>
    <row r="39371">
      <c r="BB39371" s="122"/>
      <c r="BC39371" s="141"/>
    </row>
    <row r="39372">
      <c r="BB39372" s="122"/>
      <c r="BC39372" s="141"/>
    </row>
    <row r="39373">
      <c r="BB39373" s="122"/>
      <c r="BC39373" s="141"/>
    </row>
    <row r="39374">
      <c r="BB39374" s="122"/>
      <c r="BC39374" s="141"/>
    </row>
    <row r="39375">
      <c r="BB39375" s="122"/>
      <c r="BC39375" s="141"/>
    </row>
    <row r="39376">
      <c r="BB39376" s="122"/>
      <c r="BC39376" s="141"/>
    </row>
    <row r="39377">
      <c r="BB39377" s="122"/>
      <c r="BC39377" s="141"/>
    </row>
    <row r="39378">
      <c r="BB39378" s="122"/>
      <c r="BC39378" s="141"/>
    </row>
    <row r="39379">
      <c r="BB39379" s="122"/>
      <c r="BC39379" s="141"/>
    </row>
    <row r="39380">
      <c r="BB39380" s="122"/>
      <c r="BC39380" s="141"/>
    </row>
    <row r="39381">
      <c r="BB39381" s="122"/>
      <c r="BC39381" s="141"/>
    </row>
    <row r="39382">
      <c r="BB39382" s="122"/>
      <c r="BC39382" s="141"/>
    </row>
    <row r="39383">
      <c r="BB39383" s="122"/>
      <c r="BC39383" s="141"/>
    </row>
    <row r="39384">
      <c r="BB39384" s="122"/>
      <c r="BC39384" s="141"/>
    </row>
    <row r="39385">
      <c r="BB39385" s="122"/>
      <c r="BC39385" s="141"/>
    </row>
    <row r="39386">
      <c r="BB39386" s="122"/>
      <c r="BC39386" s="141"/>
    </row>
    <row r="39387">
      <c r="BB39387" s="122"/>
      <c r="BC39387" s="141"/>
    </row>
    <row r="39388">
      <c r="BB39388" s="122"/>
      <c r="BC39388" s="141"/>
    </row>
    <row r="39389">
      <c r="BB39389" s="122"/>
      <c r="BC39389" s="141"/>
    </row>
    <row r="39390">
      <c r="BB39390" s="122"/>
      <c r="BC39390" s="141"/>
    </row>
    <row r="39391">
      <c r="BB39391" s="122"/>
      <c r="BC39391" s="141"/>
    </row>
    <row r="39392">
      <c r="BB39392" s="122"/>
      <c r="BC39392" s="141"/>
    </row>
    <row r="39393">
      <c r="BB39393" s="122"/>
      <c r="BC39393" s="141"/>
    </row>
    <row r="39394">
      <c r="BB39394" s="122"/>
      <c r="BC39394" s="141"/>
    </row>
    <row r="39395">
      <c r="BB39395" s="122"/>
      <c r="BC39395" s="141"/>
    </row>
    <row r="39396">
      <c r="BB39396" s="122"/>
      <c r="BC39396" s="141"/>
    </row>
    <row r="39397">
      <c r="BB39397" s="122"/>
      <c r="BC39397" s="141"/>
    </row>
    <row r="39398">
      <c r="BB39398" s="122"/>
      <c r="BC39398" s="141"/>
    </row>
    <row r="39399">
      <c r="BB39399" s="122"/>
      <c r="BC39399" s="141"/>
    </row>
    <row r="39400">
      <c r="BB39400" s="122"/>
      <c r="BC39400" s="141"/>
    </row>
    <row r="39401">
      <c r="BB39401" s="122"/>
      <c r="BC39401" s="141"/>
    </row>
    <row r="39402">
      <c r="BB39402" s="122"/>
      <c r="BC39402" s="141"/>
    </row>
    <row r="39403">
      <c r="BB39403" s="122"/>
      <c r="BC39403" s="141"/>
    </row>
    <row r="39404">
      <c r="BB39404" s="122"/>
      <c r="BC39404" s="141"/>
    </row>
    <row r="39405">
      <c r="BB39405" s="122"/>
      <c r="BC39405" s="141"/>
    </row>
    <row r="39406">
      <c r="BB39406" s="122"/>
      <c r="BC39406" s="141"/>
    </row>
    <row r="39407">
      <c r="BB39407" s="122"/>
      <c r="BC39407" s="141"/>
    </row>
    <row r="39408">
      <c r="BB39408" s="122"/>
      <c r="BC39408" s="141"/>
    </row>
    <row r="39409">
      <c r="BB39409" s="122"/>
      <c r="BC39409" s="141"/>
    </row>
    <row r="39410">
      <c r="BB39410" s="122"/>
      <c r="BC39410" s="141"/>
    </row>
    <row r="39411">
      <c r="BB39411" s="122"/>
      <c r="BC39411" s="141"/>
    </row>
    <row r="39412">
      <c r="BB39412" s="122"/>
      <c r="BC39412" s="141"/>
    </row>
    <row r="39413">
      <c r="BB39413" s="122"/>
      <c r="BC39413" s="141"/>
    </row>
    <row r="39414">
      <c r="BB39414" s="122"/>
      <c r="BC39414" s="141"/>
    </row>
    <row r="39415">
      <c r="BB39415" s="122"/>
      <c r="BC39415" s="141"/>
    </row>
    <row r="39416">
      <c r="BB39416" s="122"/>
      <c r="BC39416" s="141"/>
    </row>
    <row r="39417">
      <c r="BB39417" s="122"/>
      <c r="BC39417" s="141"/>
    </row>
    <row r="39418">
      <c r="BB39418" s="122"/>
      <c r="BC39418" s="141"/>
    </row>
    <row r="39419">
      <c r="BB39419" s="122"/>
      <c r="BC39419" s="141"/>
    </row>
    <row r="39420">
      <c r="BB39420" s="122"/>
      <c r="BC39420" s="141"/>
    </row>
    <row r="39421">
      <c r="BB39421" s="122"/>
      <c r="BC39421" s="141"/>
    </row>
    <row r="39422">
      <c r="BB39422" s="122"/>
      <c r="BC39422" s="141"/>
    </row>
    <row r="39423">
      <c r="BB39423" s="122"/>
      <c r="BC39423" s="141"/>
    </row>
    <row r="39424">
      <c r="BB39424" s="122"/>
      <c r="BC39424" s="141"/>
    </row>
    <row r="39425">
      <c r="BB39425" s="122"/>
      <c r="BC39425" s="141"/>
    </row>
    <row r="39426">
      <c r="BB39426" s="122"/>
      <c r="BC39426" s="141"/>
    </row>
    <row r="39427">
      <c r="BB39427" s="122"/>
      <c r="BC39427" s="141"/>
    </row>
    <row r="39428">
      <c r="BB39428" s="122"/>
      <c r="BC39428" s="141"/>
    </row>
    <row r="39429">
      <c r="BB39429" s="122"/>
      <c r="BC39429" s="141"/>
    </row>
    <row r="39430">
      <c r="BB39430" s="122"/>
      <c r="BC39430" s="141"/>
    </row>
    <row r="39431">
      <c r="BB39431" s="122"/>
      <c r="BC39431" s="141"/>
    </row>
    <row r="39432">
      <c r="BB39432" s="122"/>
      <c r="BC39432" s="141"/>
    </row>
    <row r="39433">
      <c r="BB39433" s="122"/>
      <c r="BC39433" s="141"/>
    </row>
    <row r="39434">
      <c r="BB39434" s="122"/>
      <c r="BC39434" s="141"/>
    </row>
    <row r="39435">
      <c r="BB39435" s="122"/>
      <c r="BC39435" s="141"/>
    </row>
    <row r="39436">
      <c r="BB39436" s="122"/>
      <c r="BC39436" s="141"/>
    </row>
    <row r="39437">
      <c r="BB39437" s="122"/>
      <c r="BC39437" s="141"/>
    </row>
    <row r="39438">
      <c r="BB39438" s="122"/>
      <c r="BC39438" s="141"/>
    </row>
    <row r="39439">
      <c r="BB39439" s="122"/>
      <c r="BC39439" s="141"/>
    </row>
    <row r="39440">
      <c r="BB39440" s="122"/>
      <c r="BC39440" s="141"/>
    </row>
    <row r="39441">
      <c r="BB39441" s="122"/>
      <c r="BC39441" s="141"/>
    </row>
    <row r="39442">
      <c r="BB39442" s="122"/>
      <c r="BC39442" s="141"/>
    </row>
    <row r="39443">
      <c r="BB39443" s="122"/>
      <c r="BC39443" s="141"/>
    </row>
    <row r="39444">
      <c r="BB39444" s="122"/>
      <c r="BC39444" s="141"/>
    </row>
    <row r="39445">
      <c r="BB39445" s="122"/>
      <c r="BC39445" s="141"/>
    </row>
    <row r="39446">
      <c r="BB39446" s="122"/>
      <c r="BC39446" s="141"/>
    </row>
    <row r="39447">
      <c r="BB39447" s="122"/>
      <c r="BC39447" s="141"/>
    </row>
    <row r="39448">
      <c r="BB39448" s="122"/>
      <c r="BC39448" s="141"/>
    </row>
    <row r="39449">
      <c r="BB39449" s="122"/>
      <c r="BC39449" s="141"/>
    </row>
    <row r="39450">
      <c r="BB39450" s="122"/>
      <c r="BC39450" s="141"/>
    </row>
    <row r="39451">
      <c r="BB39451" s="122"/>
      <c r="BC39451" s="141"/>
    </row>
    <row r="39452">
      <c r="BB39452" s="122"/>
      <c r="BC39452" s="141"/>
    </row>
    <row r="39453">
      <c r="BB39453" s="122"/>
      <c r="BC39453" s="141"/>
    </row>
    <row r="39454">
      <c r="BB39454" s="122"/>
      <c r="BC39454" s="141"/>
    </row>
    <row r="39455">
      <c r="BB39455" s="122"/>
      <c r="BC39455" s="141"/>
    </row>
    <row r="39456">
      <c r="BB39456" s="122"/>
      <c r="BC39456" s="141"/>
    </row>
    <row r="39457">
      <c r="BB39457" s="122"/>
      <c r="BC39457" s="141"/>
    </row>
    <row r="39458">
      <c r="BB39458" s="122"/>
      <c r="BC39458" s="141"/>
    </row>
    <row r="39459">
      <c r="BB39459" s="122"/>
      <c r="BC39459" s="141"/>
    </row>
    <row r="39460">
      <c r="BB39460" s="122"/>
      <c r="BC39460" s="141"/>
    </row>
    <row r="39461">
      <c r="BB39461" s="122"/>
      <c r="BC39461" s="141"/>
    </row>
    <row r="39462">
      <c r="BB39462" s="122"/>
      <c r="BC39462" s="141"/>
    </row>
    <row r="39463">
      <c r="BB39463" s="122"/>
      <c r="BC39463" s="141"/>
    </row>
    <row r="39464">
      <c r="BB39464" s="122"/>
      <c r="BC39464" s="141"/>
    </row>
    <row r="39465">
      <c r="BB39465" s="122"/>
      <c r="BC39465" s="141"/>
    </row>
    <row r="39466">
      <c r="BB39466" s="122"/>
      <c r="BC39466" s="141"/>
    </row>
    <row r="39467">
      <c r="BB39467" s="122"/>
      <c r="BC39467" s="141"/>
    </row>
    <row r="39468">
      <c r="BB39468" s="122"/>
      <c r="BC39468" s="141"/>
    </row>
    <row r="39469">
      <c r="BB39469" s="122"/>
      <c r="BC39469" s="141"/>
    </row>
    <row r="39470">
      <c r="BB39470" s="122"/>
      <c r="BC39470" s="141"/>
    </row>
    <row r="39471">
      <c r="BB39471" s="122"/>
      <c r="BC39471" s="141"/>
    </row>
    <row r="39472">
      <c r="BB39472" s="122"/>
      <c r="BC39472" s="141"/>
    </row>
    <row r="39473">
      <c r="BB39473" s="122"/>
      <c r="BC39473" s="141"/>
    </row>
    <row r="39474">
      <c r="BB39474" s="122"/>
      <c r="BC39474" s="141"/>
    </row>
    <row r="39475">
      <c r="BB39475" s="122"/>
      <c r="BC39475" s="141"/>
    </row>
    <row r="39476">
      <c r="BB39476" s="122"/>
      <c r="BC39476" s="141"/>
    </row>
    <row r="39477">
      <c r="BB39477" s="122"/>
      <c r="BC39477" s="141"/>
    </row>
    <row r="39478">
      <c r="BB39478" s="122"/>
      <c r="BC39478" s="141"/>
    </row>
    <row r="39479">
      <c r="BB39479" s="122"/>
      <c r="BC39479" s="141"/>
    </row>
    <row r="39480">
      <c r="BB39480" s="122"/>
      <c r="BC39480" s="141"/>
    </row>
    <row r="39481">
      <c r="BB39481" s="122"/>
      <c r="BC39481" s="141"/>
    </row>
    <row r="39482">
      <c r="BB39482" s="122"/>
      <c r="BC39482" s="141"/>
    </row>
    <row r="39483">
      <c r="BB39483" s="122"/>
      <c r="BC39483" s="141"/>
    </row>
    <row r="39484">
      <c r="BB39484" s="122"/>
      <c r="BC39484" s="141"/>
    </row>
    <row r="39485">
      <c r="BB39485" s="122"/>
      <c r="BC39485" s="141"/>
    </row>
    <row r="39486">
      <c r="BB39486" s="122"/>
      <c r="BC39486" s="141"/>
    </row>
    <row r="39487">
      <c r="BB39487" s="122"/>
      <c r="BC39487" s="141"/>
    </row>
    <row r="39488">
      <c r="BB39488" s="122"/>
      <c r="BC39488" s="141"/>
    </row>
    <row r="39489">
      <c r="BB39489" s="122"/>
      <c r="BC39489" s="141"/>
    </row>
    <row r="39490">
      <c r="BB39490" s="122"/>
      <c r="BC39490" s="141"/>
    </row>
    <row r="39491">
      <c r="BB39491" s="122"/>
      <c r="BC39491" s="141"/>
    </row>
    <row r="39492">
      <c r="BB39492" s="122"/>
      <c r="BC39492" s="141"/>
    </row>
    <row r="39493">
      <c r="BB39493" s="122"/>
      <c r="BC39493" s="141"/>
    </row>
    <row r="39494">
      <c r="BB39494" s="122"/>
      <c r="BC39494" s="141"/>
    </row>
    <row r="39495">
      <c r="BB39495" s="122"/>
      <c r="BC39495" s="141"/>
    </row>
    <row r="39496">
      <c r="BB39496" s="122"/>
      <c r="BC39496" s="141"/>
    </row>
    <row r="39497">
      <c r="BB39497" s="122"/>
      <c r="BC39497" s="141"/>
    </row>
    <row r="39498">
      <c r="BB39498" s="122"/>
      <c r="BC39498" s="141"/>
    </row>
    <row r="39499">
      <c r="BB39499" s="122"/>
      <c r="BC39499" s="141"/>
    </row>
    <row r="39500">
      <c r="BB39500" s="122"/>
      <c r="BC39500" s="141"/>
    </row>
    <row r="39501">
      <c r="BB39501" s="122"/>
      <c r="BC39501" s="141"/>
    </row>
    <row r="39502">
      <c r="BB39502" s="122"/>
      <c r="BC39502" s="141"/>
    </row>
    <row r="39503">
      <c r="BB39503" s="122"/>
      <c r="BC39503" s="141"/>
    </row>
    <row r="39504">
      <c r="BB39504" s="122"/>
      <c r="BC39504" s="141"/>
    </row>
    <row r="39505">
      <c r="BB39505" s="122"/>
      <c r="BC39505" s="141"/>
    </row>
    <row r="39506">
      <c r="BB39506" s="122"/>
      <c r="BC39506" s="141"/>
    </row>
    <row r="39507">
      <c r="BB39507" s="122"/>
      <c r="BC39507" s="141"/>
    </row>
    <row r="39508">
      <c r="BB39508" s="122"/>
      <c r="BC39508" s="141"/>
    </row>
    <row r="39509">
      <c r="BB39509" s="122"/>
      <c r="BC39509" s="141"/>
    </row>
    <row r="39510">
      <c r="BB39510" s="122"/>
      <c r="BC39510" s="141"/>
    </row>
    <row r="39511">
      <c r="BB39511" s="122"/>
      <c r="BC39511" s="141"/>
    </row>
    <row r="39512">
      <c r="BB39512" s="122"/>
      <c r="BC39512" s="141"/>
    </row>
    <row r="39513">
      <c r="BB39513" s="122"/>
      <c r="BC39513" s="141"/>
    </row>
    <row r="39514">
      <c r="BB39514" s="122"/>
      <c r="BC39514" s="141"/>
    </row>
    <row r="39515">
      <c r="BB39515" s="122"/>
      <c r="BC39515" s="141"/>
    </row>
    <row r="39516">
      <c r="BB39516" s="122"/>
      <c r="BC39516" s="141"/>
    </row>
    <row r="39517">
      <c r="BB39517" s="122"/>
      <c r="BC39517" s="141"/>
    </row>
    <row r="39518">
      <c r="BB39518" s="122"/>
      <c r="BC39518" s="141"/>
    </row>
    <row r="39519">
      <c r="BB39519" s="122"/>
      <c r="BC39519" s="141"/>
    </row>
    <row r="39520">
      <c r="BB39520" s="122"/>
      <c r="BC39520" s="141"/>
    </row>
    <row r="39521">
      <c r="BB39521" s="122"/>
      <c r="BC39521" s="141"/>
    </row>
    <row r="39522">
      <c r="BB39522" s="122"/>
      <c r="BC39522" s="141"/>
    </row>
    <row r="39523">
      <c r="BB39523" s="122"/>
      <c r="BC39523" s="141"/>
    </row>
    <row r="39524">
      <c r="BB39524" s="122"/>
      <c r="BC39524" s="141"/>
    </row>
    <row r="39525">
      <c r="BB39525" s="122"/>
      <c r="BC39525" s="141"/>
    </row>
    <row r="39526">
      <c r="BB39526" s="122"/>
      <c r="BC39526" s="141"/>
    </row>
    <row r="39527">
      <c r="BB39527" s="122"/>
      <c r="BC39527" s="141"/>
    </row>
    <row r="39528">
      <c r="BB39528" s="122"/>
      <c r="BC39528" s="141"/>
    </row>
    <row r="39529">
      <c r="BB39529" s="122"/>
      <c r="BC39529" s="141"/>
    </row>
    <row r="39530">
      <c r="BB39530" s="122"/>
      <c r="BC39530" s="141"/>
    </row>
    <row r="39531">
      <c r="BB39531" s="122"/>
      <c r="BC39531" s="141"/>
    </row>
    <row r="39532">
      <c r="BB39532" s="122"/>
      <c r="BC39532" s="141"/>
    </row>
    <row r="39533">
      <c r="BB39533" s="122"/>
      <c r="BC39533" s="141"/>
    </row>
    <row r="39534">
      <c r="BB39534" s="122"/>
      <c r="BC39534" s="141"/>
    </row>
    <row r="39535">
      <c r="BB39535" s="122"/>
      <c r="BC39535" s="141"/>
    </row>
    <row r="39536">
      <c r="BB39536" s="122"/>
      <c r="BC39536" s="141"/>
    </row>
    <row r="39537">
      <c r="BB39537" s="122"/>
      <c r="BC39537" s="141"/>
    </row>
    <row r="39538">
      <c r="BB39538" s="122"/>
      <c r="BC39538" s="141"/>
    </row>
    <row r="39539">
      <c r="BB39539" s="122"/>
      <c r="BC39539" s="141"/>
    </row>
    <row r="39540">
      <c r="BB39540" s="122"/>
      <c r="BC39540" s="141"/>
    </row>
    <row r="39541">
      <c r="BB39541" s="122"/>
      <c r="BC39541" s="141"/>
    </row>
    <row r="39542">
      <c r="BB39542" s="122"/>
      <c r="BC39542" s="141"/>
    </row>
    <row r="39543">
      <c r="BB39543" s="122"/>
      <c r="BC39543" s="141"/>
    </row>
    <row r="39544">
      <c r="BB39544" s="122"/>
      <c r="BC39544" s="141"/>
    </row>
    <row r="39545">
      <c r="BB39545" s="122"/>
      <c r="BC39545" s="141"/>
    </row>
    <row r="39546">
      <c r="BB39546" s="122"/>
      <c r="BC39546" s="141"/>
    </row>
    <row r="39547">
      <c r="BB39547" s="122"/>
      <c r="BC39547" s="141"/>
    </row>
    <row r="39548">
      <c r="BB39548" s="122"/>
      <c r="BC39548" s="141"/>
    </row>
    <row r="39549">
      <c r="BB39549" s="122"/>
      <c r="BC39549" s="141"/>
    </row>
    <row r="39550">
      <c r="BB39550" s="122"/>
      <c r="BC39550" s="141"/>
    </row>
    <row r="39551">
      <c r="BB39551" s="122"/>
      <c r="BC39551" s="141"/>
    </row>
    <row r="39552">
      <c r="BB39552" s="122"/>
      <c r="BC39552" s="141"/>
    </row>
    <row r="39553">
      <c r="BB39553" s="122"/>
      <c r="BC39553" s="141"/>
    </row>
    <row r="39554">
      <c r="BB39554" s="122"/>
      <c r="BC39554" s="141"/>
    </row>
    <row r="39555">
      <c r="BB39555" s="122"/>
      <c r="BC39555" s="141"/>
    </row>
    <row r="39556">
      <c r="BB39556" s="122"/>
      <c r="BC39556" s="141"/>
    </row>
    <row r="39557">
      <c r="BB39557" s="122"/>
      <c r="BC39557" s="141"/>
    </row>
    <row r="39558">
      <c r="BB39558" s="122"/>
      <c r="BC39558" s="141"/>
    </row>
    <row r="39559">
      <c r="BB39559" s="122"/>
      <c r="BC39559" s="141"/>
    </row>
    <row r="39560">
      <c r="BB39560" s="122"/>
      <c r="BC39560" s="141"/>
    </row>
    <row r="39561">
      <c r="BB39561" s="122"/>
      <c r="BC39561" s="141"/>
    </row>
    <row r="39562">
      <c r="BB39562" s="122"/>
      <c r="BC39562" s="141"/>
    </row>
    <row r="39563">
      <c r="BB39563" s="122"/>
      <c r="BC39563" s="141"/>
    </row>
    <row r="39564">
      <c r="BB39564" s="122"/>
      <c r="BC39564" s="141"/>
    </row>
    <row r="39565">
      <c r="BB39565" s="122"/>
      <c r="BC39565" s="141"/>
    </row>
    <row r="39566">
      <c r="BB39566" s="122"/>
      <c r="BC39566" s="141"/>
    </row>
    <row r="39567">
      <c r="BB39567" s="122"/>
      <c r="BC39567" s="141"/>
    </row>
    <row r="39568">
      <c r="BB39568" s="122"/>
      <c r="BC39568" s="141"/>
    </row>
    <row r="39569">
      <c r="BB39569" s="122"/>
      <c r="BC39569" s="141"/>
    </row>
    <row r="39570">
      <c r="BB39570" s="122"/>
      <c r="BC39570" s="141"/>
    </row>
    <row r="39571">
      <c r="BB39571" s="122"/>
      <c r="BC39571" s="141"/>
    </row>
    <row r="39572">
      <c r="BB39572" s="122"/>
      <c r="BC39572" s="141"/>
    </row>
    <row r="39573">
      <c r="BB39573" s="122"/>
      <c r="BC39573" s="141"/>
    </row>
    <row r="39574">
      <c r="BB39574" s="122"/>
      <c r="BC39574" s="141"/>
    </row>
    <row r="39575">
      <c r="BB39575" s="122"/>
      <c r="BC39575" s="141"/>
    </row>
    <row r="39576">
      <c r="BB39576" s="122"/>
      <c r="BC39576" s="141"/>
    </row>
    <row r="39577">
      <c r="BB39577" s="122"/>
      <c r="BC39577" s="141"/>
    </row>
    <row r="39578">
      <c r="BB39578" s="122"/>
      <c r="BC39578" s="141"/>
    </row>
    <row r="39579">
      <c r="BB39579" s="122"/>
      <c r="BC39579" s="141"/>
    </row>
    <row r="39580">
      <c r="BB39580" s="122"/>
      <c r="BC39580" s="141"/>
    </row>
    <row r="39581">
      <c r="BB39581" s="122"/>
      <c r="BC39581" s="141"/>
    </row>
    <row r="39582">
      <c r="BB39582" s="122"/>
      <c r="BC39582" s="141"/>
    </row>
    <row r="39583">
      <c r="BB39583" s="122"/>
      <c r="BC39583" s="141"/>
    </row>
    <row r="39584">
      <c r="BB39584" s="122"/>
      <c r="BC39584" s="141"/>
    </row>
    <row r="39585">
      <c r="BB39585" s="122"/>
      <c r="BC39585" s="141"/>
    </row>
    <row r="39586">
      <c r="BB39586" s="122"/>
      <c r="BC39586" s="141"/>
    </row>
    <row r="39587">
      <c r="BB39587" s="122"/>
      <c r="BC39587" s="141"/>
    </row>
    <row r="39588">
      <c r="BB39588" s="122"/>
      <c r="BC39588" s="141"/>
    </row>
    <row r="39589">
      <c r="BB39589" s="122"/>
      <c r="BC39589" s="141"/>
    </row>
    <row r="39590">
      <c r="BB39590" s="122"/>
      <c r="BC39590" s="141"/>
    </row>
    <row r="39591">
      <c r="BB39591" s="122"/>
      <c r="BC39591" s="141"/>
    </row>
    <row r="39592">
      <c r="BB39592" s="122"/>
      <c r="BC39592" s="141"/>
    </row>
    <row r="39593">
      <c r="BB39593" s="122"/>
      <c r="BC39593" s="141"/>
    </row>
    <row r="39594">
      <c r="BB39594" s="122"/>
      <c r="BC39594" s="141"/>
    </row>
    <row r="39595">
      <c r="BB39595" s="122"/>
      <c r="BC39595" s="141"/>
    </row>
    <row r="39596">
      <c r="BB39596" s="122"/>
      <c r="BC39596" s="141"/>
    </row>
    <row r="39597">
      <c r="BB39597" s="122"/>
      <c r="BC39597" s="141"/>
    </row>
    <row r="39598">
      <c r="BB39598" s="122"/>
      <c r="BC39598" s="141"/>
    </row>
    <row r="39599">
      <c r="BB39599" s="122"/>
      <c r="BC39599" s="141"/>
    </row>
    <row r="39600">
      <c r="BB39600" s="122"/>
      <c r="BC39600" s="141"/>
    </row>
    <row r="39601">
      <c r="BB39601" s="122"/>
      <c r="BC39601" s="141"/>
    </row>
    <row r="39602">
      <c r="BB39602" s="122"/>
      <c r="BC39602" s="141"/>
    </row>
    <row r="39603">
      <c r="BB39603" s="122"/>
      <c r="BC39603" s="141"/>
    </row>
    <row r="39604">
      <c r="BB39604" s="122"/>
      <c r="BC39604" s="141"/>
    </row>
    <row r="39605">
      <c r="BB39605" s="122"/>
      <c r="BC39605" s="141"/>
    </row>
    <row r="39606">
      <c r="BB39606" s="122"/>
      <c r="BC39606" s="141"/>
    </row>
    <row r="39607">
      <c r="BB39607" s="122"/>
      <c r="BC39607" s="141"/>
    </row>
    <row r="39608">
      <c r="BB39608" s="122"/>
      <c r="BC39608" s="141"/>
    </row>
    <row r="39609">
      <c r="BB39609" s="122"/>
      <c r="BC39609" s="141"/>
    </row>
    <row r="39610">
      <c r="BB39610" s="122"/>
      <c r="BC39610" s="141"/>
    </row>
    <row r="39611">
      <c r="BB39611" s="122"/>
      <c r="BC39611" s="141"/>
    </row>
    <row r="39612">
      <c r="BB39612" s="122"/>
      <c r="BC39612" s="141"/>
    </row>
    <row r="39613">
      <c r="BB39613" s="122"/>
      <c r="BC39613" s="141"/>
    </row>
    <row r="39614">
      <c r="BB39614" s="122"/>
      <c r="BC39614" s="141"/>
    </row>
    <row r="39615">
      <c r="BB39615" s="122"/>
      <c r="BC39615" s="141"/>
    </row>
    <row r="39616">
      <c r="BB39616" s="122"/>
      <c r="BC39616" s="141"/>
    </row>
    <row r="39617">
      <c r="BB39617" s="122"/>
      <c r="BC39617" s="141"/>
    </row>
    <row r="39618">
      <c r="BB39618" s="122"/>
      <c r="BC39618" s="141"/>
    </row>
    <row r="39619">
      <c r="BB39619" s="122"/>
      <c r="BC39619" s="141"/>
    </row>
    <row r="39620">
      <c r="BB39620" s="122"/>
      <c r="BC39620" s="141"/>
    </row>
    <row r="39621">
      <c r="BB39621" s="122"/>
      <c r="BC39621" s="141"/>
    </row>
    <row r="39622">
      <c r="BB39622" s="122"/>
      <c r="BC39622" s="141"/>
    </row>
    <row r="39623">
      <c r="BB39623" s="122"/>
      <c r="BC39623" s="141"/>
    </row>
    <row r="39624">
      <c r="BB39624" s="122"/>
      <c r="BC39624" s="141"/>
    </row>
    <row r="39625">
      <c r="BB39625" s="122"/>
      <c r="BC39625" s="141"/>
    </row>
    <row r="39626">
      <c r="BB39626" s="122"/>
      <c r="BC39626" s="141"/>
    </row>
    <row r="39627">
      <c r="BB39627" s="122"/>
      <c r="BC39627" s="141"/>
    </row>
    <row r="39628">
      <c r="BB39628" s="122"/>
      <c r="BC39628" s="141"/>
    </row>
    <row r="39629">
      <c r="BB39629" s="122"/>
      <c r="BC39629" s="141"/>
    </row>
    <row r="39630">
      <c r="BB39630" s="122"/>
      <c r="BC39630" s="141"/>
    </row>
    <row r="39631">
      <c r="BB39631" s="122"/>
      <c r="BC39631" s="141"/>
    </row>
    <row r="39632">
      <c r="BB39632" s="122"/>
      <c r="BC39632" s="141"/>
    </row>
    <row r="39633">
      <c r="BB39633" s="122"/>
      <c r="BC39633" s="141"/>
    </row>
    <row r="39634">
      <c r="BB39634" s="122"/>
      <c r="BC39634" s="141"/>
    </row>
    <row r="39635">
      <c r="BB39635" s="122"/>
      <c r="BC39635" s="141"/>
    </row>
    <row r="39636">
      <c r="BB39636" s="122"/>
      <c r="BC39636" s="141"/>
    </row>
    <row r="39637">
      <c r="BB39637" s="122"/>
      <c r="BC39637" s="141"/>
    </row>
    <row r="39638">
      <c r="BB39638" s="122"/>
      <c r="BC39638" s="141"/>
    </row>
    <row r="39639">
      <c r="BB39639" s="122"/>
      <c r="BC39639" s="141"/>
    </row>
    <row r="39640">
      <c r="BB39640" s="122"/>
      <c r="BC39640" s="141"/>
    </row>
    <row r="39641">
      <c r="BB39641" s="122"/>
      <c r="BC39641" s="141"/>
    </row>
    <row r="39642">
      <c r="BB39642" s="122"/>
      <c r="BC39642" s="141"/>
    </row>
    <row r="39643">
      <c r="BB39643" s="122"/>
      <c r="BC39643" s="141"/>
    </row>
    <row r="39644">
      <c r="BB39644" s="122"/>
      <c r="BC39644" s="141"/>
    </row>
    <row r="39645">
      <c r="BB39645" s="122"/>
      <c r="BC39645" s="141"/>
    </row>
    <row r="39646">
      <c r="BB39646" s="122"/>
      <c r="BC39646" s="141"/>
    </row>
    <row r="39647">
      <c r="BB39647" s="122"/>
      <c r="BC39647" s="141"/>
    </row>
    <row r="39648">
      <c r="BB39648" s="122"/>
      <c r="BC39648" s="141"/>
    </row>
    <row r="39649">
      <c r="BB39649" s="122"/>
      <c r="BC39649" s="141"/>
    </row>
    <row r="39650">
      <c r="BB39650" s="122"/>
      <c r="BC39650" s="141"/>
    </row>
    <row r="39651">
      <c r="BB39651" s="122"/>
      <c r="BC39651" s="141"/>
    </row>
    <row r="39652">
      <c r="BB39652" s="122"/>
      <c r="BC39652" s="141"/>
    </row>
    <row r="39653">
      <c r="BB39653" s="122"/>
      <c r="BC39653" s="141"/>
    </row>
    <row r="39654">
      <c r="BB39654" s="122"/>
      <c r="BC39654" s="141"/>
    </row>
    <row r="39655">
      <c r="BB39655" s="122"/>
      <c r="BC39655" s="141"/>
    </row>
    <row r="39656">
      <c r="BB39656" s="122"/>
      <c r="BC39656" s="141"/>
    </row>
    <row r="39657">
      <c r="BB39657" s="122"/>
      <c r="BC39657" s="141"/>
    </row>
    <row r="39658">
      <c r="BB39658" s="122"/>
      <c r="BC39658" s="141"/>
    </row>
    <row r="39659">
      <c r="BB39659" s="122"/>
      <c r="BC39659" s="141"/>
    </row>
    <row r="39660">
      <c r="BB39660" s="122"/>
      <c r="BC39660" s="141"/>
    </row>
    <row r="39661">
      <c r="BB39661" s="122"/>
      <c r="BC39661" s="141"/>
    </row>
    <row r="39662">
      <c r="BB39662" s="122"/>
      <c r="BC39662" s="141"/>
    </row>
    <row r="39663">
      <c r="BB39663" s="122"/>
      <c r="BC39663" s="141"/>
    </row>
    <row r="39664">
      <c r="BB39664" s="122"/>
      <c r="BC39664" s="141"/>
    </row>
    <row r="39665">
      <c r="BB39665" s="122"/>
      <c r="BC39665" s="141"/>
    </row>
    <row r="39666">
      <c r="BB39666" s="122"/>
      <c r="BC39666" s="141"/>
    </row>
    <row r="39667">
      <c r="BB39667" s="122"/>
      <c r="BC39667" s="141"/>
    </row>
    <row r="39668">
      <c r="BB39668" s="122"/>
      <c r="BC39668" s="141"/>
    </row>
    <row r="39669">
      <c r="BB39669" s="122"/>
      <c r="BC39669" s="141"/>
    </row>
    <row r="39670">
      <c r="BB39670" s="122"/>
      <c r="BC39670" s="141"/>
    </row>
    <row r="39671">
      <c r="BB39671" s="122"/>
      <c r="BC39671" s="141"/>
    </row>
    <row r="39672">
      <c r="BB39672" s="122"/>
      <c r="BC39672" s="141"/>
    </row>
    <row r="39673">
      <c r="BB39673" s="122"/>
      <c r="BC39673" s="141"/>
    </row>
    <row r="39674">
      <c r="BB39674" s="122"/>
      <c r="BC39674" s="141"/>
    </row>
    <row r="39675">
      <c r="BB39675" s="122"/>
      <c r="BC39675" s="141"/>
    </row>
    <row r="39676">
      <c r="BB39676" s="122"/>
      <c r="BC39676" s="141"/>
    </row>
    <row r="39677">
      <c r="BB39677" s="122"/>
      <c r="BC39677" s="141"/>
    </row>
    <row r="39678">
      <c r="BB39678" s="122"/>
      <c r="BC39678" s="141"/>
    </row>
    <row r="39679">
      <c r="BB39679" s="122"/>
      <c r="BC39679" s="141"/>
    </row>
    <row r="39680">
      <c r="BB39680" s="122"/>
      <c r="BC39680" s="141"/>
    </row>
    <row r="39681">
      <c r="BB39681" s="122"/>
      <c r="BC39681" s="141"/>
    </row>
    <row r="39682">
      <c r="BB39682" s="122"/>
      <c r="BC39682" s="141"/>
    </row>
    <row r="39683">
      <c r="BB39683" s="122"/>
      <c r="BC39683" s="141"/>
    </row>
    <row r="39684">
      <c r="BB39684" s="122"/>
      <c r="BC39684" s="141"/>
    </row>
    <row r="39685">
      <c r="BB39685" s="122"/>
      <c r="BC39685" s="141"/>
    </row>
    <row r="39686">
      <c r="BB39686" s="122"/>
      <c r="BC39686" s="141"/>
    </row>
    <row r="39687">
      <c r="BB39687" s="122"/>
      <c r="BC39687" s="141"/>
    </row>
    <row r="39688">
      <c r="BB39688" s="122"/>
      <c r="BC39688" s="141"/>
    </row>
    <row r="39689">
      <c r="BB39689" s="122"/>
      <c r="BC39689" s="141"/>
    </row>
    <row r="39690">
      <c r="BB39690" s="122"/>
      <c r="BC39690" s="141"/>
    </row>
    <row r="39691">
      <c r="BB39691" s="122"/>
      <c r="BC39691" s="141"/>
    </row>
    <row r="39692">
      <c r="BB39692" s="122"/>
      <c r="BC39692" s="141"/>
    </row>
    <row r="39693">
      <c r="BB39693" s="122"/>
      <c r="BC39693" s="141"/>
    </row>
    <row r="39694">
      <c r="BB39694" s="122"/>
      <c r="BC39694" s="141"/>
    </row>
    <row r="39695">
      <c r="BB39695" s="122"/>
      <c r="BC39695" s="141"/>
    </row>
    <row r="39696">
      <c r="BB39696" s="122"/>
      <c r="BC39696" s="141"/>
    </row>
    <row r="39697">
      <c r="BB39697" s="122"/>
      <c r="BC39697" s="141"/>
    </row>
    <row r="39698">
      <c r="BB39698" s="122"/>
      <c r="BC39698" s="141"/>
    </row>
    <row r="39699">
      <c r="BB39699" s="122"/>
      <c r="BC39699" s="141"/>
    </row>
    <row r="39700">
      <c r="BB39700" s="122"/>
      <c r="BC39700" s="141"/>
    </row>
    <row r="39701">
      <c r="BB39701" s="122"/>
      <c r="BC39701" s="141"/>
    </row>
    <row r="39702">
      <c r="BB39702" s="122"/>
      <c r="BC39702" s="141"/>
    </row>
    <row r="39703">
      <c r="BB39703" s="122"/>
      <c r="BC39703" s="141"/>
    </row>
    <row r="39704">
      <c r="BB39704" s="122"/>
      <c r="BC39704" s="141"/>
    </row>
    <row r="39705">
      <c r="BB39705" s="122"/>
      <c r="BC39705" s="141"/>
    </row>
    <row r="39706">
      <c r="BB39706" s="122"/>
      <c r="BC39706" s="141"/>
    </row>
    <row r="39707">
      <c r="BB39707" s="122"/>
      <c r="BC39707" s="141"/>
    </row>
    <row r="39708">
      <c r="BB39708" s="122"/>
      <c r="BC39708" s="141"/>
    </row>
    <row r="39709">
      <c r="BB39709" s="122"/>
      <c r="BC39709" s="141"/>
    </row>
    <row r="39710">
      <c r="BB39710" s="122"/>
      <c r="BC39710" s="141"/>
    </row>
    <row r="39711">
      <c r="BB39711" s="122"/>
      <c r="BC39711" s="141"/>
    </row>
    <row r="39712">
      <c r="BB39712" s="122"/>
      <c r="BC39712" s="141"/>
    </row>
    <row r="39713">
      <c r="BB39713" s="122"/>
      <c r="BC39713" s="141"/>
    </row>
    <row r="39714">
      <c r="BB39714" s="122"/>
      <c r="BC39714" s="141"/>
    </row>
    <row r="39715">
      <c r="BB39715" s="122"/>
      <c r="BC39715" s="141"/>
    </row>
    <row r="39716">
      <c r="BB39716" s="122"/>
      <c r="BC39716" s="141"/>
    </row>
    <row r="39717">
      <c r="BB39717" s="122"/>
      <c r="BC39717" s="141"/>
    </row>
    <row r="39718">
      <c r="BB39718" s="122"/>
      <c r="BC39718" s="141"/>
    </row>
    <row r="39719">
      <c r="BB39719" s="122"/>
      <c r="BC39719" s="141"/>
    </row>
    <row r="39720">
      <c r="BB39720" s="122"/>
      <c r="BC39720" s="141"/>
    </row>
    <row r="39721">
      <c r="BB39721" s="122"/>
      <c r="BC39721" s="141"/>
    </row>
    <row r="39722">
      <c r="BB39722" s="122"/>
      <c r="BC39722" s="141"/>
    </row>
    <row r="39723">
      <c r="BB39723" s="122"/>
      <c r="BC39723" s="141"/>
    </row>
    <row r="39724">
      <c r="BB39724" s="122"/>
      <c r="BC39724" s="141"/>
    </row>
    <row r="39725">
      <c r="BB39725" s="122"/>
      <c r="BC39725" s="141"/>
    </row>
    <row r="39726">
      <c r="BB39726" s="122"/>
      <c r="BC39726" s="141"/>
    </row>
    <row r="39727">
      <c r="BB39727" s="122"/>
      <c r="BC39727" s="141"/>
    </row>
    <row r="39728">
      <c r="BB39728" s="122"/>
      <c r="BC39728" s="141"/>
    </row>
    <row r="39729">
      <c r="BB39729" s="122"/>
      <c r="BC39729" s="141"/>
    </row>
    <row r="39730">
      <c r="BB39730" s="122"/>
      <c r="BC39730" s="141"/>
    </row>
    <row r="39731">
      <c r="BB39731" s="122"/>
      <c r="BC39731" s="141"/>
    </row>
    <row r="39732">
      <c r="BB39732" s="122"/>
      <c r="BC39732" s="141"/>
    </row>
    <row r="39733">
      <c r="BB39733" s="122"/>
      <c r="BC39733" s="141"/>
    </row>
    <row r="39734">
      <c r="BB39734" s="122"/>
      <c r="BC39734" s="141"/>
    </row>
    <row r="39735">
      <c r="BB39735" s="122"/>
      <c r="BC39735" s="141"/>
    </row>
    <row r="39736">
      <c r="BB39736" s="122"/>
      <c r="BC39736" s="141"/>
    </row>
    <row r="39737">
      <c r="BB39737" s="122"/>
      <c r="BC39737" s="141"/>
    </row>
    <row r="39738">
      <c r="BB39738" s="122"/>
      <c r="BC39738" s="141"/>
    </row>
    <row r="39739">
      <c r="BB39739" s="122"/>
      <c r="BC39739" s="141"/>
    </row>
    <row r="39740">
      <c r="BB39740" s="122"/>
      <c r="BC39740" s="141"/>
    </row>
    <row r="39741">
      <c r="BB39741" s="122"/>
      <c r="BC39741" s="141"/>
    </row>
    <row r="39742">
      <c r="BB39742" s="122"/>
      <c r="BC39742" s="141"/>
    </row>
    <row r="39743">
      <c r="BB39743" s="122"/>
      <c r="BC39743" s="141"/>
    </row>
    <row r="39744">
      <c r="BB39744" s="122"/>
      <c r="BC39744" s="141"/>
    </row>
    <row r="39745">
      <c r="BB39745" s="122"/>
      <c r="BC39745" s="141"/>
    </row>
    <row r="39746">
      <c r="BB39746" s="122"/>
      <c r="BC39746" s="141"/>
    </row>
    <row r="39747">
      <c r="BB39747" s="122"/>
      <c r="BC39747" s="141"/>
    </row>
    <row r="39748">
      <c r="BB39748" s="122"/>
      <c r="BC39748" s="141"/>
    </row>
    <row r="39749">
      <c r="BB39749" s="122"/>
      <c r="BC39749" s="141"/>
    </row>
    <row r="39750">
      <c r="BB39750" s="122"/>
      <c r="BC39750" s="141"/>
    </row>
    <row r="39751">
      <c r="BB39751" s="122"/>
      <c r="BC39751" s="141"/>
    </row>
    <row r="39752">
      <c r="BB39752" s="122"/>
      <c r="BC39752" s="141"/>
    </row>
    <row r="39753">
      <c r="BB39753" s="122"/>
      <c r="BC39753" s="141"/>
    </row>
    <row r="39754">
      <c r="BB39754" s="122"/>
      <c r="BC39754" s="141"/>
    </row>
    <row r="39755">
      <c r="BB39755" s="122"/>
      <c r="BC39755" s="141"/>
    </row>
    <row r="39756">
      <c r="BB39756" s="122"/>
      <c r="BC39756" s="141"/>
    </row>
    <row r="39757">
      <c r="BB39757" s="122"/>
      <c r="BC39757" s="141"/>
    </row>
    <row r="39758">
      <c r="BB39758" s="122"/>
      <c r="BC39758" s="141"/>
    </row>
    <row r="39759">
      <c r="BB39759" s="122"/>
      <c r="BC39759" s="141"/>
    </row>
    <row r="39760">
      <c r="BB39760" s="122"/>
      <c r="BC39760" s="141"/>
    </row>
    <row r="39761">
      <c r="BB39761" s="122"/>
      <c r="BC39761" s="141"/>
    </row>
    <row r="39762">
      <c r="BB39762" s="122"/>
      <c r="BC39762" s="141"/>
    </row>
    <row r="39763">
      <c r="BB39763" s="122"/>
      <c r="BC39763" s="141"/>
    </row>
    <row r="39764">
      <c r="BB39764" s="122"/>
      <c r="BC39764" s="141"/>
    </row>
    <row r="39765">
      <c r="BB39765" s="122"/>
      <c r="BC39765" s="141"/>
    </row>
    <row r="39766">
      <c r="BB39766" s="122"/>
      <c r="BC39766" s="141"/>
    </row>
    <row r="39767">
      <c r="BB39767" s="122"/>
      <c r="BC39767" s="141"/>
    </row>
    <row r="39768">
      <c r="BB39768" s="122"/>
      <c r="BC39768" s="141"/>
    </row>
    <row r="39769">
      <c r="BB39769" s="122"/>
      <c r="BC39769" s="141"/>
    </row>
    <row r="39770">
      <c r="BB39770" s="122"/>
      <c r="BC39770" s="141"/>
    </row>
    <row r="39771">
      <c r="BB39771" s="122"/>
      <c r="BC39771" s="141"/>
    </row>
    <row r="39772">
      <c r="BB39772" s="122"/>
      <c r="BC39772" s="141"/>
    </row>
    <row r="39773">
      <c r="BB39773" s="122"/>
      <c r="BC39773" s="141"/>
    </row>
    <row r="39774">
      <c r="BB39774" s="122"/>
      <c r="BC39774" s="141"/>
    </row>
    <row r="39775">
      <c r="BB39775" s="122"/>
      <c r="BC39775" s="141"/>
    </row>
    <row r="39776">
      <c r="BB39776" s="122"/>
      <c r="BC39776" s="141"/>
    </row>
    <row r="39777">
      <c r="BB39777" s="122"/>
      <c r="BC39777" s="141"/>
    </row>
    <row r="39778">
      <c r="BB39778" s="122"/>
      <c r="BC39778" s="141"/>
    </row>
    <row r="39779">
      <c r="BB39779" s="122"/>
      <c r="BC39779" s="141"/>
    </row>
    <row r="39780">
      <c r="BB39780" s="122"/>
      <c r="BC39780" s="141"/>
    </row>
    <row r="39781">
      <c r="BB39781" s="122"/>
      <c r="BC39781" s="141"/>
    </row>
    <row r="39782">
      <c r="BB39782" s="122"/>
      <c r="BC39782" s="141"/>
    </row>
    <row r="39783">
      <c r="BB39783" s="122"/>
      <c r="BC39783" s="141"/>
    </row>
    <row r="39784">
      <c r="BB39784" s="122"/>
      <c r="BC39784" s="141"/>
    </row>
    <row r="39785">
      <c r="BB39785" s="122"/>
      <c r="BC39785" s="141"/>
    </row>
    <row r="39786">
      <c r="BB39786" s="122"/>
      <c r="BC39786" s="141"/>
    </row>
    <row r="39787">
      <c r="BB39787" s="122"/>
      <c r="BC39787" s="141"/>
    </row>
    <row r="39788">
      <c r="BB39788" s="122"/>
      <c r="BC39788" s="141"/>
    </row>
    <row r="39789">
      <c r="BB39789" s="122"/>
      <c r="BC39789" s="141"/>
    </row>
    <row r="39790">
      <c r="BB39790" s="122"/>
      <c r="BC39790" s="141"/>
    </row>
    <row r="39791">
      <c r="BB39791" s="122"/>
      <c r="BC39791" s="141"/>
    </row>
    <row r="39792">
      <c r="BB39792" s="122"/>
      <c r="BC39792" s="141"/>
    </row>
    <row r="39793">
      <c r="BB39793" s="122"/>
      <c r="BC39793" s="141"/>
    </row>
    <row r="39794">
      <c r="BB39794" s="122"/>
      <c r="BC39794" s="141"/>
    </row>
    <row r="39795">
      <c r="BB39795" s="122"/>
      <c r="BC39795" s="141"/>
    </row>
    <row r="39796">
      <c r="BB39796" s="122"/>
      <c r="BC39796" s="141"/>
    </row>
    <row r="39797">
      <c r="BB39797" s="122"/>
      <c r="BC39797" s="141"/>
    </row>
    <row r="39798">
      <c r="BB39798" s="122"/>
      <c r="BC39798" s="141"/>
    </row>
    <row r="39799">
      <c r="BB39799" s="122"/>
      <c r="BC39799" s="141"/>
    </row>
    <row r="39800">
      <c r="BB39800" s="122"/>
      <c r="BC39800" s="141"/>
    </row>
    <row r="39801">
      <c r="BB39801" s="122"/>
      <c r="BC39801" s="141"/>
    </row>
    <row r="39802">
      <c r="BB39802" s="122"/>
      <c r="BC39802" s="141"/>
    </row>
    <row r="39803">
      <c r="BB39803" s="122"/>
      <c r="BC39803" s="141"/>
    </row>
    <row r="39804">
      <c r="BB39804" s="122"/>
      <c r="BC39804" s="141"/>
    </row>
    <row r="39805">
      <c r="BB39805" s="122"/>
      <c r="BC39805" s="141"/>
    </row>
    <row r="39806">
      <c r="BB39806" s="122"/>
      <c r="BC39806" s="141"/>
    </row>
    <row r="39807">
      <c r="BB39807" s="122"/>
      <c r="BC39807" s="141"/>
    </row>
    <row r="39808">
      <c r="BB39808" s="122"/>
      <c r="BC39808" s="141"/>
    </row>
    <row r="39809">
      <c r="BB39809" s="122"/>
      <c r="BC39809" s="141"/>
    </row>
    <row r="39810">
      <c r="BB39810" s="122"/>
      <c r="BC39810" s="141"/>
    </row>
    <row r="39811">
      <c r="BB39811" s="122"/>
      <c r="BC39811" s="141"/>
    </row>
    <row r="39812">
      <c r="BB39812" s="122"/>
      <c r="BC39812" s="141"/>
    </row>
    <row r="39813">
      <c r="BB39813" s="122"/>
      <c r="BC39813" s="141"/>
    </row>
    <row r="39814">
      <c r="BB39814" s="122"/>
      <c r="BC39814" s="141"/>
    </row>
    <row r="39815">
      <c r="BB39815" s="122"/>
      <c r="BC39815" s="141"/>
    </row>
    <row r="39816">
      <c r="BB39816" s="122"/>
      <c r="BC39816" s="141"/>
    </row>
    <row r="39817">
      <c r="BB39817" s="122"/>
      <c r="BC39817" s="141"/>
    </row>
    <row r="39818">
      <c r="BB39818" s="122"/>
      <c r="BC39818" s="141"/>
    </row>
    <row r="39819">
      <c r="BB39819" s="122"/>
      <c r="BC39819" s="141"/>
    </row>
    <row r="39820">
      <c r="BB39820" s="122"/>
      <c r="BC39820" s="141"/>
    </row>
    <row r="39821">
      <c r="BB39821" s="122"/>
      <c r="BC39821" s="141"/>
    </row>
    <row r="39822">
      <c r="BB39822" s="122"/>
      <c r="BC39822" s="141"/>
    </row>
    <row r="39823">
      <c r="BB39823" s="122"/>
      <c r="BC39823" s="141"/>
    </row>
    <row r="39824">
      <c r="BB39824" s="122"/>
      <c r="BC39824" s="141"/>
    </row>
    <row r="39825">
      <c r="BB39825" s="122"/>
      <c r="BC39825" s="141"/>
    </row>
    <row r="39826">
      <c r="BB39826" s="122"/>
      <c r="BC39826" s="141"/>
    </row>
    <row r="39827">
      <c r="BB39827" s="122"/>
      <c r="BC39827" s="141"/>
    </row>
    <row r="39828">
      <c r="BB39828" s="122"/>
      <c r="BC39828" s="141"/>
    </row>
    <row r="39829">
      <c r="BB39829" s="122"/>
      <c r="BC39829" s="141"/>
    </row>
    <row r="39830">
      <c r="BB39830" s="122"/>
      <c r="BC39830" s="141"/>
    </row>
    <row r="39831">
      <c r="BB39831" s="122"/>
      <c r="BC39831" s="141"/>
    </row>
    <row r="39832">
      <c r="BB39832" s="122"/>
      <c r="BC39832" s="141"/>
    </row>
    <row r="39833">
      <c r="BB39833" s="122"/>
      <c r="BC39833" s="141"/>
    </row>
    <row r="39834">
      <c r="BB39834" s="122"/>
      <c r="BC39834" s="141"/>
    </row>
    <row r="39835">
      <c r="BB39835" s="122"/>
      <c r="BC39835" s="141"/>
    </row>
    <row r="39836">
      <c r="BB39836" s="122"/>
      <c r="BC39836" s="141"/>
    </row>
    <row r="39837">
      <c r="BB39837" s="122"/>
      <c r="BC39837" s="141"/>
    </row>
    <row r="39838">
      <c r="BB39838" s="122"/>
      <c r="BC39838" s="141"/>
    </row>
    <row r="39839">
      <c r="BB39839" s="122"/>
      <c r="BC39839" s="141"/>
    </row>
    <row r="39840">
      <c r="BB39840" s="122"/>
      <c r="BC39840" s="141"/>
    </row>
    <row r="39841">
      <c r="BB39841" s="122"/>
      <c r="BC39841" s="141"/>
    </row>
    <row r="39842">
      <c r="BB39842" s="122"/>
      <c r="BC39842" s="141"/>
    </row>
    <row r="39843">
      <c r="BB39843" s="122"/>
      <c r="BC39843" s="141"/>
    </row>
    <row r="39844">
      <c r="BB39844" s="122"/>
      <c r="BC39844" s="141"/>
    </row>
    <row r="39845">
      <c r="BB39845" s="122"/>
      <c r="BC39845" s="141"/>
    </row>
    <row r="39846">
      <c r="BB39846" s="122"/>
      <c r="BC39846" s="141"/>
    </row>
    <row r="39847">
      <c r="BB39847" s="122"/>
      <c r="BC39847" s="141"/>
    </row>
    <row r="39848">
      <c r="BB39848" s="122"/>
      <c r="BC39848" s="141"/>
    </row>
    <row r="39849">
      <c r="BB39849" s="122"/>
      <c r="BC39849" s="141"/>
    </row>
    <row r="39850">
      <c r="BB39850" s="122"/>
      <c r="BC39850" s="141"/>
    </row>
    <row r="39851">
      <c r="BB39851" s="122"/>
      <c r="BC39851" s="141"/>
    </row>
    <row r="39852">
      <c r="BB39852" s="122"/>
      <c r="BC39852" s="141"/>
    </row>
    <row r="39853">
      <c r="BB39853" s="122"/>
      <c r="BC39853" s="141"/>
    </row>
    <row r="39854">
      <c r="BB39854" s="122"/>
      <c r="BC39854" s="141"/>
    </row>
    <row r="39855">
      <c r="BB39855" s="122"/>
      <c r="BC39855" s="141"/>
    </row>
    <row r="39856">
      <c r="BB39856" s="122"/>
      <c r="BC39856" s="141"/>
    </row>
    <row r="39857">
      <c r="BB39857" s="122"/>
      <c r="BC39857" s="141"/>
    </row>
    <row r="39858">
      <c r="BB39858" s="122"/>
      <c r="BC39858" s="141"/>
    </row>
    <row r="39859">
      <c r="BB39859" s="122"/>
      <c r="BC39859" s="141"/>
    </row>
    <row r="39860">
      <c r="BB39860" s="122"/>
      <c r="BC39860" s="141"/>
    </row>
    <row r="39861">
      <c r="BB39861" s="122"/>
      <c r="BC39861" s="141"/>
    </row>
    <row r="39862">
      <c r="BB39862" s="122"/>
      <c r="BC39862" s="141"/>
    </row>
    <row r="39863">
      <c r="BB39863" s="122"/>
      <c r="BC39863" s="141"/>
    </row>
    <row r="39864">
      <c r="BB39864" s="122"/>
      <c r="BC39864" s="141"/>
    </row>
    <row r="39865">
      <c r="BB39865" s="122"/>
      <c r="BC39865" s="141"/>
    </row>
    <row r="39866">
      <c r="BB39866" s="122"/>
      <c r="BC39866" s="141"/>
    </row>
    <row r="39867">
      <c r="BB39867" s="122"/>
      <c r="BC39867" s="141"/>
    </row>
    <row r="39868">
      <c r="BB39868" s="122"/>
      <c r="BC39868" s="141"/>
    </row>
    <row r="39869">
      <c r="BB39869" s="122"/>
      <c r="BC39869" s="141"/>
    </row>
    <row r="39870">
      <c r="BB39870" s="122"/>
      <c r="BC39870" s="141"/>
    </row>
    <row r="39871">
      <c r="BB39871" s="122"/>
      <c r="BC39871" s="141"/>
    </row>
    <row r="39872">
      <c r="BB39872" s="122"/>
      <c r="BC39872" s="141"/>
    </row>
    <row r="39873">
      <c r="BB39873" s="122"/>
      <c r="BC39873" s="141"/>
    </row>
    <row r="39874">
      <c r="BB39874" s="122"/>
      <c r="BC39874" s="141"/>
    </row>
    <row r="39875">
      <c r="BB39875" s="122"/>
      <c r="BC39875" s="141"/>
    </row>
    <row r="39876">
      <c r="BB39876" s="122"/>
      <c r="BC39876" s="141"/>
    </row>
    <row r="39877">
      <c r="BB39877" s="122"/>
      <c r="BC39877" s="141"/>
    </row>
    <row r="39878">
      <c r="BB39878" s="122"/>
      <c r="BC39878" s="141"/>
    </row>
    <row r="39879">
      <c r="BB39879" s="122"/>
      <c r="BC39879" s="141"/>
    </row>
    <row r="39880">
      <c r="BB39880" s="122"/>
      <c r="BC39880" s="141"/>
    </row>
    <row r="39881">
      <c r="BB39881" s="122"/>
      <c r="BC39881" s="141"/>
    </row>
    <row r="39882">
      <c r="BB39882" s="122"/>
      <c r="BC39882" s="141"/>
    </row>
    <row r="39883">
      <c r="BB39883" s="122"/>
      <c r="BC39883" s="141"/>
    </row>
    <row r="39884">
      <c r="BB39884" s="122"/>
      <c r="BC39884" s="141"/>
    </row>
    <row r="39885">
      <c r="BB39885" s="122"/>
      <c r="BC39885" s="141"/>
    </row>
    <row r="39886">
      <c r="BB39886" s="122"/>
      <c r="BC39886" s="141"/>
    </row>
    <row r="39887">
      <c r="BB39887" s="122"/>
      <c r="BC39887" s="141"/>
    </row>
    <row r="39888">
      <c r="BB39888" s="122"/>
      <c r="BC39888" s="141"/>
    </row>
    <row r="39889">
      <c r="BB39889" s="122"/>
      <c r="BC39889" s="141"/>
    </row>
    <row r="39890">
      <c r="BB39890" s="122"/>
      <c r="BC39890" s="141"/>
    </row>
    <row r="39891">
      <c r="BB39891" s="122"/>
      <c r="BC39891" s="141"/>
    </row>
    <row r="39892">
      <c r="BB39892" s="122"/>
      <c r="BC39892" s="141"/>
    </row>
    <row r="39893">
      <c r="BB39893" s="122"/>
      <c r="BC39893" s="141"/>
    </row>
    <row r="39894">
      <c r="BB39894" s="122"/>
      <c r="BC39894" s="141"/>
    </row>
    <row r="39895">
      <c r="BB39895" s="122"/>
      <c r="BC39895" s="141"/>
    </row>
    <row r="39896">
      <c r="BB39896" s="122"/>
      <c r="BC39896" s="141"/>
    </row>
    <row r="39897">
      <c r="BB39897" s="122"/>
      <c r="BC39897" s="141"/>
    </row>
    <row r="39898">
      <c r="BB39898" s="122"/>
      <c r="BC39898" s="141"/>
    </row>
    <row r="39899">
      <c r="BB39899" s="122"/>
      <c r="BC39899" s="141"/>
    </row>
    <row r="39900">
      <c r="BB39900" s="122"/>
      <c r="BC39900" s="141"/>
    </row>
    <row r="39901">
      <c r="BB39901" s="122"/>
      <c r="BC39901" s="141"/>
    </row>
    <row r="39902">
      <c r="BB39902" s="122"/>
      <c r="BC39902" s="141"/>
    </row>
    <row r="39903">
      <c r="BB39903" s="122"/>
      <c r="BC39903" s="141"/>
    </row>
    <row r="39904">
      <c r="BB39904" s="122"/>
      <c r="BC39904" s="141"/>
    </row>
    <row r="39905">
      <c r="BB39905" s="122"/>
      <c r="BC39905" s="141"/>
    </row>
    <row r="39906">
      <c r="BB39906" s="122"/>
      <c r="BC39906" s="141"/>
    </row>
    <row r="39907">
      <c r="BB39907" s="122"/>
      <c r="BC39907" s="141"/>
    </row>
    <row r="39908">
      <c r="BB39908" s="122"/>
      <c r="BC39908" s="141"/>
    </row>
    <row r="39909">
      <c r="BB39909" s="122"/>
      <c r="BC39909" s="141"/>
    </row>
    <row r="39910">
      <c r="BB39910" s="122"/>
      <c r="BC39910" s="141"/>
    </row>
    <row r="39911">
      <c r="BB39911" s="122"/>
      <c r="BC39911" s="141"/>
    </row>
    <row r="39912">
      <c r="BB39912" s="122"/>
      <c r="BC39912" s="141"/>
    </row>
    <row r="39913">
      <c r="BB39913" s="122"/>
      <c r="BC39913" s="141"/>
    </row>
    <row r="39914">
      <c r="BB39914" s="122"/>
      <c r="BC39914" s="141"/>
    </row>
    <row r="39915">
      <c r="BB39915" s="122"/>
      <c r="BC39915" s="141"/>
    </row>
    <row r="39916">
      <c r="BB39916" s="122"/>
      <c r="BC39916" s="141"/>
    </row>
    <row r="39917">
      <c r="BB39917" s="122"/>
      <c r="BC39917" s="141"/>
    </row>
    <row r="39918">
      <c r="BB39918" s="122"/>
      <c r="BC39918" s="141"/>
    </row>
    <row r="39919">
      <c r="BB39919" s="122"/>
      <c r="BC39919" s="141"/>
    </row>
    <row r="39920">
      <c r="BB39920" s="122"/>
      <c r="BC39920" s="141"/>
    </row>
    <row r="39921">
      <c r="BB39921" s="122"/>
      <c r="BC39921" s="141"/>
    </row>
    <row r="39922">
      <c r="BB39922" s="122"/>
      <c r="BC39922" s="141"/>
    </row>
    <row r="39923">
      <c r="BB39923" s="122"/>
      <c r="BC39923" s="141"/>
    </row>
    <row r="39924">
      <c r="BB39924" s="122"/>
      <c r="BC39924" s="141"/>
    </row>
    <row r="39925">
      <c r="BB39925" s="122"/>
      <c r="BC39925" s="141"/>
    </row>
    <row r="39926">
      <c r="BB39926" s="122"/>
      <c r="BC39926" s="141"/>
    </row>
    <row r="39927">
      <c r="BB39927" s="122"/>
      <c r="BC39927" s="141"/>
    </row>
    <row r="39928">
      <c r="BB39928" s="122"/>
      <c r="BC39928" s="141"/>
    </row>
    <row r="39929">
      <c r="BB39929" s="122"/>
      <c r="BC39929" s="141"/>
    </row>
    <row r="39930">
      <c r="BB39930" s="122"/>
      <c r="BC39930" s="141"/>
    </row>
    <row r="39931">
      <c r="BB39931" s="122"/>
      <c r="BC39931" s="141"/>
    </row>
    <row r="39932">
      <c r="BB39932" s="122"/>
      <c r="BC39932" s="141"/>
    </row>
    <row r="39933">
      <c r="BB39933" s="122"/>
      <c r="BC39933" s="141"/>
    </row>
    <row r="39934">
      <c r="BB39934" s="122"/>
      <c r="BC39934" s="141"/>
    </row>
    <row r="39935">
      <c r="BB39935" s="122"/>
      <c r="BC39935" s="141"/>
    </row>
    <row r="39936">
      <c r="BB39936" s="122"/>
      <c r="BC39936" s="141"/>
    </row>
    <row r="39937">
      <c r="BB39937" s="122"/>
      <c r="BC39937" s="141"/>
    </row>
    <row r="39938">
      <c r="BB39938" s="122"/>
      <c r="BC39938" s="141"/>
    </row>
    <row r="39939">
      <c r="BB39939" s="122"/>
      <c r="BC39939" s="141"/>
    </row>
    <row r="39940">
      <c r="BB39940" s="122"/>
      <c r="BC39940" s="141"/>
    </row>
    <row r="39941">
      <c r="BB39941" s="122"/>
      <c r="BC39941" s="141"/>
    </row>
    <row r="39942">
      <c r="BB39942" s="122"/>
      <c r="BC39942" s="141"/>
    </row>
    <row r="39943">
      <c r="BB39943" s="122"/>
      <c r="BC39943" s="141"/>
    </row>
    <row r="39944">
      <c r="BB39944" s="122"/>
      <c r="BC39944" s="141"/>
    </row>
    <row r="39945">
      <c r="BB39945" s="122"/>
      <c r="BC39945" s="141"/>
    </row>
    <row r="39946">
      <c r="BB39946" s="122"/>
      <c r="BC39946" s="141"/>
    </row>
    <row r="39947">
      <c r="BB39947" s="122"/>
      <c r="BC39947" s="141"/>
    </row>
    <row r="39948">
      <c r="BB39948" s="122"/>
      <c r="BC39948" s="141"/>
    </row>
    <row r="39949">
      <c r="BB39949" s="122"/>
      <c r="BC39949" s="141"/>
    </row>
    <row r="39950">
      <c r="BB39950" s="122"/>
      <c r="BC39950" s="141"/>
    </row>
    <row r="39951">
      <c r="BB39951" s="122"/>
      <c r="BC39951" s="141"/>
    </row>
    <row r="39952">
      <c r="BB39952" s="122"/>
      <c r="BC39952" s="141"/>
    </row>
    <row r="39953">
      <c r="BB39953" s="122"/>
      <c r="BC39953" s="141"/>
    </row>
    <row r="39954">
      <c r="BB39954" s="122"/>
      <c r="BC39954" s="141"/>
    </row>
    <row r="39955">
      <c r="BB39955" s="122"/>
      <c r="BC39955" s="141"/>
    </row>
    <row r="39956">
      <c r="BB39956" s="122"/>
      <c r="BC39956" s="141"/>
    </row>
    <row r="39957">
      <c r="BB39957" s="122"/>
      <c r="BC39957" s="141"/>
    </row>
    <row r="39958">
      <c r="BB39958" s="122"/>
      <c r="BC39958" s="141"/>
    </row>
    <row r="39959">
      <c r="BB39959" s="122"/>
      <c r="BC39959" s="141"/>
    </row>
    <row r="39960">
      <c r="BB39960" s="122"/>
      <c r="BC39960" s="141"/>
    </row>
    <row r="39961">
      <c r="BB39961" s="122"/>
      <c r="BC39961" s="141"/>
    </row>
    <row r="39962">
      <c r="BB39962" s="122"/>
      <c r="BC39962" s="141"/>
    </row>
    <row r="39963">
      <c r="BB39963" s="122"/>
      <c r="BC39963" s="141"/>
    </row>
    <row r="39964">
      <c r="BB39964" s="122"/>
      <c r="BC39964" s="141"/>
    </row>
    <row r="39965">
      <c r="BB39965" s="122"/>
      <c r="BC39965" s="141"/>
    </row>
    <row r="39966">
      <c r="BB39966" s="122"/>
      <c r="BC39966" s="141"/>
    </row>
    <row r="39967">
      <c r="BB39967" s="122"/>
      <c r="BC39967" s="141"/>
    </row>
    <row r="39968">
      <c r="BB39968" s="122"/>
      <c r="BC39968" s="141"/>
    </row>
    <row r="39969">
      <c r="BB39969" s="122"/>
      <c r="BC39969" s="141"/>
    </row>
    <row r="39970">
      <c r="BB39970" s="122"/>
      <c r="BC39970" s="141"/>
    </row>
    <row r="39971">
      <c r="BB39971" s="122"/>
      <c r="BC39971" s="141"/>
    </row>
    <row r="39972">
      <c r="BB39972" s="122"/>
      <c r="BC39972" s="141"/>
    </row>
    <row r="39973">
      <c r="BB39973" s="122"/>
      <c r="BC39973" s="141"/>
    </row>
    <row r="39974">
      <c r="BB39974" s="122"/>
      <c r="BC39974" s="141"/>
    </row>
    <row r="39975">
      <c r="BB39975" s="122"/>
      <c r="BC39975" s="141"/>
    </row>
    <row r="39976">
      <c r="BB39976" s="122"/>
      <c r="BC39976" s="141"/>
    </row>
    <row r="39977">
      <c r="BB39977" s="122"/>
      <c r="BC39977" s="141"/>
    </row>
    <row r="39978">
      <c r="BB39978" s="122"/>
      <c r="BC39978" s="141"/>
    </row>
    <row r="39979">
      <c r="BB39979" s="122"/>
      <c r="BC39979" s="141"/>
    </row>
    <row r="39980">
      <c r="BB39980" s="122"/>
      <c r="BC39980" s="141"/>
    </row>
    <row r="39981">
      <c r="BB39981" s="122"/>
      <c r="BC39981" s="141"/>
    </row>
    <row r="39982">
      <c r="BB39982" s="122"/>
      <c r="BC39982" s="141"/>
    </row>
    <row r="39983">
      <c r="BB39983" s="122"/>
      <c r="BC39983" s="141"/>
    </row>
    <row r="39984">
      <c r="BB39984" s="122"/>
      <c r="BC39984" s="141"/>
    </row>
    <row r="39985">
      <c r="BB39985" s="122"/>
      <c r="BC39985" s="141"/>
    </row>
    <row r="39986">
      <c r="BB39986" s="122"/>
      <c r="BC39986" s="141"/>
    </row>
    <row r="39987">
      <c r="BB39987" s="122"/>
      <c r="BC39987" s="141"/>
    </row>
    <row r="39988">
      <c r="BB39988" s="122"/>
      <c r="BC39988" s="141"/>
    </row>
    <row r="39989">
      <c r="BB39989" s="122"/>
      <c r="BC39989" s="141"/>
    </row>
    <row r="39990">
      <c r="BB39990" s="122"/>
      <c r="BC39990" s="141"/>
    </row>
    <row r="39991">
      <c r="BB39991" s="122"/>
      <c r="BC39991" s="141"/>
    </row>
    <row r="39992">
      <c r="BB39992" s="122"/>
      <c r="BC39992" s="141"/>
    </row>
    <row r="39993">
      <c r="BB39993" s="122"/>
      <c r="BC39993" s="141"/>
    </row>
    <row r="39994">
      <c r="BB39994" s="122"/>
      <c r="BC39994" s="141"/>
    </row>
    <row r="39995">
      <c r="BB39995" s="122"/>
      <c r="BC39995" s="141"/>
    </row>
    <row r="39996">
      <c r="BB39996" s="122"/>
      <c r="BC39996" s="141"/>
    </row>
    <row r="39997">
      <c r="BB39997" s="122"/>
      <c r="BC39997" s="141"/>
    </row>
    <row r="39998">
      <c r="BB39998" s="122"/>
      <c r="BC39998" s="141"/>
    </row>
    <row r="39999">
      <c r="BB39999" s="122"/>
      <c r="BC39999" s="141"/>
    </row>
    <row r="40000">
      <c r="BB40000" s="122"/>
      <c r="BC40000" s="141"/>
    </row>
    <row r="40001">
      <c r="BB40001" s="122"/>
      <c r="BC40001" s="141"/>
    </row>
    <row r="40002">
      <c r="BB40002" s="122"/>
      <c r="BC40002" s="141"/>
    </row>
    <row r="40003">
      <c r="BB40003" s="122"/>
      <c r="BC40003" s="141"/>
    </row>
    <row r="40004">
      <c r="BB40004" s="122"/>
      <c r="BC40004" s="141"/>
    </row>
    <row r="40005">
      <c r="BB40005" s="122"/>
      <c r="BC40005" s="141"/>
    </row>
    <row r="40006">
      <c r="BB40006" s="122"/>
      <c r="BC40006" s="141"/>
    </row>
    <row r="40007">
      <c r="BB40007" s="122"/>
      <c r="BC40007" s="141"/>
    </row>
    <row r="40008">
      <c r="BB40008" s="122"/>
      <c r="BC40008" s="141"/>
    </row>
    <row r="40009">
      <c r="BB40009" s="122"/>
      <c r="BC40009" s="141"/>
    </row>
    <row r="40010">
      <c r="BB40010" s="122"/>
      <c r="BC40010" s="141"/>
    </row>
    <row r="40011">
      <c r="BB40011" s="122"/>
      <c r="BC40011" s="141"/>
    </row>
    <row r="40012">
      <c r="BB40012" s="122"/>
      <c r="BC40012" s="141"/>
    </row>
    <row r="40013">
      <c r="BB40013" s="122"/>
      <c r="BC40013" s="141"/>
    </row>
    <row r="40014">
      <c r="BB40014" s="122"/>
      <c r="BC40014" s="141"/>
    </row>
    <row r="40015">
      <c r="BB40015" s="122"/>
      <c r="BC40015" s="141"/>
    </row>
    <row r="40016">
      <c r="BB40016" s="122"/>
      <c r="BC40016" s="141"/>
    </row>
    <row r="40017">
      <c r="BB40017" s="122"/>
      <c r="BC40017" s="141"/>
    </row>
    <row r="40018">
      <c r="BB40018" s="122"/>
      <c r="BC40018" s="141"/>
    </row>
    <row r="40019">
      <c r="BB40019" s="122"/>
      <c r="BC40019" s="141"/>
    </row>
    <row r="40020">
      <c r="BB40020" s="122"/>
      <c r="BC40020" s="141"/>
    </row>
    <row r="40021">
      <c r="BB40021" s="122"/>
      <c r="BC40021" s="141"/>
    </row>
    <row r="40022">
      <c r="BB40022" s="122"/>
      <c r="BC40022" s="141"/>
    </row>
    <row r="40023">
      <c r="BB40023" s="122"/>
      <c r="BC40023" s="141"/>
    </row>
    <row r="40024">
      <c r="BB40024" s="122"/>
      <c r="BC40024" s="141"/>
    </row>
    <row r="40025">
      <c r="BB40025" s="122"/>
      <c r="BC40025" s="141"/>
    </row>
    <row r="40026">
      <c r="BB40026" s="122"/>
      <c r="BC40026" s="141"/>
    </row>
    <row r="40027">
      <c r="BB40027" s="122"/>
      <c r="BC40027" s="141"/>
    </row>
    <row r="40028">
      <c r="BB40028" s="122"/>
      <c r="BC40028" s="141"/>
    </row>
    <row r="40029">
      <c r="BB40029" s="122"/>
      <c r="BC40029" s="141"/>
    </row>
    <row r="40030">
      <c r="BB40030" s="122"/>
      <c r="BC40030" s="141"/>
    </row>
    <row r="40031">
      <c r="BB40031" s="122"/>
      <c r="BC40031" s="141"/>
    </row>
    <row r="40032">
      <c r="BB40032" s="122"/>
      <c r="BC40032" s="141"/>
    </row>
    <row r="40033">
      <c r="BB40033" s="122"/>
      <c r="BC40033" s="141"/>
    </row>
    <row r="40034">
      <c r="BB40034" s="122"/>
      <c r="BC40034" s="141"/>
    </row>
    <row r="40035">
      <c r="BB40035" s="122"/>
      <c r="BC40035" s="141"/>
    </row>
    <row r="40036">
      <c r="BB40036" s="122"/>
      <c r="BC40036" s="141"/>
    </row>
    <row r="40037">
      <c r="BB40037" s="122"/>
      <c r="BC40037" s="141"/>
    </row>
    <row r="40038">
      <c r="BB40038" s="122"/>
      <c r="BC40038" s="141"/>
    </row>
    <row r="40039">
      <c r="BB40039" s="122"/>
      <c r="BC40039" s="141"/>
    </row>
    <row r="40040">
      <c r="BB40040" s="122"/>
      <c r="BC40040" s="141"/>
    </row>
    <row r="40041">
      <c r="BB40041" s="122"/>
      <c r="BC40041" s="141"/>
    </row>
    <row r="40042">
      <c r="BB40042" s="122"/>
      <c r="BC40042" s="141"/>
    </row>
    <row r="40043">
      <c r="BB40043" s="122"/>
      <c r="BC40043" s="141"/>
    </row>
    <row r="40044">
      <c r="BB40044" s="122"/>
      <c r="BC40044" s="141"/>
    </row>
    <row r="40045">
      <c r="BB40045" s="122"/>
      <c r="BC40045" s="141"/>
    </row>
    <row r="40046">
      <c r="BB40046" s="122"/>
      <c r="BC40046" s="141"/>
    </row>
    <row r="40047">
      <c r="BB40047" s="122"/>
      <c r="BC40047" s="141"/>
    </row>
    <row r="40048">
      <c r="BB40048" s="122"/>
      <c r="BC40048" s="141"/>
    </row>
    <row r="40049">
      <c r="BB40049" s="122"/>
      <c r="BC40049" s="141"/>
    </row>
    <row r="40050">
      <c r="BB40050" s="122"/>
      <c r="BC40050" s="141"/>
    </row>
    <row r="40051">
      <c r="BB40051" s="122"/>
      <c r="BC40051" s="141"/>
    </row>
    <row r="40052">
      <c r="BB40052" s="122"/>
      <c r="BC40052" s="141"/>
    </row>
    <row r="40053">
      <c r="BB40053" s="122"/>
      <c r="BC40053" s="141"/>
    </row>
    <row r="40054">
      <c r="BB40054" s="122"/>
      <c r="BC40054" s="141"/>
    </row>
    <row r="40055">
      <c r="BB40055" s="122"/>
      <c r="BC40055" s="141"/>
    </row>
    <row r="40056">
      <c r="BB40056" s="122"/>
      <c r="BC40056" s="141"/>
    </row>
    <row r="40057">
      <c r="BB40057" s="122"/>
      <c r="BC40057" s="141"/>
    </row>
    <row r="40058">
      <c r="BB40058" s="122"/>
      <c r="BC40058" s="141"/>
    </row>
    <row r="40059">
      <c r="BB40059" s="122"/>
      <c r="BC40059" s="141"/>
    </row>
    <row r="40060">
      <c r="BB40060" s="122"/>
      <c r="BC40060" s="141"/>
    </row>
    <row r="40061">
      <c r="BB40061" s="122"/>
      <c r="BC40061" s="141"/>
    </row>
    <row r="40062">
      <c r="BB40062" s="122"/>
      <c r="BC40062" s="141"/>
    </row>
    <row r="40063">
      <c r="BB40063" s="122"/>
      <c r="BC40063" s="141"/>
    </row>
    <row r="40064">
      <c r="BB40064" s="122"/>
      <c r="BC40064" s="141"/>
    </row>
    <row r="40065">
      <c r="BB40065" s="122"/>
      <c r="BC40065" s="141"/>
    </row>
    <row r="40066">
      <c r="BB40066" s="122"/>
      <c r="BC40066" s="141"/>
    </row>
    <row r="40067">
      <c r="BB40067" s="122"/>
      <c r="BC40067" s="141"/>
    </row>
    <row r="40068">
      <c r="BB40068" s="122"/>
      <c r="BC40068" s="141"/>
    </row>
    <row r="40069">
      <c r="BB40069" s="122"/>
      <c r="BC40069" s="141"/>
    </row>
    <row r="40070">
      <c r="BB40070" s="122"/>
      <c r="BC40070" s="141"/>
    </row>
    <row r="40071">
      <c r="BB40071" s="122"/>
      <c r="BC40071" s="141"/>
    </row>
    <row r="40072">
      <c r="BB40072" s="122"/>
      <c r="BC40072" s="141"/>
    </row>
    <row r="40073">
      <c r="BB40073" s="122"/>
      <c r="BC40073" s="141"/>
    </row>
    <row r="40074">
      <c r="BB40074" s="122"/>
      <c r="BC40074" s="141"/>
    </row>
    <row r="40075">
      <c r="BB40075" s="122"/>
      <c r="BC40075" s="141"/>
    </row>
    <row r="40076">
      <c r="BB40076" s="122"/>
      <c r="BC40076" s="141"/>
    </row>
    <row r="40077">
      <c r="BB40077" s="122"/>
      <c r="BC40077" s="141"/>
    </row>
    <row r="40078">
      <c r="BB40078" s="122"/>
      <c r="BC40078" s="141"/>
    </row>
    <row r="40079">
      <c r="BB40079" s="122"/>
      <c r="BC40079" s="141"/>
    </row>
    <row r="40080">
      <c r="BB40080" s="122"/>
      <c r="BC40080" s="141"/>
    </row>
    <row r="40081">
      <c r="BB40081" s="122"/>
      <c r="BC40081" s="141"/>
    </row>
    <row r="40082">
      <c r="BB40082" s="122"/>
      <c r="BC40082" s="141"/>
    </row>
    <row r="40083">
      <c r="BB40083" s="122"/>
      <c r="BC40083" s="141"/>
    </row>
    <row r="40084">
      <c r="BB40084" s="122"/>
      <c r="BC40084" s="141"/>
    </row>
    <row r="40085">
      <c r="BB40085" s="122"/>
      <c r="BC40085" s="141"/>
    </row>
    <row r="40086">
      <c r="BB40086" s="122"/>
      <c r="BC40086" s="141"/>
    </row>
    <row r="40087">
      <c r="BB40087" s="122"/>
      <c r="BC40087" s="141"/>
    </row>
    <row r="40088">
      <c r="BB40088" s="122"/>
      <c r="BC40088" s="141"/>
    </row>
    <row r="40089">
      <c r="BB40089" s="122"/>
      <c r="BC40089" s="141"/>
    </row>
    <row r="40090">
      <c r="BB40090" s="122"/>
      <c r="BC40090" s="141"/>
    </row>
    <row r="40091">
      <c r="BB40091" s="122"/>
      <c r="BC40091" s="141"/>
    </row>
    <row r="40092">
      <c r="BB40092" s="122"/>
      <c r="BC40092" s="141"/>
    </row>
    <row r="40093">
      <c r="BB40093" s="122"/>
      <c r="BC40093" s="141"/>
    </row>
    <row r="40094">
      <c r="BB40094" s="122"/>
      <c r="BC40094" s="141"/>
    </row>
    <row r="40095">
      <c r="BB40095" s="122"/>
      <c r="BC40095" s="141"/>
    </row>
    <row r="40096">
      <c r="BB40096" s="122"/>
      <c r="BC40096" s="141"/>
    </row>
    <row r="40097">
      <c r="BB40097" s="122"/>
      <c r="BC40097" s="141"/>
    </row>
    <row r="40098">
      <c r="BB40098" s="122"/>
      <c r="BC40098" s="141"/>
    </row>
    <row r="40099">
      <c r="BB40099" s="122"/>
      <c r="BC40099" s="141"/>
    </row>
    <row r="40100">
      <c r="BB40100" s="122"/>
      <c r="BC40100" s="141"/>
    </row>
    <row r="40101">
      <c r="BB40101" s="122"/>
      <c r="BC40101" s="141"/>
    </row>
    <row r="40102">
      <c r="BB40102" s="122"/>
      <c r="BC40102" s="141"/>
    </row>
    <row r="40103">
      <c r="BB40103" s="122"/>
      <c r="BC40103" s="141"/>
    </row>
    <row r="40104">
      <c r="BB40104" s="122"/>
      <c r="BC40104" s="141"/>
    </row>
    <row r="40105">
      <c r="BB40105" s="122"/>
      <c r="BC40105" s="141"/>
    </row>
    <row r="40106">
      <c r="BB40106" s="122"/>
      <c r="BC40106" s="141"/>
    </row>
    <row r="40107">
      <c r="BB40107" s="122"/>
      <c r="BC40107" s="141"/>
    </row>
    <row r="40108">
      <c r="BB40108" s="122"/>
      <c r="BC40108" s="141"/>
    </row>
    <row r="40109">
      <c r="BB40109" s="122"/>
      <c r="BC40109" s="141"/>
    </row>
    <row r="40110">
      <c r="BB40110" s="122"/>
      <c r="BC40110" s="141"/>
    </row>
    <row r="40111">
      <c r="BB40111" s="122"/>
      <c r="BC40111" s="141"/>
    </row>
    <row r="40112">
      <c r="BB40112" s="122"/>
      <c r="BC40112" s="141"/>
    </row>
    <row r="40113">
      <c r="BB40113" s="122"/>
      <c r="BC40113" s="141"/>
    </row>
    <row r="40114">
      <c r="BB40114" s="122"/>
      <c r="BC40114" s="141"/>
    </row>
    <row r="40115">
      <c r="BB40115" s="122"/>
      <c r="BC40115" s="141"/>
    </row>
    <row r="40116">
      <c r="BB40116" s="122"/>
      <c r="BC40116" s="141"/>
    </row>
    <row r="40117">
      <c r="BB40117" s="122"/>
      <c r="BC40117" s="141"/>
    </row>
    <row r="40118">
      <c r="BB40118" s="122"/>
      <c r="BC40118" s="141"/>
    </row>
    <row r="40119">
      <c r="BB40119" s="122"/>
      <c r="BC40119" s="141"/>
    </row>
    <row r="40120">
      <c r="BB40120" s="122"/>
      <c r="BC40120" s="141"/>
    </row>
    <row r="40121">
      <c r="BB40121" s="122"/>
      <c r="BC40121" s="141"/>
    </row>
    <row r="40122">
      <c r="BB40122" s="122"/>
      <c r="BC40122" s="141"/>
    </row>
    <row r="40123">
      <c r="BB40123" s="122"/>
      <c r="BC40123" s="141"/>
    </row>
    <row r="40124">
      <c r="BB40124" s="122"/>
      <c r="BC40124" s="141"/>
    </row>
    <row r="40125">
      <c r="BB40125" s="122"/>
      <c r="BC40125" s="141"/>
    </row>
    <row r="40126">
      <c r="BB40126" s="122"/>
      <c r="BC40126" s="141"/>
    </row>
    <row r="40127">
      <c r="BB40127" s="122"/>
      <c r="BC40127" s="141"/>
    </row>
    <row r="40128">
      <c r="BB40128" s="122"/>
      <c r="BC40128" s="141"/>
    </row>
    <row r="40129">
      <c r="BB40129" s="122"/>
      <c r="BC40129" s="141"/>
    </row>
    <row r="40130">
      <c r="BB40130" s="122"/>
      <c r="BC40130" s="141"/>
    </row>
    <row r="40131">
      <c r="BB40131" s="122"/>
      <c r="BC40131" s="141"/>
    </row>
    <row r="40132">
      <c r="BB40132" s="122"/>
      <c r="BC40132" s="141"/>
    </row>
    <row r="40133">
      <c r="BB40133" s="122"/>
      <c r="BC40133" s="141"/>
    </row>
    <row r="40134">
      <c r="BB40134" s="122"/>
      <c r="BC40134" s="141"/>
    </row>
    <row r="40135">
      <c r="BB40135" s="122"/>
      <c r="BC40135" s="141"/>
    </row>
    <row r="40136">
      <c r="BB40136" s="122"/>
      <c r="BC40136" s="141"/>
    </row>
    <row r="40137">
      <c r="BB40137" s="122"/>
      <c r="BC40137" s="141"/>
    </row>
    <row r="40138">
      <c r="BB40138" s="122"/>
      <c r="BC40138" s="141"/>
    </row>
    <row r="40139">
      <c r="BB40139" s="122"/>
      <c r="BC40139" s="141"/>
    </row>
    <row r="40140">
      <c r="BB40140" s="122"/>
      <c r="BC40140" s="141"/>
    </row>
    <row r="40141">
      <c r="BB40141" s="122"/>
      <c r="BC40141" s="141"/>
    </row>
    <row r="40142">
      <c r="BB40142" s="122"/>
      <c r="BC40142" s="141"/>
    </row>
    <row r="40143">
      <c r="BB40143" s="122"/>
      <c r="BC40143" s="141"/>
    </row>
    <row r="40144">
      <c r="BB40144" s="122"/>
      <c r="BC40144" s="141"/>
    </row>
    <row r="40145">
      <c r="BB40145" s="122"/>
      <c r="BC40145" s="141"/>
    </row>
    <row r="40146">
      <c r="BB40146" s="122"/>
      <c r="BC40146" s="141"/>
    </row>
    <row r="40147">
      <c r="BB40147" s="122"/>
      <c r="BC40147" s="141"/>
    </row>
    <row r="40148">
      <c r="BB40148" s="122"/>
      <c r="BC40148" s="141"/>
    </row>
    <row r="40149">
      <c r="BB40149" s="122"/>
      <c r="BC40149" s="141"/>
    </row>
    <row r="40150">
      <c r="BB40150" s="122"/>
      <c r="BC40150" s="141"/>
    </row>
    <row r="40151">
      <c r="BB40151" s="122"/>
      <c r="BC40151" s="141"/>
    </row>
    <row r="40152">
      <c r="BB40152" s="122"/>
      <c r="BC40152" s="141"/>
    </row>
    <row r="40153">
      <c r="BB40153" s="122"/>
      <c r="BC40153" s="141"/>
    </row>
    <row r="40154">
      <c r="BB40154" s="122"/>
      <c r="BC40154" s="141"/>
    </row>
    <row r="40155">
      <c r="BB40155" s="122"/>
      <c r="BC40155" s="141"/>
    </row>
    <row r="40156">
      <c r="BB40156" s="122"/>
      <c r="BC40156" s="141"/>
    </row>
    <row r="40157">
      <c r="BB40157" s="122"/>
      <c r="BC40157" s="141"/>
    </row>
    <row r="40158">
      <c r="BB40158" s="122"/>
      <c r="BC40158" s="141"/>
    </row>
    <row r="40159">
      <c r="BB40159" s="122"/>
      <c r="BC40159" s="141"/>
    </row>
    <row r="40160">
      <c r="BB40160" s="122"/>
      <c r="BC40160" s="141"/>
    </row>
    <row r="40161">
      <c r="BB40161" s="122"/>
      <c r="BC40161" s="141"/>
    </row>
    <row r="40162">
      <c r="BB40162" s="122"/>
      <c r="BC40162" s="141"/>
    </row>
    <row r="40163">
      <c r="BB40163" s="122"/>
      <c r="BC40163" s="141"/>
    </row>
    <row r="40164">
      <c r="BB40164" s="122"/>
      <c r="BC40164" s="141"/>
    </row>
    <row r="40165">
      <c r="BB40165" s="122"/>
      <c r="BC40165" s="141"/>
    </row>
    <row r="40166">
      <c r="BB40166" s="122"/>
      <c r="BC40166" s="141"/>
    </row>
    <row r="40167">
      <c r="BB40167" s="122"/>
      <c r="BC40167" s="141"/>
    </row>
    <row r="40168">
      <c r="BB40168" s="122"/>
      <c r="BC40168" s="141"/>
    </row>
    <row r="40169">
      <c r="BB40169" s="122"/>
      <c r="BC40169" s="141"/>
    </row>
    <row r="40170">
      <c r="BB40170" s="122"/>
      <c r="BC40170" s="141"/>
    </row>
    <row r="40171">
      <c r="BB40171" s="122"/>
      <c r="BC40171" s="141"/>
    </row>
    <row r="40172">
      <c r="BB40172" s="122"/>
      <c r="BC40172" s="141"/>
    </row>
    <row r="40173">
      <c r="BB40173" s="122"/>
      <c r="BC40173" s="141"/>
    </row>
    <row r="40174">
      <c r="BB40174" s="122"/>
      <c r="BC40174" s="141"/>
    </row>
    <row r="40175">
      <c r="BB40175" s="122"/>
      <c r="BC40175" s="141"/>
    </row>
    <row r="40176">
      <c r="BB40176" s="122"/>
      <c r="BC40176" s="141"/>
    </row>
    <row r="40177">
      <c r="BB40177" s="122"/>
      <c r="BC40177" s="141"/>
    </row>
    <row r="40178">
      <c r="BB40178" s="122"/>
      <c r="BC40178" s="141"/>
    </row>
    <row r="40179">
      <c r="BB40179" s="122"/>
      <c r="BC40179" s="141"/>
    </row>
    <row r="40180">
      <c r="BB40180" s="122"/>
      <c r="BC40180" s="141"/>
    </row>
    <row r="40181">
      <c r="BB40181" s="122"/>
      <c r="BC40181" s="141"/>
    </row>
    <row r="40182">
      <c r="BB40182" s="122"/>
      <c r="BC40182" s="141"/>
    </row>
    <row r="40183">
      <c r="BB40183" s="122"/>
      <c r="BC40183" s="141"/>
    </row>
    <row r="40184">
      <c r="BB40184" s="122"/>
      <c r="BC40184" s="141"/>
    </row>
    <row r="40185">
      <c r="BB40185" s="122"/>
      <c r="BC40185" s="141"/>
    </row>
    <row r="40186">
      <c r="BB40186" s="122"/>
      <c r="BC40186" s="141"/>
    </row>
    <row r="40187">
      <c r="BB40187" s="122"/>
      <c r="BC40187" s="141"/>
    </row>
    <row r="40188">
      <c r="BB40188" s="122"/>
      <c r="BC40188" s="141"/>
    </row>
    <row r="40189">
      <c r="BB40189" s="122"/>
      <c r="BC40189" s="141"/>
    </row>
    <row r="40190">
      <c r="BB40190" s="122"/>
      <c r="BC40190" s="141"/>
    </row>
    <row r="40191">
      <c r="BB40191" s="122"/>
      <c r="BC40191" s="141"/>
    </row>
    <row r="40192">
      <c r="BB40192" s="122"/>
      <c r="BC40192" s="141"/>
    </row>
    <row r="40193">
      <c r="BB40193" s="122"/>
      <c r="BC40193" s="141"/>
    </row>
    <row r="40194">
      <c r="BB40194" s="122"/>
      <c r="BC40194" s="141"/>
    </row>
    <row r="40195">
      <c r="BB40195" s="122"/>
      <c r="BC40195" s="141"/>
    </row>
    <row r="40196">
      <c r="BB40196" s="122"/>
      <c r="BC40196" s="141"/>
    </row>
    <row r="40197">
      <c r="BB40197" s="122"/>
      <c r="BC40197" s="141"/>
    </row>
    <row r="40198">
      <c r="BB40198" s="122"/>
      <c r="BC40198" s="141"/>
    </row>
    <row r="40199">
      <c r="BB40199" s="122"/>
      <c r="BC40199" s="141"/>
    </row>
    <row r="40200">
      <c r="BB40200" s="122"/>
      <c r="BC40200" s="141"/>
    </row>
    <row r="40201">
      <c r="BB40201" s="122"/>
      <c r="BC40201" s="141"/>
    </row>
    <row r="40202">
      <c r="BB40202" s="122"/>
      <c r="BC40202" s="141"/>
    </row>
    <row r="40203">
      <c r="BB40203" s="122"/>
      <c r="BC40203" s="141"/>
    </row>
    <row r="40204">
      <c r="BB40204" s="122"/>
      <c r="BC40204" s="141"/>
    </row>
    <row r="40205">
      <c r="BB40205" s="122"/>
      <c r="BC40205" s="141"/>
    </row>
    <row r="40206">
      <c r="BB40206" s="122"/>
      <c r="BC40206" s="141"/>
    </row>
    <row r="40207">
      <c r="BB40207" s="122"/>
      <c r="BC40207" s="141"/>
    </row>
    <row r="40208">
      <c r="BB40208" s="122"/>
      <c r="BC40208" s="141"/>
    </row>
    <row r="40209">
      <c r="BB40209" s="122"/>
      <c r="BC40209" s="141"/>
    </row>
    <row r="40210">
      <c r="BB40210" s="122"/>
      <c r="BC40210" s="141"/>
    </row>
    <row r="40211">
      <c r="BB40211" s="122"/>
      <c r="BC40211" s="141"/>
    </row>
    <row r="40212">
      <c r="BB40212" s="122"/>
      <c r="BC40212" s="141"/>
    </row>
    <row r="40213">
      <c r="BB40213" s="122"/>
      <c r="BC40213" s="141"/>
    </row>
    <row r="40214">
      <c r="BB40214" s="122"/>
      <c r="BC40214" s="141"/>
    </row>
    <row r="40215">
      <c r="BB40215" s="122"/>
      <c r="BC40215" s="141"/>
    </row>
    <row r="40216">
      <c r="BB40216" s="122"/>
      <c r="BC40216" s="141"/>
    </row>
    <row r="40217">
      <c r="BB40217" s="122"/>
      <c r="BC40217" s="141"/>
    </row>
    <row r="40218">
      <c r="BB40218" s="122"/>
      <c r="BC40218" s="141"/>
    </row>
    <row r="40219">
      <c r="BB40219" s="122"/>
      <c r="BC40219" s="141"/>
    </row>
    <row r="40220">
      <c r="BB40220" s="122"/>
      <c r="BC40220" s="141"/>
    </row>
    <row r="40221">
      <c r="BB40221" s="122"/>
      <c r="BC40221" s="141"/>
    </row>
    <row r="40222">
      <c r="BB40222" s="122"/>
      <c r="BC40222" s="141"/>
    </row>
    <row r="40223">
      <c r="BB40223" s="122"/>
      <c r="BC40223" s="141"/>
    </row>
    <row r="40224">
      <c r="BB40224" s="122"/>
      <c r="BC40224" s="141"/>
    </row>
    <row r="40225">
      <c r="BB40225" s="122"/>
      <c r="BC40225" s="141"/>
    </row>
    <row r="40226">
      <c r="BB40226" s="122"/>
      <c r="BC40226" s="141"/>
    </row>
    <row r="40227">
      <c r="BB40227" s="122"/>
      <c r="BC40227" s="141"/>
    </row>
    <row r="40228">
      <c r="BB40228" s="122"/>
      <c r="BC40228" s="141"/>
    </row>
    <row r="40229">
      <c r="BB40229" s="122"/>
      <c r="BC40229" s="141"/>
    </row>
    <row r="40230">
      <c r="BB40230" s="122"/>
      <c r="BC40230" s="141"/>
    </row>
    <row r="40231">
      <c r="BB40231" s="122"/>
      <c r="BC40231" s="141"/>
    </row>
    <row r="40232">
      <c r="BB40232" s="122"/>
      <c r="BC40232" s="141"/>
    </row>
    <row r="40233">
      <c r="BB40233" s="122"/>
      <c r="BC40233" s="141"/>
    </row>
    <row r="40234">
      <c r="BB40234" s="122"/>
      <c r="BC40234" s="141"/>
    </row>
    <row r="40235">
      <c r="BB40235" s="122"/>
      <c r="BC40235" s="141"/>
    </row>
    <row r="40236">
      <c r="BB40236" s="122"/>
      <c r="BC40236" s="141"/>
    </row>
    <row r="40237">
      <c r="BB40237" s="122"/>
      <c r="BC40237" s="141"/>
    </row>
    <row r="40238">
      <c r="BB40238" s="122"/>
      <c r="BC40238" s="141"/>
    </row>
    <row r="40239">
      <c r="BB40239" s="122"/>
      <c r="BC40239" s="141"/>
    </row>
    <row r="40240">
      <c r="BB40240" s="122"/>
      <c r="BC40240" s="141"/>
    </row>
    <row r="40241">
      <c r="BB40241" s="122"/>
      <c r="BC40241" s="141"/>
    </row>
    <row r="40242">
      <c r="BB40242" s="122"/>
      <c r="BC40242" s="141"/>
    </row>
    <row r="40243">
      <c r="BB40243" s="122"/>
      <c r="BC40243" s="141"/>
    </row>
    <row r="40244">
      <c r="BB40244" s="122"/>
      <c r="BC40244" s="141"/>
    </row>
    <row r="40245">
      <c r="BB40245" s="122"/>
      <c r="BC40245" s="141"/>
    </row>
    <row r="40246">
      <c r="BB40246" s="122"/>
      <c r="BC40246" s="141"/>
    </row>
    <row r="40247">
      <c r="BB40247" s="122"/>
      <c r="BC40247" s="141"/>
    </row>
    <row r="40248">
      <c r="BB40248" s="122"/>
      <c r="BC40248" s="141"/>
    </row>
    <row r="40249">
      <c r="BB40249" s="122"/>
      <c r="BC40249" s="141"/>
    </row>
    <row r="40250">
      <c r="BB40250" s="122"/>
      <c r="BC40250" s="141"/>
    </row>
    <row r="40251">
      <c r="BB40251" s="122"/>
      <c r="BC40251" s="141"/>
    </row>
    <row r="40252">
      <c r="BB40252" s="122"/>
      <c r="BC40252" s="141"/>
    </row>
    <row r="40253">
      <c r="BB40253" s="122"/>
      <c r="BC40253" s="141"/>
    </row>
    <row r="40254">
      <c r="BB40254" s="122"/>
      <c r="BC40254" s="141"/>
    </row>
    <row r="40255">
      <c r="BB40255" s="122"/>
      <c r="BC40255" s="141"/>
    </row>
    <row r="40256">
      <c r="BB40256" s="122"/>
      <c r="BC40256" s="141"/>
    </row>
    <row r="40257">
      <c r="BB40257" s="122"/>
      <c r="BC40257" s="141"/>
    </row>
    <row r="40258">
      <c r="BB40258" s="122"/>
      <c r="BC40258" s="141"/>
    </row>
    <row r="40259">
      <c r="BB40259" s="122"/>
      <c r="BC40259" s="141"/>
    </row>
    <row r="40260">
      <c r="BB40260" s="122"/>
      <c r="BC40260" s="141"/>
    </row>
    <row r="40261">
      <c r="BB40261" s="122"/>
      <c r="BC40261" s="141"/>
    </row>
    <row r="40262">
      <c r="BB40262" s="122"/>
      <c r="BC40262" s="141"/>
    </row>
    <row r="40263">
      <c r="BB40263" s="122"/>
      <c r="BC40263" s="141"/>
    </row>
    <row r="40264">
      <c r="BB40264" s="122"/>
      <c r="BC40264" s="141"/>
    </row>
    <row r="40265">
      <c r="BB40265" s="122"/>
      <c r="BC40265" s="141"/>
    </row>
    <row r="40266">
      <c r="BB40266" s="122"/>
      <c r="BC40266" s="141"/>
    </row>
    <row r="40267">
      <c r="BB40267" s="122"/>
      <c r="BC40267" s="141"/>
    </row>
    <row r="40268">
      <c r="BB40268" s="122"/>
      <c r="BC40268" s="141"/>
    </row>
    <row r="40269">
      <c r="BB40269" s="122"/>
      <c r="BC40269" s="141"/>
    </row>
    <row r="40270">
      <c r="BB40270" s="122"/>
      <c r="BC40270" s="141"/>
    </row>
    <row r="40271">
      <c r="BB40271" s="122"/>
      <c r="BC40271" s="141"/>
    </row>
    <row r="40272">
      <c r="BB40272" s="122"/>
      <c r="BC40272" s="141"/>
    </row>
    <row r="40273">
      <c r="BB40273" s="122"/>
      <c r="BC40273" s="141"/>
    </row>
    <row r="40274">
      <c r="BB40274" s="122"/>
      <c r="BC40274" s="141"/>
    </row>
    <row r="40275">
      <c r="BB40275" s="122"/>
      <c r="BC40275" s="141"/>
    </row>
    <row r="40276">
      <c r="BB40276" s="122"/>
      <c r="BC40276" s="141"/>
    </row>
    <row r="40277">
      <c r="BB40277" s="122"/>
      <c r="BC40277" s="141"/>
    </row>
    <row r="40278">
      <c r="BB40278" s="122"/>
      <c r="BC40278" s="141"/>
    </row>
    <row r="40279">
      <c r="BB40279" s="122"/>
      <c r="BC40279" s="141"/>
    </row>
    <row r="40280">
      <c r="BB40280" s="122"/>
      <c r="BC40280" s="141"/>
    </row>
    <row r="40281">
      <c r="BB40281" s="122"/>
      <c r="BC40281" s="141"/>
    </row>
    <row r="40282">
      <c r="BB40282" s="122"/>
      <c r="BC40282" s="141"/>
    </row>
    <row r="40283">
      <c r="BB40283" s="122"/>
      <c r="BC40283" s="141"/>
    </row>
    <row r="40284">
      <c r="BB40284" s="122"/>
      <c r="BC40284" s="141"/>
    </row>
    <row r="40285">
      <c r="BB40285" s="122"/>
      <c r="BC40285" s="141"/>
    </row>
    <row r="40286">
      <c r="BB40286" s="122"/>
      <c r="BC40286" s="141"/>
    </row>
    <row r="40287">
      <c r="BB40287" s="122"/>
      <c r="BC40287" s="141"/>
    </row>
    <row r="40288">
      <c r="BB40288" s="122"/>
      <c r="BC40288" s="141"/>
    </row>
    <row r="40289">
      <c r="BB40289" s="122"/>
      <c r="BC40289" s="141"/>
    </row>
    <row r="40290">
      <c r="BB40290" s="122"/>
      <c r="BC40290" s="141"/>
    </row>
    <row r="40291">
      <c r="BB40291" s="122"/>
      <c r="BC40291" s="141"/>
    </row>
    <row r="40292">
      <c r="BB40292" s="122"/>
      <c r="BC40292" s="141"/>
    </row>
    <row r="40293">
      <c r="BB40293" s="122"/>
      <c r="BC40293" s="141"/>
    </row>
    <row r="40294">
      <c r="BB40294" s="122"/>
      <c r="BC40294" s="141"/>
    </row>
    <row r="40295">
      <c r="BB40295" s="122"/>
      <c r="BC40295" s="141"/>
    </row>
    <row r="40296">
      <c r="BB40296" s="122"/>
      <c r="BC40296" s="141"/>
    </row>
    <row r="40297">
      <c r="BB40297" s="122"/>
      <c r="BC40297" s="141"/>
    </row>
    <row r="40298">
      <c r="BB40298" s="122"/>
      <c r="BC40298" s="141"/>
    </row>
    <row r="40299">
      <c r="BB40299" s="122"/>
      <c r="BC40299" s="141"/>
    </row>
    <row r="40300">
      <c r="BB40300" s="122"/>
      <c r="BC40300" s="141"/>
    </row>
    <row r="40301">
      <c r="BB40301" s="122"/>
      <c r="BC40301" s="141"/>
    </row>
    <row r="40302">
      <c r="BB40302" s="122"/>
      <c r="BC40302" s="141"/>
    </row>
    <row r="40303">
      <c r="BB40303" s="122"/>
      <c r="BC40303" s="141"/>
    </row>
    <row r="40304">
      <c r="BB40304" s="122"/>
      <c r="BC40304" s="141"/>
    </row>
    <row r="40305">
      <c r="BB40305" s="122"/>
      <c r="BC40305" s="141"/>
    </row>
    <row r="40306">
      <c r="BB40306" s="122"/>
      <c r="BC40306" s="141"/>
    </row>
    <row r="40307">
      <c r="BB40307" s="122"/>
      <c r="BC40307" s="141"/>
    </row>
    <row r="40308">
      <c r="BB40308" s="122"/>
      <c r="BC40308" s="141"/>
    </row>
    <row r="40309">
      <c r="BB40309" s="122"/>
      <c r="BC40309" s="141"/>
    </row>
    <row r="40310">
      <c r="BB40310" s="122"/>
      <c r="BC40310" s="141"/>
    </row>
    <row r="40311">
      <c r="BB40311" s="122"/>
      <c r="BC40311" s="141"/>
    </row>
    <row r="40312">
      <c r="BB40312" s="122"/>
      <c r="BC40312" s="141"/>
    </row>
    <row r="40313">
      <c r="BB40313" s="122"/>
      <c r="BC40313" s="141"/>
    </row>
    <row r="40314">
      <c r="BB40314" s="122"/>
      <c r="BC40314" s="141"/>
    </row>
    <row r="40315">
      <c r="BB40315" s="122"/>
      <c r="BC40315" s="141"/>
    </row>
    <row r="40316">
      <c r="BB40316" s="122"/>
      <c r="BC40316" s="141"/>
    </row>
    <row r="40317">
      <c r="BB40317" s="122"/>
      <c r="BC40317" s="141"/>
    </row>
    <row r="40318">
      <c r="BB40318" s="122"/>
      <c r="BC40318" s="141"/>
    </row>
    <row r="40319">
      <c r="BB40319" s="122"/>
      <c r="BC40319" s="141"/>
    </row>
    <row r="40320">
      <c r="BB40320" s="122"/>
      <c r="BC40320" s="141"/>
    </row>
    <row r="40321">
      <c r="BB40321" s="122"/>
      <c r="BC40321" s="141"/>
    </row>
    <row r="40322">
      <c r="BB40322" s="122"/>
      <c r="BC40322" s="141"/>
    </row>
    <row r="40323">
      <c r="BB40323" s="122"/>
      <c r="BC40323" s="141"/>
    </row>
    <row r="40324">
      <c r="BB40324" s="122"/>
      <c r="BC40324" s="141"/>
    </row>
    <row r="40325">
      <c r="BB40325" s="122"/>
      <c r="BC40325" s="141"/>
    </row>
    <row r="40326">
      <c r="BB40326" s="122"/>
      <c r="BC40326" s="141"/>
    </row>
    <row r="40327">
      <c r="BB40327" s="122"/>
      <c r="BC40327" s="141"/>
    </row>
    <row r="40328">
      <c r="BB40328" s="122"/>
      <c r="BC40328" s="141"/>
    </row>
    <row r="40329">
      <c r="BB40329" s="122"/>
      <c r="BC40329" s="141"/>
    </row>
    <row r="40330">
      <c r="BB40330" s="122"/>
      <c r="BC40330" s="141"/>
    </row>
    <row r="40331">
      <c r="BB40331" s="122"/>
      <c r="BC40331" s="141"/>
    </row>
    <row r="40332">
      <c r="BB40332" s="122"/>
      <c r="BC40332" s="141"/>
    </row>
    <row r="40333">
      <c r="BB40333" s="122"/>
      <c r="BC40333" s="141"/>
    </row>
    <row r="40334">
      <c r="BB40334" s="122"/>
      <c r="BC40334" s="141"/>
    </row>
    <row r="40335">
      <c r="BB40335" s="122"/>
      <c r="BC40335" s="141"/>
    </row>
    <row r="40336">
      <c r="BB40336" s="122"/>
      <c r="BC40336" s="141"/>
    </row>
    <row r="40337">
      <c r="BB40337" s="122"/>
      <c r="BC40337" s="141"/>
    </row>
    <row r="40338">
      <c r="BB40338" s="122"/>
      <c r="BC40338" s="141"/>
    </row>
    <row r="40339">
      <c r="BB40339" s="122"/>
      <c r="BC40339" s="141"/>
    </row>
    <row r="40340">
      <c r="BB40340" s="122"/>
      <c r="BC40340" s="141"/>
    </row>
    <row r="40341">
      <c r="BB40341" s="122"/>
      <c r="BC40341" s="141"/>
    </row>
    <row r="40342">
      <c r="BB40342" s="122"/>
      <c r="BC40342" s="141"/>
    </row>
    <row r="40343">
      <c r="BB40343" s="122"/>
      <c r="BC40343" s="141"/>
    </row>
    <row r="40344">
      <c r="BB40344" s="122"/>
      <c r="BC40344" s="141"/>
    </row>
    <row r="40345">
      <c r="BB40345" s="122"/>
      <c r="BC40345" s="141"/>
    </row>
    <row r="40346">
      <c r="BB40346" s="122"/>
      <c r="BC40346" s="141"/>
    </row>
    <row r="40347">
      <c r="BB40347" s="122"/>
      <c r="BC40347" s="141"/>
    </row>
    <row r="40348">
      <c r="BB40348" s="122"/>
      <c r="BC40348" s="141"/>
    </row>
    <row r="40349">
      <c r="BB40349" s="122"/>
      <c r="BC40349" s="141"/>
    </row>
    <row r="40350">
      <c r="BB40350" s="122"/>
      <c r="BC40350" s="141"/>
    </row>
    <row r="40351">
      <c r="BB40351" s="122"/>
      <c r="BC40351" s="141"/>
    </row>
    <row r="40352">
      <c r="BB40352" s="122"/>
      <c r="BC40352" s="141"/>
    </row>
    <row r="40353">
      <c r="BB40353" s="122"/>
      <c r="BC40353" s="141"/>
    </row>
    <row r="40354">
      <c r="BB40354" s="122"/>
      <c r="BC40354" s="141"/>
    </row>
    <row r="40355">
      <c r="BB40355" s="122"/>
      <c r="BC40355" s="141"/>
    </row>
    <row r="40356">
      <c r="BB40356" s="122"/>
      <c r="BC40356" s="141"/>
    </row>
    <row r="40357">
      <c r="BB40357" s="122"/>
      <c r="BC40357" s="141"/>
    </row>
    <row r="40358">
      <c r="BB40358" s="122"/>
      <c r="BC40358" s="141"/>
    </row>
    <row r="40359">
      <c r="BB40359" s="122"/>
      <c r="BC40359" s="141"/>
    </row>
    <row r="40360">
      <c r="BB40360" s="122"/>
      <c r="BC40360" s="141"/>
    </row>
    <row r="40361">
      <c r="BB40361" s="122"/>
      <c r="BC40361" s="141"/>
    </row>
    <row r="40362">
      <c r="BB40362" s="122"/>
      <c r="BC40362" s="141"/>
    </row>
    <row r="40363">
      <c r="BB40363" s="122"/>
      <c r="BC40363" s="141"/>
    </row>
    <row r="40364">
      <c r="BB40364" s="122"/>
      <c r="BC40364" s="141"/>
    </row>
    <row r="40365">
      <c r="BB40365" s="122"/>
      <c r="BC40365" s="141"/>
    </row>
    <row r="40366">
      <c r="BB40366" s="122"/>
      <c r="BC40366" s="141"/>
    </row>
    <row r="40367">
      <c r="BB40367" s="122"/>
      <c r="BC40367" s="141"/>
    </row>
    <row r="40368">
      <c r="BB40368" s="122"/>
      <c r="BC40368" s="141"/>
    </row>
    <row r="40369">
      <c r="BB40369" s="122"/>
      <c r="BC40369" s="141"/>
    </row>
    <row r="40370">
      <c r="BB40370" s="122"/>
      <c r="BC40370" s="141"/>
    </row>
    <row r="40371">
      <c r="BB40371" s="122"/>
      <c r="BC40371" s="141"/>
    </row>
    <row r="40372">
      <c r="BB40372" s="122"/>
      <c r="BC40372" s="141"/>
    </row>
    <row r="40373">
      <c r="BB40373" s="122"/>
      <c r="BC40373" s="141"/>
    </row>
    <row r="40374">
      <c r="BB40374" s="122"/>
      <c r="BC40374" s="141"/>
    </row>
    <row r="40375">
      <c r="BB40375" s="122"/>
      <c r="BC40375" s="141"/>
    </row>
    <row r="40376">
      <c r="BB40376" s="122"/>
      <c r="BC40376" s="141"/>
    </row>
    <row r="40377">
      <c r="BB40377" s="122"/>
      <c r="BC40377" s="141"/>
    </row>
    <row r="40378">
      <c r="BB40378" s="122"/>
      <c r="BC40378" s="141"/>
    </row>
    <row r="40379">
      <c r="BB40379" s="122"/>
      <c r="BC40379" s="141"/>
    </row>
    <row r="40380">
      <c r="BB40380" s="122"/>
      <c r="BC40380" s="141"/>
    </row>
    <row r="40381">
      <c r="BB40381" s="122"/>
      <c r="BC40381" s="141"/>
    </row>
    <row r="40382">
      <c r="BB40382" s="122"/>
      <c r="BC40382" s="141"/>
    </row>
    <row r="40383">
      <c r="BB40383" s="122"/>
      <c r="BC40383" s="141"/>
    </row>
    <row r="40384">
      <c r="BB40384" s="122"/>
      <c r="BC40384" s="141"/>
    </row>
    <row r="40385">
      <c r="BB40385" s="122"/>
      <c r="BC40385" s="141"/>
    </row>
    <row r="40386">
      <c r="BB40386" s="122"/>
      <c r="BC40386" s="141"/>
    </row>
    <row r="40387">
      <c r="BB40387" s="122"/>
      <c r="BC40387" s="141"/>
    </row>
    <row r="40388">
      <c r="BB40388" s="122"/>
      <c r="BC40388" s="141"/>
    </row>
    <row r="40389">
      <c r="BB40389" s="122"/>
      <c r="BC40389" s="141"/>
    </row>
    <row r="40390">
      <c r="BB40390" s="122"/>
      <c r="BC40390" s="141"/>
    </row>
    <row r="40391">
      <c r="BB40391" s="122"/>
      <c r="BC40391" s="141"/>
    </row>
    <row r="40392">
      <c r="BB40392" s="122"/>
      <c r="BC40392" s="141"/>
    </row>
    <row r="40393">
      <c r="BB40393" s="122"/>
      <c r="BC40393" s="141"/>
    </row>
    <row r="40394">
      <c r="BB40394" s="122"/>
      <c r="BC40394" s="141"/>
    </row>
    <row r="40395">
      <c r="BB40395" s="122"/>
      <c r="BC40395" s="141"/>
    </row>
    <row r="40396">
      <c r="BB40396" s="122"/>
      <c r="BC40396" s="141"/>
    </row>
    <row r="40397">
      <c r="BB40397" s="122"/>
      <c r="BC40397" s="141"/>
    </row>
    <row r="40398">
      <c r="BB40398" s="122"/>
      <c r="BC40398" s="141"/>
    </row>
    <row r="40399">
      <c r="BB40399" s="122"/>
      <c r="BC40399" s="141"/>
    </row>
    <row r="40400">
      <c r="BB40400" s="122"/>
      <c r="BC40400" s="141"/>
    </row>
    <row r="40401">
      <c r="BB40401" s="122"/>
      <c r="BC40401" s="141"/>
    </row>
    <row r="40402">
      <c r="BB40402" s="122"/>
      <c r="BC40402" s="141"/>
    </row>
    <row r="40403">
      <c r="BB40403" s="122"/>
      <c r="BC40403" s="141"/>
    </row>
    <row r="40404">
      <c r="BB40404" s="122"/>
      <c r="BC40404" s="141"/>
    </row>
    <row r="40405">
      <c r="BB40405" s="122"/>
      <c r="BC40405" s="141"/>
    </row>
    <row r="40406">
      <c r="BB40406" s="122"/>
      <c r="BC40406" s="141"/>
    </row>
    <row r="40407">
      <c r="BB40407" s="122"/>
      <c r="BC40407" s="141"/>
    </row>
    <row r="40408">
      <c r="BB40408" s="122"/>
      <c r="BC40408" s="141"/>
    </row>
    <row r="40409">
      <c r="BB40409" s="122"/>
      <c r="BC40409" s="141"/>
    </row>
    <row r="40410">
      <c r="BB40410" s="122"/>
      <c r="BC40410" s="141"/>
    </row>
    <row r="40411">
      <c r="BB40411" s="122"/>
      <c r="BC40411" s="141"/>
    </row>
    <row r="40412">
      <c r="BB40412" s="122"/>
      <c r="BC40412" s="141"/>
    </row>
    <row r="40413">
      <c r="BB40413" s="122"/>
      <c r="BC40413" s="141"/>
    </row>
    <row r="40414">
      <c r="BB40414" s="122"/>
      <c r="BC40414" s="141"/>
    </row>
    <row r="40415">
      <c r="BB40415" s="122"/>
      <c r="BC40415" s="141"/>
    </row>
    <row r="40416">
      <c r="BB40416" s="122"/>
      <c r="BC40416" s="141"/>
    </row>
    <row r="40417">
      <c r="BB40417" s="122"/>
      <c r="BC40417" s="141"/>
    </row>
    <row r="40418">
      <c r="BB40418" s="122"/>
      <c r="BC40418" s="141"/>
    </row>
    <row r="40419">
      <c r="BB40419" s="122"/>
      <c r="BC40419" s="141"/>
    </row>
    <row r="40420">
      <c r="BB40420" s="122"/>
      <c r="BC40420" s="141"/>
    </row>
    <row r="40421">
      <c r="BB40421" s="122"/>
      <c r="BC40421" s="141"/>
    </row>
    <row r="40422">
      <c r="BB40422" s="122"/>
      <c r="BC40422" s="141"/>
    </row>
    <row r="40423">
      <c r="BB40423" s="122"/>
      <c r="BC40423" s="141"/>
    </row>
    <row r="40424">
      <c r="BB40424" s="122"/>
      <c r="BC40424" s="141"/>
    </row>
    <row r="40425">
      <c r="BB40425" s="122"/>
      <c r="BC40425" s="141"/>
    </row>
    <row r="40426">
      <c r="BB40426" s="122"/>
      <c r="BC40426" s="141"/>
    </row>
    <row r="40427">
      <c r="BB40427" s="122"/>
      <c r="BC40427" s="141"/>
    </row>
    <row r="40428">
      <c r="BB40428" s="122"/>
      <c r="BC40428" s="141"/>
    </row>
    <row r="40429">
      <c r="BB40429" s="122"/>
      <c r="BC40429" s="141"/>
    </row>
    <row r="40430">
      <c r="BB40430" s="122"/>
      <c r="BC40430" s="141"/>
    </row>
    <row r="40431">
      <c r="BB40431" s="122"/>
      <c r="BC40431" s="141"/>
    </row>
    <row r="40432">
      <c r="BB40432" s="122"/>
      <c r="BC40432" s="141"/>
    </row>
    <row r="40433">
      <c r="BB40433" s="122"/>
      <c r="BC40433" s="141"/>
    </row>
    <row r="40434">
      <c r="BB40434" s="122"/>
      <c r="BC40434" s="141"/>
    </row>
    <row r="40435">
      <c r="BB40435" s="122"/>
      <c r="BC40435" s="141"/>
    </row>
    <row r="40436">
      <c r="BB40436" s="122"/>
      <c r="BC40436" s="141"/>
    </row>
    <row r="40437">
      <c r="BB40437" s="122"/>
      <c r="BC40437" s="141"/>
    </row>
    <row r="40438">
      <c r="BB40438" s="122"/>
      <c r="BC40438" s="141"/>
    </row>
    <row r="40439">
      <c r="BB40439" s="122"/>
      <c r="BC40439" s="141"/>
    </row>
    <row r="40440">
      <c r="BB40440" s="122"/>
      <c r="BC40440" s="141"/>
    </row>
    <row r="40441">
      <c r="BB40441" s="122"/>
      <c r="BC40441" s="141"/>
    </row>
    <row r="40442">
      <c r="BB40442" s="122"/>
      <c r="BC40442" s="141"/>
    </row>
    <row r="40443">
      <c r="BB40443" s="122"/>
      <c r="BC40443" s="141"/>
    </row>
    <row r="40444">
      <c r="BB40444" s="122"/>
      <c r="BC40444" s="141"/>
    </row>
    <row r="40445">
      <c r="BB40445" s="122"/>
      <c r="BC40445" s="141"/>
    </row>
    <row r="40446">
      <c r="BB40446" s="122"/>
      <c r="BC40446" s="141"/>
    </row>
    <row r="40447">
      <c r="BB40447" s="122"/>
      <c r="BC40447" s="141"/>
    </row>
    <row r="40448">
      <c r="BB40448" s="122"/>
      <c r="BC40448" s="141"/>
    </row>
    <row r="40449">
      <c r="BB40449" s="122"/>
      <c r="BC40449" s="141"/>
    </row>
    <row r="40450">
      <c r="BB40450" s="122"/>
      <c r="BC40450" s="141"/>
    </row>
    <row r="40451">
      <c r="BB40451" s="122"/>
      <c r="BC40451" s="141"/>
    </row>
    <row r="40452">
      <c r="BB40452" s="122"/>
      <c r="BC40452" s="141"/>
    </row>
    <row r="40453">
      <c r="BB40453" s="122"/>
      <c r="BC40453" s="141"/>
    </row>
    <row r="40454">
      <c r="BB40454" s="122"/>
      <c r="BC40454" s="141"/>
    </row>
    <row r="40455">
      <c r="BB40455" s="122"/>
      <c r="BC40455" s="141"/>
    </row>
    <row r="40456">
      <c r="BB40456" s="122"/>
      <c r="BC40456" s="141"/>
    </row>
    <row r="40457">
      <c r="BB40457" s="122"/>
      <c r="BC40457" s="141"/>
    </row>
    <row r="40458">
      <c r="BB40458" s="122"/>
      <c r="BC40458" s="141"/>
    </row>
    <row r="40459">
      <c r="BB40459" s="122"/>
      <c r="BC40459" s="141"/>
    </row>
    <row r="40460">
      <c r="BB40460" s="122"/>
      <c r="BC40460" s="141"/>
    </row>
    <row r="40461">
      <c r="BB40461" s="122"/>
      <c r="BC40461" s="141"/>
    </row>
    <row r="40462">
      <c r="BB40462" s="122"/>
      <c r="BC40462" s="141"/>
    </row>
    <row r="40463">
      <c r="BB40463" s="122"/>
      <c r="BC40463" s="141"/>
    </row>
    <row r="40464">
      <c r="BB40464" s="122"/>
      <c r="BC40464" s="141"/>
    </row>
    <row r="40465">
      <c r="BB40465" s="122"/>
      <c r="BC40465" s="141"/>
    </row>
    <row r="40466">
      <c r="BB40466" s="122"/>
      <c r="BC40466" s="141"/>
    </row>
    <row r="40467">
      <c r="BB40467" s="122"/>
      <c r="BC40467" s="141"/>
    </row>
    <row r="40468">
      <c r="BB40468" s="122"/>
      <c r="BC40468" s="141"/>
    </row>
    <row r="40469">
      <c r="BB40469" s="122"/>
      <c r="BC40469" s="141"/>
    </row>
    <row r="40470">
      <c r="BB40470" s="122"/>
      <c r="BC40470" s="141"/>
    </row>
    <row r="40471">
      <c r="BB40471" s="122"/>
      <c r="BC40471" s="141"/>
    </row>
    <row r="40472">
      <c r="BB40472" s="122"/>
      <c r="BC40472" s="141"/>
    </row>
    <row r="40473">
      <c r="BB40473" s="122"/>
      <c r="BC40473" s="141"/>
    </row>
    <row r="40474">
      <c r="BB40474" s="122"/>
      <c r="BC40474" s="141"/>
    </row>
    <row r="40475">
      <c r="BB40475" s="122"/>
      <c r="BC40475" s="141"/>
    </row>
    <row r="40476">
      <c r="BB40476" s="122"/>
      <c r="BC40476" s="141"/>
    </row>
    <row r="40477">
      <c r="BB40477" s="122"/>
      <c r="BC40477" s="141"/>
    </row>
    <row r="40478">
      <c r="BB40478" s="122"/>
      <c r="BC40478" s="141"/>
    </row>
    <row r="40479">
      <c r="BB40479" s="122"/>
      <c r="BC40479" s="141"/>
    </row>
    <row r="40480">
      <c r="BB40480" s="122"/>
      <c r="BC40480" s="141"/>
    </row>
    <row r="40481">
      <c r="BB40481" s="122"/>
      <c r="BC40481" s="141"/>
    </row>
    <row r="40482">
      <c r="BB40482" s="122"/>
      <c r="BC40482" s="141"/>
    </row>
    <row r="40483">
      <c r="BB40483" s="122"/>
      <c r="BC40483" s="141"/>
    </row>
    <row r="40484">
      <c r="BB40484" s="122"/>
      <c r="BC40484" s="141"/>
    </row>
    <row r="40485">
      <c r="BB40485" s="122"/>
      <c r="BC40485" s="141"/>
    </row>
    <row r="40486">
      <c r="BB40486" s="122"/>
      <c r="BC40486" s="141"/>
    </row>
    <row r="40487">
      <c r="BB40487" s="122"/>
      <c r="BC40487" s="141"/>
    </row>
    <row r="40488">
      <c r="BB40488" s="122"/>
      <c r="BC40488" s="141"/>
    </row>
    <row r="40489">
      <c r="BB40489" s="122"/>
      <c r="BC40489" s="141"/>
    </row>
    <row r="40490">
      <c r="BB40490" s="122"/>
      <c r="BC40490" s="141"/>
    </row>
    <row r="40491">
      <c r="BB40491" s="122"/>
      <c r="BC40491" s="141"/>
    </row>
    <row r="40492">
      <c r="BB40492" s="122"/>
      <c r="BC40492" s="141"/>
    </row>
    <row r="40493">
      <c r="BB40493" s="122"/>
      <c r="BC40493" s="141"/>
    </row>
    <row r="40494">
      <c r="BB40494" s="122"/>
      <c r="BC40494" s="141"/>
    </row>
    <row r="40495">
      <c r="BB40495" s="122"/>
      <c r="BC40495" s="141"/>
    </row>
    <row r="40496">
      <c r="BB40496" s="122"/>
      <c r="BC40496" s="141"/>
    </row>
    <row r="40497">
      <c r="BB40497" s="122"/>
      <c r="BC40497" s="141"/>
    </row>
    <row r="40498">
      <c r="BB40498" s="122"/>
      <c r="BC40498" s="141"/>
    </row>
    <row r="40499">
      <c r="BB40499" s="122"/>
      <c r="BC40499" s="141"/>
    </row>
    <row r="40500">
      <c r="BB40500" s="122"/>
      <c r="BC40500" s="141"/>
    </row>
    <row r="40501">
      <c r="BB40501" s="122"/>
      <c r="BC40501" s="141"/>
    </row>
    <row r="40502">
      <c r="BB40502" s="122"/>
      <c r="BC40502" s="141"/>
    </row>
    <row r="40503">
      <c r="BB40503" s="122"/>
      <c r="BC40503" s="141"/>
    </row>
    <row r="40504">
      <c r="BB40504" s="122"/>
      <c r="BC40504" s="141"/>
    </row>
    <row r="40505">
      <c r="BB40505" s="122"/>
      <c r="BC40505" s="141"/>
    </row>
    <row r="40506">
      <c r="BB40506" s="122"/>
      <c r="BC40506" s="141"/>
    </row>
    <row r="40507">
      <c r="BB40507" s="122"/>
      <c r="BC40507" s="141"/>
    </row>
    <row r="40508">
      <c r="BB40508" s="122"/>
      <c r="BC40508" s="141"/>
    </row>
    <row r="40509">
      <c r="BB40509" s="122"/>
      <c r="BC40509" s="141"/>
    </row>
    <row r="40510">
      <c r="BB40510" s="122"/>
      <c r="BC40510" s="141"/>
    </row>
    <row r="40511">
      <c r="BB40511" s="122"/>
      <c r="BC40511" s="141"/>
    </row>
    <row r="40512">
      <c r="BB40512" s="122"/>
      <c r="BC40512" s="141"/>
    </row>
    <row r="40513">
      <c r="BB40513" s="122"/>
      <c r="BC40513" s="141"/>
    </row>
    <row r="40514">
      <c r="BB40514" s="122"/>
      <c r="BC40514" s="141"/>
    </row>
    <row r="40515">
      <c r="BB40515" s="122"/>
      <c r="BC40515" s="141"/>
    </row>
    <row r="40516">
      <c r="BB40516" s="122"/>
      <c r="BC40516" s="141"/>
    </row>
    <row r="40517">
      <c r="BB40517" s="122"/>
      <c r="BC40517" s="141"/>
    </row>
    <row r="40518">
      <c r="BB40518" s="122"/>
      <c r="BC40518" s="141"/>
    </row>
    <row r="40519">
      <c r="BB40519" s="122"/>
      <c r="BC40519" s="141"/>
    </row>
    <row r="40520">
      <c r="BB40520" s="122"/>
      <c r="BC40520" s="141"/>
    </row>
    <row r="40521">
      <c r="BB40521" s="122"/>
      <c r="BC40521" s="141"/>
    </row>
    <row r="40522">
      <c r="BB40522" s="122"/>
      <c r="BC40522" s="141"/>
    </row>
    <row r="40523">
      <c r="BB40523" s="122"/>
      <c r="BC40523" s="141"/>
    </row>
    <row r="40524">
      <c r="BB40524" s="122"/>
      <c r="BC40524" s="141"/>
    </row>
    <row r="40525">
      <c r="BB40525" s="122"/>
      <c r="BC40525" s="141"/>
    </row>
    <row r="40526">
      <c r="BB40526" s="122"/>
      <c r="BC40526" s="141"/>
    </row>
    <row r="40527">
      <c r="BB40527" s="122"/>
      <c r="BC40527" s="141"/>
    </row>
    <row r="40528">
      <c r="BB40528" s="122"/>
      <c r="BC40528" s="141"/>
    </row>
    <row r="40529">
      <c r="BB40529" s="122"/>
      <c r="BC40529" s="141"/>
    </row>
    <row r="40530">
      <c r="BB40530" s="122"/>
      <c r="BC40530" s="141"/>
    </row>
    <row r="40531">
      <c r="BB40531" s="122"/>
      <c r="BC40531" s="141"/>
    </row>
    <row r="40532">
      <c r="BB40532" s="122"/>
      <c r="BC40532" s="141"/>
    </row>
    <row r="40533">
      <c r="BB40533" s="122"/>
      <c r="BC40533" s="141"/>
    </row>
    <row r="40534">
      <c r="BB40534" s="122"/>
      <c r="BC40534" s="141"/>
    </row>
    <row r="40535">
      <c r="BB40535" s="122"/>
      <c r="BC40535" s="141"/>
    </row>
    <row r="40536">
      <c r="BB40536" s="122"/>
      <c r="BC40536" s="141"/>
    </row>
    <row r="40537">
      <c r="BB40537" s="122"/>
      <c r="BC40537" s="141"/>
    </row>
    <row r="40538">
      <c r="BB40538" s="122"/>
      <c r="BC40538" s="141"/>
    </row>
    <row r="40539">
      <c r="BB40539" s="122"/>
      <c r="BC40539" s="141"/>
    </row>
    <row r="40540">
      <c r="BB40540" s="122"/>
      <c r="BC40540" s="141"/>
    </row>
    <row r="40541">
      <c r="BB40541" s="122"/>
      <c r="BC40541" s="141"/>
    </row>
    <row r="40542">
      <c r="BB40542" s="122"/>
      <c r="BC40542" s="141"/>
    </row>
    <row r="40543">
      <c r="BB40543" s="122"/>
      <c r="BC40543" s="141"/>
    </row>
    <row r="40544">
      <c r="BB40544" s="122"/>
      <c r="BC40544" s="141"/>
    </row>
    <row r="40545">
      <c r="BB40545" s="122"/>
      <c r="BC40545" s="141"/>
    </row>
    <row r="40546">
      <c r="BB40546" s="122"/>
      <c r="BC40546" s="141"/>
    </row>
    <row r="40547">
      <c r="BB40547" s="122"/>
      <c r="BC40547" s="141"/>
    </row>
    <row r="40548">
      <c r="BB40548" s="122"/>
      <c r="BC40548" s="141"/>
    </row>
    <row r="40549">
      <c r="BB40549" s="122"/>
      <c r="BC40549" s="141"/>
    </row>
    <row r="40550">
      <c r="BB40550" s="122"/>
      <c r="BC40550" s="141"/>
    </row>
    <row r="40551">
      <c r="BB40551" s="122"/>
      <c r="BC40551" s="141"/>
    </row>
    <row r="40552">
      <c r="BB40552" s="122"/>
      <c r="BC40552" s="141"/>
    </row>
    <row r="40553">
      <c r="BB40553" s="122"/>
      <c r="BC40553" s="141"/>
    </row>
    <row r="40554">
      <c r="BB40554" s="122"/>
      <c r="BC40554" s="141"/>
    </row>
    <row r="40555">
      <c r="BB40555" s="122"/>
      <c r="BC40555" s="141"/>
    </row>
    <row r="40556">
      <c r="BB40556" s="122"/>
      <c r="BC40556" s="141"/>
    </row>
    <row r="40557">
      <c r="BB40557" s="122"/>
      <c r="BC40557" s="141"/>
    </row>
    <row r="40558">
      <c r="BB40558" s="122"/>
      <c r="BC40558" s="141"/>
    </row>
    <row r="40559">
      <c r="BB40559" s="122"/>
      <c r="BC40559" s="141"/>
    </row>
    <row r="40560">
      <c r="BB40560" s="122"/>
      <c r="BC40560" s="141"/>
    </row>
    <row r="40561">
      <c r="BB40561" s="122"/>
      <c r="BC40561" s="141"/>
    </row>
    <row r="40562">
      <c r="BB40562" s="122"/>
      <c r="BC40562" s="141"/>
    </row>
    <row r="40563">
      <c r="BB40563" s="122"/>
      <c r="BC40563" s="141"/>
    </row>
    <row r="40564">
      <c r="BB40564" s="122"/>
      <c r="BC40564" s="141"/>
    </row>
    <row r="40565">
      <c r="BB40565" s="122"/>
      <c r="BC40565" s="141"/>
    </row>
    <row r="40566">
      <c r="BB40566" s="122"/>
      <c r="BC40566" s="141"/>
    </row>
    <row r="40567">
      <c r="BB40567" s="122"/>
      <c r="BC40567" s="141"/>
    </row>
    <row r="40568">
      <c r="BB40568" s="122"/>
      <c r="BC40568" s="141"/>
    </row>
    <row r="40569">
      <c r="BB40569" s="122"/>
      <c r="BC40569" s="141"/>
    </row>
    <row r="40570">
      <c r="BB40570" s="122"/>
      <c r="BC40570" s="141"/>
    </row>
    <row r="40571">
      <c r="BB40571" s="122"/>
      <c r="BC40571" s="141"/>
    </row>
    <row r="40572">
      <c r="BB40572" s="122"/>
      <c r="BC40572" s="141"/>
    </row>
    <row r="40573">
      <c r="BB40573" s="122"/>
      <c r="BC40573" s="141"/>
    </row>
    <row r="40574">
      <c r="BB40574" s="122"/>
      <c r="BC40574" s="141"/>
    </row>
    <row r="40575">
      <c r="BB40575" s="122"/>
      <c r="BC40575" s="141"/>
    </row>
    <row r="40576">
      <c r="BB40576" s="122"/>
      <c r="BC40576" s="141"/>
    </row>
    <row r="40577">
      <c r="BB40577" s="122"/>
      <c r="BC40577" s="141"/>
    </row>
    <row r="40578">
      <c r="BB40578" s="122"/>
      <c r="BC40578" s="141"/>
    </row>
    <row r="40579">
      <c r="BB40579" s="122"/>
      <c r="BC40579" s="141"/>
    </row>
    <row r="40580">
      <c r="BB40580" s="122"/>
      <c r="BC40580" s="141"/>
    </row>
    <row r="40581">
      <c r="BB40581" s="122"/>
      <c r="BC40581" s="141"/>
    </row>
    <row r="40582">
      <c r="BB40582" s="122"/>
      <c r="BC40582" s="141"/>
    </row>
    <row r="40583">
      <c r="BB40583" s="122"/>
      <c r="BC40583" s="141"/>
    </row>
    <row r="40584">
      <c r="BB40584" s="122"/>
      <c r="BC40584" s="141"/>
    </row>
    <row r="40585">
      <c r="BB40585" s="122"/>
      <c r="BC40585" s="141"/>
    </row>
    <row r="40586">
      <c r="BB40586" s="122"/>
      <c r="BC40586" s="141"/>
    </row>
    <row r="40587">
      <c r="BB40587" s="122"/>
      <c r="BC40587" s="141"/>
    </row>
    <row r="40588">
      <c r="BB40588" s="122"/>
      <c r="BC40588" s="141"/>
    </row>
    <row r="40589">
      <c r="BB40589" s="122"/>
      <c r="BC40589" s="141"/>
    </row>
    <row r="40590">
      <c r="BB40590" s="122"/>
      <c r="BC40590" s="141"/>
    </row>
    <row r="40591">
      <c r="BB40591" s="122"/>
      <c r="BC40591" s="141"/>
    </row>
    <row r="40592">
      <c r="BB40592" s="122"/>
      <c r="BC40592" s="141"/>
    </row>
    <row r="40593">
      <c r="BB40593" s="122"/>
      <c r="BC40593" s="141"/>
    </row>
    <row r="40594">
      <c r="BB40594" s="122"/>
      <c r="BC40594" s="141"/>
    </row>
    <row r="40595">
      <c r="BB40595" s="122"/>
      <c r="BC40595" s="141"/>
    </row>
    <row r="40596">
      <c r="BB40596" s="122"/>
      <c r="BC40596" s="141"/>
    </row>
    <row r="40597">
      <c r="BB40597" s="122"/>
      <c r="BC40597" s="141"/>
    </row>
    <row r="40598">
      <c r="BB40598" s="122"/>
      <c r="BC40598" s="141"/>
    </row>
    <row r="40599">
      <c r="BB40599" s="122"/>
      <c r="BC40599" s="141"/>
    </row>
    <row r="40600">
      <c r="BB40600" s="122"/>
      <c r="BC40600" s="141"/>
    </row>
    <row r="40601">
      <c r="BB40601" s="122"/>
      <c r="BC40601" s="141"/>
    </row>
    <row r="40602">
      <c r="BB40602" s="122"/>
      <c r="BC40602" s="141"/>
    </row>
    <row r="40603">
      <c r="BB40603" s="122"/>
      <c r="BC40603" s="141"/>
    </row>
    <row r="40604">
      <c r="BB40604" s="122"/>
      <c r="BC40604" s="141"/>
    </row>
    <row r="40605">
      <c r="BB40605" s="122"/>
      <c r="BC40605" s="141"/>
    </row>
    <row r="40606">
      <c r="BB40606" s="122"/>
      <c r="BC40606" s="141"/>
    </row>
    <row r="40607">
      <c r="BB40607" s="122"/>
      <c r="BC40607" s="141"/>
    </row>
    <row r="40608">
      <c r="BB40608" s="122"/>
      <c r="BC40608" s="141"/>
    </row>
    <row r="40609">
      <c r="BB40609" s="122"/>
      <c r="BC40609" s="141"/>
    </row>
    <row r="40610">
      <c r="BB40610" s="122"/>
      <c r="BC40610" s="141"/>
    </row>
    <row r="40611">
      <c r="BB40611" s="122"/>
      <c r="BC40611" s="141"/>
    </row>
    <row r="40612">
      <c r="BB40612" s="122"/>
      <c r="BC40612" s="141"/>
    </row>
    <row r="40613">
      <c r="BB40613" s="122"/>
      <c r="BC40613" s="141"/>
    </row>
    <row r="40614">
      <c r="BB40614" s="122"/>
      <c r="BC40614" s="141"/>
    </row>
    <row r="40615">
      <c r="BB40615" s="122"/>
      <c r="BC40615" s="141"/>
    </row>
    <row r="40616">
      <c r="BB40616" s="122"/>
      <c r="BC40616" s="141"/>
    </row>
    <row r="40617">
      <c r="BB40617" s="122"/>
      <c r="BC40617" s="141"/>
    </row>
    <row r="40618">
      <c r="BB40618" s="122"/>
      <c r="BC40618" s="141"/>
    </row>
    <row r="40619">
      <c r="BB40619" s="122"/>
      <c r="BC40619" s="141"/>
    </row>
    <row r="40620">
      <c r="BB40620" s="122"/>
      <c r="BC40620" s="141"/>
    </row>
    <row r="40621">
      <c r="BB40621" s="122"/>
      <c r="BC40621" s="141"/>
    </row>
    <row r="40622">
      <c r="BB40622" s="122"/>
      <c r="BC40622" s="141"/>
    </row>
    <row r="40623">
      <c r="BB40623" s="122"/>
      <c r="BC40623" s="141"/>
    </row>
    <row r="40624">
      <c r="BB40624" s="122"/>
      <c r="BC40624" s="141"/>
    </row>
    <row r="40625">
      <c r="BB40625" s="122"/>
      <c r="BC40625" s="141"/>
    </row>
    <row r="40626">
      <c r="BB40626" s="122"/>
      <c r="BC40626" s="141"/>
    </row>
    <row r="40627">
      <c r="BB40627" s="122"/>
      <c r="BC40627" s="141"/>
    </row>
    <row r="40628">
      <c r="BB40628" s="122"/>
      <c r="BC40628" s="141"/>
    </row>
    <row r="40629">
      <c r="BB40629" s="122"/>
      <c r="BC40629" s="141"/>
    </row>
    <row r="40630">
      <c r="BB40630" s="122"/>
      <c r="BC40630" s="141"/>
    </row>
    <row r="40631">
      <c r="BB40631" s="122"/>
      <c r="BC40631" s="141"/>
    </row>
    <row r="40632">
      <c r="BB40632" s="122"/>
      <c r="BC40632" s="141"/>
    </row>
    <row r="40633">
      <c r="BB40633" s="122"/>
      <c r="BC40633" s="141"/>
    </row>
    <row r="40634">
      <c r="BB40634" s="122"/>
      <c r="BC40634" s="141"/>
    </row>
    <row r="40635">
      <c r="BB40635" s="122"/>
      <c r="BC40635" s="141"/>
    </row>
    <row r="40636">
      <c r="BB40636" s="122"/>
      <c r="BC40636" s="141"/>
    </row>
    <row r="40637">
      <c r="BB40637" s="122"/>
      <c r="BC40637" s="141"/>
    </row>
    <row r="40638">
      <c r="BB40638" s="122"/>
      <c r="BC40638" s="141"/>
    </row>
    <row r="40639">
      <c r="BB40639" s="122"/>
      <c r="BC40639" s="141"/>
    </row>
    <row r="40640">
      <c r="BB40640" s="122"/>
      <c r="BC40640" s="141"/>
    </row>
    <row r="40641">
      <c r="BB40641" s="122"/>
      <c r="BC40641" s="141"/>
    </row>
    <row r="40642">
      <c r="BB40642" s="122"/>
      <c r="BC40642" s="141"/>
    </row>
    <row r="40643">
      <c r="BB40643" s="122"/>
      <c r="BC40643" s="141"/>
    </row>
    <row r="40644">
      <c r="BB40644" s="122"/>
      <c r="BC40644" s="141"/>
    </row>
    <row r="40645">
      <c r="BB40645" s="122"/>
      <c r="BC40645" s="141"/>
    </row>
    <row r="40646">
      <c r="BB40646" s="122"/>
      <c r="BC40646" s="141"/>
    </row>
    <row r="40647">
      <c r="BB40647" s="122"/>
      <c r="BC40647" s="141"/>
    </row>
    <row r="40648">
      <c r="BB40648" s="122"/>
      <c r="BC40648" s="141"/>
    </row>
    <row r="40649">
      <c r="BB40649" s="122"/>
      <c r="BC40649" s="141"/>
    </row>
    <row r="40650">
      <c r="BB40650" s="122"/>
      <c r="BC40650" s="141"/>
    </row>
    <row r="40651">
      <c r="BB40651" s="122"/>
      <c r="BC40651" s="141"/>
    </row>
    <row r="40652">
      <c r="BB40652" s="122"/>
      <c r="BC40652" s="141"/>
    </row>
    <row r="40653">
      <c r="BB40653" s="122"/>
      <c r="BC40653" s="141"/>
    </row>
    <row r="40654">
      <c r="BB40654" s="122"/>
      <c r="BC40654" s="141"/>
    </row>
    <row r="40655">
      <c r="BB40655" s="122"/>
      <c r="BC40655" s="141"/>
    </row>
    <row r="40656">
      <c r="BB40656" s="122"/>
      <c r="BC40656" s="141"/>
    </row>
    <row r="40657">
      <c r="BB40657" s="122"/>
      <c r="BC40657" s="141"/>
    </row>
    <row r="40658">
      <c r="BB40658" s="122"/>
      <c r="BC40658" s="141"/>
    </row>
    <row r="40659">
      <c r="BB40659" s="122"/>
      <c r="BC40659" s="141"/>
    </row>
    <row r="40660">
      <c r="BB40660" s="122"/>
      <c r="BC40660" s="141"/>
    </row>
    <row r="40661">
      <c r="BB40661" s="122"/>
      <c r="BC40661" s="141"/>
    </row>
    <row r="40662">
      <c r="BB40662" s="122"/>
      <c r="BC40662" s="141"/>
    </row>
    <row r="40663">
      <c r="BB40663" s="122"/>
      <c r="BC40663" s="141"/>
    </row>
    <row r="40664">
      <c r="BB40664" s="122"/>
      <c r="BC40664" s="141"/>
    </row>
    <row r="40665">
      <c r="BB40665" s="122"/>
      <c r="BC40665" s="141"/>
    </row>
    <row r="40666">
      <c r="BB40666" s="122"/>
      <c r="BC40666" s="141"/>
    </row>
    <row r="40667">
      <c r="BB40667" s="122"/>
      <c r="BC40667" s="141"/>
    </row>
    <row r="40668">
      <c r="BB40668" s="122"/>
      <c r="BC40668" s="141"/>
    </row>
    <row r="40669">
      <c r="BB40669" s="122"/>
      <c r="BC40669" s="141"/>
    </row>
    <row r="40670">
      <c r="BB40670" s="122"/>
      <c r="BC40670" s="141"/>
    </row>
    <row r="40671">
      <c r="BB40671" s="122"/>
      <c r="BC40671" s="141"/>
    </row>
    <row r="40672">
      <c r="BB40672" s="122"/>
      <c r="BC40672" s="141"/>
    </row>
    <row r="40673">
      <c r="BB40673" s="122"/>
      <c r="BC40673" s="141"/>
    </row>
    <row r="40674">
      <c r="BB40674" s="122"/>
      <c r="BC40674" s="141"/>
    </row>
    <row r="40675">
      <c r="BB40675" s="122"/>
      <c r="BC40675" s="141"/>
    </row>
    <row r="40676">
      <c r="BB40676" s="122"/>
      <c r="BC40676" s="141"/>
    </row>
    <row r="40677">
      <c r="BB40677" s="122"/>
      <c r="BC40677" s="141"/>
    </row>
    <row r="40678">
      <c r="BB40678" s="122"/>
      <c r="BC40678" s="141"/>
    </row>
    <row r="40679">
      <c r="BB40679" s="122"/>
      <c r="BC40679" s="141"/>
    </row>
    <row r="40680">
      <c r="BB40680" s="122"/>
      <c r="BC40680" s="141"/>
    </row>
    <row r="40681">
      <c r="BB40681" s="122"/>
      <c r="BC40681" s="141"/>
    </row>
    <row r="40682">
      <c r="BB40682" s="122"/>
      <c r="BC40682" s="141"/>
    </row>
    <row r="40683">
      <c r="BB40683" s="122"/>
      <c r="BC40683" s="141"/>
    </row>
    <row r="40684">
      <c r="BB40684" s="122"/>
      <c r="BC40684" s="141"/>
    </row>
    <row r="40685">
      <c r="BB40685" s="122"/>
      <c r="BC40685" s="141"/>
    </row>
    <row r="40686">
      <c r="BB40686" s="122"/>
      <c r="BC40686" s="141"/>
    </row>
    <row r="40687">
      <c r="BB40687" s="122"/>
      <c r="BC40687" s="141"/>
    </row>
    <row r="40688">
      <c r="BB40688" s="122"/>
      <c r="BC40688" s="141"/>
    </row>
    <row r="40689">
      <c r="BB40689" s="122"/>
      <c r="BC40689" s="141"/>
    </row>
    <row r="40690">
      <c r="BB40690" s="122"/>
      <c r="BC40690" s="141"/>
    </row>
    <row r="40691">
      <c r="BB40691" s="122"/>
      <c r="BC40691" s="141"/>
    </row>
    <row r="40692">
      <c r="BB40692" s="122"/>
      <c r="BC40692" s="141"/>
    </row>
    <row r="40693">
      <c r="BB40693" s="122"/>
      <c r="BC40693" s="141"/>
    </row>
    <row r="40694">
      <c r="BB40694" s="122"/>
      <c r="BC40694" s="141"/>
    </row>
    <row r="40695">
      <c r="BB40695" s="122"/>
      <c r="BC40695" s="141"/>
    </row>
    <row r="40696">
      <c r="BB40696" s="122"/>
      <c r="BC40696" s="141"/>
    </row>
    <row r="40697">
      <c r="BB40697" s="122"/>
      <c r="BC40697" s="141"/>
    </row>
    <row r="40698">
      <c r="BB40698" s="122"/>
      <c r="BC40698" s="141"/>
    </row>
    <row r="40699">
      <c r="BB40699" s="122"/>
      <c r="BC40699" s="141"/>
    </row>
    <row r="40700">
      <c r="BB40700" s="122"/>
      <c r="BC40700" s="141"/>
    </row>
    <row r="40701">
      <c r="BB40701" s="122"/>
      <c r="BC40701" s="141"/>
    </row>
    <row r="40702">
      <c r="BB40702" s="122"/>
      <c r="BC40702" s="141"/>
    </row>
    <row r="40703">
      <c r="BB40703" s="122"/>
      <c r="BC40703" s="141"/>
    </row>
    <row r="40704">
      <c r="BB40704" s="122"/>
      <c r="BC40704" s="141"/>
    </row>
    <row r="40705">
      <c r="BB40705" s="122"/>
      <c r="BC40705" s="141"/>
    </row>
    <row r="40706">
      <c r="BB40706" s="122"/>
      <c r="BC40706" s="141"/>
    </row>
    <row r="40707">
      <c r="BB40707" s="122"/>
      <c r="BC40707" s="141"/>
    </row>
    <row r="40708">
      <c r="BB40708" s="122"/>
      <c r="BC40708" s="141"/>
    </row>
    <row r="40709">
      <c r="BB40709" s="122"/>
      <c r="BC40709" s="141"/>
    </row>
    <row r="40710">
      <c r="BB40710" s="122"/>
      <c r="BC40710" s="141"/>
    </row>
    <row r="40711">
      <c r="BB40711" s="122"/>
      <c r="BC40711" s="141"/>
    </row>
    <row r="40712">
      <c r="BB40712" s="122"/>
      <c r="BC40712" s="141"/>
    </row>
    <row r="40713">
      <c r="BB40713" s="122"/>
      <c r="BC40713" s="141"/>
    </row>
    <row r="40714">
      <c r="BB40714" s="122"/>
      <c r="BC40714" s="141"/>
    </row>
    <row r="40715">
      <c r="BB40715" s="122"/>
      <c r="BC40715" s="141"/>
    </row>
    <row r="40716">
      <c r="BB40716" s="122"/>
      <c r="BC40716" s="141"/>
    </row>
    <row r="40717">
      <c r="BB40717" s="122"/>
      <c r="BC40717" s="141"/>
    </row>
    <row r="40718">
      <c r="BB40718" s="122"/>
      <c r="BC40718" s="141"/>
    </row>
    <row r="40719">
      <c r="BB40719" s="122"/>
      <c r="BC40719" s="141"/>
    </row>
    <row r="40720">
      <c r="BB40720" s="122"/>
      <c r="BC40720" s="141"/>
    </row>
    <row r="40721">
      <c r="BB40721" s="122"/>
      <c r="BC40721" s="141"/>
    </row>
    <row r="40722">
      <c r="BB40722" s="122"/>
      <c r="BC40722" s="141"/>
    </row>
    <row r="40723">
      <c r="BB40723" s="122"/>
      <c r="BC40723" s="141"/>
    </row>
    <row r="40724">
      <c r="BB40724" s="122"/>
      <c r="BC40724" s="141"/>
    </row>
    <row r="40725">
      <c r="BB40725" s="122"/>
      <c r="BC40725" s="141"/>
    </row>
    <row r="40726">
      <c r="BB40726" s="122"/>
      <c r="BC40726" s="141"/>
    </row>
    <row r="40727">
      <c r="BB40727" s="122"/>
      <c r="BC40727" s="141"/>
    </row>
    <row r="40728">
      <c r="BB40728" s="122"/>
      <c r="BC40728" s="141"/>
    </row>
    <row r="40729">
      <c r="BB40729" s="122"/>
      <c r="BC40729" s="141"/>
    </row>
    <row r="40730">
      <c r="BB40730" s="122"/>
      <c r="BC40730" s="141"/>
    </row>
    <row r="40731">
      <c r="BB40731" s="122"/>
      <c r="BC40731" s="141"/>
    </row>
    <row r="40732">
      <c r="BB40732" s="122"/>
      <c r="BC40732" s="141"/>
    </row>
    <row r="40733">
      <c r="BB40733" s="122"/>
      <c r="BC40733" s="141"/>
    </row>
    <row r="40734">
      <c r="BB40734" s="122"/>
      <c r="BC40734" s="141"/>
    </row>
    <row r="40735">
      <c r="BB40735" s="122"/>
      <c r="BC40735" s="141"/>
    </row>
    <row r="40736">
      <c r="BB40736" s="122"/>
      <c r="BC40736" s="141"/>
    </row>
    <row r="40737">
      <c r="BB40737" s="122"/>
      <c r="BC40737" s="141"/>
    </row>
    <row r="40738">
      <c r="BB40738" s="122"/>
      <c r="BC40738" s="141"/>
    </row>
    <row r="40739">
      <c r="BB40739" s="122"/>
      <c r="BC40739" s="141"/>
    </row>
    <row r="40740">
      <c r="BB40740" s="122"/>
      <c r="BC40740" s="141"/>
    </row>
    <row r="40741">
      <c r="BB40741" s="122"/>
      <c r="BC40741" s="141"/>
    </row>
    <row r="40742">
      <c r="BB40742" s="122"/>
      <c r="BC40742" s="141"/>
    </row>
    <row r="40743">
      <c r="BB40743" s="122"/>
      <c r="BC40743" s="141"/>
    </row>
    <row r="40744">
      <c r="BB40744" s="122"/>
      <c r="BC40744" s="141"/>
    </row>
    <row r="40745">
      <c r="BB40745" s="122"/>
      <c r="BC40745" s="141"/>
    </row>
    <row r="40746">
      <c r="BB40746" s="122"/>
      <c r="BC40746" s="141"/>
    </row>
    <row r="40747">
      <c r="BB40747" s="122"/>
      <c r="BC40747" s="141"/>
    </row>
    <row r="40748">
      <c r="BB40748" s="122"/>
      <c r="BC40748" s="141"/>
    </row>
    <row r="40749">
      <c r="BB40749" s="122"/>
      <c r="BC40749" s="141"/>
    </row>
    <row r="40750">
      <c r="BB40750" s="122"/>
      <c r="BC40750" s="141"/>
    </row>
    <row r="40751">
      <c r="BB40751" s="122"/>
      <c r="BC40751" s="141"/>
    </row>
    <row r="40752">
      <c r="BB40752" s="122"/>
      <c r="BC40752" s="141"/>
    </row>
    <row r="40753">
      <c r="BB40753" s="122"/>
      <c r="BC40753" s="141"/>
    </row>
    <row r="40754">
      <c r="BB40754" s="122"/>
      <c r="BC40754" s="141"/>
    </row>
    <row r="40755">
      <c r="BB40755" s="122"/>
      <c r="BC40755" s="141"/>
    </row>
    <row r="40756">
      <c r="BB40756" s="122"/>
      <c r="BC40756" s="141"/>
    </row>
    <row r="40757">
      <c r="BB40757" s="122"/>
      <c r="BC40757" s="141"/>
    </row>
    <row r="40758">
      <c r="BB40758" s="122"/>
      <c r="BC40758" s="141"/>
    </row>
    <row r="40759">
      <c r="BB40759" s="122"/>
      <c r="BC40759" s="141"/>
    </row>
    <row r="40760">
      <c r="BB40760" s="122"/>
      <c r="BC40760" s="141"/>
    </row>
    <row r="40761">
      <c r="BB40761" s="122"/>
      <c r="BC40761" s="141"/>
    </row>
    <row r="40762">
      <c r="BB40762" s="122"/>
      <c r="BC40762" s="141"/>
    </row>
    <row r="40763">
      <c r="BB40763" s="122"/>
      <c r="BC40763" s="141"/>
    </row>
    <row r="40764">
      <c r="BB40764" s="122"/>
      <c r="BC40764" s="141"/>
    </row>
    <row r="40765">
      <c r="BB40765" s="122"/>
      <c r="BC40765" s="141"/>
    </row>
    <row r="40766">
      <c r="BB40766" s="122"/>
      <c r="BC40766" s="141"/>
    </row>
    <row r="40767">
      <c r="BB40767" s="122"/>
      <c r="BC40767" s="141"/>
    </row>
    <row r="40768">
      <c r="BB40768" s="122"/>
      <c r="BC40768" s="141"/>
    </row>
    <row r="40769">
      <c r="BB40769" s="122"/>
      <c r="BC40769" s="141"/>
    </row>
    <row r="40770">
      <c r="BB40770" s="122"/>
      <c r="BC40770" s="141"/>
    </row>
    <row r="40771">
      <c r="BB40771" s="122"/>
      <c r="BC40771" s="141"/>
    </row>
    <row r="40772">
      <c r="BB40772" s="122"/>
      <c r="BC40772" s="141"/>
    </row>
    <row r="40773">
      <c r="BB40773" s="122"/>
      <c r="BC40773" s="141"/>
    </row>
    <row r="40774">
      <c r="BB40774" s="122"/>
      <c r="BC40774" s="141"/>
    </row>
    <row r="40775">
      <c r="BB40775" s="122"/>
      <c r="BC40775" s="141"/>
    </row>
    <row r="40776">
      <c r="BB40776" s="122"/>
      <c r="BC40776" s="141"/>
    </row>
    <row r="40777">
      <c r="BB40777" s="122"/>
      <c r="BC40777" s="141"/>
    </row>
    <row r="40778">
      <c r="BB40778" s="122"/>
      <c r="BC40778" s="141"/>
    </row>
    <row r="40779">
      <c r="BB40779" s="122"/>
      <c r="BC40779" s="141"/>
    </row>
    <row r="40780">
      <c r="BB40780" s="122"/>
      <c r="BC40780" s="141"/>
    </row>
    <row r="40781">
      <c r="BB40781" s="122"/>
      <c r="BC40781" s="141"/>
    </row>
    <row r="40782">
      <c r="BB40782" s="122"/>
      <c r="BC40782" s="141"/>
    </row>
    <row r="40783">
      <c r="BB40783" s="122"/>
      <c r="BC40783" s="141"/>
    </row>
    <row r="40784">
      <c r="BB40784" s="122"/>
      <c r="BC40784" s="141"/>
    </row>
    <row r="40785">
      <c r="BB40785" s="122"/>
      <c r="BC40785" s="141"/>
    </row>
    <row r="40786">
      <c r="BB40786" s="122"/>
      <c r="BC40786" s="141"/>
    </row>
    <row r="40787">
      <c r="BB40787" s="122"/>
      <c r="BC40787" s="141"/>
    </row>
    <row r="40788">
      <c r="BB40788" s="122"/>
      <c r="BC40788" s="141"/>
    </row>
    <row r="40789">
      <c r="BB40789" s="122"/>
      <c r="BC40789" s="141"/>
    </row>
    <row r="40790">
      <c r="BB40790" s="122"/>
      <c r="BC40790" s="141"/>
    </row>
    <row r="40791">
      <c r="BB40791" s="122"/>
      <c r="BC40791" s="141"/>
    </row>
    <row r="40792">
      <c r="BB40792" s="122"/>
      <c r="BC40792" s="141"/>
    </row>
    <row r="40793">
      <c r="BB40793" s="122"/>
      <c r="BC40793" s="141"/>
    </row>
    <row r="40794">
      <c r="BB40794" s="122"/>
      <c r="BC40794" s="141"/>
    </row>
    <row r="40795">
      <c r="BB40795" s="122"/>
      <c r="BC40795" s="141"/>
    </row>
    <row r="40796">
      <c r="BB40796" s="122"/>
      <c r="BC40796" s="141"/>
    </row>
    <row r="40797">
      <c r="BB40797" s="122"/>
      <c r="BC40797" s="141"/>
    </row>
    <row r="40798">
      <c r="BB40798" s="122"/>
      <c r="BC40798" s="141"/>
    </row>
    <row r="40799">
      <c r="BB40799" s="122"/>
      <c r="BC40799" s="141"/>
    </row>
    <row r="40800">
      <c r="BB40800" s="122"/>
      <c r="BC40800" s="141"/>
    </row>
    <row r="40801">
      <c r="BB40801" s="122"/>
      <c r="BC40801" s="141"/>
    </row>
    <row r="40802">
      <c r="BB40802" s="122"/>
      <c r="BC40802" s="141"/>
    </row>
    <row r="40803">
      <c r="BB40803" s="122"/>
      <c r="BC40803" s="141"/>
    </row>
    <row r="40804">
      <c r="BB40804" s="122"/>
      <c r="BC40804" s="141"/>
    </row>
    <row r="40805">
      <c r="BB40805" s="122"/>
      <c r="BC40805" s="141"/>
    </row>
    <row r="40806">
      <c r="BB40806" s="122"/>
      <c r="BC40806" s="141"/>
    </row>
    <row r="40807">
      <c r="BB40807" s="122"/>
      <c r="BC40807" s="141"/>
    </row>
    <row r="40808">
      <c r="BB40808" s="122"/>
      <c r="BC40808" s="141"/>
    </row>
    <row r="40809">
      <c r="BB40809" s="122"/>
      <c r="BC40809" s="141"/>
    </row>
    <row r="40810">
      <c r="BB40810" s="122"/>
      <c r="BC40810" s="141"/>
    </row>
    <row r="40811">
      <c r="BB40811" s="122"/>
      <c r="BC40811" s="141"/>
    </row>
    <row r="40812">
      <c r="BB40812" s="122"/>
      <c r="BC40812" s="141"/>
    </row>
    <row r="40813">
      <c r="BB40813" s="122"/>
      <c r="BC40813" s="141"/>
    </row>
    <row r="40814">
      <c r="BB40814" s="122"/>
      <c r="BC40814" s="141"/>
    </row>
    <row r="40815">
      <c r="BB40815" s="122"/>
      <c r="BC40815" s="141"/>
    </row>
    <row r="40816">
      <c r="BB40816" s="122"/>
      <c r="BC40816" s="141"/>
    </row>
    <row r="40817">
      <c r="BB40817" s="122"/>
      <c r="BC40817" s="141"/>
    </row>
    <row r="40818">
      <c r="BB40818" s="122"/>
      <c r="BC40818" s="141"/>
    </row>
    <row r="40819">
      <c r="BB40819" s="122"/>
      <c r="BC40819" s="141"/>
    </row>
    <row r="40820">
      <c r="BB40820" s="122"/>
      <c r="BC40820" s="141"/>
    </row>
    <row r="40821">
      <c r="BB40821" s="122"/>
      <c r="BC40821" s="141"/>
    </row>
    <row r="40822">
      <c r="BB40822" s="122"/>
      <c r="BC40822" s="141"/>
    </row>
    <row r="40823">
      <c r="BB40823" s="122"/>
      <c r="BC40823" s="141"/>
    </row>
    <row r="40824">
      <c r="BB40824" s="122"/>
      <c r="BC40824" s="141"/>
    </row>
    <row r="40825">
      <c r="BB40825" s="122"/>
      <c r="BC40825" s="141"/>
    </row>
    <row r="40826">
      <c r="BB40826" s="122"/>
      <c r="BC40826" s="141"/>
    </row>
    <row r="40827">
      <c r="BB40827" s="122"/>
      <c r="BC40827" s="141"/>
    </row>
    <row r="40828">
      <c r="BB40828" s="122"/>
      <c r="BC40828" s="141"/>
    </row>
    <row r="40829">
      <c r="BB40829" s="122"/>
      <c r="BC40829" s="141"/>
    </row>
    <row r="40830">
      <c r="BB40830" s="122"/>
      <c r="BC40830" s="141"/>
    </row>
    <row r="40831">
      <c r="BB40831" s="122"/>
      <c r="BC40831" s="141"/>
    </row>
    <row r="40832">
      <c r="BB40832" s="122"/>
      <c r="BC40832" s="141"/>
    </row>
    <row r="40833">
      <c r="BB40833" s="122"/>
      <c r="BC40833" s="141"/>
    </row>
    <row r="40834">
      <c r="BB40834" s="122"/>
      <c r="BC40834" s="141"/>
    </row>
    <row r="40835">
      <c r="BB40835" s="122"/>
      <c r="BC40835" s="141"/>
    </row>
    <row r="40836">
      <c r="BB40836" s="122"/>
      <c r="BC40836" s="141"/>
    </row>
    <row r="40837">
      <c r="BB40837" s="122"/>
      <c r="BC40837" s="141"/>
    </row>
    <row r="40838">
      <c r="BB40838" s="122"/>
      <c r="BC40838" s="141"/>
    </row>
    <row r="40839">
      <c r="BB40839" s="122"/>
      <c r="BC40839" s="141"/>
    </row>
    <row r="40840">
      <c r="BB40840" s="122"/>
      <c r="BC40840" s="141"/>
    </row>
    <row r="40841">
      <c r="BB40841" s="122"/>
      <c r="BC40841" s="141"/>
    </row>
    <row r="40842">
      <c r="BB40842" s="122"/>
      <c r="BC40842" s="141"/>
    </row>
    <row r="40843">
      <c r="BB40843" s="122"/>
      <c r="BC40843" s="141"/>
    </row>
    <row r="40844">
      <c r="BB40844" s="122"/>
      <c r="BC40844" s="141"/>
    </row>
    <row r="40845">
      <c r="BB40845" s="122"/>
      <c r="BC40845" s="141"/>
    </row>
    <row r="40846">
      <c r="BB40846" s="122"/>
      <c r="BC40846" s="141"/>
    </row>
    <row r="40847">
      <c r="BB40847" s="122"/>
      <c r="BC40847" s="141"/>
    </row>
    <row r="40848">
      <c r="BB40848" s="122"/>
      <c r="BC40848" s="141"/>
    </row>
    <row r="40849">
      <c r="BB40849" s="122"/>
      <c r="BC40849" s="141"/>
    </row>
    <row r="40850">
      <c r="BB40850" s="122"/>
      <c r="BC40850" s="141"/>
    </row>
    <row r="40851">
      <c r="BB40851" s="122"/>
      <c r="BC40851" s="141"/>
    </row>
    <row r="40852">
      <c r="BB40852" s="122"/>
      <c r="BC40852" s="141"/>
    </row>
    <row r="40853">
      <c r="BB40853" s="122"/>
      <c r="BC40853" s="141"/>
    </row>
    <row r="40854">
      <c r="BB40854" s="122"/>
      <c r="BC40854" s="141"/>
    </row>
    <row r="40855">
      <c r="BB40855" s="122"/>
      <c r="BC40855" s="141"/>
    </row>
    <row r="40856">
      <c r="BB40856" s="122"/>
      <c r="BC40856" s="141"/>
    </row>
    <row r="40857">
      <c r="BB40857" s="122"/>
      <c r="BC40857" s="141"/>
    </row>
    <row r="40858">
      <c r="BB40858" s="122"/>
      <c r="BC40858" s="141"/>
    </row>
    <row r="40859">
      <c r="BB40859" s="122"/>
      <c r="BC40859" s="141"/>
    </row>
    <row r="40860">
      <c r="BB40860" s="122"/>
      <c r="BC40860" s="141"/>
    </row>
    <row r="40861">
      <c r="BB40861" s="122"/>
      <c r="BC40861" s="141"/>
    </row>
    <row r="40862">
      <c r="BB40862" s="122"/>
      <c r="BC40862" s="141"/>
    </row>
    <row r="40863">
      <c r="BB40863" s="122"/>
      <c r="BC40863" s="141"/>
    </row>
    <row r="40864">
      <c r="BB40864" s="122"/>
      <c r="BC40864" s="141"/>
    </row>
    <row r="40865">
      <c r="BB40865" s="122"/>
      <c r="BC40865" s="141"/>
    </row>
    <row r="40866">
      <c r="BB40866" s="122"/>
      <c r="BC40866" s="141"/>
    </row>
    <row r="40867">
      <c r="BB40867" s="122"/>
      <c r="BC40867" s="141"/>
    </row>
    <row r="40868">
      <c r="BB40868" s="122"/>
      <c r="BC40868" s="141"/>
    </row>
    <row r="40869">
      <c r="BB40869" s="122"/>
      <c r="BC40869" s="141"/>
    </row>
    <row r="40870">
      <c r="BB40870" s="122"/>
      <c r="BC40870" s="141"/>
    </row>
    <row r="40871">
      <c r="BB40871" s="122"/>
      <c r="BC40871" s="141"/>
    </row>
    <row r="40872">
      <c r="BB40872" s="122"/>
      <c r="BC40872" s="141"/>
    </row>
    <row r="40873">
      <c r="BB40873" s="122"/>
      <c r="BC40873" s="141"/>
    </row>
    <row r="40874">
      <c r="BB40874" s="122"/>
      <c r="BC40874" s="141"/>
    </row>
    <row r="40875">
      <c r="BB40875" s="122"/>
      <c r="BC40875" s="141"/>
    </row>
    <row r="40876">
      <c r="BB40876" s="122"/>
      <c r="BC40876" s="141"/>
    </row>
    <row r="40877">
      <c r="BB40877" s="122"/>
      <c r="BC40877" s="141"/>
    </row>
    <row r="40878">
      <c r="BB40878" s="122"/>
      <c r="BC40878" s="141"/>
    </row>
    <row r="40879">
      <c r="BB40879" s="122"/>
      <c r="BC40879" s="141"/>
    </row>
    <row r="40880">
      <c r="BB40880" s="122"/>
      <c r="BC40880" s="141"/>
    </row>
    <row r="40881">
      <c r="BB40881" s="122"/>
      <c r="BC40881" s="141"/>
    </row>
    <row r="40882">
      <c r="BB40882" s="122"/>
      <c r="BC40882" s="141"/>
    </row>
    <row r="40883">
      <c r="BB40883" s="122"/>
      <c r="BC40883" s="141"/>
    </row>
    <row r="40884">
      <c r="BB40884" s="122"/>
      <c r="BC40884" s="141"/>
    </row>
    <row r="40885">
      <c r="BB40885" s="122"/>
      <c r="BC40885" s="141"/>
    </row>
    <row r="40886">
      <c r="BB40886" s="122"/>
      <c r="BC40886" s="141"/>
    </row>
    <row r="40887">
      <c r="BB40887" s="122"/>
      <c r="BC40887" s="141"/>
    </row>
    <row r="40888">
      <c r="BB40888" s="122"/>
      <c r="BC40888" s="141"/>
    </row>
    <row r="40889">
      <c r="BB40889" s="122"/>
      <c r="BC40889" s="141"/>
    </row>
    <row r="40890">
      <c r="BB40890" s="122"/>
      <c r="BC40890" s="141"/>
    </row>
    <row r="40891">
      <c r="BB40891" s="122"/>
      <c r="BC40891" s="141"/>
    </row>
    <row r="40892">
      <c r="BB40892" s="122"/>
      <c r="BC40892" s="141"/>
    </row>
    <row r="40893">
      <c r="BB40893" s="122"/>
      <c r="BC40893" s="141"/>
    </row>
    <row r="40894">
      <c r="BB40894" s="122"/>
      <c r="BC40894" s="141"/>
    </row>
    <row r="40895">
      <c r="BB40895" s="122"/>
      <c r="BC40895" s="141"/>
    </row>
    <row r="40896">
      <c r="BB40896" s="122"/>
      <c r="BC40896" s="141"/>
    </row>
    <row r="40897">
      <c r="BB40897" s="122"/>
      <c r="BC40897" s="141"/>
    </row>
    <row r="40898">
      <c r="BB40898" s="122"/>
      <c r="BC40898" s="141"/>
    </row>
    <row r="40899">
      <c r="BB40899" s="122"/>
      <c r="BC40899" s="141"/>
    </row>
    <row r="40900">
      <c r="BB40900" s="122"/>
      <c r="BC40900" s="141"/>
    </row>
    <row r="40901">
      <c r="BB40901" s="122"/>
      <c r="BC40901" s="141"/>
    </row>
    <row r="40902">
      <c r="BB40902" s="122"/>
      <c r="BC40902" s="141"/>
    </row>
    <row r="40903">
      <c r="BB40903" s="122"/>
      <c r="BC40903" s="141"/>
    </row>
    <row r="40904">
      <c r="BB40904" s="122"/>
      <c r="BC40904" s="141"/>
    </row>
    <row r="40905">
      <c r="BB40905" s="122"/>
      <c r="BC40905" s="141"/>
    </row>
    <row r="40906">
      <c r="BB40906" s="122"/>
      <c r="BC40906" s="141"/>
    </row>
    <row r="40907">
      <c r="BB40907" s="122"/>
      <c r="BC40907" s="141"/>
    </row>
    <row r="40908">
      <c r="BB40908" s="122"/>
      <c r="BC40908" s="141"/>
    </row>
    <row r="40909">
      <c r="BB40909" s="122"/>
      <c r="BC40909" s="141"/>
    </row>
    <row r="40910">
      <c r="BB40910" s="122"/>
      <c r="BC40910" s="141"/>
    </row>
    <row r="40911">
      <c r="BB40911" s="122"/>
      <c r="BC40911" s="141"/>
    </row>
    <row r="40912">
      <c r="BB40912" s="122"/>
      <c r="BC40912" s="141"/>
    </row>
    <row r="40913">
      <c r="BB40913" s="122"/>
      <c r="BC40913" s="141"/>
    </row>
    <row r="40914">
      <c r="BB40914" s="122"/>
      <c r="BC40914" s="141"/>
    </row>
    <row r="40915">
      <c r="BB40915" s="122"/>
      <c r="BC40915" s="141"/>
    </row>
    <row r="40916">
      <c r="BB40916" s="122"/>
      <c r="BC40916" s="141"/>
    </row>
    <row r="40917">
      <c r="BB40917" s="122"/>
      <c r="BC40917" s="141"/>
    </row>
    <row r="40918">
      <c r="BB40918" s="122"/>
      <c r="BC40918" s="141"/>
    </row>
    <row r="40919">
      <c r="BB40919" s="122"/>
      <c r="BC40919" s="141"/>
    </row>
    <row r="40920">
      <c r="BB40920" s="122"/>
      <c r="BC40920" s="141"/>
    </row>
    <row r="40921">
      <c r="BB40921" s="122"/>
      <c r="BC40921" s="141"/>
    </row>
    <row r="40922">
      <c r="BB40922" s="122"/>
      <c r="BC40922" s="141"/>
    </row>
    <row r="40923">
      <c r="BB40923" s="122"/>
      <c r="BC40923" s="141"/>
    </row>
    <row r="40924">
      <c r="BB40924" s="122"/>
      <c r="BC40924" s="141"/>
    </row>
    <row r="40925">
      <c r="BB40925" s="122"/>
      <c r="BC40925" s="141"/>
    </row>
    <row r="40926">
      <c r="BB40926" s="122"/>
      <c r="BC40926" s="141"/>
    </row>
    <row r="40927">
      <c r="BB40927" s="122"/>
      <c r="BC40927" s="141"/>
    </row>
    <row r="40928">
      <c r="BB40928" s="122"/>
      <c r="BC40928" s="141"/>
    </row>
    <row r="40929">
      <c r="BB40929" s="122"/>
      <c r="BC40929" s="141"/>
    </row>
    <row r="40930">
      <c r="BB40930" s="122"/>
      <c r="BC40930" s="141"/>
    </row>
    <row r="40931">
      <c r="BB40931" s="122"/>
      <c r="BC40931" s="141"/>
    </row>
    <row r="40932">
      <c r="BB40932" s="122"/>
      <c r="BC40932" s="141"/>
    </row>
    <row r="40933">
      <c r="BB40933" s="122"/>
      <c r="BC40933" s="141"/>
    </row>
    <row r="40934">
      <c r="BB40934" s="122"/>
      <c r="BC40934" s="141"/>
    </row>
    <row r="40935">
      <c r="BB40935" s="122"/>
      <c r="BC40935" s="141"/>
    </row>
    <row r="40936">
      <c r="BB40936" s="122"/>
      <c r="BC40936" s="141"/>
    </row>
    <row r="40937">
      <c r="BB40937" s="122"/>
      <c r="BC40937" s="141"/>
    </row>
    <row r="40938">
      <c r="BB40938" s="122"/>
      <c r="BC40938" s="141"/>
    </row>
    <row r="40939">
      <c r="BB40939" s="122"/>
      <c r="BC40939" s="141"/>
    </row>
    <row r="40940">
      <c r="BB40940" s="122"/>
      <c r="BC40940" s="141"/>
    </row>
    <row r="40941">
      <c r="BB40941" s="122"/>
      <c r="BC40941" s="141"/>
    </row>
    <row r="40942">
      <c r="BB40942" s="122"/>
      <c r="BC40942" s="141"/>
    </row>
    <row r="40943">
      <c r="BB40943" s="122"/>
      <c r="BC40943" s="141"/>
    </row>
    <row r="40944">
      <c r="BB40944" s="122"/>
      <c r="BC40944" s="141"/>
    </row>
    <row r="40945">
      <c r="BB40945" s="122"/>
      <c r="BC40945" s="141"/>
    </row>
    <row r="40946">
      <c r="BB40946" s="122"/>
      <c r="BC40946" s="141"/>
    </row>
    <row r="40947">
      <c r="BB40947" s="122"/>
      <c r="BC40947" s="141"/>
    </row>
    <row r="40948">
      <c r="BB40948" s="122"/>
      <c r="BC40948" s="141"/>
    </row>
    <row r="40949">
      <c r="BB40949" s="122"/>
      <c r="BC40949" s="141"/>
    </row>
    <row r="40950">
      <c r="BB40950" s="122"/>
      <c r="BC40950" s="141"/>
    </row>
    <row r="40951">
      <c r="BB40951" s="122"/>
      <c r="BC40951" s="141"/>
    </row>
    <row r="40952">
      <c r="BB40952" s="122"/>
      <c r="BC40952" s="141"/>
    </row>
    <row r="40953">
      <c r="BB40953" s="122"/>
      <c r="BC40953" s="141"/>
    </row>
    <row r="40954">
      <c r="BB40954" s="122"/>
      <c r="BC40954" s="141"/>
    </row>
    <row r="40955">
      <c r="BB40955" s="122"/>
      <c r="BC40955" s="141"/>
    </row>
    <row r="40956">
      <c r="BB40956" s="122"/>
      <c r="BC40956" s="141"/>
    </row>
    <row r="40957">
      <c r="BB40957" s="122"/>
      <c r="BC40957" s="141"/>
    </row>
    <row r="40958">
      <c r="BB40958" s="122"/>
      <c r="BC40958" s="141"/>
    </row>
    <row r="40959">
      <c r="BB40959" s="122"/>
      <c r="BC40959" s="141"/>
    </row>
    <row r="40960">
      <c r="BB40960" s="122"/>
      <c r="BC40960" s="141"/>
    </row>
    <row r="40961">
      <c r="BB40961" s="122"/>
      <c r="BC40961" s="141"/>
    </row>
    <row r="40962">
      <c r="BB40962" s="122"/>
      <c r="BC40962" s="141"/>
    </row>
    <row r="40963">
      <c r="BB40963" s="122"/>
      <c r="BC40963" s="141"/>
    </row>
    <row r="40964">
      <c r="BB40964" s="122"/>
      <c r="BC40964" s="141"/>
    </row>
    <row r="40965">
      <c r="BB40965" s="122"/>
      <c r="BC40965" s="141"/>
    </row>
    <row r="40966">
      <c r="BB40966" s="122"/>
      <c r="BC40966" s="141"/>
    </row>
    <row r="40967">
      <c r="BB40967" s="122"/>
      <c r="BC40967" s="141"/>
    </row>
    <row r="40968">
      <c r="BB40968" s="122"/>
      <c r="BC40968" s="141"/>
    </row>
    <row r="40969">
      <c r="BB40969" s="122"/>
      <c r="BC40969" s="141"/>
    </row>
    <row r="40970">
      <c r="BB40970" s="122"/>
      <c r="BC40970" s="141"/>
    </row>
    <row r="40971">
      <c r="BB40971" s="122"/>
      <c r="BC40971" s="141"/>
    </row>
    <row r="40972">
      <c r="BB40972" s="122"/>
      <c r="BC40972" s="141"/>
    </row>
    <row r="40973">
      <c r="BB40973" s="122"/>
      <c r="BC40973" s="141"/>
    </row>
    <row r="40974">
      <c r="BB40974" s="122"/>
      <c r="BC40974" s="141"/>
    </row>
    <row r="40975">
      <c r="BB40975" s="122"/>
      <c r="BC40975" s="141"/>
    </row>
    <row r="40976">
      <c r="BB40976" s="122"/>
      <c r="BC40976" s="141"/>
    </row>
    <row r="40977">
      <c r="BB40977" s="122"/>
      <c r="BC40977" s="141"/>
    </row>
    <row r="40978">
      <c r="BB40978" s="122"/>
      <c r="BC40978" s="141"/>
    </row>
    <row r="40979">
      <c r="BB40979" s="122"/>
      <c r="BC40979" s="141"/>
    </row>
    <row r="40980">
      <c r="BB40980" s="122"/>
      <c r="BC40980" s="141"/>
    </row>
    <row r="40981">
      <c r="BB40981" s="122"/>
      <c r="BC40981" s="141"/>
    </row>
    <row r="40982">
      <c r="BB40982" s="122"/>
      <c r="BC40982" s="141"/>
    </row>
    <row r="40983">
      <c r="BB40983" s="122"/>
      <c r="BC40983" s="141"/>
    </row>
    <row r="40984">
      <c r="BB40984" s="122"/>
      <c r="BC40984" s="141"/>
    </row>
    <row r="40985">
      <c r="BB40985" s="122"/>
      <c r="BC40985" s="141"/>
    </row>
    <row r="40986">
      <c r="BB40986" s="122"/>
      <c r="BC40986" s="141"/>
    </row>
    <row r="40987">
      <c r="BB40987" s="122"/>
      <c r="BC40987" s="141"/>
    </row>
    <row r="40988">
      <c r="BB40988" s="122"/>
      <c r="BC40988" s="141"/>
    </row>
    <row r="40989">
      <c r="BB40989" s="122"/>
      <c r="BC40989" s="141"/>
    </row>
    <row r="40990">
      <c r="BB40990" s="122"/>
      <c r="BC40990" s="141"/>
    </row>
    <row r="40991">
      <c r="BB40991" s="122"/>
      <c r="BC40991" s="141"/>
    </row>
    <row r="40992">
      <c r="BB40992" s="122"/>
      <c r="BC40992" s="141"/>
    </row>
    <row r="40993">
      <c r="BB40993" s="122"/>
      <c r="BC40993" s="141"/>
    </row>
    <row r="40994">
      <c r="BB40994" s="122"/>
      <c r="BC40994" s="141"/>
    </row>
    <row r="40995">
      <c r="BB40995" s="122"/>
      <c r="BC40995" s="141"/>
    </row>
    <row r="40996">
      <c r="BB40996" s="122"/>
      <c r="BC40996" s="141"/>
    </row>
    <row r="40997">
      <c r="BB40997" s="122"/>
      <c r="BC40997" s="141"/>
    </row>
    <row r="40998">
      <c r="BB40998" s="122"/>
      <c r="BC40998" s="141"/>
    </row>
    <row r="40999">
      <c r="BB40999" s="122"/>
      <c r="BC40999" s="141"/>
    </row>
    <row r="41000">
      <c r="BB41000" s="122"/>
      <c r="BC41000" s="141"/>
    </row>
    <row r="41001">
      <c r="BB41001" s="122"/>
      <c r="BC41001" s="141"/>
    </row>
    <row r="41002">
      <c r="BB41002" s="122"/>
      <c r="BC41002" s="141"/>
    </row>
    <row r="41003">
      <c r="BB41003" s="122"/>
      <c r="BC41003" s="141"/>
    </row>
    <row r="41004">
      <c r="BB41004" s="122"/>
      <c r="BC41004" s="141"/>
    </row>
    <row r="41005">
      <c r="BB41005" s="122"/>
      <c r="BC41005" s="141"/>
    </row>
    <row r="41006">
      <c r="BB41006" s="122"/>
      <c r="BC41006" s="141"/>
    </row>
    <row r="41007">
      <c r="BB41007" s="122"/>
      <c r="BC41007" s="141"/>
    </row>
    <row r="41008">
      <c r="BB41008" s="122"/>
      <c r="BC41008" s="141"/>
    </row>
    <row r="41009">
      <c r="BB41009" s="122"/>
      <c r="BC41009" s="141"/>
    </row>
    <row r="41010">
      <c r="BB41010" s="122"/>
      <c r="BC41010" s="141"/>
    </row>
    <row r="41011">
      <c r="BB41011" s="122"/>
      <c r="BC41011" s="141"/>
    </row>
    <row r="41012">
      <c r="BB41012" s="122"/>
      <c r="BC41012" s="141"/>
    </row>
    <row r="41013">
      <c r="BB41013" s="122"/>
      <c r="BC41013" s="141"/>
    </row>
    <row r="41014">
      <c r="BB41014" s="122"/>
      <c r="BC41014" s="141"/>
    </row>
    <row r="41015">
      <c r="BB41015" s="122"/>
      <c r="BC41015" s="141"/>
    </row>
    <row r="41016">
      <c r="BB41016" s="122"/>
      <c r="BC41016" s="141"/>
    </row>
    <row r="41017">
      <c r="BB41017" s="122"/>
      <c r="BC41017" s="141"/>
    </row>
    <row r="41018">
      <c r="BB41018" s="122"/>
      <c r="BC41018" s="141"/>
    </row>
    <row r="41019">
      <c r="BB41019" s="122"/>
      <c r="BC41019" s="141"/>
    </row>
    <row r="41020">
      <c r="BB41020" s="122"/>
      <c r="BC41020" s="141"/>
    </row>
    <row r="41021">
      <c r="BB41021" s="122"/>
      <c r="BC41021" s="141"/>
    </row>
    <row r="41022">
      <c r="BB41022" s="122"/>
      <c r="BC41022" s="141"/>
    </row>
    <row r="41023">
      <c r="BB41023" s="122"/>
      <c r="BC41023" s="141"/>
    </row>
    <row r="41024">
      <c r="BB41024" s="122"/>
      <c r="BC41024" s="141"/>
    </row>
    <row r="41025">
      <c r="BB41025" s="122"/>
      <c r="BC41025" s="141"/>
    </row>
    <row r="41026">
      <c r="BB41026" s="122"/>
      <c r="BC41026" s="141"/>
    </row>
    <row r="41027">
      <c r="BB41027" s="122"/>
      <c r="BC41027" s="141"/>
    </row>
    <row r="41028">
      <c r="BB41028" s="122"/>
      <c r="BC41028" s="141"/>
    </row>
    <row r="41029">
      <c r="BB41029" s="122"/>
      <c r="BC41029" s="141"/>
    </row>
    <row r="41030">
      <c r="BB41030" s="122"/>
      <c r="BC41030" s="141"/>
    </row>
    <row r="41031">
      <c r="BB41031" s="122"/>
      <c r="BC41031" s="141"/>
    </row>
    <row r="41032">
      <c r="BB41032" s="122"/>
      <c r="BC41032" s="141"/>
    </row>
    <row r="41033">
      <c r="BB41033" s="122"/>
      <c r="BC41033" s="141"/>
    </row>
    <row r="41034">
      <c r="BB41034" s="122"/>
      <c r="BC41034" s="141"/>
    </row>
    <row r="41035">
      <c r="BB41035" s="122"/>
      <c r="BC41035" s="141"/>
    </row>
    <row r="41036">
      <c r="BB41036" s="122"/>
      <c r="BC41036" s="141"/>
    </row>
    <row r="41037">
      <c r="BB41037" s="122"/>
      <c r="BC41037" s="141"/>
    </row>
    <row r="41038">
      <c r="BB41038" s="122"/>
      <c r="BC41038" s="141"/>
    </row>
    <row r="41039">
      <c r="BB41039" s="122"/>
      <c r="BC41039" s="141"/>
    </row>
    <row r="41040">
      <c r="BB41040" s="122"/>
      <c r="BC41040" s="141"/>
    </row>
    <row r="41041">
      <c r="BB41041" s="122"/>
      <c r="BC41041" s="141"/>
    </row>
    <row r="41042">
      <c r="BB41042" s="122"/>
      <c r="BC41042" s="141"/>
    </row>
    <row r="41043">
      <c r="BB41043" s="122"/>
      <c r="BC41043" s="141"/>
    </row>
    <row r="41044">
      <c r="BB41044" s="122"/>
      <c r="BC41044" s="141"/>
    </row>
    <row r="41045">
      <c r="BB41045" s="122"/>
      <c r="BC41045" s="141"/>
    </row>
    <row r="41046">
      <c r="BB41046" s="122"/>
      <c r="BC41046" s="141"/>
    </row>
    <row r="41047">
      <c r="BB41047" s="122"/>
      <c r="BC41047" s="141"/>
    </row>
    <row r="41048">
      <c r="BB41048" s="122"/>
      <c r="BC41048" s="141"/>
    </row>
    <row r="41049">
      <c r="BB41049" s="122"/>
      <c r="BC41049" s="141"/>
    </row>
    <row r="41050">
      <c r="BB41050" s="122"/>
      <c r="BC41050" s="141"/>
    </row>
    <row r="41051">
      <c r="BB41051" s="122"/>
      <c r="BC41051" s="141"/>
    </row>
    <row r="41052">
      <c r="BB41052" s="122"/>
      <c r="BC41052" s="141"/>
    </row>
    <row r="41053">
      <c r="BB41053" s="122"/>
      <c r="BC41053" s="141"/>
    </row>
    <row r="41054">
      <c r="BB41054" s="122"/>
      <c r="BC41054" s="141"/>
    </row>
    <row r="41055">
      <c r="BB41055" s="122"/>
      <c r="BC41055" s="141"/>
    </row>
    <row r="41056">
      <c r="BB41056" s="122"/>
      <c r="BC41056" s="141"/>
    </row>
    <row r="41057">
      <c r="BB41057" s="122"/>
      <c r="BC41057" s="141"/>
    </row>
    <row r="41058">
      <c r="BB41058" s="122"/>
      <c r="BC41058" s="141"/>
    </row>
    <row r="41059">
      <c r="BB41059" s="122"/>
      <c r="BC41059" s="141"/>
    </row>
    <row r="41060">
      <c r="BB41060" s="122"/>
      <c r="BC41060" s="141"/>
    </row>
    <row r="41061">
      <c r="BB41061" s="122"/>
      <c r="BC41061" s="141"/>
    </row>
    <row r="41062">
      <c r="BB41062" s="122"/>
      <c r="BC41062" s="141"/>
    </row>
    <row r="41063">
      <c r="BB41063" s="122"/>
      <c r="BC41063" s="141"/>
    </row>
    <row r="41064">
      <c r="BB41064" s="122"/>
      <c r="BC41064" s="141"/>
    </row>
    <row r="41065">
      <c r="BB41065" s="122"/>
      <c r="BC41065" s="141"/>
    </row>
    <row r="41066">
      <c r="BB41066" s="122"/>
      <c r="BC41066" s="141"/>
    </row>
    <row r="41067">
      <c r="BB41067" s="122"/>
      <c r="BC41067" s="141"/>
    </row>
    <row r="41068">
      <c r="BB41068" s="122"/>
      <c r="BC41068" s="141"/>
    </row>
    <row r="41069">
      <c r="BB41069" s="122"/>
      <c r="BC41069" s="141"/>
    </row>
    <row r="41070">
      <c r="BB41070" s="122"/>
      <c r="BC41070" s="141"/>
    </row>
    <row r="41071">
      <c r="BB41071" s="122"/>
      <c r="BC41071" s="141"/>
    </row>
    <row r="41072">
      <c r="BB41072" s="122"/>
      <c r="BC41072" s="141"/>
    </row>
    <row r="41073">
      <c r="BB41073" s="122"/>
      <c r="BC41073" s="141"/>
    </row>
    <row r="41074">
      <c r="BB41074" s="122"/>
      <c r="BC41074" s="141"/>
    </row>
    <row r="41075">
      <c r="BB41075" s="122"/>
      <c r="BC41075" s="141"/>
    </row>
    <row r="41076">
      <c r="BB41076" s="122"/>
      <c r="BC41076" s="141"/>
    </row>
    <row r="41077">
      <c r="BB41077" s="122"/>
      <c r="BC41077" s="141"/>
    </row>
    <row r="41078">
      <c r="BB41078" s="122"/>
      <c r="BC41078" s="141"/>
    </row>
    <row r="41079">
      <c r="BB41079" s="122"/>
      <c r="BC41079" s="141"/>
    </row>
    <row r="41080">
      <c r="BB41080" s="122"/>
      <c r="BC41080" s="141"/>
    </row>
    <row r="41081">
      <c r="BB41081" s="122"/>
      <c r="BC41081" s="141"/>
    </row>
    <row r="41082">
      <c r="BB41082" s="122"/>
      <c r="BC41082" s="141"/>
    </row>
    <row r="41083">
      <c r="BB41083" s="122"/>
      <c r="BC41083" s="141"/>
    </row>
    <row r="41084">
      <c r="BB41084" s="122"/>
      <c r="BC41084" s="141"/>
    </row>
    <row r="41085">
      <c r="BB41085" s="122"/>
      <c r="BC41085" s="141"/>
    </row>
    <row r="41086">
      <c r="BB41086" s="122"/>
      <c r="BC41086" s="141"/>
    </row>
    <row r="41087">
      <c r="BB41087" s="122"/>
      <c r="BC41087" s="141"/>
    </row>
    <row r="41088">
      <c r="BB41088" s="122"/>
      <c r="BC41088" s="141"/>
    </row>
    <row r="41089">
      <c r="BB41089" s="122"/>
      <c r="BC41089" s="141"/>
    </row>
    <row r="41090">
      <c r="BB41090" s="122"/>
      <c r="BC41090" s="141"/>
    </row>
    <row r="41091">
      <c r="BB41091" s="122"/>
      <c r="BC41091" s="141"/>
    </row>
    <row r="41092">
      <c r="BB41092" s="122"/>
      <c r="BC41092" s="141"/>
    </row>
    <row r="41093">
      <c r="BB41093" s="122"/>
      <c r="BC41093" s="141"/>
    </row>
    <row r="41094">
      <c r="BB41094" s="122"/>
      <c r="BC41094" s="141"/>
    </row>
    <row r="41095">
      <c r="BB41095" s="122"/>
      <c r="BC41095" s="141"/>
    </row>
    <row r="41096">
      <c r="BB41096" s="122"/>
      <c r="BC41096" s="141"/>
    </row>
    <row r="41097">
      <c r="BB41097" s="122"/>
      <c r="BC41097" s="141"/>
    </row>
    <row r="41098">
      <c r="BB41098" s="122"/>
      <c r="BC41098" s="141"/>
    </row>
    <row r="41099">
      <c r="BB41099" s="122"/>
      <c r="BC41099" s="141"/>
    </row>
    <row r="41100">
      <c r="BB41100" s="122"/>
      <c r="BC41100" s="141"/>
    </row>
    <row r="41101">
      <c r="BB41101" s="122"/>
      <c r="BC41101" s="141"/>
    </row>
    <row r="41102">
      <c r="BB41102" s="122"/>
      <c r="BC41102" s="141"/>
    </row>
    <row r="41103">
      <c r="BB41103" s="122"/>
      <c r="BC41103" s="141"/>
    </row>
    <row r="41104">
      <c r="BB41104" s="122"/>
      <c r="BC41104" s="141"/>
    </row>
    <row r="41105">
      <c r="BB41105" s="122"/>
      <c r="BC41105" s="141"/>
    </row>
    <row r="41106">
      <c r="BB41106" s="122"/>
      <c r="BC41106" s="141"/>
    </row>
    <row r="41107">
      <c r="BB41107" s="122"/>
      <c r="BC41107" s="141"/>
    </row>
    <row r="41108">
      <c r="BB41108" s="122"/>
      <c r="BC41108" s="141"/>
    </row>
    <row r="41109">
      <c r="BB41109" s="122"/>
      <c r="BC41109" s="141"/>
    </row>
    <row r="41110">
      <c r="BB41110" s="122"/>
      <c r="BC41110" s="141"/>
    </row>
    <row r="41111">
      <c r="BB41111" s="122"/>
      <c r="BC41111" s="141"/>
    </row>
    <row r="41112">
      <c r="BB41112" s="122"/>
      <c r="BC41112" s="141"/>
    </row>
    <row r="41113">
      <c r="BB41113" s="122"/>
      <c r="BC41113" s="141"/>
    </row>
    <row r="41114">
      <c r="BB41114" s="122"/>
      <c r="BC41114" s="141"/>
    </row>
    <row r="41115">
      <c r="BB41115" s="122"/>
      <c r="BC41115" s="141"/>
    </row>
    <row r="41116">
      <c r="BB41116" s="122"/>
      <c r="BC41116" s="141"/>
    </row>
    <row r="41117">
      <c r="BB41117" s="122"/>
      <c r="BC41117" s="141"/>
    </row>
    <row r="41118">
      <c r="BB41118" s="122"/>
      <c r="BC41118" s="141"/>
    </row>
    <row r="41119">
      <c r="BB41119" s="122"/>
      <c r="BC41119" s="141"/>
    </row>
    <row r="41120">
      <c r="BB41120" s="122"/>
      <c r="BC41120" s="141"/>
    </row>
    <row r="41121">
      <c r="BB41121" s="122"/>
      <c r="BC41121" s="141"/>
    </row>
    <row r="41122">
      <c r="BB41122" s="122"/>
      <c r="BC41122" s="141"/>
    </row>
    <row r="41123">
      <c r="BB41123" s="122"/>
      <c r="BC41123" s="141"/>
    </row>
    <row r="41124">
      <c r="BB41124" s="122"/>
      <c r="BC41124" s="141"/>
    </row>
    <row r="41125">
      <c r="BB41125" s="122"/>
      <c r="BC41125" s="141"/>
    </row>
    <row r="41126">
      <c r="BB41126" s="122"/>
      <c r="BC41126" s="141"/>
    </row>
    <row r="41127">
      <c r="BB41127" s="122"/>
      <c r="BC41127" s="141"/>
    </row>
    <row r="41128">
      <c r="BB41128" s="122"/>
      <c r="BC41128" s="141"/>
    </row>
    <row r="41129">
      <c r="BB41129" s="122"/>
      <c r="BC41129" s="141"/>
    </row>
    <row r="41130">
      <c r="BB41130" s="122"/>
      <c r="BC41130" s="141"/>
    </row>
    <row r="41131">
      <c r="BB41131" s="122"/>
      <c r="BC41131" s="141"/>
    </row>
    <row r="41132">
      <c r="BB41132" s="122"/>
      <c r="BC41132" s="141"/>
    </row>
    <row r="41133">
      <c r="BB41133" s="122"/>
      <c r="BC41133" s="141"/>
    </row>
    <row r="41134">
      <c r="BB41134" s="122"/>
      <c r="BC41134" s="141"/>
    </row>
    <row r="41135">
      <c r="BB41135" s="122"/>
      <c r="BC41135" s="141"/>
    </row>
    <row r="41136">
      <c r="BB41136" s="122"/>
      <c r="BC41136" s="141"/>
    </row>
    <row r="41137">
      <c r="BB41137" s="122"/>
      <c r="BC41137" s="141"/>
    </row>
    <row r="41138">
      <c r="BB41138" s="122"/>
      <c r="BC41138" s="141"/>
    </row>
    <row r="41139">
      <c r="BB41139" s="122"/>
      <c r="BC41139" s="141"/>
    </row>
    <row r="41140">
      <c r="BB41140" s="122"/>
      <c r="BC41140" s="141"/>
    </row>
    <row r="41141">
      <c r="BB41141" s="122"/>
      <c r="BC41141" s="141"/>
    </row>
    <row r="41142">
      <c r="BB41142" s="122"/>
      <c r="BC41142" s="141"/>
    </row>
    <row r="41143">
      <c r="BB41143" s="122"/>
      <c r="BC41143" s="141"/>
    </row>
    <row r="41144">
      <c r="BB41144" s="122"/>
      <c r="BC41144" s="141"/>
    </row>
    <row r="41145">
      <c r="BB41145" s="122"/>
      <c r="BC41145" s="141"/>
    </row>
    <row r="41146">
      <c r="BB41146" s="122"/>
      <c r="BC41146" s="141"/>
    </row>
    <row r="41147">
      <c r="BB41147" s="122"/>
      <c r="BC41147" s="141"/>
    </row>
    <row r="41148">
      <c r="BB41148" s="122"/>
      <c r="BC41148" s="141"/>
    </row>
    <row r="41149">
      <c r="BB41149" s="122"/>
      <c r="BC41149" s="141"/>
    </row>
    <row r="41150">
      <c r="BB41150" s="122"/>
      <c r="BC41150" s="141"/>
    </row>
    <row r="41151">
      <c r="BB41151" s="122"/>
      <c r="BC41151" s="141"/>
    </row>
    <row r="41152">
      <c r="BB41152" s="122"/>
      <c r="BC41152" s="141"/>
    </row>
    <row r="41153">
      <c r="BB41153" s="122"/>
      <c r="BC41153" s="141"/>
    </row>
    <row r="41154">
      <c r="BB41154" s="122"/>
      <c r="BC41154" s="141"/>
    </row>
    <row r="41155">
      <c r="BB41155" s="122"/>
      <c r="BC41155" s="141"/>
    </row>
    <row r="41156">
      <c r="BB41156" s="122"/>
      <c r="BC41156" s="141"/>
    </row>
    <row r="41157">
      <c r="BB41157" s="122"/>
      <c r="BC41157" s="141"/>
    </row>
    <row r="41158">
      <c r="BB41158" s="122"/>
      <c r="BC41158" s="141"/>
    </row>
    <row r="41159">
      <c r="BB41159" s="122"/>
      <c r="BC41159" s="141"/>
    </row>
    <row r="41160">
      <c r="BB41160" s="122"/>
      <c r="BC41160" s="141"/>
    </row>
    <row r="41161">
      <c r="BB41161" s="122"/>
      <c r="BC41161" s="141"/>
    </row>
    <row r="41162">
      <c r="BB41162" s="122"/>
      <c r="BC41162" s="141"/>
    </row>
    <row r="41163">
      <c r="BB41163" s="122"/>
      <c r="BC41163" s="141"/>
    </row>
    <row r="41164">
      <c r="BB41164" s="122"/>
      <c r="BC41164" s="141"/>
    </row>
    <row r="41165">
      <c r="BB41165" s="122"/>
      <c r="BC41165" s="141"/>
    </row>
    <row r="41166">
      <c r="BB41166" s="122"/>
      <c r="BC41166" s="141"/>
    </row>
    <row r="41167">
      <c r="BB41167" s="122"/>
      <c r="BC41167" s="141"/>
    </row>
    <row r="41168">
      <c r="BB41168" s="122"/>
      <c r="BC41168" s="141"/>
    </row>
    <row r="41169">
      <c r="BB41169" s="122"/>
      <c r="BC41169" s="141"/>
    </row>
    <row r="41170">
      <c r="BB41170" s="122"/>
      <c r="BC41170" s="141"/>
    </row>
    <row r="41171">
      <c r="BB41171" s="122"/>
      <c r="BC41171" s="141"/>
    </row>
    <row r="41172">
      <c r="BB41172" s="122"/>
      <c r="BC41172" s="141"/>
    </row>
    <row r="41173">
      <c r="BB41173" s="122"/>
      <c r="BC41173" s="141"/>
    </row>
    <row r="41174">
      <c r="BB41174" s="122"/>
      <c r="BC41174" s="141"/>
    </row>
    <row r="41175">
      <c r="BB41175" s="122"/>
      <c r="BC41175" s="141"/>
    </row>
    <row r="41176">
      <c r="BB41176" s="122"/>
      <c r="BC41176" s="141"/>
    </row>
    <row r="41177">
      <c r="BB41177" s="122"/>
      <c r="BC41177" s="141"/>
    </row>
    <row r="41178">
      <c r="BB41178" s="122"/>
      <c r="BC41178" s="141"/>
    </row>
    <row r="41179">
      <c r="BB41179" s="122"/>
      <c r="BC41179" s="141"/>
    </row>
    <row r="41180">
      <c r="BB41180" s="122"/>
      <c r="BC41180" s="141"/>
    </row>
    <row r="41181">
      <c r="BB41181" s="122"/>
      <c r="BC41181" s="141"/>
    </row>
    <row r="41182">
      <c r="BB41182" s="122"/>
      <c r="BC41182" s="141"/>
    </row>
    <row r="41183">
      <c r="BB41183" s="122"/>
      <c r="BC41183" s="141"/>
    </row>
    <row r="41184">
      <c r="BB41184" s="122"/>
      <c r="BC41184" s="141"/>
    </row>
    <row r="41185">
      <c r="BB41185" s="122"/>
      <c r="BC41185" s="141"/>
    </row>
    <row r="41186">
      <c r="BB41186" s="122"/>
      <c r="BC41186" s="141"/>
    </row>
    <row r="41187">
      <c r="BB41187" s="122"/>
      <c r="BC41187" s="141"/>
    </row>
    <row r="41188">
      <c r="BB41188" s="122"/>
      <c r="BC41188" s="141"/>
    </row>
    <row r="41189">
      <c r="BB41189" s="122"/>
      <c r="BC41189" s="141"/>
    </row>
    <row r="41190">
      <c r="BB41190" s="122"/>
      <c r="BC41190" s="141"/>
    </row>
    <row r="41191">
      <c r="BB41191" s="122"/>
      <c r="BC41191" s="141"/>
    </row>
    <row r="41192">
      <c r="BB41192" s="122"/>
      <c r="BC41192" s="141"/>
    </row>
    <row r="41193">
      <c r="BB41193" s="122"/>
      <c r="BC41193" s="141"/>
    </row>
    <row r="41194">
      <c r="BB41194" s="122"/>
      <c r="BC41194" s="141"/>
    </row>
    <row r="41195">
      <c r="BB41195" s="122"/>
      <c r="BC41195" s="141"/>
    </row>
    <row r="41196">
      <c r="BB41196" s="122"/>
      <c r="BC41196" s="141"/>
    </row>
    <row r="41197">
      <c r="BB41197" s="122"/>
      <c r="BC41197" s="141"/>
    </row>
    <row r="41198">
      <c r="BB41198" s="122"/>
      <c r="BC41198" s="141"/>
    </row>
    <row r="41199">
      <c r="BB41199" s="122"/>
      <c r="BC41199" s="141"/>
    </row>
    <row r="41200">
      <c r="BB41200" s="122"/>
      <c r="BC41200" s="141"/>
    </row>
    <row r="41201">
      <c r="BB41201" s="122"/>
      <c r="BC41201" s="141"/>
    </row>
    <row r="41202">
      <c r="BB41202" s="122"/>
      <c r="BC41202" s="141"/>
    </row>
    <row r="41203">
      <c r="BB41203" s="122"/>
      <c r="BC41203" s="141"/>
    </row>
    <row r="41204">
      <c r="BB41204" s="122"/>
      <c r="BC41204" s="141"/>
    </row>
    <row r="41205">
      <c r="BB41205" s="122"/>
      <c r="BC41205" s="141"/>
    </row>
    <row r="41206">
      <c r="BB41206" s="122"/>
      <c r="BC41206" s="141"/>
    </row>
    <row r="41207">
      <c r="BB41207" s="122"/>
      <c r="BC41207" s="141"/>
    </row>
    <row r="41208">
      <c r="BB41208" s="122"/>
      <c r="BC41208" s="141"/>
    </row>
    <row r="41209">
      <c r="BB41209" s="122"/>
      <c r="BC41209" s="141"/>
    </row>
    <row r="41210">
      <c r="BB41210" s="122"/>
      <c r="BC41210" s="141"/>
    </row>
    <row r="41211">
      <c r="BB41211" s="122"/>
      <c r="BC41211" s="141"/>
    </row>
    <row r="41212">
      <c r="BB41212" s="122"/>
      <c r="BC41212" s="141"/>
    </row>
    <row r="41213">
      <c r="BB41213" s="122"/>
      <c r="BC41213" s="141"/>
    </row>
    <row r="41214">
      <c r="BB41214" s="122"/>
      <c r="BC41214" s="141"/>
    </row>
    <row r="41215">
      <c r="BB41215" s="122"/>
      <c r="BC41215" s="141"/>
    </row>
    <row r="41216">
      <c r="BB41216" s="122"/>
      <c r="BC41216" s="141"/>
    </row>
    <row r="41217">
      <c r="BB41217" s="122"/>
      <c r="BC41217" s="141"/>
    </row>
    <row r="41218">
      <c r="BB41218" s="122"/>
      <c r="BC41218" s="141"/>
    </row>
    <row r="41219">
      <c r="BB41219" s="122"/>
      <c r="BC41219" s="141"/>
    </row>
    <row r="41220">
      <c r="BB41220" s="122"/>
      <c r="BC41220" s="141"/>
    </row>
    <row r="41221">
      <c r="BB41221" s="122"/>
      <c r="BC41221" s="141"/>
    </row>
    <row r="41222">
      <c r="BB41222" s="122"/>
      <c r="BC41222" s="141"/>
    </row>
    <row r="41223">
      <c r="BB41223" s="122"/>
      <c r="BC41223" s="141"/>
    </row>
    <row r="41224">
      <c r="BB41224" s="122"/>
      <c r="BC41224" s="141"/>
    </row>
    <row r="41225">
      <c r="BB41225" s="122"/>
      <c r="BC41225" s="141"/>
    </row>
    <row r="41226">
      <c r="BB41226" s="122"/>
      <c r="BC41226" s="141"/>
    </row>
    <row r="41227">
      <c r="BB41227" s="122"/>
      <c r="BC41227" s="141"/>
    </row>
    <row r="41228">
      <c r="BB41228" s="122"/>
      <c r="BC41228" s="141"/>
    </row>
    <row r="41229">
      <c r="BB41229" s="122"/>
      <c r="BC41229" s="141"/>
    </row>
    <row r="41230">
      <c r="BB41230" s="122"/>
      <c r="BC41230" s="141"/>
    </row>
    <row r="41231">
      <c r="BB41231" s="122"/>
      <c r="BC41231" s="141"/>
    </row>
    <row r="41232">
      <c r="BB41232" s="122"/>
      <c r="BC41232" s="141"/>
    </row>
    <row r="41233">
      <c r="BB41233" s="122"/>
      <c r="BC41233" s="141"/>
    </row>
    <row r="41234">
      <c r="BB41234" s="122"/>
      <c r="BC41234" s="141"/>
    </row>
    <row r="41235">
      <c r="BB41235" s="122"/>
      <c r="BC41235" s="141"/>
    </row>
    <row r="41236">
      <c r="BB41236" s="122"/>
      <c r="BC41236" s="141"/>
    </row>
    <row r="41237">
      <c r="BB41237" s="122"/>
      <c r="BC41237" s="141"/>
    </row>
    <row r="41238">
      <c r="BB41238" s="122"/>
      <c r="BC41238" s="141"/>
    </row>
    <row r="41239">
      <c r="BB41239" s="122"/>
      <c r="BC41239" s="141"/>
    </row>
    <row r="41240">
      <c r="BB41240" s="122"/>
      <c r="BC41240" s="141"/>
    </row>
    <row r="41241">
      <c r="BB41241" s="122"/>
      <c r="BC41241" s="141"/>
    </row>
    <row r="41242">
      <c r="BB41242" s="122"/>
      <c r="BC41242" s="141"/>
    </row>
    <row r="41243">
      <c r="BB41243" s="122"/>
      <c r="BC41243" s="141"/>
    </row>
    <row r="41244">
      <c r="BB41244" s="122"/>
      <c r="BC41244" s="141"/>
    </row>
    <row r="41245">
      <c r="BB41245" s="122"/>
      <c r="BC41245" s="141"/>
    </row>
    <row r="41246">
      <c r="BB41246" s="122"/>
      <c r="BC41246" s="141"/>
    </row>
    <row r="41247">
      <c r="BB41247" s="122"/>
      <c r="BC41247" s="141"/>
    </row>
    <row r="41248">
      <c r="BB41248" s="122"/>
      <c r="BC41248" s="141"/>
    </row>
    <row r="41249">
      <c r="BB41249" s="122"/>
      <c r="BC41249" s="141"/>
    </row>
    <row r="41250">
      <c r="BB41250" s="122"/>
      <c r="BC41250" s="141"/>
    </row>
    <row r="41251">
      <c r="BB41251" s="122"/>
      <c r="BC41251" s="141"/>
    </row>
    <row r="41252">
      <c r="BB41252" s="122"/>
      <c r="BC41252" s="141"/>
    </row>
    <row r="41253">
      <c r="BB41253" s="122"/>
      <c r="BC41253" s="141"/>
    </row>
    <row r="41254">
      <c r="BB41254" s="122"/>
      <c r="BC41254" s="141"/>
    </row>
    <row r="41255">
      <c r="BB41255" s="122"/>
      <c r="BC41255" s="141"/>
    </row>
    <row r="41256">
      <c r="BB41256" s="122"/>
      <c r="BC41256" s="141"/>
    </row>
    <row r="41257">
      <c r="BB41257" s="122"/>
      <c r="BC41257" s="141"/>
    </row>
    <row r="41258">
      <c r="BB41258" s="122"/>
      <c r="BC41258" s="141"/>
    </row>
    <row r="41259">
      <c r="BB41259" s="122"/>
      <c r="BC41259" s="141"/>
    </row>
    <row r="41260">
      <c r="BB41260" s="122"/>
      <c r="BC41260" s="141"/>
    </row>
    <row r="41261">
      <c r="BB41261" s="122"/>
      <c r="BC41261" s="141"/>
    </row>
    <row r="41262">
      <c r="BB41262" s="122"/>
      <c r="BC41262" s="141"/>
    </row>
    <row r="41263">
      <c r="BB41263" s="122"/>
      <c r="BC41263" s="141"/>
    </row>
    <row r="41264">
      <c r="BB41264" s="122"/>
      <c r="BC41264" s="141"/>
    </row>
    <row r="41265">
      <c r="BB41265" s="122"/>
      <c r="BC41265" s="141"/>
    </row>
    <row r="41266">
      <c r="BB41266" s="122"/>
      <c r="BC41266" s="141"/>
    </row>
    <row r="41267">
      <c r="BB41267" s="122"/>
      <c r="BC41267" s="141"/>
    </row>
    <row r="41268">
      <c r="BB41268" s="122"/>
      <c r="BC41268" s="141"/>
    </row>
    <row r="41269">
      <c r="BB41269" s="122"/>
      <c r="BC41269" s="141"/>
    </row>
    <row r="41270">
      <c r="BB41270" s="122"/>
      <c r="BC41270" s="141"/>
    </row>
    <row r="41271">
      <c r="BB41271" s="122"/>
      <c r="BC41271" s="141"/>
    </row>
    <row r="41272">
      <c r="BB41272" s="122"/>
      <c r="BC41272" s="141"/>
    </row>
    <row r="41273">
      <c r="BB41273" s="122"/>
      <c r="BC41273" s="141"/>
    </row>
    <row r="41274">
      <c r="BB41274" s="122"/>
      <c r="BC41274" s="141"/>
    </row>
    <row r="41275">
      <c r="BB41275" s="122"/>
      <c r="BC41275" s="141"/>
    </row>
    <row r="41276">
      <c r="BB41276" s="122"/>
      <c r="BC41276" s="141"/>
    </row>
    <row r="41277">
      <c r="BB41277" s="122"/>
      <c r="BC41277" s="141"/>
    </row>
    <row r="41278">
      <c r="BB41278" s="122"/>
      <c r="BC41278" s="141"/>
    </row>
    <row r="41279">
      <c r="BB41279" s="122"/>
      <c r="BC41279" s="141"/>
    </row>
    <row r="41280">
      <c r="BB41280" s="122"/>
      <c r="BC41280" s="141"/>
    </row>
    <row r="41281">
      <c r="BB41281" s="122"/>
      <c r="BC41281" s="141"/>
    </row>
    <row r="41282">
      <c r="BB41282" s="122"/>
      <c r="BC41282" s="141"/>
    </row>
    <row r="41283">
      <c r="BB41283" s="122"/>
      <c r="BC41283" s="141"/>
    </row>
    <row r="41284">
      <c r="BB41284" s="122"/>
      <c r="BC41284" s="141"/>
    </row>
    <row r="41285">
      <c r="BB41285" s="122"/>
      <c r="BC41285" s="141"/>
    </row>
    <row r="41286">
      <c r="BB41286" s="122"/>
      <c r="BC41286" s="141"/>
    </row>
    <row r="41287">
      <c r="BB41287" s="122"/>
      <c r="BC41287" s="141"/>
    </row>
    <row r="41288">
      <c r="BB41288" s="122"/>
      <c r="BC41288" s="141"/>
    </row>
    <row r="41289">
      <c r="BB41289" s="122"/>
      <c r="BC41289" s="141"/>
    </row>
    <row r="41290">
      <c r="BB41290" s="122"/>
      <c r="BC41290" s="141"/>
    </row>
    <row r="41291">
      <c r="BB41291" s="122"/>
      <c r="BC41291" s="141"/>
    </row>
    <row r="41292">
      <c r="BB41292" s="122"/>
      <c r="BC41292" s="141"/>
    </row>
    <row r="41293">
      <c r="BB41293" s="122"/>
      <c r="BC41293" s="141"/>
    </row>
    <row r="41294">
      <c r="BB41294" s="122"/>
      <c r="BC41294" s="141"/>
    </row>
    <row r="41295">
      <c r="BB41295" s="122"/>
      <c r="BC41295" s="141"/>
    </row>
    <row r="41296">
      <c r="BB41296" s="122"/>
      <c r="BC41296" s="141"/>
    </row>
    <row r="41297">
      <c r="BB41297" s="122"/>
      <c r="BC41297" s="141"/>
    </row>
    <row r="41298">
      <c r="BB41298" s="122"/>
      <c r="BC41298" s="141"/>
    </row>
    <row r="41299">
      <c r="BB41299" s="122"/>
      <c r="BC41299" s="141"/>
    </row>
    <row r="41300">
      <c r="BB41300" s="122"/>
      <c r="BC41300" s="141"/>
    </row>
    <row r="41301">
      <c r="BB41301" s="122"/>
      <c r="BC41301" s="141"/>
    </row>
    <row r="41302">
      <c r="BB41302" s="122"/>
      <c r="BC41302" s="141"/>
    </row>
    <row r="41303">
      <c r="BB41303" s="122"/>
      <c r="BC41303" s="141"/>
    </row>
    <row r="41304">
      <c r="BB41304" s="122"/>
      <c r="BC41304" s="141"/>
    </row>
    <row r="41305">
      <c r="BB41305" s="122"/>
      <c r="BC41305" s="141"/>
    </row>
    <row r="41306">
      <c r="BB41306" s="122"/>
      <c r="BC41306" s="141"/>
    </row>
    <row r="41307">
      <c r="BB41307" s="122"/>
      <c r="BC41307" s="141"/>
    </row>
    <row r="41308">
      <c r="BB41308" s="122"/>
      <c r="BC41308" s="141"/>
    </row>
    <row r="41309">
      <c r="BB41309" s="122"/>
      <c r="BC41309" s="141"/>
    </row>
    <row r="41310">
      <c r="BB41310" s="122"/>
      <c r="BC41310" s="141"/>
    </row>
    <row r="41311">
      <c r="BB41311" s="122"/>
      <c r="BC41311" s="141"/>
    </row>
    <row r="41312">
      <c r="BB41312" s="122"/>
      <c r="BC41312" s="141"/>
    </row>
    <row r="41313">
      <c r="BB41313" s="122"/>
      <c r="BC41313" s="141"/>
    </row>
    <row r="41314">
      <c r="BB41314" s="122"/>
      <c r="BC41314" s="141"/>
    </row>
    <row r="41315">
      <c r="BB41315" s="122"/>
      <c r="BC41315" s="141"/>
    </row>
    <row r="41316">
      <c r="BB41316" s="122"/>
      <c r="BC41316" s="141"/>
    </row>
    <row r="41317">
      <c r="BB41317" s="122"/>
      <c r="BC41317" s="141"/>
    </row>
    <row r="41318">
      <c r="BB41318" s="122"/>
      <c r="BC41318" s="141"/>
    </row>
    <row r="41319">
      <c r="BB41319" s="122"/>
      <c r="BC41319" s="141"/>
    </row>
    <row r="41320">
      <c r="BB41320" s="122"/>
      <c r="BC41320" s="141"/>
    </row>
    <row r="41321">
      <c r="BB41321" s="122"/>
      <c r="BC41321" s="141"/>
    </row>
    <row r="41322">
      <c r="BB41322" s="122"/>
      <c r="BC41322" s="141"/>
    </row>
    <row r="41323">
      <c r="BB41323" s="122"/>
      <c r="BC41323" s="141"/>
    </row>
    <row r="41324">
      <c r="BB41324" s="122"/>
      <c r="BC41324" s="141"/>
    </row>
    <row r="41325">
      <c r="BB41325" s="122"/>
      <c r="BC41325" s="141"/>
    </row>
    <row r="41326">
      <c r="BB41326" s="122"/>
      <c r="BC41326" s="141"/>
    </row>
    <row r="41327">
      <c r="BB41327" s="122"/>
      <c r="BC41327" s="141"/>
    </row>
    <row r="41328">
      <c r="BB41328" s="122"/>
      <c r="BC41328" s="141"/>
    </row>
    <row r="41329">
      <c r="BB41329" s="122"/>
      <c r="BC41329" s="141"/>
    </row>
    <row r="41330">
      <c r="BB41330" s="122"/>
      <c r="BC41330" s="141"/>
    </row>
    <row r="41331">
      <c r="BB41331" s="122"/>
      <c r="BC41331" s="141"/>
    </row>
    <row r="41332">
      <c r="BB41332" s="122"/>
      <c r="BC41332" s="141"/>
    </row>
    <row r="41333">
      <c r="BB41333" s="122"/>
      <c r="BC41333" s="141"/>
    </row>
    <row r="41334">
      <c r="BB41334" s="122"/>
      <c r="BC41334" s="141"/>
    </row>
    <row r="41335">
      <c r="BB41335" s="122"/>
      <c r="BC41335" s="141"/>
    </row>
    <row r="41336">
      <c r="BB41336" s="122"/>
      <c r="BC41336" s="141"/>
    </row>
    <row r="41337">
      <c r="BB41337" s="122"/>
      <c r="BC41337" s="141"/>
    </row>
    <row r="41338">
      <c r="BB41338" s="122"/>
      <c r="BC41338" s="141"/>
    </row>
    <row r="41339">
      <c r="BB41339" s="122"/>
      <c r="BC41339" s="141"/>
    </row>
    <row r="41340">
      <c r="BB41340" s="122"/>
      <c r="BC41340" s="141"/>
    </row>
    <row r="41341">
      <c r="BB41341" s="122"/>
      <c r="BC41341" s="141"/>
    </row>
    <row r="41342">
      <c r="BB41342" s="122"/>
      <c r="BC41342" s="141"/>
    </row>
    <row r="41343">
      <c r="BB41343" s="122"/>
      <c r="BC41343" s="141"/>
    </row>
    <row r="41344">
      <c r="BB41344" s="122"/>
      <c r="BC41344" s="141"/>
    </row>
    <row r="41345">
      <c r="BB41345" s="122"/>
      <c r="BC41345" s="141"/>
    </row>
    <row r="41346">
      <c r="BB41346" s="122"/>
      <c r="BC41346" s="141"/>
    </row>
    <row r="41347">
      <c r="BB41347" s="122"/>
      <c r="BC41347" s="141"/>
    </row>
    <row r="41348">
      <c r="BB41348" s="122"/>
      <c r="BC41348" s="141"/>
    </row>
    <row r="41349">
      <c r="BB41349" s="122"/>
      <c r="BC41349" s="141"/>
    </row>
    <row r="41350">
      <c r="BB41350" s="122"/>
      <c r="BC41350" s="141"/>
    </row>
    <row r="41351">
      <c r="BB41351" s="122"/>
      <c r="BC41351" s="141"/>
    </row>
    <row r="41352">
      <c r="BB41352" s="122"/>
      <c r="BC41352" s="141"/>
    </row>
    <row r="41353">
      <c r="BB41353" s="122"/>
      <c r="BC41353" s="141"/>
    </row>
    <row r="41354">
      <c r="BB41354" s="122"/>
      <c r="BC41354" s="141"/>
    </row>
    <row r="41355">
      <c r="BB41355" s="122"/>
      <c r="BC41355" s="141"/>
    </row>
    <row r="41356">
      <c r="BB41356" s="122"/>
      <c r="BC41356" s="141"/>
    </row>
    <row r="41357">
      <c r="BB41357" s="122"/>
      <c r="BC41357" s="141"/>
    </row>
    <row r="41358">
      <c r="BB41358" s="122"/>
      <c r="BC41358" s="141"/>
    </row>
    <row r="41359">
      <c r="BB41359" s="122"/>
      <c r="BC41359" s="141"/>
    </row>
    <row r="41360">
      <c r="BB41360" s="122"/>
      <c r="BC41360" s="141"/>
    </row>
    <row r="41361">
      <c r="BB41361" s="122"/>
      <c r="BC41361" s="141"/>
    </row>
    <row r="41362">
      <c r="BB41362" s="122"/>
      <c r="BC41362" s="141"/>
    </row>
    <row r="41363">
      <c r="BB41363" s="122"/>
      <c r="BC41363" s="141"/>
    </row>
    <row r="41364">
      <c r="BB41364" s="122"/>
      <c r="BC41364" s="141"/>
    </row>
    <row r="41365">
      <c r="BB41365" s="122"/>
      <c r="BC41365" s="141"/>
    </row>
    <row r="41366">
      <c r="BB41366" s="122"/>
      <c r="BC41366" s="141"/>
    </row>
    <row r="41367">
      <c r="BB41367" s="122"/>
      <c r="BC41367" s="141"/>
    </row>
    <row r="41368">
      <c r="BB41368" s="122"/>
      <c r="BC41368" s="141"/>
    </row>
    <row r="41369">
      <c r="BB41369" s="122"/>
      <c r="BC41369" s="141"/>
    </row>
    <row r="41370">
      <c r="BB41370" s="122"/>
      <c r="BC41370" s="141"/>
    </row>
    <row r="41371">
      <c r="BB41371" s="122"/>
      <c r="BC41371" s="141"/>
    </row>
    <row r="41372">
      <c r="BB41372" s="122"/>
      <c r="BC41372" s="141"/>
    </row>
    <row r="41373">
      <c r="BB41373" s="122"/>
      <c r="BC41373" s="141"/>
    </row>
    <row r="41374">
      <c r="BB41374" s="122"/>
      <c r="BC41374" s="141"/>
    </row>
    <row r="41375">
      <c r="BB41375" s="122"/>
      <c r="BC41375" s="141"/>
    </row>
    <row r="41376">
      <c r="BB41376" s="122"/>
      <c r="BC41376" s="141"/>
    </row>
    <row r="41377">
      <c r="BB41377" s="122"/>
      <c r="BC41377" s="141"/>
    </row>
    <row r="41378">
      <c r="BB41378" s="122"/>
      <c r="BC41378" s="141"/>
    </row>
    <row r="41379">
      <c r="BB41379" s="122"/>
      <c r="BC41379" s="141"/>
    </row>
    <row r="41380">
      <c r="BB41380" s="122"/>
      <c r="BC41380" s="141"/>
    </row>
    <row r="41381">
      <c r="BB41381" s="122"/>
      <c r="BC41381" s="141"/>
    </row>
    <row r="41382">
      <c r="BB41382" s="122"/>
      <c r="BC41382" s="141"/>
    </row>
    <row r="41383">
      <c r="BB41383" s="122"/>
      <c r="BC41383" s="141"/>
    </row>
    <row r="41384">
      <c r="BB41384" s="122"/>
      <c r="BC41384" s="141"/>
    </row>
    <row r="41385">
      <c r="BB41385" s="122"/>
      <c r="BC41385" s="141"/>
    </row>
    <row r="41386">
      <c r="BB41386" s="122"/>
      <c r="BC41386" s="141"/>
    </row>
    <row r="41387">
      <c r="BB41387" s="122"/>
      <c r="BC41387" s="141"/>
    </row>
    <row r="41388">
      <c r="BB41388" s="122"/>
      <c r="BC41388" s="141"/>
    </row>
    <row r="41389">
      <c r="BB41389" s="122"/>
      <c r="BC41389" s="141"/>
    </row>
    <row r="41390">
      <c r="BB41390" s="122"/>
      <c r="BC41390" s="141"/>
    </row>
    <row r="41391">
      <c r="BB41391" s="122"/>
      <c r="BC41391" s="141"/>
    </row>
    <row r="41392">
      <c r="BB41392" s="122"/>
      <c r="BC41392" s="141"/>
    </row>
    <row r="41393">
      <c r="BB41393" s="122"/>
      <c r="BC41393" s="141"/>
    </row>
    <row r="41394">
      <c r="BB41394" s="122"/>
      <c r="BC41394" s="141"/>
    </row>
    <row r="41395">
      <c r="BB41395" s="122"/>
      <c r="BC41395" s="141"/>
    </row>
    <row r="41396">
      <c r="BB41396" s="122"/>
      <c r="BC41396" s="141"/>
    </row>
    <row r="41397">
      <c r="BB41397" s="122"/>
      <c r="BC41397" s="141"/>
    </row>
    <row r="41398">
      <c r="BB41398" s="122"/>
      <c r="BC41398" s="141"/>
    </row>
    <row r="41399">
      <c r="BB41399" s="122"/>
      <c r="BC41399" s="141"/>
    </row>
    <row r="41400">
      <c r="BB41400" s="122"/>
      <c r="BC41400" s="141"/>
    </row>
    <row r="41401">
      <c r="BB41401" s="122"/>
      <c r="BC41401" s="141"/>
    </row>
    <row r="41402">
      <c r="BB41402" s="122"/>
      <c r="BC41402" s="141"/>
    </row>
    <row r="41403">
      <c r="BB41403" s="122"/>
      <c r="BC41403" s="141"/>
    </row>
    <row r="41404">
      <c r="BB41404" s="122"/>
      <c r="BC41404" s="141"/>
    </row>
    <row r="41405">
      <c r="BB41405" s="122"/>
      <c r="BC41405" s="141"/>
    </row>
    <row r="41406">
      <c r="BB41406" s="122"/>
      <c r="BC41406" s="141"/>
    </row>
    <row r="41407">
      <c r="BB41407" s="122"/>
      <c r="BC41407" s="141"/>
    </row>
    <row r="41408">
      <c r="BB41408" s="122"/>
      <c r="BC41408" s="141"/>
    </row>
    <row r="41409">
      <c r="BB41409" s="122"/>
      <c r="BC41409" s="141"/>
    </row>
    <row r="41410">
      <c r="BB41410" s="122"/>
      <c r="BC41410" s="141"/>
    </row>
    <row r="41411">
      <c r="BB41411" s="122"/>
      <c r="BC41411" s="141"/>
    </row>
    <row r="41412">
      <c r="BB41412" s="122"/>
      <c r="BC41412" s="141"/>
    </row>
    <row r="41413">
      <c r="BB41413" s="122"/>
      <c r="BC41413" s="141"/>
    </row>
    <row r="41414">
      <c r="BB41414" s="122"/>
      <c r="BC41414" s="141"/>
    </row>
    <row r="41415">
      <c r="BB41415" s="122"/>
      <c r="BC41415" s="141"/>
    </row>
    <row r="41416">
      <c r="BB41416" s="122"/>
      <c r="BC41416" s="141"/>
    </row>
    <row r="41417">
      <c r="BB41417" s="122"/>
      <c r="BC41417" s="141"/>
    </row>
    <row r="41418">
      <c r="BB41418" s="122"/>
      <c r="BC41418" s="141"/>
    </row>
    <row r="41419">
      <c r="BB41419" s="122"/>
      <c r="BC41419" s="141"/>
    </row>
    <row r="41420">
      <c r="BB41420" s="122"/>
      <c r="BC41420" s="141"/>
    </row>
    <row r="41421">
      <c r="BB41421" s="122"/>
      <c r="BC41421" s="141"/>
    </row>
    <row r="41422">
      <c r="BB41422" s="122"/>
      <c r="BC41422" s="141"/>
    </row>
    <row r="41423">
      <c r="BB41423" s="122"/>
      <c r="BC41423" s="141"/>
    </row>
    <row r="41424">
      <c r="BB41424" s="122"/>
      <c r="BC41424" s="141"/>
    </row>
    <row r="41425">
      <c r="BB41425" s="122"/>
      <c r="BC41425" s="141"/>
    </row>
    <row r="41426">
      <c r="BB41426" s="122"/>
      <c r="BC41426" s="141"/>
    </row>
    <row r="41427">
      <c r="BB41427" s="122"/>
      <c r="BC41427" s="141"/>
    </row>
    <row r="41428">
      <c r="BB41428" s="122"/>
      <c r="BC41428" s="141"/>
    </row>
    <row r="41429">
      <c r="BB41429" s="122"/>
      <c r="BC41429" s="141"/>
    </row>
    <row r="41430">
      <c r="BB41430" s="122"/>
      <c r="BC41430" s="141"/>
    </row>
    <row r="41431">
      <c r="BB41431" s="122"/>
      <c r="BC41431" s="141"/>
    </row>
    <row r="41432">
      <c r="BB41432" s="122"/>
      <c r="BC41432" s="141"/>
    </row>
    <row r="41433">
      <c r="BB41433" s="122"/>
      <c r="BC41433" s="141"/>
    </row>
    <row r="41434">
      <c r="BB41434" s="122"/>
      <c r="BC41434" s="141"/>
    </row>
    <row r="41435">
      <c r="BB41435" s="122"/>
      <c r="BC41435" s="141"/>
    </row>
    <row r="41436">
      <c r="BB41436" s="122"/>
      <c r="BC41436" s="141"/>
    </row>
    <row r="41437">
      <c r="BB41437" s="122"/>
      <c r="BC41437" s="141"/>
    </row>
    <row r="41438">
      <c r="BB41438" s="122"/>
      <c r="BC41438" s="141"/>
    </row>
    <row r="41439">
      <c r="BB41439" s="122"/>
      <c r="BC41439" s="141"/>
    </row>
    <row r="41440">
      <c r="BB41440" s="122"/>
      <c r="BC41440" s="141"/>
    </row>
    <row r="41441">
      <c r="BB41441" s="122"/>
      <c r="BC41441" s="141"/>
    </row>
    <row r="41442">
      <c r="BB41442" s="122"/>
      <c r="BC41442" s="141"/>
    </row>
    <row r="41443">
      <c r="BB41443" s="122"/>
      <c r="BC41443" s="141"/>
    </row>
    <row r="41444">
      <c r="BB41444" s="122"/>
      <c r="BC41444" s="141"/>
    </row>
    <row r="41445">
      <c r="BB41445" s="122"/>
      <c r="BC41445" s="141"/>
    </row>
    <row r="41446">
      <c r="BB41446" s="122"/>
      <c r="BC41446" s="141"/>
    </row>
    <row r="41447">
      <c r="BB41447" s="122"/>
      <c r="BC41447" s="141"/>
    </row>
    <row r="41448">
      <c r="BB41448" s="122"/>
      <c r="BC41448" s="141"/>
    </row>
    <row r="41449">
      <c r="BB41449" s="122"/>
      <c r="BC41449" s="141"/>
    </row>
    <row r="41450">
      <c r="BB41450" s="122"/>
      <c r="BC41450" s="141"/>
    </row>
    <row r="41451">
      <c r="BB41451" s="122"/>
      <c r="BC41451" s="141"/>
    </row>
    <row r="41452">
      <c r="BB41452" s="122"/>
      <c r="BC41452" s="141"/>
    </row>
    <row r="41453">
      <c r="BB41453" s="122"/>
      <c r="BC41453" s="141"/>
    </row>
    <row r="41454">
      <c r="BB41454" s="122"/>
      <c r="BC41454" s="141"/>
    </row>
    <row r="41455">
      <c r="BB41455" s="122"/>
      <c r="BC41455" s="141"/>
    </row>
    <row r="41456">
      <c r="BB41456" s="122"/>
      <c r="BC41456" s="141"/>
    </row>
    <row r="41457">
      <c r="BB41457" s="122"/>
      <c r="BC41457" s="141"/>
    </row>
    <row r="41458">
      <c r="BB41458" s="122"/>
      <c r="BC41458" s="141"/>
    </row>
    <row r="41459">
      <c r="BB41459" s="122"/>
      <c r="BC41459" s="141"/>
    </row>
    <row r="41460">
      <c r="BB41460" s="122"/>
      <c r="BC41460" s="141"/>
    </row>
    <row r="41461">
      <c r="BB41461" s="122"/>
      <c r="BC41461" s="141"/>
    </row>
    <row r="41462">
      <c r="BB41462" s="122"/>
      <c r="BC41462" s="141"/>
    </row>
    <row r="41463">
      <c r="BB41463" s="122"/>
      <c r="BC41463" s="141"/>
    </row>
    <row r="41464">
      <c r="BB41464" s="122"/>
      <c r="BC41464" s="141"/>
    </row>
    <row r="41465">
      <c r="BB41465" s="122"/>
      <c r="BC41465" s="141"/>
    </row>
    <row r="41466">
      <c r="BB41466" s="122"/>
      <c r="BC41466" s="141"/>
    </row>
    <row r="41467">
      <c r="BB41467" s="122"/>
      <c r="BC41467" s="141"/>
    </row>
    <row r="41468">
      <c r="BB41468" s="122"/>
      <c r="BC41468" s="141"/>
    </row>
    <row r="41469">
      <c r="BB41469" s="122"/>
      <c r="BC41469" s="141"/>
    </row>
    <row r="41470">
      <c r="BB41470" s="122"/>
      <c r="BC41470" s="141"/>
    </row>
    <row r="41471">
      <c r="BB41471" s="122"/>
      <c r="BC41471" s="141"/>
    </row>
    <row r="41472">
      <c r="BB41472" s="122"/>
      <c r="BC41472" s="141"/>
    </row>
    <row r="41473">
      <c r="BB41473" s="122"/>
      <c r="BC41473" s="141"/>
    </row>
    <row r="41474">
      <c r="BB41474" s="122"/>
      <c r="BC41474" s="141"/>
    </row>
    <row r="41475">
      <c r="BB41475" s="122"/>
      <c r="BC41475" s="141"/>
    </row>
    <row r="41476">
      <c r="BB41476" s="122"/>
      <c r="BC41476" s="141"/>
    </row>
    <row r="41477">
      <c r="BB41477" s="122"/>
      <c r="BC41477" s="141"/>
    </row>
    <row r="41478">
      <c r="BB41478" s="122"/>
      <c r="BC41478" s="141"/>
    </row>
    <row r="41479">
      <c r="BB41479" s="122"/>
      <c r="BC41479" s="141"/>
    </row>
    <row r="41480">
      <c r="BB41480" s="122"/>
      <c r="BC41480" s="141"/>
    </row>
    <row r="41481">
      <c r="BB41481" s="122"/>
      <c r="BC41481" s="141"/>
    </row>
    <row r="41482">
      <c r="BB41482" s="122"/>
      <c r="BC41482" s="141"/>
    </row>
    <row r="41483">
      <c r="BB41483" s="122"/>
      <c r="BC41483" s="141"/>
    </row>
    <row r="41484">
      <c r="BB41484" s="122"/>
      <c r="BC41484" s="141"/>
    </row>
    <row r="41485">
      <c r="BB41485" s="122"/>
      <c r="BC41485" s="141"/>
    </row>
    <row r="41486">
      <c r="BB41486" s="122"/>
      <c r="BC41486" s="141"/>
    </row>
    <row r="41487">
      <c r="BB41487" s="122"/>
      <c r="BC41487" s="141"/>
    </row>
    <row r="41488">
      <c r="BB41488" s="122"/>
      <c r="BC41488" s="141"/>
    </row>
    <row r="41489">
      <c r="BB41489" s="122"/>
      <c r="BC41489" s="141"/>
    </row>
    <row r="41490">
      <c r="BB41490" s="122"/>
      <c r="BC41490" s="141"/>
    </row>
    <row r="41491">
      <c r="BB41491" s="122"/>
      <c r="BC41491" s="141"/>
    </row>
    <row r="41492">
      <c r="BB41492" s="122"/>
      <c r="BC41492" s="141"/>
    </row>
    <row r="41493">
      <c r="BB41493" s="122"/>
      <c r="BC41493" s="141"/>
    </row>
    <row r="41494">
      <c r="BB41494" s="122"/>
      <c r="BC41494" s="141"/>
    </row>
    <row r="41495">
      <c r="BB41495" s="122"/>
      <c r="BC41495" s="141"/>
    </row>
    <row r="41496">
      <c r="BB41496" s="122"/>
      <c r="BC41496" s="141"/>
    </row>
    <row r="41497">
      <c r="BB41497" s="122"/>
      <c r="BC41497" s="141"/>
    </row>
    <row r="41498">
      <c r="BB41498" s="122"/>
      <c r="BC41498" s="141"/>
    </row>
    <row r="41499">
      <c r="BB41499" s="122"/>
      <c r="BC41499" s="141"/>
    </row>
    <row r="41500">
      <c r="BB41500" s="122"/>
      <c r="BC41500" s="141"/>
    </row>
    <row r="41501">
      <c r="BB41501" s="122"/>
      <c r="BC41501" s="141"/>
    </row>
    <row r="41502">
      <c r="BB41502" s="122"/>
      <c r="BC41502" s="141"/>
    </row>
    <row r="41503">
      <c r="BB41503" s="122"/>
      <c r="BC41503" s="141"/>
    </row>
    <row r="41504">
      <c r="BB41504" s="122"/>
      <c r="BC41504" s="141"/>
    </row>
    <row r="41505">
      <c r="BB41505" s="122"/>
      <c r="BC41505" s="141"/>
    </row>
    <row r="41506">
      <c r="BB41506" s="122"/>
      <c r="BC41506" s="141"/>
    </row>
    <row r="41507">
      <c r="BB41507" s="122"/>
      <c r="BC41507" s="141"/>
    </row>
    <row r="41508">
      <c r="BB41508" s="122"/>
      <c r="BC41508" s="141"/>
    </row>
    <row r="41509">
      <c r="BB41509" s="122"/>
      <c r="BC41509" s="141"/>
    </row>
    <row r="41510">
      <c r="BB41510" s="122"/>
      <c r="BC41510" s="141"/>
    </row>
    <row r="41511">
      <c r="BB41511" s="122"/>
      <c r="BC41511" s="141"/>
    </row>
    <row r="41512">
      <c r="BB41512" s="122"/>
      <c r="BC41512" s="141"/>
    </row>
    <row r="41513">
      <c r="BB41513" s="122"/>
      <c r="BC41513" s="141"/>
    </row>
    <row r="41514">
      <c r="BB41514" s="122"/>
      <c r="BC41514" s="141"/>
    </row>
    <row r="41515">
      <c r="BB41515" s="122"/>
      <c r="BC41515" s="141"/>
    </row>
    <row r="41516">
      <c r="BB41516" s="122"/>
      <c r="BC41516" s="141"/>
    </row>
    <row r="41517">
      <c r="BB41517" s="122"/>
      <c r="BC41517" s="141"/>
    </row>
    <row r="41518">
      <c r="BB41518" s="122"/>
      <c r="BC41518" s="141"/>
    </row>
    <row r="41519">
      <c r="BB41519" s="122"/>
      <c r="BC41519" s="141"/>
    </row>
    <row r="41520">
      <c r="BB41520" s="122"/>
      <c r="BC41520" s="141"/>
    </row>
    <row r="41521">
      <c r="BB41521" s="122"/>
      <c r="BC41521" s="141"/>
    </row>
    <row r="41522">
      <c r="BB41522" s="122"/>
      <c r="BC41522" s="141"/>
    </row>
    <row r="41523">
      <c r="BB41523" s="122"/>
      <c r="BC41523" s="141"/>
    </row>
    <row r="41524">
      <c r="BB41524" s="122"/>
      <c r="BC41524" s="141"/>
    </row>
    <row r="41525">
      <c r="BB41525" s="122"/>
      <c r="BC41525" s="141"/>
    </row>
    <row r="41526">
      <c r="BB41526" s="122"/>
      <c r="BC41526" s="141"/>
    </row>
    <row r="41527">
      <c r="BB41527" s="122"/>
      <c r="BC41527" s="141"/>
    </row>
    <row r="41528">
      <c r="BB41528" s="122"/>
      <c r="BC41528" s="141"/>
    </row>
    <row r="41529">
      <c r="BB41529" s="122"/>
      <c r="BC41529" s="141"/>
    </row>
    <row r="41530">
      <c r="BB41530" s="122"/>
      <c r="BC41530" s="141"/>
    </row>
    <row r="41531">
      <c r="BB41531" s="122"/>
      <c r="BC41531" s="141"/>
    </row>
    <row r="41532">
      <c r="BB41532" s="122"/>
      <c r="BC41532" s="141"/>
    </row>
    <row r="41533">
      <c r="BB41533" s="122"/>
      <c r="BC41533" s="141"/>
    </row>
    <row r="41534">
      <c r="BB41534" s="122"/>
      <c r="BC41534" s="141"/>
    </row>
    <row r="41535">
      <c r="BB41535" s="122"/>
      <c r="BC41535" s="141"/>
    </row>
    <row r="41536">
      <c r="BB41536" s="122"/>
      <c r="BC41536" s="141"/>
    </row>
    <row r="41537">
      <c r="BB41537" s="122"/>
      <c r="BC41537" s="141"/>
    </row>
    <row r="41538">
      <c r="BB41538" s="122"/>
      <c r="BC41538" s="141"/>
    </row>
    <row r="41539">
      <c r="BB41539" s="122"/>
      <c r="BC41539" s="141"/>
    </row>
    <row r="41540">
      <c r="BB41540" s="122"/>
      <c r="BC41540" s="141"/>
    </row>
    <row r="41541">
      <c r="BB41541" s="122"/>
      <c r="BC41541" s="141"/>
    </row>
    <row r="41542">
      <c r="BB41542" s="122"/>
      <c r="BC41542" s="141"/>
    </row>
    <row r="41543">
      <c r="BB41543" s="122"/>
      <c r="BC41543" s="141"/>
    </row>
    <row r="41544">
      <c r="BB41544" s="122"/>
      <c r="BC41544" s="141"/>
    </row>
    <row r="41545">
      <c r="BB41545" s="122"/>
      <c r="BC41545" s="141"/>
    </row>
    <row r="41546">
      <c r="BB41546" s="122"/>
      <c r="BC41546" s="141"/>
    </row>
    <row r="41547">
      <c r="BB41547" s="122"/>
      <c r="BC41547" s="141"/>
    </row>
    <row r="41548">
      <c r="BB41548" s="122"/>
      <c r="BC41548" s="141"/>
    </row>
    <row r="41549">
      <c r="BB41549" s="122"/>
      <c r="BC41549" s="141"/>
    </row>
    <row r="41550">
      <c r="BB41550" s="122"/>
      <c r="BC41550" s="141"/>
    </row>
    <row r="41551">
      <c r="BB41551" s="122"/>
      <c r="BC41551" s="141"/>
    </row>
    <row r="41552">
      <c r="BB41552" s="122"/>
      <c r="BC41552" s="141"/>
    </row>
    <row r="41553">
      <c r="BB41553" s="122"/>
      <c r="BC41553" s="141"/>
    </row>
    <row r="41554">
      <c r="BB41554" s="122"/>
      <c r="BC41554" s="141"/>
    </row>
    <row r="41555">
      <c r="BB41555" s="122"/>
      <c r="BC41555" s="141"/>
    </row>
    <row r="41556">
      <c r="BB41556" s="122"/>
      <c r="BC41556" s="141"/>
    </row>
    <row r="41557">
      <c r="BB41557" s="122"/>
      <c r="BC41557" s="141"/>
    </row>
    <row r="41558">
      <c r="BB41558" s="122"/>
      <c r="BC41558" s="141"/>
    </row>
    <row r="41559">
      <c r="BB41559" s="122"/>
      <c r="BC41559" s="141"/>
    </row>
    <row r="41560">
      <c r="BB41560" s="122"/>
      <c r="BC41560" s="141"/>
    </row>
    <row r="41561">
      <c r="BB41561" s="122"/>
      <c r="BC41561" s="141"/>
    </row>
    <row r="41562">
      <c r="BB41562" s="122"/>
      <c r="BC41562" s="141"/>
    </row>
    <row r="41563">
      <c r="BB41563" s="122"/>
      <c r="BC41563" s="141"/>
    </row>
    <row r="41564">
      <c r="BB41564" s="122"/>
      <c r="BC41564" s="141"/>
    </row>
    <row r="41565">
      <c r="BB41565" s="122"/>
      <c r="BC41565" s="141"/>
    </row>
    <row r="41566">
      <c r="BB41566" s="122"/>
      <c r="BC41566" s="141"/>
    </row>
    <row r="41567">
      <c r="BB41567" s="122"/>
      <c r="BC41567" s="141"/>
    </row>
    <row r="41568">
      <c r="BB41568" s="122"/>
      <c r="BC41568" s="141"/>
    </row>
    <row r="41569">
      <c r="BB41569" s="122"/>
      <c r="BC41569" s="141"/>
    </row>
    <row r="41570">
      <c r="BB41570" s="122"/>
      <c r="BC41570" s="141"/>
    </row>
    <row r="41571">
      <c r="BB41571" s="122"/>
      <c r="BC41571" s="141"/>
    </row>
    <row r="41572">
      <c r="BB41572" s="122"/>
      <c r="BC41572" s="141"/>
    </row>
    <row r="41573">
      <c r="BB41573" s="122"/>
      <c r="BC41573" s="141"/>
    </row>
    <row r="41574">
      <c r="BB41574" s="122"/>
      <c r="BC41574" s="141"/>
    </row>
    <row r="41575">
      <c r="BB41575" s="122"/>
      <c r="BC41575" s="141"/>
    </row>
    <row r="41576">
      <c r="BB41576" s="122"/>
      <c r="BC41576" s="141"/>
    </row>
    <row r="41577">
      <c r="BB41577" s="122"/>
      <c r="BC41577" s="141"/>
    </row>
    <row r="41578">
      <c r="BB41578" s="122"/>
      <c r="BC41578" s="141"/>
    </row>
    <row r="41579">
      <c r="BB41579" s="122"/>
      <c r="BC41579" s="141"/>
    </row>
    <row r="41580">
      <c r="BB41580" s="122"/>
      <c r="BC41580" s="141"/>
    </row>
    <row r="41581">
      <c r="BB41581" s="122"/>
      <c r="BC41581" s="141"/>
    </row>
    <row r="41582">
      <c r="BB41582" s="122"/>
      <c r="BC41582" s="141"/>
    </row>
    <row r="41583">
      <c r="BB41583" s="122"/>
      <c r="BC41583" s="141"/>
    </row>
    <row r="41584">
      <c r="BB41584" s="122"/>
      <c r="BC41584" s="141"/>
    </row>
    <row r="41585">
      <c r="BB41585" s="122"/>
      <c r="BC41585" s="141"/>
    </row>
    <row r="41586">
      <c r="BB41586" s="122"/>
      <c r="BC41586" s="141"/>
    </row>
    <row r="41587">
      <c r="BB41587" s="122"/>
      <c r="BC41587" s="141"/>
    </row>
    <row r="41588">
      <c r="BB41588" s="122"/>
      <c r="BC41588" s="141"/>
    </row>
    <row r="41589">
      <c r="BB41589" s="122"/>
      <c r="BC41589" s="141"/>
    </row>
    <row r="41590">
      <c r="BB41590" s="122"/>
      <c r="BC41590" s="141"/>
    </row>
    <row r="41591">
      <c r="BB41591" s="122"/>
      <c r="BC41591" s="141"/>
    </row>
    <row r="41592">
      <c r="BB41592" s="122"/>
      <c r="BC41592" s="141"/>
    </row>
    <row r="41593">
      <c r="BB41593" s="122"/>
      <c r="BC41593" s="141"/>
    </row>
    <row r="41594">
      <c r="BB41594" s="122"/>
      <c r="BC41594" s="141"/>
    </row>
    <row r="41595">
      <c r="BB41595" s="122"/>
      <c r="BC41595" s="141"/>
    </row>
    <row r="41596">
      <c r="BB41596" s="122"/>
      <c r="BC41596" s="141"/>
    </row>
    <row r="41597">
      <c r="BB41597" s="122"/>
      <c r="BC41597" s="141"/>
    </row>
    <row r="41598">
      <c r="BB41598" s="122"/>
      <c r="BC41598" s="141"/>
    </row>
    <row r="41599">
      <c r="BB41599" s="122"/>
      <c r="BC41599" s="141"/>
    </row>
    <row r="41600">
      <c r="BB41600" s="122"/>
      <c r="BC41600" s="141"/>
    </row>
    <row r="41601">
      <c r="BB41601" s="122"/>
      <c r="BC41601" s="141"/>
    </row>
    <row r="41602">
      <c r="BB41602" s="122"/>
      <c r="BC41602" s="141"/>
    </row>
    <row r="41603">
      <c r="BB41603" s="122"/>
      <c r="BC41603" s="141"/>
    </row>
    <row r="41604">
      <c r="BB41604" s="122"/>
      <c r="BC41604" s="141"/>
    </row>
    <row r="41605">
      <c r="BB41605" s="122"/>
      <c r="BC41605" s="141"/>
    </row>
    <row r="41606">
      <c r="BB41606" s="122"/>
      <c r="BC41606" s="141"/>
    </row>
    <row r="41607">
      <c r="BB41607" s="122"/>
      <c r="BC41607" s="141"/>
    </row>
    <row r="41608">
      <c r="BB41608" s="122"/>
      <c r="BC41608" s="141"/>
    </row>
    <row r="41609">
      <c r="BB41609" s="122"/>
      <c r="BC41609" s="141"/>
    </row>
    <row r="41610">
      <c r="BB41610" s="122"/>
      <c r="BC41610" s="141"/>
    </row>
    <row r="41611">
      <c r="BB41611" s="122"/>
      <c r="BC41611" s="141"/>
    </row>
    <row r="41612">
      <c r="BB41612" s="122"/>
      <c r="BC41612" s="141"/>
    </row>
    <row r="41613">
      <c r="BB41613" s="122"/>
      <c r="BC41613" s="141"/>
    </row>
    <row r="41614">
      <c r="BB41614" s="122"/>
      <c r="BC41614" s="141"/>
    </row>
    <row r="41615">
      <c r="BB41615" s="122"/>
      <c r="BC41615" s="141"/>
    </row>
    <row r="41616">
      <c r="BB41616" s="122"/>
      <c r="BC41616" s="141"/>
    </row>
    <row r="41617">
      <c r="BB41617" s="122"/>
      <c r="BC41617" s="141"/>
    </row>
    <row r="41618">
      <c r="BB41618" s="122"/>
      <c r="BC41618" s="141"/>
    </row>
    <row r="41619">
      <c r="BB41619" s="122"/>
      <c r="BC41619" s="141"/>
    </row>
    <row r="41620">
      <c r="BB41620" s="122"/>
      <c r="BC41620" s="141"/>
    </row>
    <row r="41621">
      <c r="BB41621" s="122"/>
      <c r="BC41621" s="141"/>
    </row>
    <row r="41622">
      <c r="BB41622" s="122"/>
      <c r="BC41622" s="141"/>
    </row>
    <row r="41623">
      <c r="BB41623" s="122"/>
      <c r="BC41623" s="141"/>
    </row>
    <row r="41624">
      <c r="BB41624" s="122"/>
      <c r="BC41624" s="141"/>
    </row>
    <row r="41625">
      <c r="BB41625" s="122"/>
      <c r="BC41625" s="141"/>
    </row>
    <row r="41626">
      <c r="BB41626" s="122"/>
      <c r="BC41626" s="141"/>
    </row>
    <row r="41627">
      <c r="BB41627" s="122"/>
      <c r="BC41627" s="141"/>
    </row>
    <row r="41628">
      <c r="BB41628" s="122"/>
      <c r="BC41628" s="141"/>
    </row>
    <row r="41629">
      <c r="BB41629" s="122"/>
      <c r="BC41629" s="141"/>
    </row>
    <row r="41630">
      <c r="BB41630" s="122"/>
      <c r="BC41630" s="141"/>
    </row>
    <row r="41631">
      <c r="BB41631" s="122"/>
      <c r="BC41631" s="141"/>
    </row>
    <row r="41632">
      <c r="BB41632" s="122"/>
      <c r="BC41632" s="141"/>
    </row>
    <row r="41633">
      <c r="BB41633" s="122"/>
      <c r="BC41633" s="141"/>
    </row>
    <row r="41634">
      <c r="BB41634" s="122"/>
      <c r="BC41634" s="141"/>
    </row>
    <row r="41635">
      <c r="BB41635" s="122"/>
      <c r="BC41635" s="141"/>
    </row>
    <row r="41636">
      <c r="BB41636" s="122"/>
      <c r="BC41636" s="141"/>
    </row>
    <row r="41637">
      <c r="BB41637" s="122"/>
      <c r="BC41637" s="141"/>
    </row>
    <row r="41638">
      <c r="BB41638" s="122"/>
      <c r="BC41638" s="141"/>
    </row>
    <row r="41639">
      <c r="BB41639" s="122"/>
      <c r="BC41639" s="141"/>
    </row>
    <row r="41640">
      <c r="BB41640" s="122"/>
      <c r="BC41640" s="141"/>
    </row>
    <row r="41641">
      <c r="BB41641" s="122"/>
      <c r="BC41641" s="141"/>
    </row>
    <row r="41642">
      <c r="BB41642" s="122"/>
      <c r="BC41642" s="141"/>
    </row>
    <row r="41643">
      <c r="BB41643" s="122"/>
      <c r="BC41643" s="141"/>
    </row>
    <row r="41644">
      <c r="BB41644" s="122"/>
      <c r="BC41644" s="141"/>
    </row>
    <row r="41645">
      <c r="BB41645" s="122"/>
      <c r="BC41645" s="141"/>
    </row>
    <row r="41646">
      <c r="BB41646" s="122"/>
      <c r="BC41646" s="141"/>
    </row>
    <row r="41647">
      <c r="BB41647" s="122"/>
      <c r="BC41647" s="141"/>
    </row>
    <row r="41648">
      <c r="BB41648" s="122"/>
      <c r="BC41648" s="141"/>
    </row>
    <row r="41649">
      <c r="BB41649" s="122"/>
      <c r="BC41649" s="141"/>
    </row>
    <row r="41650">
      <c r="BB41650" s="122"/>
      <c r="BC41650" s="141"/>
    </row>
    <row r="41651">
      <c r="BB41651" s="122"/>
      <c r="BC41651" s="141"/>
    </row>
    <row r="41652">
      <c r="BB41652" s="122"/>
      <c r="BC41652" s="141"/>
    </row>
    <row r="41653">
      <c r="BB41653" s="122"/>
      <c r="BC41653" s="141"/>
    </row>
    <row r="41654">
      <c r="BB41654" s="122"/>
      <c r="BC41654" s="141"/>
    </row>
    <row r="41655">
      <c r="BB41655" s="122"/>
      <c r="BC41655" s="141"/>
    </row>
    <row r="41656">
      <c r="BB41656" s="122"/>
      <c r="BC41656" s="141"/>
    </row>
    <row r="41657">
      <c r="BB41657" s="122"/>
      <c r="BC41657" s="141"/>
    </row>
    <row r="41658">
      <c r="BB41658" s="122"/>
      <c r="BC41658" s="141"/>
    </row>
    <row r="41659">
      <c r="BB41659" s="122"/>
      <c r="BC41659" s="141"/>
    </row>
    <row r="41660">
      <c r="BB41660" s="122"/>
      <c r="BC41660" s="141"/>
    </row>
    <row r="41661">
      <c r="BB41661" s="122"/>
      <c r="BC41661" s="141"/>
    </row>
    <row r="41662">
      <c r="BB41662" s="122"/>
      <c r="BC41662" s="141"/>
    </row>
    <row r="41663">
      <c r="BB41663" s="122"/>
      <c r="BC41663" s="141"/>
    </row>
    <row r="41664">
      <c r="BB41664" s="122"/>
      <c r="BC41664" s="141"/>
    </row>
    <row r="41665">
      <c r="BB41665" s="122"/>
      <c r="BC41665" s="141"/>
    </row>
    <row r="41666">
      <c r="BB41666" s="122"/>
      <c r="BC41666" s="141"/>
    </row>
    <row r="41667">
      <c r="BB41667" s="122"/>
      <c r="BC41667" s="141"/>
    </row>
    <row r="41668">
      <c r="BB41668" s="122"/>
      <c r="BC41668" s="141"/>
    </row>
    <row r="41669">
      <c r="BB41669" s="122"/>
      <c r="BC41669" s="141"/>
    </row>
    <row r="41670">
      <c r="BB41670" s="122"/>
      <c r="BC41670" s="141"/>
    </row>
    <row r="41671">
      <c r="BB41671" s="122"/>
      <c r="BC41671" s="141"/>
    </row>
    <row r="41672">
      <c r="BB41672" s="122"/>
      <c r="BC41672" s="141"/>
    </row>
    <row r="41673">
      <c r="BB41673" s="122"/>
      <c r="BC41673" s="141"/>
    </row>
    <row r="41674">
      <c r="BB41674" s="122"/>
      <c r="BC41674" s="141"/>
    </row>
    <row r="41675">
      <c r="BB41675" s="122"/>
      <c r="BC41675" s="141"/>
    </row>
    <row r="41676">
      <c r="BB41676" s="122"/>
      <c r="BC41676" s="141"/>
    </row>
    <row r="41677">
      <c r="BB41677" s="122"/>
      <c r="BC41677" s="141"/>
    </row>
    <row r="41678">
      <c r="BB41678" s="122"/>
      <c r="BC41678" s="141"/>
    </row>
    <row r="41679">
      <c r="BB41679" s="122"/>
      <c r="BC41679" s="141"/>
    </row>
    <row r="41680">
      <c r="BB41680" s="122"/>
      <c r="BC41680" s="141"/>
    </row>
    <row r="41681">
      <c r="BB41681" s="122"/>
      <c r="BC41681" s="141"/>
    </row>
    <row r="41682">
      <c r="BB41682" s="122"/>
      <c r="BC41682" s="141"/>
    </row>
    <row r="41683">
      <c r="BB41683" s="122"/>
      <c r="BC41683" s="141"/>
    </row>
    <row r="41684">
      <c r="BB41684" s="122"/>
      <c r="BC41684" s="141"/>
    </row>
    <row r="41685">
      <c r="BB41685" s="122"/>
      <c r="BC41685" s="141"/>
    </row>
    <row r="41686">
      <c r="BB41686" s="122"/>
      <c r="BC41686" s="141"/>
    </row>
    <row r="41687">
      <c r="BB41687" s="122"/>
      <c r="BC41687" s="141"/>
    </row>
    <row r="41688">
      <c r="BB41688" s="122"/>
      <c r="BC41688" s="141"/>
    </row>
    <row r="41689">
      <c r="BB41689" s="122"/>
      <c r="BC41689" s="141"/>
    </row>
    <row r="41690">
      <c r="BB41690" s="122"/>
      <c r="BC41690" s="141"/>
    </row>
    <row r="41691">
      <c r="BB41691" s="122"/>
      <c r="BC41691" s="141"/>
    </row>
    <row r="41692">
      <c r="BB41692" s="122"/>
      <c r="BC41692" s="141"/>
    </row>
    <row r="41693">
      <c r="BB41693" s="122"/>
      <c r="BC41693" s="141"/>
    </row>
    <row r="41694">
      <c r="BB41694" s="122"/>
      <c r="BC41694" s="141"/>
    </row>
    <row r="41695">
      <c r="BB41695" s="122"/>
      <c r="BC41695" s="141"/>
    </row>
    <row r="41696">
      <c r="BB41696" s="122"/>
      <c r="BC41696" s="141"/>
    </row>
    <row r="41697">
      <c r="BB41697" s="122"/>
      <c r="BC41697" s="141"/>
    </row>
    <row r="41698">
      <c r="BB41698" s="122"/>
      <c r="BC41698" s="141"/>
    </row>
    <row r="41699">
      <c r="BB41699" s="122"/>
      <c r="BC41699" s="141"/>
    </row>
    <row r="41700">
      <c r="BB41700" s="122"/>
      <c r="BC41700" s="141"/>
    </row>
    <row r="41701">
      <c r="BB41701" s="122"/>
      <c r="BC41701" s="141"/>
    </row>
    <row r="41702">
      <c r="BB41702" s="122"/>
      <c r="BC41702" s="141"/>
    </row>
    <row r="41703">
      <c r="BB41703" s="122"/>
      <c r="BC41703" s="141"/>
    </row>
    <row r="41704">
      <c r="BB41704" s="122"/>
      <c r="BC41704" s="141"/>
    </row>
    <row r="41705">
      <c r="BB41705" s="122"/>
      <c r="BC41705" s="141"/>
    </row>
    <row r="41706">
      <c r="BB41706" s="122"/>
      <c r="BC41706" s="141"/>
    </row>
    <row r="41707">
      <c r="BB41707" s="122"/>
      <c r="BC41707" s="141"/>
    </row>
    <row r="41708">
      <c r="BB41708" s="122"/>
      <c r="BC41708" s="141"/>
    </row>
    <row r="41709">
      <c r="BB41709" s="122"/>
      <c r="BC41709" s="141"/>
    </row>
    <row r="41710">
      <c r="BB41710" s="122"/>
      <c r="BC41710" s="141"/>
    </row>
    <row r="41711">
      <c r="BB41711" s="122"/>
      <c r="BC41711" s="141"/>
    </row>
    <row r="41712">
      <c r="BB41712" s="122"/>
      <c r="BC41712" s="141"/>
    </row>
    <row r="41713">
      <c r="BB41713" s="122"/>
      <c r="BC41713" s="141"/>
    </row>
    <row r="41714">
      <c r="BB41714" s="122"/>
      <c r="BC41714" s="141"/>
    </row>
    <row r="41715">
      <c r="BB41715" s="122"/>
      <c r="BC41715" s="141"/>
    </row>
    <row r="41716">
      <c r="BB41716" s="122"/>
      <c r="BC41716" s="141"/>
    </row>
    <row r="41717">
      <c r="BB41717" s="122"/>
      <c r="BC41717" s="141"/>
    </row>
    <row r="41718">
      <c r="BB41718" s="122"/>
      <c r="BC41718" s="141"/>
    </row>
    <row r="41719">
      <c r="BB41719" s="122"/>
      <c r="BC41719" s="141"/>
    </row>
    <row r="41720">
      <c r="BB41720" s="122"/>
      <c r="BC41720" s="141"/>
    </row>
    <row r="41721">
      <c r="BB41721" s="122"/>
      <c r="BC41721" s="141"/>
    </row>
    <row r="41722">
      <c r="BB41722" s="122"/>
      <c r="BC41722" s="141"/>
    </row>
    <row r="41723">
      <c r="BB41723" s="122"/>
      <c r="BC41723" s="141"/>
    </row>
    <row r="41724">
      <c r="BB41724" s="122"/>
      <c r="BC41724" s="141"/>
    </row>
    <row r="41725">
      <c r="BB41725" s="122"/>
      <c r="BC41725" s="141"/>
    </row>
    <row r="41726">
      <c r="BB41726" s="122"/>
      <c r="BC41726" s="141"/>
    </row>
    <row r="41727">
      <c r="BB41727" s="122"/>
      <c r="BC41727" s="141"/>
    </row>
    <row r="41728">
      <c r="BB41728" s="122"/>
      <c r="BC41728" s="141"/>
    </row>
    <row r="41729">
      <c r="BB41729" s="122"/>
      <c r="BC41729" s="141"/>
    </row>
    <row r="41730">
      <c r="BB41730" s="122"/>
      <c r="BC41730" s="141"/>
    </row>
    <row r="41731">
      <c r="BB41731" s="122"/>
      <c r="BC41731" s="141"/>
    </row>
    <row r="41732">
      <c r="BB41732" s="122"/>
      <c r="BC41732" s="141"/>
    </row>
    <row r="41733">
      <c r="BB41733" s="122"/>
      <c r="BC41733" s="141"/>
    </row>
    <row r="41734">
      <c r="BB41734" s="122"/>
      <c r="BC41734" s="141"/>
    </row>
    <row r="41735">
      <c r="BB41735" s="122"/>
      <c r="BC41735" s="141"/>
    </row>
    <row r="41736">
      <c r="BB41736" s="122"/>
      <c r="BC41736" s="141"/>
    </row>
    <row r="41737">
      <c r="BB41737" s="122"/>
      <c r="BC41737" s="141"/>
    </row>
    <row r="41738">
      <c r="BB41738" s="122"/>
      <c r="BC41738" s="141"/>
    </row>
    <row r="41739">
      <c r="BB41739" s="122"/>
      <c r="BC41739" s="141"/>
    </row>
    <row r="41740">
      <c r="BB41740" s="122"/>
      <c r="BC41740" s="141"/>
    </row>
    <row r="41741">
      <c r="BB41741" s="122"/>
      <c r="BC41741" s="141"/>
    </row>
    <row r="41742">
      <c r="BB41742" s="122"/>
      <c r="BC41742" s="141"/>
    </row>
    <row r="41743">
      <c r="BB41743" s="122"/>
      <c r="BC41743" s="141"/>
    </row>
    <row r="41744">
      <c r="BB41744" s="122"/>
      <c r="BC41744" s="141"/>
    </row>
    <row r="41745">
      <c r="BB41745" s="122"/>
      <c r="BC41745" s="141"/>
    </row>
    <row r="41746">
      <c r="BB41746" s="122"/>
      <c r="BC41746" s="141"/>
    </row>
    <row r="41747">
      <c r="BB41747" s="122"/>
      <c r="BC41747" s="141"/>
    </row>
    <row r="41748">
      <c r="BB41748" s="122"/>
      <c r="BC41748" s="141"/>
    </row>
    <row r="41749">
      <c r="BB41749" s="122"/>
      <c r="BC41749" s="141"/>
    </row>
    <row r="41750">
      <c r="BB41750" s="122"/>
      <c r="BC41750" s="141"/>
    </row>
    <row r="41751">
      <c r="BB41751" s="122"/>
      <c r="BC41751" s="141"/>
    </row>
    <row r="41752">
      <c r="BB41752" s="122"/>
      <c r="BC41752" s="141"/>
    </row>
    <row r="41753">
      <c r="BB41753" s="122"/>
      <c r="BC41753" s="141"/>
    </row>
    <row r="41754">
      <c r="BB41754" s="122"/>
      <c r="BC41754" s="141"/>
    </row>
    <row r="41755">
      <c r="BB41755" s="122"/>
      <c r="BC41755" s="141"/>
    </row>
    <row r="41756">
      <c r="BB41756" s="122"/>
      <c r="BC41756" s="141"/>
    </row>
    <row r="41757">
      <c r="BB41757" s="122"/>
      <c r="BC41757" s="141"/>
    </row>
    <row r="41758">
      <c r="BB41758" s="122"/>
      <c r="BC41758" s="141"/>
    </row>
    <row r="41759">
      <c r="BB41759" s="122"/>
      <c r="BC41759" s="141"/>
    </row>
    <row r="41760">
      <c r="BB41760" s="122"/>
      <c r="BC41760" s="141"/>
    </row>
    <row r="41761">
      <c r="BB41761" s="122"/>
      <c r="BC41761" s="141"/>
    </row>
    <row r="41762">
      <c r="BB41762" s="122"/>
      <c r="BC41762" s="141"/>
    </row>
    <row r="41763">
      <c r="BB41763" s="122"/>
      <c r="BC41763" s="141"/>
    </row>
    <row r="41764">
      <c r="BB41764" s="122"/>
      <c r="BC41764" s="141"/>
    </row>
    <row r="41765">
      <c r="BB41765" s="122"/>
      <c r="BC41765" s="141"/>
    </row>
    <row r="41766">
      <c r="BB41766" s="122"/>
      <c r="BC41766" s="141"/>
    </row>
    <row r="41767">
      <c r="BB41767" s="122"/>
      <c r="BC41767" s="141"/>
    </row>
    <row r="41768">
      <c r="BB41768" s="122"/>
      <c r="BC41768" s="141"/>
    </row>
    <row r="41769">
      <c r="BB41769" s="122"/>
      <c r="BC41769" s="141"/>
    </row>
    <row r="41770">
      <c r="BB41770" s="122"/>
      <c r="BC41770" s="141"/>
    </row>
    <row r="41771">
      <c r="BB41771" s="122"/>
      <c r="BC41771" s="141"/>
    </row>
    <row r="41772">
      <c r="BB41772" s="122"/>
      <c r="BC41772" s="141"/>
    </row>
    <row r="41773">
      <c r="BB41773" s="122"/>
      <c r="BC41773" s="141"/>
    </row>
    <row r="41774">
      <c r="BB41774" s="122"/>
      <c r="BC41774" s="141"/>
    </row>
    <row r="41775">
      <c r="BB41775" s="122"/>
      <c r="BC41775" s="141"/>
    </row>
    <row r="41776">
      <c r="BB41776" s="122"/>
      <c r="BC41776" s="141"/>
    </row>
    <row r="41777">
      <c r="BB41777" s="122"/>
      <c r="BC41777" s="141"/>
    </row>
    <row r="41778">
      <c r="BB41778" s="122"/>
      <c r="BC41778" s="141"/>
    </row>
    <row r="41779">
      <c r="BB41779" s="122"/>
      <c r="BC41779" s="141"/>
    </row>
    <row r="41780">
      <c r="BB41780" s="122"/>
      <c r="BC41780" s="141"/>
    </row>
    <row r="41781">
      <c r="BB41781" s="122"/>
      <c r="BC41781" s="141"/>
    </row>
    <row r="41782">
      <c r="BB41782" s="122"/>
      <c r="BC41782" s="141"/>
    </row>
    <row r="41783">
      <c r="BB41783" s="122"/>
      <c r="BC41783" s="141"/>
    </row>
    <row r="41784">
      <c r="BB41784" s="122"/>
      <c r="BC41784" s="141"/>
    </row>
    <row r="41785">
      <c r="BB41785" s="122"/>
      <c r="BC41785" s="141"/>
    </row>
    <row r="41786">
      <c r="BB41786" s="122"/>
      <c r="BC41786" s="141"/>
    </row>
    <row r="41787">
      <c r="BB41787" s="122"/>
      <c r="BC41787" s="141"/>
    </row>
    <row r="41788">
      <c r="BB41788" s="122"/>
      <c r="BC41788" s="141"/>
    </row>
    <row r="41789">
      <c r="BB41789" s="122"/>
      <c r="BC41789" s="141"/>
    </row>
    <row r="41790">
      <c r="BB41790" s="122"/>
      <c r="BC41790" s="141"/>
    </row>
    <row r="41791">
      <c r="BB41791" s="122"/>
      <c r="BC41791" s="141"/>
    </row>
    <row r="41792">
      <c r="BB41792" s="122"/>
      <c r="BC41792" s="141"/>
    </row>
    <row r="41793">
      <c r="BB41793" s="122"/>
      <c r="BC41793" s="141"/>
    </row>
    <row r="41794">
      <c r="BB41794" s="122"/>
      <c r="BC41794" s="141"/>
    </row>
    <row r="41795">
      <c r="BB41795" s="122"/>
      <c r="BC41795" s="141"/>
    </row>
    <row r="41796">
      <c r="BB41796" s="122"/>
      <c r="BC41796" s="141"/>
    </row>
    <row r="41797">
      <c r="BB41797" s="122"/>
      <c r="BC41797" s="141"/>
    </row>
    <row r="41798">
      <c r="BB41798" s="122"/>
      <c r="BC41798" s="141"/>
    </row>
    <row r="41799">
      <c r="BB41799" s="122"/>
      <c r="BC41799" s="141"/>
    </row>
    <row r="41800">
      <c r="BB41800" s="122"/>
      <c r="BC41800" s="141"/>
    </row>
    <row r="41801">
      <c r="BB41801" s="122"/>
      <c r="BC41801" s="141"/>
    </row>
    <row r="41802">
      <c r="BB41802" s="122"/>
      <c r="BC41802" s="141"/>
    </row>
    <row r="41803">
      <c r="BB41803" s="122"/>
      <c r="BC41803" s="141"/>
    </row>
    <row r="41804">
      <c r="BB41804" s="122"/>
      <c r="BC41804" s="141"/>
    </row>
    <row r="41805">
      <c r="BB41805" s="122"/>
      <c r="BC41805" s="141"/>
    </row>
    <row r="41806">
      <c r="BB41806" s="122"/>
      <c r="BC41806" s="141"/>
    </row>
    <row r="41807">
      <c r="BB41807" s="122"/>
      <c r="BC41807" s="141"/>
    </row>
    <row r="41808">
      <c r="BB41808" s="122"/>
      <c r="BC41808" s="141"/>
    </row>
    <row r="41809">
      <c r="BB41809" s="122"/>
      <c r="BC41809" s="141"/>
    </row>
    <row r="41810">
      <c r="BB41810" s="122"/>
      <c r="BC41810" s="141"/>
    </row>
    <row r="41811">
      <c r="BB41811" s="122"/>
      <c r="BC41811" s="141"/>
    </row>
    <row r="41812">
      <c r="BB41812" s="122"/>
      <c r="BC41812" s="141"/>
    </row>
    <row r="41813">
      <c r="BB41813" s="122"/>
      <c r="BC41813" s="141"/>
    </row>
    <row r="41814">
      <c r="BB41814" s="122"/>
      <c r="BC41814" s="141"/>
    </row>
    <row r="41815">
      <c r="BB41815" s="122"/>
      <c r="BC41815" s="141"/>
    </row>
    <row r="41816">
      <c r="BB41816" s="122"/>
      <c r="BC41816" s="141"/>
    </row>
    <row r="41817">
      <c r="BB41817" s="122"/>
      <c r="BC41817" s="141"/>
    </row>
    <row r="41818">
      <c r="BB41818" s="122"/>
      <c r="BC41818" s="141"/>
    </row>
    <row r="41819">
      <c r="BB41819" s="122"/>
      <c r="BC41819" s="141"/>
    </row>
    <row r="41820">
      <c r="BB41820" s="122"/>
      <c r="BC41820" s="141"/>
    </row>
    <row r="41821">
      <c r="BB41821" s="122"/>
      <c r="BC41821" s="141"/>
    </row>
    <row r="41822">
      <c r="BB41822" s="122"/>
      <c r="BC41822" s="141"/>
    </row>
    <row r="41823">
      <c r="BB41823" s="122"/>
      <c r="BC41823" s="141"/>
    </row>
    <row r="41824">
      <c r="BB41824" s="122"/>
      <c r="BC41824" s="141"/>
    </row>
    <row r="41825">
      <c r="BB41825" s="122"/>
      <c r="BC41825" s="141"/>
    </row>
    <row r="41826">
      <c r="BB41826" s="122"/>
      <c r="BC41826" s="141"/>
    </row>
    <row r="41827">
      <c r="BB41827" s="122"/>
      <c r="BC41827" s="141"/>
    </row>
    <row r="41828">
      <c r="BB41828" s="122"/>
      <c r="BC41828" s="141"/>
    </row>
    <row r="41829">
      <c r="BB41829" s="122"/>
      <c r="BC41829" s="141"/>
    </row>
    <row r="41830">
      <c r="BB41830" s="122"/>
      <c r="BC41830" s="141"/>
    </row>
    <row r="41831">
      <c r="BB41831" s="122"/>
      <c r="BC41831" s="141"/>
    </row>
    <row r="41832">
      <c r="BB41832" s="122"/>
      <c r="BC41832" s="141"/>
    </row>
    <row r="41833">
      <c r="BB41833" s="122"/>
      <c r="BC41833" s="141"/>
    </row>
    <row r="41834">
      <c r="BB41834" s="122"/>
      <c r="BC41834" s="141"/>
    </row>
    <row r="41835">
      <c r="BB41835" s="122"/>
      <c r="BC41835" s="141"/>
    </row>
    <row r="41836">
      <c r="BB41836" s="122"/>
      <c r="BC41836" s="141"/>
    </row>
    <row r="41837">
      <c r="BB41837" s="122"/>
      <c r="BC41837" s="141"/>
    </row>
    <row r="41838">
      <c r="BB41838" s="122"/>
      <c r="BC41838" s="141"/>
    </row>
    <row r="41839">
      <c r="BB41839" s="122"/>
      <c r="BC41839" s="141"/>
    </row>
    <row r="41840">
      <c r="BB41840" s="122"/>
      <c r="BC41840" s="141"/>
    </row>
    <row r="41841">
      <c r="BB41841" s="122"/>
      <c r="BC41841" s="141"/>
    </row>
    <row r="41842">
      <c r="BB41842" s="122"/>
      <c r="BC41842" s="141"/>
    </row>
    <row r="41843">
      <c r="BB41843" s="122"/>
      <c r="BC41843" s="141"/>
    </row>
    <row r="41844">
      <c r="BB41844" s="122"/>
      <c r="BC41844" s="141"/>
    </row>
    <row r="41845">
      <c r="BB41845" s="122"/>
      <c r="BC41845" s="141"/>
    </row>
    <row r="41846">
      <c r="BB41846" s="122"/>
      <c r="BC41846" s="141"/>
    </row>
    <row r="41847">
      <c r="BB41847" s="122"/>
      <c r="BC41847" s="141"/>
    </row>
    <row r="41848">
      <c r="BB41848" s="122"/>
      <c r="BC41848" s="141"/>
    </row>
    <row r="41849">
      <c r="BB41849" s="122"/>
      <c r="BC41849" s="141"/>
    </row>
    <row r="41850">
      <c r="BB41850" s="122"/>
      <c r="BC41850" s="141"/>
    </row>
    <row r="41851">
      <c r="BB41851" s="122"/>
      <c r="BC41851" s="141"/>
    </row>
    <row r="41852">
      <c r="BB41852" s="122"/>
      <c r="BC41852" s="141"/>
    </row>
    <row r="41853">
      <c r="BB41853" s="122"/>
      <c r="BC41853" s="141"/>
    </row>
    <row r="41854">
      <c r="BB41854" s="122"/>
      <c r="BC41854" s="141"/>
    </row>
    <row r="41855">
      <c r="BB41855" s="122"/>
      <c r="BC41855" s="141"/>
    </row>
    <row r="41856">
      <c r="BB41856" s="122"/>
      <c r="BC41856" s="141"/>
    </row>
    <row r="41857">
      <c r="BB41857" s="122"/>
      <c r="BC41857" s="141"/>
    </row>
    <row r="41858">
      <c r="BB41858" s="122"/>
      <c r="BC41858" s="141"/>
    </row>
    <row r="41859">
      <c r="BB41859" s="122"/>
      <c r="BC41859" s="141"/>
    </row>
    <row r="41860">
      <c r="BB41860" s="122"/>
      <c r="BC41860" s="141"/>
    </row>
    <row r="41861">
      <c r="BB41861" s="122"/>
      <c r="BC41861" s="141"/>
    </row>
    <row r="41862">
      <c r="BB41862" s="122"/>
      <c r="BC41862" s="141"/>
    </row>
    <row r="41863">
      <c r="BB41863" s="122"/>
      <c r="BC41863" s="141"/>
    </row>
    <row r="41864">
      <c r="BB41864" s="122"/>
      <c r="BC41864" s="141"/>
    </row>
    <row r="41865">
      <c r="BB41865" s="122"/>
      <c r="BC41865" s="141"/>
    </row>
    <row r="41866">
      <c r="BB41866" s="122"/>
      <c r="BC41866" s="141"/>
    </row>
    <row r="41867">
      <c r="BB41867" s="122"/>
      <c r="BC41867" s="141"/>
    </row>
    <row r="41868">
      <c r="BB41868" s="122"/>
      <c r="BC41868" s="141"/>
    </row>
    <row r="41869">
      <c r="BB41869" s="122"/>
      <c r="BC41869" s="141"/>
    </row>
    <row r="41870">
      <c r="BB41870" s="122"/>
      <c r="BC41870" s="141"/>
    </row>
    <row r="41871">
      <c r="BB41871" s="122"/>
      <c r="BC41871" s="141"/>
    </row>
    <row r="41872">
      <c r="BB41872" s="122"/>
      <c r="BC41872" s="141"/>
    </row>
    <row r="41873">
      <c r="BB41873" s="122"/>
      <c r="BC41873" s="141"/>
    </row>
    <row r="41874">
      <c r="BB41874" s="122"/>
      <c r="BC41874" s="141"/>
    </row>
    <row r="41875">
      <c r="BB41875" s="122"/>
      <c r="BC41875" s="141"/>
    </row>
    <row r="41876">
      <c r="BB41876" s="122"/>
      <c r="BC41876" s="141"/>
    </row>
    <row r="41877">
      <c r="BB41877" s="122"/>
      <c r="BC41877" s="141"/>
    </row>
    <row r="41878">
      <c r="BB41878" s="122"/>
      <c r="BC41878" s="141"/>
    </row>
    <row r="41879">
      <c r="BB41879" s="122"/>
      <c r="BC41879" s="141"/>
    </row>
    <row r="41880">
      <c r="BB41880" s="122"/>
      <c r="BC41880" s="141"/>
    </row>
    <row r="41881">
      <c r="BB41881" s="122"/>
      <c r="BC41881" s="141"/>
    </row>
    <row r="41882">
      <c r="BB41882" s="122"/>
      <c r="BC41882" s="141"/>
    </row>
    <row r="41883">
      <c r="BB41883" s="122"/>
      <c r="BC41883" s="141"/>
    </row>
    <row r="41884">
      <c r="BB41884" s="122"/>
      <c r="BC41884" s="141"/>
    </row>
    <row r="41885">
      <c r="BB41885" s="122"/>
      <c r="BC41885" s="141"/>
    </row>
    <row r="41886">
      <c r="BB41886" s="122"/>
      <c r="BC41886" s="141"/>
    </row>
    <row r="41887">
      <c r="BB41887" s="122"/>
      <c r="BC41887" s="141"/>
    </row>
    <row r="41888">
      <c r="BB41888" s="122"/>
      <c r="BC41888" s="141"/>
    </row>
    <row r="41889">
      <c r="BB41889" s="122"/>
      <c r="BC41889" s="141"/>
    </row>
    <row r="41890">
      <c r="BB41890" s="122"/>
      <c r="BC41890" s="141"/>
    </row>
    <row r="41891">
      <c r="BB41891" s="122"/>
      <c r="BC41891" s="141"/>
    </row>
    <row r="41892">
      <c r="BB41892" s="122"/>
      <c r="BC41892" s="141"/>
    </row>
    <row r="41893">
      <c r="BB41893" s="122"/>
      <c r="BC41893" s="141"/>
    </row>
    <row r="41894">
      <c r="BB41894" s="122"/>
      <c r="BC41894" s="141"/>
    </row>
    <row r="41895">
      <c r="BB41895" s="122"/>
      <c r="BC41895" s="141"/>
    </row>
    <row r="41896">
      <c r="BB41896" s="122"/>
      <c r="BC41896" s="141"/>
    </row>
    <row r="41897">
      <c r="BB41897" s="122"/>
      <c r="BC41897" s="141"/>
    </row>
    <row r="41898">
      <c r="BB41898" s="122"/>
      <c r="BC41898" s="141"/>
    </row>
    <row r="41899">
      <c r="BB41899" s="122"/>
      <c r="BC41899" s="141"/>
    </row>
    <row r="41900">
      <c r="BB41900" s="122"/>
      <c r="BC41900" s="141"/>
    </row>
    <row r="41901">
      <c r="BB41901" s="122"/>
      <c r="BC41901" s="141"/>
    </row>
    <row r="41902">
      <c r="BB41902" s="122"/>
      <c r="BC41902" s="141"/>
    </row>
    <row r="41903">
      <c r="BB41903" s="122"/>
      <c r="BC41903" s="141"/>
    </row>
    <row r="41904">
      <c r="BB41904" s="122"/>
      <c r="BC41904" s="141"/>
    </row>
    <row r="41905">
      <c r="BB41905" s="122"/>
      <c r="BC41905" s="141"/>
    </row>
    <row r="41906">
      <c r="BB41906" s="122"/>
      <c r="BC41906" s="141"/>
    </row>
    <row r="41907">
      <c r="BB41907" s="122"/>
      <c r="BC41907" s="141"/>
    </row>
    <row r="41908">
      <c r="BB41908" s="122"/>
      <c r="BC41908" s="141"/>
    </row>
    <row r="41909">
      <c r="BB41909" s="122"/>
      <c r="BC41909" s="141"/>
    </row>
    <row r="41910">
      <c r="BB41910" s="122"/>
      <c r="BC41910" s="141"/>
    </row>
    <row r="41911">
      <c r="BB41911" s="122"/>
      <c r="BC41911" s="141"/>
    </row>
    <row r="41912">
      <c r="BB41912" s="122"/>
      <c r="BC41912" s="141"/>
    </row>
    <row r="41913">
      <c r="BB41913" s="122"/>
      <c r="BC41913" s="141"/>
    </row>
    <row r="41914">
      <c r="BB41914" s="122"/>
      <c r="BC41914" s="141"/>
    </row>
    <row r="41915">
      <c r="BB41915" s="122"/>
      <c r="BC41915" s="141"/>
    </row>
    <row r="41916">
      <c r="BB41916" s="122"/>
      <c r="BC41916" s="141"/>
    </row>
    <row r="41917">
      <c r="BB41917" s="122"/>
      <c r="BC41917" s="141"/>
    </row>
    <row r="41918">
      <c r="BB41918" s="122"/>
      <c r="BC41918" s="141"/>
    </row>
    <row r="41919">
      <c r="BB41919" s="122"/>
      <c r="BC41919" s="141"/>
    </row>
    <row r="41920">
      <c r="BB41920" s="122"/>
      <c r="BC41920" s="141"/>
    </row>
    <row r="41921">
      <c r="BB41921" s="122"/>
      <c r="BC41921" s="141"/>
    </row>
    <row r="41922">
      <c r="BB41922" s="122"/>
      <c r="BC41922" s="141"/>
    </row>
    <row r="41923">
      <c r="BB41923" s="122"/>
      <c r="BC41923" s="141"/>
    </row>
    <row r="41924">
      <c r="BB41924" s="122"/>
      <c r="BC41924" s="141"/>
    </row>
    <row r="41925">
      <c r="BB41925" s="122"/>
      <c r="BC41925" s="141"/>
    </row>
    <row r="41926">
      <c r="BB41926" s="122"/>
      <c r="BC41926" s="141"/>
    </row>
    <row r="41927">
      <c r="BB41927" s="122"/>
      <c r="BC41927" s="141"/>
    </row>
    <row r="41928">
      <c r="BB41928" s="122"/>
      <c r="BC41928" s="141"/>
    </row>
    <row r="41929">
      <c r="BB41929" s="122"/>
      <c r="BC41929" s="141"/>
    </row>
    <row r="41930">
      <c r="BB41930" s="122"/>
      <c r="BC41930" s="141"/>
    </row>
    <row r="41931">
      <c r="BB41931" s="122"/>
      <c r="BC41931" s="141"/>
    </row>
    <row r="41932">
      <c r="BB41932" s="122"/>
      <c r="BC41932" s="141"/>
    </row>
    <row r="41933">
      <c r="BB41933" s="122"/>
      <c r="BC41933" s="141"/>
    </row>
    <row r="41934">
      <c r="BB41934" s="122"/>
      <c r="BC41934" s="141"/>
    </row>
    <row r="41935">
      <c r="BB41935" s="122"/>
      <c r="BC41935" s="141"/>
    </row>
    <row r="41936">
      <c r="BB41936" s="122"/>
      <c r="BC41936" s="141"/>
    </row>
    <row r="41937">
      <c r="BB41937" s="122"/>
      <c r="BC41937" s="141"/>
    </row>
    <row r="41938">
      <c r="BB41938" s="122"/>
      <c r="BC41938" s="141"/>
    </row>
    <row r="41939">
      <c r="BB41939" s="122"/>
      <c r="BC41939" s="141"/>
    </row>
    <row r="41940">
      <c r="BB41940" s="122"/>
      <c r="BC41940" s="141"/>
    </row>
    <row r="41941">
      <c r="BB41941" s="122"/>
      <c r="BC41941" s="141"/>
    </row>
    <row r="41942">
      <c r="BB41942" s="122"/>
      <c r="BC41942" s="141"/>
    </row>
    <row r="41943">
      <c r="BB41943" s="122"/>
      <c r="BC41943" s="141"/>
    </row>
    <row r="41944">
      <c r="BB41944" s="122"/>
      <c r="BC41944" s="141"/>
    </row>
    <row r="41945">
      <c r="BB41945" s="122"/>
      <c r="BC41945" s="141"/>
    </row>
    <row r="41946">
      <c r="BB41946" s="122"/>
      <c r="BC41946" s="141"/>
    </row>
    <row r="41947">
      <c r="BB41947" s="122"/>
      <c r="BC41947" s="141"/>
    </row>
    <row r="41948">
      <c r="BB41948" s="122"/>
      <c r="BC41948" s="141"/>
    </row>
    <row r="41949">
      <c r="BB41949" s="122"/>
      <c r="BC41949" s="141"/>
    </row>
    <row r="41950">
      <c r="BB41950" s="122"/>
      <c r="BC41950" s="141"/>
    </row>
    <row r="41951">
      <c r="BB41951" s="122"/>
      <c r="BC41951" s="141"/>
    </row>
    <row r="41952">
      <c r="BB41952" s="122"/>
      <c r="BC41952" s="141"/>
    </row>
    <row r="41953">
      <c r="BB41953" s="122"/>
      <c r="BC41953" s="141"/>
    </row>
    <row r="41954">
      <c r="BB41954" s="122"/>
      <c r="BC41954" s="141"/>
    </row>
    <row r="41955">
      <c r="BB41955" s="122"/>
      <c r="BC41955" s="141"/>
    </row>
    <row r="41956">
      <c r="BB41956" s="122"/>
      <c r="BC41956" s="141"/>
    </row>
    <row r="41957">
      <c r="BB41957" s="122"/>
      <c r="BC41957" s="141"/>
    </row>
    <row r="41958">
      <c r="BB41958" s="122"/>
      <c r="BC41958" s="141"/>
    </row>
    <row r="41959">
      <c r="BB41959" s="122"/>
      <c r="BC41959" s="141"/>
    </row>
    <row r="41960">
      <c r="BB41960" s="122"/>
      <c r="BC41960" s="141"/>
    </row>
    <row r="41961">
      <c r="BB41961" s="122"/>
      <c r="BC41961" s="141"/>
    </row>
    <row r="41962">
      <c r="BB41962" s="122"/>
      <c r="BC41962" s="141"/>
    </row>
    <row r="41963">
      <c r="BB41963" s="122"/>
      <c r="BC41963" s="141"/>
    </row>
    <row r="41964">
      <c r="BB41964" s="122"/>
      <c r="BC41964" s="141"/>
    </row>
    <row r="41965">
      <c r="BB41965" s="122"/>
      <c r="BC41965" s="141"/>
    </row>
    <row r="41966">
      <c r="BB41966" s="122"/>
      <c r="BC41966" s="141"/>
    </row>
    <row r="41967">
      <c r="BB41967" s="122"/>
      <c r="BC41967" s="141"/>
    </row>
    <row r="41968">
      <c r="BB41968" s="122"/>
      <c r="BC41968" s="141"/>
    </row>
    <row r="41969">
      <c r="BB41969" s="122"/>
      <c r="BC41969" s="141"/>
    </row>
    <row r="41970">
      <c r="BB41970" s="122"/>
      <c r="BC41970" s="141"/>
    </row>
    <row r="41971">
      <c r="BB41971" s="122"/>
      <c r="BC41971" s="141"/>
    </row>
    <row r="41972">
      <c r="BB41972" s="122"/>
      <c r="BC41972" s="141"/>
    </row>
    <row r="41973">
      <c r="BB41973" s="122"/>
      <c r="BC41973" s="141"/>
    </row>
    <row r="41974">
      <c r="BB41974" s="122"/>
      <c r="BC41974" s="141"/>
    </row>
    <row r="41975">
      <c r="BB41975" s="122"/>
      <c r="BC41975" s="141"/>
    </row>
    <row r="41976">
      <c r="BB41976" s="122"/>
      <c r="BC41976" s="141"/>
    </row>
    <row r="41977">
      <c r="BB41977" s="122"/>
      <c r="BC41977" s="141"/>
    </row>
    <row r="41978">
      <c r="BB41978" s="122"/>
      <c r="BC41978" s="141"/>
    </row>
    <row r="41979">
      <c r="BB41979" s="122"/>
      <c r="BC41979" s="141"/>
    </row>
    <row r="41980">
      <c r="BB41980" s="122"/>
      <c r="BC41980" s="141"/>
    </row>
    <row r="41981">
      <c r="BB41981" s="122"/>
      <c r="BC41981" s="141"/>
    </row>
    <row r="41982">
      <c r="BB41982" s="122"/>
      <c r="BC41982" s="141"/>
    </row>
    <row r="41983">
      <c r="BB41983" s="122"/>
      <c r="BC41983" s="141"/>
    </row>
    <row r="41984">
      <c r="BB41984" s="122"/>
      <c r="BC41984" s="141"/>
    </row>
    <row r="41985">
      <c r="BB41985" s="122"/>
      <c r="BC41985" s="141"/>
    </row>
    <row r="41986">
      <c r="BB41986" s="122"/>
      <c r="BC41986" s="141"/>
    </row>
    <row r="41987">
      <c r="BB41987" s="122"/>
      <c r="BC41987" s="141"/>
    </row>
    <row r="41988">
      <c r="BB41988" s="122"/>
      <c r="BC41988" s="141"/>
    </row>
    <row r="41989">
      <c r="BB41989" s="122"/>
      <c r="BC41989" s="141"/>
    </row>
    <row r="41990">
      <c r="BB41990" s="122"/>
      <c r="BC41990" s="141"/>
    </row>
    <row r="41991">
      <c r="BB41991" s="122"/>
      <c r="BC41991" s="141"/>
    </row>
    <row r="41992">
      <c r="BB41992" s="122"/>
      <c r="BC41992" s="141"/>
    </row>
    <row r="41993">
      <c r="BB41993" s="122"/>
      <c r="BC41993" s="141"/>
    </row>
    <row r="41994">
      <c r="BB41994" s="122"/>
      <c r="BC41994" s="141"/>
    </row>
    <row r="41995">
      <c r="BB41995" s="122"/>
      <c r="BC41995" s="141"/>
    </row>
    <row r="41996">
      <c r="BB41996" s="122"/>
      <c r="BC41996" s="141"/>
    </row>
    <row r="41997">
      <c r="BB41997" s="122"/>
      <c r="BC41997" s="141"/>
    </row>
    <row r="41998">
      <c r="BB41998" s="122"/>
      <c r="BC41998" s="141"/>
    </row>
    <row r="41999">
      <c r="BB41999" s="122"/>
      <c r="BC41999" s="141"/>
    </row>
    <row r="42000">
      <c r="BB42000" s="122"/>
      <c r="BC42000" s="141"/>
    </row>
    <row r="42001">
      <c r="BB42001" s="122"/>
      <c r="BC42001" s="141"/>
    </row>
    <row r="42002">
      <c r="BB42002" s="122"/>
      <c r="BC42002" s="141"/>
    </row>
    <row r="42003">
      <c r="BB42003" s="122"/>
      <c r="BC42003" s="141"/>
    </row>
    <row r="42004">
      <c r="BB42004" s="122"/>
      <c r="BC42004" s="141"/>
    </row>
    <row r="42005">
      <c r="BB42005" s="122"/>
      <c r="BC42005" s="141"/>
    </row>
    <row r="42006">
      <c r="BB42006" s="122"/>
      <c r="BC42006" s="141"/>
    </row>
    <row r="42007">
      <c r="BB42007" s="122"/>
      <c r="BC42007" s="141"/>
    </row>
    <row r="42008">
      <c r="BB42008" s="122"/>
      <c r="BC42008" s="141"/>
    </row>
    <row r="42009">
      <c r="BB42009" s="122"/>
      <c r="BC42009" s="141"/>
    </row>
    <row r="42010">
      <c r="BB42010" s="122"/>
      <c r="BC42010" s="141"/>
    </row>
    <row r="42011">
      <c r="BB42011" s="122"/>
      <c r="BC42011" s="141"/>
    </row>
    <row r="42012">
      <c r="BB42012" s="122"/>
      <c r="BC42012" s="141"/>
    </row>
    <row r="42013">
      <c r="BB42013" s="122"/>
      <c r="BC42013" s="141"/>
    </row>
    <row r="42014">
      <c r="BB42014" s="122"/>
      <c r="BC42014" s="141"/>
    </row>
    <row r="42015">
      <c r="BB42015" s="122"/>
      <c r="BC42015" s="141"/>
    </row>
    <row r="42016">
      <c r="BB42016" s="122"/>
      <c r="BC42016" s="141"/>
    </row>
    <row r="42017">
      <c r="BB42017" s="122"/>
      <c r="BC42017" s="141"/>
    </row>
    <row r="42018">
      <c r="BB42018" s="122"/>
      <c r="BC42018" s="141"/>
    </row>
    <row r="42019">
      <c r="BB42019" s="122"/>
      <c r="BC42019" s="141"/>
    </row>
    <row r="42020">
      <c r="BB42020" s="122"/>
      <c r="BC42020" s="141"/>
    </row>
    <row r="42021">
      <c r="BB42021" s="122"/>
      <c r="BC42021" s="141"/>
    </row>
    <row r="42022">
      <c r="BB42022" s="122"/>
      <c r="BC42022" s="141"/>
    </row>
    <row r="42023">
      <c r="BB42023" s="122"/>
      <c r="BC42023" s="141"/>
    </row>
    <row r="42024">
      <c r="BB42024" s="122"/>
      <c r="BC42024" s="141"/>
    </row>
    <row r="42025">
      <c r="BB42025" s="122"/>
      <c r="BC42025" s="141"/>
    </row>
    <row r="42026">
      <c r="BB42026" s="122"/>
      <c r="BC42026" s="141"/>
    </row>
    <row r="42027">
      <c r="BB42027" s="122"/>
      <c r="BC42027" s="141"/>
    </row>
    <row r="42028">
      <c r="BB42028" s="122"/>
      <c r="BC42028" s="141"/>
    </row>
    <row r="42029">
      <c r="BB42029" s="122"/>
      <c r="BC42029" s="141"/>
    </row>
    <row r="42030">
      <c r="BB42030" s="122"/>
      <c r="BC42030" s="141"/>
    </row>
    <row r="42031">
      <c r="BB42031" s="122"/>
      <c r="BC42031" s="141"/>
    </row>
    <row r="42032">
      <c r="BB42032" s="122"/>
      <c r="BC42032" s="141"/>
    </row>
    <row r="42033">
      <c r="BB42033" s="122"/>
      <c r="BC42033" s="141"/>
    </row>
    <row r="42034">
      <c r="BB42034" s="122"/>
      <c r="BC42034" s="141"/>
    </row>
    <row r="42035">
      <c r="BB42035" s="122"/>
      <c r="BC42035" s="141"/>
    </row>
    <row r="42036">
      <c r="BB42036" s="122"/>
      <c r="BC42036" s="141"/>
    </row>
    <row r="42037">
      <c r="BB42037" s="122"/>
      <c r="BC42037" s="141"/>
    </row>
    <row r="42038">
      <c r="BB42038" s="122"/>
      <c r="BC42038" s="141"/>
    </row>
    <row r="42039">
      <c r="BB42039" s="122"/>
      <c r="BC42039" s="141"/>
    </row>
    <row r="42040">
      <c r="BB42040" s="122"/>
      <c r="BC42040" s="141"/>
    </row>
    <row r="42041">
      <c r="BB42041" s="122"/>
      <c r="BC42041" s="141"/>
    </row>
    <row r="42042">
      <c r="BB42042" s="122"/>
      <c r="BC42042" s="141"/>
    </row>
    <row r="42043">
      <c r="BB42043" s="122"/>
      <c r="BC42043" s="141"/>
    </row>
    <row r="42044">
      <c r="BB42044" s="122"/>
      <c r="BC42044" s="141"/>
    </row>
    <row r="42045">
      <c r="BB42045" s="122"/>
      <c r="BC42045" s="141"/>
    </row>
    <row r="42046">
      <c r="BB42046" s="122"/>
      <c r="BC42046" s="141"/>
    </row>
    <row r="42047">
      <c r="BB42047" s="122"/>
      <c r="BC42047" s="141"/>
    </row>
    <row r="42048">
      <c r="BB42048" s="122"/>
      <c r="BC42048" s="141"/>
    </row>
    <row r="42049">
      <c r="BB42049" s="122"/>
      <c r="BC42049" s="141"/>
    </row>
    <row r="42050">
      <c r="BB42050" s="122"/>
      <c r="BC42050" s="141"/>
    </row>
    <row r="42051">
      <c r="BB42051" s="122"/>
      <c r="BC42051" s="141"/>
    </row>
    <row r="42052">
      <c r="BB42052" s="122"/>
      <c r="BC42052" s="141"/>
    </row>
    <row r="42053">
      <c r="BB42053" s="122"/>
      <c r="BC42053" s="141"/>
    </row>
    <row r="42054">
      <c r="BB42054" s="122"/>
      <c r="BC42054" s="141"/>
    </row>
    <row r="42055">
      <c r="BB42055" s="122"/>
      <c r="BC42055" s="141"/>
    </row>
    <row r="42056">
      <c r="BB42056" s="122"/>
      <c r="BC42056" s="141"/>
    </row>
    <row r="42057">
      <c r="BB42057" s="122"/>
      <c r="BC42057" s="141"/>
    </row>
    <row r="42058">
      <c r="BB42058" s="122"/>
      <c r="BC42058" s="141"/>
    </row>
    <row r="42059">
      <c r="BB42059" s="122"/>
      <c r="BC42059" s="141"/>
    </row>
    <row r="42060">
      <c r="BB42060" s="122"/>
      <c r="BC42060" s="141"/>
    </row>
    <row r="42061">
      <c r="BB42061" s="122"/>
      <c r="BC42061" s="141"/>
    </row>
    <row r="42062">
      <c r="BB42062" s="122"/>
      <c r="BC42062" s="141"/>
    </row>
    <row r="42063">
      <c r="BB42063" s="122"/>
      <c r="BC42063" s="141"/>
    </row>
    <row r="42064">
      <c r="BB42064" s="122"/>
      <c r="BC42064" s="141"/>
    </row>
    <row r="42065">
      <c r="BB42065" s="122"/>
      <c r="BC42065" s="141"/>
    </row>
    <row r="42066">
      <c r="BB42066" s="122"/>
      <c r="BC42066" s="141"/>
    </row>
    <row r="42067">
      <c r="BB42067" s="122"/>
      <c r="BC42067" s="141"/>
    </row>
    <row r="42068">
      <c r="BB42068" s="122"/>
      <c r="BC42068" s="141"/>
    </row>
    <row r="42069">
      <c r="BB42069" s="122"/>
      <c r="BC42069" s="141"/>
    </row>
    <row r="42070">
      <c r="BB42070" s="122"/>
      <c r="BC42070" s="141"/>
    </row>
    <row r="42071">
      <c r="BB42071" s="122"/>
      <c r="BC42071" s="141"/>
    </row>
    <row r="42072">
      <c r="BB42072" s="122"/>
      <c r="BC42072" s="141"/>
    </row>
    <row r="42073">
      <c r="BB42073" s="122"/>
      <c r="BC42073" s="141"/>
    </row>
    <row r="42074">
      <c r="BB42074" s="122"/>
      <c r="BC42074" s="141"/>
    </row>
    <row r="42075">
      <c r="BB42075" s="122"/>
      <c r="BC42075" s="141"/>
    </row>
    <row r="42076">
      <c r="BB42076" s="122"/>
      <c r="BC42076" s="141"/>
    </row>
    <row r="42077">
      <c r="BB42077" s="122"/>
      <c r="BC42077" s="141"/>
    </row>
    <row r="42078">
      <c r="BB42078" s="122"/>
      <c r="BC42078" s="141"/>
    </row>
    <row r="42079">
      <c r="BB42079" s="122"/>
      <c r="BC42079" s="141"/>
    </row>
    <row r="42080">
      <c r="BB42080" s="122"/>
      <c r="BC42080" s="141"/>
    </row>
    <row r="42081">
      <c r="BB42081" s="122"/>
      <c r="BC42081" s="141"/>
    </row>
    <row r="42082">
      <c r="BB42082" s="122"/>
      <c r="BC42082" s="141"/>
    </row>
    <row r="42083">
      <c r="BB42083" s="122"/>
      <c r="BC42083" s="141"/>
    </row>
    <row r="42084">
      <c r="BB42084" s="122"/>
      <c r="BC42084" s="141"/>
    </row>
    <row r="42085">
      <c r="BB42085" s="122"/>
      <c r="BC42085" s="141"/>
    </row>
    <row r="42086">
      <c r="BB42086" s="122"/>
      <c r="BC42086" s="141"/>
    </row>
    <row r="42087">
      <c r="BB42087" s="122"/>
      <c r="BC42087" s="141"/>
    </row>
    <row r="42088">
      <c r="BB42088" s="122"/>
      <c r="BC42088" s="141"/>
    </row>
    <row r="42089">
      <c r="BB42089" s="122"/>
      <c r="BC42089" s="141"/>
    </row>
    <row r="42090">
      <c r="BB42090" s="122"/>
      <c r="BC42090" s="141"/>
    </row>
    <row r="42091">
      <c r="BB42091" s="122"/>
      <c r="BC42091" s="141"/>
    </row>
    <row r="42092">
      <c r="BB42092" s="122"/>
      <c r="BC42092" s="141"/>
    </row>
    <row r="42093">
      <c r="BB42093" s="122"/>
      <c r="BC42093" s="141"/>
    </row>
    <row r="42094">
      <c r="BB42094" s="122"/>
      <c r="BC42094" s="141"/>
    </row>
    <row r="42095">
      <c r="BB42095" s="122"/>
      <c r="BC42095" s="141"/>
    </row>
    <row r="42096">
      <c r="BB42096" s="122"/>
      <c r="BC42096" s="141"/>
    </row>
    <row r="42097">
      <c r="BB42097" s="122"/>
      <c r="BC42097" s="141"/>
    </row>
    <row r="42098">
      <c r="BB42098" s="122"/>
      <c r="BC42098" s="141"/>
    </row>
    <row r="42099">
      <c r="BB42099" s="122"/>
      <c r="BC42099" s="141"/>
    </row>
    <row r="42100">
      <c r="BB42100" s="122"/>
      <c r="BC42100" s="141"/>
    </row>
    <row r="42101">
      <c r="BB42101" s="122"/>
      <c r="BC42101" s="141"/>
    </row>
    <row r="42102">
      <c r="BB42102" s="122"/>
      <c r="BC42102" s="141"/>
    </row>
    <row r="42103">
      <c r="BB42103" s="122"/>
      <c r="BC42103" s="141"/>
    </row>
    <row r="42104">
      <c r="BB42104" s="122"/>
      <c r="BC42104" s="141"/>
    </row>
    <row r="42105">
      <c r="BB42105" s="122"/>
      <c r="BC42105" s="141"/>
    </row>
    <row r="42106">
      <c r="BB42106" s="122"/>
      <c r="BC42106" s="141"/>
    </row>
    <row r="42107">
      <c r="BB42107" s="122"/>
      <c r="BC42107" s="141"/>
    </row>
    <row r="42108">
      <c r="BB42108" s="122"/>
      <c r="BC42108" s="141"/>
    </row>
    <row r="42109">
      <c r="BB42109" s="122"/>
      <c r="BC42109" s="141"/>
    </row>
    <row r="42110">
      <c r="BB42110" s="122"/>
      <c r="BC42110" s="141"/>
    </row>
    <row r="42111">
      <c r="BB42111" s="122"/>
      <c r="BC42111" s="141"/>
    </row>
    <row r="42112">
      <c r="BB42112" s="122"/>
      <c r="BC42112" s="141"/>
    </row>
    <row r="42113">
      <c r="BB42113" s="122"/>
      <c r="BC42113" s="141"/>
    </row>
    <row r="42114">
      <c r="BB42114" s="122"/>
      <c r="BC42114" s="141"/>
    </row>
    <row r="42115">
      <c r="BB42115" s="122"/>
      <c r="BC42115" s="141"/>
    </row>
    <row r="42116">
      <c r="BB42116" s="122"/>
      <c r="BC42116" s="141"/>
    </row>
    <row r="42117">
      <c r="BB42117" s="122"/>
      <c r="BC42117" s="141"/>
    </row>
    <row r="42118">
      <c r="BB42118" s="122"/>
      <c r="BC42118" s="141"/>
    </row>
    <row r="42119">
      <c r="BB42119" s="122"/>
      <c r="BC42119" s="141"/>
    </row>
    <row r="42120">
      <c r="BB42120" s="122"/>
      <c r="BC42120" s="141"/>
    </row>
    <row r="42121">
      <c r="BB42121" s="122"/>
      <c r="BC42121" s="141"/>
    </row>
    <row r="42122">
      <c r="BB42122" s="122"/>
      <c r="BC42122" s="141"/>
    </row>
    <row r="42123">
      <c r="BB42123" s="122"/>
      <c r="BC42123" s="141"/>
    </row>
    <row r="42124">
      <c r="BB42124" s="122"/>
      <c r="BC42124" s="141"/>
    </row>
    <row r="42125">
      <c r="BB42125" s="122"/>
      <c r="BC42125" s="141"/>
    </row>
    <row r="42126">
      <c r="BB42126" s="122"/>
      <c r="BC42126" s="141"/>
    </row>
    <row r="42127">
      <c r="BB42127" s="122"/>
      <c r="BC42127" s="141"/>
    </row>
    <row r="42128">
      <c r="BB42128" s="122"/>
      <c r="BC42128" s="141"/>
    </row>
    <row r="42129">
      <c r="BB42129" s="122"/>
      <c r="BC42129" s="141"/>
    </row>
    <row r="42130">
      <c r="BB42130" s="122"/>
      <c r="BC42130" s="141"/>
    </row>
    <row r="42131">
      <c r="BB42131" s="122"/>
      <c r="BC42131" s="141"/>
    </row>
    <row r="42132">
      <c r="BB42132" s="122"/>
      <c r="BC42132" s="141"/>
    </row>
    <row r="42133">
      <c r="BB42133" s="122"/>
      <c r="BC42133" s="141"/>
    </row>
    <row r="42134">
      <c r="BB42134" s="122"/>
      <c r="BC42134" s="141"/>
    </row>
    <row r="42135">
      <c r="BB42135" s="122"/>
      <c r="BC42135" s="141"/>
    </row>
    <row r="42136">
      <c r="BB42136" s="122"/>
      <c r="BC42136" s="141"/>
    </row>
    <row r="42137">
      <c r="BB42137" s="122"/>
      <c r="BC42137" s="141"/>
    </row>
    <row r="42138">
      <c r="BB42138" s="122"/>
      <c r="BC42138" s="141"/>
    </row>
    <row r="42139">
      <c r="BB42139" s="122"/>
      <c r="BC42139" s="141"/>
    </row>
    <row r="42140">
      <c r="BB42140" s="122"/>
      <c r="BC42140" s="141"/>
    </row>
    <row r="42141">
      <c r="BB42141" s="122"/>
      <c r="BC42141" s="141"/>
    </row>
    <row r="42142">
      <c r="BB42142" s="122"/>
      <c r="BC42142" s="141"/>
    </row>
    <row r="42143">
      <c r="BB42143" s="122"/>
      <c r="BC42143" s="141"/>
    </row>
    <row r="42144">
      <c r="BB42144" s="122"/>
      <c r="BC42144" s="141"/>
    </row>
    <row r="42145">
      <c r="BB42145" s="122"/>
      <c r="BC42145" s="141"/>
    </row>
    <row r="42146">
      <c r="BB42146" s="122"/>
      <c r="BC42146" s="141"/>
    </row>
    <row r="42147">
      <c r="BB42147" s="122"/>
      <c r="BC42147" s="141"/>
    </row>
    <row r="42148">
      <c r="BB42148" s="122"/>
      <c r="BC42148" s="141"/>
    </row>
    <row r="42149">
      <c r="BB42149" s="122"/>
      <c r="BC42149" s="141"/>
    </row>
    <row r="42150">
      <c r="BB42150" s="122"/>
      <c r="BC42150" s="141"/>
    </row>
    <row r="42151">
      <c r="BB42151" s="122"/>
      <c r="BC42151" s="141"/>
    </row>
    <row r="42152">
      <c r="BB42152" s="122"/>
      <c r="BC42152" s="141"/>
    </row>
    <row r="42153">
      <c r="BB42153" s="122"/>
      <c r="BC42153" s="141"/>
    </row>
    <row r="42154">
      <c r="BB42154" s="122"/>
      <c r="BC42154" s="141"/>
    </row>
    <row r="42155">
      <c r="BB42155" s="122"/>
      <c r="BC42155" s="141"/>
    </row>
    <row r="42156">
      <c r="BB42156" s="122"/>
      <c r="BC42156" s="141"/>
    </row>
    <row r="42157">
      <c r="BB42157" s="122"/>
      <c r="BC42157" s="141"/>
    </row>
    <row r="42158">
      <c r="BB42158" s="122"/>
      <c r="BC42158" s="141"/>
    </row>
    <row r="42159">
      <c r="BB42159" s="122"/>
      <c r="BC42159" s="141"/>
    </row>
    <row r="42160">
      <c r="BB42160" s="122"/>
      <c r="BC42160" s="141"/>
    </row>
    <row r="42161">
      <c r="BB42161" s="122"/>
      <c r="BC42161" s="141"/>
    </row>
    <row r="42162">
      <c r="BB42162" s="122"/>
      <c r="BC42162" s="141"/>
    </row>
    <row r="42163">
      <c r="BB42163" s="122"/>
      <c r="BC42163" s="141"/>
    </row>
    <row r="42164">
      <c r="BB42164" s="122"/>
      <c r="BC42164" s="141"/>
    </row>
    <row r="42165">
      <c r="BB42165" s="122"/>
      <c r="BC42165" s="141"/>
    </row>
    <row r="42166">
      <c r="BB42166" s="122"/>
      <c r="BC42166" s="141"/>
    </row>
    <row r="42167">
      <c r="BB42167" s="122"/>
      <c r="BC42167" s="141"/>
    </row>
    <row r="42168">
      <c r="BB42168" s="122"/>
      <c r="BC42168" s="141"/>
    </row>
    <row r="42169">
      <c r="BB42169" s="122"/>
      <c r="BC42169" s="141"/>
    </row>
    <row r="42170">
      <c r="BB42170" s="122"/>
      <c r="BC42170" s="141"/>
    </row>
    <row r="42171">
      <c r="BB42171" s="122"/>
      <c r="BC42171" s="141"/>
    </row>
    <row r="42172">
      <c r="BB42172" s="122"/>
      <c r="BC42172" s="141"/>
    </row>
    <row r="42173">
      <c r="BB42173" s="122"/>
      <c r="BC42173" s="141"/>
    </row>
    <row r="42174">
      <c r="BB42174" s="122"/>
      <c r="BC42174" s="141"/>
    </row>
    <row r="42175">
      <c r="BB42175" s="122"/>
      <c r="BC42175" s="141"/>
    </row>
    <row r="42176">
      <c r="BB42176" s="122"/>
      <c r="BC42176" s="141"/>
    </row>
    <row r="42177">
      <c r="BB42177" s="122"/>
      <c r="BC42177" s="141"/>
    </row>
    <row r="42178">
      <c r="BB42178" s="122"/>
      <c r="BC42178" s="141"/>
    </row>
    <row r="42179">
      <c r="BB42179" s="122"/>
      <c r="BC42179" s="141"/>
    </row>
    <row r="42180">
      <c r="BB42180" s="122"/>
      <c r="BC42180" s="141"/>
    </row>
    <row r="42181">
      <c r="BB42181" s="122"/>
      <c r="BC42181" s="141"/>
    </row>
    <row r="42182">
      <c r="BB42182" s="122"/>
      <c r="BC42182" s="141"/>
    </row>
    <row r="42183">
      <c r="BB42183" s="122"/>
      <c r="BC42183" s="141"/>
    </row>
    <row r="42184">
      <c r="BB42184" s="122"/>
      <c r="BC42184" s="141"/>
    </row>
    <row r="42185">
      <c r="BB42185" s="122"/>
      <c r="BC42185" s="141"/>
    </row>
    <row r="42186">
      <c r="BB42186" s="122"/>
      <c r="BC42186" s="141"/>
    </row>
    <row r="42187">
      <c r="BB42187" s="122"/>
      <c r="BC42187" s="141"/>
    </row>
    <row r="42188">
      <c r="BB42188" s="122"/>
      <c r="BC42188" s="141"/>
    </row>
    <row r="42189">
      <c r="BB42189" s="122"/>
      <c r="BC42189" s="141"/>
    </row>
    <row r="42190">
      <c r="BB42190" s="122"/>
      <c r="BC42190" s="141"/>
    </row>
    <row r="42191">
      <c r="BB42191" s="122"/>
      <c r="BC42191" s="141"/>
    </row>
    <row r="42192">
      <c r="BB42192" s="122"/>
      <c r="BC42192" s="141"/>
    </row>
    <row r="42193">
      <c r="BB42193" s="122"/>
      <c r="BC42193" s="141"/>
    </row>
    <row r="42194">
      <c r="BB42194" s="122"/>
      <c r="BC42194" s="141"/>
    </row>
    <row r="42195">
      <c r="BB42195" s="122"/>
      <c r="BC42195" s="141"/>
    </row>
    <row r="42196">
      <c r="BB42196" s="122"/>
      <c r="BC42196" s="141"/>
    </row>
    <row r="42197">
      <c r="BB42197" s="122"/>
      <c r="BC42197" s="141"/>
    </row>
    <row r="42198">
      <c r="BB42198" s="122"/>
      <c r="BC42198" s="141"/>
    </row>
    <row r="42199">
      <c r="BB42199" s="122"/>
      <c r="BC42199" s="141"/>
    </row>
    <row r="42200">
      <c r="BB42200" s="122"/>
      <c r="BC42200" s="141"/>
    </row>
    <row r="42201">
      <c r="BB42201" s="122"/>
      <c r="BC42201" s="141"/>
    </row>
    <row r="42202">
      <c r="BB42202" s="122"/>
      <c r="BC42202" s="141"/>
    </row>
    <row r="42203">
      <c r="BB42203" s="122"/>
      <c r="BC42203" s="141"/>
    </row>
    <row r="42204">
      <c r="BB42204" s="122"/>
      <c r="BC42204" s="141"/>
    </row>
    <row r="42205">
      <c r="BB42205" s="122"/>
      <c r="BC42205" s="141"/>
    </row>
    <row r="42206">
      <c r="BB42206" s="122"/>
      <c r="BC42206" s="141"/>
    </row>
    <row r="42207">
      <c r="BB42207" s="122"/>
      <c r="BC42207" s="141"/>
    </row>
    <row r="42208">
      <c r="BB42208" s="122"/>
      <c r="BC42208" s="141"/>
    </row>
    <row r="42209">
      <c r="BB42209" s="122"/>
      <c r="BC42209" s="141"/>
    </row>
    <row r="42210">
      <c r="BB42210" s="122"/>
      <c r="BC42210" s="141"/>
    </row>
    <row r="42211">
      <c r="BB42211" s="122"/>
      <c r="BC42211" s="141"/>
    </row>
    <row r="42212">
      <c r="BB42212" s="122"/>
      <c r="BC42212" s="141"/>
    </row>
    <row r="42213">
      <c r="BB42213" s="122"/>
      <c r="BC42213" s="141"/>
    </row>
    <row r="42214">
      <c r="BB42214" s="122"/>
      <c r="BC42214" s="141"/>
    </row>
    <row r="42215">
      <c r="BB42215" s="122"/>
      <c r="BC42215" s="141"/>
    </row>
    <row r="42216">
      <c r="BB42216" s="122"/>
      <c r="BC42216" s="141"/>
    </row>
    <row r="42217">
      <c r="BB42217" s="122"/>
      <c r="BC42217" s="141"/>
    </row>
    <row r="42218">
      <c r="BB42218" s="122"/>
      <c r="BC42218" s="141"/>
    </row>
    <row r="42219">
      <c r="BB42219" s="122"/>
      <c r="BC42219" s="141"/>
    </row>
    <row r="42220">
      <c r="BB42220" s="122"/>
      <c r="BC42220" s="141"/>
    </row>
    <row r="42221">
      <c r="BB42221" s="122"/>
      <c r="BC42221" s="141"/>
    </row>
    <row r="42222">
      <c r="BB42222" s="122"/>
      <c r="BC42222" s="141"/>
    </row>
    <row r="42223">
      <c r="BB42223" s="122"/>
      <c r="BC42223" s="141"/>
    </row>
    <row r="42224">
      <c r="BB42224" s="122"/>
      <c r="BC42224" s="141"/>
    </row>
    <row r="42225">
      <c r="BB42225" s="122"/>
      <c r="BC42225" s="141"/>
    </row>
    <row r="42226">
      <c r="BB42226" s="122"/>
      <c r="BC42226" s="141"/>
    </row>
    <row r="42227">
      <c r="BB42227" s="122"/>
      <c r="BC42227" s="141"/>
    </row>
    <row r="42228">
      <c r="BB42228" s="122"/>
      <c r="BC42228" s="141"/>
    </row>
    <row r="42229">
      <c r="BB42229" s="122"/>
      <c r="BC42229" s="141"/>
    </row>
    <row r="42230">
      <c r="BB42230" s="122"/>
      <c r="BC42230" s="141"/>
    </row>
    <row r="42231">
      <c r="BB42231" s="122"/>
      <c r="BC42231" s="141"/>
    </row>
    <row r="42232">
      <c r="BB42232" s="122"/>
      <c r="BC42232" s="141"/>
    </row>
    <row r="42233">
      <c r="BB42233" s="122"/>
      <c r="BC42233" s="141"/>
    </row>
    <row r="42234">
      <c r="BB42234" s="122"/>
      <c r="BC42234" s="141"/>
    </row>
    <row r="42235">
      <c r="BB42235" s="122"/>
      <c r="BC42235" s="141"/>
    </row>
    <row r="42236">
      <c r="BB42236" s="122"/>
      <c r="BC42236" s="141"/>
    </row>
    <row r="42237">
      <c r="BB42237" s="122"/>
      <c r="BC42237" s="141"/>
    </row>
    <row r="42238">
      <c r="BB42238" s="122"/>
      <c r="BC42238" s="141"/>
    </row>
    <row r="42239">
      <c r="BB42239" s="122"/>
      <c r="BC42239" s="141"/>
    </row>
    <row r="42240">
      <c r="BB42240" s="122"/>
      <c r="BC42240" s="141"/>
    </row>
    <row r="42241">
      <c r="BB42241" s="122"/>
      <c r="BC42241" s="141"/>
    </row>
    <row r="42242">
      <c r="BB42242" s="122"/>
      <c r="BC42242" s="141"/>
    </row>
    <row r="42243">
      <c r="BB42243" s="122"/>
      <c r="BC42243" s="141"/>
    </row>
    <row r="42244">
      <c r="BB42244" s="122"/>
      <c r="BC42244" s="141"/>
    </row>
    <row r="42245">
      <c r="BB42245" s="122"/>
      <c r="BC42245" s="141"/>
    </row>
    <row r="42246">
      <c r="BB42246" s="122"/>
      <c r="BC42246" s="141"/>
    </row>
    <row r="42247">
      <c r="BB42247" s="122"/>
      <c r="BC42247" s="141"/>
    </row>
    <row r="42248">
      <c r="BB42248" s="122"/>
      <c r="BC42248" s="141"/>
    </row>
    <row r="42249">
      <c r="BB42249" s="122"/>
      <c r="BC42249" s="141"/>
    </row>
    <row r="42250">
      <c r="BB42250" s="122"/>
      <c r="BC42250" s="141"/>
    </row>
    <row r="42251">
      <c r="BB42251" s="122"/>
      <c r="BC42251" s="141"/>
    </row>
    <row r="42252">
      <c r="BB42252" s="122"/>
      <c r="BC42252" s="141"/>
    </row>
    <row r="42253">
      <c r="BB42253" s="122"/>
      <c r="BC42253" s="141"/>
    </row>
    <row r="42254">
      <c r="BB42254" s="122"/>
      <c r="BC42254" s="141"/>
    </row>
    <row r="42255">
      <c r="BB42255" s="122"/>
      <c r="BC42255" s="141"/>
    </row>
    <row r="42256">
      <c r="BB42256" s="122"/>
      <c r="BC42256" s="141"/>
    </row>
    <row r="42257">
      <c r="BB42257" s="122"/>
      <c r="BC42257" s="141"/>
    </row>
    <row r="42258">
      <c r="BB42258" s="122"/>
      <c r="BC42258" s="141"/>
    </row>
    <row r="42259">
      <c r="BB42259" s="122"/>
      <c r="BC42259" s="141"/>
    </row>
    <row r="42260">
      <c r="BB42260" s="122"/>
      <c r="BC42260" s="141"/>
    </row>
    <row r="42261">
      <c r="BB42261" s="122"/>
      <c r="BC42261" s="141"/>
    </row>
    <row r="42262">
      <c r="BB42262" s="122"/>
      <c r="BC42262" s="141"/>
    </row>
    <row r="42263">
      <c r="BB42263" s="122"/>
      <c r="BC42263" s="141"/>
    </row>
    <row r="42264">
      <c r="BB42264" s="122"/>
      <c r="BC42264" s="141"/>
    </row>
    <row r="42265">
      <c r="BB42265" s="122"/>
      <c r="BC42265" s="141"/>
    </row>
    <row r="42266">
      <c r="BB42266" s="122"/>
      <c r="BC42266" s="141"/>
    </row>
    <row r="42267">
      <c r="BB42267" s="122"/>
      <c r="BC42267" s="141"/>
    </row>
    <row r="42268">
      <c r="BB42268" s="122"/>
      <c r="BC42268" s="141"/>
    </row>
    <row r="42269">
      <c r="BB42269" s="122"/>
      <c r="BC42269" s="141"/>
    </row>
    <row r="42270">
      <c r="BB42270" s="122"/>
      <c r="BC42270" s="141"/>
    </row>
    <row r="42271">
      <c r="BB42271" s="122"/>
      <c r="BC42271" s="141"/>
    </row>
    <row r="42272">
      <c r="BB42272" s="122"/>
      <c r="BC42272" s="141"/>
    </row>
    <row r="42273">
      <c r="BB42273" s="122"/>
      <c r="BC42273" s="141"/>
    </row>
    <row r="42274">
      <c r="BB42274" s="122"/>
      <c r="BC42274" s="141"/>
    </row>
    <row r="42275">
      <c r="BB42275" s="122"/>
      <c r="BC42275" s="141"/>
    </row>
    <row r="42276">
      <c r="BB42276" s="122"/>
      <c r="BC42276" s="141"/>
    </row>
    <row r="42277">
      <c r="BB42277" s="122"/>
      <c r="BC42277" s="141"/>
    </row>
    <row r="42278">
      <c r="BB42278" s="122"/>
      <c r="BC42278" s="141"/>
    </row>
    <row r="42279">
      <c r="BB42279" s="122"/>
      <c r="BC42279" s="141"/>
    </row>
    <row r="42280">
      <c r="BB42280" s="122"/>
      <c r="BC42280" s="141"/>
    </row>
    <row r="42281">
      <c r="BB42281" s="122"/>
      <c r="BC42281" s="141"/>
    </row>
    <row r="42282">
      <c r="BB42282" s="122"/>
      <c r="BC42282" s="141"/>
    </row>
    <row r="42283">
      <c r="BB42283" s="122"/>
      <c r="BC42283" s="141"/>
    </row>
    <row r="42284">
      <c r="BB42284" s="122"/>
      <c r="BC42284" s="141"/>
    </row>
    <row r="42285">
      <c r="BB42285" s="122"/>
      <c r="BC42285" s="141"/>
    </row>
    <row r="42286">
      <c r="BB42286" s="122"/>
      <c r="BC42286" s="141"/>
    </row>
    <row r="42287">
      <c r="BB42287" s="122"/>
      <c r="BC42287" s="141"/>
    </row>
    <row r="42288">
      <c r="BB42288" s="122"/>
      <c r="BC42288" s="141"/>
    </row>
    <row r="42289">
      <c r="BB42289" s="122"/>
      <c r="BC42289" s="141"/>
    </row>
    <row r="42290">
      <c r="BB42290" s="122"/>
      <c r="BC42290" s="141"/>
    </row>
    <row r="42291">
      <c r="BB42291" s="122"/>
      <c r="BC42291" s="141"/>
    </row>
    <row r="42292">
      <c r="BB42292" s="122"/>
      <c r="BC42292" s="141"/>
    </row>
    <row r="42293">
      <c r="BB42293" s="122"/>
      <c r="BC42293" s="141"/>
    </row>
    <row r="42294">
      <c r="BB42294" s="122"/>
      <c r="BC42294" s="141"/>
    </row>
    <row r="42295">
      <c r="BB42295" s="122"/>
      <c r="BC42295" s="141"/>
    </row>
    <row r="42296">
      <c r="BB42296" s="122"/>
      <c r="BC42296" s="141"/>
    </row>
    <row r="42297">
      <c r="BB42297" s="122"/>
      <c r="BC42297" s="141"/>
    </row>
    <row r="42298">
      <c r="BB42298" s="122"/>
      <c r="BC42298" s="141"/>
    </row>
    <row r="42299">
      <c r="BB42299" s="122"/>
      <c r="BC42299" s="141"/>
    </row>
    <row r="42300">
      <c r="BB42300" s="122"/>
      <c r="BC42300" s="141"/>
    </row>
    <row r="42301">
      <c r="BB42301" s="122"/>
      <c r="BC42301" s="141"/>
    </row>
    <row r="42302">
      <c r="BB42302" s="122"/>
      <c r="BC42302" s="141"/>
    </row>
    <row r="42303">
      <c r="BB42303" s="122"/>
      <c r="BC42303" s="141"/>
    </row>
    <row r="42304">
      <c r="BB42304" s="122"/>
      <c r="BC42304" s="141"/>
    </row>
    <row r="42305">
      <c r="BB42305" s="122"/>
      <c r="BC42305" s="141"/>
    </row>
    <row r="42306">
      <c r="BB42306" s="122"/>
      <c r="BC42306" s="141"/>
    </row>
    <row r="42307">
      <c r="BB42307" s="122"/>
      <c r="BC42307" s="141"/>
    </row>
    <row r="42308">
      <c r="BB42308" s="122"/>
      <c r="BC42308" s="141"/>
    </row>
    <row r="42309">
      <c r="BB42309" s="122"/>
      <c r="BC42309" s="141"/>
    </row>
    <row r="42310">
      <c r="BB42310" s="122"/>
      <c r="BC42310" s="141"/>
    </row>
    <row r="42311">
      <c r="BB42311" s="122"/>
      <c r="BC42311" s="141"/>
    </row>
    <row r="42312">
      <c r="BB42312" s="122"/>
      <c r="BC42312" s="141"/>
    </row>
    <row r="42313">
      <c r="BB42313" s="122"/>
      <c r="BC42313" s="141"/>
    </row>
    <row r="42314">
      <c r="BB42314" s="122"/>
      <c r="BC42314" s="141"/>
    </row>
    <row r="42315">
      <c r="BB42315" s="122"/>
      <c r="BC42315" s="141"/>
    </row>
    <row r="42316">
      <c r="BB42316" s="122"/>
      <c r="BC42316" s="141"/>
    </row>
    <row r="42317">
      <c r="BB42317" s="122"/>
      <c r="BC42317" s="141"/>
    </row>
    <row r="42318">
      <c r="BB42318" s="122"/>
      <c r="BC42318" s="141"/>
    </row>
    <row r="42319">
      <c r="BB42319" s="122"/>
      <c r="BC42319" s="141"/>
    </row>
    <row r="42320">
      <c r="BB42320" s="122"/>
      <c r="BC42320" s="141"/>
    </row>
    <row r="42321">
      <c r="BB42321" s="122"/>
      <c r="BC42321" s="141"/>
    </row>
    <row r="42322">
      <c r="BB42322" s="122"/>
      <c r="BC42322" s="141"/>
    </row>
    <row r="42323">
      <c r="BB42323" s="122"/>
      <c r="BC42323" s="141"/>
    </row>
    <row r="42324">
      <c r="BB42324" s="122"/>
      <c r="BC42324" s="141"/>
    </row>
    <row r="42325">
      <c r="BB42325" s="122"/>
      <c r="BC42325" s="141"/>
    </row>
    <row r="42326">
      <c r="BB42326" s="122"/>
      <c r="BC42326" s="141"/>
    </row>
    <row r="42327">
      <c r="BB42327" s="122"/>
      <c r="BC42327" s="141"/>
    </row>
    <row r="42328">
      <c r="BB42328" s="122"/>
      <c r="BC42328" s="141"/>
    </row>
    <row r="42329">
      <c r="BB42329" s="122"/>
      <c r="BC42329" s="141"/>
    </row>
    <row r="42330">
      <c r="BB42330" s="122"/>
      <c r="BC42330" s="141"/>
    </row>
    <row r="42331">
      <c r="BB42331" s="122"/>
      <c r="BC42331" s="141"/>
    </row>
    <row r="42332">
      <c r="BB42332" s="122"/>
      <c r="BC42332" s="141"/>
    </row>
    <row r="42333">
      <c r="BB42333" s="122"/>
      <c r="BC42333" s="141"/>
    </row>
    <row r="42334">
      <c r="BB42334" s="122"/>
      <c r="BC42334" s="141"/>
    </row>
    <row r="42335">
      <c r="BB42335" s="122"/>
      <c r="BC42335" s="141"/>
    </row>
    <row r="42336">
      <c r="BB42336" s="122"/>
      <c r="BC42336" s="141"/>
    </row>
    <row r="42337">
      <c r="BB42337" s="122"/>
      <c r="BC42337" s="141"/>
    </row>
    <row r="42338">
      <c r="BB42338" s="122"/>
      <c r="BC42338" s="141"/>
    </row>
    <row r="42339">
      <c r="BB42339" s="122"/>
      <c r="BC42339" s="141"/>
    </row>
    <row r="42340">
      <c r="BB42340" s="122"/>
      <c r="BC42340" s="141"/>
    </row>
    <row r="42341">
      <c r="BB42341" s="122"/>
      <c r="BC42341" s="141"/>
    </row>
    <row r="42342">
      <c r="BB42342" s="122"/>
      <c r="BC42342" s="141"/>
    </row>
    <row r="42343">
      <c r="BB42343" s="122"/>
      <c r="BC42343" s="141"/>
    </row>
    <row r="42344">
      <c r="BB42344" s="122"/>
      <c r="BC42344" s="141"/>
    </row>
    <row r="42345">
      <c r="BB42345" s="122"/>
      <c r="BC42345" s="141"/>
    </row>
    <row r="42346">
      <c r="BB42346" s="122"/>
      <c r="BC42346" s="141"/>
    </row>
    <row r="42347">
      <c r="BB42347" s="122"/>
      <c r="BC42347" s="141"/>
    </row>
    <row r="42348">
      <c r="BB42348" s="122"/>
      <c r="BC42348" s="141"/>
    </row>
    <row r="42349">
      <c r="BB42349" s="122"/>
      <c r="BC42349" s="141"/>
    </row>
    <row r="42350">
      <c r="BB42350" s="122"/>
      <c r="BC42350" s="141"/>
    </row>
    <row r="42351">
      <c r="BB42351" s="122"/>
      <c r="BC42351" s="141"/>
    </row>
    <row r="42352">
      <c r="BB42352" s="122"/>
      <c r="BC42352" s="141"/>
    </row>
    <row r="42353">
      <c r="BB42353" s="122"/>
      <c r="BC42353" s="141"/>
    </row>
    <row r="42354">
      <c r="BB42354" s="122"/>
      <c r="BC42354" s="141"/>
    </row>
    <row r="42355">
      <c r="BB42355" s="122"/>
      <c r="BC42355" s="141"/>
    </row>
    <row r="42356">
      <c r="BB42356" s="122"/>
      <c r="BC42356" s="141"/>
    </row>
    <row r="42357">
      <c r="BB42357" s="122"/>
      <c r="BC42357" s="141"/>
    </row>
    <row r="42358">
      <c r="BB42358" s="122"/>
      <c r="BC42358" s="141"/>
    </row>
    <row r="42359">
      <c r="BB42359" s="122"/>
      <c r="BC42359" s="141"/>
    </row>
    <row r="42360">
      <c r="BB42360" s="122"/>
      <c r="BC42360" s="141"/>
    </row>
    <row r="42361">
      <c r="BB42361" s="122"/>
      <c r="BC42361" s="141"/>
    </row>
    <row r="42362">
      <c r="BB42362" s="122"/>
      <c r="BC42362" s="141"/>
    </row>
    <row r="42363">
      <c r="BB42363" s="122"/>
      <c r="BC42363" s="141"/>
    </row>
    <row r="42364">
      <c r="BB42364" s="122"/>
      <c r="BC42364" s="141"/>
    </row>
    <row r="42365">
      <c r="BB42365" s="122"/>
      <c r="BC42365" s="141"/>
    </row>
    <row r="42366">
      <c r="BB42366" s="122"/>
      <c r="BC42366" s="141"/>
    </row>
    <row r="42367">
      <c r="BB42367" s="122"/>
      <c r="BC42367" s="141"/>
    </row>
    <row r="42368">
      <c r="BB42368" s="122"/>
      <c r="BC42368" s="141"/>
    </row>
    <row r="42369">
      <c r="BB42369" s="122"/>
      <c r="BC42369" s="141"/>
    </row>
    <row r="42370">
      <c r="BB42370" s="122"/>
      <c r="BC42370" s="141"/>
    </row>
    <row r="42371">
      <c r="BB42371" s="122"/>
      <c r="BC42371" s="141"/>
    </row>
    <row r="42372">
      <c r="BB42372" s="122"/>
      <c r="BC42372" s="141"/>
    </row>
    <row r="42373">
      <c r="BB42373" s="122"/>
      <c r="BC42373" s="141"/>
    </row>
    <row r="42374">
      <c r="BB42374" s="122"/>
      <c r="BC42374" s="141"/>
    </row>
    <row r="42375">
      <c r="BB42375" s="122"/>
      <c r="BC42375" s="141"/>
    </row>
    <row r="42376">
      <c r="BB42376" s="122"/>
      <c r="BC42376" s="141"/>
    </row>
    <row r="42377">
      <c r="BB42377" s="122"/>
      <c r="BC42377" s="141"/>
    </row>
    <row r="42378">
      <c r="BB42378" s="122"/>
      <c r="BC42378" s="141"/>
    </row>
    <row r="42379">
      <c r="BB42379" s="122"/>
      <c r="BC42379" s="141"/>
    </row>
    <row r="42380">
      <c r="BB42380" s="122"/>
      <c r="BC42380" s="141"/>
    </row>
    <row r="42381">
      <c r="BB42381" s="122"/>
      <c r="BC42381" s="141"/>
    </row>
    <row r="42382">
      <c r="BB42382" s="122"/>
      <c r="BC42382" s="141"/>
    </row>
    <row r="42383">
      <c r="BB42383" s="122"/>
      <c r="BC42383" s="141"/>
    </row>
    <row r="42384">
      <c r="BB42384" s="122"/>
      <c r="BC42384" s="141"/>
    </row>
    <row r="42385">
      <c r="BB42385" s="122"/>
      <c r="BC42385" s="141"/>
    </row>
    <row r="42386">
      <c r="BB42386" s="122"/>
      <c r="BC42386" s="141"/>
    </row>
    <row r="42387">
      <c r="BB42387" s="122"/>
      <c r="BC42387" s="141"/>
    </row>
    <row r="42388">
      <c r="BB42388" s="122"/>
      <c r="BC42388" s="141"/>
    </row>
    <row r="42389">
      <c r="BB42389" s="122"/>
      <c r="BC42389" s="141"/>
    </row>
    <row r="42390">
      <c r="BB42390" s="122"/>
      <c r="BC42390" s="141"/>
    </row>
    <row r="42391">
      <c r="BB42391" s="122"/>
      <c r="BC42391" s="141"/>
    </row>
    <row r="42392">
      <c r="BB42392" s="122"/>
      <c r="BC42392" s="141"/>
    </row>
    <row r="42393">
      <c r="BB42393" s="122"/>
      <c r="BC42393" s="141"/>
    </row>
    <row r="42394">
      <c r="BB42394" s="122"/>
      <c r="BC42394" s="141"/>
    </row>
    <row r="42395">
      <c r="BB42395" s="122"/>
      <c r="BC42395" s="141"/>
    </row>
    <row r="42396">
      <c r="BB42396" s="122"/>
      <c r="BC42396" s="141"/>
    </row>
    <row r="42397">
      <c r="BB42397" s="122"/>
      <c r="BC42397" s="141"/>
    </row>
    <row r="42398">
      <c r="BB42398" s="122"/>
      <c r="BC42398" s="141"/>
    </row>
    <row r="42399">
      <c r="BB42399" s="122"/>
      <c r="BC42399" s="141"/>
    </row>
    <row r="42400">
      <c r="BB42400" s="122"/>
      <c r="BC42400" s="141"/>
    </row>
    <row r="42401">
      <c r="BB42401" s="122"/>
      <c r="BC42401" s="141"/>
    </row>
    <row r="42402">
      <c r="BB42402" s="122"/>
      <c r="BC42402" s="141"/>
    </row>
    <row r="42403">
      <c r="BB42403" s="122"/>
      <c r="BC42403" s="141"/>
    </row>
    <row r="42404">
      <c r="BB42404" s="122"/>
      <c r="BC42404" s="141"/>
    </row>
    <row r="42405">
      <c r="BB42405" s="122"/>
      <c r="BC42405" s="141"/>
    </row>
    <row r="42406">
      <c r="BB42406" s="122"/>
      <c r="BC42406" s="141"/>
    </row>
    <row r="42407">
      <c r="BB42407" s="122"/>
      <c r="BC42407" s="141"/>
    </row>
    <row r="42408">
      <c r="BB42408" s="122"/>
      <c r="BC42408" s="141"/>
    </row>
    <row r="42409">
      <c r="BB42409" s="122"/>
      <c r="BC42409" s="141"/>
    </row>
    <row r="42410">
      <c r="BB42410" s="122"/>
      <c r="BC42410" s="141"/>
    </row>
    <row r="42411">
      <c r="BB42411" s="122"/>
      <c r="BC42411" s="141"/>
    </row>
    <row r="42412">
      <c r="BB42412" s="122"/>
      <c r="BC42412" s="141"/>
    </row>
    <row r="42413">
      <c r="BB42413" s="122"/>
      <c r="BC42413" s="141"/>
    </row>
    <row r="42414">
      <c r="BB42414" s="122"/>
      <c r="BC42414" s="141"/>
    </row>
    <row r="42415">
      <c r="BB42415" s="122"/>
      <c r="BC42415" s="141"/>
    </row>
    <row r="42416">
      <c r="BB42416" s="122"/>
      <c r="BC42416" s="141"/>
    </row>
    <row r="42417">
      <c r="BB42417" s="122"/>
      <c r="BC42417" s="141"/>
    </row>
    <row r="42418">
      <c r="BB42418" s="122"/>
      <c r="BC42418" s="141"/>
    </row>
    <row r="42419">
      <c r="BB42419" s="122"/>
      <c r="BC42419" s="141"/>
    </row>
    <row r="42420">
      <c r="BB42420" s="122"/>
      <c r="BC42420" s="141"/>
    </row>
    <row r="42421">
      <c r="BB42421" s="122"/>
      <c r="BC42421" s="141"/>
    </row>
    <row r="42422">
      <c r="BB42422" s="122"/>
      <c r="BC42422" s="141"/>
    </row>
    <row r="42423">
      <c r="BB42423" s="122"/>
      <c r="BC42423" s="141"/>
    </row>
    <row r="42424">
      <c r="BB42424" s="122"/>
      <c r="BC42424" s="141"/>
    </row>
    <row r="42425">
      <c r="BB42425" s="122"/>
      <c r="BC42425" s="141"/>
    </row>
    <row r="42426">
      <c r="BB42426" s="122"/>
      <c r="BC42426" s="141"/>
    </row>
    <row r="42427">
      <c r="BB42427" s="122"/>
      <c r="BC42427" s="141"/>
    </row>
    <row r="42428">
      <c r="BB42428" s="122"/>
      <c r="BC42428" s="141"/>
    </row>
    <row r="42429">
      <c r="BB42429" s="122"/>
      <c r="BC42429" s="141"/>
    </row>
    <row r="42430">
      <c r="BB42430" s="122"/>
      <c r="BC42430" s="141"/>
    </row>
    <row r="42431">
      <c r="BB42431" s="122"/>
      <c r="BC42431" s="141"/>
    </row>
    <row r="42432">
      <c r="BB42432" s="122"/>
      <c r="BC42432" s="141"/>
    </row>
    <row r="42433">
      <c r="BB42433" s="122"/>
      <c r="BC42433" s="141"/>
    </row>
    <row r="42434">
      <c r="BB42434" s="122"/>
      <c r="BC42434" s="141"/>
    </row>
    <row r="42435">
      <c r="BB42435" s="122"/>
      <c r="BC42435" s="141"/>
    </row>
    <row r="42436">
      <c r="BB42436" s="122"/>
      <c r="BC42436" s="141"/>
    </row>
    <row r="42437">
      <c r="BB42437" s="122"/>
      <c r="BC42437" s="141"/>
    </row>
    <row r="42438">
      <c r="BB42438" s="122"/>
      <c r="BC42438" s="141"/>
    </row>
    <row r="42439">
      <c r="BB42439" s="122"/>
      <c r="BC42439" s="141"/>
    </row>
    <row r="42440">
      <c r="BB42440" s="122"/>
      <c r="BC42440" s="141"/>
    </row>
    <row r="42441">
      <c r="BB42441" s="122"/>
      <c r="BC42441" s="141"/>
    </row>
    <row r="42442">
      <c r="BB42442" s="122"/>
      <c r="BC42442" s="141"/>
    </row>
    <row r="42443">
      <c r="BB42443" s="122"/>
      <c r="BC42443" s="141"/>
    </row>
    <row r="42444">
      <c r="BB42444" s="122"/>
      <c r="BC42444" s="141"/>
    </row>
    <row r="42445">
      <c r="BB42445" s="122"/>
      <c r="BC42445" s="141"/>
    </row>
    <row r="42446">
      <c r="BB42446" s="122"/>
      <c r="BC42446" s="141"/>
    </row>
    <row r="42447">
      <c r="BB42447" s="122"/>
      <c r="BC42447" s="141"/>
    </row>
    <row r="42448">
      <c r="BB42448" s="122"/>
      <c r="BC42448" s="141"/>
    </row>
    <row r="42449">
      <c r="BB42449" s="122"/>
      <c r="BC42449" s="141"/>
    </row>
    <row r="42450">
      <c r="BB42450" s="122"/>
      <c r="BC42450" s="141"/>
    </row>
    <row r="42451">
      <c r="BB42451" s="122"/>
      <c r="BC42451" s="141"/>
    </row>
    <row r="42452">
      <c r="BB42452" s="122"/>
      <c r="BC42452" s="141"/>
    </row>
    <row r="42453">
      <c r="BB42453" s="122"/>
      <c r="BC42453" s="141"/>
    </row>
    <row r="42454">
      <c r="BB42454" s="122"/>
      <c r="BC42454" s="141"/>
    </row>
    <row r="42455">
      <c r="BB42455" s="122"/>
      <c r="BC42455" s="141"/>
    </row>
    <row r="42456">
      <c r="BB42456" s="122"/>
      <c r="BC42456" s="141"/>
    </row>
    <row r="42457">
      <c r="BB42457" s="122"/>
      <c r="BC42457" s="141"/>
    </row>
    <row r="42458">
      <c r="BB42458" s="122"/>
      <c r="BC42458" s="141"/>
    </row>
    <row r="42459">
      <c r="BB42459" s="122"/>
      <c r="BC42459" s="141"/>
    </row>
    <row r="42460">
      <c r="BB42460" s="122"/>
      <c r="BC42460" s="141"/>
    </row>
    <row r="42461">
      <c r="BB42461" s="122"/>
      <c r="BC42461" s="141"/>
    </row>
    <row r="42462">
      <c r="BB42462" s="122"/>
      <c r="BC42462" s="141"/>
    </row>
    <row r="42463">
      <c r="BB42463" s="122"/>
      <c r="BC42463" s="141"/>
    </row>
    <row r="42464">
      <c r="BB42464" s="122"/>
      <c r="BC42464" s="141"/>
    </row>
    <row r="42465">
      <c r="BB42465" s="122"/>
      <c r="BC42465" s="141"/>
    </row>
    <row r="42466">
      <c r="BB42466" s="122"/>
      <c r="BC42466" s="141"/>
    </row>
    <row r="42467">
      <c r="BB42467" s="122"/>
      <c r="BC42467" s="141"/>
    </row>
    <row r="42468">
      <c r="BB42468" s="122"/>
      <c r="BC42468" s="141"/>
    </row>
    <row r="42469">
      <c r="BB42469" s="122"/>
      <c r="BC42469" s="141"/>
    </row>
    <row r="42470">
      <c r="BB42470" s="122"/>
      <c r="BC42470" s="141"/>
    </row>
    <row r="42471">
      <c r="BB42471" s="122"/>
      <c r="BC42471" s="141"/>
    </row>
    <row r="42472">
      <c r="BB42472" s="122"/>
      <c r="BC42472" s="141"/>
    </row>
    <row r="42473">
      <c r="BB42473" s="122"/>
      <c r="BC42473" s="141"/>
    </row>
    <row r="42474">
      <c r="BB42474" s="122"/>
      <c r="BC42474" s="141"/>
    </row>
    <row r="42475">
      <c r="BB42475" s="122"/>
      <c r="BC42475" s="141"/>
    </row>
    <row r="42476">
      <c r="BB42476" s="122"/>
      <c r="BC42476" s="141"/>
    </row>
    <row r="42477">
      <c r="BB42477" s="122"/>
      <c r="BC42477" s="141"/>
    </row>
    <row r="42478">
      <c r="BB42478" s="122"/>
      <c r="BC42478" s="141"/>
    </row>
    <row r="42479">
      <c r="BB42479" s="122"/>
      <c r="BC42479" s="141"/>
    </row>
    <row r="42480">
      <c r="BB42480" s="122"/>
      <c r="BC42480" s="141"/>
    </row>
    <row r="42481">
      <c r="BB42481" s="122"/>
      <c r="BC42481" s="141"/>
    </row>
    <row r="42482">
      <c r="BB42482" s="122"/>
      <c r="BC42482" s="141"/>
    </row>
    <row r="42483">
      <c r="BB42483" s="122"/>
      <c r="BC42483" s="141"/>
    </row>
    <row r="42484">
      <c r="BB42484" s="122"/>
      <c r="BC42484" s="141"/>
    </row>
    <row r="42485">
      <c r="BB42485" s="122"/>
      <c r="BC42485" s="141"/>
    </row>
    <row r="42486">
      <c r="BB42486" s="122"/>
      <c r="BC42486" s="141"/>
    </row>
    <row r="42487">
      <c r="BB42487" s="122"/>
      <c r="BC42487" s="141"/>
    </row>
    <row r="42488">
      <c r="BB42488" s="122"/>
      <c r="BC42488" s="141"/>
    </row>
    <row r="42489">
      <c r="BB42489" s="122"/>
      <c r="BC42489" s="141"/>
    </row>
    <row r="42490">
      <c r="BB42490" s="122"/>
      <c r="BC42490" s="141"/>
    </row>
    <row r="42491">
      <c r="BB42491" s="122"/>
      <c r="BC42491" s="141"/>
    </row>
    <row r="42492">
      <c r="BB42492" s="122"/>
      <c r="BC42492" s="141"/>
    </row>
    <row r="42493">
      <c r="BB42493" s="122"/>
      <c r="BC42493" s="141"/>
    </row>
    <row r="42494">
      <c r="BB42494" s="122"/>
      <c r="BC42494" s="141"/>
    </row>
    <row r="42495">
      <c r="BB42495" s="122"/>
      <c r="BC42495" s="141"/>
    </row>
    <row r="42496">
      <c r="BB42496" s="122"/>
      <c r="BC42496" s="141"/>
    </row>
    <row r="42497">
      <c r="BB42497" s="122"/>
      <c r="BC42497" s="141"/>
    </row>
    <row r="42498">
      <c r="BB42498" s="122"/>
      <c r="BC42498" s="141"/>
    </row>
    <row r="42499">
      <c r="BB42499" s="122"/>
      <c r="BC42499" s="141"/>
    </row>
    <row r="42500">
      <c r="BB42500" s="122"/>
      <c r="BC42500" s="141"/>
    </row>
    <row r="42501">
      <c r="BB42501" s="122"/>
      <c r="BC42501" s="141"/>
    </row>
    <row r="42502">
      <c r="BB42502" s="122"/>
      <c r="BC42502" s="141"/>
    </row>
    <row r="42503">
      <c r="BB42503" s="122"/>
      <c r="BC42503" s="141"/>
    </row>
    <row r="42504">
      <c r="BB42504" s="122"/>
      <c r="BC42504" s="141"/>
    </row>
    <row r="42505">
      <c r="BB42505" s="122"/>
      <c r="BC42505" s="141"/>
    </row>
    <row r="42506">
      <c r="BB42506" s="122"/>
      <c r="BC42506" s="141"/>
    </row>
    <row r="42507">
      <c r="BB42507" s="122"/>
      <c r="BC42507" s="141"/>
    </row>
    <row r="42508">
      <c r="BB42508" s="122"/>
      <c r="BC42508" s="141"/>
    </row>
    <row r="42509">
      <c r="BB42509" s="122"/>
      <c r="BC42509" s="141"/>
    </row>
    <row r="42510">
      <c r="BB42510" s="122"/>
      <c r="BC42510" s="141"/>
    </row>
    <row r="42511">
      <c r="BB42511" s="122"/>
      <c r="BC42511" s="141"/>
    </row>
    <row r="42512">
      <c r="BB42512" s="122"/>
      <c r="BC42512" s="141"/>
    </row>
    <row r="42513">
      <c r="BB42513" s="122"/>
      <c r="BC42513" s="141"/>
    </row>
    <row r="42514">
      <c r="BB42514" s="122"/>
      <c r="BC42514" s="141"/>
    </row>
    <row r="42515">
      <c r="BB42515" s="122"/>
      <c r="BC42515" s="141"/>
    </row>
    <row r="42516">
      <c r="BB42516" s="122"/>
      <c r="BC42516" s="141"/>
    </row>
    <row r="42517">
      <c r="BB42517" s="122"/>
      <c r="BC42517" s="141"/>
    </row>
    <row r="42518">
      <c r="BB42518" s="122"/>
      <c r="BC42518" s="141"/>
    </row>
    <row r="42519">
      <c r="BB42519" s="122"/>
      <c r="BC42519" s="141"/>
    </row>
    <row r="42520">
      <c r="BB42520" s="122"/>
      <c r="BC42520" s="141"/>
    </row>
    <row r="42521">
      <c r="BB42521" s="122"/>
      <c r="BC42521" s="141"/>
    </row>
    <row r="42522">
      <c r="BB42522" s="122"/>
      <c r="BC42522" s="141"/>
    </row>
    <row r="42523">
      <c r="BB42523" s="122"/>
      <c r="BC42523" s="141"/>
    </row>
    <row r="42524">
      <c r="BB42524" s="122"/>
      <c r="BC42524" s="141"/>
    </row>
    <row r="42525">
      <c r="BB42525" s="122"/>
      <c r="BC42525" s="141"/>
    </row>
    <row r="42526">
      <c r="BB42526" s="122"/>
      <c r="BC42526" s="141"/>
    </row>
    <row r="42527">
      <c r="BB42527" s="122"/>
      <c r="BC42527" s="141"/>
    </row>
    <row r="42528">
      <c r="BB42528" s="122"/>
      <c r="BC42528" s="141"/>
    </row>
    <row r="42529">
      <c r="BB42529" s="122"/>
      <c r="BC42529" s="141"/>
    </row>
    <row r="42530">
      <c r="BB42530" s="122"/>
      <c r="BC42530" s="141"/>
    </row>
    <row r="42531">
      <c r="BB42531" s="122"/>
      <c r="BC42531" s="141"/>
    </row>
    <row r="42532">
      <c r="BB42532" s="122"/>
      <c r="BC42532" s="141"/>
    </row>
    <row r="42533">
      <c r="BB42533" s="122"/>
      <c r="BC42533" s="141"/>
    </row>
    <row r="42534">
      <c r="BB42534" s="122"/>
      <c r="BC42534" s="141"/>
    </row>
    <row r="42535">
      <c r="BB42535" s="122"/>
      <c r="BC42535" s="141"/>
    </row>
    <row r="42536">
      <c r="BB42536" s="122"/>
      <c r="BC42536" s="141"/>
    </row>
    <row r="42537">
      <c r="BB42537" s="122"/>
      <c r="BC42537" s="141"/>
    </row>
    <row r="42538">
      <c r="BB42538" s="122"/>
      <c r="BC42538" s="141"/>
    </row>
    <row r="42539">
      <c r="BB42539" s="122"/>
      <c r="BC42539" s="141"/>
    </row>
    <row r="42540">
      <c r="BB42540" s="122"/>
      <c r="BC42540" s="141"/>
    </row>
    <row r="42541">
      <c r="BB42541" s="122"/>
      <c r="BC42541" s="141"/>
    </row>
    <row r="42542">
      <c r="BB42542" s="122"/>
      <c r="BC42542" s="141"/>
    </row>
    <row r="42543">
      <c r="BB42543" s="122"/>
      <c r="BC42543" s="141"/>
    </row>
    <row r="42544">
      <c r="BB42544" s="122"/>
      <c r="BC42544" s="141"/>
    </row>
    <row r="42545">
      <c r="BB42545" s="122"/>
      <c r="BC42545" s="141"/>
    </row>
    <row r="42546">
      <c r="BB42546" s="122"/>
      <c r="BC42546" s="141"/>
    </row>
    <row r="42547">
      <c r="BB42547" s="122"/>
      <c r="BC42547" s="141"/>
    </row>
    <row r="42548">
      <c r="BB42548" s="122"/>
      <c r="BC42548" s="141"/>
    </row>
    <row r="42549">
      <c r="BB42549" s="122"/>
      <c r="BC42549" s="141"/>
    </row>
    <row r="42550">
      <c r="BB42550" s="122"/>
      <c r="BC42550" s="141"/>
    </row>
    <row r="42551">
      <c r="BB42551" s="122"/>
      <c r="BC42551" s="141"/>
    </row>
    <row r="42552">
      <c r="BB42552" s="122"/>
      <c r="BC42552" s="141"/>
    </row>
    <row r="42553">
      <c r="BB42553" s="122"/>
      <c r="BC42553" s="141"/>
    </row>
    <row r="42554">
      <c r="BB42554" s="122"/>
      <c r="BC42554" s="141"/>
    </row>
    <row r="42555">
      <c r="BB42555" s="122"/>
      <c r="BC42555" s="141"/>
    </row>
    <row r="42556">
      <c r="BB42556" s="122"/>
      <c r="BC42556" s="141"/>
    </row>
    <row r="42557">
      <c r="BB42557" s="122"/>
      <c r="BC42557" s="141"/>
    </row>
    <row r="42558">
      <c r="BB42558" s="122"/>
      <c r="BC42558" s="141"/>
    </row>
    <row r="42559">
      <c r="BB42559" s="122"/>
      <c r="BC42559" s="141"/>
    </row>
    <row r="42560">
      <c r="BB42560" s="122"/>
      <c r="BC42560" s="141"/>
    </row>
    <row r="42561">
      <c r="BB42561" s="122"/>
      <c r="BC42561" s="141"/>
    </row>
    <row r="42562">
      <c r="BB42562" s="122"/>
      <c r="BC42562" s="141"/>
    </row>
    <row r="42563">
      <c r="BB42563" s="122"/>
      <c r="BC42563" s="141"/>
    </row>
    <row r="42564">
      <c r="BB42564" s="122"/>
      <c r="BC42564" s="141"/>
    </row>
    <row r="42565">
      <c r="BB42565" s="122"/>
      <c r="BC42565" s="141"/>
    </row>
    <row r="42566">
      <c r="BB42566" s="122"/>
      <c r="BC42566" s="141"/>
    </row>
    <row r="42567">
      <c r="BB42567" s="122"/>
      <c r="BC42567" s="141"/>
    </row>
    <row r="42568">
      <c r="BB42568" s="122"/>
      <c r="BC42568" s="141"/>
    </row>
    <row r="42569">
      <c r="BB42569" s="122"/>
      <c r="BC42569" s="141"/>
    </row>
    <row r="42570">
      <c r="BB42570" s="122"/>
      <c r="BC42570" s="141"/>
    </row>
    <row r="42571">
      <c r="BB42571" s="122"/>
      <c r="BC42571" s="141"/>
    </row>
    <row r="42572">
      <c r="BB42572" s="122"/>
      <c r="BC42572" s="141"/>
    </row>
    <row r="42573">
      <c r="BB42573" s="122"/>
      <c r="BC42573" s="141"/>
    </row>
    <row r="42574">
      <c r="BB42574" s="122"/>
      <c r="BC42574" s="141"/>
    </row>
    <row r="42575">
      <c r="BB42575" s="122"/>
      <c r="BC42575" s="141"/>
    </row>
    <row r="42576">
      <c r="BB42576" s="122"/>
      <c r="BC42576" s="141"/>
    </row>
    <row r="42577">
      <c r="BB42577" s="122"/>
      <c r="BC42577" s="141"/>
    </row>
    <row r="42578">
      <c r="BB42578" s="122"/>
      <c r="BC42578" s="141"/>
    </row>
    <row r="42579">
      <c r="BB42579" s="122"/>
      <c r="BC42579" s="141"/>
    </row>
    <row r="42580">
      <c r="BB42580" s="122"/>
      <c r="BC42580" s="141"/>
    </row>
    <row r="42581">
      <c r="BB42581" s="122"/>
      <c r="BC42581" s="141"/>
    </row>
    <row r="42582">
      <c r="BB42582" s="122"/>
      <c r="BC42582" s="141"/>
    </row>
    <row r="42583">
      <c r="BB42583" s="122"/>
      <c r="BC42583" s="141"/>
    </row>
    <row r="42584">
      <c r="BB42584" s="122"/>
      <c r="BC42584" s="141"/>
    </row>
    <row r="42585">
      <c r="BB42585" s="122"/>
      <c r="BC42585" s="141"/>
    </row>
    <row r="42586">
      <c r="BB42586" s="122"/>
      <c r="BC42586" s="141"/>
    </row>
    <row r="42587">
      <c r="BB42587" s="122"/>
      <c r="BC42587" s="141"/>
    </row>
    <row r="42588">
      <c r="BB42588" s="122"/>
      <c r="BC42588" s="141"/>
    </row>
    <row r="42589">
      <c r="BB42589" s="122"/>
      <c r="BC42589" s="141"/>
    </row>
    <row r="42590">
      <c r="BB42590" s="122"/>
      <c r="BC42590" s="141"/>
    </row>
    <row r="42591">
      <c r="BB42591" s="122"/>
      <c r="BC42591" s="141"/>
    </row>
    <row r="42592">
      <c r="BB42592" s="122"/>
      <c r="BC42592" s="141"/>
    </row>
    <row r="42593">
      <c r="BB42593" s="122"/>
      <c r="BC42593" s="141"/>
    </row>
    <row r="42594">
      <c r="BB42594" s="122"/>
      <c r="BC42594" s="141"/>
    </row>
    <row r="42595">
      <c r="BB42595" s="122"/>
      <c r="BC42595" s="141"/>
    </row>
    <row r="42596">
      <c r="BB42596" s="122"/>
      <c r="BC42596" s="141"/>
    </row>
    <row r="42597">
      <c r="BB42597" s="122"/>
      <c r="BC42597" s="141"/>
    </row>
    <row r="42598">
      <c r="BB42598" s="122"/>
      <c r="BC42598" s="141"/>
    </row>
    <row r="42599">
      <c r="BB42599" s="122"/>
      <c r="BC42599" s="141"/>
    </row>
    <row r="42600">
      <c r="BB42600" s="122"/>
      <c r="BC42600" s="141"/>
    </row>
    <row r="42601">
      <c r="BB42601" s="122"/>
      <c r="BC42601" s="141"/>
    </row>
    <row r="42602">
      <c r="BB42602" s="122"/>
      <c r="BC42602" s="141"/>
    </row>
    <row r="42603">
      <c r="BB42603" s="122"/>
      <c r="BC42603" s="141"/>
    </row>
    <row r="42604">
      <c r="BB42604" s="122"/>
      <c r="BC42604" s="141"/>
    </row>
    <row r="42605">
      <c r="BB42605" s="122"/>
      <c r="BC42605" s="141"/>
    </row>
    <row r="42606">
      <c r="BB42606" s="122"/>
      <c r="BC42606" s="141"/>
    </row>
    <row r="42607">
      <c r="BB42607" s="122"/>
      <c r="BC42607" s="141"/>
    </row>
    <row r="42608">
      <c r="BB42608" s="122"/>
      <c r="BC42608" s="141"/>
    </row>
    <row r="42609">
      <c r="BB42609" s="122"/>
      <c r="BC42609" s="141"/>
    </row>
    <row r="42610">
      <c r="BB42610" s="122"/>
      <c r="BC42610" s="141"/>
    </row>
    <row r="42611">
      <c r="BB42611" s="122"/>
      <c r="BC42611" s="141"/>
    </row>
    <row r="42612">
      <c r="BB42612" s="122"/>
      <c r="BC42612" s="141"/>
    </row>
    <row r="42613">
      <c r="BB42613" s="122"/>
      <c r="BC42613" s="141"/>
    </row>
    <row r="42614">
      <c r="BB42614" s="122"/>
      <c r="BC42614" s="141"/>
    </row>
    <row r="42615">
      <c r="BB42615" s="122"/>
      <c r="BC42615" s="141"/>
    </row>
    <row r="42616">
      <c r="BB42616" s="122"/>
      <c r="BC42616" s="141"/>
    </row>
    <row r="42617">
      <c r="BB42617" s="122"/>
      <c r="BC42617" s="141"/>
    </row>
    <row r="42618">
      <c r="BB42618" s="122"/>
      <c r="BC42618" s="141"/>
    </row>
    <row r="42619">
      <c r="BB42619" s="122"/>
      <c r="BC42619" s="141"/>
    </row>
    <row r="42620">
      <c r="BB42620" s="122"/>
      <c r="BC42620" s="141"/>
    </row>
    <row r="42621">
      <c r="BB42621" s="122"/>
      <c r="BC42621" s="141"/>
    </row>
    <row r="42622">
      <c r="BB42622" s="122"/>
      <c r="BC42622" s="141"/>
    </row>
    <row r="42623">
      <c r="BB42623" s="122"/>
      <c r="BC42623" s="141"/>
    </row>
    <row r="42624">
      <c r="BB42624" s="122"/>
      <c r="BC42624" s="141"/>
    </row>
    <row r="42625">
      <c r="BB42625" s="122"/>
      <c r="BC42625" s="141"/>
    </row>
    <row r="42626">
      <c r="BB42626" s="122"/>
      <c r="BC42626" s="141"/>
    </row>
    <row r="42627">
      <c r="BB42627" s="122"/>
      <c r="BC42627" s="141"/>
    </row>
    <row r="42628">
      <c r="BB42628" s="122"/>
      <c r="BC42628" s="141"/>
    </row>
    <row r="42629">
      <c r="BB42629" s="122"/>
      <c r="BC42629" s="141"/>
    </row>
    <row r="42630">
      <c r="BB42630" s="122"/>
      <c r="BC42630" s="141"/>
    </row>
    <row r="42631">
      <c r="BB42631" s="122"/>
      <c r="BC42631" s="141"/>
    </row>
    <row r="42632">
      <c r="BB42632" s="122"/>
      <c r="BC42632" s="141"/>
    </row>
    <row r="42633">
      <c r="BB42633" s="122"/>
      <c r="BC42633" s="141"/>
    </row>
    <row r="42634">
      <c r="BB42634" s="122"/>
      <c r="BC42634" s="141"/>
    </row>
    <row r="42635">
      <c r="BB42635" s="122"/>
      <c r="BC42635" s="141"/>
    </row>
    <row r="42636">
      <c r="BB42636" s="122"/>
      <c r="BC42636" s="141"/>
    </row>
    <row r="42637">
      <c r="BB42637" s="122"/>
      <c r="BC42637" s="141"/>
    </row>
    <row r="42638">
      <c r="BB42638" s="122"/>
      <c r="BC42638" s="141"/>
    </row>
    <row r="42639">
      <c r="BB42639" s="122"/>
      <c r="BC42639" s="141"/>
    </row>
    <row r="42640">
      <c r="BB42640" s="122"/>
      <c r="BC42640" s="141"/>
    </row>
    <row r="42641">
      <c r="BB42641" s="122"/>
      <c r="BC42641" s="141"/>
    </row>
    <row r="42642">
      <c r="BB42642" s="122"/>
      <c r="BC42642" s="141"/>
    </row>
    <row r="42643">
      <c r="BB42643" s="122"/>
      <c r="BC42643" s="141"/>
    </row>
    <row r="42644">
      <c r="BB42644" s="122"/>
      <c r="BC42644" s="141"/>
    </row>
    <row r="42645">
      <c r="BB42645" s="122"/>
      <c r="BC42645" s="141"/>
    </row>
    <row r="42646">
      <c r="BB42646" s="122"/>
      <c r="BC42646" s="141"/>
    </row>
    <row r="42647">
      <c r="BB42647" s="122"/>
      <c r="BC42647" s="141"/>
    </row>
    <row r="42648">
      <c r="BB42648" s="122"/>
      <c r="BC42648" s="141"/>
    </row>
    <row r="42649">
      <c r="BB42649" s="122"/>
      <c r="BC42649" s="141"/>
    </row>
    <row r="42650">
      <c r="BB42650" s="122"/>
      <c r="BC42650" s="141"/>
    </row>
    <row r="42651">
      <c r="BB42651" s="122"/>
      <c r="BC42651" s="141"/>
    </row>
    <row r="42652">
      <c r="BB42652" s="122"/>
      <c r="BC42652" s="141"/>
    </row>
    <row r="42653">
      <c r="BB42653" s="122"/>
      <c r="BC42653" s="141"/>
    </row>
    <row r="42654">
      <c r="BB42654" s="122"/>
      <c r="BC42654" s="141"/>
    </row>
    <row r="42655">
      <c r="BB42655" s="122"/>
      <c r="BC42655" s="141"/>
    </row>
    <row r="42656">
      <c r="BB42656" s="122"/>
      <c r="BC42656" s="141"/>
    </row>
    <row r="42657">
      <c r="BB42657" s="122"/>
      <c r="BC42657" s="141"/>
    </row>
    <row r="42658">
      <c r="BB42658" s="122"/>
      <c r="BC42658" s="141"/>
    </row>
    <row r="42659">
      <c r="BB42659" s="122"/>
      <c r="BC42659" s="141"/>
    </row>
    <row r="42660">
      <c r="BB42660" s="122"/>
      <c r="BC42660" s="141"/>
    </row>
    <row r="42661">
      <c r="BB42661" s="122"/>
      <c r="BC42661" s="141"/>
    </row>
    <row r="42662">
      <c r="BB42662" s="122"/>
      <c r="BC42662" s="141"/>
    </row>
    <row r="42663">
      <c r="BB42663" s="122"/>
      <c r="BC42663" s="141"/>
    </row>
    <row r="42664">
      <c r="BB42664" s="122"/>
      <c r="BC42664" s="141"/>
    </row>
    <row r="42665">
      <c r="BB42665" s="122"/>
      <c r="BC42665" s="141"/>
    </row>
    <row r="42666">
      <c r="BB42666" s="122"/>
      <c r="BC42666" s="141"/>
    </row>
    <row r="42667">
      <c r="BB42667" s="122"/>
      <c r="BC42667" s="141"/>
    </row>
    <row r="42668">
      <c r="BB42668" s="122"/>
      <c r="BC42668" s="141"/>
    </row>
    <row r="42669">
      <c r="BB42669" s="122"/>
      <c r="BC42669" s="141"/>
    </row>
    <row r="42670">
      <c r="BB42670" s="122"/>
      <c r="BC42670" s="141"/>
    </row>
    <row r="42671">
      <c r="BB42671" s="122"/>
      <c r="BC42671" s="141"/>
    </row>
    <row r="42672">
      <c r="BB42672" s="122"/>
      <c r="BC42672" s="141"/>
    </row>
    <row r="42673">
      <c r="BB42673" s="122"/>
      <c r="BC42673" s="141"/>
    </row>
    <row r="42674">
      <c r="BB42674" s="122"/>
      <c r="BC42674" s="141"/>
    </row>
    <row r="42675">
      <c r="BB42675" s="122"/>
      <c r="BC42675" s="141"/>
    </row>
    <row r="42676">
      <c r="BB42676" s="122"/>
      <c r="BC42676" s="141"/>
    </row>
    <row r="42677">
      <c r="BB42677" s="122"/>
      <c r="BC42677" s="141"/>
    </row>
    <row r="42678">
      <c r="BB42678" s="122"/>
      <c r="BC42678" s="141"/>
    </row>
    <row r="42679">
      <c r="BB42679" s="122"/>
      <c r="BC42679" s="141"/>
    </row>
    <row r="42680">
      <c r="BB42680" s="122"/>
      <c r="BC42680" s="141"/>
    </row>
    <row r="42681">
      <c r="BB42681" s="122"/>
      <c r="BC42681" s="141"/>
    </row>
    <row r="42682">
      <c r="BB42682" s="122"/>
      <c r="BC42682" s="141"/>
    </row>
    <row r="42683">
      <c r="BB42683" s="122"/>
      <c r="BC42683" s="141"/>
    </row>
    <row r="42684">
      <c r="BB42684" s="122"/>
      <c r="BC42684" s="141"/>
    </row>
    <row r="42685">
      <c r="BB42685" s="122"/>
      <c r="BC42685" s="141"/>
    </row>
    <row r="42686">
      <c r="BB42686" s="122"/>
      <c r="BC42686" s="141"/>
    </row>
    <row r="42687">
      <c r="BB42687" s="122"/>
      <c r="BC42687" s="141"/>
    </row>
    <row r="42688">
      <c r="BB42688" s="122"/>
      <c r="BC42688" s="141"/>
    </row>
    <row r="42689">
      <c r="BB42689" s="122"/>
      <c r="BC42689" s="141"/>
    </row>
    <row r="42690">
      <c r="BB42690" s="122"/>
      <c r="BC42690" s="141"/>
    </row>
    <row r="42691">
      <c r="BB42691" s="122"/>
      <c r="BC42691" s="141"/>
    </row>
    <row r="42692">
      <c r="BB42692" s="122"/>
      <c r="BC42692" s="141"/>
    </row>
    <row r="42693">
      <c r="BB42693" s="122"/>
      <c r="BC42693" s="141"/>
    </row>
    <row r="42694">
      <c r="BB42694" s="122"/>
      <c r="BC42694" s="141"/>
    </row>
    <row r="42695">
      <c r="BB42695" s="122"/>
      <c r="BC42695" s="141"/>
    </row>
    <row r="42696">
      <c r="BB42696" s="122"/>
      <c r="BC42696" s="141"/>
    </row>
    <row r="42697">
      <c r="BB42697" s="122"/>
      <c r="BC42697" s="141"/>
    </row>
    <row r="42698">
      <c r="BB42698" s="122"/>
      <c r="BC42698" s="141"/>
    </row>
    <row r="42699">
      <c r="BB42699" s="122"/>
      <c r="BC42699" s="141"/>
    </row>
    <row r="42700">
      <c r="BB42700" s="122"/>
      <c r="BC42700" s="141"/>
    </row>
    <row r="42701">
      <c r="BB42701" s="122"/>
      <c r="BC42701" s="141"/>
    </row>
    <row r="42702">
      <c r="BB42702" s="122"/>
      <c r="BC42702" s="141"/>
    </row>
    <row r="42703">
      <c r="BB42703" s="122"/>
      <c r="BC42703" s="141"/>
    </row>
    <row r="42704">
      <c r="BB42704" s="122"/>
      <c r="BC42704" s="141"/>
    </row>
    <row r="42705">
      <c r="BB42705" s="122"/>
      <c r="BC42705" s="141"/>
    </row>
    <row r="42706">
      <c r="BB42706" s="122"/>
      <c r="BC42706" s="141"/>
    </row>
    <row r="42707">
      <c r="BB42707" s="122"/>
      <c r="BC42707" s="141"/>
    </row>
    <row r="42708">
      <c r="BB42708" s="122"/>
      <c r="BC42708" s="141"/>
    </row>
    <row r="42709">
      <c r="BB42709" s="122"/>
      <c r="BC42709" s="141"/>
    </row>
    <row r="42710">
      <c r="BB42710" s="122"/>
      <c r="BC42710" s="141"/>
    </row>
    <row r="42711">
      <c r="BB42711" s="122"/>
      <c r="BC42711" s="141"/>
    </row>
    <row r="42712">
      <c r="BB42712" s="122"/>
      <c r="BC42712" s="141"/>
    </row>
    <row r="42713">
      <c r="BB42713" s="122"/>
      <c r="BC42713" s="141"/>
    </row>
    <row r="42714">
      <c r="BB42714" s="122"/>
      <c r="BC42714" s="141"/>
    </row>
    <row r="42715">
      <c r="BB42715" s="122"/>
      <c r="BC42715" s="141"/>
    </row>
    <row r="42716">
      <c r="BB42716" s="122"/>
      <c r="BC42716" s="141"/>
    </row>
    <row r="42717">
      <c r="BB42717" s="122"/>
      <c r="BC42717" s="141"/>
    </row>
    <row r="42718">
      <c r="BB42718" s="122"/>
      <c r="BC42718" s="141"/>
    </row>
    <row r="42719">
      <c r="BB42719" s="122"/>
      <c r="BC42719" s="141"/>
    </row>
    <row r="42720">
      <c r="BB42720" s="122"/>
      <c r="BC42720" s="141"/>
    </row>
    <row r="42721">
      <c r="BB42721" s="122"/>
      <c r="BC42721" s="141"/>
    </row>
    <row r="42722">
      <c r="BB42722" s="122"/>
      <c r="BC42722" s="141"/>
    </row>
    <row r="42723">
      <c r="BB42723" s="122"/>
      <c r="BC42723" s="141"/>
    </row>
    <row r="42724">
      <c r="BB42724" s="122"/>
      <c r="BC42724" s="141"/>
    </row>
    <row r="42725">
      <c r="BB42725" s="122"/>
      <c r="BC42725" s="141"/>
    </row>
    <row r="42726">
      <c r="BB42726" s="122"/>
      <c r="BC42726" s="141"/>
    </row>
    <row r="42727">
      <c r="BB42727" s="122"/>
      <c r="BC42727" s="141"/>
    </row>
    <row r="42728">
      <c r="BB42728" s="122"/>
      <c r="BC42728" s="141"/>
    </row>
    <row r="42729">
      <c r="BB42729" s="122"/>
      <c r="BC42729" s="141"/>
    </row>
    <row r="42730">
      <c r="BB42730" s="122"/>
      <c r="BC42730" s="141"/>
    </row>
    <row r="42731">
      <c r="BB42731" s="122"/>
      <c r="BC42731" s="141"/>
    </row>
    <row r="42732">
      <c r="BB42732" s="122"/>
      <c r="BC42732" s="141"/>
    </row>
    <row r="42733">
      <c r="BB42733" s="122"/>
      <c r="BC42733" s="141"/>
    </row>
    <row r="42734">
      <c r="BB42734" s="122"/>
      <c r="BC42734" s="141"/>
    </row>
    <row r="42735">
      <c r="BB42735" s="122"/>
      <c r="BC42735" s="141"/>
    </row>
    <row r="42736">
      <c r="BB42736" s="122"/>
      <c r="BC42736" s="141"/>
    </row>
    <row r="42737">
      <c r="BB42737" s="122"/>
      <c r="BC42737" s="141"/>
    </row>
    <row r="42738">
      <c r="BB42738" s="122"/>
      <c r="BC42738" s="141"/>
    </row>
    <row r="42739">
      <c r="BB42739" s="122"/>
      <c r="BC42739" s="141"/>
    </row>
    <row r="42740">
      <c r="BB42740" s="122"/>
      <c r="BC42740" s="141"/>
    </row>
    <row r="42741">
      <c r="BB42741" s="122"/>
      <c r="BC42741" s="141"/>
    </row>
    <row r="42742">
      <c r="BB42742" s="122"/>
      <c r="BC42742" s="141"/>
    </row>
    <row r="42743">
      <c r="BB42743" s="122"/>
      <c r="BC42743" s="141"/>
    </row>
    <row r="42744">
      <c r="BB42744" s="122"/>
      <c r="BC42744" s="141"/>
    </row>
    <row r="42745">
      <c r="BB42745" s="122"/>
      <c r="BC42745" s="141"/>
    </row>
    <row r="42746">
      <c r="BB42746" s="122"/>
      <c r="BC42746" s="141"/>
    </row>
    <row r="42747">
      <c r="BB42747" s="122"/>
      <c r="BC42747" s="141"/>
    </row>
    <row r="42748">
      <c r="BB42748" s="122"/>
      <c r="BC42748" s="141"/>
    </row>
    <row r="42749">
      <c r="BB42749" s="122"/>
      <c r="BC42749" s="141"/>
    </row>
    <row r="42750">
      <c r="BB42750" s="122"/>
      <c r="BC42750" s="141"/>
    </row>
    <row r="42751">
      <c r="BB42751" s="122"/>
      <c r="BC42751" s="141"/>
    </row>
    <row r="42752">
      <c r="BB42752" s="122"/>
      <c r="BC42752" s="141"/>
    </row>
    <row r="42753">
      <c r="BB42753" s="122"/>
      <c r="BC42753" s="141"/>
    </row>
    <row r="42754">
      <c r="BB42754" s="122"/>
      <c r="BC42754" s="141"/>
    </row>
    <row r="42755">
      <c r="BB42755" s="122"/>
      <c r="BC42755" s="141"/>
    </row>
    <row r="42756">
      <c r="BB42756" s="122"/>
      <c r="BC42756" s="141"/>
    </row>
    <row r="42757">
      <c r="BB42757" s="122"/>
      <c r="BC42757" s="141"/>
    </row>
    <row r="42758">
      <c r="BB42758" s="122"/>
      <c r="BC42758" s="141"/>
    </row>
    <row r="42759">
      <c r="BB42759" s="122"/>
      <c r="BC42759" s="141"/>
    </row>
    <row r="42760">
      <c r="BB42760" s="122"/>
      <c r="BC42760" s="141"/>
    </row>
    <row r="42761">
      <c r="BB42761" s="122"/>
      <c r="BC42761" s="141"/>
    </row>
    <row r="42762">
      <c r="BB42762" s="122"/>
      <c r="BC42762" s="141"/>
    </row>
    <row r="42763">
      <c r="BB42763" s="122"/>
      <c r="BC42763" s="141"/>
    </row>
    <row r="42764">
      <c r="BB42764" s="122"/>
      <c r="BC42764" s="141"/>
    </row>
    <row r="42765">
      <c r="BB42765" s="122"/>
      <c r="BC42765" s="141"/>
    </row>
    <row r="42766">
      <c r="BB42766" s="122"/>
      <c r="BC42766" s="141"/>
    </row>
    <row r="42767">
      <c r="BB42767" s="122"/>
      <c r="BC42767" s="141"/>
    </row>
    <row r="42768">
      <c r="BB42768" s="122"/>
      <c r="BC42768" s="141"/>
    </row>
    <row r="42769">
      <c r="BB42769" s="122"/>
      <c r="BC42769" s="141"/>
    </row>
    <row r="42770">
      <c r="BB42770" s="122"/>
      <c r="BC42770" s="141"/>
    </row>
    <row r="42771">
      <c r="BB42771" s="122"/>
      <c r="BC42771" s="141"/>
    </row>
    <row r="42772">
      <c r="BB42772" s="122"/>
      <c r="BC42772" s="141"/>
    </row>
    <row r="42773">
      <c r="BB42773" s="122"/>
      <c r="BC42773" s="141"/>
    </row>
    <row r="42774">
      <c r="BB42774" s="122"/>
      <c r="BC42774" s="141"/>
    </row>
    <row r="42775">
      <c r="BB42775" s="122"/>
      <c r="BC42775" s="141"/>
    </row>
    <row r="42776">
      <c r="BB42776" s="122"/>
      <c r="BC42776" s="141"/>
    </row>
    <row r="42777">
      <c r="BB42777" s="122"/>
      <c r="BC42777" s="141"/>
    </row>
    <row r="42778">
      <c r="BB42778" s="122"/>
      <c r="BC42778" s="141"/>
    </row>
    <row r="42779">
      <c r="BB42779" s="122"/>
      <c r="BC42779" s="141"/>
    </row>
    <row r="42780">
      <c r="BB42780" s="122"/>
      <c r="BC42780" s="141"/>
    </row>
    <row r="42781">
      <c r="BB42781" s="122"/>
      <c r="BC42781" s="141"/>
    </row>
    <row r="42782">
      <c r="BB42782" s="122"/>
      <c r="BC42782" s="141"/>
    </row>
    <row r="42783">
      <c r="BB42783" s="122"/>
      <c r="BC42783" s="141"/>
    </row>
    <row r="42784">
      <c r="BB42784" s="122"/>
      <c r="BC42784" s="141"/>
    </row>
    <row r="42785">
      <c r="BB42785" s="122"/>
      <c r="BC42785" s="141"/>
    </row>
    <row r="42786">
      <c r="BB42786" s="122"/>
      <c r="BC42786" s="141"/>
    </row>
    <row r="42787">
      <c r="BB42787" s="122"/>
      <c r="BC42787" s="141"/>
    </row>
    <row r="42788">
      <c r="BB42788" s="122"/>
      <c r="BC42788" s="141"/>
    </row>
    <row r="42789">
      <c r="BB42789" s="122"/>
      <c r="BC42789" s="141"/>
    </row>
    <row r="42790">
      <c r="BB42790" s="122"/>
      <c r="BC42790" s="141"/>
    </row>
    <row r="42791">
      <c r="BB42791" s="122"/>
      <c r="BC42791" s="141"/>
    </row>
    <row r="42792">
      <c r="BB42792" s="122"/>
      <c r="BC42792" s="141"/>
    </row>
    <row r="42793">
      <c r="BB42793" s="122"/>
      <c r="BC42793" s="141"/>
    </row>
    <row r="42794">
      <c r="BB42794" s="122"/>
      <c r="BC42794" s="141"/>
    </row>
    <row r="42795">
      <c r="BB42795" s="122"/>
      <c r="BC42795" s="141"/>
    </row>
    <row r="42796">
      <c r="BB42796" s="122"/>
      <c r="BC42796" s="141"/>
    </row>
    <row r="42797">
      <c r="BB42797" s="122"/>
      <c r="BC42797" s="141"/>
    </row>
    <row r="42798">
      <c r="BB42798" s="122"/>
      <c r="BC42798" s="141"/>
    </row>
    <row r="42799">
      <c r="BB42799" s="122"/>
      <c r="BC42799" s="141"/>
    </row>
    <row r="42800">
      <c r="BB42800" s="122"/>
      <c r="BC42800" s="141"/>
    </row>
    <row r="42801">
      <c r="BB42801" s="122"/>
      <c r="BC42801" s="141"/>
    </row>
    <row r="42802">
      <c r="BB42802" s="122"/>
      <c r="BC42802" s="141"/>
    </row>
    <row r="42803">
      <c r="BB42803" s="122"/>
      <c r="BC42803" s="141"/>
    </row>
    <row r="42804">
      <c r="BB42804" s="122"/>
      <c r="BC42804" s="141"/>
    </row>
    <row r="42805">
      <c r="BB42805" s="122"/>
      <c r="BC42805" s="141"/>
    </row>
    <row r="42806">
      <c r="BB42806" s="122"/>
      <c r="BC42806" s="141"/>
    </row>
    <row r="42807">
      <c r="BB42807" s="122"/>
      <c r="BC42807" s="141"/>
    </row>
    <row r="42808">
      <c r="BB42808" s="122"/>
      <c r="BC42808" s="141"/>
    </row>
    <row r="42809">
      <c r="BB42809" s="122"/>
      <c r="BC42809" s="141"/>
    </row>
    <row r="42810">
      <c r="BB42810" s="122"/>
      <c r="BC42810" s="141"/>
    </row>
    <row r="42811">
      <c r="BB42811" s="122"/>
      <c r="BC42811" s="141"/>
    </row>
    <row r="42812">
      <c r="BB42812" s="122"/>
      <c r="BC42812" s="141"/>
    </row>
    <row r="42813">
      <c r="BB42813" s="122"/>
      <c r="BC42813" s="141"/>
    </row>
    <row r="42814">
      <c r="BB42814" s="122"/>
      <c r="BC42814" s="141"/>
    </row>
    <row r="42815">
      <c r="BB42815" s="122"/>
      <c r="BC42815" s="141"/>
    </row>
    <row r="42816">
      <c r="BB42816" s="122"/>
      <c r="BC42816" s="141"/>
    </row>
    <row r="42817">
      <c r="BB42817" s="122"/>
      <c r="BC42817" s="141"/>
    </row>
    <row r="42818">
      <c r="BB42818" s="122"/>
      <c r="BC42818" s="141"/>
    </row>
    <row r="42819">
      <c r="BB42819" s="122"/>
      <c r="BC42819" s="141"/>
    </row>
    <row r="42820">
      <c r="BB42820" s="122"/>
      <c r="BC42820" s="141"/>
    </row>
    <row r="42821">
      <c r="BB42821" s="122"/>
      <c r="BC42821" s="141"/>
    </row>
    <row r="42822">
      <c r="BB42822" s="122"/>
      <c r="BC42822" s="141"/>
    </row>
    <row r="42823">
      <c r="BB42823" s="122"/>
      <c r="BC42823" s="141"/>
    </row>
    <row r="42824">
      <c r="BB42824" s="122"/>
      <c r="BC42824" s="141"/>
    </row>
    <row r="42825">
      <c r="BB42825" s="122"/>
      <c r="BC42825" s="141"/>
    </row>
    <row r="42826">
      <c r="BB42826" s="122"/>
      <c r="BC42826" s="141"/>
    </row>
    <row r="42827">
      <c r="BB42827" s="122"/>
      <c r="BC42827" s="141"/>
    </row>
    <row r="42828">
      <c r="BB42828" s="122"/>
      <c r="BC42828" s="141"/>
    </row>
    <row r="42829">
      <c r="BB42829" s="122"/>
      <c r="BC42829" s="141"/>
    </row>
    <row r="42830">
      <c r="BB42830" s="122"/>
      <c r="BC42830" s="141"/>
    </row>
    <row r="42831">
      <c r="BB42831" s="122"/>
      <c r="BC42831" s="141"/>
    </row>
    <row r="42832">
      <c r="BB42832" s="122"/>
      <c r="BC42832" s="141"/>
    </row>
    <row r="42833">
      <c r="BB42833" s="122"/>
      <c r="BC42833" s="141"/>
    </row>
    <row r="42834">
      <c r="BB42834" s="122"/>
      <c r="BC42834" s="141"/>
    </row>
    <row r="42835">
      <c r="BB42835" s="122"/>
      <c r="BC42835" s="141"/>
    </row>
    <row r="42836">
      <c r="BB42836" s="122"/>
      <c r="BC42836" s="141"/>
    </row>
    <row r="42837">
      <c r="BB42837" s="122"/>
      <c r="BC42837" s="141"/>
    </row>
    <row r="42838">
      <c r="BB42838" s="122"/>
      <c r="BC42838" s="141"/>
    </row>
    <row r="42839">
      <c r="BB42839" s="122"/>
      <c r="BC42839" s="141"/>
    </row>
    <row r="42840">
      <c r="BB42840" s="122"/>
      <c r="BC42840" s="141"/>
    </row>
    <row r="42841">
      <c r="BB42841" s="122"/>
      <c r="BC42841" s="141"/>
    </row>
    <row r="42842">
      <c r="BB42842" s="122"/>
      <c r="BC42842" s="141"/>
    </row>
    <row r="42843">
      <c r="BB42843" s="122"/>
      <c r="BC42843" s="141"/>
    </row>
    <row r="42844">
      <c r="BB42844" s="122"/>
      <c r="BC42844" s="141"/>
    </row>
    <row r="42845">
      <c r="BB42845" s="122"/>
      <c r="BC42845" s="141"/>
    </row>
    <row r="42846">
      <c r="BB42846" s="122"/>
      <c r="BC42846" s="141"/>
    </row>
    <row r="42847">
      <c r="BB42847" s="122"/>
      <c r="BC42847" s="141"/>
    </row>
    <row r="42848">
      <c r="BB42848" s="122"/>
      <c r="BC42848" s="141"/>
    </row>
    <row r="42849">
      <c r="BB42849" s="122"/>
      <c r="BC42849" s="141"/>
    </row>
    <row r="42850">
      <c r="BB42850" s="122"/>
      <c r="BC42850" s="141"/>
    </row>
    <row r="42851">
      <c r="BB42851" s="122"/>
      <c r="BC42851" s="141"/>
    </row>
    <row r="42852">
      <c r="BB42852" s="122"/>
      <c r="BC42852" s="141"/>
    </row>
    <row r="42853">
      <c r="BB42853" s="122"/>
      <c r="BC42853" s="141"/>
    </row>
    <row r="42854">
      <c r="BB42854" s="122"/>
      <c r="BC42854" s="141"/>
    </row>
    <row r="42855">
      <c r="BB42855" s="122"/>
      <c r="BC42855" s="141"/>
    </row>
    <row r="42856">
      <c r="BB42856" s="122"/>
      <c r="BC42856" s="141"/>
    </row>
    <row r="42857">
      <c r="BB42857" s="122"/>
      <c r="BC42857" s="141"/>
    </row>
    <row r="42858">
      <c r="BB42858" s="122"/>
      <c r="BC42858" s="141"/>
    </row>
    <row r="42859">
      <c r="BB42859" s="122"/>
      <c r="BC42859" s="141"/>
    </row>
    <row r="42860">
      <c r="BB42860" s="122"/>
      <c r="BC42860" s="141"/>
    </row>
    <row r="42861">
      <c r="BB42861" s="122"/>
      <c r="BC42861" s="141"/>
    </row>
    <row r="42862">
      <c r="BB42862" s="122"/>
      <c r="BC42862" s="141"/>
    </row>
    <row r="42863">
      <c r="BB42863" s="122"/>
      <c r="BC42863" s="141"/>
    </row>
    <row r="42864">
      <c r="BB42864" s="122"/>
      <c r="BC42864" s="141"/>
    </row>
    <row r="42865">
      <c r="BB42865" s="122"/>
      <c r="BC42865" s="141"/>
    </row>
    <row r="42866">
      <c r="BB42866" s="122"/>
      <c r="BC42866" s="141"/>
    </row>
    <row r="42867">
      <c r="BB42867" s="122"/>
      <c r="BC42867" s="141"/>
    </row>
    <row r="42868">
      <c r="BB42868" s="122"/>
      <c r="BC42868" s="141"/>
    </row>
    <row r="42869">
      <c r="BB42869" s="122"/>
      <c r="BC42869" s="141"/>
    </row>
    <row r="42870">
      <c r="BB42870" s="122"/>
      <c r="BC42870" s="141"/>
    </row>
    <row r="42871">
      <c r="BB42871" s="122"/>
      <c r="BC42871" s="141"/>
    </row>
    <row r="42872">
      <c r="BB42872" s="122"/>
      <c r="BC42872" s="141"/>
    </row>
    <row r="42873">
      <c r="BB42873" s="122"/>
      <c r="BC42873" s="141"/>
    </row>
    <row r="42874">
      <c r="BB42874" s="122"/>
      <c r="BC42874" s="141"/>
    </row>
    <row r="42875">
      <c r="BB42875" s="122"/>
      <c r="BC42875" s="141"/>
    </row>
    <row r="42876">
      <c r="BB42876" s="122"/>
      <c r="BC42876" s="141"/>
    </row>
    <row r="42877">
      <c r="BB42877" s="122"/>
      <c r="BC42877" s="141"/>
    </row>
    <row r="42878">
      <c r="BB42878" s="122"/>
      <c r="BC42878" s="141"/>
    </row>
    <row r="42879">
      <c r="BB42879" s="122"/>
      <c r="BC42879" s="141"/>
    </row>
    <row r="42880">
      <c r="BB42880" s="122"/>
      <c r="BC42880" s="141"/>
    </row>
    <row r="42881">
      <c r="BB42881" s="122"/>
      <c r="BC42881" s="141"/>
    </row>
    <row r="42882">
      <c r="BB42882" s="122"/>
      <c r="BC42882" s="141"/>
    </row>
    <row r="42883">
      <c r="BB42883" s="122"/>
      <c r="BC42883" s="141"/>
    </row>
    <row r="42884">
      <c r="BB42884" s="122"/>
      <c r="BC42884" s="141"/>
    </row>
    <row r="42885">
      <c r="BB42885" s="122"/>
      <c r="BC42885" s="141"/>
    </row>
    <row r="42886">
      <c r="BB42886" s="122"/>
      <c r="BC42886" s="141"/>
    </row>
    <row r="42887">
      <c r="BB42887" s="122"/>
      <c r="BC42887" s="141"/>
    </row>
    <row r="42888">
      <c r="BB42888" s="122"/>
      <c r="BC42888" s="141"/>
    </row>
    <row r="42889">
      <c r="BB42889" s="122"/>
      <c r="BC42889" s="141"/>
    </row>
    <row r="42890">
      <c r="BB42890" s="122"/>
      <c r="BC42890" s="141"/>
    </row>
    <row r="42891">
      <c r="BB42891" s="122"/>
      <c r="BC42891" s="141"/>
    </row>
    <row r="42892">
      <c r="BB42892" s="122"/>
      <c r="BC42892" s="141"/>
    </row>
    <row r="42893">
      <c r="BB42893" s="122"/>
      <c r="BC42893" s="141"/>
    </row>
    <row r="42894">
      <c r="BB42894" s="122"/>
      <c r="BC42894" s="141"/>
    </row>
    <row r="42895">
      <c r="BB42895" s="122"/>
      <c r="BC42895" s="141"/>
    </row>
    <row r="42896">
      <c r="BB42896" s="122"/>
      <c r="BC42896" s="141"/>
    </row>
    <row r="42897">
      <c r="BB42897" s="122"/>
      <c r="BC42897" s="141"/>
    </row>
    <row r="42898">
      <c r="BB42898" s="122"/>
      <c r="BC42898" s="141"/>
    </row>
    <row r="42899">
      <c r="BB42899" s="122"/>
      <c r="BC42899" s="141"/>
    </row>
    <row r="42900">
      <c r="BB42900" s="122"/>
      <c r="BC42900" s="141"/>
    </row>
    <row r="42901">
      <c r="BB42901" s="122"/>
      <c r="BC42901" s="141"/>
    </row>
    <row r="42902">
      <c r="BB42902" s="122"/>
      <c r="BC42902" s="141"/>
    </row>
    <row r="42903">
      <c r="BB42903" s="122"/>
      <c r="BC42903" s="141"/>
    </row>
    <row r="42904">
      <c r="BB42904" s="122"/>
      <c r="BC42904" s="141"/>
    </row>
    <row r="42905">
      <c r="BB42905" s="122"/>
      <c r="BC42905" s="141"/>
    </row>
    <row r="42906">
      <c r="BB42906" s="122"/>
      <c r="BC42906" s="141"/>
    </row>
    <row r="42907">
      <c r="BB42907" s="122"/>
      <c r="BC42907" s="141"/>
    </row>
    <row r="42908">
      <c r="BB42908" s="122"/>
      <c r="BC42908" s="141"/>
    </row>
    <row r="42909">
      <c r="BB42909" s="122"/>
      <c r="BC42909" s="141"/>
    </row>
    <row r="42910">
      <c r="BB42910" s="122"/>
      <c r="BC42910" s="141"/>
    </row>
    <row r="42911">
      <c r="BB42911" s="122"/>
      <c r="BC42911" s="141"/>
    </row>
    <row r="42912">
      <c r="BB42912" s="122"/>
      <c r="BC42912" s="141"/>
    </row>
    <row r="42913">
      <c r="BB42913" s="122"/>
      <c r="BC42913" s="141"/>
    </row>
    <row r="42914">
      <c r="BB42914" s="122"/>
      <c r="BC42914" s="141"/>
    </row>
    <row r="42915">
      <c r="BB42915" s="122"/>
      <c r="BC42915" s="141"/>
    </row>
    <row r="42916">
      <c r="BB42916" s="122"/>
      <c r="BC42916" s="141"/>
    </row>
    <row r="42917">
      <c r="BB42917" s="122"/>
      <c r="BC42917" s="141"/>
    </row>
    <row r="42918">
      <c r="BB42918" s="122"/>
      <c r="BC42918" s="141"/>
    </row>
    <row r="42919">
      <c r="BB42919" s="122"/>
      <c r="BC42919" s="141"/>
    </row>
    <row r="42920">
      <c r="BB42920" s="122"/>
      <c r="BC42920" s="141"/>
    </row>
    <row r="42921">
      <c r="BB42921" s="122"/>
      <c r="BC42921" s="141"/>
    </row>
    <row r="42922">
      <c r="BB42922" s="122"/>
      <c r="BC42922" s="141"/>
    </row>
    <row r="42923">
      <c r="BB42923" s="122"/>
      <c r="BC42923" s="141"/>
    </row>
    <row r="42924">
      <c r="BB42924" s="122"/>
      <c r="BC42924" s="141"/>
    </row>
    <row r="42925">
      <c r="BB42925" s="122"/>
      <c r="BC42925" s="141"/>
    </row>
    <row r="42926">
      <c r="BB42926" s="122"/>
      <c r="BC42926" s="141"/>
    </row>
    <row r="42927">
      <c r="BB42927" s="122"/>
      <c r="BC42927" s="141"/>
    </row>
    <row r="42928">
      <c r="BB42928" s="122"/>
      <c r="BC42928" s="141"/>
    </row>
    <row r="42929">
      <c r="BB42929" s="122"/>
      <c r="BC42929" s="141"/>
    </row>
    <row r="42930">
      <c r="BB42930" s="122"/>
      <c r="BC42930" s="141"/>
    </row>
    <row r="42931">
      <c r="BB42931" s="122"/>
      <c r="BC42931" s="141"/>
    </row>
    <row r="42932">
      <c r="BB42932" s="122"/>
      <c r="BC42932" s="141"/>
    </row>
    <row r="42933">
      <c r="BB42933" s="122"/>
      <c r="BC42933" s="141"/>
    </row>
    <row r="42934">
      <c r="BB42934" s="122"/>
      <c r="BC42934" s="141"/>
    </row>
    <row r="42935">
      <c r="BB42935" s="122"/>
      <c r="BC42935" s="141"/>
    </row>
    <row r="42936">
      <c r="BB42936" s="122"/>
      <c r="BC42936" s="141"/>
    </row>
    <row r="42937">
      <c r="BB42937" s="122"/>
      <c r="BC42937" s="141"/>
    </row>
    <row r="42938">
      <c r="BB42938" s="122"/>
      <c r="BC42938" s="141"/>
    </row>
    <row r="42939">
      <c r="BB42939" s="122"/>
      <c r="BC42939" s="141"/>
    </row>
    <row r="42940">
      <c r="BB42940" s="122"/>
      <c r="BC42940" s="141"/>
    </row>
    <row r="42941">
      <c r="BB42941" s="122"/>
      <c r="BC42941" s="141"/>
    </row>
    <row r="42942">
      <c r="BB42942" s="122"/>
      <c r="BC42942" s="141"/>
    </row>
    <row r="42943">
      <c r="BB42943" s="122"/>
      <c r="BC42943" s="141"/>
    </row>
    <row r="42944">
      <c r="BB42944" s="122"/>
      <c r="BC42944" s="141"/>
    </row>
    <row r="42945">
      <c r="BB42945" s="122"/>
      <c r="BC42945" s="141"/>
    </row>
    <row r="42946">
      <c r="BB42946" s="122"/>
      <c r="BC42946" s="141"/>
    </row>
    <row r="42947">
      <c r="BB42947" s="122"/>
      <c r="BC42947" s="141"/>
    </row>
    <row r="42948">
      <c r="BB42948" s="122"/>
      <c r="BC42948" s="141"/>
    </row>
    <row r="42949">
      <c r="BB42949" s="122"/>
      <c r="BC42949" s="141"/>
    </row>
    <row r="42950">
      <c r="BB42950" s="122"/>
      <c r="BC42950" s="141"/>
    </row>
    <row r="42951">
      <c r="BB42951" s="122"/>
      <c r="BC42951" s="141"/>
    </row>
    <row r="42952">
      <c r="BB42952" s="122"/>
      <c r="BC42952" s="141"/>
    </row>
    <row r="42953">
      <c r="BB42953" s="122"/>
      <c r="BC42953" s="141"/>
    </row>
    <row r="42954">
      <c r="BB42954" s="122"/>
      <c r="BC42954" s="141"/>
    </row>
    <row r="42955">
      <c r="BB42955" s="122"/>
      <c r="BC42955" s="141"/>
    </row>
    <row r="42956">
      <c r="BB42956" s="122"/>
      <c r="BC42956" s="141"/>
    </row>
    <row r="42957">
      <c r="BB42957" s="122"/>
      <c r="BC42957" s="141"/>
    </row>
    <row r="42958">
      <c r="BB42958" s="122"/>
      <c r="BC42958" s="141"/>
    </row>
    <row r="42959">
      <c r="BB42959" s="122"/>
      <c r="BC42959" s="141"/>
    </row>
    <row r="42960">
      <c r="BB42960" s="122"/>
      <c r="BC42960" s="141"/>
    </row>
    <row r="42961">
      <c r="BB42961" s="122"/>
      <c r="BC42961" s="141"/>
    </row>
    <row r="42962">
      <c r="BB42962" s="122"/>
      <c r="BC42962" s="141"/>
    </row>
    <row r="42963">
      <c r="BB42963" s="122"/>
      <c r="BC42963" s="141"/>
    </row>
    <row r="42964">
      <c r="BB42964" s="122"/>
      <c r="BC42964" s="141"/>
    </row>
    <row r="42965">
      <c r="BB42965" s="122"/>
      <c r="BC42965" s="141"/>
    </row>
    <row r="42966">
      <c r="BB42966" s="122"/>
      <c r="BC42966" s="141"/>
    </row>
    <row r="42967">
      <c r="BB42967" s="122"/>
      <c r="BC42967" s="141"/>
    </row>
    <row r="42968">
      <c r="BB42968" s="122"/>
      <c r="BC42968" s="141"/>
    </row>
    <row r="42969">
      <c r="BB42969" s="122"/>
      <c r="BC42969" s="141"/>
    </row>
    <row r="42970">
      <c r="BB42970" s="122"/>
      <c r="BC42970" s="141"/>
    </row>
    <row r="42971">
      <c r="BB42971" s="122"/>
      <c r="BC42971" s="141"/>
    </row>
    <row r="42972">
      <c r="BB42972" s="122"/>
      <c r="BC42972" s="141"/>
    </row>
    <row r="42973">
      <c r="BB42973" s="122"/>
      <c r="BC42973" s="141"/>
    </row>
    <row r="42974">
      <c r="BB42974" s="122"/>
      <c r="BC42974" s="141"/>
    </row>
    <row r="42975">
      <c r="BB42975" s="122"/>
      <c r="BC42975" s="141"/>
    </row>
    <row r="42976">
      <c r="BB42976" s="122"/>
      <c r="BC42976" s="141"/>
    </row>
    <row r="42977">
      <c r="BB42977" s="122"/>
      <c r="BC42977" s="141"/>
    </row>
    <row r="42978">
      <c r="BB42978" s="122"/>
      <c r="BC42978" s="141"/>
    </row>
    <row r="42979">
      <c r="BB42979" s="122"/>
      <c r="BC42979" s="141"/>
    </row>
    <row r="42980">
      <c r="BB42980" s="122"/>
      <c r="BC42980" s="141"/>
    </row>
    <row r="42981">
      <c r="BB42981" s="122"/>
      <c r="BC42981" s="141"/>
    </row>
    <row r="42982">
      <c r="BB42982" s="122"/>
      <c r="BC42982" s="141"/>
    </row>
    <row r="42983">
      <c r="BB42983" s="122"/>
      <c r="BC42983" s="141"/>
    </row>
    <row r="42984">
      <c r="BB42984" s="122"/>
      <c r="BC42984" s="141"/>
    </row>
    <row r="42985">
      <c r="BB42985" s="122"/>
      <c r="BC42985" s="141"/>
    </row>
    <row r="42986">
      <c r="BB42986" s="122"/>
      <c r="BC42986" s="141"/>
    </row>
    <row r="42987">
      <c r="BB42987" s="122"/>
      <c r="BC42987" s="141"/>
    </row>
    <row r="42988">
      <c r="BB42988" s="122"/>
      <c r="BC42988" s="141"/>
    </row>
    <row r="42989">
      <c r="BB42989" s="122"/>
      <c r="BC42989" s="141"/>
    </row>
    <row r="42990">
      <c r="BB42990" s="122"/>
      <c r="BC42990" s="141"/>
    </row>
    <row r="42991">
      <c r="BB42991" s="122"/>
      <c r="BC42991" s="141"/>
    </row>
    <row r="42992">
      <c r="BB42992" s="122"/>
      <c r="BC42992" s="141"/>
    </row>
    <row r="42993">
      <c r="BB42993" s="122"/>
      <c r="BC42993" s="141"/>
    </row>
    <row r="42994">
      <c r="BB42994" s="122"/>
      <c r="BC42994" s="141"/>
    </row>
    <row r="42995">
      <c r="BB42995" s="122"/>
      <c r="BC42995" s="141"/>
    </row>
    <row r="42996">
      <c r="BB42996" s="122"/>
      <c r="BC42996" s="141"/>
    </row>
    <row r="42997">
      <c r="BB42997" s="122"/>
      <c r="BC42997" s="141"/>
    </row>
    <row r="42998">
      <c r="BB42998" s="122"/>
      <c r="BC42998" s="141"/>
    </row>
    <row r="42999">
      <c r="BB42999" s="122"/>
      <c r="BC42999" s="141"/>
    </row>
    <row r="43000">
      <c r="BB43000" s="122"/>
      <c r="BC43000" s="141"/>
    </row>
    <row r="43001">
      <c r="BB43001" s="122"/>
      <c r="BC43001" s="141"/>
    </row>
    <row r="43002">
      <c r="BB43002" s="122"/>
      <c r="BC43002" s="141"/>
    </row>
    <row r="43003">
      <c r="BB43003" s="122"/>
      <c r="BC43003" s="141"/>
    </row>
    <row r="43004">
      <c r="BB43004" s="122"/>
      <c r="BC43004" s="141"/>
    </row>
    <row r="43005">
      <c r="BB43005" s="122"/>
      <c r="BC43005" s="141"/>
    </row>
    <row r="43006">
      <c r="BB43006" s="122"/>
      <c r="BC43006" s="141"/>
    </row>
    <row r="43007">
      <c r="BB43007" s="122"/>
      <c r="BC43007" s="141"/>
    </row>
    <row r="43008">
      <c r="BB43008" s="122"/>
      <c r="BC43008" s="141"/>
    </row>
    <row r="43009">
      <c r="BB43009" s="122"/>
      <c r="BC43009" s="141"/>
    </row>
    <row r="43010">
      <c r="BB43010" s="122"/>
      <c r="BC43010" s="141"/>
    </row>
    <row r="43011">
      <c r="BB43011" s="122"/>
      <c r="BC43011" s="141"/>
    </row>
    <row r="43012">
      <c r="BB43012" s="122"/>
      <c r="BC43012" s="141"/>
    </row>
    <row r="43013">
      <c r="BB43013" s="122"/>
      <c r="BC43013" s="141"/>
    </row>
    <row r="43014">
      <c r="BB43014" s="122"/>
      <c r="BC43014" s="141"/>
    </row>
    <row r="43015">
      <c r="BB43015" s="122"/>
      <c r="BC43015" s="141"/>
    </row>
    <row r="43016">
      <c r="BB43016" s="122"/>
      <c r="BC43016" s="141"/>
    </row>
    <row r="43017">
      <c r="BB43017" s="122"/>
      <c r="BC43017" s="141"/>
    </row>
    <row r="43018">
      <c r="BB43018" s="122"/>
      <c r="BC43018" s="141"/>
    </row>
    <row r="43019">
      <c r="BB43019" s="122"/>
      <c r="BC43019" s="141"/>
    </row>
    <row r="43020">
      <c r="BB43020" s="122"/>
      <c r="BC43020" s="141"/>
    </row>
    <row r="43021">
      <c r="BB43021" s="122"/>
      <c r="BC43021" s="141"/>
    </row>
    <row r="43022">
      <c r="BB43022" s="122"/>
      <c r="BC43022" s="141"/>
    </row>
    <row r="43023">
      <c r="BB43023" s="122"/>
      <c r="BC43023" s="141"/>
    </row>
    <row r="43024">
      <c r="BB43024" s="122"/>
      <c r="BC43024" s="141"/>
    </row>
    <row r="43025">
      <c r="BB43025" s="122"/>
      <c r="BC43025" s="141"/>
    </row>
    <row r="43026">
      <c r="BB43026" s="122"/>
      <c r="BC43026" s="141"/>
    </row>
    <row r="43027">
      <c r="BB43027" s="122"/>
      <c r="BC43027" s="141"/>
    </row>
    <row r="43028">
      <c r="BB43028" s="122"/>
      <c r="BC43028" s="141"/>
    </row>
    <row r="43029">
      <c r="BB43029" s="122"/>
      <c r="BC43029" s="141"/>
    </row>
    <row r="43030">
      <c r="BB43030" s="122"/>
      <c r="BC43030" s="141"/>
    </row>
    <row r="43031">
      <c r="BB43031" s="122"/>
      <c r="BC43031" s="141"/>
    </row>
    <row r="43032">
      <c r="BB43032" s="122"/>
      <c r="BC43032" s="141"/>
    </row>
    <row r="43033">
      <c r="BB43033" s="122"/>
      <c r="BC43033" s="141"/>
    </row>
    <row r="43034">
      <c r="BB43034" s="122"/>
      <c r="BC43034" s="141"/>
    </row>
    <row r="43035">
      <c r="BB43035" s="122"/>
      <c r="BC43035" s="141"/>
    </row>
    <row r="43036">
      <c r="BB43036" s="122"/>
      <c r="BC43036" s="141"/>
    </row>
    <row r="43037">
      <c r="BB43037" s="122"/>
      <c r="BC43037" s="141"/>
    </row>
    <row r="43038">
      <c r="BB43038" s="122"/>
      <c r="BC43038" s="141"/>
    </row>
    <row r="43039">
      <c r="BB43039" s="122"/>
      <c r="BC43039" s="141"/>
    </row>
    <row r="43040">
      <c r="BB43040" s="122"/>
      <c r="BC43040" s="141"/>
    </row>
    <row r="43041">
      <c r="BB43041" s="122"/>
      <c r="BC43041" s="141"/>
    </row>
    <row r="43042">
      <c r="BB43042" s="122"/>
      <c r="BC43042" s="141"/>
    </row>
    <row r="43043">
      <c r="BB43043" s="122"/>
      <c r="BC43043" s="141"/>
    </row>
    <row r="43044">
      <c r="BB43044" s="122"/>
      <c r="BC43044" s="141"/>
    </row>
    <row r="43045">
      <c r="BB43045" s="122"/>
      <c r="BC43045" s="141"/>
    </row>
    <row r="43046">
      <c r="BB43046" s="122"/>
      <c r="BC43046" s="141"/>
    </row>
    <row r="43047">
      <c r="BB43047" s="122"/>
      <c r="BC43047" s="141"/>
    </row>
    <row r="43048">
      <c r="BB43048" s="122"/>
      <c r="BC43048" s="141"/>
    </row>
    <row r="43049">
      <c r="BB43049" s="122"/>
      <c r="BC43049" s="141"/>
    </row>
    <row r="43050">
      <c r="BB43050" s="122"/>
      <c r="BC43050" s="141"/>
    </row>
    <row r="43051">
      <c r="BB43051" s="122"/>
      <c r="BC43051" s="141"/>
    </row>
    <row r="43052">
      <c r="BB43052" s="122"/>
      <c r="BC43052" s="141"/>
    </row>
    <row r="43053">
      <c r="BB43053" s="122"/>
      <c r="BC43053" s="141"/>
    </row>
    <row r="43054">
      <c r="BB43054" s="122"/>
      <c r="BC43054" s="141"/>
    </row>
    <row r="43055">
      <c r="BB43055" s="122"/>
      <c r="BC43055" s="141"/>
    </row>
    <row r="43056">
      <c r="BB43056" s="122"/>
      <c r="BC43056" s="141"/>
    </row>
    <row r="43057">
      <c r="BB43057" s="122"/>
      <c r="BC43057" s="141"/>
    </row>
    <row r="43058">
      <c r="BB43058" s="122"/>
      <c r="BC43058" s="141"/>
    </row>
    <row r="43059">
      <c r="BB43059" s="122"/>
      <c r="BC43059" s="141"/>
    </row>
    <row r="43060">
      <c r="BB43060" s="122"/>
      <c r="BC43060" s="141"/>
    </row>
    <row r="43061">
      <c r="BB43061" s="122"/>
      <c r="BC43061" s="141"/>
    </row>
    <row r="43062">
      <c r="BB43062" s="122"/>
      <c r="BC43062" s="141"/>
    </row>
    <row r="43063">
      <c r="BB43063" s="122"/>
      <c r="BC43063" s="141"/>
    </row>
    <row r="43064">
      <c r="BB43064" s="122"/>
      <c r="BC43064" s="141"/>
    </row>
    <row r="43065">
      <c r="BB43065" s="122"/>
      <c r="BC43065" s="141"/>
    </row>
    <row r="43066">
      <c r="BB43066" s="122"/>
      <c r="BC43066" s="141"/>
    </row>
    <row r="43067">
      <c r="BB43067" s="122"/>
      <c r="BC43067" s="141"/>
    </row>
    <row r="43068">
      <c r="BB43068" s="122"/>
      <c r="BC43068" s="141"/>
    </row>
    <row r="43069">
      <c r="BB43069" s="122"/>
      <c r="BC43069" s="141"/>
    </row>
    <row r="43070">
      <c r="BB43070" s="122"/>
      <c r="BC43070" s="141"/>
    </row>
    <row r="43071">
      <c r="BB43071" s="122"/>
      <c r="BC43071" s="141"/>
    </row>
    <row r="43072">
      <c r="BB43072" s="122"/>
      <c r="BC43072" s="141"/>
    </row>
    <row r="43073">
      <c r="BB43073" s="122"/>
      <c r="BC43073" s="141"/>
    </row>
    <row r="43074">
      <c r="BB43074" s="122"/>
      <c r="BC43074" s="141"/>
    </row>
    <row r="43075">
      <c r="BB43075" s="122"/>
      <c r="BC43075" s="141"/>
    </row>
    <row r="43076">
      <c r="BB43076" s="122"/>
      <c r="BC43076" s="141"/>
    </row>
    <row r="43077">
      <c r="BB43077" s="122"/>
      <c r="BC43077" s="141"/>
    </row>
    <row r="43078">
      <c r="BB43078" s="122"/>
      <c r="BC43078" s="141"/>
    </row>
    <row r="43079">
      <c r="BB43079" s="122"/>
      <c r="BC43079" s="141"/>
    </row>
    <row r="43080">
      <c r="BB43080" s="122"/>
      <c r="BC43080" s="141"/>
    </row>
    <row r="43081">
      <c r="BB43081" s="122"/>
      <c r="BC43081" s="141"/>
    </row>
    <row r="43082">
      <c r="BB43082" s="122"/>
      <c r="BC43082" s="141"/>
    </row>
    <row r="43083">
      <c r="BB43083" s="122"/>
      <c r="BC43083" s="141"/>
    </row>
    <row r="43084">
      <c r="BB43084" s="122"/>
      <c r="BC43084" s="141"/>
    </row>
    <row r="43085">
      <c r="BB43085" s="122"/>
      <c r="BC43085" s="141"/>
    </row>
    <row r="43086">
      <c r="BB43086" s="122"/>
      <c r="BC43086" s="141"/>
    </row>
    <row r="43087">
      <c r="BB43087" s="122"/>
      <c r="BC43087" s="141"/>
    </row>
    <row r="43088">
      <c r="BB43088" s="122"/>
      <c r="BC43088" s="141"/>
    </row>
    <row r="43089">
      <c r="BB43089" s="122"/>
      <c r="BC43089" s="141"/>
    </row>
    <row r="43090">
      <c r="BB43090" s="122"/>
      <c r="BC43090" s="141"/>
    </row>
    <row r="43091">
      <c r="BB43091" s="122"/>
      <c r="BC43091" s="141"/>
    </row>
    <row r="43092">
      <c r="BB43092" s="122"/>
      <c r="BC43092" s="141"/>
    </row>
    <row r="43093">
      <c r="BB43093" s="122"/>
      <c r="BC43093" s="141"/>
    </row>
    <row r="43094">
      <c r="BB43094" s="122"/>
      <c r="BC43094" s="141"/>
    </row>
    <row r="43095">
      <c r="BB43095" s="122"/>
      <c r="BC43095" s="141"/>
    </row>
    <row r="43096">
      <c r="BB43096" s="122"/>
      <c r="BC43096" s="141"/>
    </row>
    <row r="43097">
      <c r="BB43097" s="122"/>
      <c r="BC43097" s="141"/>
    </row>
    <row r="43098">
      <c r="BB43098" s="122"/>
      <c r="BC43098" s="141"/>
    </row>
    <row r="43099">
      <c r="BB43099" s="122"/>
      <c r="BC43099" s="141"/>
    </row>
    <row r="43100">
      <c r="BB43100" s="122"/>
      <c r="BC43100" s="141"/>
    </row>
    <row r="43101">
      <c r="BB43101" s="122"/>
      <c r="BC43101" s="141"/>
    </row>
    <row r="43102">
      <c r="BB43102" s="122"/>
      <c r="BC43102" s="141"/>
    </row>
    <row r="43103">
      <c r="BB43103" s="122"/>
      <c r="BC43103" s="141"/>
    </row>
    <row r="43104">
      <c r="BB43104" s="122"/>
      <c r="BC43104" s="141"/>
    </row>
    <row r="43105">
      <c r="BB43105" s="122"/>
      <c r="BC43105" s="141"/>
    </row>
    <row r="43106">
      <c r="BB43106" s="122"/>
      <c r="BC43106" s="141"/>
    </row>
    <row r="43107">
      <c r="BB43107" s="122"/>
      <c r="BC43107" s="141"/>
    </row>
    <row r="43108">
      <c r="BB43108" s="122"/>
      <c r="BC43108" s="141"/>
    </row>
    <row r="43109">
      <c r="BB43109" s="122"/>
      <c r="BC43109" s="141"/>
    </row>
    <row r="43110">
      <c r="BB43110" s="122"/>
      <c r="BC43110" s="141"/>
    </row>
    <row r="43111">
      <c r="BB43111" s="122"/>
      <c r="BC43111" s="141"/>
    </row>
    <row r="43112">
      <c r="BB43112" s="122"/>
      <c r="BC43112" s="141"/>
    </row>
    <row r="43113">
      <c r="BB43113" s="122"/>
      <c r="BC43113" s="141"/>
    </row>
    <row r="43114">
      <c r="BB43114" s="122"/>
      <c r="BC43114" s="141"/>
    </row>
    <row r="43115">
      <c r="BB43115" s="122"/>
      <c r="BC43115" s="141"/>
    </row>
    <row r="43116">
      <c r="BB43116" s="122"/>
      <c r="BC43116" s="141"/>
    </row>
    <row r="43117">
      <c r="BB43117" s="122"/>
      <c r="BC43117" s="141"/>
    </row>
    <row r="43118">
      <c r="BB43118" s="122"/>
      <c r="BC43118" s="141"/>
    </row>
    <row r="43119">
      <c r="BB43119" s="122"/>
      <c r="BC43119" s="141"/>
    </row>
    <row r="43120">
      <c r="BB43120" s="122"/>
      <c r="BC43120" s="141"/>
    </row>
    <row r="43121">
      <c r="BB43121" s="122"/>
      <c r="BC43121" s="141"/>
    </row>
    <row r="43122">
      <c r="BB43122" s="122"/>
      <c r="BC43122" s="141"/>
    </row>
    <row r="43123">
      <c r="BB43123" s="122"/>
      <c r="BC43123" s="141"/>
    </row>
    <row r="43124">
      <c r="BB43124" s="122"/>
      <c r="BC43124" s="141"/>
    </row>
    <row r="43125">
      <c r="BB43125" s="122"/>
      <c r="BC43125" s="141"/>
    </row>
    <row r="43126">
      <c r="BB43126" s="122"/>
      <c r="BC43126" s="141"/>
    </row>
    <row r="43127">
      <c r="BB43127" s="122"/>
      <c r="BC43127" s="141"/>
    </row>
    <row r="43128">
      <c r="BB43128" s="122"/>
      <c r="BC43128" s="141"/>
    </row>
    <row r="43129">
      <c r="BB43129" s="122"/>
      <c r="BC43129" s="141"/>
    </row>
    <row r="43130">
      <c r="BB43130" s="122"/>
      <c r="BC43130" s="141"/>
    </row>
    <row r="43131">
      <c r="BB43131" s="122"/>
      <c r="BC43131" s="141"/>
    </row>
    <row r="43132">
      <c r="BB43132" s="122"/>
      <c r="BC43132" s="141"/>
    </row>
    <row r="43133">
      <c r="BB43133" s="122"/>
      <c r="BC43133" s="141"/>
    </row>
    <row r="43134">
      <c r="BB43134" s="122"/>
      <c r="BC43134" s="141"/>
    </row>
    <row r="43135">
      <c r="BB43135" s="122"/>
      <c r="BC43135" s="141"/>
    </row>
    <row r="43136">
      <c r="BB43136" s="122"/>
      <c r="BC43136" s="141"/>
    </row>
    <row r="43137">
      <c r="BB43137" s="122"/>
      <c r="BC43137" s="141"/>
    </row>
    <row r="43138">
      <c r="BB43138" s="122"/>
      <c r="BC43138" s="141"/>
    </row>
    <row r="43139">
      <c r="BB43139" s="122"/>
      <c r="BC43139" s="141"/>
    </row>
    <row r="43140">
      <c r="BB43140" s="122"/>
      <c r="BC43140" s="141"/>
    </row>
    <row r="43141">
      <c r="BB43141" s="122"/>
      <c r="BC43141" s="141"/>
    </row>
    <row r="43142">
      <c r="BB43142" s="122"/>
      <c r="BC43142" s="141"/>
    </row>
    <row r="43143">
      <c r="BB43143" s="122"/>
      <c r="BC43143" s="141"/>
    </row>
    <row r="43144">
      <c r="BB43144" s="122"/>
      <c r="BC43144" s="141"/>
    </row>
    <row r="43145">
      <c r="BB43145" s="122"/>
      <c r="BC43145" s="141"/>
    </row>
    <row r="43146">
      <c r="BB43146" s="122"/>
      <c r="BC43146" s="141"/>
    </row>
    <row r="43147">
      <c r="BB43147" s="122"/>
      <c r="BC43147" s="141"/>
    </row>
    <row r="43148">
      <c r="BB43148" s="122"/>
      <c r="BC43148" s="141"/>
    </row>
    <row r="43149">
      <c r="BB43149" s="122"/>
      <c r="BC43149" s="141"/>
    </row>
    <row r="43150">
      <c r="BB43150" s="122"/>
      <c r="BC43150" s="141"/>
    </row>
    <row r="43151">
      <c r="BB43151" s="122"/>
      <c r="BC43151" s="141"/>
    </row>
    <row r="43152">
      <c r="BB43152" s="122"/>
      <c r="BC43152" s="141"/>
    </row>
    <row r="43153">
      <c r="BB43153" s="122"/>
      <c r="BC43153" s="141"/>
    </row>
    <row r="43154">
      <c r="BB43154" s="122"/>
      <c r="BC43154" s="141"/>
    </row>
    <row r="43155">
      <c r="BB43155" s="122"/>
      <c r="BC43155" s="141"/>
    </row>
    <row r="43156">
      <c r="BB43156" s="122"/>
      <c r="BC43156" s="141"/>
    </row>
    <row r="43157">
      <c r="BB43157" s="122"/>
      <c r="BC43157" s="141"/>
    </row>
    <row r="43158">
      <c r="BB43158" s="122"/>
      <c r="BC43158" s="141"/>
    </row>
    <row r="43159">
      <c r="BB43159" s="122"/>
      <c r="BC43159" s="141"/>
    </row>
    <row r="43160">
      <c r="BB43160" s="122"/>
      <c r="BC43160" s="141"/>
    </row>
    <row r="43161">
      <c r="BB43161" s="122"/>
      <c r="BC43161" s="141"/>
    </row>
    <row r="43162">
      <c r="BB43162" s="122"/>
      <c r="BC43162" s="141"/>
    </row>
    <row r="43163">
      <c r="BB43163" s="122"/>
      <c r="BC43163" s="141"/>
    </row>
    <row r="43164">
      <c r="BB43164" s="122"/>
      <c r="BC43164" s="141"/>
    </row>
    <row r="43165">
      <c r="BB43165" s="122"/>
      <c r="BC43165" s="141"/>
    </row>
    <row r="43166">
      <c r="BB43166" s="122"/>
      <c r="BC43166" s="141"/>
    </row>
    <row r="43167">
      <c r="BB43167" s="122"/>
      <c r="BC43167" s="141"/>
    </row>
    <row r="43168">
      <c r="BB43168" s="122"/>
      <c r="BC43168" s="141"/>
    </row>
    <row r="43169">
      <c r="BB43169" s="122"/>
      <c r="BC43169" s="141"/>
    </row>
    <row r="43170">
      <c r="BB43170" s="122"/>
      <c r="BC43170" s="141"/>
    </row>
    <row r="43171">
      <c r="BB43171" s="122"/>
      <c r="BC43171" s="141"/>
    </row>
    <row r="43172">
      <c r="BB43172" s="122"/>
      <c r="BC43172" s="141"/>
    </row>
    <row r="43173">
      <c r="BB43173" s="122"/>
      <c r="BC43173" s="141"/>
    </row>
    <row r="43174">
      <c r="BB43174" s="122"/>
      <c r="BC43174" s="141"/>
    </row>
    <row r="43175">
      <c r="BB43175" s="122"/>
      <c r="BC43175" s="141"/>
    </row>
    <row r="43176">
      <c r="BB43176" s="122"/>
      <c r="BC43176" s="141"/>
    </row>
    <row r="43177">
      <c r="BB43177" s="122"/>
      <c r="BC43177" s="141"/>
    </row>
    <row r="43178">
      <c r="BB43178" s="122"/>
      <c r="BC43178" s="141"/>
    </row>
    <row r="43179">
      <c r="BB43179" s="122"/>
      <c r="BC43179" s="141"/>
    </row>
    <row r="43180">
      <c r="BB43180" s="122"/>
      <c r="BC43180" s="141"/>
    </row>
    <row r="43181">
      <c r="BB43181" s="122"/>
      <c r="BC43181" s="141"/>
    </row>
    <row r="43182">
      <c r="BB43182" s="122"/>
      <c r="BC43182" s="141"/>
    </row>
    <row r="43183">
      <c r="BB43183" s="122"/>
      <c r="BC43183" s="141"/>
    </row>
    <row r="43184">
      <c r="BB43184" s="122"/>
      <c r="BC43184" s="141"/>
    </row>
    <row r="43185">
      <c r="BB43185" s="122"/>
      <c r="BC43185" s="141"/>
    </row>
    <row r="43186">
      <c r="BB43186" s="122"/>
      <c r="BC43186" s="141"/>
    </row>
    <row r="43187">
      <c r="BB43187" s="122"/>
      <c r="BC43187" s="141"/>
    </row>
    <row r="43188">
      <c r="BB43188" s="122"/>
      <c r="BC43188" s="141"/>
    </row>
    <row r="43189">
      <c r="BB43189" s="122"/>
      <c r="BC43189" s="141"/>
    </row>
    <row r="43190">
      <c r="BB43190" s="122"/>
      <c r="BC43190" s="141"/>
    </row>
    <row r="43191">
      <c r="BB43191" s="122"/>
      <c r="BC43191" s="141"/>
    </row>
    <row r="43192">
      <c r="BB43192" s="122"/>
      <c r="BC43192" s="141"/>
    </row>
    <row r="43193">
      <c r="BB43193" s="122"/>
      <c r="BC43193" s="141"/>
    </row>
    <row r="43194">
      <c r="BB43194" s="122"/>
      <c r="BC43194" s="141"/>
    </row>
    <row r="43195">
      <c r="BB43195" s="122"/>
      <c r="BC43195" s="141"/>
    </row>
    <row r="43196">
      <c r="BB43196" s="122"/>
      <c r="BC43196" s="141"/>
    </row>
    <row r="43197">
      <c r="BB43197" s="122"/>
      <c r="BC43197" s="141"/>
    </row>
    <row r="43198">
      <c r="BB43198" s="122"/>
      <c r="BC43198" s="141"/>
    </row>
    <row r="43199">
      <c r="BB43199" s="122"/>
      <c r="BC43199" s="141"/>
    </row>
    <row r="43200">
      <c r="BB43200" s="122"/>
      <c r="BC43200" s="141"/>
    </row>
    <row r="43201">
      <c r="BB43201" s="122"/>
      <c r="BC43201" s="141"/>
    </row>
    <row r="43202">
      <c r="BB43202" s="122"/>
      <c r="BC43202" s="141"/>
    </row>
    <row r="43203">
      <c r="BB43203" s="122"/>
      <c r="BC43203" s="141"/>
    </row>
    <row r="43204">
      <c r="BB43204" s="122"/>
      <c r="BC43204" s="141"/>
    </row>
    <row r="43205">
      <c r="BB43205" s="122"/>
      <c r="BC43205" s="141"/>
    </row>
    <row r="43206">
      <c r="BB43206" s="122"/>
      <c r="BC43206" s="141"/>
    </row>
    <row r="43207">
      <c r="BB43207" s="122"/>
      <c r="BC43207" s="141"/>
    </row>
    <row r="43208">
      <c r="BB43208" s="122"/>
      <c r="BC43208" s="141"/>
    </row>
    <row r="43209">
      <c r="BB43209" s="122"/>
      <c r="BC43209" s="141"/>
    </row>
    <row r="43210">
      <c r="BB43210" s="122"/>
      <c r="BC43210" s="141"/>
    </row>
    <row r="43211">
      <c r="BB43211" s="122"/>
      <c r="BC43211" s="141"/>
    </row>
    <row r="43212">
      <c r="BB43212" s="122"/>
      <c r="BC43212" s="141"/>
    </row>
    <row r="43213">
      <c r="BB43213" s="122"/>
      <c r="BC43213" s="141"/>
    </row>
    <row r="43214">
      <c r="BB43214" s="122"/>
      <c r="BC43214" s="141"/>
    </row>
    <row r="43215">
      <c r="BB43215" s="122"/>
      <c r="BC43215" s="141"/>
    </row>
    <row r="43216">
      <c r="BB43216" s="122"/>
      <c r="BC43216" s="141"/>
    </row>
    <row r="43217">
      <c r="BB43217" s="122"/>
      <c r="BC43217" s="141"/>
    </row>
    <row r="43218">
      <c r="BB43218" s="122"/>
      <c r="BC43218" s="141"/>
    </row>
    <row r="43219">
      <c r="BB43219" s="122"/>
      <c r="BC43219" s="141"/>
    </row>
    <row r="43220">
      <c r="BB43220" s="122"/>
      <c r="BC43220" s="141"/>
    </row>
    <row r="43221">
      <c r="BB43221" s="122"/>
      <c r="BC43221" s="141"/>
    </row>
    <row r="43222">
      <c r="BB43222" s="122"/>
      <c r="BC43222" s="141"/>
    </row>
    <row r="43223">
      <c r="BB43223" s="122"/>
      <c r="BC43223" s="141"/>
    </row>
    <row r="43224">
      <c r="BB43224" s="122"/>
      <c r="BC43224" s="141"/>
    </row>
    <row r="43225">
      <c r="BB43225" s="122"/>
      <c r="BC43225" s="141"/>
    </row>
    <row r="43226">
      <c r="BB43226" s="122"/>
      <c r="BC43226" s="141"/>
    </row>
    <row r="43227">
      <c r="BB43227" s="122"/>
      <c r="BC43227" s="141"/>
    </row>
    <row r="43228">
      <c r="BB43228" s="122"/>
      <c r="BC43228" s="141"/>
    </row>
    <row r="43229">
      <c r="BB43229" s="122"/>
      <c r="BC43229" s="141"/>
    </row>
    <row r="43230">
      <c r="BB43230" s="122"/>
      <c r="BC43230" s="141"/>
    </row>
    <row r="43231">
      <c r="BB43231" s="122"/>
      <c r="BC43231" s="141"/>
    </row>
    <row r="43232">
      <c r="BB43232" s="122"/>
      <c r="BC43232" s="141"/>
    </row>
    <row r="43233">
      <c r="BB43233" s="122"/>
      <c r="BC43233" s="141"/>
    </row>
    <row r="43234">
      <c r="BB43234" s="122"/>
      <c r="BC43234" s="141"/>
    </row>
    <row r="43235">
      <c r="BB43235" s="122"/>
      <c r="BC43235" s="141"/>
    </row>
    <row r="43236">
      <c r="BB43236" s="122"/>
      <c r="BC43236" s="141"/>
    </row>
    <row r="43237">
      <c r="BB43237" s="122"/>
      <c r="BC43237" s="141"/>
    </row>
    <row r="43238">
      <c r="BB43238" s="122"/>
      <c r="BC43238" s="141"/>
    </row>
    <row r="43239">
      <c r="BB43239" s="122"/>
      <c r="BC43239" s="141"/>
    </row>
    <row r="43240">
      <c r="BB43240" s="122"/>
      <c r="BC43240" s="141"/>
    </row>
    <row r="43241">
      <c r="BB43241" s="122"/>
      <c r="BC43241" s="141"/>
    </row>
    <row r="43242">
      <c r="BB43242" s="122"/>
      <c r="BC43242" s="141"/>
    </row>
    <row r="43243">
      <c r="BB43243" s="122"/>
      <c r="BC43243" s="141"/>
    </row>
    <row r="43244">
      <c r="BB43244" s="122"/>
      <c r="BC43244" s="141"/>
    </row>
    <row r="43245">
      <c r="BB43245" s="122"/>
      <c r="BC43245" s="141"/>
    </row>
    <row r="43246">
      <c r="BB43246" s="122"/>
      <c r="BC43246" s="141"/>
    </row>
    <row r="43247">
      <c r="BB43247" s="122"/>
      <c r="BC43247" s="141"/>
    </row>
    <row r="43248">
      <c r="BB43248" s="122"/>
      <c r="BC43248" s="141"/>
    </row>
    <row r="43249">
      <c r="BB43249" s="122"/>
      <c r="BC43249" s="141"/>
    </row>
    <row r="43250">
      <c r="BB43250" s="122"/>
      <c r="BC43250" s="141"/>
    </row>
    <row r="43251">
      <c r="BB43251" s="122"/>
      <c r="BC43251" s="141"/>
    </row>
    <row r="43252">
      <c r="BB43252" s="122"/>
      <c r="BC43252" s="141"/>
    </row>
    <row r="43253">
      <c r="BB43253" s="122"/>
      <c r="BC43253" s="141"/>
    </row>
    <row r="43254">
      <c r="BB43254" s="122"/>
      <c r="BC43254" s="141"/>
    </row>
    <row r="43255">
      <c r="BB43255" s="122"/>
      <c r="BC43255" s="141"/>
    </row>
    <row r="43256">
      <c r="BB43256" s="122"/>
      <c r="BC43256" s="141"/>
    </row>
    <row r="43257">
      <c r="BB43257" s="122"/>
      <c r="BC43257" s="141"/>
    </row>
    <row r="43258">
      <c r="BB43258" s="122"/>
      <c r="BC43258" s="141"/>
    </row>
    <row r="43259">
      <c r="BB43259" s="122"/>
      <c r="BC43259" s="141"/>
    </row>
    <row r="43260">
      <c r="BB43260" s="122"/>
      <c r="BC43260" s="141"/>
    </row>
    <row r="43261">
      <c r="BB43261" s="122"/>
      <c r="BC43261" s="141"/>
    </row>
    <row r="43262">
      <c r="BB43262" s="122"/>
      <c r="BC43262" s="141"/>
    </row>
    <row r="43263">
      <c r="BB43263" s="122"/>
      <c r="BC43263" s="141"/>
    </row>
    <row r="43264">
      <c r="BB43264" s="122"/>
      <c r="BC43264" s="141"/>
    </row>
    <row r="43265">
      <c r="BB43265" s="122"/>
      <c r="BC43265" s="141"/>
    </row>
    <row r="43266">
      <c r="BB43266" s="122"/>
      <c r="BC43266" s="141"/>
    </row>
    <row r="43267">
      <c r="BB43267" s="122"/>
      <c r="BC43267" s="141"/>
    </row>
    <row r="43268">
      <c r="BB43268" s="122"/>
      <c r="BC43268" s="141"/>
    </row>
    <row r="43269">
      <c r="BB43269" s="122"/>
      <c r="BC43269" s="141"/>
    </row>
    <row r="43270">
      <c r="BB43270" s="122"/>
      <c r="BC43270" s="141"/>
    </row>
    <row r="43271">
      <c r="BB43271" s="122"/>
      <c r="BC43271" s="141"/>
    </row>
    <row r="43272">
      <c r="BB43272" s="122"/>
      <c r="BC43272" s="141"/>
    </row>
    <row r="43273">
      <c r="BB43273" s="122"/>
      <c r="BC43273" s="141"/>
    </row>
    <row r="43274">
      <c r="BB43274" s="122"/>
      <c r="BC43274" s="141"/>
    </row>
    <row r="43275">
      <c r="BB43275" s="122"/>
      <c r="BC43275" s="141"/>
    </row>
    <row r="43276">
      <c r="BB43276" s="122"/>
      <c r="BC43276" s="141"/>
    </row>
    <row r="43277">
      <c r="BB43277" s="122"/>
      <c r="BC43277" s="141"/>
    </row>
    <row r="43278">
      <c r="BB43278" s="122"/>
      <c r="BC43278" s="141"/>
    </row>
    <row r="43279">
      <c r="BB43279" s="122"/>
      <c r="BC43279" s="141"/>
    </row>
    <row r="43280">
      <c r="BB43280" s="122"/>
      <c r="BC43280" s="141"/>
    </row>
    <row r="43281">
      <c r="BB43281" s="122"/>
      <c r="BC43281" s="141"/>
    </row>
    <row r="43282">
      <c r="BB43282" s="122"/>
      <c r="BC43282" s="141"/>
    </row>
    <row r="43283">
      <c r="BB43283" s="122"/>
      <c r="BC43283" s="141"/>
    </row>
    <row r="43284">
      <c r="BB43284" s="122"/>
      <c r="BC43284" s="141"/>
    </row>
    <row r="43285">
      <c r="BB43285" s="122"/>
      <c r="BC43285" s="141"/>
    </row>
    <row r="43286">
      <c r="BB43286" s="122"/>
      <c r="BC43286" s="141"/>
    </row>
    <row r="43287">
      <c r="BB43287" s="122"/>
      <c r="BC43287" s="141"/>
    </row>
    <row r="43288">
      <c r="BB43288" s="122"/>
      <c r="BC43288" s="141"/>
    </row>
    <row r="43289">
      <c r="BB43289" s="122"/>
      <c r="BC43289" s="141"/>
    </row>
    <row r="43290">
      <c r="BB43290" s="122"/>
      <c r="BC43290" s="141"/>
    </row>
    <row r="43291">
      <c r="BB43291" s="122"/>
      <c r="BC43291" s="141"/>
    </row>
    <row r="43292">
      <c r="BB43292" s="122"/>
      <c r="BC43292" s="141"/>
    </row>
    <row r="43293">
      <c r="BB43293" s="122"/>
      <c r="BC43293" s="141"/>
    </row>
    <row r="43294">
      <c r="BB43294" s="122"/>
      <c r="BC43294" s="141"/>
    </row>
    <row r="43295">
      <c r="BB43295" s="122"/>
      <c r="BC43295" s="141"/>
    </row>
    <row r="43296">
      <c r="BB43296" s="122"/>
      <c r="BC43296" s="141"/>
    </row>
    <row r="43297">
      <c r="BB43297" s="122"/>
      <c r="BC43297" s="141"/>
    </row>
    <row r="43298">
      <c r="BB43298" s="122"/>
      <c r="BC43298" s="141"/>
    </row>
    <row r="43299">
      <c r="BB43299" s="122"/>
      <c r="BC43299" s="141"/>
    </row>
    <row r="43300">
      <c r="BB43300" s="122"/>
      <c r="BC43300" s="141"/>
    </row>
    <row r="43301">
      <c r="BB43301" s="122"/>
      <c r="BC43301" s="141"/>
    </row>
    <row r="43302">
      <c r="BB43302" s="122"/>
      <c r="BC43302" s="141"/>
    </row>
    <row r="43303">
      <c r="BB43303" s="122"/>
      <c r="BC43303" s="141"/>
    </row>
    <row r="43304">
      <c r="BB43304" s="122"/>
      <c r="BC43304" s="141"/>
    </row>
    <row r="43305">
      <c r="BB43305" s="122"/>
      <c r="BC43305" s="141"/>
    </row>
    <row r="43306">
      <c r="BB43306" s="122"/>
      <c r="BC43306" s="141"/>
    </row>
    <row r="43307">
      <c r="BB43307" s="122"/>
      <c r="BC43307" s="141"/>
    </row>
    <row r="43308">
      <c r="BB43308" s="122"/>
      <c r="BC43308" s="141"/>
    </row>
    <row r="43309">
      <c r="BB43309" s="122"/>
      <c r="BC43309" s="141"/>
    </row>
    <row r="43310">
      <c r="BB43310" s="122"/>
      <c r="BC43310" s="141"/>
    </row>
    <row r="43311">
      <c r="BB43311" s="122"/>
      <c r="BC43311" s="141"/>
    </row>
    <row r="43312">
      <c r="BB43312" s="122"/>
      <c r="BC43312" s="141"/>
    </row>
    <row r="43313">
      <c r="BB43313" s="122"/>
      <c r="BC43313" s="141"/>
    </row>
    <row r="43314">
      <c r="BB43314" s="122"/>
      <c r="BC43314" s="141"/>
    </row>
    <row r="43315">
      <c r="BB43315" s="122"/>
      <c r="BC43315" s="141"/>
    </row>
    <row r="43316">
      <c r="BB43316" s="122"/>
      <c r="BC43316" s="141"/>
    </row>
    <row r="43317">
      <c r="BB43317" s="122"/>
      <c r="BC43317" s="141"/>
    </row>
    <row r="43318">
      <c r="BB43318" s="122"/>
      <c r="BC43318" s="141"/>
    </row>
    <row r="43319">
      <c r="BB43319" s="122"/>
      <c r="BC43319" s="141"/>
    </row>
    <row r="43320">
      <c r="BB43320" s="122"/>
      <c r="BC43320" s="141"/>
    </row>
    <row r="43321">
      <c r="BB43321" s="122"/>
      <c r="BC43321" s="141"/>
    </row>
    <row r="43322">
      <c r="BB43322" s="122"/>
      <c r="BC43322" s="141"/>
    </row>
    <row r="43323">
      <c r="BB43323" s="122"/>
      <c r="BC43323" s="141"/>
    </row>
    <row r="43324">
      <c r="BB43324" s="122"/>
      <c r="BC43324" s="141"/>
    </row>
    <row r="43325">
      <c r="BB43325" s="122"/>
      <c r="BC43325" s="141"/>
    </row>
    <row r="43326">
      <c r="BB43326" s="122"/>
      <c r="BC43326" s="141"/>
    </row>
    <row r="43327">
      <c r="BB43327" s="122"/>
      <c r="BC43327" s="141"/>
    </row>
    <row r="43328">
      <c r="BB43328" s="122"/>
      <c r="BC43328" s="141"/>
    </row>
    <row r="43329">
      <c r="BB43329" s="122"/>
      <c r="BC43329" s="141"/>
    </row>
    <row r="43330">
      <c r="BB43330" s="122"/>
      <c r="BC43330" s="141"/>
    </row>
    <row r="43331">
      <c r="BB43331" s="122"/>
      <c r="BC43331" s="141"/>
    </row>
    <row r="43332">
      <c r="BB43332" s="122"/>
      <c r="BC43332" s="141"/>
    </row>
    <row r="43333">
      <c r="BB43333" s="122"/>
      <c r="BC43333" s="141"/>
    </row>
    <row r="43334">
      <c r="BB43334" s="122"/>
      <c r="BC43334" s="141"/>
    </row>
    <row r="43335">
      <c r="BB43335" s="122"/>
      <c r="BC43335" s="141"/>
    </row>
    <row r="43336">
      <c r="BB43336" s="122"/>
      <c r="BC43336" s="141"/>
    </row>
    <row r="43337">
      <c r="BB43337" s="122"/>
      <c r="BC43337" s="141"/>
    </row>
    <row r="43338">
      <c r="BB43338" s="122"/>
      <c r="BC43338" s="141"/>
    </row>
    <row r="43339">
      <c r="BB43339" s="122"/>
      <c r="BC43339" s="141"/>
    </row>
    <row r="43340">
      <c r="BB43340" s="122"/>
      <c r="BC43340" s="141"/>
    </row>
    <row r="43341">
      <c r="BB43341" s="122"/>
      <c r="BC43341" s="141"/>
    </row>
    <row r="43342">
      <c r="BB43342" s="122"/>
      <c r="BC43342" s="141"/>
    </row>
    <row r="43343">
      <c r="BB43343" s="122"/>
      <c r="BC43343" s="141"/>
    </row>
    <row r="43344">
      <c r="BB43344" s="122"/>
      <c r="BC43344" s="141"/>
    </row>
    <row r="43345">
      <c r="BB43345" s="122"/>
      <c r="BC43345" s="141"/>
    </row>
    <row r="43346">
      <c r="BB43346" s="122"/>
      <c r="BC43346" s="141"/>
    </row>
    <row r="43347">
      <c r="BB43347" s="122"/>
      <c r="BC43347" s="141"/>
    </row>
    <row r="43348">
      <c r="BB43348" s="122"/>
      <c r="BC43348" s="141"/>
    </row>
    <row r="43349">
      <c r="BB43349" s="122"/>
      <c r="BC43349" s="141"/>
    </row>
    <row r="43350">
      <c r="BB43350" s="122"/>
      <c r="BC43350" s="141"/>
    </row>
    <row r="43351">
      <c r="BB43351" s="122"/>
      <c r="BC43351" s="141"/>
    </row>
    <row r="43352">
      <c r="BB43352" s="122"/>
      <c r="BC43352" s="141"/>
    </row>
    <row r="43353">
      <c r="BB43353" s="122"/>
      <c r="BC43353" s="141"/>
    </row>
    <row r="43354">
      <c r="BB43354" s="122"/>
      <c r="BC43354" s="141"/>
    </row>
    <row r="43355">
      <c r="BB43355" s="122"/>
      <c r="BC43355" s="141"/>
    </row>
    <row r="43356">
      <c r="BB43356" s="122"/>
      <c r="BC43356" s="141"/>
    </row>
    <row r="43357">
      <c r="BB43357" s="122"/>
      <c r="BC43357" s="141"/>
    </row>
    <row r="43358">
      <c r="BB43358" s="122"/>
      <c r="BC43358" s="141"/>
    </row>
    <row r="43359">
      <c r="BB43359" s="122"/>
      <c r="BC43359" s="141"/>
    </row>
    <row r="43360">
      <c r="BB43360" s="122"/>
      <c r="BC43360" s="141"/>
    </row>
    <row r="43361">
      <c r="BB43361" s="122"/>
      <c r="BC43361" s="141"/>
    </row>
    <row r="43362">
      <c r="BB43362" s="122"/>
      <c r="BC43362" s="141"/>
    </row>
    <row r="43363">
      <c r="BB43363" s="122"/>
      <c r="BC43363" s="141"/>
    </row>
    <row r="43364">
      <c r="BB43364" s="122"/>
      <c r="BC43364" s="141"/>
    </row>
    <row r="43365">
      <c r="BB43365" s="122"/>
      <c r="BC43365" s="141"/>
    </row>
    <row r="43366">
      <c r="BB43366" s="122"/>
      <c r="BC43366" s="141"/>
    </row>
    <row r="43367">
      <c r="BB43367" s="122"/>
      <c r="BC43367" s="141"/>
    </row>
    <row r="43368">
      <c r="BB43368" s="122"/>
      <c r="BC43368" s="141"/>
    </row>
    <row r="43369">
      <c r="BB43369" s="122"/>
      <c r="BC43369" s="141"/>
    </row>
    <row r="43370">
      <c r="BB43370" s="122"/>
      <c r="BC43370" s="141"/>
    </row>
    <row r="43371">
      <c r="BB43371" s="122"/>
      <c r="BC43371" s="141"/>
    </row>
    <row r="43372">
      <c r="BB43372" s="122"/>
      <c r="BC43372" s="141"/>
    </row>
    <row r="43373">
      <c r="BB43373" s="122"/>
      <c r="BC43373" s="141"/>
    </row>
    <row r="43374">
      <c r="BB43374" s="122"/>
      <c r="BC43374" s="141"/>
    </row>
    <row r="43375">
      <c r="BB43375" s="122"/>
      <c r="BC43375" s="141"/>
    </row>
    <row r="43376">
      <c r="BB43376" s="122"/>
      <c r="BC43376" s="141"/>
    </row>
    <row r="43377">
      <c r="BB43377" s="122"/>
      <c r="BC43377" s="141"/>
    </row>
    <row r="43378">
      <c r="BB43378" s="122"/>
      <c r="BC43378" s="141"/>
    </row>
    <row r="43379">
      <c r="BB43379" s="122"/>
      <c r="BC43379" s="141"/>
    </row>
    <row r="43380">
      <c r="BB43380" s="122"/>
      <c r="BC43380" s="141"/>
    </row>
    <row r="43381">
      <c r="BB43381" s="122"/>
      <c r="BC43381" s="141"/>
    </row>
    <row r="43382">
      <c r="BB43382" s="122"/>
      <c r="BC43382" s="141"/>
    </row>
    <row r="43383">
      <c r="BB43383" s="122"/>
      <c r="BC43383" s="141"/>
    </row>
    <row r="43384">
      <c r="BB43384" s="122"/>
      <c r="BC43384" s="141"/>
    </row>
    <row r="43385">
      <c r="BB43385" s="122"/>
      <c r="BC43385" s="141"/>
    </row>
    <row r="43386">
      <c r="BB43386" s="122"/>
      <c r="BC43386" s="141"/>
    </row>
    <row r="43387">
      <c r="BB43387" s="122"/>
      <c r="BC43387" s="141"/>
    </row>
    <row r="43388">
      <c r="BB43388" s="122"/>
      <c r="BC43388" s="141"/>
    </row>
    <row r="43389">
      <c r="BB43389" s="122"/>
      <c r="BC43389" s="141"/>
    </row>
    <row r="43390">
      <c r="BB43390" s="122"/>
      <c r="BC43390" s="141"/>
    </row>
    <row r="43391">
      <c r="BB43391" s="122"/>
      <c r="BC43391" s="141"/>
    </row>
    <row r="43392">
      <c r="BB43392" s="122"/>
      <c r="BC43392" s="141"/>
    </row>
    <row r="43393">
      <c r="BB43393" s="122"/>
      <c r="BC43393" s="141"/>
    </row>
    <row r="43394">
      <c r="BB43394" s="122"/>
      <c r="BC43394" s="141"/>
    </row>
    <row r="43395">
      <c r="BB43395" s="122"/>
      <c r="BC43395" s="141"/>
    </row>
    <row r="43396">
      <c r="BB43396" s="122"/>
      <c r="BC43396" s="141"/>
    </row>
    <row r="43397">
      <c r="BB43397" s="122"/>
      <c r="BC43397" s="141"/>
    </row>
    <row r="43398">
      <c r="BB43398" s="122"/>
      <c r="BC43398" s="141"/>
    </row>
    <row r="43399">
      <c r="BB43399" s="122"/>
      <c r="BC43399" s="141"/>
    </row>
    <row r="43400">
      <c r="BB43400" s="122"/>
      <c r="BC43400" s="141"/>
    </row>
    <row r="43401">
      <c r="BB43401" s="122"/>
      <c r="BC43401" s="141"/>
    </row>
    <row r="43402">
      <c r="BB43402" s="122"/>
      <c r="BC43402" s="141"/>
    </row>
    <row r="43403">
      <c r="BB43403" s="122"/>
      <c r="BC43403" s="141"/>
    </row>
    <row r="43404">
      <c r="BB43404" s="122"/>
      <c r="BC43404" s="141"/>
    </row>
    <row r="43405">
      <c r="BB43405" s="122"/>
      <c r="BC43405" s="141"/>
    </row>
    <row r="43406">
      <c r="BB43406" s="122"/>
      <c r="BC43406" s="141"/>
    </row>
    <row r="43407">
      <c r="BB43407" s="122"/>
      <c r="BC43407" s="141"/>
    </row>
    <row r="43408">
      <c r="BB43408" s="122"/>
      <c r="BC43408" s="141"/>
    </row>
    <row r="43409">
      <c r="BB43409" s="122"/>
      <c r="BC43409" s="141"/>
    </row>
    <row r="43410">
      <c r="BB43410" s="122"/>
      <c r="BC43410" s="141"/>
    </row>
    <row r="43411">
      <c r="BB43411" s="122"/>
      <c r="BC43411" s="141"/>
    </row>
    <row r="43412">
      <c r="BB43412" s="122"/>
      <c r="BC43412" s="141"/>
    </row>
    <row r="43413">
      <c r="BB43413" s="122"/>
      <c r="BC43413" s="141"/>
    </row>
    <row r="43414">
      <c r="BB43414" s="122"/>
      <c r="BC43414" s="141"/>
    </row>
    <row r="43415">
      <c r="BB43415" s="122"/>
      <c r="BC43415" s="141"/>
    </row>
    <row r="43416">
      <c r="BB43416" s="122"/>
      <c r="BC43416" s="141"/>
    </row>
    <row r="43417">
      <c r="BB43417" s="122"/>
      <c r="BC43417" s="141"/>
    </row>
    <row r="43418">
      <c r="BB43418" s="122"/>
      <c r="BC43418" s="141"/>
    </row>
    <row r="43419">
      <c r="BB43419" s="122"/>
      <c r="BC43419" s="141"/>
    </row>
    <row r="43420">
      <c r="BB43420" s="122"/>
      <c r="BC43420" s="141"/>
    </row>
    <row r="43421">
      <c r="BB43421" s="122"/>
      <c r="BC43421" s="141"/>
    </row>
    <row r="43422">
      <c r="BB43422" s="122"/>
      <c r="BC43422" s="141"/>
    </row>
    <row r="43423">
      <c r="BB43423" s="122"/>
      <c r="BC43423" s="141"/>
    </row>
    <row r="43424">
      <c r="BB43424" s="122"/>
      <c r="BC43424" s="141"/>
    </row>
    <row r="43425">
      <c r="BB43425" s="122"/>
      <c r="BC43425" s="141"/>
    </row>
    <row r="43426">
      <c r="BB43426" s="122"/>
      <c r="BC43426" s="141"/>
    </row>
    <row r="43427">
      <c r="BB43427" s="122"/>
      <c r="BC43427" s="141"/>
    </row>
    <row r="43428">
      <c r="BB43428" s="122"/>
      <c r="BC43428" s="141"/>
    </row>
    <row r="43429">
      <c r="BB43429" s="122"/>
      <c r="BC43429" s="141"/>
    </row>
    <row r="43430">
      <c r="BB43430" s="122"/>
      <c r="BC43430" s="141"/>
    </row>
    <row r="43431">
      <c r="BB43431" s="122"/>
      <c r="BC43431" s="141"/>
    </row>
    <row r="43432">
      <c r="BB43432" s="122"/>
      <c r="BC43432" s="141"/>
    </row>
    <row r="43433">
      <c r="BB43433" s="122"/>
      <c r="BC43433" s="141"/>
    </row>
    <row r="43434">
      <c r="BB43434" s="122"/>
      <c r="BC43434" s="141"/>
    </row>
    <row r="43435">
      <c r="BB43435" s="122"/>
      <c r="BC43435" s="141"/>
    </row>
    <row r="43436">
      <c r="BB43436" s="122"/>
      <c r="BC43436" s="141"/>
    </row>
    <row r="43437">
      <c r="BB43437" s="122"/>
      <c r="BC43437" s="141"/>
    </row>
    <row r="43438">
      <c r="BB43438" s="122"/>
      <c r="BC43438" s="141"/>
    </row>
    <row r="43439">
      <c r="BB43439" s="122"/>
      <c r="BC43439" s="141"/>
    </row>
    <row r="43440">
      <c r="BB43440" s="122"/>
      <c r="BC43440" s="141"/>
    </row>
    <row r="43441">
      <c r="BB43441" s="122"/>
      <c r="BC43441" s="141"/>
    </row>
    <row r="43442">
      <c r="BB43442" s="122"/>
      <c r="BC43442" s="141"/>
    </row>
    <row r="43443">
      <c r="BB43443" s="122"/>
      <c r="BC43443" s="141"/>
    </row>
    <row r="43444">
      <c r="BB43444" s="122"/>
      <c r="BC43444" s="141"/>
    </row>
    <row r="43445">
      <c r="BB43445" s="122"/>
      <c r="BC43445" s="141"/>
    </row>
    <row r="43446">
      <c r="BB43446" s="122"/>
      <c r="BC43446" s="141"/>
    </row>
    <row r="43447">
      <c r="BB43447" s="122"/>
      <c r="BC43447" s="141"/>
    </row>
    <row r="43448">
      <c r="BB43448" s="122"/>
      <c r="BC43448" s="141"/>
    </row>
    <row r="43449">
      <c r="BB43449" s="122"/>
      <c r="BC43449" s="141"/>
    </row>
    <row r="43450">
      <c r="BB43450" s="122"/>
      <c r="BC43450" s="141"/>
    </row>
    <row r="43451">
      <c r="BB43451" s="122"/>
      <c r="BC43451" s="141"/>
    </row>
    <row r="43452">
      <c r="BB43452" s="122"/>
      <c r="BC43452" s="141"/>
    </row>
    <row r="43453">
      <c r="BB43453" s="122"/>
      <c r="BC43453" s="141"/>
    </row>
    <row r="43454">
      <c r="BB43454" s="122"/>
      <c r="BC43454" s="141"/>
    </row>
    <row r="43455">
      <c r="BB43455" s="122"/>
      <c r="BC43455" s="141"/>
    </row>
    <row r="43456">
      <c r="BB43456" s="122"/>
      <c r="BC43456" s="141"/>
    </row>
    <row r="43457">
      <c r="BB43457" s="122"/>
      <c r="BC43457" s="141"/>
    </row>
    <row r="43458">
      <c r="BB43458" s="122"/>
      <c r="BC43458" s="141"/>
    </row>
    <row r="43459">
      <c r="BB43459" s="122"/>
      <c r="BC43459" s="141"/>
    </row>
    <row r="43460">
      <c r="BB43460" s="122"/>
      <c r="BC43460" s="141"/>
    </row>
    <row r="43461">
      <c r="BB43461" s="122"/>
      <c r="BC43461" s="141"/>
    </row>
    <row r="43462">
      <c r="BB43462" s="122"/>
      <c r="BC43462" s="141"/>
    </row>
    <row r="43463">
      <c r="BB43463" s="122"/>
      <c r="BC43463" s="141"/>
    </row>
    <row r="43464">
      <c r="BB43464" s="122"/>
      <c r="BC43464" s="141"/>
    </row>
    <row r="43465">
      <c r="BB43465" s="122"/>
      <c r="BC43465" s="141"/>
    </row>
    <row r="43466">
      <c r="BB43466" s="122"/>
      <c r="BC43466" s="141"/>
    </row>
    <row r="43467">
      <c r="BB43467" s="122"/>
      <c r="BC43467" s="141"/>
    </row>
    <row r="43468">
      <c r="BB43468" s="122"/>
      <c r="BC43468" s="141"/>
    </row>
    <row r="43469">
      <c r="BB43469" s="122"/>
      <c r="BC43469" s="141"/>
    </row>
    <row r="43470">
      <c r="BB43470" s="122"/>
      <c r="BC43470" s="141"/>
    </row>
    <row r="43471">
      <c r="BB43471" s="122"/>
      <c r="BC43471" s="141"/>
    </row>
    <row r="43472">
      <c r="BB43472" s="122"/>
      <c r="BC43472" s="141"/>
    </row>
    <row r="43473">
      <c r="BB43473" s="122"/>
      <c r="BC43473" s="141"/>
    </row>
    <row r="43474">
      <c r="BB43474" s="122"/>
      <c r="BC43474" s="141"/>
    </row>
    <row r="43475">
      <c r="BB43475" s="122"/>
      <c r="BC43475" s="141"/>
    </row>
    <row r="43476">
      <c r="BB43476" s="122"/>
      <c r="BC43476" s="141"/>
    </row>
    <row r="43477">
      <c r="BB43477" s="122"/>
      <c r="BC43477" s="141"/>
    </row>
    <row r="43478">
      <c r="BB43478" s="122"/>
      <c r="BC43478" s="141"/>
    </row>
    <row r="43479">
      <c r="BB43479" s="122"/>
      <c r="BC43479" s="141"/>
    </row>
    <row r="43480">
      <c r="BB43480" s="122"/>
      <c r="BC43480" s="141"/>
    </row>
    <row r="43481">
      <c r="BB43481" s="122"/>
      <c r="BC43481" s="141"/>
    </row>
    <row r="43482">
      <c r="BB43482" s="122"/>
      <c r="BC43482" s="141"/>
    </row>
    <row r="43483">
      <c r="BB43483" s="122"/>
      <c r="BC43483" s="141"/>
    </row>
    <row r="43484">
      <c r="BB43484" s="122"/>
      <c r="BC43484" s="141"/>
    </row>
    <row r="43485">
      <c r="BB43485" s="122"/>
      <c r="BC43485" s="141"/>
    </row>
    <row r="43486">
      <c r="BB43486" s="122"/>
      <c r="BC43486" s="141"/>
    </row>
    <row r="43487">
      <c r="BB43487" s="122"/>
      <c r="BC43487" s="141"/>
    </row>
    <row r="43488">
      <c r="BB43488" s="122"/>
      <c r="BC43488" s="141"/>
    </row>
    <row r="43489">
      <c r="BB43489" s="122"/>
      <c r="BC43489" s="141"/>
    </row>
    <row r="43490">
      <c r="BB43490" s="122"/>
      <c r="BC43490" s="141"/>
    </row>
    <row r="43491">
      <c r="BB43491" s="122"/>
      <c r="BC43491" s="141"/>
    </row>
    <row r="43492">
      <c r="BB43492" s="122"/>
      <c r="BC43492" s="141"/>
    </row>
    <row r="43493">
      <c r="BB43493" s="122"/>
      <c r="BC43493" s="141"/>
    </row>
    <row r="43494">
      <c r="BB43494" s="122"/>
      <c r="BC43494" s="141"/>
    </row>
    <row r="43495">
      <c r="BB43495" s="122"/>
      <c r="BC43495" s="141"/>
    </row>
    <row r="43496">
      <c r="BB43496" s="122"/>
      <c r="BC43496" s="141"/>
    </row>
    <row r="43497">
      <c r="BB43497" s="122"/>
      <c r="BC43497" s="141"/>
    </row>
    <row r="43498">
      <c r="BB43498" s="122"/>
      <c r="BC43498" s="141"/>
    </row>
    <row r="43499">
      <c r="BB43499" s="122"/>
      <c r="BC43499" s="141"/>
    </row>
    <row r="43500">
      <c r="BB43500" s="122"/>
      <c r="BC43500" s="141"/>
    </row>
    <row r="43501">
      <c r="BB43501" s="122"/>
      <c r="BC43501" s="141"/>
    </row>
    <row r="43502">
      <c r="BB43502" s="122"/>
      <c r="BC43502" s="141"/>
    </row>
    <row r="43503">
      <c r="BB43503" s="122"/>
      <c r="BC43503" s="141"/>
    </row>
    <row r="43504">
      <c r="BB43504" s="122"/>
      <c r="BC43504" s="141"/>
    </row>
    <row r="43505">
      <c r="BB43505" s="122"/>
      <c r="BC43505" s="141"/>
    </row>
    <row r="43506">
      <c r="BB43506" s="122"/>
      <c r="BC43506" s="141"/>
    </row>
    <row r="43507">
      <c r="BB43507" s="122"/>
      <c r="BC43507" s="141"/>
    </row>
    <row r="43508">
      <c r="BB43508" s="122"/>
      <c r="BC43508" s="141"/>
    </row>
    <row r="43509">
      <c r="BB43509" s="122"/>
      <c r="BC43509" s="141"/>
    </row>
    <row r="43510">
      <c r="BB43510" s="122"/>
      <c r="BC43510" s="141"/>
    </row>
    <row r="43511">
      <c r="BB43511" s="122"/>
      <c r="BC43511" s="141"/>
    </row>
    <row r="43512">
      <c r="BB43512" s="122"/>
      <c r="BC43512" s="141"/>
    </row>
    <row r="43513">
      <c r="BB43513" s="122"/>
      <c r="BC43513" s="141"/>
    </row>
    <row r="43514">
      <c r="BB43514" s="122"/>
      <c r="BC43514" s="141"/>
    </row>
    <row r="43515">
      <c r="BB43515" s="122"/>
      <c r="BC43515" s="141"/>
    </row>
    <row r="43516">
      <c r="BB43516" s="122"/>
      <c r="BC43516" s="141"/>
    </row>
    <row r="43517">
      <c r="BB43517" s="122"/>
      <c r="BC43517" s="141"/>
    </row>
    <row r="43518">
      <c r="BB43518" s="122"/>
      <c r="BC43518" s="141"/>
    </row>
    <row r="43519">
      <c r="BB43519" s="122"/>
      <c r="BC43519" s="141"/>
    </row>
    <row r="43520">
      <c r="BB43520" s="122"/>
      <c r="BC43520" s="141"/>
    </row>
    <row r="43521">
      <c r="BB43521" s="122"/>
      <c r="BC43521" s="141"/>
    </row>
    <row r="43522">
      <c r="BB43522" s="122"/>
      <c r="BC43522" s="141"/>
    </row>
    <row r="43523">
      <c r="BB43523" s="122"/>
      <c r="BC43523" s="141"/>
    </row>
    <row r="43524">
      <c r="BB43524" s="122"/>
      <c r="BC43524" s="141"/>
    </row>
    <row r="43525">
      <c r="BB43525" s="122"/>
      <c r="BC43525" s="141"/>
    </row>
    <row r="43526">
      <c r="BB43526" s="122"/>
      <c r="BC43526" s="141"/>
    </row>
    <row r="43527">
      <c r="BB43527" s="122"/>
      <c r="BC43527" s="141"/>
    </row>
    <row r="43528">
      <c r="BB43528" s="122"/>
      <c r="BC43528" s="141"/>
    </row>
    <row r="43529">
      <c r="BB43529" s="122"/>
      <c r="BC43529" s="141"/>
    </row>
    <row r="43530">
      <c r="BB43530" s="122"/>
      <c r="BC43530" s="141"/>
    </row>
    <row r="43531">
      <c r="BB43531" s="122"/>
      <c r="BC43531" s="141"/>
    </row>
    <row r="43532">
      <c r="BB43532" s="122"/>
      <c r="BC43532" s="141"/>
    </row>
    <row r="43533">
      <c r="BB43533" s="122"/>
      <c r="BC43533" s="141"/>
    </row>
    <row r="43534">
      <c r="BB43534" s="122"/>
      <c r="BC43534" s="141"/>
    </row>
    <row r="43535">
      <c r="BB43535" s="122"/>
      <c r="BC43535" s="141"/>
    </row>
    <row r="43536">
      <c r="BB43536" s="122"/>
      <c r="BC43536" s="141"/>
    </row>
    <row r="43537">
      <c r="BB43537" s="122"/>
      <c r="BC43537" s="141"/>
    </row>
    <row r="43538">
      <c r="BB43538" s="122"/>
      <c r="BC43538" s="141"/>
    </row>
    <row r="43539">
      <c r="BB43539" s="122"/>
      <c r="BC43539" s="141"/>
    </row>
    <row r="43540">
      <c r="BB43540" s="122"/>
      <c r="BC43540" s="141"/>
    </row>
    <row r="43541">
      <c r="BB43541" s="122"/>
      <c r="BC43541" s="141"/>
    </row>
    <row r="43542">
      <c r="BB43542" s="122"/>
      <c r="BC43542" s="141"/>
    </row>
    <row r="43543">
      <c r="BB43543" s="122"/>
      <c r="BC43543" s="141"/>
    </row>
    <row r="43544">
      <c r="BB43544" s="122"/>
      <c r="BC43544" s="141"/>
    </row>
    <row r="43545">
      <c r="BB43545" s="122"/>
      <c r="BC43545" s="141"/>
    </row>
    <row r="43546">
      <c r="BB43546" s="122"/>
      <c r="BC43546" s="141"/>
    </row>
    <row r="43547">
      <c r="BB43547" s="122"/>
      <c r="BC43547" s="141"/>
    </row>
    <row r="43548">
      <c r="BB43548" s="122"/>
      <c r="BC43548" s="141"/>
    </row>
    <row r="43549">
      <c r="BB43549" s="122"/>
      <c r="BC43549" s="141"/>
    </row>
    <row r="43550">
      <c r="BB43550" s="122"/>
      <c r="BC43550" s="141"/>
    </row>
    <row r="43551">
      <c r="BB43551" s="122"/>
      <c r="BC43551" s="141"/>
    </row>
    <row r="43552">
      <c r="BB43552" s="122"/>
      <c r="BC43552" s="141"/>
    </row>
    <row r="43553">
      <c r="BB43553" s="122"/>
      <c r="BC43553" s="141"/>
    </row>
    <row r="43554">
      <c r="BB43554" s="122"/>
      <c r="BC43554" s="141"/>
    </row>
    <row r="43555">
      <c r="BB43555" s="122"/>
      <c r="BC43555" s="141"/>
    </row>
    <row r="43556">
      <c r="BB43556" s="122"/>
      <c r="BC43556" s="141"/>
    </row>
    <row r="43557">
      <c r="BB43557" s="122"/>
      <c r="BC43557" s="141"/>
    </row>
    <row r="43558">
      <c r="BB43558" s="122"/>
      <c r="BC43558" s="141"/>
    </row>
    <row r="43559">
      <c r="BB43559" s="122"/>
      <c r="BC43559" s="141"/>
    </row>
    <row r="43560">
      <c r="BB43560" s="122"/>
      <c r="BC43560" s="141"/>
    </row>
    <row r="43561">
      <c r="BB43561" s="122"/>
      <c r="BC43561" s="141"/>
    </row>
    <row r="43562">
      <c r="BB43562" s="122"/>
      <c r="BC43562" s="141"/>
    </row>
    <row r="43563">
      <c r="BB43563" s="122"/>
      <c r="BC43563" s="141"/>
    </row>
    <row r="43564">
      <c r="BB43564" s="122"/>
      <c r="BC43564" s="141"/>
    </row>
    <row r="43565">
      <c r="BB43565" s="122"/>
      <c r="BC43565" s="141"/>
    </row>
    <row r="43566">
      <c r="BB43566" s="122"/>
      <c r="BC43566" s="141"/>
    </row>
    <row r="43567">
      <c r="BB43567" s="122"/>
      <c r="BC43567" s="141"/>
    </row>
    <row r="43568">
      <c r="BB43568" s="122"/>
      <c r="BC43568" s="141"/>
    </row>
    <row r="43569">
      <c r="BB43569" s="122"/>
      <c r="BC43569" s="141"/>
    </row>
    <row r="43570">
      <c r="BB43570" s="122"/>
      <c r="BC43570" s="141"/>
    </row>
    <row r="43571">
      <c r="BB43571" s="122"/>
      <c r="BC43571" s="141"/>
    </row>
    <row r="43572">
      <c r="BB43572" s="122"/>
      <c r="BC43572" s="141"/>
    </row>
    <row r="43573">
      <c r="BB43573" s="122"/>
      <c r="BC43573" s="141"/>
    </row>
    <row r="43574">
      <c r="BB43574" s="122"/>
      <c r="BC43574" s="141"/>
    </row>
    <row r="43575">
      <c r="BB43575" s="122"/>
      <c r="BC43575" s="141"/>
    </row>
    <row r="43576">
      <c r="BB43576" s="122"/>
      <c r="BC43576" s="141"/>
    </row>
    <row r="43577">
      <c r="BB43577" s="122"/>
      <c r="BC43577" s="141"/>
    </row>
    <row r="43578">
      <c r="BB43578" s="122"/>
      <c r="BC43578" s="141"/>
    </row>
    <row r="43579">
      <c r="BB43579" s="122"/>
      <c r="BC43579" s="141"/>
    </row>
    <row r="43580">
      <c r="BB43580" s="122"/>
      <c r="BC43580" s="141"/>
    </row>
    <row r="43581">
      <c r="BB43581" s="122"/>
      <c r="BC43581" s="141"/>
    </row>
    <row r="43582">
      <c r="BB43582" s="122"/>
      <c r="BC43582" s="141"/>
    </row>
    <row r="43583">
      <c r="BB43583" s="122"/>
      <c r="BC43583" s="141"/>
    </row>
    <row r="43584">
      <c r="BB43584" s="122"/>
      <c r="BC43584" s="141"/>
    </row>
    <row r="43585">
      <c r="BB43585" s="122"/>
      <c r="BC43585" s="141"/>
    </row>
    <row r="43586">
      <c r="BB43586" s="122"/>
      <c r="BC43586" s="141"/>
    </row>
    <row r="43587">
      <c r="BB43587" s="122"/>
      <c r="BC43587" s="141"/>
    </row>
    <row r="43588">
      <c r="BB43588" s="122"/>
      <c r="BC43588" s="141"/>
    </row>
    <row r="43589">
      <c r="BB43589" s="122"/>
      <c r="BC43589" s="141"/>
    </row>
    <row r="43590">
      <c r="BB43590" s="122"/>
      <c r="BC43590" s="141"/>
    </row>
    <row r="43591">
      <c r="BB43591" s="122"/>
      <c r="BC43591" s="141"/>
    </row>
    <row r="43592">
      <c r="BB43592" s="122"/>
      <c r="BC43592" s="141"/>
    </row>
    <row r="43593">
      <c r="BB43593" s="122"/>
      <c r="BC43593" s="141"/>
    </row>
    <row r="43594">
      <c r="BB43594" s="122"/>
      <c r="BC43594" s="141"/>
    </row>
    <row r="43595">
      <c r="BB43595" s="122"/>
      <c r="BC43595" s="141"/>
    </row>
    <row r="43596">
      <c r="BB43596" s="122"/>
      <c r="BC43596" s="141"/>
    </row>
    <row r="43597">
      <c r="BB43597" s="122"/>
      <c r="BC43597" s="141"/>
    </row>
    <row r="43598">
      <c r="BB43598" s="122"/>
      <c r="BC43598" s="141"/>
    </row>
    <row r="43599">
      <c r="BB43599" s="122"/>
      <c r="BC43599" s="141"/>
    </row>
    <row r="43600">
      <c r="BB43600" s="122"/>
      <c r="BC43600" s="141"/>
    </row>
    <row r="43601">
      <c r="BB43601" s="122"/>
      <c r="BC43601" s="141"/>
    </row>
    <row r="43602">
      <c r="BB43602" s="122"/>
      <c r="BC43602" s="141"/>
    </row>
    <row r="43603">
      <c r="BB43603" s="122"/>
      <c r="BC43603" s="141"/>
    </row>
    <row r="43604">
      <c r="BB43604" s="122"/>
      <c r="BC43604" s="141"/>
    </row>
    <row r="43605">
      <c r="BB43605" s="122"/>
      <c r="BC43605" s="141"/>
    </row>
    <row r="43606">
      <c r="BB43606" s="122"/>
      <c r="BC43606" s="141"/>
    </row>
    <row r="43607">
      <c r="BB43607" s="122"/>
      <c r="BC43607" s="141"/>
    </row>
    <row r="43608">
      <c r="BB43608" s="122"/>
      <c r="BC43608" s="141"/>
    </row>
    <row r="43609">
      <c r="BB43609" s="122"/>
      <c r="BC43609" s="141"/>
    </row>
    <row r="43610">
      <c r="BB43610" s="122"/>
      <c r="BC43610" s="141"/>
    </row>
    <row r="43611">
      <c r="BB43611" s="122"/>
      <c r="BC43611" s="141"/>
    </row>
    <row r="43612">
      <c r="BB43612" s="122"/>
      <c r="BC43612" s="141"/>
    </row>
    <row r="43613">
      <c r="BB43613" s="122"/>
      <c r="BC43613" s="141"/>
    </row>
    <row r="43614">
      <c r="BB43614" s="122"/>
      <c r="BC43614" s="141"/>
    </row>
    <row r="43615">
      <c r="BB43615" s="122"/>
      <c r="BC43615" s="141"/>
    </row>
    <row r="43616">
      <c r="BB43616" s="122"/>
      <c r="BC43616" s="141"/>
    </row>
    <row r="43617">
      <c r="BB43617" s="122"/>
      <c r="BC43617" s="141"/>
    </row>
    <row r="43618">
      <c r="BB43618" s="122"/>
      <c r="BC43618" s="141"/>
    </row>
    <row r="43619">
      <c r="BB43619" s="122"/>
      <c r="BC43619" s="141"/>
    </row>
    <row r="43620">
      <c r="BB43620" s="122"/>
      <c r="BC43620" s="141"/>
    </row>
    <row r="43621">
      <c r="BB43621" s="122"/>
      <c r="BC43621" s="141"/>
    </row>
    <row r="43622">
      <c r="BB43622" s="122"/>
      <c r="BC43622" s="141"/>
    </row>
    <row r="43623">
      <c r="BB43623" s="122"/>
      <c r="BC43623" s="141"/>
    </row>
    <row r="43624">
      <c r="BB43624" s="122"/>
      <c r="BC43624" s="141"/>
    </row>
    <row r="43625">
      <c r="BB43625" s="122"/>
      <c r="BC43625" s="141"/>
    </row>
    <row r="43626">
      <c r="BB43626" s="122"/>
      <c r="BC43626" s="141"/>
    </row>
    <row r="43627">
      <c r="BB43627" s="122"/>
      <c r="BC43627" s="141"/>
    </row>
    <row r="43628">
      <c r="BB43628" s="122"/>
      <c r="BC43628" s="141"/>
    </row>
    <row r="43629">
      <c r="BB43629" s="122"/>
      <c r="BC43629" s="141"/>
    </row>
    <row r="43630">
      <c r="BB43630" s="122"/>
      <c r="BC43630" s="141"/>
    </row>
    <row r="43631">
      <c r="BB43631" s="122"/>
      <c r="BC43631" s="141"/>
    </row>
    <row r="43632">
      <c r="BB43632" s="122"/>
      <c r="BC43632" s="141"/>
    </row>
    <row r="43633">
      <c r="BB43633" s="122"/>
      <c r="BC43633" s="141"/>
    </row>
    <row r="43634">
      <c r="BB43634" s="122"/>
      <c r="BC43634" s="141"/>
    </row>
    <row r="43635">
      <c r="BB43635" s="122"/>
      <c r="BC43635" s="141"/>
    </row>
    <row r="43636">
      <c r="BB43636" s="122"/>
      <c r="BC43636" s="141"/>
    </row>
    <row r="43637">
      <c r="BB43637" s="122"/>
      <c r="BC43637" s="141"/>
    </row>
    <row r="43638">
      <c r="BB43638" s="122"/>
      <c r="BC43638" s="141"/>
    </row>
    <row r="43639">
      <c r="BB43639" s="122"/>
      <c r="BC43639" s="141"/>
    </row>
    <row r="43640">
      <c r="BB43640" s="122"/>
      <c r="BC43640" s="141"/>
    </row>
    <row r="43641">
      <c r="BB43641" s="122"/>
      <c r="BC43641" s="141"/>
    </row>
    <row r="43642">
      <c r="BB43642" s="122"/>
      <c r="BC43642" s="141"/>
    </row>
    <row r="43643">
      <c r="BB43643" s="122"/>
      <c r="BC43643" s="141"/>
    </row>
    <row r="43644">
      <c r="BB43644" s="122"/>
      <c r="BC43644" s="141"/>
    </row>
    <row r="43645">
      <c r="BB43645" s="122"/>
      <c r="BC43645" s="141"/>
    </row>
    <row r="43646">
      <c r="BB43646" s="122"/>
      <c r="BC43646" s="141"/>
    </row>
    <row r="43647">
      <c r="BB43647" s="122"/>
      <c r="BC43647" s="141"/>
    </row>
    <row r="43648">
      <c r="BB43648" s="122"/>
      <c r="BC43648" s="141"/>
    </row>
    <row r="43649">
      <c r="BB43649" s="122"/>
      <c r="BC43649" s="141"/>
    </row>
    <row r="43650">
      <c r="BB43650" s="122"/>
      <c r="BC43650" s="141"/>
    </row>
    <row r="43651">
      <c r="BB43651" s="122"/>
      <c r="BC43651" s="141"/>
    </row>
    <row r="43652">
      <c r="BB43652" s="122"/>
      <c r="BC43652" s="141"/>
    </row>
    <row r="43653">
      <c r="BB43653" s="122"/>
      <c r="BC43653" s="141"/>
    </row>
    <row r="43654">
      <c r="BB43654" s="122"/>
      <c r="BC43654" s="141"/>
    </row>
    <row r="43655">
      <c r="BB43655" s="122"/>
      <c r="BC43655" s="141"/>
    </row>
    <row r="43656">
      <c r="BB43656" s="122"/>
      <c r="BC43656" s="141"/>
    </row>
    <row r="43657">
      <c r="BB43657" s="122"/>
      <c r="BC43657" s="141"/>
    </row>
    <row r="43658">
      <c r="BB43658" s="122"/>
      <c r="BC43658" s="141"/>
    </row>
    <row r="43659">
      <c r="BB43659" s="122"/>
      <c r="BC43659" s="141"/>
    </row>
    <row r="43660">
      <c r="BB43660" s="122"/>
      <c r="BC43660" s="141"/>
    </row>
    <row r="43661">
      <c r="BB43661" s="122"/>
      <c r="BC43661" s="141"/>
    </row>
    <row r="43662">
      <c r="BB43662" s="122"/>
      <c r="BC43662" s="141"/>
    </row>
    <row r="43663">
      <c r="BB43663" s="122"/>
      <c r="BC43663" s="141"/>
    </row>
    <row r="43664">
      <c r="BB43664" s="122"/>
      <c r="BC43664" s="141"/>
    </row>
    <row r="43665">
      <c r="BB43665" s="122"/>
      <c r="BC43665" s="141"/>
    </row>
    <row r="43666">
      <c r="BB43666" s="122"/>
      <c r="BC43666" s="141"/>
    </row>
    <row r="43667">
      <c r="BB43667" s="122"/>
      <c r="BC43667" s="141"/>
    </row>
    <row r="43668">
      <c r="BB43668" s="122"/>
      <c r="BC43668" s="141"/>
    </row>
    <row r="43669">
      <c r="BB43669" s="122"/>
      <c r="BC43669" s="141"/>
    </row>
    <row r="43670">
      <c r="BB43670" s="122"/>
      <c r="BC43670" s="141"/>
    </row>
    <row r="43671">
      <c r="BB43671" s="122"/>
      <c r="BC43671" s="141"/>
    </row>
    <row r="43672">
      <c r="BB43672" s="122"/>
      <c r="BC43672" s="141"/>
    </row>
    <row r="43673">
      <c r="BB43673" s="122"/>
      <c r="BC43673" s="141"/>
    </row>
    <row r="43674">
      <c r="BB43674" s="122"/>
      <c r="BC43674" s="141"/>
    </row>
    <row r="43675">
      <c r="BB43675" s="122"/>
      <c r="BC43675" s="141"/>
    </row>
    <row r="43676">
      <c r="BB43676" s="122"/>
      <c r="BC43676" s="141"/>
    </row>
    <row r="43677">
      <c r="BB43677" s="122"/>
      <c r="BC43677" s="141"/>
    </row>
    <row r="43678">
      <c r="BB43678" s="122"/>
      <c r="BC43678" s="141"/>
    </row>
    <row r="43679">
      <c r="BB43679" s="122"/>
      <c r="BC43679" s="141"/>
    </row>
    <row r="43680">
      <c r="BB43680" s="122"/>
      <c r="BC43680" s="141"/>
    </row>
    <row r="43681">
      <c r="BB43681" s="122"/>
      <c r="BC43681" s="141"/>
    </row>
    <row r="43682">
      <c r="BB43682" s="122"/>
      <c r="BC43682" s="141"/>
    </row>
    <row r="43683">
      <c r="BB43683" s="122"/>
      <c r="BC43683" s="141"/>
    </row>
    <row r="43684">
      <c r="BB43684" s="122"/>
      <c r="BC43684" s="141"/>
    </row>
    <row r="43685">
      <c r="BB43685" s="122"/>
      <c r="BC43685" s="141"/>
    </row>
    <row r="43686">
      <c r="BB43686" s="122"/>
      <c r="BC43686" s="141"/>
    </row>
    <row r="43687">
      <c r="BB43687" s="122"/>
      <c r="BC43687" s="141"/>
    </row>
    <row r="43688">
      <c r="BB43688" s="122"/>
      <c r="BC43688" s="141"/>
    </row>
    <row r="43689">
      <c r="BB43689" s="122"/>
      <c r="BC43689" s="141"/>
    </row>
    <row r="43690">
      <c r="BB43690" s="122"/>
      <c r="BC43690" s="141"/>
    </row>
    <row r="43691">
      <c r="BB43691" s="122"/>
      <c r="BC43691" s="141"/>
    </row>
    <row r="43692">
      <c r="BB43692" s="122"/>
      <c r="BC43692" s="141"/>
    </row>
    <row r="43693">
      <c r="BB43693" s="122"/>
      <c r="BC43693" s="141"/>
    </row>
    <row r="43694">
      <c r="BB43694" s="122"/>
      <c r="BC43694" s="141"/>
    </row>
    <row r="43695">
      <c r="BB43695" s="122"/>
      <c r="BC43695" s="141"/>
    </row>
    <row r="43696">
      <c r="BB43696" s="122"/>
      <c r="BC43696" s="141"/>
    </row>
    <row r="43697">
      <c r="BB43697" s="122"/>
      <c r="BC43697" s="141"/>
    </row>
    <row r="43698">
      <c r="BB43698" s="122"/>
      <c r="BC43698" s="141"/>
    </row>
    <row r="43699">
      <c r="BB43699" s="122"/>
      <c r="BC43699" s="141"/>
    </row>
    <row r="43700">
      <c r="BB43700" s="122"/>
      <c r="BC43700" s="141"/>
    </row>
    <row r="43701">
      <c r="BB43701" s="122"/>
      <c r="BC43701" s="141"/>
    </row>
    <row r="43702">
      <c r="BB43702" s="122"/>
      <c r="BC43702" s="141"/>
    </row>
    <row r="43703">
      <c r="BB43703" s="122"/>
      <c r="BC43703" s="141"/>
    </row>
    <row r="43704">
      <c r="BB43704" s="122"/>
      <c r="BC43704" s="141"/>
    </row>
    <row r="43705">
      <c r="BB43705" s="122"/>
      <c r="BC43705" s="141"/>
    </row>
    <row r="43706">
      <c r="BB43706" s="122"/>
      <c r="BC43706" s="141"/>
    </row>
    <row r="43707">
      <c r="BB43707" s="122"/>
      <c r="BC43707" s="141"/>
    </row>
    <row r="43708">
      <c r="BB43708" s="122"/>
      <c r="BC43708" s="141"/>
    </row>
    <row r="43709">
      <c r="BB43709" s="122"/>
      <c r="BC43709" s="141"/>
    </row>
    <row r="43710">
      <c r="BB43710" s="122"/>
      <c r="BC43710" s="141"/>
    </row>
    <row r="43711">
      <c r="BB43711" s="122"/>
      <c r="BC43711" s="141"/>
    </row>
    <row r="43712">
      <c r="BB43712" s="122"/>
      <c r="BC43712" s="141"/>
    </row>
    <row r="43713">
      <c r="BB43713" s="122"/>
      <c r="BC43713" s="141"/>
    </row>
    <row r="43714">
      <c r="BB43714" s="122"/>
      <c r="BC43714" s="141"/>
    </row>
    <row r="43715">
      <c r="BB43715" s="122"/>
      <c r="BC43715" s="141"/>
    </row>
    <row r="43716">
      <c r="BB43716" s="122"/>
      <c r="BC43716" s="141"/>
    </row>
    <row r="43717">
      <c r="BB43717" s="122"/>
      <c r="BC43717" s="141"/>
    </row>
    <row r="43718">
      <c r="BB43718" s="122"/>
      <c r="BC43718" s="141"/>
    </row>
    <row r="43719">
      <c r="BB43719" s="122"/>
      <c r="BC43719" s="141"/>
    </row>
    <row r="43720">
      <c r="BB43720" s="122"/>
      <c r="BC43720" s="141"/>
    </row>
    <row r="43721">
      <c r="BB43721" s="122"/>
      <c r="BC43721" s="141"/>
    </row>
    <row r="43722">
      <c r="BB43722" s="122"/>
      <c r="BC43722" s="141"/>
    </row>
    <row r="43723">
      <c r="BB43723" s="122"/>
      <c r="BC43723" s="141"/>
    </row>
    <row r="43724">
      <c r="BB43724" s="122"/>
      <c r="BC43724" s="141"/>
    </row>
    <row r="43725">
      <c r="BB43725" s="122"/>
      <c r="BC43725" s="141"/>
    </row>
    <row r="43726">
      <c r="BB43726" s="122"/>
      <c r="BC43726" s="141"/>
    </row>
    <row r="43727">
      <c r="BB43727" s="122"/>
      <c r="BC43727" s="141"/>
    </row>
    <row r="43728">
      <c r="BB43728" s="122"/>
      <c r="BC43728" s="141"/>
    </row>
    <row r="43729">
      <c r="BB43729" s="122"/>
      <c r="BC43729" s="141"/>
    </row>
    <row r="43730">
      <c r="BB43730" s="122"/>
      <c r="BC43730" s="141"/>
    </row>
    <row r="43731">
      <c r="BB43731" s="122"/>
      <c r="BC43731" s="141"/>
    </row>
    <row r="43732">
      <c r="BB43732" s="122"/>
      <c r="BC43732" s="141"/>
    </row>
    <row r="43733">
      <c r="BB43733" s="122"/>
      <c r="BC43733" s="141"/>
    </row>
    <row r="43734">
      <c r="BB43734" s="122"/>
      <c r="BC43734" s="141"/>
    </row>
    <row r="43735">
      <c r="BB43735" s="122"/>
      <c r="BC43735" s="141"/>
    </row>
    <row r="43736">
      <c r="BB43736" s="122"/>
      <c r="BC43736" s="141"/>
    </row>
    <row r="43737">
      <c r="BB43737" s="122"/>
      <c r="BC43737" s="141"/>
    </row>
    <row r="43738">
      <c r="BB43738" s="122"/>
      <c r="BC43738" s="141"/>
    </row>
    <row r="43739">
      <c r="BB43739" s="122"/>
      <c r="BC43739" s="141"/>
    </row>
    <row r="43740">
      <c r="BB43740" s="122"/>
      <c r="BC43740" s="141"/>
    </row>
    <row r="43741">
      <c r="BB43741" s="122"/>
      <c r="BC43741" s="141"/>
    </row>
    <row r="43742">
      <c r="BB43742" s="122"/>
      <c r="BC43742" s="141"/>
    </row>
    <row r="43743">
      <c r="BB43743" s="122"/>
      <c r="BC43743" s="141"/>
    </row>
    <row r="43744">
      <c r="BB43744" s="122"/>
      <c r="BC43744" s="141"/>
    </row>
    <row r="43745">
      <c r="BB43745" s="122"/>
      <c r="BC43745" s="141"/>
    </row>
    <row r="43746">
      <c r="BB43746" s="122"/>
      <c r="BC43746" s="141"/>
    </row>
    <row r="43747">
      <c r="BB43747" s="122"/>
      <c r="BC43747" s="141"/>
    </row>
    <row r="43748">
      <c r="BB43748" s="122"/>
      <c r="BC43748" s="141"/>
    </row>
    <row r="43749">
      <c r="BB43749" s="122"/>
      <c r="BC43749" s="141"/>
    </row>
    <row r="43750">
      <c r="BB43750" s="122"/>
      <c r="BC43750" s="141"/>
    </row>
    <row r="43751">
      <c r="BB43751" s="122"/>
      <c r="BC43751" s="141"/>
    </row>
    <row r="43752">
      <c r="BB43752" s="122"/>
      <c r="BC43752" s="141"/>
    </row>
    <row r="43753">
      <c r="BB43753" s="122"/>
      <c r="BC43753" s="141"/>
    </row>
    <row r="43754">
      <c r="BB43754" s="122"/>
      <c r="BC43754" s="141"/>
    </row>
    <row r="43755">
      <c r="BB43755" s="122"/>
      <c r="BC43755" s="141"/>
    </row>
    <row r="43756">
      <c r="BB43756" s="122"/>
      <c r="BC43756" s="141"/>
    </row>
    <row r="43757">
      <c r="BB43757" s="122"/>
      <c r="BC43757" s="141"/>
    </row>
    <row r="43758">
      <c r="BB43758" s="122"/>
      <c r="BC43758" s="141"/>
    </row>
    <row r="43759">
      <c r="BB43759" s="122"/>
      <c r="BC43759" s="141"/>
    </row>
    <row r="43760">
      <c r="BB43760" s="122"/>
      <c r="BC43760" s="141"/>
    </row>
    <row r="43761">
      <c r="BB43761" s="122"/>
      <c r="BC43761" s="141"/>
    </row>
    <row r="43762">
      <c r="BB43762" s="122"/>
      <c r="BC43762" s="141"/>
    </row>
    <row r="43763">
      <c r="BB43763" s="122"/>
      <c r="BC43763" s="141"/>
    </row>
    <row r="43764">
      <c r="BB43764" s="122"/>
      <c r="BC43764" s="141"/>
    </row>
    <row r="43765">
      <c r="BB43765" s="122"/>
      <c r="BC43765" s="141"/>
    </row>
    <row r="43766">
      <c r="BB43766" s="122"/>
      <c r="BC43766" s="141"/>
    </row>
    <row r="43767">
      <c r="BB43767" s="122"/>
      <c r="BC43767" s="141"/>
    </row>
    <row r="43768">
      <c r="BB43768" s="122"/>
      <c r="BC43768" s="141"/>
    </row>
    <row r="43769">
      <c r="BB43769" s="122"/>
      <c r="BC43769" s="141"/>
    </row>
    <row r="43770">
      <c r="BB43770" s="122"/>
      <c r="BC43770" s="141"/>
    </row>
    <row r="43771">
      <c r="BB43771" s="122"/>
      <c r="BC43771" s="141"/>
    </row>
    <row r="43772">
      <c r="BB43772" s="122"/>
      <c r="BC43772" s="141"/>
    </row>
    <row r="43773">
      <c r="BB43773" s="122"/>
      <c r="BC43773" s="141"/>
    </row>
    <row r="43774">
      <c r="BB43774" s="122"/>
      <c r="BC43774" s="141"/>
    </row>
    <row r="43775">
      <c r="BB43775" s="122"/>
      <c r="BC43775" s="141"/>
    </row>
    <row r="43776">
      <c r="BB43776" s="122"/>
      <c r="BC43776" s="141"/>
    </row>
    <row r="43777">
      <c r="BB43777" s="122"/>
      <c r="BC43777" s="141"/>
    </row>
    <row r="43778">
      <c r="BB43778" s="122"/>
      <c r="BC43778" s="141"/>
    </row>
    <row r="43779">
      <c r="BB43779" s="122"/>
      <c r="BC43779" s="141"/>
    </row>
    <row r="43780">
      <c r="BB43780" s="122"/>
      <c r="BC43780" s="141"/>
    </row>
    <row r="43781">
      <c r="BB43781" s="122"/>
      <c r="BC43781" s="141"/>
    </row>
    <row r="43782">
      <c r="BB43782" s="122"/>
      <c r="BC43782" s="141"/>
    </row>
    <row r="43783">
      <c r="BB43783" s="122"/>
      <c r="BC43783" s="141"/>
    </row>
    <row r="43784">
      <c r="BB43784" s="122"/>
      <c r="BC43784" s="141"/>
    </row>
    <row r="43785">
      <c r="BB43785" s="122"/>
      <c r="BC43785" s="141"/>
    </row>
    <row r="43786">
      <c r="BB43786" s="122"/>
      <c r="BC43786" s="141"/>
    </row>
    <row r="43787">
      <c r="BB43787" s="122"/>
      <c r="BC43787" s="141"/>
    </row>
    <row r="43788">
      <c r="BB43788" s="122"/>
      <c r="BC43788" s="141"/>
    </row>
    <row r="43789">
      <c r="BB43789" s="122"/>
      <c r="BC43789" s="141"/>
    </row>
    <row r="43790">
      <c r="BB43790" s="122"/>
      <c r="BC43790" s="141"/>
    </row>
    <row r="43791">
      <c r="BB43791" s="122"/>
      <c r="BC43791" s="141"/>
    </row>
    <row r="43792">
      <c r="BB43792" s="122"/>
      <c r="BC43792" s="141"/>
    </row>
    <row r="43793">
      <c r="BB43793" s="122"/>
      <c r="BC43793" s="141"/>
    </row>
    <row r="43794">
      <c r="BB43794" s="122"/>
      <c r="BC43794" s="141"/>
    </row>
    <row r="43795">
      <c r="BB43795" s="122"/>
      <c r="BC43795" s="141"/>
    </row>
    <row r="43796">
      <c r="BB43796" s="122"/>
      <c r="BC43796" s="141"/>
    </row>
    <row r="43797">
      <c r="BB43797" s="122"/>
      <c r="BC43797" s="141"/>
    </row>
    <row r="43798">
      <c r="BB43798" s="122"/>
      <c r="BC43798" s="141"/>
    </row>
    <row r="43799">
      <c r="BB43799" s="122"/>
      <c r="BC43799" s="141"/>
    </row>
    <row r="43800">
      <c r="BB43800" s="122"/>
      <c r="BC43800" s="141"/>
    </row>
    <row r="43801">
      <c r="BB43801" s="122"/>
      <c r="BC43801" s="141"/>
    </row>
    <row r="43802">
      <c r="BB43802" s="122"/>
      <c r="BC43802" s="141"/>
    </row>
    <row r="43803">
      <c r="BB43803" s="122"/>
      <c r="BC43803" s="141"/>
    </row>
    <row r="43804">
      <c r="BB43804" s="122"/>
      <c r="BC43804" s="141"/>
    </row>
    <row r="43805">
      <c r="BB43805" s="122"/>
      <c r="BC43805" s="141"/>
    </row>
    <row r="43806">
      <c r="BB43806" s="122"/>
      <c r="BC43806" s="141"/>
    </row>
    <row r="43807">
      <c r="BB43807" s="122"/>
      <c r="BC43807" s="141"/>
    </row>
    <row r="43808">
      <c r="BB43808" s="122"/>
      <c r="BC43808" s="141"/>
    </row>
    <row r="43809">
      <c r="BB43809" s="122"/>
      <c r="BC43809" s="141"/>
    </row>
    <row r="43810">
      <c r="BB43810" s="122"/>
      <c r="BC43810" s="141"/>
    </row>
    <row r="43811">
      <c r="BB43811" s="122"/>
      <c r="BC43811" s="141"/>
    </row>
    <row r="43812">
      <c r="BB43812" s="122"/>
      <c r="BC43812" s="141"/>
    </row>
    <row r="43813">
      <c r="BB43813" s="122"/>
      <c r="BC43813" s="141"/>
    </row>
    <row r="43814">
      <c r="BB43814" s="122"/>
      <c r="BC43814" s="141"/>
    </row>
    <row r="43815">
      <c r="BB43815" s="122"/>
      <c r="BC43815" s="141"/>
    </row>
    <row r="43816">
      <c r="BB43816" s="122"/>
      <c r="BC43816" s="141"/>
    </row>
    <row r="43817">
      <c r="BB43817" s="122"/>
      <c r="BC43817" s="141"/>
    </row>
    <row r="43818">
      <c r="BB43818" s="122"/>
      <c r="BC43818" s="141"/>
    </row>
    <row r="43819">
      <c r="BB43819" s="122"/>
      <c r="BC43819" s="141"/>
    </row>
    <row r="43820">
      <c r="BB43820" s="122"/>
      <c r="BC43820" s="141"/>
    </row>
    <row r="43821">
      <c r="BB43821" s="122"/>
      <c r="BC43821" s="141"/>
    </row>
    <row r="43822">
      <c r="BB43822" s="122"/>
      <c r="BC43822" s="141"/>
    </row>
    <row r="43823">
      <c r="BB43823" s="122"/>
      <c r="BC43823" s="141"/>
    </row>
    <row r="43824">
      <c r="BB43824" s="122"/>
      <c r="BC43824" s="141"/>
    </row>
    <row r="43825">
      <c r="BB43825" s="122"/>
      <c r="BC43825" s="141"/>
    </row>
    <row r="43826">
      <c r="BB43826" s="122"/>
      <c r="BC43826" s="141"/>
    </row>
    <row r="43827">
      <c r="BB43827" s="122"/>
      <c r="BC43827" s="141"/>
    </row>
    <row r="43828">
      <c r="BB43828" s="122"/>
      <c r="BC43828" s="141"/>
    </row>
    <row r="43829">
      <c r="BB43829" s="122"/>
      <c r="BC43829" s="141"/>
    </row>
    <row r="43830">
      <c r="BB43830" s="122"/>
      <c r="BC43830" s="141"/>
    </row>
    <row r="43831">
      <c r="BB43831" s="122"/>
      <c r="BC43831" s="141"/>
    </row>
    <row r="43832">
      <c r="BB43832" s="122"/>
      <c r="BC43832" s="141"/>
    </row>
    <row r="43833">
      <c r="BB43833" s="122"/>
      <c r="BC43833" s="141"/>
    </row>
    <row r="43834">
      <c r="BB43834" s="122"/>
      <c r="BC43834" s="141"/>
    </row>
    <row r="43835">
      <c r="BB43835" s="122"/>
      <c r="BC43835" s="141"/>
    </row>
    <row r="43836">
      <c r="BB43836" s="122"/>
      <c r="BC43836" s="141"/>
    </row>
    <row r="43837">
      <c r="BB43837" s="122"/>
      <c r="BC43837" s="141"/>
    </row>
    <row r="43838">
      <c r="BB43838" s="122"/>
      <c r="BC43838" s="141"/>
    </row>
    <row r="43839">
      <c r="BB43839" s="122"/>
      <c r="BC43839" s="141"/>
    </row>
    <row r="43840">
      <c r="BB43840" s="122"/>
      <c r="BC43840" s="141"/>
    </row>
    <row r="43841">
      <c r="BB43841" s="122"/>
      <c r="BC43841" s="141"/>
    </row>
    <row r="43842">
      <c r="BB43842" s="122"/>
      <c r="BC43842" s="141"/>
    </row>
    <row r="43843">
      <c r="BB43843" s="122"/>
      <c r="BC43843" s="141"/>
    </row>
    <row r="43844">
      <c r="BB43844" s="122"/>
      <c r="BC43844" s="141"/>
    </row>
    <row r="43845">
      <c r="BB43845" s="122"/>
      <c r="BC43845" s="141"/>
    </row>
    <row r="43846">
      <c r="BB43846" s="122"/>
      <c r="BC43846" s="141"/>
    </row>
    <row r="43847">
      <c r="BB43847" s="122"/>
      <c r="BC43847" s="141"/>
    </row>
    <row r="43848">
      <c r="BB43848" s="122"/>
      <c r="BC43848" s="141"/>
    </row>
    <row r="43849">
      <c r="BB43849" s="122"/>
      <c r="BC43849" s="141"/>
    </row>
    <row r="43850">
      <c r="BB43850" s="122"/>
      <c r="BC43850" s="141"/>
    </row>
    <row r="43851">
      <c r="BB43851" s="122"/>
      <c r="BC43851" s="141"/>
    </row>
    <row r="43852">
      <c r="BB43852" s="122"/>
      <c r="BC43852" s="141"/>
    </row>
    <row r="43853">
      <c r="BB43853" s="122"/>
      <c r="BC43853" s="141"/>
    </row>
    <row r="43854">
      <c r="BB43854" s="122"/>
      <c r="BC43854" s="141"/>
    </row>
    <row r="43855">
      <c r="BB43855" s="122"/>
      <c r="BC43855" s="141"/>
    </row>
    <row r="43856">
      <c r="BB43856" s="122"/>
      <c r="BC43856" s="141"/>
    </row>
    <row r="43857">
      <c r="BB43857" s="122"/>
      <c r="BC43857" s="141"/>
    </row>
    <row r="43858">
      <c r="BB43858" s="122"/>
      <c r="BC43858" s="141"/>
    </row>
    <row r="43859">
      <c r="BB43859" s="122"/>
      <c r="BC43859" s="141"/>
    </row>
    <row r="43860">
      <c r="BB43860" s="122"/>
      <c r="BC43860" s="141"/>
    </row>
    <row r="43861">
      <c r="BB43861" s="122"/>
      <c r="BC43861" s="141"/>
    </row>
    <row r="43862">
      <c r="BB43862" s="122"/>
      <c r="BC43862" s="141"/>
    </row>
    <row r="43863">
      <c r="BB43863" s="122"/>
      <c r="BC43863" s="141"/>
    </row>
    <row r="43864">
      <c r="BB43864" s="122"/>
      <c r="BC43864" s="141"/>
    </row>
    <row r="43865">
      <c r="BB43865" s="122"/>
      <c r="BC43865" s="141"/>
    </row>
    <row r="43866">
      <c r="BB43866" s="122"/>
      <c r="BC43866" s="141"/>
    </row>
    <row r="43867">
      <c r="BB43867" s="122"/>
      <c r="BC43867" s="141"/>
    </row>
    <row r="43868">
      <c r="BB43868" s="122"/>
      <c r="BC43868" s="141"/>
    </row>
    <row r="43869">
      <c r="BB43869" s="122"/>
      <c r="BC43869" s="141"/>
    </row>
    <row r="43870">
      <c r="BB43870" s="122"/>
      <c r="BC43870" s="141"/>
    </row>
    <row r="43871">
      <c r="BB43871" s="122"/>
      <c r="BC43871" s="141"/>
    </row>
    <row r="43872">
      <c r="BB43872" s="122"/>
      <c r="BC43872" s="141"/>
    </row>
    <row r="43873">
      <c r="BB43873" s="122"/>
      <c r="BC43873" s="141"/>
    </row>
    <row r="43874">
      <c r="BB43874" s="122"/>
      <c r="BC43874" s="141"/>
    </row>
    <row r="43875">
      <c r="BB43875" s="122"/>
      <c r="BC43875" s="141"/>
    </row>
    <row r="43876">
      <c r="BB43876" s="122"/>
      <c r="BC43876" s="141"/>
    </row>
    <row r="43877">
      <c r="BB43877" s="122"/>
      <c r="BC43877" s="141"/>
    </row>
    <row r="43878">
      <c r="BB43878" s="122"/>
      <c r="BC43878" s="141"/>
    </row>
    <row r="43879">
      <c r="BB43879" s="122"/>
      <c r="BC43879" s="141"/>
    </row>
    <row r="43880">
      <c r="BB43880" s="122"/>
      <c r="BC43880" s="141"/>
    </row>
    <row r="43881">
      <c r="BB43881" s="122"/>
      <c r="BC43881" s="141"/>
    </row>
    <row r="43882">
      <c r="BB43882" s="122"/>
      <c r="BC43882" s="141"/>
    </row>
    <row r="43883">
      <c r="BB43883" s="122"/>
      <c r="BC43883" s="141"/>
    </row>
    <row r="43884">
      <c r="BB43884" s="122"/>
      <c r="BC43884" s="141"/>
    </row>
    <row r="43885">
      <c r="BB43885" s="122"/>
      <c r="BC43885" s="141"/>
    </row>
    <row r="43886">
      <c r="BB43886" s="122"/>
      <c r="BC43886" s="141"/>
    </row>
    <row r="43887">
      <c r="BB43887" s="122"/>
      <c r="BC43887" s="141"/>
    </row>
    <row r="43888">
      <c r="BB43888" s="122"/>
      <c r="BC43888" s="141"/>
    </row>
    <row r="43889">
      <c r="BB43889" s="122"/>
      <c r="BC43889" s="141"/>
    </row>
    <row r="43890">
      <c r="BB43890" s="122"/>
      <c r="BC43890" s="141"/>
    </row>
    <row r="43891">
      <c r="BB43891" s="122"/>
      <c r="BC43891" s="141"/>
    </row>
    <row r="43892">
      <c r="BB43892" s="122"/>
      <c r="BC43892" s="141"/>
    </row>
    <row r="43893">
      <c r="BB43893" s="122"/>
      <c r="BC43893" s="141"/>
    </row>
    <row r="43894">
      <c r="BB43894" s="122"/>
      <c r="BC43894" s="141"/>
    </row>
    <row r="43895">
      <c r="BB43895" s="122"/>
      <c r="BC43895" s="141"/>
    </row>
    <row r="43896">
      <c r="BB43896" s="122"/>
      <c r="BC43896" s="141"/>
    </row>
    <row r="43897">
      <c r="BB43897" s="122"/>
      <c r="BC43897" s="141"/>
    </row>
    <row r="43898">
      <c r="BB43898" s="122"/>
      <c r="BC43898" s="141"/>
    </row>
    <row r="43899">
      <c r="BB43899" s="122"/>
      <c r="BC43899" s="141"/>
    </row>
    <row r="43900">
      <c r="BB43900" s="122"/>
      <c r="BC43900" s="141"/>
    </row>
    <row r="43901">
      <c r="BB43901" s="122"/>
      <c r="BC43901" s="141"/>
    </row>
    <row r="43902">
      <c r="BB43902" s="122"/>
      <c r="BC43902" s="141"/>
    </row>
    <row r="43903">
      <c r="BB43903" s="122"/>
      <c r="BC43903" s="141"/>
    </row>
    <row r="43904">
      <c r="BB43904" s="122"/>
      <c r="BC43904" s="141"/>
    </row>
    <row r="43905">
      <c r="BB43905" s="122"/>
      <c r="BC43905" s="141"/>
    </row>
    <row r="43906">
      <c r="BB43906" s="122"/>
      <c r="BC43906" s="141"/>
    </row>
    <row r="43907">
      <c r="BB43907" s="122"/>
      <c r="BC43907" s="141"/>
    </row>
    <row r="43908">
      <c r="BB43908" s="122"/>
      <c r="BC43908" s="141"/>
    </row>
    <row r="43909">
      <c r="BB43909" s="122"/>
      <c r="BC43909" s="141"/>
    </row>
    <row r="43910">
      <c r="BB43910" s="122"/>
      <c r="BC43910" s="141"/>
    </row>
    <row r="43911">
      <c r="BB43911" s="122"/>
      <c r="BC43911" s="141"/>
    </row>
    <row r="43912">
      <c r="BB43912" s="122"/>
      <c r="BC43912" s="141"/>
    </row>
    <row r="43913">
      <c r="BB43913" s="122"/>
      <c r="BC43913" s="141"/>
    </row>
    <row r="43914">
      <c r="BB43914" s="122"/>
      <c r="BC43914" s="141"/>
    </row>
    <row r="43915">
      <c r="BB43915" s="122"/>
      <c r="BC43915" s="141"/>
    </row>
    <row r="43916">
      <c r="BB43916" s="122"/>
      <c r="BC43916" s="141"/>
    </row>
    <row r="43917">
      <c r="BB43917" s="122"/>
      <c r="BC43917" s="141"/>
    </row>
    <row r="43918">
      <c r="BB43918" s="122"/>
      <c r="BC43918" s="141"/>
    </row>
    <row r="43919">
      <c r="BB43919" s="122"/>
      <c r="BC43919" s="141"/>
    </row>
    <row r="43920">
      <c r="BB43920" s="122"/>
      <c r="BC43920" s="141"/>
    </row>
    <row r="43921">
      <c r="BB43921" s="122"/>
      <c r="BC43921" s="141"/>
    </row>
    <row r="43922">
      <c r="BB43922" s="122"/>
      <c r="BC43922" s="141"/>
    </row>
    <row r="43923">
      <c r="BB43923" s="122"/>
      <c r="BC43923" s="141"/>
    </row>
    <row r="43924">
      <c r="BB43924" s="122"/>
      <c r="BC43924" s="141"/>
    </row>
    <row r="43925">
      <c r="BB43925" s="122"/>
      <c r="BC43925" s="141"/>
    </row>
    <row r="43926">
      <c r="BB43926" s="122"/>
      <c r="BC43926" s="141"/>
    </row>
    <row r="43927">
      <c r="BB43927" s="122"/>
      <c r="BC43927" s="141"/>
    </row>
    <row r="43928">
      <c r="BB43928" s="122"/>
      <c r="BC43928" s="141"/>
    </row>
    <row r="43929">
      <c r="BB43929" s="122"/>
      <c r="BC43929" s="141"/>
    </row>
    <row r="43930">
      <c r="BB43930" s="122"/>
      <c r="BC43930" s="141"/>
    </row>
    <row r="43931">
      <c r="BB43931" s="122"/>
      <c r="BC43931" s="141"/>
    </row>
    <row r="43932">
      <c r="BB43932" s="122"/>
      <c r="BC43932" s="141"/>
    </row>
    <row r="43933">
      <c r="BB43933" s="122"/>
      <c r="BC43933" s="141"/>
    </row>
    <row r="43934">
      <c r="BB43934" s="122"/>
      <c r="BC43934" s="141"/>
    </row>
    <row r="43935">
      <c r="BB43935" s="122"/>
      <c r="BC43935" s="141"/>
    </row>
    <row r="43936">
      <c r="BB43936" s="122"/>
      <c r="BC43936" s="141"/>
    </row>
    <row r="43937">
      <c r="BB43937" s="122"/>
      <c r="BC43937" s="141"/>
    </row>
    <row r="43938">
      <c r="BB43938" s="122"/>
      <c r="BC43938" s="141"/>
    </row>
    <row r="43939">
      <c r="BB43939" s="122"/>
      <c r="BC43939" s="141"/>
    </row>
    <row r="43940">
      <c r="BB43940" s="122"/>
      <c r="BC43940" s="141"/>
    </row>
    <row r="43941">
      <c r="BB43941" s="122"/>
      <c r="BC43941" s="141"/>
    </row>
    <row r="43942">
      <c r="BB43942" s="122"/>
      <c r="BC43942" s="141"/>
    </row>
    <row r="43943">
      <c r="BB43943" s="122"/>
      <c r="BC43943" s="141"/>
    </row>
    <row r="43944">
      <c r="BB43944" s="122"/>
      <c r="BC43944" s="141"/>
    </row>
    <row r="43945">
      <c r="BB43945" s="122"/>
      <c r="BC43945" s="141"/>
    </row>
    <row r="43946">
      <c r="BB43946" s="122"/>
      <c r="BC43946" s="141"/>
    </row>
    <row r="43947">
      <c r="BB43947" s="122"/>
      <c r="BC43947" s="141"/>
    </row>
    <row r="43948">
      <c r="BB43948" s="122"/>
      <c r="BC43948" s="141"/>
    </row>
    <row r="43949">
      <c r="BB43949" s="122"/>
      <c r="BC43949" s="141"/>
    </row>
    <row r="43950">
      <c r="BB43950" s="122"/>
      <c r="BC43950" s="141"/>
    </row>
    <row r="43951">
      <c r="BB43951" s="122"/>
      <c r="BC43951" s="141"/>
    </row>
    <row r="43952">
      <c r="BB43952" s="122"/>
      <c r="BC43952" s="141"/>
    </row>
    <row r="43953">
      <c r="BB43953" s="122"/>
      <c r="BC43953" s="141"/>
    </row>
    <row r="43954">
      <c r="BB43954" s="122"/>
      <c r="BC43954" s="141"/>
    </row>
    <row r="43955">
      <c r="BB43955" s="122"/>
      <c r="BC43955" s="141"/>
    </row>
    <row r="43956">
      <c r="BB43956" s="122"/>
      <c r="BC43956" s="141"/>
    </row>
    <row r="43957">
      <c r="BB43957" s="122"/>
      <c r="BC43957" s="141"/>
    </row>
    <row r="43958">
      <c r="BB43958" s="122"/>
      <c r="BC43958" s="141"/>
    </row>
    <row r="43959">
      <c r="BB43959" s="122"/>
      <c r="BC43959" s="141"/>
    </row>
    <row r="43960">
      <c r="BB43960" s="122"/>
      <c r="BC43960" s="141"/>
    </row>
    <row r="43961">
      <c r="BB43961" s="122"/>
      <c r="BC43961" s="141"/>
    </row>
    <row r="43962">
      <c r="BB43962" s="122"/>
      <c r="BC43962" s="141"/>
    </row>
    <row r="43963">
      <c r="BB43963" s="122"/>
      <c r="BC43963" s="141"/>
    </row>
    <row r="43964">
      <c r="BB43964" s="122"/>
      <c r="BC43964" s="141"/>
    </row>
    <row r="43965">
      <c r="BB43965" s="122"/>
      <c r="BC43965" s="141"/>
    </row>
    <row r="43966">
      <c r="BB43966" s="122"/>
      <c r="BC43966" s="141"/>
    </row>
    <row r="43967">
      <c r="BB43967" s="122"/>
      <c r="BC43967" s="141"/>
    </row>
    <row r="43968">
      <c r="BB43968" s="122"/>
      <c r="BC43968" s="141"/>
    </row>
    <row r="43969">
      <c r="BB43969" s="122"/>
      <c r="BC43969" s="141"/>
    </row>
    <row r="43970">
      <c r="BB43970" s="122"/>
      <c r="BC43970" s="141"/>
    </row>
    <row r="43971">
      <c r="BB43971" s="122"/>
      <c r="BC43971" s="141"/>
    </row>
    <row r="43972">
      <c r="BB43972" s="122"/>
      <c r="BC43972" s="141"/>
    </row>
    <row r="43973">
      <c r="BB43973" s="122"/>
      <c r="BC43973" s="141"/>
    </row>
    <row r="43974">
      <c r="BB43974" s="122"/>
      <c r="BC43974" s="141"/>
    </row>
    <row r="43975">
      <c r="BB43975" s="122"/>
      <c r="BC43975" s="141"/>
    </row>
    <row r="43976">
      <c r="BB43976" s="122"/>
      <c r="BC43976" s="141"/>
    </row>
    <row r="43977">
      <c r="BB43977" s="122"/>
      <c r="BC43977" s="141"/>
    </row>
    <row r="43978">
      <c r="BB43978" s="122"/>
      <c r="BC43978" s="141"/>
    </row>
    <row r="43979">
      <c r="BB43979" s="122"/>
      <c r="BC43979" s="141"/>
    </row>
    <row r="43980">
      <c r="BB43980" s="122"/>
      <c r="BC43980" s="141"/>
    </row>
    <row r="43981">
      <c r="BB43981" s="122"/>
      <c r="BC43981" s="141"/>
    </row>
    <row r="43982">
      <c r="BB43982" s="122"/>
      <c r="BC43982" s="141"/>
    </row>
    <row r="43983">
      <c r="BB43983" s="122"/>
      <c r="BC43983" s="141"/>
    </row>
    <row r="43984">
      <c r="BB43984" s="122"/>
      <c r="BC43984" s="141"/>
    </row>
    <row r="43985">
      <c r="BB43985" s="122"/>
      <c r="BC43985" s="141"/>
    </row>
    <row r="43986">
      <c r="BB43986" s="122"/>
      <c r="BC43986" s="141"/>
    </row>
    <row r="43987">
      <c r="BB43987" s="122"/>
      <c r="BC43987" s="141"/>
    </row>
    <row r="43988">
      <c r="BB43988" s="122"/>
      <c r="BC43988" s="141"/>
    </row>
    <row r="43989">
      <c r="BB43989" s="122"/>
      <c r="BC43989" s="141"/>
    </row>
    <row r="43990">
      <c r="BB43990" s="122"/>
      <c r="BC43990" s="141"/>
    </row>
    <row r="43991">
      <c r="BB43991" s="122"/>
      <c r="BC43991" s="141"/>
    </row>
    <row r="43992">
      <c r="BB43992" s="122"/>
      <c r="BC43992" s="141"/>
    </row>
    <row r="43993">
      <c r="BB43993" s="122"/>
      <c r="BC43993" s="141"/>
    </row>
    <row r="43994">
      <c r="BB43994" s="122"/>
      <c r="BC43994" s="141"/>
    </row>
    <row r="43995">
      <c r="BB43995" s="122"/>
      <c r="BC43995" s="141"/>
    </row>
    <row r="43996">
      <c r="BB43996" s="122"/>
      <c r="BC43996" s="141"/>
    </row>
    <row r="43997">
      <c r="BB43997" s="122"/>
      <c r="BC43997" s="141"/>
    </row>
    <row r="43998">
      <c r="BB43998" s="122"/>
      <c r="BC43998" s="141"/>
    </row>
    <row r="43999">
      <c r="BB43999" s="122"/>
      <c r="BC43999" s="141"/>
    </row>
    <row r="44000">
      <c r="BB44000" s="122"/>
      <c r="BC44000" s="141"/>
    </row>
    <row r="44001">
      <c r="BB44001" s="122"/>
      <c r="BC44001" s="141"/>
    </row>
    <row r="44002">
      <c r="BB44002" s="122"/>
      <c r="BC44002" s="141"/>
    </row>
    <row r="44003">
      <c r="BB44003" s="122"/>
      <c r="BC44003" s="141"/>
    </row>
    <row r="44004">
      <c r="BB44004" s="122"/>
      <c r="BC44004" s="141"/>
    </row>
    <row r="44005">
      <c r="BB44005" s="122"/>
      <c r="BC44005" s="141"/>
    </row>
    <row r="44006">
      <c r="BB44006" s="122"/>
      <c r="BC44006" s="141"/>
    </row>
    <row r="44007">
      <c r="BB44007" s="122"/>
      <c r="BC44007" s="141"/>
    </row>
    <row r="44008">
      <c r="BB44008" s="122"/>
      <c r="BC44008" s="141"/>
    </row>
    <row r="44009">
      <c r="BB44009" s="122"/>
      <c r="BC44009" s="141"/>
    </row>
    <row r="44010">
      <c r="BB44010" s="122"/>
      <c r="BC44010" s="141"/>
    </row>
    <row r="44011">
      <c r="BB44011" s="122"/>
      <c r="BC44011" s="141"/>
    </row>
    <row r="44012">
      <c r="BB44012" s="122"/>
      <c r="BC44012" s="141"/>
    </row>
    <row r="44013">
      <c r="BB44013" s="122"/>
      <c r="BC44013" s="141"/>
    </row>
    <row r="44014">
      <c r="BB44014" s="122"/>
      <c r="BC44014" s="141"/>
    </row>
    <row r="44015">
      <c r="BB44015" s="122"/>
      <c r="BC44015" s="141"/>
    </row>
    <row r="44016">
      <c r="BB44016" s="122"/>
      <c r="BC44016" s="141"/>
    </row>
    <row r="44017">
      <c r="BB44017" s="122"/>
      <c r="BC44017" s="141"/>
    </row>
    <row r="44018">
      <c r="BB44018" s="122"/>
      <c r="BC44018" s="141"/>
    </row>
    <row r="44019">
      <c r="BB44019" s="122"/>
      <c r="BC44019" s="141"/>
    </row>
    <row r="44020">
      <c r="BB44020" s="122"/>
      <c r="BC44020" s="141"/>
    </row>
    <row r="44021">
      <c r="BB44021" s="122"/>
      <c r="BC44021" s="141"/>
    </row>
    <row r="44022">
      <c r="BB44022" s="122"/>
      <c r="BC44022" s="141"/>
    </row>
    <row r="44023">
      <c r="BB44023" s="122"/>
      <c r="BC44023" s="141"/>
    </row>
    <row r="44024">
      <c r="BB44024" s="122"/>
      <c r="BC44024" s="141"/>
    </row>
    <row r="44025">
      <c r="BB44025" s="122"/>
      <c r="BC44025" s="141"/>
    </row>
    <row r="44026">
      <c r="BB44026" s="122"/>
      <c r="BC44026" s="141"/>
    </row>
    <row r="44027">
      <c r="BB44027" s="122"/>
      <c r="BC44027" s="141"/>
    </row>
    <row r="44028">
      <c r="BB44028" s="122"/>
      <c r="BC44028" s="141"/>
    </row>
    <row r="44029">
      <c r="BB44029" s="122"/>
      <c r="BC44029" s="141"/>
    </row>
    <row r="44030">
      <c r="BB44030" s="122"/>
      <c r="BC44030" s="141"/>
    </row>
    <row r="44031">
      <c r="BB44031" s="122"/>
      <c r="BC44031" s="141"/>
    </row>
    <row r="44032">
      <c r="BB44032" s="122"/>
      <c r="BC44032" s="141"/>
    </row>
    <row r="44033">
      <c r="BB44033" s="122"/>
      <c r="BC44033" s="141"/>
    </row>
    <row r="44034">
      <c r="BB44034" s="122"/>
      <c r="BC44034" s="141"/>
    </row>
    <row r="44035">
      <c r="BB44035" s="122"/>
      <c r="BC44035" s="141"/>
    </row>
    <row r="44036">
      <c r="BB44036" s="122"/>
      <c r="BC44036" s="141"/>
    </row>
    <row r="44037">
      <c r="BB44037" s="122"/>
      <c r="BC44037" s="141"/>
    </row>
    <row r="44038">
      <c r="BB44038" s="122"/>
      <c r="BC44038" s="141"/>
    </row>
    <row r="44039">
      <c r="BB44039" s="122"/>
      <c r="BC44039" s="141"/>
    </row>
    <row r="44040">
      <c r="BB44040" s="122"/>
      <c r="BC44040" s="141"/>
    </row>
    <row r="44041">
      <c r="BB44041" s="122"/>
      <c r="BC44041" s="141"/>
    </row>
    <row r="44042">
      <c r="BB44042" s="122"/>
      <c r="BC44042" s="141"/>
    </row>
    <row r="44043">
      <c r="BB44043" s="122"/>
      <c r="BC44043" s="141"/>
    </row>
    <row r="44044">
      <c r="BB44044" s="122"/>
      <c r="BC44044" s="141"/>
    </row>
    <row r="44045">
      <c r="BB44045" s="122"/>
      <c r="BC44045" s="141"/>
    </row>
    <row r="44046">
      <c r="BB44046" s="122"/>
      <c r="BC44046" s="141"/>
    </row>
    <row r="44047">
      <c r="BB44047" s="122"/>
      <c r="BC44047" s="141"/>
    </row>
    <row r="44048">
      <c r="BB44048" s="122"/>
      <c r="BC44048" s="141"/>
    </row>
    <row r="44049">
      <c r="BB44049" s="122"/>
      <c r="BC44049" s="141"/>
    </row>
    <row r="44050">
      <c r="BB44050" s="122"/>
      <c r="BC44050" s="141"/>
    </row>
    <row r="44051">
      <c r="BB44051" s="122"/>
      <c r="BC44051" s="141"/>
    </row>
    <row r="44052">
      <c r="BB44052" s="122"/>
      <c r="BC44052" s="141"/>
    </row>
    <row r="44053">
      <c r="BB44053" s="122"/>
      <c r="BC44053" s="141"/>
    </row>
    <row r="44054">
      <c r="BB44054" s="122"/>
      <c r="BC44054" s="141"/>
    </row>
    <row r="44055">
      <c r="BB44055" s="122"/>
      <c r="BC44055" s="141"/>
    </row>
    <row r="44056">
      <c r="BB44056" s="122"/>
      <c r="BC44056" s="141"/>
    </row>
    <row r="44057">
      <c r="BB44057" s="122"/>
      <c r="BC44057" s="141"/>
    </row>
    <row r="44058">
      <c r="BB44058" s="122"/>
      <c r="BC44058" s="141"/>
    </row>
    <row r="44059">
      <c r="BB44059" s="122"/>
      <c r="BC44059" s="141"/>
    </row>
    <row r="44060">
      <c r="BB44060" s="122"/>
      <c r="BC44060" s="141"/>
    </row>
    <row r="44061">
      <c r="BB44061" s="122"/>
      <c r="BC44061" s="141"/>
    </row>
    <row r="44062">
      <c r="BB44062" s="122"/>
      <c r="BC44062" s="141"/>
    </row>
    <row r="44063">
      <c r="BB44063" s="122"/>
      <c r="BC44063" s="141"/>
    </row>
    <row r="44064">
      <c r="BB44064" s="122"/>
      <c r="BC44064" s="141"/>
    </row>
    <row r="44065">
      <c r="BB44065" s="122"/>
      <c r="BC44065" s="141"/>
    </row>
    <row r="44066">
      <c r="BB44066" s="122"/>
      <c r="BC44066" s="141"/>
    </row>
    <row r="44067">
      <c r="BB44067" s="122"/>
      <c r="BC44067" s="141"/>
    </row>
    <row r="44068">
      <c r="BB44068" s="122"/>
      <c r="BC44068" s="141"/>
    </row>
    <row r="44069">
      <c r="BB44069" s="122"/>
      <c r="BC44069" s="141"/>
    </row>
    <row r="44070">
      <c r="BB44070" s="122"/>
      <c r="BC44070" s="141"/>
    </row>
    <row r="44071">
      <c r="BB44071" s="122"/>
      <c r="BC44071" s="141"/>
    </row>
    <row r="44072">
      <c r="BB44072" s="122"/>
      <c r="BC44072" s="141"/>
    </row>
    <row r="44073">
      <c r="BB44073" s="122"/>
      <c r="BC44073" s="141"/>
    </row>
    <row r="44074">
      <c r="BB44074" s="122"/>
      <c r="BC44074" s="141"/>
    </row>
    <row r="44075">
      <c r="BB44075" s="122"/>
      <c r="BC44075" s="141"/>
    </row>
    <row r="44076">
      <c r="BB44076" s="122"/>
      <c r="BC44076" s="141"/>
    </row>
    <row r="44077">
      <c r="BB44077" s="122"/>
      <c r="BC44077" s="141"/>
    </row>
    <row r="44078">
      <c r="BB44078" s="122"/>
      <c r="BC44078" s="141"/>
    </row>
    <row r="44079">
      <c r="BB44079" s="122"/>
      <c r="BC44079" s="141"/>
    </row>
    <row r="44080">
      <c r="BB44080" s="122"/>
      <c r="BC44080" s="141"/>
    </row>
    <row r="44081">
      <c r="BB44081" s="122"/>
      <c r="BC44081" s="141"/>
    </row>
    <row r="44082">
      <c r="BB44082" s="122"/>
      <c r="BC44082" s="141"/>
    </row>
    <row r="44083">
      <c r="BB44083" s="122"/>
      <c r="BC44083" s="141"/>
    </row>
    <row r="44084">
      <c r="BB44084" s="122"/>
      <c r="BC44084" s="141"/>
    </row>
    <row r="44085">
      <c r="BB44085" s="122"/>
      <c r="BC44085" s="141"/>
    </row>
    <row r="44086">
      <c r="BB44086" s="122"/>
      <c r="BC44086" s="141"/>
    </row>
    <row r="44087">
      <c r="BB44087" s="122"/>
      <c r="BC44087" s="141"/>
    </row>
    <row r="44088">
      <c r="BB44088" s="122"/>
      <c r="BC44088" s="141"/>
    </row>
    <row r="44089">
      <c r="BB44089" s="122"/>
      <c r="BC44089" s="141"/>
    </row>
    <row r="44090">
      <c r="BB44090" s="122"/>
      <c r="BC44090" s="141"/>
    </row>
    <row r="44091">
      <c r="BB44091" s="122"/>
      <c r="BC44091" s="141"/>
    </row>
    <row r="44092">
      <c r="BB44092" s="122"/>
      <c r="BC44092" s="141"/>
    </row>
    <row r="44093">
      <c r="BB44093" s="122"/>
      <c r="BC44093" s="141"/>
    </row>
    <row r="44094">
      <c r="BB44094" s="122"/>
      <c r="BC44094" s="141"/>
    </row>
    <row r="44095">
      <c r="BB44095" s="122"/>
      <c r="BC44095" s="141"/>
    </row>
    <row r="44096">
      <c r="BB44096" s="122"/>
      <c r="BC44096" s="141"/>
    </row>
    <row r="44097">
      <c r="BB44097" s="122"/>
      <c r="BC44097" s="141"/>
    </row>
    <row r="44098">
      <c r="BB44098" s="122"/>
      <c r="BC44098" s="141"/>
    </row>
    <row r="44099">
      <c r="BB44099" s="122"/>
      <c r="BC44099" s="141"/>
    </row>
    <row r="44100">
      <c r="BB44100" s="122"/>
      <c r="BC44100" s="141"/>
    </row>
    <row r="44101">
      <c r="BB44101" s="122"/>
      <c r="BC44101" s="141"/>
    </row>
    <row r="44102">
      <c r="BB44102" s="122"/>
      <c r="BC44102" s="141"/>
    </row>
    <row r="44103">
      <c r="BB44103" s="122"/>
      <c r="BC44103" s="141"/>
    </row>
    <row r="44104">
      <c r="BB44104" s="122"/>
      <c r="BC44104" s="141"/>
    </row>
    <row r="44105">
      <c r="BB44105" s="122"/>
      <c r="BC44105" s="141"/>
    </row>
    <row r="44106">
      <c r="BB44106" s="122"/>
      <c r="BC44106" s="141"/>
    </row>
    <row r="44107">
      <c r="BB44107" s="122"/>
      <c r="BC44107" s="141"/>
    </row>
    <row r="44108">
      <c r="BB44108" s="122"/>
      <c r="BC44108" s="141"/>
    </row>
    <row r="44109">
      <c r="BB44109" s="122"/>
      <c r="BC44109" s="141"/>
    </row>
    <row r="44110">
      <c r="BB44110" s="122"/>
      <c r="BC44110" s="141"/>
    </row>
    <row r="44111">
      <c r="BB44111" s="122"/>
      <c r="BC44111" s="141"/>
    </row>
    <row r="44112">
      <c r="BB44112" s="122"/>
      <c r="BC44112" s="141"/>
    </row>
    <row r="44113">
      <c r="BB44113" s="122"/>
      <c r="BC44113" s="141"/>
    </row>
    <row r="44114">
      <c r="BB44114" s="122"/>
      <c r="BC44114" s="141"/>
    </row>
    <row r="44115">
      <c r="BB44115" s="122"/>
      <c r="BC44115" s="141"/>
    </row>
    <row r="44116">
      <c r="BB44116" s="122"/>
      <c r="BC44116" s="141"/>
    </row>
    <row r="44117">
      <c r="BB44117" s="122"/>
      <c r="BC44117" s="141"/>
    </row>
    <row r="44118">
      <c r="BB44118" s="122"/>
      <c r="BC44118" s="141"/>
    </row>
    <row r="44119">
      <c r="BB44119" s="122"/>
      <c r="BC44119" s="141"/>
    </row>
    <row r="44120">
      <c r="BB44120" s="122"/>
      <c r="BC44120" s="141"/>
    </row>
    <row r="44121">
      <c r="BB44121" s="122"/>
      <c r="BC44121" s="141"/>
    </row>
    <row r="44122">
      <c r="BB44122" s="122"/>
      <c r="BC44122" s="141"/>
    </row>
    <row r="44123">
      <c r="BB44123" s="122"/>
      <c r="BC44123" s="141"/>
    </row>
    <row r="44124">
      <c r="BB44124" s="122"/>
      <c r="BC44124" s="141"/>
    </row>
    <row r="44125">
      <c r="BB44125" s="122"/>
      <c r="BC44125" s="141"/>
    </row>
    <row r="44126">
      <c r="BB44126" s="122"/>
      <c r="BC44126" s="141"/>
    </row>
    <row r="44127">
      <c r="BB44127" s="122"/>
      <c r="BC44127" s="141"/>
    </row>
    <row r="44128">
      <c r="BB44128" s="122"/>
      <c r="BC44128" s="141"/>
    </row>
    <row r="44129">
      <c r="BB44129" s="122"/>
      <c r="BC44129" s="141"/>
    </row>
    <row r="44130">
      <c r="BB44130" s="122"/>
      <c r="BC44130" s="141"/>
    </row>
    <row r="44131">
      <c r="BB44131" s="122"/>
      <c r="BC44131" s="141"/>
    </row>
    <row r="44132">
      <c r="BB44132" s="122"/>
      <c r="BC44132" s="141"/>
    </row>
    <row r="44133">
      <c r="BB44133" s="122"/>
      <c r="BC44133" s="141"/>
    </row>
    <row r="44134">
      <c r="BB44134" s="122"/>
      <c r="BC44134" s="141"/>
    </row>
    <row r="44135">
      <c r="BB44135" s="122"/>
      <c r="BC44135" s="141"/>
    </row>
    <row r="44136">
      <c r="BB44136" s="122"/>
      <c r="BC44136" s="141"/>
    </row>
    <row r="44137">
      <c r="BB44137" s="122"/>
      <c r="BC44137" s="141"/>
    </row>
    <row r="44138">
      <c r="BB44138" s="122"/>
      <c r="BC44138" s="141"/>
    </row>
    <row r="44139">
      <c r="BB44139" s="122"/>
      <c r="BC44139" s="141"/>
    </row>
    <row r="44140">
      <c r="BB44140" s="122"/>
      <c r="BC44140" s="141"/>
    </row>
    <row r="44141">
      <c r="BB44141" s="122"/>
      <c r="BC44141" s="141"/>
    </row>
    <row r="44142">
      <c r="BB44142" s="122"/>
      <c r="BC44142" s="141"/>
    </row>
    <row r="44143">
      <c r="BB44143" s="122"/>
      <c r="BC44143" s="141"/>
    </row>
    <row r="44144">
      <c r="BB44144" s="122"/>
      <c r="BC44144" s="141"/>
    </row>
    <row r="44145">
      <c r="BB44145" s="122"/>
      <c r="BC44145" s="141"/>
    </row>
    <row r="44146">
      <c r="BB44146" s="122"/>
      <c r="BC44146" s="141"/>
    </row>
    <row r="44147">
      <c r="BB44147" s="122"/>
      <c r="BC44147" s="141"/>
    </row>
    <row r="44148">
      <c r="BB44148" s="122"/>
      <c r="BC44148" s="141"/>
    </row>
    <row r="44149">
      <c r="BB44149" s="122"/>
      <c r="BC44149" s="141"/>
    </row>
    <row r="44150">
      <c r="BB44150" s="122"/>
      <c r="BC44150" s="141"/>
    </row>
    <row r="44151">
      <c r="BB44151" s="122"/>
      <c r="BC44151" s="141"/>
    </row>
    <row r="44152">
      <c r="BB44152" s="122"/>
      <c r="BC44152" s="141"/>
    </row>
    <row r="44153">
      <c r="BB44153" s="122"/>
      <c r="BC44153" s="141"/>
    </row>
    <row r="44154">
      <c r="BB44154" s="122"/>
      <c r="BC44154" s="141"/>
    </row>
    <row r="44155">
      <c r="BB44155" s="122"/>
      <c r="BC44155" s="141"/>
    </row>
    <row r="44156">
      <c r="BB44156" s="122"/>
      <c r="BC44156" s="141"/>
    </row>
    <row r="44157">
      <c r="BB44157" s="122"/>
      <c r="BC44157" s="141"/>
    </row>
    <row r="44158">
      <c r="BB44158" s="122"/>
      <c r="BC44158" s="141"/>
    </row>
    <row r="44159">
      <c r="BB44159" s="122"/>
      <c r="BC44159" s="141"/>
    </row>
    <row r="44160">
      <c r="BB44160" s="122"/>
      <c r="BC44160" s="141"/>
    </row>
    <row r="44161">
      <c r="BB44161" s="122"/>
      <c r="BC44161" s="141"/>
    </row>
    <row r="44162">
      <c r="BB44162" s="122"/>
      <c r="BC44162" s="141"/>
    </row>
    <row r="44163">
      <c r="BB44163" s="122"/>
      <c r="BC44163" s="141"/>
    </row>
    <row r="44164">
      <c r="BB44164" s="122"/>
      <c r="BC44164" s="141"/>
    </row>
    <row r="44165">
      <c r="BB44165" s="122"/>
      <c r="BC44165" s="141"/>
    </row>
    <row r="44166">
      <c r="BB44166" s="122"/>
      <c r="BC44166" s="141"/>
    </row>
    <row r="44167">
      <c r="BB44167" s="122"/>
      <c r="BC44167" s="141"/>
    </row>
    <row r="44168">
      <c r="BB44168" s="122"/>
      <c r="BC44168" s="141"/>
    </row>
    <row r="44169">
      <c r="BB44169" s="122"/>
      <c r="BC44169" s="141"/>
    </row>
    <row r="44170">
      <c r="BB44170" s="122"/>
      <c r="BC44170" s="141"/>
    </row>
    <row r="44171">
      <c r="BB44171" s="122"/>
      <c r="BC44171" s="141"/>
    </row>
    <row r="44172">
      <c r="BB44172" s="122"/>
      <c r="BC44172" s="141"/>
    </row>
    <row r="44173">
      <c r="BB44173" s="122"/>
      <c r="BC44173" s="141"/>
    </row>
    <row r="44174">
      <c r="BB44174" s="122"/>
      <c r="BC44174" s="141"/>
    </row>
    <row r="44175">
      <c r="BB44175" s="122"/>
      <c r="BC44175" s="141"/>
    </row>
    <row r="44176">
      <c r="BB44176" s="122"/>
      <c r="BC44176" s="141"/>
    </row>
    <row r="44177">
      <c r="BB44177" s="122"/>
      <c r="BC44177" s="141"/>
    </row>
    <row r="44178">
      <c r="BB44178" s="122"/>
      <c r="BC44178" s="141"/>
    </row>
    <row r="44179">
      <c r="BB44179" s="122"/>
      <c r="BC44179" s="141"/>
    </row>
    <row r="44180">
      <c r="BB44180" s="122"/>
      <c r="BC44180" s="141"/>
    </row>
    <row r="44181">
      <c r="BB44181" s="122"/>
      <c r="BC44181" s="141"/>
    </row>
    <row r="44182">
      <c r="BB44182" s="122"/>
      <c r="BC44182" s="141"/>
    </row>
    <row r="44183">
      <c r="BB44183" s="122"/>
      <c r="BC44183" s="141"/>
    </row>
    <row r="44184">
      <c r="BB44184" s="122"/>
      <c r="BC44184" s="141"/>
    </row>
    <row r="44185">
      <c r="BB44185" s="122"/>
      <c r="BC44185" s="141"/>
    </row>
    <row r="44186">
      <c r="BB44186" s="122"/>
      <c r="BC44186" s="141"/>
    </row>
    <row r="44187">
      <c r="BB44187" s="122"/>
      <c r="BC44187" s="141"/>
    </row>
    <row r="44188">
      <c r="BB44188" s="122"/>
      <c r="BC44188" s="141"/>
    </row>
    <row r="44189">
      <c r="BB44189" s="122"/>
      <c r="BC44189" s="141"/>
    </row>
    <row r="44190">
      <c r="BB44190" s="122"/>
      <c r="BC44190" s="141"/>
    </row>
    <row r="44191">
      <c r="BB44191" s="122"/>
      <c r="BC44191" s="141"/>
    </row>
    <row r="44192">
      <c r="BB44192" s="122"/>
      <c r="BC44192" s="141"/>
    </row>
    <row r="44193">
      <c r="BB44193" s="122"/>
      <c r="BC44193" s="141"/>
    </row>
    <row r="44194">
      <c r="BB44194" s="122"/>
      <c r="BC44194" s="141"/>
    </row>
    <row r="44195">
      <c r="BB44195" s="122"/>
      <c r="BC44195" s="141"/>
    </row>
    <row r="44196">
      <c r="BB44196" s="122"/>
      <c r="BC44196" s="141"/>
    </row>
    <row r="44197">
      <c r="BB44197" s="122"/>
      <c r="BC44197" s="141"/>
    </row>
    <row r="44198">
      <c r="BB44198" s="122"/>
      <c r="BC44198" s="141"/>
    </row>
    <row r="44199">
      <c r="BB44199" s="122"/>
      <c r="BC44199" s="141"/>
    </row>
    <row r="44200">
      <c r="BB44200" s="122"/>
      <c r="BC44200" s="141"/>
    </row>
    <row r="44201">
      <c r="BB44201" s="122"/>
      <c r="BC44201" s="141"/>
    </row>
    <row r="44202">
      <c r="BB44202" s="122"/>
      <c r="BC44202" s="141"/>
    </row>
    <row r="44203">
      <c r="BB44203" s="122"/>
      <c r="BC44203" s="141"/>
    </row>
    <row r="44204">
      <c r="BB44204" s="122"/>
      <c r="BC44204" s="141"/>
    </row>
    <row r="44205">
      <c r="BB44205" s="122"/>
      <c r="BC44205" s="141"/>
    </row>
    <row r="44206">
      <c r="BB44206" s="122"/>
      <c r="BC44206" s="141"/>
    </row>
    <row r="44207">
      <c r="BB44207" s="122"/>
      <c r="BC44207" s="141"/>
    </row>
    <row r="44208">
      <c r="BB44208" s="122"/>
      <c r="BC44208" s="141"/>
    </row>
    <row r="44209">
      <c r="BB44209" s="122"/>
      <c r="BC44209" s="141"/>
    </row>
    <row r="44210">
      <c r="BB44210" s="122"/>
      <c r="BC44210" s="141"/>
    </row>
    <row r="44211">
      <c r="BB44211" s="122"/>
      <c r="BC44211" s="141"/>
    </row>
    <row r="44212">
      <c r="BB44212" s="122"/>
      <c r="BC44212" s="141"/>
    </row>
    <row r="44213">
      <c r="BB44213" s="122"/>
      <c r="BC44213" s="141"/>
    </row>
    <row r="44214">
      <c r="BB44214" s="122"/>
      <c r="BC44214" s="141"/>
    </row>
    <row r="44215">
      <c r="BB44215" s="122"/>
      <c r="BC44215" s="141"/>
    </row>
    <row r="44216">
      <c r="BB44216" s="122"/>
      <c r="BC44216" s="141"/>
    </row>
    <row r="44217">
      <c r="BB44217" s="122"/>
      <c r="BC44217" s="141"/>
    </row>
    <row r="44218">
      <c r="BB44218" s="122"/>
      <c r="BC44218" s="141"/>
    </row>
    <row r="44219">
      <c r="BB44219" s="122"/>
      <c r="BC44219" s="141"/>
    </row>
    <row r="44220">
      <c r="BB44220" s="122"/>
      <c r="BC44220" s="141"/>
    </row>
    <row r="44221">
      <c r="BB44221" s="122"/>
      <c r="BC44221" s="141"/>
    </row>
    <row r="44222">
      <c r="BB44222" s="122"/>
      <c r="BC44222" s="141"/>
    </row>
    <row r="44223">
      <c r="BB44223" s="122"/>
      <c r="BC44223" s="141"/>
    </row>
    <row r="44224">
      <c r="BB44224" s="122"/>
      <c r="BC44224" s="141"/>
    </row>
    <row r="44225">
      <c r="BB44225" s="122"/>
      <c r="BC44225" s="141"/>
    </row>
    <row r="44226">
      <c r="BB44226" s="122"/>
      <c r="BC44226" s="141"/>
    </row>
    <row r="44227">
      <c r="BB44227" s="122"/>
      <c r="BC44227" s="141"/>
    </row>
    <row r="44228">
      <c r="BB44228" s="122"/>
      <c r="BC44228" s="141"/>
    </row>
    <row r="44229">
      <c r="BB44229" s="122"/>
      <c r="BC44229" s="141"/>
    </row>
    <row r="44230">
      <c r="BB44230" s="122"/>
      <c r="BC44230" s="141"/>
    </row>
    <row r="44231">
      <c r="BB44231" s="122"/>
      <c r="BC44231" s="141"/>
    </row>
    <row r="44232">
      <c r="BB44232" s="122"/>
      <c r="BC44232" s="141"/>
    </row>
    <row r="44233">
      <c r="BB44233" s="122"/>
      <c r="BC44233" s="141"/>
    </row>
    <row r="44234">
      <c r="BB44234" s="122"/>
      <c r="BC44234" s="141"/>
    </row>
    <row r="44235">
      <c r="BB44235" s="122"/>
      <c r="BC44235" s="141"/>
    </row>
    <row r="44236">
      <c r="BB44236" s="122"/>
      <c r="BC44236" s="141"/>
    </row>
    <row r="44237">
      <c r="BB44237" s="122"/>
      <c r="BC44237" s="141"/>
    </row>
    <row r="44238">
      <c r="BB44238" s="122"/>
      <c r="BC44238" s="141"/>
    </row>
    <row r="44239">
      <c r="BB44239" s="122"/>
      <c r="BC44239" s="141"/>
    </row>
    <row r="44240">
      <c r="BB44240" s="122"/>
      <c r="BC44240" s="141"/>
    </row>
    <row r="44241">
      <c r="BB44241" s="122"/>
      <c r="BC44241" s="141"/>
    </row>
    <row r="44242">
      <c r="BB44242" s="122"/>
      <c r="BC44242" s="141"/>
    </row>
    <row r="44243">
      <c r="BB44243" s="122"/>
      <c r="BC44243" s="141"/>
    </row>
    <row r="44244">
      <c r="BB44244" s="122"/>
      <c r="BC44244" s="141"/>
    </row>
    <row r="44245">
      <c r="BB44245" s="122"/>
      <c r="BC44245" s="141"/>
    </row>
    <row r="44246">
      <c r="BB44246" s="122"/>
      <c r="BC44246" s="141"/>
    </row>
    <row r="44247">
      <c r="BB44247" s="122"/>
      <c r="BC44247" s="141"/>
    </row>
    <row r="44248">
      <c r="BB44248" s="122"/>
      <c r="BC44248" s="141"/>
    </row>
    <row r="44249">
      <c r="BB44249" s="122"/>
      <c r="BC44249" s="141"/>
    </row>
    <row r="44250">
      <c r="BB44250" s="122"/>
      <c r="BC44250" s="141"/>
    </row>
    <row r="44251">
      <c r="BB44251" s="122"/>
      <c r="BC44251" s="141"/>
    </row>
    <row r="44252">
      <c r="BB44252" s="122"/>
      <c r="BC44252" s="141"/>
    </row>
    <row r="44253">
      <c r="BB44253" s="122"/>
      <c r="BC44253" s="141"/>
    </row>
    <row r="44254">
      <c r="BB44254" s="122"/>
      <c r="BC44254" s="141"/>
    </row>
    <row r="44255">
      <c r="BB44255" s="122"/>
      <c r="BC44255" s="141"/>
    </row>
    <row r="44256">
      <c r="BB44256" s="122"/>
      <c r="BC44256" s="141"/>
    </row>
    <row r="44257">
      <c r="BB44257" s="122"/>
      <c r="BC44257" s="141"/>
    </row>
    <row r="44258">
      <c r="BB44258" s="122"/>
      <c r="BC44258" s="141"/>
    </row>
    <row r="44259">
      <c r="BB44259" s="122"/>
      <c r="BC44259" s="141"/>
    </row>
    <row r="44260">
      <c r="BB44260" s="122"/>
      <c r="BC44260" s="141"/>
    </row>
    <row r="44261">
      <c r="BB44261" s="122"/>
      <c r="BC44261" s="141"/>
    </row>
    <row r="44262">
      <c r="BB44262" s="122"/>
      <c r="BC44262" s="141"/>
    </row>
    <row r="44263">
      <c r="BB44263" s="122"/>
      <c r="BC44263" s="141"/>
    </row>
    <row r="44264">
      <c r="BB44264" s="122"/>
      <c r="BC44264" s="141"/>
    </row>
    <row r="44265">
      <c r="BB44265" s="122"/>
      <c r="BC44265" s="141"/>
    </row>
    <row r="44266">
      <c r="BB44266" s="122"/>
      <c r="BC44266" s="141"/>
    </row>
    <row r="44267">
      <c r="BB44267" s="122"/>
      <c r="BC44267" s="141"/>
    </row>
    <row r="44268">
      <c r="BB44268" s="122"/>
      <c r="BC44268" s="141"/>
    </row>
    <row r="44269">
      <c r="BB44269" s="122"/>
      <c r="BC44269" s="141"/>
    </row>
    <row r="44270">
      <c r="BB44270" s="122"/>
      <c r="BC44270" s="141"/>
    </row>
    <row r="44271">
      <c r="BB44271" s="122"/>
      <c r="BC44271" s="141"/>
    </row>
    <row r="44272">
      <c r="BB44272" s="122"/>
      <c r="BC44272" s="141"/>
    </row>
    <row r="44273">
      <c r="BB44273" s="122"/>
      <c r="BC44273" s="141"/>
    </row>
    <row r="44274">
      <c r="BB44274" s="122"/>
      <c r="BC44274" s="141"/>
    </row>
    <row r="44275">
      <c r="BB44275" s="122"/>
      <c r="BC44275" s="141"/>
    </row>
    <row r="44276">
      <c r="BB44276" s="122"/>
      <c r="BC44276" s="141"/>
    </row>
    <row r="44277">
      <c r="BB44277" s="122"/>
      <c r="BC44277" s="141"/>
    </row>
    <row r="44278">
      <c r="BB44278" s="122"/>
      <c r="BC44278" s="141"/>
    </row>
    <row r="44279">
      <c r="BB44279" s="122"/>
      <c r="BC44279" s="141"/>
    </row>
    <row r="44280">
      <c r="BB44280" s="122"/>
      <c r="BC44280" s="141"/>
    </row>
    <row r="44281">
      <c r="BB44281" s="122"/>
      <c r="BC44281" s="141"/>
    </row>
    <row r="44282">
      <c r="BB44282" s="122"/>
      <c r="BC44282" s="141"/>
    </row>
    <row r="44283">
      <c r="BB44283" s="122"/>
      <c r="BC44283" s="141"/>
    </row>
    <row r="44284">
      <c r="BB44284" s="122"/>
      <c r="BC44284" s="141"/>
    </row>
    <row r="44285">
      <c r="BB44285" s="122"/>
      <c r="BC44285" s="141"/>
    </row>
    <row r="44286">
      <c r="BB44286" s="122"/>
      <c r="BC44286" s="141"/>
    </row>
    <row r="44287">
      <c r="BB44287" s="122"/>
      <c r="BC44287" s="141"/>
    </row>
    <row r="44288">
      <c r="BB44288" s="122"/>
      <c r="BC44288" s="141"/>
    </row>
    <row r="44289">
      <c r="BB44289" s="122"/>
      <c r="BC44289" s="141"/>
    </row>
    <row r="44290">
      <c r="BB44290" s="122"/>
      <c r="BC44290" s="141"/>
    </row>
    <row r="44291">
      <c r="BB44291" s="122"/>
      <c r="BC44291" s="141"/>
    </row>
    <row r="44292">
      <c r="BB44292" s="122"/>
      <c r="BC44292" s="141"/>
    </row>
    <row r="44293">
      <c r="BB44293" s="122"/>
      <c r="BC44293" s="141"/>
    </row>
    <row r="44294">
      <c r="BB44294" s="122"/>
      <c r="BC44294" s="141"/>
    </row>
    <row r="44295">
      <c r="BB44295" s="122"/>
      <c r="BC44295" s="141"/>
    </row>
    <row r="44296">
      <c r="BB44296" s="122"/>
      <c r="BC44296" s="141"/>
    </row>
    <row r="44297">
      <c r="BB44297" s="122"/>
      <c r="BC44297" s="141"/>
    </row>
    <row r="44298">
      <c r="BB44298" s="122"/>
      <c r="BC44298" s="141"/>
    </row>
    <row r="44299">
      <c r="BB44299" s="122"/>
      <c r="BC44299" s="141"/>
    </row>
    <row r="44300">
      <c r="BB44300" s="122"/>
      <c r="BC44300" s="141"/>
    </row>
    <row r="44301">
      <c r="BB44301" s="122"/>
      <c r="BC44301" s="141"/>
    </row>
    <row r="44302">
      <c r="BB44302" s="122"/>
      <c r="BC44302" s="141"/>
    </row>
    <row r="44303">
      <c r="BB44303" s="122"/>
      <c r="BC44303" s="141"/>
    </row>
    <row r="44304">
      <c r="BB44304" s="122"/>
      <c r="BC44304" s="141"/>
    </row>
    <row r="44305">
      <c r="BB44305" s="122"/>
      <c r="BC44305" s="141"/>
    </row>
    <row r="44306">
      <c r="BB44306" s="122"/>
      <c r="BC44306" s="141"/>
    </row>
    <row r="44307">
      <c r="BB44307" s="122"/>
      <c r="BC44307" s="141"/>
    </row>
    <row r="44308">
      <c r="BB44308" s="122"/>
      <c r="BC44308" s="141"/>
    </row>
    <row r="44309">
      <c r="BB44309" s="122"/>
      <c r="BC44309" s="141"/>
    </row>
    <row r="44310">
      <c r="BB44310" s="122"/>
      <c r="BC44310" s="141"/>
    </row>
    <row r="44311">
      <c r="BB44311" s="122"/>
      <c r="BC44311" s="141"/>
    </row>
    <row r="44312">
      <c r="BB44312" s="122"/>
      <c r="BC44312" s="141"/>
    </row>
    <row r="44313">
      <c r="BB44313" s="122"/>
      <c r="BC44313" s="141"/>
    </row>
    <row r="44314">
      <c r="BB44314" s="122"/>
      <c r="BC44314" s="141"/>
    </row>
    <row r="44315">
      <c r="BB44315" s="122"/>
      <c r="BC44315" s="141"/>
    </row>
    <row r="44316">
      <c r="BB44316" s="122"/>
      <c r="BC44316" s="141"/>
    </row>
    <row r="44317">
      <c r="BB44317" s="122"/>
      <c r="BC44317" s="141"/>
    </row>
    <row r="44318">
      <c r="BB44318" s="122"/>
      <c r="BC44318" s="141"/>
    </row>
    <row r="44319">
      <c r="BB44319" s="122"/>
      <c r="BC44319" s="141"/>
    </row>
    <row r="44320">
      <c r="BB44320" s="122"/>
      <c r="BC44320" s="141"/>
    </row>
    <row r="44321">
      <c r="BB44321" s="122"/>
      <c r="BC44321" s="141"/>
    </row>
    <row r="44322">
      <c r="BB44322" s="122"/>
      <c r="BC44322" s="141"/>
    </row>
    <row r="44323">
      <c r="BB44323" s="122"/>
      <c r="BC44323" s="141"/>
    </row>
    <row r="44324">
      <c r="BB44324" s="122"/>
      <c r="BC44324" s="141"/>
    </row>
    <row r="44325">
      <c r="BB44325" s="122"/>
      <c r="BC44325" s="141"/>
    </row>
    <row r="44326">
      <c r="BB44326" s="122"/>
      <c r="BC44326" s="141"/>
    </row>
    <row r="44327">
      <c r="BB44327" s="122"/>
      <c r="BC44327" s="141"/>
    </row>
    <row r="44328">
      <c r="BB44328" s="122"/>
      <c r="BC44328" s="141"/>
    </row>
    <row r="44329">
      <c r="BB44329" s="122"/>
      <c r="BC44329" s="141"/>
    </row>
    <row r="44330">
      <c r="BB44330" s="122"/>
      <c r="BC44330" s="141"/>
    </row>
    <row r="44331">
      <c r="BB44331" s="122"/>
      <c r="BC44331" s="141"/>
    </row>
    <row r="44332">
      <c r="BB44332" s="122"/>
      <c r="BC44332" s="141"/>
    </row>
    <row r="44333">
      <c r="BB44333" s="122"/>
      <c r="BC44333" s="141"/>
    </row>
    <row r="44334">
      <c r="BB44334" s="122"/>
      <c r="BC44334" s="141"/>
    </row>
    <row r="44335">
      <c r="BB44335" s="122"/>
      <c r="BC44335" s="141"/>
    </row>
    <row r="44336">
      <c r="BB44336" s="122"/>
      <c r="BC44336" s="141"/>
    </row>
    <row r="44337">
      <c r="BB44337" s="122"/>
      <c r="BC44337" s="141"/>
    </row>
    <row r="44338">
      <c r="BB44338" s="122"/>
      <c r="BC44338" s="141"/>
    </row>
    <row r="44339">
      <c r="BB44339" s="122"/>
      <c r="BC44339" s="141"/>
    </row>
    <row r="44340">
      <c r="BB44340" s="122"/>
      <c r="BC44340" s="141"/>
    </row>
    <row r="44341">
      <c r="BB44341" s="122"/>
      <c r="BC44341" s="141"/>
    </row>
    <row r="44342">
      <c r="BB44342" s="122"/>
      <c r="BC44342" s="141"/>
    </row>
    <row r="44343">
      <c r="BB44343" s="122"/>
      <c r="BC44343" s="141"/>
    </row>
    <row r="44344">
      <c r="BB44344" s="122"/>
      <c r="BC44344" s="141"/>
    </row>
    <row r="44345">
      <c r="BB44345" s="122"/>
      <c r="BC44345" s="141"/>
    </row>
    <row r="44346">
      <c r="BB44346" s="122"/>
      <c r="BC44346" s="141"/>
    </row>
    <row r="44347">
      <c r="BB44347" s="122"/>
      <c r="BC44347" s="141"/>
    </row>
    <row r="44348">
      <c r="BB44348" s="122"/>
      <c r="BC44348" s="141"/>
    </row>
    <row r="44349">
      <c r="BB44349" s="122"/>
      <c r="BC44349" s="141"/>
    </row>
    <row r="44350">
      <c r="BB44350" s="122"/>
      <c r="BC44350" s="141"/>
    </row>
    <row r="44351">
      <c r="BB44351" s="122"/>
      <c r="BC44351" s="141"/>
    </row>
    <row r="44352">
      <c r="BB44352" s="122"/>
      <c r="BC44352" s="141"/>
    </row>
    <row r="44353">
      <c r="BB44353" s="122"/>
      <c r="BC44353" s="141"/>
    </row>
    <row r="44354">
      <c r="BB44354" s="122"/>
      <c r="BC44354" s="141"/>
    </row>
    <row r="44355">
      <c r="BB44355" s="122"/>
      <c r="BC44355" s="141"/>
    </row>
    <row r="44356">
      <c r="BB44356" s="122"/>
      <c r="BC44356" s="141"/>
    </row>
    <row r="44357">
      <c r="BB44357" s="122"/>
      <c r="BC44357" s="141"/>
    </row>
    <row r="44358">
      <c r="BB44358" s="122"/>
      <c r="BC44358" s="141"/>
    </row>
    <row r="44359">
      <c r="BB44359" s="122"/>
      <c r="BC44359" s="141"/>
    </row>
    <row r="44360">
      <c r="BB44360" s="122"/>
      <c r="BC44360" s="141"/>
    </row>
    <row r="44361">
      <c r="BB44361" s="122"/>
      <c r="BC44361" s="141"/>
    </row>
    <row r="44362">
      <c r="BB44362" s="122"/>
      <c r="BC44362" s="141"/>
    </row>
    <row r="44363">
      <c r="BB44363" s="122"/>
      <c r="BC44363" s="141"/>
    </row>
    <row r="44364">
      <c r="BB44364" s="122"/>
      <c r="BC44364" s="141"/>
    </row>
    <row r="44365">
      <c r="BB44365" s="122"/>
      <c r="BC44365" s="141"/>
    </row>
    <row r="44366">
      <c r="BB44366" s="122"/>
      <c r="BC44366" s="141"/>
    </row>
    <row r="44367">
      <c r="BB44367" s="122"/>
      <c r="BC44367" s="141"/>
    </row>
    <row r="44368">
      <c r="BB44368" s="122"/>
      <c r="BC44368" s="141"/>
    </row>
    <row r="44369">
      <c r="BB44369" s="122"/>
      <c r="BC44369" s="141"/>
    </row>
    <row r="44370">
      <c r="BB44370" s="122"/>
      <c r="BC44370" s="141"/>
    </row>
    <row r="44371">
      <c r="BB44371" s="122"/>
      <c r="BC44371" s="141"/>
    </row>
    <row r="44372">
      <c r="BB44372" s="122"/>
      <c r="BC44372" s="141"/>
    </row>
    <row r="44373">
      <c r="BB44373" s="122"/>
      <c r="BC44373" s="141"/>
    </row>
    <row r="44374">
      <c r="BB44374" s="122"/>
      <c r="BC44374" s="141"/>
    </row>
    <row r="44375">
      <c r="BB44375" s="122"/>
      <c r="BC44375" s="141"/>
    </row>
    <row r="44376">
      <c r="BB44376" s="122"/>
      <c r="BC44376" s="141"/>
    </row>
    <row r="44377">
      <c r="BB44377" s="122"/>
      <c r="BC44377" s="141"/>
    </row>
    <row r="44378">
      <c r="BB44378" s="122"/>
      <c r="BC44378" s="141"/>
    </row>
    <row r="44379">
      <c r="BB44379" s="122"/>
      <c r="BC44379" s="141"/>
    </row>
    <row r="44380">
      <c r="BB44380" s="122"/>
      <c r="BC44380" s="141"/>
    </row>
    <row r="44381">
      <c r="BB44381" s="122"/>
      <c r="BC44381" s="141"/>
    </row>
    <row r="44382">
      <c r="BB44382" s="122"/>
      <c r="BC44382" s="141"/>
    </row>
    <row r="44383">
      <c r="BB44383" s="122"/>
      <c r="BC44383" s="141"/>
    </row>
    <row r="44384">
      <c r="BB44384" s="122"/>
      <c r="BC44384" s="141"/>
    </row>
    <row r="44385">
      <c r="BB44385" s="122"/>
      <c r="BC44385" s="141"/>
    </row>
    <row r="44386">
      <c r="BB44386" s="122"/>
      <c r="BC44386" s="141"/>
    </row>
    <row r="44387">
      <c r="BB44387" s="122"/>
      <c r="BC44387" s="141"/>
    </row>
    <row r="44388">
      <c r="BB44388" s="122"/>
      <c r="BC44388" s="141"/>
    </row>
    <row r="44389">
      <c r="BB44389" s="122"/>
      <c r="BC44389" s="141"/>
    </row>
    <row r="44390">
      <c r="BB44390" s="122"/>
      <c r="BC44390" s="141"/>
    </row>
    <row r="44391">
      <c r="BB44391" s="122"/>
      <c r="BC44391" s="141"/>
    </row>
    <row r="44392">
      <c r="BB44392" s="122"/>
      <c r="BC44392" s="141"/>
    </row>
    <row r="44393">
      <c r="BB44393" s="122"/>
      <c r="BC44393" s="141"/>
    </row>
    <row r="44394">
      <c r="BB44394" s="122"/>
      <c r="BC44394" s="141"/>
    </row>
    <row r="44395">
      <c r="BB44395" s="122"/>
      <c r="BC44395" s="141"/>
    </row>
    <row r="44396">
      <c r="BB44396" s="122"/>
      <c r="BC44396" s="141"/>
    </row>
    <row r="44397">
      <c r="BB44397" s="122"/>
      <c r="BC44397" s="141"/>
    </row>
    <row r="44398">
      <c r="BB44398" s="122"/>
      <c r="BC44398" s="141"/>
    </row>
    <row r="44399">
      <c r="BB44399" s="122"/>
      <c r="BC44399" s="141"/>
    </row>
    <row r="44400">
      <c r="BB44400" s="122"/>
      <c r="BC44400" s="141"/>
    </row>
    <row r="44401">
      <c r="BB44401" s="122"/>
      <c r="BC44401" s="141"/>
    </row>
    <row r="44402">
      <c r="BB44402" s="122"/>
      <c r="BC44402" s="141"/>
    </row>
    <row r="44403">
      <c r="BB44403" s="122"/>
      <c r="BC44403" s="141"/>
    </row>
    <row r="44404">
      <c r="BB44404" s="122"/>
      <c r="BC44404" s="141"/>
    </row>
    <row r="44405">
      <c r="BB44405" s="122"/>
      <c r="BC44405" s="141"/>
    </row>
    <row r="44406">
      <c r="BB44406" s="122"/>
      <c r="BC44406" s="141"/>
    </row>
    <row r="44407">
      <c r="BB44407" s="122"/>
      <c r="BC44407" s="141"/>
    </row>
    <row r="44408">
      <c r="BB44408" s="122"/>
      <c r="BC44408" s="141"/>
    </row>
    <row r="44409">
      <c r="BB44409" s="122"/>
      <c r="BC44409" s="141"/>
    </row>
    <row r="44410">
      <c r="BB44410" s="122"/>
      <c r="BC44410" s="141"/>
    </row>
    <row r="44411">
      <c r="BB44411" s="122"/>
      <c r="BC44411" s="141"/>
    </row>
    <row r="44412">
      <c r="BB44412" s="122"/>
      <c r="BC44412" s="141"/>
    </row>
    <row r="44413">
      <c r="BB44413" s="122"/>
      <c r="BC44413" s="141"/>
    </row>
    <row r="44414">
      <c r="BB44414" s="122"/>
      <c r="BC44414" s="141"/>
    </row>
    <row r="44415">
      <c r="BB44415" s="122"/>
      <c r="BC44415" s="141"/>
    </row>
    <row r="44416">
      <c r="BB44416" s="122"/>
      <c r="BC44416" s="141"/>
    </row>
    <row r="44417">
      <c r="BB44417" s="122"/>
      <c r="BC44417" s="141"/>
    </row>
    <row r="44418">
      <c r="BB44418" s="122"/>
      <c r="BC44418" s="141"/>
    </row>
    <row r="44419">
      <c r="BB44419" s="122"/>
      <c r="BC44419" s="141"/>
    </row>
    <row r="44420">
      <c r="BB44420" s="122"/>
      <c r="BC44420" s="141"/>
    </row>
    <row r="44421">
      <c r="BB44421" s="122"/>
      <c r="BC44421" s="141"/>
    </row>
    <row r="44422">
      <c r="BB44422" s="122"/>
      <c r="BC44422" s="141"/>
    </row>
    <row r="44423">
      <c r="BB44423" s="122"/>
      <c r="BC44423" s="141"/>
    </row>
    <row r="44424">
      <c r="BB44424" s="122"/>
      <c r="BC44424" s="141"/>
    </row>
    <row r="44425">
      <c r="BB44425" s="122"/>
      <c r="BC44425" s="141"/>
    </row>
    <row r="44426">
      <c r="BB44426" s="122"/>
      <c r="BC44426" s="141"/>
    </row>
    <row r="44427">
      <c r="BB44427" s="122"/>
      <c r="BC44427" s="141"/>
    </row>
    <row r="44428">
      <c r="BB44428" s="122"/>
      <c r="BC44428" s="141"/>
    </row>
    <row r="44429">
      <c r="BB44429" s="122"/>
      <c r="BC44429" s="141"/>
    </row>
    <row r="44430">
      <c r="BB44430" s="122"/>
      <c r="BC44430" s="141"/>
    </row>
    <row r="44431">
      <c r="BB44431" s="122"/>
      <c r="BC44431" s="141"/>
    </row>
    <row r="44432">
      <c r="BB44432" s="122"/>
      <c r="BC44432" s="141"/>
    </row>
    <row r="44433">
      <c r="BB44433" s="122"/>
      <c r="BC44433" s="141"/>
    </row>
    <row r="44434">
      <c r="BB44434" s="122"/>
      <c r="BC44434" s="141"/>
    </row>
    <row r="44435">
      <c r="BB44435" s="122"/>
      <c r="BC44435" s="141"/>
    </row>
    <row r="44436">
      <c r="BB44436" s="122"/>
      <c r="BC44436" s="141"/>
    </row>
    <row r="44437">
      <c r="BB44437" s="122"/>
      <c r="BC44437" s="141"/>
    </row>
    <row r="44438">
      <c r="BB44438" s="122"/>
      <c r="BC44438" s="141"/>
    </row>
    <row r="44439">
      <c r="BB44439" s="122"/>
      <c r="BC44439" s="141"/>
    </row>
    <row r="44440">
      <c r="BB44440" s="122"/>
      <c r="BC44440" s="141"/>
    </row>
    <row r="44441">
      <c r="BB44441" s="122"/>
      <c r="BC44441" s="141"/>
    </row>
    <row r="44442">
      <c r="BB44442" s="122"/>
      <c r="BC44442" s="141"/>
    </row>
    <row r="44443">
      <c r="BB44443" s="122"/>
      <c r="BC44443" s="141"/>
    </row>
    <row r="44444">
      <c r="BB44444" s="122"/>
      <c r="BC44444" s="141"/>
    </row>
    <row r="44445">
      <c r="BB44445" s="122"/>
      <c r="BC44445" s="141"/>
    </row>
    <row r="44446">
      <c r="BB44446" s="122"/>
      <c r="BC44446" s="141"/>
    </row>
    <row r="44447">
      <c r="BB44447" s="122"/>
      <c r="BC44447" s="141"/>
    </row>
    <row r="44448">
      <c r="BB44448" s="122"/>
      <c r="BC44448" s="141"/>
    </row>
    <row r="44449">
      <c r="BB44449" s="122"/>
      <c r="BC44449" s="141"/>
    </row>
    <row r="44450">
      <c r="BB44450" s="122"/>
      <c r="BC44450" s="141"/>
    </row>
    <row r="44451">
      <c r="BB44451" s="122"/>
      <c r="BC44451" s="141"/>
    </row>
    <row r="44452">
      <c r="BB44452" s="122"/>
      <c r="BC44452" s="141"/>
    </row>
    <row r="44453">
      <c r="BB44453" s="122"/>
      <c r="BC44453" s="141"/>
    </row>
    <row r="44454">
      <c r="BB44454" s="122"/>
      <c r="BC44454" s="141"/>
    </row>
    <row r="44455">
      <c r="BB44455" s="122"/>
      <c r="BC44455" s="141"/>
    </row>
    <row r="44456">
      <c r="BB44456" s="122"/>
      <c r="BC44456" s="141"/>
    </row>
    <row r="44457">
      <c r="BB44457" s="122"/>
      <c r="BC44457" s="141"/>
    </row>
    <row r="44458">
      <c r="BB44458" s="122"/>
      <c r="BC44458" s="141"/>
    </row>
    <row r="44459">
      <c r="BB44459" s="122"/>
      <c r="BC44459" s="141"/>
    </row>
    <row r="44460">
      <c r="BB44460" s="122"/>
      <c r="BC44460" s="141"/>
    </row>
    <row r="44461">
      <c r="BB44461" s="122"/>
      <c r="BC44461" s="141"/>
    </row>
    <row r="44462">
      <c r="BB44462" s="122"/>
      <c r="BC44462" s="141"/>
    </row>
    <row r="44463">
      <c r="BB44463" s="122"/>
      <c r="BC44463" s="141"/>
    </row>
    <row r="44464">
      <c r="BB44464" s="122"/>
      <c r="BC44464" s="141"/>
    </row>
    <row r="44465">
      <c r="BB44465" s="122"/>
      <c r="BC44465" s="141"/>
    </row>
    <row r="44466">
      <c r="BB44466" s="122"/>
      <c r="BC44466" s="141"/>
    </row>
    <row r="44467">
      <c r="BB44467" s="122"/>
      <c r="BC44467" s="141"/>
    </row>
    <row r="44468">
      <c r="BB44468" s="122"/>
      <c r="BC44468" s="141"/>
    </row>
    <row r="44469">
      <c r="BB44469" s="122"/>
      <c r="BC44469" s="141"/>
    </row>
    <row r="44470">
      <c r="BB44470" s="122"/>
      <c r="BC44470" s="141"/>
    </row>
    <row r="44471">
      <c r="BB44471" s="122"/>
      <c r="BC44471" s="141"/>
    </row>
    <row r="44472">
      <c r="BB44472" s="122"/>
      <c r="BC44472" s="141"/>
    </row>
    <row r="44473">
      <c r="BB44473" s="122"/>
      <c r="BC44473" s="141"/>
    </row>
    <row r="44474">
      <c r="BB44474" s="122"/>
      <c r="BC44474" s="141"/>
    </row>
    <row r="44475">
      <c r="BB44475" s="122"/>
      <c r="BC44475" s="141"/>
    </row>
    <row r="44476">
      <c r="BB44476" s="122"/>
      <c r="BC44476" s="141"/>
    </row>
    <row r="44477">
      <c r="BB44477" s="122"/>
      <c r="BC44477" s="141"/>
    </row>
    <row r="44478">
      <c r="BB44478" s="122"/>
      <c r="BC44478" s="141"/>
    </row>
    <row r="44479">
      <c r="BB44479" s="122"/>
      <c r="BC44479" s="141"/>
    </row>
    <row r="44480">
      <c r="BB44480" s="122"/>
      <c r="BC44480" s="141"/>
    </row>
    <row r="44481">
      <c r="BB44481" s="122"/>
      <c r="BC44481" s="141"/>
    </row>
    <row r="44482">
      <c r="BB44482" s="122"/>
      <c r="BC44482" s="141"/>
    </row>
    <row r="44483">
      <c r="BB44483" s="122"/>
      <c r="BC44483" s="141"/>
    </row>
    <row r="44484">
      <c r="BB44484" s="122"/>
      <c r="BC44484" s="141"/>
    </row>
    <row r="44485">
      <c r="BB44485" s="122"/>
      <c r="BC44485" s="141"/>
    </row>
    <row r="44486">
      <c r="BB44486" s="122"/>
      <c r="BC44486" s="141"/>
    </row>
    <row r="44487">
      <c r="BB44487" s="122"/>
      <c r="BC44487" s="141"/>
    </row>
    <row r="44488">
      <c r="BB44488" s="122"/>
      <c r="BC44488" s="141"/>
    </row>
    <row r="44489">
      <c r="BB44489" s="122"/>
      <c r="BC44489" s="141"/>
    </row>
    <row r="44490">
      <c r="BB44490" s="122"/>
      <c r="BC44490" s="141"/>
    </row>
    <row r="44491">
      <c r="BB44491" s="122"/>
      <c r="BC44491" s="141"/>
    </row>
    <row r="44492">
      <c r="BB44492" s="122"/>
      <c r="BC44492" s="141"/>
    </row>
    <row r="44493">
      <c r="BB44493" s="122"/>
      <c r="BC44493" s="141"/>
    </row>
    <row r="44494">
      <c r="BB44494" s="122"/>
      <c r="BC44494" s="141"/>
    </row>
    <row r="44495">
      <c r="BB44495" s="122"/>
      <c r="BC44495" s="141"/>
    </row>
    <row r="44496">
      <c r="BB44496" s="122"/>
      <c r="BC44496" s="141"/>
    </row>
    <row r="44497">
      <c r="BB44497" s="122"/>
      <c r="BC44497" s="141"/>
    </row>
    <row r="44498">
      <c r="BB44498" s="122"/>
      <c r="BC44498" s="141"/>
    </row>
    <row r="44499">
      <c r="BB44499" s="122"/>
      <c r="BC44499" s="141"/>
    </row>
    <row r="44500">
      <c r="BB44500" s="122"/>
      <c r="BC44500" s="141"/>
    </row>
    <row r="44501">
      <c r="BB44501" s="122"/>
      <c r="BC44501" s="141"/>
    </row>
    <row r="44502">
      <c r="BB44502" s="122"/>
      <c r="BC44502" s="141"/>
    </row>
    <row r="44503">
      <c r="BB44503" s="122"/>
      <c r="BC44503" s="141"/>
    </row>
    <row r="44504">
      <c r="BB44504" s="122"/>
      <c r="BC44504" s="141"/>
    </row>
    <row r="44505">
      <c r="BB44505" s="122"/>
      <c r="BC44505" s="141"/>
    </row>
    <row r="44506">
      <c r="BB44506" s="122"/>
      <c r="BC44506" s="141"/>
    </row>
    <row r="44507">
      <c r="BB44507" s="122"/>
      <c r="BC44507" s="141"/>
    </row>
    <row r="44508">
      <c r="BB44508" s="122"/>
      <c r="BC44508" s="141"/>
    </row>
    <row r="44509">
      <c r="BB44509" s="122"/>
      <c r="BC44509" s="141"/>
    </row>
    <row r="44510">
      <c r="BB44510" s="122"/>
      <c r="BC44510" s="141"/>
    </row>
    <row r="44511">
      <c r="BB44511" s="122"/>
      <c r="BC44511" s="141"/>
    </row>
    <row r="44512">
      <c r="BB44512" s="122"/>
      <c r="BC44512" s="141"/>
    </row>
    <row r="44513">
      <c r="BB44513" s="122"/>
      <c r="BC44513" s="141"/>
    </row>
    <row r="44514">
      <c r="BB44514" s="122"/>
      <c r="BC44514" s="141"/>
    </row>
    <row r="44515">
      <c r="BB44515" s="122"/>
      <c r="BC44515" s="141"/>
    </row>
    <row r="44516">
      <c r="BB44516" s="122"/>
      <c r="BC44516" s="141"/>
    </row>
    <row r="44517">
      <c r="BB44517" s="122"/>
      <c r="BC44517" s="141"/>
    </row>
    <row r="44518">
      <c r="BB44518" s="122"/>
      <c r="BC44518" s="141"/>
    </row>
    <row r="44519">
      <c r="BB44519" s="122"/>
      <c r="BC44519" s="141"/>
    </row>
    <row r="44520">
      <c r="BB44520" s="122"/>
      <c r="BC44520" s="141"/>
    </row>
    <row r="44521">
      <c r="BB44521" s="122"/>
      <c r="BC44521" s="141"/>
    </row>
    <row r="44522">
      <c r="BB44522" s="122"/>
      <c r="BC44522" s="141"/>
    </row>
    <row r="44523">
      <c r="BB44523" s="122"/>
      <c r="BC44523" s="141"/>
    </row>
    <row r="44524">
      <c r="BB44524" s="122"/>
      <c r="BC44524" s="141"/>
    </row>
    <row r="44525">
      <c r="BB44525" s="122"/>
      <c r="BC44525" s="141"/>
    </row>
    <row r="44526">
      <c r="BB44526" s="122"/>
      <c r="BC44526" s="141"/>
    </row>
    <row r="44527">
      <c r="BB44527" s="122"/>
      <c r="BC44527" s="141"/>
    </row>
    <row r="44528">
      <c r="BB44528" s="122"/>
      <c r="BC44528" s="141"/>
    </row>
    <row r="44529">
      <c r="BB44529" s="122"/>
      <c r="BC44529" s="141"/>
    </row>
    <row r="44530">
      <c r="BB44530" s="122"/>
      <c r="BC44530" s="141"/>
    </row>
    <row r="44531">
      <c r="BB44531" s="122"/>
      <c r="BC44531" s="141"/>
    </row>
    <row r="44532">
      <c r="BB44532" s="122"/>
      <c r="BC44532" s="141"/>
    </row>
    <row r="44533">
      <c r="BB44533" s="122"/>
      <c r="BC44533" s="141"/>
    </row>
    <row r="44534">
      <c r="BB44534" s="122"/>
      <c r="BC44534" s="141"/>
    </row>
    <row r="44535">
      <c r="BB44535" s="122"/>
      <c r="BC44535" s="141"/>
    </row>
    <row r="44536">
      <c r="BB44536" s="122"/>
      <c r="BC44536" s="141"/>
    </row>
    <row r="44537">
      <c r="BB44537" s="122"/>
      <c r="BC44537" s="141"/>
    </row>
    <row r="44538">
      <c r="BB44538" s="122"/>
      <c r="BC44538" s="141"/>
    </row>
    <row r="44539">
      <c r="BB44539" s="122"/>
      <c r="BC44539" s="141"/>
    </row>
    <row r="44540">
      <c r="BB44540" s="122"/>
      <c r="BC44540" s="141"/>
    </row>
    <row r="44541">
      <c r="BB44541" s="122"/>
      <c r="BC44541" s="141"/>
    </row>
    <row r="44542">
      <c r="BB44542" s="122"/>
      <c r="BC44542" s="141"/>
    </row>
    <row r="44543">
      <c r="BB44543" s="122"/>
      <c r="BC44543" s="141"/>
    </row>
    <row r="44544">
      <c r="BB44544" s="122"/>
      <c r="BC44544" s="141"/>
    </row>
    <row r="44545">
      <c r="BB44545" s="122"/>
      <c r="BC44545" s="141"/>
    </row>
    <row r="44546">
      <c r="BB44546" s="122"/>
      <c r="BC44546" s="141"/>
    </row>
    <row r="44547">
      <c r="BB44547" s="122"/>
      <c r="BC44547" s="141"/>
    </row>
    <row r="44548">
      <c r="BB44548" s="122"/>
      <c r="BC44548" s="141"/>
    </row>
    <row r="44549">
      <c r="BB44549" s="122"/>
      <c r="BC44549" s="141"/>
    </row>
    <row r="44550">
      <c r="BB44550" s="122"/>
      <c r="BC44550" s="141"/>
    </row>
    <row r="44551">
      <c r="BB44551" s="122"/>
      <c r="BC44551" s="141"/>
    </row>
    <row r="44552">
      <c r="BB44552" s="122"/>
      <c r="BC44552" s="141"/>
    </row>
    <row r="44553">
      <c r="BB44553" s="122"/>
      <c r="BC44553" s="141"/>
    </row>
    <row r="44554">
      <c r="BB44554" s="122"/>
      <c r="BC44554" s="141"/>
    </row>
    <row r="44555">
      <c r="BB44555" s="122"/>
      <c r="BC44555" s="141"/>
    </row>
    <row r="44556">
      <c r="BB44556" s="122"/>
      <c r="BC44556" s="141"/>
    </row>
    <row r="44557">
      <c r="BB44557" s="122"/>
      <c r="BC44557" s="141"/>
    </row>
    <row r="44558">
      <c r="BB44558" s="122"/>
      <c r="BC44558" s="141"/>
    </row>
    <row r="44559">
      <c r="BB44559" s="122"/>
      <c r="BC44559" s="141"/>
    </row>
    <row r="44560">
      <c r="BB44560" s="122"/>
      <c r="BC44560" s="141"/>
    </row>
    <row r="44561">
      <c r="BB44561" s="122"/>
      <c r="BC44561" s="141"/>
    </row>
    <row r="44562">
      <c r="BB44562" s="122"/>
      <c r="BC44562" s="141"/>
    </row>
    <row r="44563">
      <c r="BB44563" s="122"/>
      <c r="BC44563" s="141"/>
    </row>
    <row r="44564">
      <c r="BB44564" s="122"/>
      <c r="BC44564" s="141"/>
    </row>
    <row r="44565">
      <c r="BB44565" s="122"/>
      <c r="BC44565" s="141"/>
    </row>
    <row r="44566">
      <c r="BB44566" s="122"/>
      <c r="BC44566" s="141"/>
    </row>
    <row r="44567">
      <c r="BB44567" s="122"/>
      <c r="BC44567" s="141"/>
    </row>
    <row r="44568">
      <c r="BB44568" s="122"/>
      <c r="BC44568" s="141"/>
    </row>
    <row r="44569">
      <c r="BB44569" s="122"/>
      <c r="BC44569" s="141"/>
    </row>
    <row r="44570">
      <c r="BB44570" s="122"/>
      <c r="BC44570" s="141"/>
    </row>
    <row r="44571">
      <c r="BB44571" s="122"/>
      <c r="BC44571" s="141"/>
    </row>
    <row r="44572">
      <c r="BB44572" s="122"/>
      <c r="BC44572" s="141"/>
    </row>
    <row r="44573">
      <c r="BB44573" s="122"/>
      <c r="BC44573" s="141"/>
    </row>
    <row r="44574">
      <c r="BB44574" s="122"/>
      <c r="BC44574" s="141"/>
    </row>
    <row r="44575">
      <c r="BB44575" s="122"/>
      <c r="BC44575" s="141"/>
    </row>
    <row r="44576">
      <c r="BB44576" s="122"/>
      <c r="BC44576" s="141"/>
    </row>
    <row r="44577">
      <c r="BB44577" s="122"/>
      <c r="BC44577" s="141"/>
    </row>
    <row r="44578">
      <c r="BB44578" s="122"/>
      <c r="BC44578" s="141"/>
    </row>
    <row r="44579">
      <c r="BB44579" s="122"/>
      <c r="BC44579" s="141"/>
    </row>
    <row r="44580">
      <c r="BB44580" s="122"/>
      <c r="BC44580" s="141"/>
    </row>
    <row r="44581">
      <c r="BB44581" s="122"/>
      <c r="BC44581" s="141"/>
    </row>
    <row r="44582">
      <c r="BB44582" s="122"/>
      <c r="BC44582" s="141"/>
    </row>
    <row r="44583">
      <c r="BB44583" s="122"/>
      <c r="BC44583" s="141"/>
    </row>
    <row r="44584">
      <c r="BB44584" s="122"/>
      <c r="BC44584" s="141"/>
    </row>
    <row r="44585">
      <c r="BB44585" s="122"/>
      <c r="BC44585" s="141"/>
    </row>
    <row r="44586">
      <c r="BB44586" s="122"/>
      <c r="BC44586" s="141"/>
    </row>
    <row r="44587">
      <c r="BB44587" s="122"/>
      <c r="BC44587" s="141"/>
    </row>
    <row r="44588">
      <c r="BB44588" s="122"/>
      <c r="BC44588" s="141"/>
    </row>
    <row r="44589">
      <c r="BB44589" s="122"/>
      <c r="BC44589" s="141"/>
    </row>
    <row r="44590">
      <c r="BB44590" s="122"/>
      <c r="BC44590" s="141"/>
    </row>
    <row r="44591">
      <c r="BB44591" s="122"/>
      <c r="BC44591" s="141"/>
    </row>
    <row r="44592">
      <c r="BB44592" s="122"/>
      <c r="BC44592" s="141"/>
    </row>
    <row r="44593">
      <c r="BB44593" s="122"/>
      <c r="BC44593" s="141"/>
    </row>
    <row r="44594">
      <c r="BB44594" s="122"/>
      <c r="BC44594" s="141"/>
    </row>
    <row r="44595">
      <c r="BB44595" s="122"/>
      <c r="BC44595" s="141"/>
    </row>
    <row r="44596">
      <c r="BB44596" s="122"/>
      <c r="BC44596" s="141"/>
    </row>
    <row r="44597">
      <c r="BB44597" s="122"/>
      <c r="BC44597" s="141"/>
    </row>
    <row r="44598">
      <c r="BB44598" s="122"/>
      <c r="BC44598" s="141"/>
    </row>
    <row r="44599">
      <c r="BB44599" s="122"/>
      <c r="BC44599" s="141"/>
    </row>
    <row r="44600">
      <c r="BB44600" s="122"/>
      <c r="BC44600" s="141"/>
    </row>
    <row r="44601">
      <c r="BB44601" s="122"/>
      <c r="BC44601" s="141"/>
    </row>
    <row r="44602">
      <c r="BB44602" s="122"/>
      <c r="BC44602" s="141"/>
    </row>
    <row r="44603">
      <c r="BB44603" s="122"/>
      <c r="BC44603" s="141"/>
    </row>
    <row r="44604">
      <c r="BB44604" s="122"/>
      <c r="BC44604" s="141"/>
    </row>
    <row r="44605">
      <c r="BB44605" s="122"/>
      <c r="BC44605" s="141"/>
    </row>
    <row r="44606">
      <c r="BB44606" s="122"/>
      <c r="BC44606" s="141"/>
    </row>
    <row r="44607">
      <c r="BB44607" s="122"/>
      <c r="BC44607" s="141"/>
    </row>
    <row r="44608">
      <c r="BB44608" s="122"/>
      <c r="BC44608" s="141"/>
    </row>
    <row r="44609">
      <c r="BB44609" s="122"/>
      <c r="BC44609" s="141"/>
    </row>
    <row r="44610">
      <c r="BB44610" s="122"/>
      <c r="BC44610" s="141"/>
    </row>
    <row r="44611">
      <c r="BB44611" s="122"/>
      <c r="BC44611" s="141"/>
    </row>
    <row r="44612">
      <c r="BB44612" s="122"/>
      <c r="BC44612" s="141"/>
    </row>
    <row r="44613">
      <c r="BB44613" s="122"/>
      <c r="BC44613" s="141"/>
    </row>
    <row r="44614">
      <c r="BB44614" s="122"/>
      <c r="BC44614" s="141"/>
    </row>
    <row r="44615">
      <c r="BB44615" s="122"/>
      <c r="BC44615" s="141"/>
    </row>
    <row r="44616">
      <c r="BB44616" s="122"/>
      <c r="BC44616" s="141"/>
    </row>
    <row r="44617">
      <c r="BB44617" s="122"/>
      <c r="BC44617" s="141"/>
    </row>
    <row r="44618">
      <c r="BB44618" s="122"/>
      <c r="BC44618" s="141"/>
    </row>
    <row r="44619">
      <c r="BB44619" s="122"/>
      <c r="BC44619" s="141"/>
    </row>
    <row r="44620">
      <c r="BB44620" s="122"/>
      <c r="BC44620" s="141"/>
    </row>
    <row r="44621">
      <c r="BB44621" s="122"/>
      <c r="BC44621" s="141"/>
    </row>
    <row r="44622">
      <c r="BB44622" s="122"/>
      <c r="BC44622" s="141"/>
    </row>
    <row r="44623">
      <c r="BB44623" s="122"/>
      <c r="BC44623" s="141"/>
    </row>
    <row r="44624">
      <c r="BB44624" s="122"/>
      <c r="BC44624" s="141"/>
    </row>
    <row r="44625">
      <c r="BB44625" s="122"/>
      <c r="BC44625" s="141"/>
    </row>
    <row r="44626">
      <c r="BB44626" s="122"/>
      <c r="BC44626" s="141"/>
    </row>
    <row r="44627">
      <c r="BB44627" s="122"/>
      <c r="BC44627" s="141"/>
    </row>
    <row r="44628">
      <c r="BB44628" s="122"/>
      <c r="BC44628" s="141"/>
    </row>
    <row r="44629">
      <c r="BB44629" s="122"/>
      <c r="BC44629" s="141"/>
    </row>
    <row r="44630">
      <c r="BB44630" s="122"/>
      <c r="BC44630" s="141"/>
    </row>
    <row r="44631">
      <c r="BB44631" s="122"/>
      <c r="BC44631" s="141"/>
    </row>
    <row r="44632">
      <c r="BB44632" s="122"/>
      <c r="BC44632" s="141"/>
    </row>
    <row r="44633">
      <c r="BB44633" s="122"/>
      <c r="BC44633" s="141"/>
    </row>
    <row r="44634">
      <c r="BB44634" s="122"/>
      <c r="BC44634" s="141"/>
    </row>
    <row r="44635">
      <c r="BB44635" s="122"/>
      <c r="BC44635" s="141"/>
    </row>
    <row r="44636">
      <c r="BB44636" s="122"/>
      <c r="BC44636" s="141"/>
    </row>
    <row r="44637">
      <c r="BB44637" s="122"/>
      <c r="BC44637" s="141"/>
    </row>
    <row r="44638">
      <c r="BB44638" s="122"/>
      <c r="BC44638" s="141"/>
    </row>
    <row r="44639">
      <c r="BB44639" s="122"/>
      <c r="BC44639" s="141"/>
    </row>
    <row r="44640">
      <c r="BB44640" s="122"/>
      <c r="BC44640" s="141"/>
    </row>
    <row r="44641">
      <c r="BB44641" s="122"/>
      <c r="BC44641" s="141"/>
    </row>
    <row r="44642">
      <c r="BB44642" s="122"/>
      <c r="BC44642" s="141"/>
    </row>
    <row r="44643">
      <c r="BB44643" s="122"/>
      <c r="BC44643" s="141"/>
    </row>
    <row r="44644">
      <c r="BB44644" s="122"/>
      <c r="BC44644" s="141"/>
    </row>
    <row r="44645">
      <c r="BB44645" s="122"/>
      <c r="BC44645" s="141"/>
    </row>
    <row r="44646">
      <c r="BB44646" s="122"/>
      <c r="BC44646" s="141"/>
    </row>
    <row r="44647">
      <c r="BB44647" s="122"/>
      <c r="BC44647" s="141"/>
    </row>
    <row r="44648">
      <c r="BB44648" s="122"/>
      <c r="BC44648" s="141"/>
    </row>
    <row r="44649">
      <c r="BB44649" s="122"/>
      <c r="BC44649" s="141"/>
    </row>
    <row r="44650">
      <c r="BB44650" s="122"/>
      <c r="BC44650" s="141"/>
    </row>
    <row r="44651">
      <c r="BB44651" s="122"/>
      <c r="BC44651" s="141"/>
    </row>
    <row r="44652">
      <c r="BB44652" s="122"/>
      <c r="BC44652" s="141"/>
    </row>
    <row r="44653">
      <c r="BB44653" s="122"/>
      <c r="BC44653" s="141"/>
    </row>
    <row r="44654">
      <c r="BB44654" s="122"/>
      <c r="BC44654" s="141"/>
    </row>
    <row r="44655">
      <c r="BB44655" s="122"/>
      <c r="BC44655" s="141"/>
    </row>
    <row r="44656">
      <c r="BB44656" s="122"/>
      <c r="BC44656" s="141"/>
    </row>
    <row r="44657">
      <c r="BB44657" s="122"/>
      <c r="BC44657" s="141"/>
    </row>
    <row r="44658">
      <c r="BB44658" s="122"/>
      <c r="BC44658" s="141"/>
    </row>
    <row r="44659">
      <c r="BB44659" s="122"/>
      <c r="BC44659" s="141"/>
    </row>
    <row r="44660">
      <c r="BB44660" s="122"/>
      <c r="BC44660" s="141"/>
    </row>
    <row r="44661">
      <c r="BB44661" s="122"/>
      <c r="BC44661" s="141"/>
    </row>
    <row r="44662">
      <c r="BB44662" s="122"/>
      <c r="BC44662" s="141"/>
    </row>
    <row r="44663">
      <c r="BB44663" s="122"/>
      <c r="BC44663" s="141"/>
    </row>
    <row r="44664">
      <c r="BB44664" s="122"/>
      <c r="BC44664" s="141"/>
    </row>
    <row r="44665">
      <c r="BB44665" s="122"/>
      <c r="BC44665" s="141"/>
    </row>
    <row r="44666">
      <c r="BB44666" s="122"/>
      <c r="BC44666" s="141"/>
    </row>
    <row r="44667">
      <c r="BB44667" s="122"/>
      <c r="BC44667" s="141"/>
    </row>
    <row r="44668">
      <c r="BB44668" s="122"/>
      <c r="BC44668" s="141"/>
    </row>
    <row r="44669">
      <c r="BB44669" s="122"/>
      <c r="BC44669" s="141"/>
    </row>
    <row r="44670">
      <c r="BB44670" s="122"/>
      <c r="BC44670" s="141"/>
    </row>
    <row r="44671">
      <c r="BB44671" s="122"/>
      <c r="BC44671" s="141"/>
    </row>
    <row r="44672">
      <c r="BB44672" s="122"/>
      <c r="BC44672" s="141"/>
    </row>
    <row r="44673">
      <c r="BB44673" s="122"/>
      <c r="BC44673" s="141"/>
    </row>
    <row r="44674">
      <c r="BB44674" s="122"/>
      <c r="BC44674" s="141"/>
    </row>
    <row r="44675">
      <c r="BB44675" s="122"/>
      <c r="BC44675" s="141"/>
    </row>
    <row r="44676">
      <c r="BB44676" s="122"/>
      <c r="BC44676" s="141"/>
    </row>
    <row r="44677">
      <c r="BB44677" s="122"/>
      <c r="BC44677" s="141"/>
    </row>
    <row r="44678">
      <c r="BB44678" s="122"/>
      <c r="BC44678" s="141"/>
    </row>
    <row r="44679">
      <c r="BB44679" s="122"/>
      <c r="BC44679" s="141"/>
    </row>
    <row r="44680">
      <c r="BB44680" s="122"/>
      <c r="BC44680" s="141"/>
    </row>
    <row r="44681">
      <c r="BB44681" s="122"/>
      <c r="BC44681" s="141"/>
    </row>
    <row r="44682">
      <c r="BB44682" s="122"/>
      <c r="BC44682" s="141"/>
    </row>
    <row r="44683">
      <c r="BB44683" s="122"/>
      <c r="BC44683" s="141"/>
    </row>
    <row r="44684">
      <c r="BB44684" s="122"/>
      <c r="BC44684" s="141"/>
    </row>
    <row r="44685">
      <c r="BB44685" s="122"/>
      <c r="BC44685" s="141"/>
    </row>
    <row r="44686">
      <c r="BB44686" s="122"/>
      <c r="BC44686" s="141"/>
    </row>
    <row r="44687">
      <c r="BB44687" s="122"/>
      <c r="BC44687" s="141"/>
    </row>
    <row r="44688">
      <c r="BB44688" s="122"/>
      <c r="BC44688" s="141"/>
    </row>
    <row r="44689">
      <c r="BB44689" s="122"/>
      <c r="BC44689" s="141"/>
    </row>
    <row r="44690">
      <c r="BB44690" s="122"/>
      <c r="BC44690" s="141"/>
    </row>
    <row r="44691">
      <c r="BB44691" s="122"/>
      <c r="BC44691" s="141"/>
    </row>
    <row r="44692">
      <c r="BB44692" s="122"/>
      <c r="BC44692" s="141"/>
    </row>
    <row r="44693">
      <c r="BB44693" s="122"/>
      <c r="BC44693" s="141"/>
    </row>
    <row r="44694">
      <c r="BB44694" s="122"/>
      <c r="BC44694" s="141"/>
    </row>
    <row r="44695">
      <c r="BB44695" s="122"/>
      <c r="BC44695" s="141"/>
    </row>
    <row r="44696">
      <c r="BB44696" s="122"/>
      <c r="BC44696" s="141"/>
    </row>
    <row r="44697">
      <c r="BB44697" s="122"/>
      <c r="BC44697" s="141"/>
    </row>
    <row r="44698">
      <c r="BB44698" s="122"/>
      <c r="BC44698" s="141"/>
    </row>
    <row r="44699">
      <c r="BB44699" s="122"/>
      <c r="BC44699" s="141"/>
    </row>
    <row r="44700">
      <c r="BB44700" s="122"/>
      <c r="BC44700" s="141"/>
    </row>
    <row r="44701">
      <c r="BB44701" s="122"/>
      <c r="BC44701" s="141"/>
    </row>
    <row r="44702">
      <c r="BB44702" s="122"/>
      <c r="BC44702" s="141"/>
    </row>
    <row r="44703">
      <c r="BB44703" s="122"/>
      <c r="BC44703" s="141"/>
    </row>
    <row r="44704">
      <c r="BB44704" s="122"/>
      <c r="BC44704" s="141"/>
    </row>
    <row r="44705">
      <c r="BB44705" s="122"/>
      <c r="BC44705" s="141"/>
    </row>
    <row r="44706">
      <c r="BB44706" s="122"/>
      <c r="BC44706" s="141"/>
    </row>
    <row r="44707">
      <c r="BB44707" s="122"/>
      <c r="BC44707" s="141"/>
    </row>
    <row r="44708">
      <c r="BB44708" s="122"/>
      <c r="BC44708" s="141"/>
    </row>
    <row r="44709">
      <c r="BB44709" s="122"/>
      <c r="BC44709" s="141"/>
    </row>
    <row r="44710">
      <c r="BB44710" s="122"/>
      <c r="BC44710" s="141"/>
    </row>
    <row r="44711">
      <c r="BB44711" s="122"/>
      <c r="BC44711" s="141"/>
    </row>
    <row r="44712">
      <c r="BB44712" s="122"/>
      <c r="BC44712" s="141"/>
    </row>
    <row r="44713">
      <c r="BB44713" s="122"/>
      <c r="BC44713" s="141"/>
    </row>
    <row r="44714">
      <c r="BB44714" s="122"/>
      <c r="BC44714" s="141"/>
    </row>
    <row r="44715">
      <c r="BB44715" s="122"/>
      <c r="BC44715" s="141"/>
    </row>
    <row r="44716">
      <c r="BB44716" s="122"/>
      <c r="BC44716" s="141"/>
    </row>
    <row r="44717">
      <c r="BB44717" s="122"/>
      <c r="BC44717" s="141"/>
    </row>
    <row r="44718">
      <c r="BB44718" s="122"/>
      <c r="BC44718" s="141"/>
    </row>
    <row r="44719">
      <c r="BB44719" s="122"/>
      <c r="BC44719" s="141"/>
    </row>
    <row r="44720">
      <c r="BB44720" s="122"/>
      <c r="BC44720" s="141"/>
    </row>
    <row r="44721">
      <c r="BB44721" s="122"/>
      <c r="BC44721" s="141"/>
    </row>
    <row r="44722">
      <c r="BB44722" s="122"/>
      <c r="BC44722" s="141"/>
    </row>
    <row r="44723">
      <c r="BB44723" s="122"/>
      <c r="BC44723" s="141"/>
    </row>
    <row r="44724">
      <c r="BB44724" s="122"/>
      <c r="BC44724" s="141"/>
    </row>
    <row r="44725">
      <c r="BB44725" s="122"/>
      <c r="BC44725" s="141"/>
    </row>
    <row r="44726">
      <c r="BB44726" s="122"/>
      <c r="BC44726" s="141"/>
    </row>
    <row r="44727">
      <c r="BB44727" s="122"/>
      <c r="BC44727" s="141"/>
    </row>
    <row r="44728">
      <c r="BB44728" s="122"/>
      <c r="BC44728" s="141"/>
    </row>
    <row r="44729">
      <c r="BB44729" s="122"/>
      <c r="BC44729" s="141"/>
    </row>
    <row r="44730">
      <c r="BB44730" s="122"/>
      <c r="BC44730" s="141"/>
    </row>
    <row r="44731">
      <c r="BB44731" s="122"/>
      <c r="BC44731" s="141"/>
    </row>
    <row r="44732">
      <c r="BB44732" s="122"/>
      <c r="BC44732" s="141"/>
    </row>
    <row r="44733">
      <c r="BB44733" s="122"/>
      <c r="BC44733" s="141"/>
    </row>
    <row r="44734">
      <c r="BB44734" s="122"/>
      <c r="BC44734" s="141"/>
    </row>
    <row r="44735">
      <c r="BB44735" s="122"/>
      <c r="BC44735" s="141"/>
    </row>
    <row r="44736">
      <c r="BB44736" s="122"/>
      <c r="BC44736" s="141"/>
    </row>
    <row r="44737">
      <c r="BB44737" s="122"/>
      <c r="BC44737" s="141"/>
    </row>
    <row r="44738">
      <c r="BB44738" s="122"/>
      <c r="BC44738" s="141"/>
    </row>
    <row r="44739">
      <c r="BB44739" s="122"/>
      <c r="BC44739" s="141"/>
    </row>
    <row r="44740">
      <c r="BB44740" s="122"/>
      <c r="BC44740" s="141"/>
    </row>
    <row r="44741">
      <c r="BB44741" s="122"/>
      <c r="BC44741" s="141"/>
    </row>
    <row r="44742">
      <c r="BB44742" s="122"/>
      <c r="BC44742" s="141"/>
    </row>
    <row r="44743">
      <c r="BB44743" s="122"/>
      <c r="BC44743" s="141"/>
    </row>
    <row r="44744">
      <c r="BB44744" s="122"/>
      <c r="BC44744" s="141"/>
    </row>
    <row r="44745">
      <c r="BB44745" s="122"/>
      <c r="BC44745" s="141"/>
    </row>
    <row r="44746">
      <c r="BB44746" s="122"/>
      <c r="BC44746" s="141"/>
    </row>
    <row r="44747">
      <c r="BB44747" s="122"/>
      <c r="BC44747" s="141"/>
    </row>
    <row r="44748">
      <c r="BB44748" s="122"/>
      <c r="BC44748" s="141"/>
    </row>
    <row r="44749">
      <c r="BB44749" s="122"/>
      <c r="BC44749" s="141"/>
    </row>
    <row r="44750">
      <c r="BB44750" s="122"/>
      <c r="BC44750" s="141"/>
    </row>
    <row r="44751">
      <c r="BB44751" s="122"/>
      <c r="BC44751" s="141"/>
    </row>
    <row r="44752">
      <c r="BB44752" s="122"/>
      <c r="BC44752" s="141"/>
    </row>
    <row r="44753">
      <c r="BB44753" s="122"/>
      <c r="BC44753" s="141"/>
    </row>
    <row r="44754">
      <c r="BB44754" s="122"/>
      <c r="BC44754" s="141"/>
    </row>
    <row r="44755">
      <c r="BB44755" s="122"/>
      <c r="BC44755" s="141"/>
    </row>
    <row r="44756">
      <c r="BB44756" s="122"/>
      <c r="BC44756" s="141"/>
    </row>
    <row r="44757">
      <c r="BB44757" s="122"/>
      <c r="BC44757" s="141"/>
    </row>
    <row r="44758">
      <c r="BB44758" s="122"/>
      <c r="BC44758" s="141"/>
    </row>
    <row r="44759">
      <c r="BB44759" s="122"/>
      <c r="BC44759" s="141"/>
    </row>
    <row r="44760">
      <c r="BB44760" s="122"/>
      <c r="BC44760" s="141"/>
    </row>
    <row r="44761">
      <c r="BB44761" s="122"/>
      <c r="BC44761" s="141"/>
    </row>
    <row r="44762">
      <c r="BB44762" s="122"/>
      <c r="BC44762" s="141"/>
    </row>
    <row r="44763">
      <c r="BB44763" s="122"/>
      <c r="BC44763" s="141"/>
    </row>
    <row r="44764">
      <c r="BB44764" s="122"/>
      <c r="BC44764" s="141"/>
    </row>
    <row r="44765">
      <c r="BB44765" s="122"/>
      <c r="BC44765" s="141"/>
    </row>
    <row r="44766">
      <c r="BB44766" s="122"/>
      <c r="BC44766" s="141"/>
    </row>
    <row r="44767">
      <c r="BB44767" s="122"/>
      <c r="BC44767" s="141"/>
    </row>
    <row r="44768">
      <c r="BB44768" s="122"/>
      <c r="BC44768" s="141"/>
    </row>
    <row r="44769">
      <c r="BB44769" s="122"/>
      <c r="BC44769" s="141"/>
    </row>
    <row r="44770">
      <c r="BB44770" s="122"/>
      <c r="BC44770" s="141"/>
    </row>
    <row r="44771">
      <c r="BB44771" s="122"/>
      <c r="BC44771" s="141"/>
    </row>
    <row r="44772">
      <c r="BB44772" s="122"/>
      <c r="BC44772" s="141"/>
    </row>
    <row r="44773">
      <c r="BB44773" s="122"/>
      <c r="BC44773" s="141"/>
    </row>
    <row r="44774">
      <c r="BB44774" s="122"/>
      <c r="BC44774" s="141"/>
    </row>
    <row r="44775">
      <c r="BB44775" s="122"/>
      <c r="BC44775" s="141"/>
    </row>
    <row r="44776">
      <c r="BB44776" s="122"/>
      <c r="BC44776" s="141"/>
    </row>
    <row r="44777">
      <c r="BB44777" s="122"/>
      <c r="BC44777" s="141"/>
    </row>
    <row r="44778">
      <c r="BB44778" s="122"/>
      <c r="BC44778" s="141"/>
    </row>
    <row r="44779">
      <c r="BB44779" s="122"/>
      <c r="BC44779" s="141"/>
    </row>
    <row r="44780">
      <c r="BB44780" s="122"/>
      <c r="BC44780" s="141"/>
    </row>
    <row r="44781">
      <c r="BB44781" s="122"/>
      <c r="BC44781" s="141"/>
    </row>
    <row r="44782">
      <c r="BB44782" s="122"/>
      <c r="BC44782" s="141"/>
    </row>
    <row r="44783">
      <c r="BB44783" s="122"/>
      <c r="BC44783" s="141"/>
    </row>
    <row r="44784">
      <c r="BB44784" s="122"/>
      <c r="BC44784" s="141"/>
    </row>
    <row r="44785">
      <c r="BB44785" s="122"/>
      <c r="BC44785" s="141"/>
    </row>
    <row r="44786">
      <c r="BB44786" s="122"/>
      <c r="BC44786" s="141"/>
    </row>
    <row r="44787">
      <c r="BB44787" s="122"/>
      <c r="BC44787" s="141"/>
    </row>
    <row r="44788">
      <c r="BB44788" s="122"/>
      <c r="BC44788" s="141"/>
    </row>
    <row r="44789">
      <c r="BB44789" s="122"/>
      <c r="BC44789" s="141"/>
    </row>
    <row r="44790">
      <c r="BB44790" s="122"/>
      <c r="BC44790" s="141"/>
    </row>
    <row r="44791">
      <c r="BB44791" s="122"/>
      <c r="BC44791" s="141"/>
    </row>
    <row r="44792">
      <c r="BB44792" s="122"/>
      <c r="BC44792" s="141"/>
    </row>
    <row r="44793">
      <c r="BB44793" s="122"/>
      <c r="BC44793" s="141"/>
    </row>
    <row r="44794">
      <c r="BB44794" s="122"/>
      <c r="BC44794" s="141"/>
    </row>
    <row r="44795">
      <c r="BB44795" s="122"/>
      <c r="BC44795" s="141"/>
    </row>
    <row r="44796">
      <c r="BB44796" s="122"/>
      <c r="BC44796" s="141"/>
    </row>
    <row r="44797">
      <c r="BB44797" s="122"/>
      <c r="BC44797" s="141"/>
    </row>
    <row r="44798">
      <c r="BB44798" s="122"/>
      <c r="BC44798" s="141"/>
    </row>
    <row r="44799">
      <c r="BB44799" s="122"/>
      <c r="BC44799" s="141"/>
    </row>
    <row r="44800">
      <c r="BB44800" s="122"/>
      <c r="BC44800" s="141"/>
    </row>
    <row r="44801">
      <c r="BB44801" s="122"/>
      <c r="BC44801" s="141"/>
    </row>
    <row r="44802">
      <c r="BB44802" s="122"/>
      <c r="BC44802" s="141"/>
    </row>
    <row r="44803">
      <c r="BB44803" s="122"/>
      <c r="BC44803" s="141"/>
    </row>
    <row r="44804">
      <c r="BB44804" s="122"/>
      <c r="BC44804" s="141"/>
    </row>
    <row r="44805">
      <c r="BB44805" s="122"/>
      <c r="BC44805" s="141"/>
    </row>
    <row r="44806">
      <c r="BB44806" s="122"/>
      <c r="BC44806" s="141"/>
    </row>
    <row r="44807">
      <c r="BB44807" s="122"/>
      <c r="BC44807" s="141"/>
    </row>
    <row r="44808">
      <c r="BB44808" s="122"/>
      <c r="BC44808" s="141"/>
    </row>
    <row r="44809">
      <c r="BB44809" s="122"/>
      <c r="BC44809" s="141"/>
    </row>
    <row r="44810">
      <c r="BB44810" s="122"/>
      <c r="BC44810" s="141"/>
    </row>
    <row r="44811">
      <c r="BB44811" s="122"/>
      <c r="BC44811" s="141"/>
    </row>
    <row r="44812">
      <c r="BB44812" s="122"/>
      <c r="BC44812" s="141"/>
    </row>
    <row r="44813">
      <c r="BB44813" s="122"/>
      <c r="BC44813" s="141"/>
    </row>
    <row r="44814">
      <c r="BB44814" s="122"/>
      <c r="BC44814" s="141"/>
    </row>
    <row r="44815">
      <c r="BB44815" s="122"/>
      <c r="BC44815" s="141"/>
    </row>
    <row r="44816">
      <c r="BB44816" s="122"/>
      <c r="BC44816" s="141"/>
    </row>
    <row r="44817">
      <c r="BB44817" s="122"/>
      <c r="BC44817" s="141"/>
    </row>
    <row r="44818">
      <c r="BB44818" s="122"/>
      <c r="BC44818" s="141"/>
    </row>
    <row r="44819">
      <c r="BB44819" s="122"/>
      <c r="BC44819" s="141"/>
    </row>
    <row r="44820">
      <c r="BB44820" s="122"/>
      <c r="BC44820" s="141"/>
    </row>
    <row r="44821">
      <c r="BB44821" s="122"/>
      <c r="BC44821" s="141"/>
    </row>
    <row r="44822">
      <c r="BB44822" s="122"/>
      <c r="BC44822" s="141"/>
    </row>
    <row r="44823">
      <c r="BB44823" s="122"/>
      <c r="BC44823" s="141"/>
    </row>
    <row r="44824">
      <c r="BB44824" s="122"/>
      <c r="BC44824" s="141"/>
    </row>
    <row r="44825">
      <c r="BB44825" s="122"/>
      <c r="BC44825" s="141"/>
    </row>
    <row r="44826">
      <c r="BB44826" s="122"/>
      <c r="BC44826" s="141"/>
    </row>
    <row r="44827">
      <c r="BB44827" s="122"/>
      <c r="BC44827" s="141"/>
    </row>
    <row r="44828">
      <c r="BB44828" s="122"/>
      <c r="BC44828" s="141"/>
    </row>
    <row r="44829">
      <c r="BB44829" s="122"/>
      <c r="BC44829" s="141"/>
    </row>
    <row r="44830">
      <c r="BB44830" s="122"/>
      <c r="BC44830" s="141"/>
    </row>
    <row r="44831">
      <c r="BB44831" s="122"/>
      <c r="BC44831" s="141"/>
    </row>
    <row r="44832">
      <c r="BB44832" s="122"/>
      <c r="BC44832" s="141"/>
    </row>
    <row r="44833">
      <c r="BB44833" s="122"/>
      <c r="BC44833" s="141"/>
    </row>
    <row r="44834">
      <c r="BB44834" s="122"/>
      <c r="BC44834" s="141"/>
    </row>
    <row r="44835">
      <c r="BB44835" s="122"/>
      <c r="BC44835" s="141"/>
    </row>
    <row r="44836">
      <c r="BB44836" s="122"/>
      <c r="BC44836" s="141"/>
    </row>
    <row r="44837">
      <c r="BB44837" s="122"/>
      <c r="BC44837" s="141"/>
    </row>
    <row r="44838">
      <c r="BB44838" s="122"/>
      <c r="BC44838" s="141"/>
    </row>
    <row r="44839">
      <c r="BB44839" s="122"/>
      <c r="BC44839" s="141"/>
    </row>
    <row r="44840">
      <c r="BB44840" s="122"/>
      <c r="BC44840" s="141"/>
    </row>
    <row r="44841">
      <c r="BB44841" s="122"/>
      <c r="BC44841" s="141"/>
    </row>
    <row r="44842">
      <c r="BB44842" s="122"/>
      <c r="BC44842" s="141"/>
    </row>
    <row r="44843">
      <c r="BB44843" s="122"/>
      <c r="BC44843" s="141"/>
    </row>
    <row r="44844">
      <c r="BB44844" s="122"/>
      <c r="BC44844" s="141"/>
    </row>
    <row r="44845">
      <c r="BB44845" s="122"/>
      <c r="BC44845" s="141"/>
    </row>
    <row r="44846">
      <c r="BB44846" s="122"/>
      <c r="BC44846" s="141"/>
    </row>
    <row r="44847">
      <c r="BB44847" s="122"/>
      <c r="BC44847" s="141"/>
    </row>
    <row r="44848">
      <c r="BB44848" s="122"/>
      <c r="BC44848" s="141"/>
    </row>
    <row r="44849">
      <c r="BB44849" s="122"/>
      <c r="BC44849" s="141"/>
    </row>
    <row r="44850">
      <c r="BB44850" s="122"/>
      <c r="BC44850" s="141"/>
    </row>
    <row r="44851">
      <c r="BB44851" s="122"/>
      <c r="BC44851" s="141"/>
    </row>
    <row r="44852">
      <c r="BB44852" s="122"/>
      <c r="BC44852" s="141"/>
    </row>
    <row r="44853">
      <c r="BB44853" s="122"/>
      <c r="BC44853" s="141"/>
    </row>
    <row r="44854">
      <c r="BB44854" s="122"/>
      <c r="BC44854" s="141"/>
    </row>
    <row r="44855">
      <c r="BB44855" s="122"/>
      <c r="BC44855" s="141"/>
    </row>
    <row r="44856">
      <c r="BB44856" s="122"/>
      <c r="BC44856" s="141"/>
    </row>
    <row r="44857">
      <c r="BB44857" s="122"/>
      <c r="BC44857" s="141"/>
    </row>
    <row r="44858">
      <c r="BB44858" s="122"/>
      <c r="BC44858" s="141"/>
    </row>
    <row r="44859">
      <c r="BB44859" s="122"/>
      <c r="BC44859" s="141"/>
    </row>
    <row r="44860">
      <c r="BB44860" s="122"/>
      <c r="BC44860" s="141"/>
    </row>
    <row r="44861">
      <c r="BB44861" s="122"/>
      <c r="BC44861" s="141"/>
    </row>
    <row r="44862">
      <c r="BB44862" s="122"/>
      <c r="BC44862" s="141"/>
    </row>
    <row r="44863">
      <c r="BB44863" s="122"/>
      <c r="BC44863" s="141"/>
    </row>
    <row r="44864">
      <c r="BB44864" s="122"/>
      <c r="BC44864" s="141"/>
    </row>
    <row r="44865">
      <c r="BB44865" s="122"/>
      <c r="BC44865" s="141"/>
    </row>
    <row r="44866">
      <c r="BB44866" s="122"/>
      <c r="BC44866" s="141"/>
    </row>
    <row r="44867">
      <c r="BB44867" s="122"/>
      <c r="BC44867" s="141"/>
    </row>
    <row r="44868">
      <c r="BB44868" s="122"/>
      <c r="BC44868" s="141"/>
    </row>
    <row r="44869">
      <c r="BB44869" s="122"/>
      <c r="BC44869" s="141"/>
    </row>
    <row r="44870">
      <c r="BB44870" s="122"/>
      <c r="BC44870" s="141"/>
    </row>
    <row r="44871">
      <c r="BB44871" s="122"/>
      <c r="BC44871" s="141"/>
    </row>
    <row r="44872">
      <c r="BB44872" s="122"/>
      <c r="BC44872" s="141"/>
    </row>
    <row r="44873">
      <c r="BB44873" s="122"/>
      <c r="BC44873" s="141"/>
    </row>
    <row r="44874">
      <c r="BB44874" s="122"/>
      <c r="BC44874" s="141"/>
    </row>
    <row r="44875">
      <c r="BB44875" s="122"/>
      <c r="BC44875" s="141"/>
    </row>
    <row r="44876">
      <c r="BB44876" s="122"/>
      <c r="BC44876" s="141"/>
    </row>
    <row r="44877">
      <c r="BB44877" s="122"/>
      <c r="BC44877" s="141"/>
    </row>
    <row r="44878">
      <c r="BB44878" s="122"/>
      <c r="BC44878" s="141"/>
    </row>
    <row r="44879">
      <c r="BB44879" s="122"/>
      <c r="BC44879" s="141"/>
    </row>
    <row r="44880">
      <c r="BB44880" s="122"/>
      <c r="BC44880" s="141"/>
    </row>
    <row r="44881">
      <c r="BB44881" s="122"/>
      <c r="BC44881" s="141"/>
    </row>
    <row r="44882">
      <c r="BB44882" s="122"/>
      <c r="BC44882" s="141"/>
    </row>
    <row r="44883">
      <c r="BB44883" s="122"/>
      <c r="BC44883" s="141"/>
    </row>
    <row r="44884">
      <c r="BB44884" s="122"/>
      <c r="BC44884" s="141"/>
    </row>
    <row r="44885">
      <c r="BB44885" s="122"/>
      <c r="BC44885" s="141"/>
    </row>
    <row r="44886">
      <c r="BB44886" s="122"/>
      <c r="BC44886" s="141"/>
    </row>
    <row r="44887">
      <c r="BB44887" s="122"/>
      <c r="BC44887" s="141"/>
    </row>
    <row r="44888">
      <c r="BB44888" s="122"/>
      <c r="BC44888" s="141"/>
    </row>
    <row r="44889">
      <c r="BB44889" s="122"/>
      <c r="BC44889" s="141"/>
    </row>
    <row r="44890">
      <c r="BB44890" s="122"/>
      <c r="BC44890" s="141"/>
    </row>
    <row r="44891">
      <c r="BB44891" s="122"/>
      <c r="BC44891" s="141"/>
    </row>
    <row r="44892">
      <c r="BB44892" s="122"/>
      <c r="BC44892" s="141"/>
    </row>
    <row r="44893">
      <c r="BB44893" s="122"/>
      <c r="BC44893" s="141"/>
    </row>
    <row r="44894">
      <c r="BB44894" s="122"/>
      <c r="BC44894" s="141"/>
    </row>
    <row r="44895">
      <c r="BB44895" s="122"/>
      <c r="BC44895" s="141"/>
    </row>
    <row r="44896">
      <c r="BB44896" s="122"/>
      <c r="BC44896" s="141"/>
    </row>
    <row r="44897">
      <c r="BB44897" s="122"/>
      <c r="BC44897" s="141"/>
    </row>
    <row r="44898">
      <c r="BB44898" s="122"/>
      <c r="BC44898" s="141"/>
    </row>
    <row r="44899">
      <c r="BB44899" s="122"/>
      <c r="BC44899" s="141"/>
    </row>
    <row r="44900">
      <c r="BB44900" s="122"/>
      <c r="BC44900" s="141"/>
    </row>
    <row r="44901">
      <c r="BB44901" s="122"/>
      <c r="BC44901" s="141"/>
    </row>
    <row r="44902">
      <c r="BB44902" s="122"/>
      <c r="BC44902" s="141"/>
    </row>
    <row r="44903">
      <c r="BB44903" s="122"/>
      <c r="BC44903" s="141"/>
    </row>
    <row r="44904">
      <c r="BB44904" s="122"/>
      <c r="BC44904" s="141"/>
    </row>
    <row r="44905">
      <c r="BB44905" s="122"/>
      <c r="BC44905" s="141"/>
    </row>
    <row r="44906">
      <c r="BB44906" s="122"/>
      <c r="BC44906" s="141"/>
    </row>
    <row r="44907">
      <c r="BB44907" s="122"/>
      <c r="BC44907" s="141"/>
    </row>
    <row r="44908">
      <c r="BB44908" s="122"/>
      <c r="BC44908" s="141"/>
    </row>
    <row r="44909">
      <c r="BB44909" s="122"/>
      <c r="BC44909" s="141"/>
    </row>
    <row r="44910">
      <c r="BB44910" s="122"/>
      <c r="BC44910" s="141"/>
    </row>
    <row r="44911">
      <c r="BB44911" s="122"/>
      <c r="BC44911" s="141"/>
    </row>
    <row r="44912">
      <c r="BB44912" s="122"/>
      <c r="BC44912" s="141"/>
    </row>
    <row r="44913">
      <c r="BB44913" s="122"/>
      <c r="BC44913" s="141"/>
    </row>
    <row r="44914">
      <c r="BB44914" s="122"/>
      <c r="BC44914" s="141"/>
    </row>
    <row r="44915">
      <c r="BB44915" s="122"/>
      <c r="BC44915" s="141"/>
    </row>
    <row r="44916">
      <c r="BB44916" s="122"/>
      <c r="BC44916" s="141"/>
    </row>
    <row r="44917">
      <c r="BB44917" s="122"/>
      <c r="BC44917" s="141"/>
    </row>
    <row r="44918">
      <c r="BB44918" s="122"/>
      <c r="BC44918" s="141"/>
    </row>
    <row r="44919">
      <c r="BB44919" s="122"/>
      <c r="BC44919" s="141"/>
    </row>
    <row r="44920">
      <c r="BB44920" s="122"/>
      <c r="BC44920" s="141"/>
    </row>
    <row r="44921">
      <c r="BB44921" s="122"/>
      <c r="BC44921" s="141"/>
    </row>
    <row r="44922">
      <c r="BB44922" s="122"/>
      <c r="BC44922" s="141"/>
    </row>
    <row r="44923">
      <c r="BB44923" s="122"/>
      <c r="BC44923" s="141"/>
    </row>
    <row r="44924">
      <c r="BB44924" s="122"/>
      <c r="BC44924" s="141"/>
    </row>
    <row r="44925">
      <c r="BB44925" s="122"/>
      <c r="BC44925" s="141"/>
    </row>
    <row r="44926">
      <c r="BB44926" s="122"/>
      <c r="BC44926" s="141"/>
    </row>
    <row r="44927">
      <c r="BB44927" s="122"/>
      <c r="BC44927" s="141"/>
    </row>
    <row r="44928">
      <c r="BB44928" s="122"/>
      <c r="BC44928" s="141"/>
    </row>
    <row r="44929">
      <c r="BB44929" s="122"/>
      <c r="BC44929" s="141"/>
    </row>
    <row r="44930">
      <c r="BB44930" s="122"/>
      <c r="BC44930" s="141"/>
    </row>
    <row r="44931">
      <c r="BB44931" s="122"/>
      <c r="BC44931" s="141"/>
    </row>
    <row r="44932">
      <c r="BB44932" s="122"/>
      <c r="BC44932" s="141"/>
    </row>
    <row r="44933">
      <c r="BB44933" s="122"/>
      <c r="BC44933" s="141"/>
    </row>
    <row r="44934">
      <c r="BB44934" s="122"/>
      <c r="BC44934" s="141"/>
    </row>
    <row r="44935">
      <c r="BB44935" s="122"/>
      <c r="BC44935" s="141"/>
    </row>
    <row r="44936">
      <c r="BB44936" s="122"/>
      <c r="BC44936" s="141"/>
    </row>
    <row r="44937">
      <c r="BB44937" s="122"/>
      <c r="BC44937" s="141"/>
    </row>
    <row r="44938">
      <c r="BB44938" s="122"/>
      <c r="BC44938" s="141"/>
    </row>
    <row r="44939">
      <c r="BB44939" s="122"/>
      <c r="BC44939" s="141"/>
    </row>
    <row r="44940">
      <c r="BB44940" s="122"/>
      <c r="BC44940" s="141"/>
    </row>
    <row r="44941">
      <c r="BB44941" s="122"/>
      <c r="BC44941" s="141"/>
    </row>
    <row r="44942">
      <c r="BB44942" s="122"/>
      <c r="BC44942" s="141"/>
    </row>
    <row r="44943">
      <c r="BB44943" s="122"/>
      <c r="BC44943" s="141"/>
    </row>
    <row r="44944">
      <c r="BB44944" s="122"/>
      <c r="BC44944" s="141"/>
    </row>
    <row r="44945">
      <c r="BB44945" s="122"/>
      <c r="BC44945" s="141"/>
    </row>
    <row r="44946">
      <c r="BB44946" s="122"/>
      <c r="BC44946" s="141"/>
    </row>
    <row r="44947">
      <c r="BB44947" s="122"/>
      <c r="BC44947" s="141"/>
    </row>
    <row r="44948">
      <c r="BB44948" s="122"/>
      <c r="BC44948" s="141"/>
    </row>
    <row r="44949">
      <c r="BB44949" s="122"/>
      <c r="BC44949" s="141"/>
    </row>
    <row r="44950">
      <c r="BB44950" s="122"/>
      <c r="BC44950" s="141"/>
    </row>
    <row r="44951">
      <c r="BB44951" s="122"/>
      <c r="BC44951" s="141"/>
    </row>
    <row r="44952">
      <c r="BB44952" s="122"/>
      <c r="BC44952" s="141"/>
    </row>
    <row r="44953">
      <c r="BB44953" s="122"/>
      <c r="BC44953" s="141"/>
    </row>
    <row r="44954">
      <c r="BB44954" s="122"/>
      <c r="BC44954" s="141"/>
    </row>
    <row r="44955">
      <c r="BB44955" s="122"/>
      <c r="BC44955" s="141"/>
    </row>
    <row r="44956">
      <c r="BB44956" s="122"/>
      <c r="BC44956" s="141"/>
    </row>
    <row r="44957">
      <c r="BB44957" s="122"/>
      <c r="BC44957" s="141"/>
    </row>
    <row r="44958">
      <c r="BB44958" s="122"/>
      <c r="BC44958" s="141"/>
    </row>
    <row r="44959">
      <c r="BB44959" s="122"/>
      <c r="BC44959" s="141"/>
    </row>
    <row r="44960">
      <c r="BB44960" s="122"/>
      <c r="BC44960" s="141"/>
    </row>
    <row r="44961">
      <c r="BB44961" s="122"/>
      <c r="BC44961" s="141"/>
    </row>
    <row r="44962">
      <c r="BB44962" s="122"/>
      <c r="BC44962" s="141"/>
    </row>
    <row r="44963">
      <c r="BB44963" s="122"/>
      <c r="BC44963" s="141"/>
    </row>
    <row r="44964">
      <c r="BB44964" s="122"/>
      <c r="BC44964" s="141"/>
    </row>
    <row r="44965">
      <c r="BB44965" s="122"/>
      <c r="BC44965" s="141"/>
    </row>
    <row r="44966">
      <c r="BB44966" s="122"/>
      <c r="BC44966" s="141"/>
    </row>
    <row r="44967">
      <c r="BB44967" s="122"/>
      <c r="BC44967" s="141"/>
    </row>
    <row r="44968">
      <c r="BB44968" s="122"/>
      <c r="BC44968" s="141"/>
    </row>
    <row r="44969">
      <c r="BB44969" s="122"/>
      <c r="BC44969" s="141"/>
    </row>
    <row r="44970">
      <c r="BB44970" s="122"/>
      <c r="BC44970" s="141"/>
    </row>
    <row r="44971">
      <c r="BB44971" s="122"/>
      <c r="BC44971" s="141"/>
    </row>
    <row r="44972">
      <c r="BB44972" s="122"/>
      <c r="BC44972" s="141"/>
    </row>
    <row r="44973">
      <c r="BB44973" s="122"/>
      <c r="BC44973" s="141"/>
    </row>
    <row r="44974">
      <c r="BB44974" s="122"/>
      <c r="BC44974" s="141"/>
    </row>
    <row r="44975">
      <c r="BB44975" s="122"/>
      <c r="BC44975" s="141"/>
    </row>
    <row r="44976">
      <c r="BB44976" s="122"/>
      <c r="BC44976" s="141"/>
    </row>
    <row r="44977">
      <c r="BB44977" s="122"/>
      <c r="BC44977" s="141"/>
    </row>
    <row r="44978">
      <c r="BB44978" s="122"/>
      <c r="BC44978" s="141"/>
    </row>
    <row r="44979">
      <c r="BB44979" s="122"/>
      <c r="BC44979" s="141"/>
    </row>
    <row r="44980">
      <c r="BB44980" s="122"/>
      <c r="BC44980" s="141"/>
    </row>
    <row r="44981">
      <c r="BB44981" s="122"/>
      <c r="BC44981" s="141"/>
    </row>
    <row r="44982">
      <c r="BB44982" s="122"/>
      <c r="BC44982" s="141"/>
    </row>
    <row r="44983">
      <c r="BB44983" s="122"/>
      <c r="BC44983" s="141"/>
    </row>
    <row r="44984">
      <c r="BB44984" s="122"/>
      <c r="BC44984" s="141"/>
    </row>
    <row r="44985">
      <c r="BB44985" s="122"/>
      <c r="BC44985" s="141"/>
    </row>
    <row r="44986">
      <c r="BB44986" s="122"/>
      <c r="BC44986" s="141"/>
    </row>
    <row r="44987">
      <c r="BB44987" s="122"/>
      <c r="BC44987" s="141"/>
    </row>
    <row r="44988">
      <c r="BB44988" s="122"/>
      <c r="BC44988" s="141"/>
    </row>
    <row r="44989">
      <c r="BB44989" s="122"/>
      <c r="BC44989" s="141"/>
    </row>
    <row r="44990">
      <c r="BB44990" s="122"/>
      <c r="BC44990" s="141"/>
    </row>
    <row r="44991">
      <c r="BB44991" s="122"/>
      <c r="BC44991" s="141"/>
    </row>
    <row r="44992">
      <c r="BB44992" s="122"/>
      <c r="BC44992" s="141"/>
    </row>
    <row r="44993">
      <c r="BB44993" s="122"/>
      <c r="BC44993" s="141"/>
    </row>
    <row r="44994">
      <c r="BB44994" s="122"/>
      <c r="BC44994" s="141"/>
    </row>
    <row r="44995">
      <c r="BB44995" s="122"/>
      <c r="BC44995" s="141"/>
    </row>
    <row r="44996">
      <c r="BB44996" s="122"/>
      <c r="BC44996" s="141"/>
    </row>
    <row r="44997">
      <c r="BB44997" s="122"/>
      <c r="BC44997" s="141"/>
    </row>
    <row r="44998">
      <c r="BB44998" s="122"/>
      <c r="BC44998" s="141"/>
    </row>
    <row r="44999">
      <c r="BB44999" s="122"/>
      <c r="BC44999" s="141"/>
    </row>
    <row r="45000">
      <c r="BB45000" s="122"/>
      <c r="BC45000" s="141"/>
    </row>
    <row r="45001">
      <c r="BB45001" s="122"/>
      <c r="BC45001" s="141"/>
    </row>
    <row r="45002">
      <c r="BB45002" s="122"/>
      <c r="BC45002" s="141"/>
    </row>
    <row r="45003">
      <c r="BB45003" s="122"/>
      <c r="BC45003" s="141"/>
    </row>
    <row r="45004">
      <c r="BB45004" s="122"/>
      <c r="BC45004" s="141"/>
    </row>
    <row r="45005">
      <c r="BB45005" s="122"/>
      <c r="BC45005" s="141"/>
    </row>
    <row r="45006">
      <c r="BB45006" s="122"/>
      <c r="BC45006" s="141"/>
    </row>
    <row r="45007">
      <c r="BB45007" s="122"/>
      <c r="BC45007" s="141"/>
    </row>
    <row r="45008">
      <c r="BB45008" s="122"/>
      <c r="BC45008" s="141"/>
    </row>
    <row r="45009">
      <c r="BB45009" s="122"/>
      <c r="BC45009" s="141"/>
    </row>
    <row r="45010">
      <c r="BB45010" s="122"/>
      <c r="BC45010" s="141"/>
    </row>
    <row r="45011">
      <c r="BB45011" s="122"/>
      <c r="BC45011" s="141"/>
    </row>
    <row r="45012">
      <c r="BB45012" s="122"/>
      <c r="BC45012" s="141"/>
    </row>
    <row r="45013">
      <c r="BB45013" s="122"/>
      <c r="BC45013" s="141"/>
    </row>
    <row r="45014">
      <c r="BB45014" s="122"/>
      <c r="BC45014" s="141"/>
    </row>
    <row r="45015">
      <c r="BB45015" s="122"/>
      <c r="BC45015" s="141"/>
    </row>
    <row r="45016">
      <c r="BB45016" s="122"/>
      <c r="BC45016" s="141"/>
    </row>
    <row r="45017">
      <c r="BB45017" s="122"/>
      <c r="BC45017" s="141"/>
    </row>
    <row r="45018">
      <c r="BB45018" s="122"/>
      <c r="BC45018" s="141"/>
    </row>
    <row r="45019">
      <c r="BB45019" s="122"/>
      <c r="BC45019" s="141"/>
    </row>
    <row r="45020">
      <c r="BB45020" s="122"/>
      <c r="BC45020" s="141"/>
    </row>
    <row r="45021">
      <c r="BB45021" s="122"/>
      <c r="BC45021" s="141"/>
    </row>
    <row r="45022">
      <c r="BB45022" s="122"/>
      <c r="BC45022" s="141"/>
    </row>
    <row r="45023">
      <c r="BB45023" s="122"/>
      <c r="BC45023" s="141"/>
    </row>
    <row r="45024">
      <c r="BB45024" s="122"/>
      <c r="BC45024" s="141"/>
    </row>
    <row r="45025">
      <c r="BB45025" s="122"/>
      <c r="BC45025" s="141"/>
    </row>
    <row r="45026">
      <c r="BB45026" s="122"/>
      <c r="BC45026" s="141"/>
    </row>
    <row r="45027">
      <c r="BB45027" s="122"/>
      <c r="BC45027" s="141"/>
    </row>
    <row r="45028">
      <c r="BB45028" s="122"/>
      <c r="BC45028" s="141"/>
    </row>
    <row r="45029">
      <c r="BB45029" s="122"/>
      <c r="BC45029" s="141"/>
    </row>
    <row r="45030">
      <c r="BB45030" s="122"/>
      <c r="BC45030" s="141"/>
    </row>
    <row r="45031">
      <c r="BB45031" s="122"/>
      <c r="BC45031" s="141"/>
    </row>
    <row r="45032">
      <c r="BB45032" s="122"/>
      <c r="BC45032" s="141"/>
    </row>
    <row r="45033">
      <c r="BB45033" s="122"/>
      <c r="BC45033" s="141"/>
    </row>
    <row r="45034">
      <c r="BB45034" s="122"/>
      <c r="BC45034" s="141"/>
    </row>
    <row r="45035">
      <c r="BB45035" s="122"/>
      <c r="BC45035" s="141"/>
    </row>
    <row r="45036">
      <c r="BB45036" s="122"/>
      <c r="BC45036" s="141"/>
    </row>
    <row r="45037">
      <c r="BB45037" s="122"/>
      <c r="BC45037" s="141"/>
    </row>
    <row r="45038">
      <c r="BB45038" s="122"/>
      <c r="BC45038" s="141"/>
    </row>
    <row r="45039">
      <c r="BB45039" s="122"/>
      <c r="BC45039" s="141"/>
    </row>
    <row r="45040">
      <c r="BB45040" s="122"/>
      <c r="BC45040" s="141"/>
    </row>
    <row r="45041">
      <c r="BB45041" s="122"/>
      <c r="BC45041" s="141"/>
    </row>
    <row r="45042">
      <c r="BB45042" s="122"/>
      <c r="BC45042" s="141"/>
    </row>
    <row r="45043">
      <c r="BB45043" s="122"/>
      <c r="BC45043" s="141"/>
    </row>
    <row r="45044">
      <c r="BB45044" s="122"/>
      <c r="BC45044" s="141"/>
    </row>
    <row r="45045">
      <c r="BB45045" s="122"/>
      <c r="BC45045" s="141"/>
    </row>
    <row r="45046">
      <c r="BB45046" s="122"/>
      <c r="BC45046" s="141"/>
    </row>
    <row r="45047">
      <c r="BB45047" s="122"/>
      <c r="BC45047" s="141"/>
    </row>
    <row r="45048">
      <c r="BB45048" s="122"/>
      <c r="BC45048" s="141"/>
    </row>
    <row r="45049">
      <c r="BB45049" s="122"/>
      <c r="BC45049" s="141"/>
    </row>
    <row r="45050">
      <c r="BB45050" s="122"/>
      <c r="BC45050" s="141"/>
    </row>
    <row r="45051">
      <c r="BB45051" s="122"/>
      <c r="BC45051" s="141"/>
    </row>
    <row r="45052">
      <c r="BB45052" s="122"/>
      <c r="BC45052" s="141"/>
    </row>
    <row r="45053">
      <c r="BB45053" s="122"/>
      <c r="BC45053" s="141"/>
    </row>
    <row r="45054">
      <c r="BB45054" s="122"/>
      <c r="BC45054" s="141"/>
    </row>
    <row r="45055">
      <c r="BB45055" s="122"/>
      <c r="BC45055" s="141"/>
    </row>
    <row r="45056">
      <c r="BB45056" s="122"/>
      <c r="BC45056" s="141"/>
    </row>
    <row r="45057">
      <c r="BB45057" s="122"/>
      <c r="BC45057" s="141"/>
    </row>
    <row r="45058">
      <c r="BB45058" s="122"/>
      <c r="BC45058" s="141"/>
    </row>
    <row r="45059">
      <c r="BB45059" s="122"/>
      <c r="BC45059" s="141"/>
    </row>
    <row r="45060">
      <c r="BB45060" s="122"/>
      <c r="BC45060" s="141"/>
    </row>
    <row r="45061">
      <c r="BB45061" s="122"/>
      <c r="BC45061" s="141"/>
    </row>
    <row r="45062">
      <c r="BB45062" s="122"/>
      <c r="BC45062" s="141"/>
    </row>
    <row r="45063">
      <c r="BB45063" s="122"/>
      <c r="BC45063" s="141"/>
    </row>
    <row r="45064">
      <c r="BB45064" s="122"/>
      <c r="BC45064" s="141"/>
    </row>
    <row r="45065">
      <c r="BB45065" s="122"/>
      <c r="BC45065" s="141"/>
    </row>
    <row r="45066">
      <c r="BB45066" s="122"/>
      <c r="BC45066" s="141"/>
    </row>
    <row r="45067">
      <c r="BB45067" s="122"/>
      <c r="BC45067" s="141"/>
    </row>
    <row r="45068">
      <c r="BB45068" s="122"/>
      <c r="BC45068" s="141"/>
    </row>
    <row r="45069">
      <c r="BB45069" s="122"/>
      <c r="BC45069" s="141"/>
    </row>
    <row r="45070">
      <c r="BB45070" s="122"/>
      <c r="BC45070" s="141"/>
    </row>
    <row r="45071">
      <c r="BB45071" s="122"/>
      <c r="BC45071" s="141"/>
    </row>
    <row r="45072">
      <c r="BB45072" s="122"/>
      <c r="BC45072" s="141"/>
    </row>
    <row r="45073">
      <c r="BB45073" s="122"/>
      <c r="BC45073" s="141"/>
    </row>
    <row r="45074">
      <c r="BB45074" s="122"/>
      <c r="BC45074" s="141"/>
    </row>
    <row r="45075">
      <c r="BB45075" s="122"/>
      <c r="BC45075" s="141"/>
    </row>
    <row r="45076">
      <c r="BB45076" s="122"/>
      <c r="BC45076" s="141"/>
    </row>
    <row r="45077">
      <c r="BB45077" s="122"/>
      <c r="BC45077" s="141"/>
    </row>
    <row r="45078">
      <c r="BB45078" s="122"/>
      <c r="BC45078" s="141"/>
    </row>
    <row r="45079">
      <c r="BB45079" s="122"/>
      <c r="BC45079" s="141"/>
    </row>
    <row r="45080">
      <c r="BB45080" s="122"/>
      <c r="BC45080" s="141"/>
    </row>
    <row r="45081">
      <c r="BB45081" s="122"/>
      <c r="BC45081" s="141"/>
    </row>
    <row r="45082">
      <c r="BB45082" s="122"/>
      <c r="BC45082" s="141"/>
    </row>
    <row r="45083">
      <c r="BB45083" s="122"/>
      <c r="BC45083" s="141"/>
    </row>
    <row r="45084">
      <c r="BB45084" s="122"/>
      <c r="BC45084" s="141"/>
    </row>
    <row r="45085">
      <c r="BB45085" s="122"/>
      <c r="BC45085" s="141"/>
    </row>
    <row r="45086">
      <c r="BB45086" s="122"/>
      <c r="BC45086" s="141"/>
    </row>
    <row r="45087">
      <c r="BB45087" s="122"/>
      <c r="BC45087" s="141"/>
    </row>
    <row r="45088">
      <c r="BB45088" s="122"/>
      <c r="BC45088" s="141"/>
    </row>
    <row r="45089">
      <c r="BB45089" s="122"/>
      <c r="BC45089" s="141"/>
    </row>
    <row r="45090">
      <c r="BB45090" s="122"/>
      <c r="BC45090" s="141"/>
    </row>
    <row r="45091">
      <c r="BB45091" s="122"/>
      <c r="BC45091" s="141"/>
    </row>
    <row r="45092">
      <c r="BB45092" s="122"/>
      <c r="BC45092" s="141"/>
    </row>
    <row r="45093">
      <c r="BB45093" s="122"/>
      <c r="BC45093" s="141"/>
    </row>
    <row r="45094">
      <c r="BB45094" s="122"/>
      <c r="BC45094" s="141"/>
    </row>
    <row r="45095">
      <c r="BB45095" s="122"/>
      <c r="BC45095" s="141"/>
    </row>
    <row r="45096">
      <c r="BB45096" s="122"/>
      <c r="BC45096" s="141"/>
    </row>
    <row r="45097">
      <c r="BB45097" s="122"/>
      <c r="BC45097" s="141"/>
    </row>
    <row r="45098">
      <c r="BB45098" s="122"/>
      <c r="BC45098" s="141"/>
    </row>
    <row r="45099">
      <c r="BB45099" s="122"/>
      <c r="BC45099" s="141"/>
    </row>
    <row r="45100">
      <c r="BB45100" s="122"/>
      <c r="BC45100" s="141"/>
    </row>
    <row r="45101">
      <c r="BB45101" s="122"/>
      <c r="BC45101" s="141"/>
    </row>
    <row r="45102">
      <c r="BB45102" s="122"/>
      <c r="BC45102" s="141"/>
    </row>
    <row r="45103">
      <c r="BB45103" s="122"/>
      <c r="BC45103" s="141"/>
    </row>
    <row r="45104">
      <c r="BB45104" s="122"/>
      <c r="BC45104" s="141"/>
    </row>
    <row r="45105">
      <c r="BB45105" s="122"/>
      <c r="BC45105" s="141"/>
    </row>
    <row r="45106">
      <c r="BB45106" s="122"/>
      <c r="BC45106" s="141"/>
    </row>
    <row r="45107">
      <c r="BB45107" s="122"/>
      <c r="BC45107" s="141"/>
    </row>
    <row r="45108">
      <c r="BB45108" s="122"/>
      <c r="BC45108" s="141"/>
    </row>
    <row r="45109">
      <c r="BB45109" s="122"/>
      <c r="BC45109" s="141"/>
    </row>
    <row r="45110">
      <c r="BB45110" s="122"/>
      <c r="BC45110" s="141"/>
    </row>
    <row r="45111">
      <c r="BB45111" s="122"/>
      <c r="BC45111" s="141"/>
    </row>
    <row r="45112">
      <c r="BB45112" s="122"/>
      <c r="BC45112" s="141"/>
    </row>
    <row r="45113">
      <c r="BB45113" s="122"/>
      <c r="BC45113" s="141"/>
    </row>
    <row r="45114">
      <c r="BB45114" s="122"/>
      <c r="BC45114" s="141"/>
    </row>
    <row r="45115">
      <c r="BB45115" s="122"/>
      <c r="BC45115" s="141"/>
    </row>
    <row r="45116">
      <c r="BB45116" s="122"/>
      <c r="BC45116" s="141"/>
    </row>
    <row r="45117">
      <c r="BB45117" s="122"/>
      <c r="BC45117" s="141"/>
    </row>
    <row r="45118">
      <c r="BB45118" s="122"/>
      <c r="BC45118" s="141"/>
    </row>
    <row r="45119">
      <c r="BB45119" s="122"/>
      <c r="BC45119" s="141"/>
    </row>
    <row r="45120">
      <c r="BB45120" s="122"/>
      <c r="BC45120" s="141"/>
    </row>
    <row r="45121">
      <c r="BB45121" s="122"/>
      <c r="BC45121" s="141"/>
    </row>
    <row r="45122">
      <c r="BB45122" s="122"/>
      <c r="BC45122" s="141"/>
    </row>
    <row r="45123">
      <c r="BB45123" s="122"/>
      <c r="BC45123" s="141"/>
    </row>
    <row r="45124">
      <c r="BB45124" s="122"/>
      <c r="BC45124" s="141"/>
    </row>
    <row r="45125">
      <c r="BB45125" s="122"/>
      <c r="BC45125" s="141"/>
    </row>
    <row r="45126">
      <c r="BB45126" s="122"/>
      <c r="BC45126" s="141"/>
    </row>
    <row r="45127">
      <c r="BB45127" s="122"/>
      <c r="BC45127" s="141"/>
    </row>
    <row r="45128">
      <c r="BB45128" s="122"/>
      <c r="BC45128" s="141"/>
    </row>
    <row r="45129">
      <c r="BB45129" s="122"/>
      <c r="BC45129" s="141"/>
    </row>
    <row r="45130">
      <c r="BB45130" s="122"/>
      <c r="BC45130" s="141"/>
    </row>
    <row r="45131">
      <c r="BB45131" s="122"/>
      <c r="BC45131" s="141"/>
    </row>
    <row r="45132">
      <c r="BB45132" s="122"/>
      <c r="BC45132" s="141"/>
    </row>
    <row r="45133">
      <c r="BB45133" s="122"/>
      <c r="BC45133" s="141"/>
    </row>
    <row r="45134">
      <c r="BB45134" s="122"/>
      <c r="BC45134" s="141"/>
    </row>
    <row r="45135">
      <c r="BB45135" s="122"/>
      <c r="BC45135" s="141"/>
    </row>
    <row r="45136">
      <c r="BB45136" s="122"/>
      <c r="BC45136" s="141"/>
    </row>
    <row r="45137">
      <c r="BB45137" s="122"/>
      <c r="BC45137" s="141"/>
    </row>
    <row r="45138">
      <c r="BB45138" s="122"/>
      <c r="BC45138" s="141"/>
    </row>
    <row r="45139">
      <c r="BB45139" s="122"/>
      <c r="BC45139" s="141"/>
    </row>
    <row r="45140">
      <c r="BB45140" s="122"/>
      <c r="BC45140" s="141"/>
    </row>
    <row r="45141">
      <c r="BB45141" s="122"/>
      <c r="BC45141" s="141"/>
    </row>
    <row r="45142">
      <c r="BB45142" s="122"/>
      <c r="BC45142" s="141"/>
    </row>
    <row r="45143">
      <c r="BB45143" s="122"/>
      <c r="BC45143" s="141"/>
    </row>
    <row r="45144">
      <c r="BB45144" s="122"/>
      <c r="BC45144" s="141"/>
    </row>
    <row r="45145">
      <c r="BB45145" s="122"/>
      <c r="BC45145" s="141"/>
    </row>
    <row r="45146">
      <c r="BB45146" s="122"/>
      <c r="BC45146" s="141"/>
    </row>
    <row r="45147">
      <c r="BB45147" s="122"/>
      <c r="BC45147" s="141"/>
    </row>
    <row r="45148">
      <c r="BB45148" s="122"/>
      <c r="BC45148" s="141"/>
    </row>
    <row r="45149">
      <c r="BB45149" s="122"/>
      <c r="BC45149" s="141"/>
    </row>
    <row r="45150">
      <c r="BB45150" s="122"/>
      <c r="BC45150" s="141"/>
    </row>
    <row r="45151">
      <c r="BB45151" s="122"/>
      <c r="BC45151" s="141"/>
    </row>
    <row r="45152">
      <c r="BB45152" s="122"/>
      <c r="BC45152" s="141"/>
    </row>
    <row r="45153">
      <c r="BB45153" s="122"/>
      <c r="BC45153" s="141"/>
    </row>
    <row r="45154">
      <c r="BB45154" s="122"/>
      <c r="BC45154" s="141"/>
    </row>
    <row r="45155">
      <c r="BB45155" s="122"/>
      <c r="BC45155" s="141"/>
    </row>
    <row r="45156">
      <c r="BB45156" s="122"/>
      <c r="BC45156" s="141"/>
    </row>
    <row r="45157">
      <c r="BB45157" s="122"/>
      <c r="BC45157" s="141"/>
    </row>
    <row r="45158">
      <c r="BB45158" s="122"/>
      <c r="BC45158" s="141"/>
    </row>
    <row r="45159">
      <c r="BB45159" s="122"/>
      <c r="BC45159" s="141"/>
    </row>
    <row r="45160">
      <c r="BB45160" s="122"/>
      <c r="BC45160" s="141"/>
    </row>
    <row r="45161">
      <c r="BB45161" s="122"/>
      <c r="BC45161" s="141"/>
    </row>
    <row r="45162">
      <c r="BB45162" s="122"/>
      <c r="BC45162" s="141"/>
    </row>
    <row r="45163">
      <c r="BB45163" s="122"/>
      <c r="BC45163" s="141"/>
    </row>
    <row r="45164">
      <c r="BB45164" s="122"/>
      <c r="BC45164" s="141"/>
    </row>
    <row r="45165">
      <c r="BB45165" s="122"/>
      <c r="BC45165" s="141"/>
    </row>
    <row r="45166">
      <c r="BB45166" s="122"/>
      <c r="BC45166" s="141"/>
    </row>
    <row r="45167">
      <c r="BB45167" s="122"/>
      <c r="BC45167" s="141"/>
    </row>
    <row r="45168">
      <c r="BB45168" s="122"/>
      <c r="BC45168" s="141"/>
    </row>
    <row r="45169">
      <c r="BB45169" s="122"/>
      <c r="BC45169" s="141"/>
    </row>
    <row r="45170">
      <c r="BB45170" s="122"/>
      <c r="BC45170" s="141"/>
    </row>
    <row r="45171">
      <c r="BB45171" s="122"/>
      <c r="BC45171" s="141"/>
    </row>
    <row r="45172">
      <c r="BB45172" s="122"/>
      <c r="BC45172" s="141"/>
    </row>
    <row r="45173">
      <c r="BB45173" s="122"/>
      <c r="BC45173" s="141"/>
    </row>
    <row r="45174">
      <c r="BB45174" s="122"/>
      <c r="BC45174" s="141"/>
    </row>
    <row r="45175">
      <c r="BB45175" s="122"/>
      <c r="BC45175" s="141"/>
    </row>
    <row r="45176">
      <c r="BB45176" s="122"/>
      <c r="BC45176" s="141"/>
    </row>
    <row r="45177">
      <c r="BB45177" s="122"/>
      <c r="BC45177" s="141"/>
    </row>
    <row r="45178">
      <c r="BB45178" s="122"/>
      <c r="BC45178" s="141"/>
    </row>
    <row r="45179">
      <c r="BB45179" s="122"/>
      <c r="BC45179" s="141"/>
    </row>
    <row r="45180">
      <c r="BB45180" s="122"/>
      <c r="BC45180" s="141"/>
    </row>
    <row r="45181">
      <c r="BB45181" s="122"/>
      <c r="BC45181" s="141"/>
    </row>
    <row r="45182">
      <c r="BB45182" s="122"/>
      <c r="BC45182" s="141"/>
    </row>
    <row r="45183">
      <c r="BB45183" s="122"/>
      <c r="BC45183" s="141"/>
    </row>
    <row r="45184">
      <c r="BB45184" s="122"/>
      <c r="BC45184" s="141"/>
    </row>
    <row r="45185">
      <c r="BB45185" s="122"/>
      <c r="BC45185" s="141"/>
    </row>
    <row r="45186">
      <c r="BB45186" s="122"/>
      <c r="BC45186" s="141"/>
    </row>
    <row r="45187">
      <c r="BB45187" s="122"/>
      <c r="BC45187" s="141"/>
    </row>
    <row r="45188">
      <c r="BB45188" s="122"/>
      <c r="BC45188" s="141"/>
    </row>
    <row r="45189">
      <c r="BB45189" s="122"/>
      <c r="BC45189" s="141"/>
    </row>
    <row r="45190">
      <c r="BB45190" s="122"/>
      <c r="BC45190" s="141"/>
    </row>
    <row r="45191">
      <c r="BB45191" s="122"/>
      <c r="BC45191" s="141"/>
    </row>
    <row r="45192">
      <c r="BB45192" s="122"/>
      <c r="BC45192" s="141"/>
    </row>
    <row r="45193">
      <c r="BB45193" s="122"/>
      <c r="BC45193" s="141"/>
    </row>
    <row r="45194">
      <c r="BB45194" s="122"/>
      <c r="BC45194" s="141"/>
    </row>
    <row r="45195">
      <c r="BB45195" s="122"/>
      <c r="BC45195" s="141"/>
    </row>
    <row r="45196">
      <c r="BB45196" s="122"/>
      <c r="BC45196" s="141"/>
    </row>
    <row r="45197">
      <c r="BB45197" s="122"/>
      <c r="BC45197" s="141"/>
    </row>
    <row r="45198">
      <c r="BB45198" s="122"/>
      <c r="BC45198" s="141"/>
    </row>
    <row r="45199">
      <c r="BB45199" s="122"/>
      <c r="BC45199" s="141"/>
    </row>
    <row r="45200">
      <c r="BB45200" s="122"/>
      <c r="BC45200" s="141"/>
    </row>
    <row r="45201">
      <c r="BB45201" s="122"/>
      <c r="BC45201" s="141"/>
    </row>
    <row r="45202">
      <c r="BB45202" s="122"/>
      <c r="BC45202" s="141"/>
    </row>
    <row r="45203">
      <c r="BB45203" s="122"/>
      <c r="BC45203" s="141"/>
    </row>
    <row r="45204">
      <c r="BB45204" s="122"/>
      <c r="BC45204" s="141"/>
    </row>
    <row r="45205">
      <c r="BB45205" s="122"/>
      <c r="BC45205" s="141"/>
    </row>
    <row r="45206">
      <c r="BB45206" s="122"/>
      <c r="BC45206" s="141"/>
    </row>
    <row r="45207">
      <c r="BB45207" s="122"/>
      <c r="BC45207" s="141"/>
    </row>
    <row r="45208">
      <c r="BB45208" s="122"/>
      <c r="BC45208" s="141"/>
    </row>
    <row r="45209">
      <c r="BB45209" s="122"/>
      <c r="BC45209" s="141"/>
    </row>
    <row r="45210">
      <c r="BB45210" s="122"/>
      <c r="BC45210" s="141"/>
    </row>
    <row r="45211">
      <c r="BB45211" s="122"/>
      <c r="BC45211" s="141"/>
    </row>
    <row r="45212">
      <c r="BB45212" s="122"/>
      <c r="BC45212" s="141"/>
    </row>
    <row r="45213">
      <c r="BB45213" s="122"/>
      <c r="BC45213" s="141"/>
    </row>
    <row r="45214">
      <c r="BB45214" s="122"/>
      <c r="BC45214" s="141"/>
    </row>
    <row r="45215">
      <c r="BB45215" s="122"/>
      <c r="BC45215" s="141"/>
    </row>
    <row r="45216">
      <c r="BB45216" s="122"/>
      <c r="BC45216" s="141"/>
    </row>
    <row r="45217">
      <c r="BB45217" s="122"/>
      <c r="BC45217" s="141"/>
    </row>
    <row r="45218">
      <c r="BB45218" s="122"/>
      <c r="BC45218" s="141"/>
    </row>
    <row r="45219">
      <c r="BB45219" s="122"/>
      <c r="BC45219" s="141"/>
    </row>
    <row r="45220">
      <c r="BB45220" s="122"/>
      <c r="BC45220" s="141"/>
    </row>
    <row r="45221">
      <c r="BB45221" s="122"/>
      <c r="BC45221" s="141"/>
    </row>
    <row r="45222">
      <c r="BB45222" s="122"/>
      <c r="BC45222" s="141"/>
    </row>
    <row r="45223">
      <c r="BB45223" s="122"/>
      <c r="BC45223" s="141"/>
    </row>
    <row r="45224">
      <c r="BB45224" s="122"/>
      <c r="BC45224" s="141"/>
    </row>
    <row r="45225">
      <c r="BB45225" s="122"/>
      <c r="BC45225" s="141"/>
    </row>
    <row r="45226">
      <c r="BB45226" s="122"/>
      <c r="BC45226" s="141"/>
    </row>
    <row r="45227">
      <c r="BB45227" s="122"/>
      <c r="BC45227" s="141"/>
    </row>
    <row r="45228">
      <c r="BB45228" s="122"/>
      <c r="BC45228" s="141"/>
    </row>
    <row r="45229">
      <c r="BB45229" s="122"/>
      <c r="BC45229" s="141"/>
    </row>
    <row r="45230">
      <c r="BB45230" s="122"/>
      <c r="BC45230" s="141"/>
    </row>
    <row r="45231">
      <c r="BB45231" s="122"/>
      <c r="BC45231" s="141"/>
    </row>
    <row r="45232">
      <c r="BB45232" s="122"/>
      <c r="BC45232" s="141"/>
    </row>
    <row r="45233">
      <c r="BB45233" s="122"/>
      <c r="BC45233" s="141"/>
    </row>
    <row r="45234">
      <c r="BB45234" s="122"/>
      <c r="BC45234" s="141"/>
    </row>
    <row r="45235">
      <c r="BB45235" s="122"/>
      <c r="BC45235" s="141"/>
    </row>
    <row r="45236">
      <c r="BB45236" s="122"/>
      <c r="BC45236" s="141"/>
    </row>
    <row r="45237">
      <c r="BB45237" s="122"/>
      <c r="BC45237" s="141"/>
    </row>
    <row r="45238">
      <c r="BB45238" s="122"/>
      <c r="BC45238" s="141"/>
    </row>
    <row r="45239">
      <c r="BB45239" s="122"/>
      <c r="BC45239" s="141"/>
    </row>
    <row r="45240">
      <c r="BB45240" s="122"/>
      <c r="BC45240" s="141"/>
    </row>
    <row r="45241">
      <c r="BB45241" s="122"/>
      <c r="BC45241" s="141"/>
    </row>
    <row r="45242">
      <c r="BB45242" s="122"/>
      <c r="BC45242" s="141"/>
    </row>
    <row r="45243">
      <c r="BB45243" s="122"/>
      <c r="BC45243" s="141"/>
    </row>
    <row r="45244">
      <c r="BB45244" s="122"/>
      <c r="BC45244" s="141"/>
    </row>
    <row r="45245">
      <c r="BB45245" s="122"/>
      <c r="BC45245" s="141"/>
    </row>
    <row r="45246">
      <c r="BB45246" s="122"/>
      <c r="BC45246" s="141"/>
    </row>
    <row r="45247">
      <c r="BB45247" s="122"/>
      <c r="BC45247" s="141"/>
    </row>
    <row r="45248">
      <c r="BB45248" s="122"/>
      <c r="BC45248" s="141"/>
    </row>
    <row r="45249">
      <c r="BB45249" s="122"/>
      <c r="BC45249" s="141"/>
    </row>
    <row r="45250">
      <c r="BB45250" s="122"/>
      <c r="BC45250" s="141"/>
    </row>
    <row r="45251">
      <c r="BB45251" s="122"/>
      <c r="BC45251" s="141"/>
    </row>
    <row r="45252">
      <c r="BB45252" s="122"/>
      <c r="BC45252" s="141"/>
    </row>
    <row r="45253">
      <c r="BB45253" s="122"/>
      <c r="BC45253" s="141"/>
    </row>
    <row r="45254">
      <c r="BB45254" s="122"/>
      <c r="BC45254" s="141"/>
    </row>
    <row r="45255">
      <c r="BB45255" s="122"/>
      <c r="BC45255" s="141"/>
    </row>
    <row r="45256">
      <c r="BB45256" s="122"/>
      <c r="BC45256" s="141"/>
    </row>
    <row r="45257">
      <c r="BB45257" s="122"/>
      <c r="BC45257" s="141"/>
    </row>
    <row r="45258">
      <c r="BB45258" s="122"/>
      <c r="BC45258" s="141"/>
    </row>
    <row r="45259">
      <c r="BB45259" s="122"/>
      <c r="BC45259" s="141"/>
    </row>
    <row r="45260">
      <c r="BB45260" s="122"/>
      <c r="BC45260" s="141"/>
    </row>
    <row r="45261">
      <c r="BB45261" s="122"/>
      <c r="BC45261" s="141"/>
    </row>
    <row r="45262">
      <c r="BB45262" s="122"/>
      <c r="BC45262" s="141"/>
    </row>
    <row r="45263">
      <c r="BB45263" s="122"/>
      <c r="BC45263" s="141"/>
    </row>
    <row r="45264">
      <c r="BB45264" s="122"/>
      <c r="BC45264" s="141"/>
    </row>
    <row r="45265">
      <c r="BB45265" s="122"/>
      <c r="BC45265" s="141"/>
    </row>
    <row r="45266">
      <c r="BB45266" s="122"/>
      <c r="BC45266" s="141"/>
    </row>
    <row r="45267">
      <c r="BB45267" s="122"/>
      <c r="BC45267" s="141"/>
    </row>
    <row r="45268">
      <c r="BB45268" s="122"/>
      <c r="BC45268" s="141"/>
    </row>
    <row r="45269">
      <c r="BB45269" s="122"/>
      <c r="BC45269" s="141"/>
    </row>
    <row r="45270">
      <c r="BB45270" s="122"/>
      <c r="BC45270" s="141"/>
    </row>
    <row r="45271">
      <c r="BB45271" s="122"/>
      <c r="BC45271" s="141"/>
    </row>
    <row r="45272">
      <c r="BB45272" s="122"/>
      <c r="BC45272" s="141"/>
    </row>
    <row r="45273">
      <c r="BB45273" s="122"/>
      <c r="BC45273" s="141"/>
    </row>
    <row r="45274">
      <c r="BB45274" s="122"/>
      <c r="BC45274" s="141"/>
    </row>
    <row r="45275">
      <c r="BB45275" s="122"/>
      <c r="BC45275" s="141"/>
    </row>
    <row r="45276">
      <c r="BB45276" s="122"/>
      <c r="BC45276" s="141"/>
    </row>
    <row r="45277">
      <c r="BB45277" s="122"/>
      <c r="BC45277" s="141"/>
    </row>
    <row r="45278">
      <c r="BB45278" s="122"/>
      <c r="BC45278" s="141"/>
    </row>
    <row r="45279">
      <c r="BB45279" s="122"/>
      <c r="BC45279" s="141"/>
    </row>
    <row r="45280">
      <c r="BB45280" s="122"/>
      <c r="BC45280" s="141"/>
    </row>
    <row r="45281">
      <c r="BB45281" s="122"/>
      <c r="BC45281" s="141"/>
    </row>
    <row r="45282">
      <c r="BB45282" s="122"/>
      <c r="BC45282" s="141"/>
    </row>
    <row r="45283">
      <c r="BB45283" s="122"/>
      <c r="BC45283" s="141"/>
    </row>
    <row r="45284">
      <c r="BB45284" s="122"/>
      <c r="BC45284" s="141"/>
    </row>
    <row r="45285">
      <c r="BB45285" s="122"/>
      <c r="BC45285" s="141"/>
    </row>
    <row r="45286">
      <c r="BB45286" s="122"/>
      <c r="BC45286" s="141"/>
    </row>
    <row r="45287">
      <c r="BB45287" s="122"/>
      <c r="BC45287" s="141"/>
    </row>
    <row r="45288">
      <c r="BB45288" s="122"/>
      <c r="BC45288" s="141"/>
    </row>
    <row r="45289">
      <c r="BB45289" s="122"/>
      <c r="BC45289" s="141"/>
    </row>
    <row r="45290">
      <c r="BB45290" s="122"/>
      <c r="BC45290" s="141"/>
    </row>
    <row r="45291">
      <c r="BB45291" s="122"/>
      <c r="BC45291" s="141"/>
    </row>
    <row r="45292">
      <c r="BB45292" s="122"/>
      <c r="BC45292" s="141"/>
    </row>
    <row r="45293">
      <c r="BB45293" s="122"/>
      <c r="BC45293" s="141"/>
    </row>
    <row r="45294">
      <c r="BB45294" s="122"/>
      <c r="BC45294" s="141"/>
    </row>
    <row r="45295">
      <c r="BB45295" s="122"/>
      <c r="BC45295" s="141"/>
    </row>
    <row r="45296">
      <c r="BB45296" s="122"/>
      <c r="BC45296" s="141"/>
    </row>
    <row r="45297">
      <c r="BB45297" s="122"/>
      <c r="BC45297" s="141"/>
    </row>
    <row r="45298">
      <c r="BB45298" s="122"/>
      <c r="BC45298" s="141"/>
    </row>
    <row r="45299">
      <c r="BB45299" s="122"/>
      <c r="BC45299" s="141"/>
    </row>
    <row r="45300">
      <c r="BB45300" s="122"/>
      <c r="BC45300" s="141"/>
    </row>
    <row r="45301">
      <c r="BB45301" s="122"/>
      <c r="BC45301" s="141"/>
    </row>
    <row r="45302">
      <c r="BB45302" s="122"/>
      <c r="BC45302" s="141"/>
    </row>
    <row r="45303">
      <c r="BB45303" s="122"/>
      <c r="BC45303" s="141"/>
    </row>
    <row r="45304">
      <c r="BB45304" s="122"/>
      <c r="BC45304" s="141"/>
    </row>
    <row r="45305">
      <c r="BB45305" s="122"/>
      <c r="BC45305" s="141"/>
    </row>
    <row r="45306">
      <c r="BB45306" s="122"/>
      <c r="BC45306" s="141"/>
    </row>
    <row r="45307">
      <c r="BB45307" s="122"/>
      <c r="BC45307" s="141"/>
    </row>
    <row r="45308">
      <c r="BB45308" s="122"/>
      <c r="BC45308" s="141"/>
    </row>
    <row r="45309">
      <c r="BB45309" s="122"/>
      <c r="BC45309" s="141"/>
    </row>
    <row r="45310">
      <c r="BB45310" s="122"/>
      <c r="BC45310" s="141"/>
    </row>
    <row r="45311">
      <c r="BB45311" s="122"/>
      <c r="BC45311" s="141"/>
    </row>
    <row r="45312">
      <c r="BB45312" s="122"/>
      <c r="BC45312" s="141"/>
    </row>
    <row r="45313">
      <c r="BB45313" s="122"/>
      <c r="BC45313" s="141"/>
    </row>
    <row r="45314">
      <c r="BB45314" s="122"/>
      <c r="BC45314" s="141"/>
    </row>
    <row r="45315">
      <c r="BB45315" s="122"/>
      <c r="BC45315" s="141"/>
    </row>
    <row r="45316">
      <c r="BB45316" s="122"/>
      <c r="BC45316" s="141"/>
    </row>
    <row r="45317">
      <c r="BB45317" s="122"/>
      <c r="BC45317" s="141"/>
    </row>
    <row r="45318">
      <c r="BB45318" s="122"/>
      <c r="BC45318" s="141"/>
    </row>
    <row r="45319">
      <c r="BB45319" s="122"/>
      <c r="BC45319" s="141"/>
    </row>
    <row r="45320">
      <c r="BB45320" s="122"/>
      <c r="BC45320" s="141"/>
    </row>
    <row r="45321">
      <c r="BB45321" s="122"/>
      <c r="BC45321" s="141"/>
    </row>
    <row r="45322">
      <c r="BB45322" s="122"/>
      <c r="BC45322" s="141"/>
    </row>
    <row r="45323">
      <c r="BB45323" s="122"/>
      <c r="BC45323" s="141"/>
    </row>
    <row r="45324">
      <c r="BB45324" s="122"/>
      <c r="BC45324" s="141"/>
    </row>
    <row r="45325">
      <c r="BB45325" s="122"/>
      <c r="BC45325" s="141"/>
    </row>
    <row r="45326">
      <c r="BB45326" s="122"/>
      <c r="BC45326" s="141"/>
    </row>
    <row r="45327">
      <c r="BB45327" s="122"/>
      <c r="BC45327" s="141"/>
    </row>
    <row r="45328">
      <c r="BB45328" s="122"/>
      <c r="BC45328" s="141"/>
    </row>
    <row r="45329">
      <c r="BB45329" s="122"/>
      <c r="BC45329" s="141"/>
    </row>
    <row r="45330">
      <c r="BB45330" s="122"/>
      <c r="BC45330" s="141"/>
    </row>
    <row r="45331">
      <c r="BB45331" s="122"/>
      <c r="BC45331" s="141"/>
    </row>
    <row r="45332">
      <c r="BB45332" s="122"/>
      <c r="BC45332" s="141"/>
    </row>
    <row r="45333">
      <c r="BB45333" s="122"/>
      <c r="BC45333" s="141"/>
    </row>
    <row r="45334">
      <c r="BB45334" s="122"/>
      <c r="BC45334" s="141"/>
    </row>
    <row r="45335">
      <c r="BB45335" s="122"/>
      <c r="BC45335" s="141"/>
    </row>
    <row r="45336">
      <c r="BB45336" s="122"/>
      <c r="BC45336" s="141"/>
    </row>
    <row r="45337">
      <c r="BB45337" s="122"/>
      <c r="BC45337" s="141"/>
    </row>
    <row r="45338">
      <c r="BB45338" s="122"/>
      <c r="BC45338" s="141"/>
    </row>
    <row r="45339">
      <c r="BB45339" s="122"/>
      <c r="BC45339" s="141"/>
    </row>
    <row r="45340">
      <c r="BB45340" s="122"/>
      <c r="BC45340" s="141"/>
    </row>
    <row r="45341">
      <c r="BB45341" s="122"/>
      <c r="BC45341" s="141"/>
    </row>
    <row r="45342">
      <c r="BB45342" s="122"/>
      <c r="BC45342" s="141"/>
    </row>
    <row r="45343">
      <c r="BB45343" s="122"/>
      <c r="BC45343" s="141"/>
    </row>
    <row r="45344">
      <c r="BB45344" s="122"/>
      <c r="BC45344" s="141"/>
    </row>
    <row r="45345">
      <c r="BB45345" s="122"/>
      <c r="BC45345" s="141"/>
    </row>
    <row r="45346">
      <c r="BB45346" s="122"/>
      <c r="BC45346" s="141"/>
    </row>
    <row r="45347">
      <c r="BB45347" s="122"/>
      <c r="BC45347" s="141"/>
    </row>
    <row r="45348">
      <c r="BB45348" s="122"/>
      <c r="BC45348" s="141"/>
    </row>
    <row r="45349">
      <c r="BB45349" s="122"/>
      <c r="BC45349" s="141"/>
    </row>
    <row r="45350">
      <c r="BB45350" s="122"/>
      <c r="BC45350" s="141"/>
    </row>
    <row r="45351">
      <c r="BB45351" s="122"/>
      <c r="BC45351" s="141"/>
    </row>
    <row r="45352">
      <c r="BB45352" s="122"/>
      <c r="BC45352" s="141"/>
    </row>
    <row r="45353">
      <c r="BB45353" s="122"/>
      <c r="BC45353" s="141"/>
    </row>
    <row r="45354">
      <c r="BB45354" s="122"/>
      <c r="BC45354" s="141"/>
    </row>
    <row r="45355">
      <c r="BB45355" s="122"/>
      <c r="BC45355" s="141"/>
    </row>
    <row r="45356">
      <c r="BB45356" s="122"/>
      <c r="BC45356" s="141"/>
    </row>
    <row r="45357">
      <c r="BB45357" s="122"/>
      <c r="BC45357" s="141"/>
    </row>
    <row r="45358">
      <c r="BB45358" s="122"/>
      <c r="BC45358" s="141"/>
    </row>
    <row r="45359">
      <c r="BB45359" s="122"/>
      <c r="BC45359" s="141"/>
    </row>
    <row r="45360">
      <c r="BB45360" s="122"/>
      <c r="BC45360" s="141"/>
    </row>
    <row r="45361">
      <c r="BB45361" s="122"/>
      <c r="BC45361" s="141"/>
    </row>
    <row r="45362">
      <c r="BB45362" s="122"/>
      <c r="BC45362" s="141"/>
    </row>
    <row r="45363">
      <c r="BB45363" s="122"/>
      <c r="BC45363" s="141"/>
    </row>
    <row r="45364">
      <c r="BB45364" s="122"/>
      <c r="BC45364" s="141"/>
    </row>
    <row r="45365">
      <c r="BB45365" s="122"/>
      <c r="BC45365" s="141"/>
    </row>
    <row r="45366">
      <c r="BB45366" s="122"/>
      <c r="BC45366" s="141"/>
    </row>
    <row r="45367">
      <c r="BB45367" s="122"/>
      <c r="BC45367" s="141"/>
    </row>
    <row r="45368">
      <c r="BB45368" s="122"/>
      <c r="BC45368" s="141"/>
    </row>
    <row r="45369">
      <c r="BB45369" s="122"/>
      <c r="BC45369" s="141"/>
    </row>
    <row r="45370">
      <c r="BB45370" s="122"/>
      <c r="BC45370" s="141"/>
    </row>
    <row r="45371">
      <c r="BB45371" s="122"/>
      <c r="BC45371" s="141"/>
    </row>
    <row r="45372">
      <c r="BB45372" s="122"/>
      <c r="BC45372" s="141"/>
    </row>
    <row r="45373">
      <c r="BB45373" s="122"/>
      <c r="BC45373" s="141"/>
    </row>
    <row r="45374">
      <c r="BB45374" s="122"/>
      <c r="BC45374" s="141"/>
    </row>
    <row r="45375">
      <c r="BB45375" s="122"/>
      <c r="BC45375" s="141"/>
    </row>
    <row r="45376">
      <c r="BB45376" s="122"/>
      <c r="BC45376" s="141"/>
    </row>
    <row r="45377">
      <c r="BB45377" s="122"/>
      <c r="BC45377" s="141"/>
    </row>
    <row r="45378">
      <c r="BB45378" s="122"/>
      <c r="BC45378" s="141"/>
    </row>
    <row r="45379">
      <c r="BB45379" s="122"/>
      <c r="BC45379" s="141"/>
    </row>
    <row r="45380">
      <c r="BB45380" s="122"/>
      <c r="BC45380" s="141"/>
    </row>
    <row r="45381">
      <c r="BB45381" s="122"/>
      <c r="BC45381" s="141"/>
    </row>
    <row r="45382">
      <c r="BB45382" s="122"/>
      <c r="BC45382" s="141"/>
    </row>
    <row r="45383">
      <c r="BB45383" s="122"/>
      <c r="BC45383" s="141"/>
    </row>
    <row r="45384">
      <c r="BB45384" s="122"/>
      <c r="BC45384" s="141"/>
    </row>
    <row r="45385">
      <c r="BB45385" s="122"/>
      <c r="BC45385" s="141"/>
    </row>
    <row r="45386">
      <c r="BB45386" s="122"/>
      <c r="BC45386" s="141"/>
    </row>
    <row r="45387">
      <c r="BB45387" s="122"/>
      <c r="BC45387" s="141"/>
    </row>
    <row r="45388">
      <c r="BB45388" s="122"/>
      <c r="BC45388" s="141"/>
    </row>
    <row r="45389">
      <c r="BB45389" s="122"/>
      <c r="BC45389" s="141"/>
    </row>
    <row r="45390">
      <c r="BB45390" s="122"/>
      <c r="BC45390" s="141"/>
    </row>
    <row r="45391">
      <c r="BB45391" s="122"/>
      <c r="BC45391" s="141"/>
    </row>
    <row r="45392">
      <c r="BB45392" s="122"/>
      <c r="BC45392" s="141"/>
    </row>
    <row r="45393">
      <c r="BB45393" s="122"/>
      <c r="BC45393" s="141"/>
    </row>
    <row r="45394">
      <c r="BB45394" s="122"/>
      <c r="BC45394" s="141"/>
    </row>
    <row r="45395">
      <c r="BB45395" s="122"/>
      <c r="BC45395" s="141"/>
    </row>
    <row r="45396">
      <c r="BB45396" s="122"/>
      <c r="BC45396" s="141"/>
    </row>
    <row r="45397">
      <c r="BB45397" s="122"/>
      <c r="BC45397" s="141"/>
    </row>
    <row r="45398">
      <c r="BB45398" s="122"/>
      <c r="BC45398" s="141"/>
    </row>
    <row r="45399">
      <c r="BB45399" s="122"/>
      <c r="BC45399" s="141"/>
    </row>
    <row r="45400">
      <c r="BB45400" s="122"/>
      <c r="BC45400" s="141"/>
    </row>
    <row r="45401">
      <c r="BB45401" s="122"/>
      <c r="BC45401" s="141"/>
    </row>
    <row r="45402">
      <c r="BB45402" s="122"/>
      <c r="BC45402" s="141"/>
    </row>
    <row r="45403">
      <c r="BB45403" s="122"/>
      <c r="BC45403" s="141"/>
    </row>
    <row r="45404">
      <c r="BB45404" s="122"/>
      <c r="BC45404" s="141"/>
    </row>
    <row r="45405">
      <c r="BB45405" s="122"/>
      <c r="BC45405" s="141"/>
    </row>
    <row r="45406">
      <c r="BB45406" s="122"/>
      <c r="BC45406" s="141"/>
    </row>
    <row r="45407">
      <c r="BB45407" s="122"/>
      <c r="BC45407" s="141"/>
    </row>
    <row r="45408">
      <c r="BB45408" s="122"/>
      <c r="BC45408" s="141"/>
    </row>
    <row r="45409">
      <c r="BB45409" s="122"/>
      <c r="BC45409" s="141"/>
    </row>
    <row r="45410">
      <c r="BB45410" s="122"/>
      <c r="BC45410" s="141"/>
    </row>
    <row r="45411">
      <c r="BB45411" s="122"/>
      <c r="BC45411" s="141"/>
    </row>
    <row r="45412">
      <c r="BB45412" s="122"/>
      <c r="BC45412" s="141"/>
    </row>
    <row r="45413">
      <c r="BB45413" s="122"/>
      <c r="BC45413" s="141"/>
    </row>
    <row r="45414">
      <c r="BB45414" s="122"/>
      <c r="BC45414" s="141"/>
    </row>
    <row r="45415">
      <c r="BB45415" s="122"/>
      <c r="BC45415" s="141"/>
    </row>
    <row r="45416">
      <c r="BB45416" s="122"/>
      <c r="BC45416" s="141"/>
    </row>
    <row r="45417">
      <c r="BB45417" s="122"/>
      <c r="BC45417" s="141"/>
    </row>
    <row r="45418">
      <c r="BB45418" s="122"/>
      <c r="BC45418" s="141"/>
    </row>
    <row r="45419">
      <c r="BB45419" s="122"/>
      <c r="BC45419" s="141"/>
    </row>
    <row r="45420">
      <c r="BB45420" s="122"/>
      <c r="BC45420" s="141"/>
    </row>
    <row r="45421">
      <c r="BB45421" s="122"/>
      <c r="BC45421" s="141"/>
    </row>
    <row r="45422">
      <c r="BB45422" s="122"/>
      <c r="BC45422" s="141"/>
    </row>
    <row r="45423">
      <c r="BB45423" s="122"/>
      <c r="BC45423" s="141"/>
    </row>
    <row r="45424">
      <c r="BB45424" s="122"/>
      <c r="BC45424" s="141"/>
    </row>
    <row r="45425">
      <c r="BB45425" s="122"/>
      <c r="BC45425" s="141"/>
    </row>
    <row r="45426">
      <c r="BB45426" s="122"/>
      <c r="BC45426" s="141"/>
    </row>
    <row r="45427">
      <c r="BB45427" s="122"/>
      <c r="BC45427" s="141"/>
    </row>
    <row r="45428">
      <c r="BB45428" s="122"/>
      <c r="BC45428" s="141"/>
    </row>
    <row r="45429">
      <c r="BB45429" s="122"/>
      <c r="BC45429" s="141"/>
    </row>
    <row r="45430">
      <c r="BB45430" s="122"/>
      <c r="BC45430" s="141"/>
    </row>
    <row r="45431">
      <c r="BB45431" s="122"/>
      <c r="BC45431" s="141"/>
    </row>
    <row r="45432">
      <c r="BB45432" s="122"/>
      <c r="BC45432" s="141"/>
    </row>
    <row r="45433">
      <c r="BB45433" s="122"/>
      <c r="BC45433" s="141"/>
    </row>
    <row r="45434">
      <c r="BB45434" s="122"/>
      <c r="BC45434" s="141"/>
    </row>
    <row r="45435">
      <c r="BB45435" s="122"/>
      <c r="BC45435" s="141"/>
    </row>
    <row r="45436">
      <c r="BB45436" s="122"/>
      <c r="BC45436" s="141"/>
    </row>
    <row r="45437">
      <c r="BB45437" s="122"/>
      <c r="BC45437" s="141"/>
    </row>
    <row r="45438">
      <c r="BB45438" s="122"/>
      <c r="BC45438" s="141"/>
    </row>
    <row r="45439">
      <c r="BB45439" s="122"/>
      <c r="BC45439" s="141"/>
    </row>
    <row r="45440">
      <c r="BB45440" s="122"/>
      <c r="BC45440" s="141"/>
    </row>
    <row r="45441">
      <c r="BB45441" s="122"/>
      <c r="BC45441" s="141"/>
    </row>
    <row r="45442">
      <c r="BB45442" s="122"/>
      <c r="BC45442" s="141"/>
    </row>
    <row r="45443">
      <c r="BB45443" s="122"/>
      <c r="BC45443" s="141"/>
    </row>
    <row r="45444">
      <c r="BB45444" s="122"/>
      <c r="BC45444" s="141"/>
    </row>
    <row r="45445">
      <c r="BB45445" s="122"/>
      <c r="BC45445" s="141"/>
    </row>
    <row r="45446">
      <c r="BB45446" s="122"/>
      <c r="BC45446" s="141"/>
    </row>
    <row r="45447">
      <c r="BB45447" s="122"/>
      <c r="BC45447" s="141"/>
    </row>
    <row r="45448">
      <c r="BB45448" s="122"/>
      <c r="BC45448" s="141"/>
    </row>
    <row r="45449">
      <c r="BB45449" s="122"/>
      <c r="BC45449" s="141"/>
    </row>
    <row r="45450">
      <c r="BB45450" s="122"/>
      <c r="BC45450" s="141"/>
    </row>
    <row r="45451">
      <c r="BB45451" s="122"/>
      <c r="BC45451" s="141"/>
    </row>
    <row r="45452">
      <c r="BB45452" s="122"/>
      <c r="BC45452" s="141"/>
    </row>
    <row r="45453">
      <c r="BB45453" s="122"/>
      <c r="BC45453" s="141"/>
    </row>
    <row r="45454">
      <c r="BB45454" s="122"/>
      <c r="BC45454" s="141"/>
    </row>
    <row r="45455">
      <c r="BB45455" s="122"/>
      <c r="BC45455" s="141"/>
    </row>
    <row r="45456">
      <c r="BB45456" s="122"/>
      <c r="BC45456" s="141"/>
    </row>
    <row r="45457">
      <c r="BB45457" s="122"/>
      <c r="BC45457" s="141"/>
    </row>
    <row r="45458">
      <c r="BB45458" s="122"/>
      <c r="BC45458" s="141"/>
    </row>
    <row r="45459">
      <c r="BB45459" s="122"/>
      <c r="BC45459" s="141"/>
    </row>
    <row r="45460">
      <c r="BB45460" s="122"/>
      <c r="BC45460" s="141"/>
    </row>
    <row r="45461">
      <c r="BB45461" s="122"/>
      <c r="BC45461" s="141"/>
    </row>
    <row r="45462">
      <c r="BB45462" s="122"/>
      <c r="BC45462" s="141"/>
    </row>
    <row r="45463">
      <c r="BB45463" s="122"/>
      <c r="BC45463" s="141"/>
    </row>
    <row r="45464">
      <c r="BB45464" s="122"/>
      <c r="BC45464" s="141"/>
    </row>
    <row r="45465">
      <c r="BB45465" s="122"/>
      <c r="BC45465" s="141"/>
    </row>
    <row r="45466">
      <c r="BB45466" s="122"/>
      <c r="BC45466" s="141"/>
    </row>
    <row r="45467">
      <c r="BB45467" s="122"/>
      <c r="BC45467" s="141"/>
    </row>
    <row r="45468">
      <c r="BB45468" s="122"/>
      <c r="BC45468" s="141"/>
    </row>
    <row r="45469">
      <c r="BB45469" s="122"/>
      <c r="BC45469" s="141"/>
    </row>
    <row r="45470">
      <c r="BB45470" s="122"/>
      <c r="BC45470" s="141"/>
    </row>
    <row r="45471">
      <c r="BB45471" s="122"/>
      <c r="BC45471" s="141"/>
    </row>
    <row r="45472">
      <c r="BB45472" s="122"/>
      <c r="BC45472" s="141"/>
    </row>
    <row r="45473">
      <c r="BB45473" s="122"/>
      <c r="BC45473" s="141"/>
    </row>
    <row r="45474">
      <c r="BB45474" s="122"/>
      <c r="BC45474" s="141"/>
    </row>
    <row r="45475">
      <c r="BB45475" s="122"/>
      <c r="BC45475" s="141"/>
    </row>
    <row r="45476">
      <c r="BB45476" s="122"/>
      <c r="BC45476" s="141"/>
    </row>
    <row r="45477">
      <c r="BB45477" s="122"/>
      <c r="BC45477" s="141"/>
    </row>
    <row r="45478">
      <c r="BB45478" s="122"/>
      <c r="BC45478" s="141"/>
    </row>
    <row r="45479">
      <c r="BB45479" s="122"/>
      <c r="BC45479" s="141"/>
    </row>
    <row r="45480">
      <c r="BB45480" s="122"/>
      <c r="BC45480" s="141"/>
    </row>
    <row r="45481">
      <c r="BB45481" s="122"/>
      <c r="BC45481" s="141"/>
    </row>
    <row r="45482">
      <c r="BB45482" s="122"/>
      <c r="BC45482" s="141"/>
    </row>
    <row r="45483">
      <c r="BB45483" s="122"/>
      <c r="BC45483" s="141"/>
    </row>
    <row r="45484">
      <c r="BB45484" s="122"/>
      <c r="BC45484" s="141"/>
    </row>
    <row r="45485">
      <c r="BB45485" s="122"/>
      <c r="BC45485" s="141"/>
    </row>
    <row r="45486">
      <c r="BB45486" s="122"/>
      <c r="BC45486" s="141"/>
    </row>
    <row r="45487">
      <c r="BB45487" s="122"/>
      <c r="BC45487" s="141"/>
    </row>
    <row r="45488">
      <c r="BB45488" s="122"/>
      <c r="BC45488" s="141"/>
    </row>
    <row r="45489">
      <c r="BB45489" s="122"/>
      <c r="BC45489" s="141"/>
    </row>
    <row r="45490">
      <c r="BB45490" s="122"/>
      <c r="BC45490" s="141"/>
    </row>
    <row r="45491">
      <c r="BB45491" s="122"/>
      <c r="BC45491" s="141"/>
    </row>
    <row r="45492">
      <c r="BB45492" s="122"/>
      <c r="BC45492" s="141"/>
    </row>
    <row r="45493">
      <c r="BB45493" s="122"/>
      <c r="BC45493" s="141"/>
    </row>
    <row r="45494">
      <c r="BB45494" s="122"/>
      <c r="BC45494" s="141"/>
    </row>
    <row r="45495">
      <c r="BB45495" s="122"/>
      <c r="BC45495" s="141"/>
    </row>
    <row r="45496">
      <c r="BB45496" s="122"/>
      <c r="BC45496" s="141"/>
    </row>
    <row r="45497">
      <c r="BB45497" s="122"/>
      <c r="BC45497" s="141"/>
    </row>
    <row r="45498">
      <c r="BB45498" s="122"/>
      <c r="BC45498" s="141"/>
    </row>
    <row r="45499">
      <c r="BB45499" s="122"/>
      <c r="BC45499" s="141"/>
    </row>
    <row r="45500">
      <c r="BB45500" s="122"/>
      <c r="BC45500" s="141"/>
    </row>
    <row r="45501">
      <c r="BB45501" s="122"/>
      <c r="BC45501" s="141"/>
    </row>
    <row r="45502">
      <c r="BB45502" s="122"/>
      <c r="BC45502" s="141"/>
    </row>
    <row r="45503">
      <c r="BB45503" s="122"/>
      <c r="BC45503" s="141"/>
    </row>
    <row r="45504">
      <c r="BB45504" s="122"/>
      <c r="BC45504" s="141"/>
    </row>
    <row r="45505">
      <c r="BB45505" s="122"/>
      <c r="BC45505" s="141"/>
    </row>
    <row r="45506">
      <c r="BB45506" s="122"/>
      <c r="BC45506" s="141"/>
    </row>
    <row r="45507">
      <c r="BB45507" s="122"/>
      <c r="BC45507" s="141"/>
    </row>
    <row r="45508">
      <c r="BB45508" s="122"/>
      <c r="BC45508" s="141"/>
    </row>
    <row r="45509">
      <c r="BB45509" s="122"/>
      <c r="BC45509" s="141"/>
    </row>
    <row r="45510">
      <c r="BB45510" s="122"/>
      <c r="BC45510" s="141"/>
    </row>
    <row r="45511">
      <c r="BB45511" s="122"/>
      <c r="BC45511" s="141"/>
    </row>
    <row r="45512">
      <c r="BB45512" s="122"/>
      <c r="BC45512" s="141"/>
    </row>
    <row r="45513">
      <c r="BB45513" s="122"/>
      <c r="BC45513" s="141"/>
    </row>
    <row r="45514">
      <c r="BB45514" s="122"/>
      <c r="BC45514" s="141"/>
    </row>
    <row r="45515">
      <c r="BB45515" s="122"/>
      <c r="BC45515" s="141"/>
    </row>
    <row r="45516">
      <c r="BB45516" s="122"/>
      <c r="BC45516" s="141"/>
    </row>
    <row r="45517">
      <c r="BB45517" s="122"/>
      <c r="BC45517" s="141"/>
    </row>
    <row r="45518">
      <c r="BB45518" s="122"/>
      <c r="BC45518" s="141"/>
    </row>
    <row r="45519">
      <c r="BB45519" s="122"/>
      <c r="BC45519" s="141"/>
    </row>
    <row r="45520">
      <c r="BB45520" s="122"/>
      <c r="BC45520" s="141"/>
    </row>
    <row r="45521">
      <c r="BB45521" s="122"/>
      <c r="BC45521" s="141"/>
    </row>
    <row r="45522">
      <c r="BB45522" s="122"/>
      <c r="BC45522" s="141"/>
    </row>
    <row r="45523">
      <c r="BB45523" s="122"/>
      <c r="BC45523" s="141"/>
    </row>
    <row r="45524">
      <c r="BB45524" s="122"/>
      <c r="BC45524" s="141"/>
    </row>
    <row r="45525">
      <c r="BB45525" s="122"/>
      <c r="BC45525" s="141"/>
    </row>
    <row r="45526">
      <c r="BB45526" s="122"/>
      <c r="BC45526" s="141"/>
    </row>
    <row r="45527">
      <c r="BB45527" s="122"/>
      <c r="BC45527" s="141"/>
    </row>
    <row r="45528">
      <c r="BB45528" s="122"/>
      <c r="BC45528" s="141"/>
    </row>
    <row r="45529">
      <c r="BB45529" s="122"/>
      <c r="BC45529" s="141"/>
    </row>
    <row r="45530">
      <c r="BB45530" s="122"/>
      <c r="BC45530" s="141"/>
    </row>
    <row r="45531">
      <c r="BB45531" s="122"/>
      <c r="BC45531" s="141"/>
    </row>
    <row r="45532">
      <c r="BB45532" s="122"/>
      <c r="BC45532" s="141"/>
    </row>
    <row r="45533">
      <c r="BB45533" s="122"/>
      <c r="BC45533" s="141"/>
    </row>
    <row r="45534">
      <c r="BB45534" s="122"/>
      <c r="BC45534" s="141"/>
    </row>
    <row r="45535">
      <c r="BB45535" s="122"/>
      <c r="BC45535" s="141"/>
    </row>
    <row r="45536">
      <c r="BB45536" s="122"/>
      <c r="BC45536" s="141"/>
    </row>
    <row r="45537">
      <c r="BB45537" s="122"/>
      <c r="BC45537" s="141"/>
    </row>
    <row r="45538">
      <c r="BB45538" s="122"/>
      <c r="BC45538" s="141"/>
    </row>
    <row r="45539">
      <c r="BB45539" s="122"/>
      <c r="BC45539" s="141"/>
    </row>
    <row r="45540">
      <c r="BB45540" s="122"/>
      <c r="BC45540" s="141"/>
    </row>
    <row r="45541">
      <c r="BB45541" s="122"/>
      <c r="BC45541" s="141"/>
    </row>
    <row r="45542">
      <c r="BB45542" s="122"/>
      <c r="BC45542" s="141"/>
    </row>
    <row r="45543">
      <c r="BB45543" s="122"/>
      <c r="BC45543" s="141"/>
    </row>
    <row r="45544">
      <c r="BB45544" s="122"/>
      <c r="BC45544" s="141"/>
    </row>
    <row r="45545">
      <c r="BB45545" s="122"/>
      <c r="BC45545" s="141"/>
    </row>
    <row r="45546">
      <c r="BB45546" s="122"/>
      <c r="BC45546" s="141"/>
    </row>
    <row r="45547">
      <c r="BB45547" s="122"/>
      <c r="BC45547" s="141"/>
    </row>
    <row r="45548">
      <c r="BB45548" s="122"/>
      <c r="BC45548" s="141"/>
    </row>
    <row r="45549">
      <c r="BB45549" s="122"/>
      <c r="BC45549" s="141"/>
    </row>
    <row r="45550">
      <c r="BB45550" s="122"/>
      <c r="BC45550" s="141"/>
    </row>
    <row r="45551">
      <c r="BB45551" s="122"/>
      <c r="BC45551" s="141"/>
    </row>
    <row r="45552">
      <c r="BB45552" s="122"/>
      <c r="BC45552" s="141"/>
    </row>
    <row r="45553">
      <c r="BB45553" s="122"/>
      <c r="BC45553" s="141"/>
    </row>
    <row r="45554">
      <c r="BB45554" s="122"/>
      <c r="BC45554" s="141"/>
    </row>
    <row r="45555">
      <c r="BB45555" s="122"/>
      <c r="BC45555" s="141"/>
    </row>
    <row r="45556">
      <c r="BB45556" s="122"/>
      <c r="BC45556" s="141"/>
    </row>
    <row r="45557">
      <c r="BB45557" s="122"/>
      <c r="BC45557" s="141"/>
    </row>
    <row r="45558">
      <c r="BB45558" s="122"/>
      <c r="BC45558" s="141"/>
    </row>
    <row r="45559">
      <c r="BB45559" s="122"/>
      <c r="BC45559" s="141"/>
    </row>
    <row r="45560">
      <c r="BB45560" s="122"/>
      <c r="BC45560" s="141"/>
    </row>
    <row r="45561">
      <c r="BB45561" s="122"/>
      <c r="BC45561" s="141"/>
    </row>
    <row r="45562">
      <c r="BB45562" s="122"/>
      <c r="BC45562" s="141"/>
    </row>
    <row r="45563">
      <c r="BB45563" s="122"/>
      <c r="BC45563" s="141"/>
    </row>
    <row r="45564">
      <c r="BB45564" s="122"/>
      <c r="BC45564" s="141"/>
    </row>
    <row r="45565">
      <c r="BB45565" s="122"/>
      <c r="BC45565" s="141"/>
    </row>
    <row r="45566">
      <c r="BB45566" s="122"/>
      <c r="BC45566" s="141"/>
    </row>
    <row r="45567">
      <c r="BB45567" s="122"/>
      <c r="BC45567" s="141"/>
    </row>
    <row r="45568">
      <c r="BB45568" s="122"/>
      <c r="BC45568" s="141"/>
    </row>
    <row r="45569">
      <c r="BB45569" s="122"/>
      <c r="BC45569" s="141"/>
    </row>
    <row r="45570">
      <c r="BB45570" s="122"/>
      <c r="BC45570" s="141"/>
    </row>
    <row r="45571">
      <c r="BB45571" s="122"/>
      <c r="BC45571" s="141"/>
    </row>
    <row r="45572">
      <c r="BB45572" s="122"/>
      <c r="BC45572" s="141"/>
    </row>
    <row r="45573">
      <c r="BB45573" s="122"/>
      <c r="BC45573" s="141"/>
    </row>
    <row r="45574">
      <c r="BB45574" s="122"/>
      <c r="BC45574" s="141"/>
    </row>
    <row r="45575">
      <c r="BB45575" s="122"/>
      <c r="BC45575" s="141"/>
    </row>
    <row r="45576">
      <c r="BB45576" s="122"/>
      <c r="BC45576" s="141"/>
    </row>
    <row r="45577">
      <c r="BB45577" s="122"/>
      <c r="BC45577" s="141"/>
    </row>
    <row r="45578">
      <c r="BB45578" s="122"/>
      <c r="BC45578" s="141"/>
    </row>
    <row r="45579">
      <c r="BB45579" s="122"/>
      <c r="BC45579" s="141"/>
    </row>
    <row r="45580">
      <c r="BB45580" s="122"/>
      <c r="BC45580" s="141"/>
    </row>
    <row r="45581">
      <c r="BB45581" s="122"/>
      <c r="BC45581" s="141"/>
    </row>
    <row r="45582">
      <c r="BB45582" s="122"/>
      <c r="BC45582" s="141"/>
    </row>
    <row r="45583">
      <c r="BB45583" s="122"/>
      <c r="BC45583" s="141"/>
    </row>
    <row r="45584">
      <c r="BB45584" s="122"/>
      <c r="BC45584" s="141"/>
    </row>
    <row r="45585">
      <c r="BB45585" s="122"/>
      <c r="BC45585" s="141"/>
    </row>
    <row r="45586">
      <c r="BB45586" s="122"/>
      <c r="BC45586" s="141"/>
    </row>
    <row r="45587">
      <c r="BB45587" s="122"/>
      <c r="BC45587" s="141"/>
    </row>
    <row r="45588">
      <c r="BB45588" s="122"/>
      <c r="BC45588" s="141"/>
    </row>
    <row r="45589">
      <c r="BB45589" s="122"/>
      <c r="BC45589" s="141"/>
    </row>
    <row r="45590">
      <c r="BB45590" s="122"/>
      <c r="BC45590" s="141"/>
    </row>
    <row r="45591">
      <c r="BB45591" s="122"/>
      <c r="BC45591" s="141"/>
    </row>
    <row r="45592">
      <c r="BB45592" s="122"/>
      <c r="BC45592" s="141"/>
    </row>
    <row r="45593">
      <c r="BB45593" s="122"/>
      <c r="BC45593" s="141"/>
    </row>
    <row r="45594">
      <c r="BB45594" s="122"/>
      <c r="BC45594" s="141"/>
    </row>
    <row r="45595">
      <c r="BB45595" s="122"/>
      <c r="BC45595" s="141"/>
    </row>
    <row r="45596">
      <c r="BB45596" s="122"/>
      <c r="BC45596" s="141"/>
    </row>
    <row r="45597">
      <c r="BB45597" s="122"/>
      <c r="BC45597" s="141"/>
    </row>
    <row r="45598">
      <c r="BB45598" s="122"/>
      <c r="BC45598" s="141"/>
    </row>
    <row r="45599">
      <c r="BB45599" s="122"/>
      <c r="BC45599" s="141"/>
    </row>
    <row r="45600">
      <c r="BB45600" s="122"/>
      <c r="BC45600" s="141"/>
    </row>
    <row r="45601">
      <c r="BB45601" s="122"/>
      <c r="BC45601" s="141"/>
    </row>
    <row r="45602">
      <c r="BB45602" s="122"/>
      <c r="BC45602" s="141"/>
    </row>
    <row r="45603">
      <c r="BB45603" s="122"/>
      <c r="BC45603" s="141"/>
    </row>
    <row r="45604">
      <c r="BB45604" s="122"/>
      <c r="BC45604" s="141"/>
    </row>
    <row r="45605">
      <c r="BB45605" s="122"/>
      <c r="BC45605" s="141"/>
    </row>
    <row r="45606">
      <c r="BB45606" s="122"/>
      <c r="BC45606" s="141"/>
    </row>
    <row r="45607">
      <c r="BB45607" s="122"/>
      <c r="BC45607" s="141"/>
    </row>
    <row r="45608">
      <c r="BB45608" s="122"/>
      <c r="BC45608" s="141"/>
    </row>
    <row r="45609">
      <c r="BB45609" s="122"/>
      <c r="BC45609" s="141"/>
    </row>
    <row r="45610">
      <c r="BB45610" s="122"/>
      <c r="BC45610" s="141"/>
    </row>
    <row r="45611">
      <c r="BB45611" s="122"/>
      <c r="BC45611" s="141"/>
    </row>
    <row r="45612">
      <c r="BB45612" s="122"/>
      <c r="BC45612" s="141"/>
    </row>
    <row r="45613">
      <c r="BB45613" s="122"/>
      <c r="BC45613" s="141"/>
    </row>
    <row r="45614">
      <c r="BB45614" s="122"/>
      <c r="BC45614" s="141"/>
    </row>
    <row r="45615">
      <c r="BB45615" s="122"/>
      <c r="BC45615" s="141"/>
    </row>
    <row r="45616">
      <c r="BB45616" s="122"/>
      <c r="BC45616" s="141"/>
    </row>
    <row r="45617">
      <c r="BB45617" s="122"/>
      <c r="BC45617" s="141"/>
    </row>
    <row r="45618">
      <c r="BB45618" s="122"/>
      <c r="BC45618" s="141"/>
    </row>
    <row r="45619">
      <c r="BB45619" s="122"/>
      <c r="BC45619" s="141"/>
    </row>
    <row r="45620">
      <c r="BB45620" s="122"/>
      <c r="BC45620" s="141"/>
    </row>
    <row r="45621">
      <c r="BB45621" s="122"/>
      <c r="BC45621" s="141"/>
    </row>
    <row r="45622">
      <c r="BB45622" s="122"/>
      <c r="BC45622" s="141"/>
    </row>
    <row r="45623">
      <c r="BB45623" s="122"/>
      <c r="BC45623" s="141"/>
    </row>
    <row r="45624">
      <c r="BB45624" s="122"/>
      <c r="BC45624" s="141"/>
    </row>
    <row r="45625">
      <c r="BB45625" s="122"/>
      <c r="BC45625" s="141"/>
    </row>
    <row r="45626">
      <c r="BB45626" s="122"/>
      <c r="BC45626" s="141"/>
    </row>
    <row r="45627">
      <c r="BB45627" s="122"/>
      <c r="BC45627" s="141"/>
    </row>
    <row r="45628">
      <c r="BB45628" s="122"/>
      <c r="BC45628" s="141"/>
    </row>
    <row r="45629">
      <c r="BB45629" s="122"/>
      <c r="BC45629" s="141"/>
    </row>
    <row r="45630">
      <c r="BB45630" s="122"/>
      <c r="BC45630" s="141"/>
    </row>
    <row r="45631">
      <c r="BB45631" s="122"/>
      <c r="BC45631" s="141"/>
    </row>
    <row r="45632">
      <c r="BB45632" s="122"/>
      <c r="BC45632" s="141"/>
    </row>
    <row r="45633">
      <c r="BB45633" s="122"/>
      <c r="BC45633" s="141"/>
    </row>
    <row r="45634">
      <c r="BB45634" s="122"/>
      <c r="BC45634" s="141"/>
    </row>
    <row r="45635">
      <c r="BB45635" s="122"/>
      <c r="BC45635" s="141"/>
    </row>
    <row r="45636">
      <c r="BB45636" s="122"/>
      <c r="BC45636" s="141"/>
    </row>
    <row r="45637">
      <c r="BB45637" s="122"/>
      <c r="BC45637" s="141"/>
    </row>
    <row r="45638">
      <c r="BB45638" s="122"/>
      <c r="BC45638" s="141"/>
    </row>
    <row r="45639">
      <c r="BB45639" s="122"/>
      <c r="BC45639" s="141"/>
    </row>
    <row r="45640">
      <c r="BB45640" s="122"/>
      <c r="BC45640" s="141"/>
    </row>
    <row r="45641">
      <c r="BB45641" s="122"/>
      <c r="BC45641" s="141"/>
    </row>
    <row r="45642">
      <c r="BB45642" s="122"/>
      <c r="BC45642" s="141"/>
    </row>
    <row r="45643">
      <c r="BB45643" s="122"/>
      <c r="BC45643" s="141"/>
    </row>
    <row r="45644">
      <c r="BB45644" s="122"/>
      <c r="BC45644" s="141"/>
    </row>
    <row r="45645">
      <c r="BB45645" s="122"/>
      <c r="BC45645" s="141"/>
    </row>
    <row r="45646">
      <c r="BB45646" s="122"/>
      <c r="BC45646" s="141"/>
    </row>
    <row r="45647">
      <c r="BB45647" s="122"/>
      <c r="BC45647" s="141"/>
    </row>
    <row r="45648">
      <c r="BB45648" s="122"/>
      <c r="BC45648" s="141"/>
    </row>
    <row r="45649">
      <c r="BB45649" s="122"/>
      <c r="BC45649" s="141"/>
    </row>
    <row r="45650">
      <c r="BB45650" s="122"/>
      <c r="BC45650" s="141"/>
    </row>
    <row r="45651">
      <c r="BB45651" s="122"/>
      <c r="BC45651" s="141"/>
    </row>
    <row r="45652">
      <c r="BB45652" s="122"/>
      <c r="BC45652" s="141"/>
    </row>
    <row r="45653">
      <c r="BB45653" s="122"/>
      <c r="BC45653" s="141"/>
    </row>
    <row r="45654">
      <c r="BB45654" s="122"/>
      <c r="BC45654" s="141"/>
    </row>
    <row r="45655">
      <c r="BB45655" s="122"/>
      <c r="BC45655" s="141"/>
    </row>
    <row r="45656">
      <c r="BB45656" s="122"/>
      <c r="BC45656" s="141"/>
    </row>
    <row r="45657">
      <c r="BB45657" s="122"/>
      <c r="BC45657" s="141"/>
    </row>
    <row r="45658">
      <c r="BB45658" s="122"/>
      <c r="BC45658" s="141"/>
    </row>
    <row r="45659">
      <c r="BB45659" s="122"/>
      <c r="BC45659" s="141"/>
    </row>
    <row r="45660">
      <c r="BB45660" s="122"/>
      <c r="BC45660" s="141"/>
    </row>
    <row r="45661">
      <c r="BB45661" s="122"/>
      <c r="BC45661" s="141"/>
    </row>
    <row r="45662">
      <c r="BB45662" s="122"/>
      <c r="BC45662" s="141"/>
    </row>
    <row r="45663">
      <c r="BB45663" s="122"/>
      <c r="BC45663" s="141"/>
    </row>
    <row r="45664">
      <c r="BB45664" s="122"/>
      <c r="BC45664" s="141"/>
    </row>
    <row r="45665">
      <c r="BB45665" s="122"/>
      <c r="BC45665" s="141"/>
    </row>
    <row r="45666">
      <c r="BB45666" s="122"/>
      <c r="BC45666" s="141"/>
    </row>
    <row r="45667">
      <c r="BB45667" s="122"/>
      <c r="BC45667" s="141"/>
    </row>
    <row r="45668">
      <c r="BB45668" s="122"/>
      <c r="BC45668" s="141"/>
    </row>
    <row r="45669">
      <c r="BB45669" s="122"/>
      <c r="BC45669" s="141"/>
    </row>
    <row r="45670">
      <c r="BB45670" s="122"/>
      <c r="BC45670" s="141"/>
    </row>
    <row r="45671">
      <c r="BB45671" s="122"/>
      <c r="BC45671" s="141"/>
    </row>
    <row r="45672">
      <c r="BB45672" s="122"/>
      <c r="BC45672" s="141"/>
    </row>
    <row r="45673">
      <c r="BB45673" s="122"/>
      <c r="BC45673" s="141"/>
    </row>
    <row r="45674">
      <c r="BB45674" s="122"/>
      <c r="BC45674" s="141"/>
    </row>
    <row r="45675">
      <c r="BB45675" s="122"/>
      <c r="BC45675" s="141"/>
    </row>
    <row r="45676">
      <c r="BB45676" s="122"/>
      <c r="BC45676" s="141"/>
    </row>
    <row r="45677">
      <c r="BB45677" s="122"/>
      <c r="BC45677" s="141"/>
    </row>
    <row r="45678">
      <c r="BB45678" s="122"/>
      <c r="BC45678" s="141"/>
    </row>
    <row r="45679">
      <c r="BB45679" s="122"/>
      <c r="BC45679" s="141"/>
    </row>
    <row r="45680">
      <c r="BB45680" s="122"/>
      <c r="BC45680" s="141"/>
    </row>
    <row r="45681">
      <c r="BB45681" s="122"/>
      <c r="BC45681" s="141"/>
    </row>
    <row r="45682">
      <c r="BB45682" s="122"/>
      <c r="BC45682" s="141"/>
    </row>
    <row r="45683">
      <c r="BB45683" s="122"/>
      <c r="BC45683" s="141"/>
    </row>
    <row r="45684">
      <c r="BB45684" s="122"/>
      <c r="BC45684" s="141"/>
    </row>
    <row r="45685">
      <c r="BB45685" s="122"/>
      <c r="BC45685" s="141"/>
    </row>
    <row r="45686">
      <c r="BB45686" s="122"/>
      <c r="BC45686" s="141"/>
    </row>
    <row r="45687">
      <c r="BB45687" s="122"/>
      <c r="BC45687" s="141"/>
    </row>
    <row r="45688">
      <c r="BB45688" s="122"/>
      <c r="BC45688" s="141"/>
    </row>
    <row r="45689">
      <c r="BB45689" s="122"/>
      <c r="BC45689" s="141"/>
    </row>
    <row r="45690">
      <c r="BB45690" s="122"/>
      <c r="BC45690" s="141"/>
    </row>
    <row r="45691">
      <c r="BB45691" s="122"/>
      <c r="BC45691" s="141"/>
    </row>
    <row r="45692">
      <c r="BB45692" s="122"/>
      <c r="BC45692" s="141"/>
    </row>
    <row r="45693">
      <c r="BB45693" s="122"/>
      <c r="BC45693" s="141"/>
    </row>
    <row r="45694">
      <c r="BB45694" s="122"/>
      <c r="BC45694" s="141"/>
    </row>
    <row r="45695">
      <c r="BB45695" s="122"/>
      <c r="BC45695" s="141"/>
    </row>
    <row r="45696">
      <c r="BB45696" s="122"/>
      <c r="BC45696" s="141"/>
    </row>
    <row r="45697">
      <c r="BB45697" s="122"/>
      <c r="BC45697" s="141"/>
    </row>
    <row r="45698">
      <c r="BB45698" s="122"/>
      <c r="BC45698" s="141"/>
    </row>
    <row r="45699">
      <c r="BB45699" s="122"/>
      <c r="BC45699" s="141"/>
    </row>
    <row r="45700">
      <c r="BB45700" s="122"/>
      <c r="BC45700" s="141"/>
    </row>
    <row r="45701">
      <c r="BB45701" s="122"/>
      <c r="BC45701" s="141"/>
    </row>
    <row r="45702">
      <c r="BB45702" s="122"/>
      <c r="BC45702" s="141"/>
    </row>
    <row r="45703">
      <c r="BB45703" s="122"/>
      <c r="BC45703" s="141"/>
    </row>
    <row r="45704">
      <c r="BB45704" s="122"/>
      <c r="BC45704" s="141"/>
    </row>
    <row r="45705">
      <c r="BB45705" s="122"/>
      <c r="BC45705" s="141"/>
    </row>
    <row r="45706">
      <c r="BB45706" s="122"/>
      <c r="BC45706" s="141"/>
    </row>
    <row r="45707">
      <c r="BB45707" s="122"/>
      <c r="BC45707" s="141"/>
    </row>
    <row r="45708">
      <c r="BB45708" s="122"/>
      <c r="BC45708" s="141"/>
    </row>
    <row r="45709">
      <c r="BB45709" s="122"/>
      <c r="BC45709" s="141"/>
    </row>
    <row r="45710">
      <c r="BB45710" s="122"/>
      <c r="BC45710" s="141"/>
    </row>
    <row r="45711">
      <c r="BB45711" s="122"/>
      <c r="BC45711" s="141"/>
    </row>
    <row r="45712">
      <c r="BB45712" s="122"/>
      <c r="BC45712" s="141"/>
    </row>
    <row r="45713">
      <c r="BB45713" s="122"/>
      <c r="BC45713" s="141"/>
    </row>
    <row r="45714">
      <c r="BB45714" s="122"/>
      <c r="BC45714" s="141"/>
    </row>
    <row r="45715">
      <c r="BB45715" s="122"/>
      <c r="BC45715" s="141"/>
    </row>
    <row r="45716">
      <c r="BB45716" s="122"/>
      <c r="BC45716" s="141"/>
    </row>
    <row r="45717">
      <c r="BB45717" s="122"/>
      <c r="BC45717" s="141"/>
    </row>
    <row r="45718">
      <c r="BB45718" s="122"/>
      <c r="BC45718" s="141"/>
    </row>
    <row r="45719">
      <c r="BB45719" s="122"/>
      <c r="BC45719" s="141"/>
    </row>
    <row r="45720">
      <c r="BB45720" s="122"/>
      <c r="BC45720" s="141"/>
    </row>
    <row r="45721">
      <c r="BB45721" s="122"/>
      <c r="BC45721" s="141"/>
    </row>
    <row r="45722">
      <c r="BB45722" s="122"/>
      <c r="BC45722" s="141"/>
    </row>
    <row r="45723">
      <c r="BB45723" s="122"/>
      <c r="BC45723" s="141"/>
    </row>
    <row r="45724">
      <c r="BB45724" s="122"/>
      <c r="BC45724" s="141"/>
    </row>
    <row r="45725">
      <c r="BB45725" s="122"/>
      <c r="BC45725" s="141"/>
    </row>
    <row r="45726">
      <c r="BB45726" s="122"/>
      <c r="BC45726" s="141"/>
    </row>
    <row r="45727">
      <c r="BB45727" s="122"/>
      <c r="BC45727" s="141"/>
    </row>
    <row r="45728">
      <c r="BB45728" s="122"/>
      <c r="BC45728" s="141"/>
    </row>
    <row r="45729">
      <c r="BB45729" s="122"/>
      <c r="BC45729" s="141"/>
    </row>
    <row r="45730">
      <c r="BB45730" s="122"/>
      <c r="BC45730" s="141"/>
    </row>
    <row r="45731">
      <c r="BB45731" s="122"/>
      <c r="BC45731" s="141"/>
    </row>
    <row r="45732">
      <c r="BB45732" s="122"/>
      <c r="BC45732" s="141"/>
    </row>
    <row r="45733">
      <c r="BB45733" s="122"/>
      <c r="BC45733" s="141"/>
    </row>
    <row r="45734">
      <c r="BB45734" s="122"/>
      <c r="BC45734" s="141"/>
    </row>
    <row r="45735">
      <c r="BB45735" s="122"/>
      <c r="BC45735" s="141"/>
    </row>
    <row r="45736">
      <c r="BB45736" s="122"/>
      <c r="BC45736" s="141"/>
    </row>
    <row r="45737">
      <c r="BB45737" s="122"/>
      <c r="BC45737" s="141"/>
    </row>
    <row r="45738">
      <c r="BB45738" s="122"/>
      <c r="BC45738" s="141"/>
    </row>
    <row r="45739">
      <c r="BB45739" s="122"/>
      <c r="BC45739" s="141"/>
    </row>
    <row r="45740">
      <c r="BB45740" s="122"/>
      <c r="BC45740" s="141"/>
    </row>
    <row r="45741">
      <c r="BB45741" s="122"/>
      <c r="BC45741" s="141"/>
    </row>
    <row r="45742">
      <c r="BB45742" s="122"/>
      <c r="BC45742" s="141"/>
    </row>
    <row r="45743">
      <c r="BB45743" s="122"/>
      <c r="BC45743" s="141"/>
    </row>
    <row r="45744">
      <c r="BB45744" s="122"/>
      <c r="BC45744" s="141"/>
    </row>
    <row r="45745">
      <c r="BB45745" s="122"/>
      <c r="BC45745" s="141"/>
    </row>
    <row r="45746">
      <c r="BB45746" s="122"/>
      <c r="BC45746" s="141"/>
    </row>
    <row r="45747">
      <c r="BB45747" s="122"/>
      <c r="BC45747" s="141"/>
    </row>
    <row r="45748">
      <c r="BB45748" s="122"/>
      <c r="BC45748" s="141"/>
    </row>
    <row r="45749">
      <c r="BB45749" s="122"/>
      <c r="BC45749" s="141"/>
    </row>
    <row r="45750">
      <c r="BB45750" s="122"/>
      <c r="BC45750" s="141"/>
    </row>
    <row r="45751">
      <c r="BB45751" s="122"/>
      <c r="BC45751" s="141"/>
    </row>
    <row r="45752">
      <c r="BB45752" s="122"/>
      <c r="BC45752" s="141"/>
    </row>
    <row r="45753">
      <c r="BB45753" s="122"/>
      <c r="BC45753" s="141"/>
    </row>
    <row r="45754">
      <c r="BB45754" s="122"/>
      <c r="BC45754" s="141"/>
    </row>
    <row r="45755">
      <c r="BB45755" s="122"/>
      <c r="BC45755" s="141"/>
    </row>
    <row r="45756">
      <c r="BB45756" s="122"/>
      <c r="BC45756" s="141"/>
    </row>
    <row r="45757">
      <c r="BB45757" s="122"/>
      <c r="BC45757" s="141"/>
    </row>
    <row r="45758">
      <c r="BB45758" s="122"/>
      <c r="BC45758" s="141"/>
    </row>
    <row r="45759">
      <c r="BB45759" s="122"/>
      <c r="BC45759" s="141"/>
    </row>
    <row r="45760">
      <c r="BB45760" s="122"/>
      <c r="BC45760" s="141"/>
    </row>
    <row r="45761">
      <c r="BB45761" s="122"/>
      <c r="BC45761" s="141"/>
    </row>
    <row r="45762">
      <c r="BB45762" s="122"/>
      <c r="BC45762" s="141"/>
    </row>
    <row r="45763">
      <c r="BB45763" s="122"/>
      <c r="BC45763" s="141"/>
    </row>
    <row r="45764">
      <c r="BB45764" s="122"/>
      <c r="BC45764" s="141"/>
    </row>
    <row r="45765">
      <c r="BB45765" s="122"/>
      <c r="BC45765" s="141"/>
    </row>
    <row r="45766">
      <c r="BB45766" s="122"/>
      <c r="BC45766" s="141"/>
    </row>
    <row r="45767">
      <c r="BB45767" s="122"/>
      <c r="BC45767" s="141"/>
    </row>
    <row r="45768">
      <c r="BB45768" s="122"/>
      <c r="BC45768" s="141"/>
    </row>
    <row r="45769">
      <c r="BB45769" s="122"/>
      <c r="BC45769" s="141"/>
    </row>
    <row r="45770">
      <c r="BB45770" s="122"/>
      <c r="BC45770" s="141"/>
    </row>
    <row r="45771">
      <c r="BB45771" s="122"/>
      <c r="BC45771" s="141"/>
    </row>
    <row r="45772">
      <c r="BB45772" s="122"/>
      <c r="BC45772" s="141"/>
    </row>
    <row r="45773">
      <c r="BB45773" s="122"/>
      <c r="BC45773" s="141"/>
    </row>
    <row r="45774">
      <c r="BB45774" s="122"/>
      <c r="BC45774" s="141"/>
    </row>
    <row r="45775">
      <c r="BB45775" s="122"/>
      <c r="BC45775" s="141"/>
    </row>
    <row r="45776">
      <c r="BB45776" s="122"/>
      <c r="BC45776" s="141"/>
    </row>
    <row r="45777">
      <c r="BB45777" s="122"/>
      <c r="BC45777" s="141"/>
    </row>
    <row r="45778">
      <c r="BB45778" s="122"/>
      <c r="BC45778" s="141"/>
    </row>
    <row r="45779">
      <c r="BB45779" s="122"/>
      <c r="BC45779" s="141"/>
    </row>
    <row r="45780">
      <c r="BB45780" s="122"/>
      <c r="BC45780" s="141"/>
    </row>
    <row r="45781">
      <c r="BB45781" s="122"/>
      <c r="BC45781" s="141"/>
    </row>
    <row r="45782">
      <c r="BB45782" s="122"/>
      <c r="BC45782" s="141"/>
    </row>
    <row r="45783">
      <c r="BB45783" s="122"/>
      <c r="BC45783" s="141"/>
    </row>
    <row r="45784">
      <c r="BB45784" s="122"/>
      <c r="BC45784" s="141"/>
    </row>
    <row r="45785">
      <c r="BB45785" s="122"/>
      <c r="BC45785" s="141"/>
    </row>
    <row r="45786">
      <c r="BB45786" s="122"/>
      <c r="BC45786" s="141"/>
    </row>
    <row r="45787">
      <c r="BB45787" s="122"/>
      <c r="BC45787" s="141"/>
    </row>
    <row r="45788">
      <c r="BB45788" s="122"/>
      <c r="BC45788" s="141"/>
    </row>
    <row r="45789">
      <c r="BB45789" s="122"/>
      <c r="BC45789" s="141"/>
    </row>
    <row r="45790">
      <c r="BB45790" s="122"/>
      <c r="BC45790" s="141"/>
    </row>
    <row r="45791">
      <c r="BB45791" s="122"/>
      <c r="BC45791" s="141"/>
    </row>
    <row r="45792">
      <c r="BB45792" s="122"/>
      <c r="BC45792" s="141"/>
    </row>
    <row r="45793">
      <c r="BB45793" s="122"/>
      <c r="BC45793" s="141"/>
    </row>
    <row r="45794">
      <c r="BB45794" s="122"/>
      <c r="BC45794" s="141"/>
    </row>
    <row r="45795">
      <c r="BB45795" s="122"/>
      <c r="BC45795" s="141"/>
    </row>
    <row r="45796">
      <c r="BB45796" s="122"/>
      <c r="BC45796" s="141"/>
    </row>
    <row r="45797">
      <c r="BB45797" s="122"/>
      <c r="BC45797" s="141"/>
    </row>
    <row r="45798">
      <c r="BB45798" s="122"/>
      <c r="BC45798" s="141"/>
    </row>
    <row r="45799">
      <c r="BB45799" s="122"/>
      <c r="BC45799" s="141"/>
    </row>
    <row r="45800">
      <c r="BB45800" s="122"/>
      <c r="BC45800" s="141"/>
    </row>
    <row r="45801">
      <c r="BB45801" s="122"/>
      <c r="BC45801" s="141"/>
    </row>
    <row r="45802">
      <c r="BB45802" s="122"/>
      <c r="BC45802" s="141"/>
    </row>
    <row r="45803">
      <c r="BB45803" s="122"/>
      <c r="BC45803" s="141"/>
    </row>
    <row r="45804">
      <c r="BB45804" s="122"/>
      <c r="BC45804" s="141"/>
    </row>
    <row r="45805">
      <c r="BB45805" s="122"/>
      <c r="BC45805" s="141"/>
    </row>
    <row r="45806">
      <c r="BB45806" s="122"/>
      <c r="BC45806" s="141"/>
    </row>
    <row r="45807">
      <c r="BB45807" s="122"/>
      <c r="BC45807" s="141"/>
    </row>
    <row r="45808">
      <c r="BB45808" s="122"/>
      <c r="BC45808" s="141"/>
    </row>
    <row r="45809">
      <c r="BB45809" s="122"/>
      <c r="BC45809" s="141"/>
    </row>
    <row r="45810">
      <c r="BB45810" s="122"/>
      <c r="BC45810" s="141"/>
    </row>
    <row r="45811">
      <c r="BB45811" s="122"/>
      <c r="BC45811" s="141"/>
    </row>
    <row r="45812">
      <c r="BB45812" s="122"/>
      <c r="BC45812" s="141"/>
    </row>
    <row r="45813">
      <c r="BB45813" s="122"/>
      <c r="BC45813" s="141"/>
    </row>
    <row r="45814">
      <c r="BB45814" s="122"/>
      <c r="BC45814" s="141"/>
    </row>
    <row r="45815">
      <c r="BB45815" s="122"/>
      <c r="BC45815" s="141"/>
    </row>
    <row r="45816">
      <c r="BB45816" s="122"/>
      <c r="BC45816" s="141"/>
    </row>
    <row r="45817">
      <c r="BB45817" s="122"/>
      <c r="BC45817" s="141"/>
    </row>
    <row r="45818">
      <c r="BB45818" s="122"/>
      <c r="BC45818" s="141"/>
    </row>
    <row r="45819">
      <c r="BB45819" s="122"/>
      <c r="BC45819" s="141"/>
    </row>
    <row r="45820">
      <c r="BB45820" s="122"/>
      <c r="BC45820" s="141"/>
    </row>
    <row r="45821">
      <c r="BB45821" s="122"/>
      <c r="BC45821" s="141"/>
    </row>
    <row r="45822">
      <c r="BB45822" s="122"/>
      <c r="BC45822" s="141"/>
    </row>
    <row r="45823">
      <c r="BB45823" s="122"/>
      <c r="BC45823" s="141"/>
    </row>
    <row r="45824">
      <c r="BB45824" s="122"/>
      <c r="BC45824" s="141"/>
    </row>
    <row r="45825">
      <c r="BB45825" s="122"/>
      <c r="BC45825" s="141"/>
    </row>
    <row r="45826">
      <c r="BB45826" s="122"/>
      <c r="BC45826" s="141"/>
    </row>
    <row r="45827">
      <c r="BB45827" s="122"/>
      <c r="BC45827" s="141"/>
    </row>
    <row r="45828">
      <c r="BB45828" s="122"/>
      <c r="BC45828" s="141"/>
    </row>
    <row r="45829">
      <c r="BB45829" s="122"/>
      <c r="BC45829" s="141"/>
    </row>
    <row r="45830">
      <c r="BB45830" s="122"/>
      <c r="BC45830" s="141"/>
    </row>
    <row r="45831">
      <c r="BB45831" s="122"/>
      <c r="BC45831" s="141"/>
    </row>
    <row r="45832">
      <c r="BB45832" s="122"/>
      <c r="BC45832" s="141"/>
    </row>
    <row r="45833">
      <c r="BB45833" s="122"/>
      <c r="BC45833" s="141"/>
    </row>
    <row r="45834">
      <c r="BB45834" s="122"/>
      <c r="BC45834" s="141"/>
    </row>
    <row r="45835">
      <c r="BB45835" s="122"/>
      <c r="BC45835" s="141"/>
    </row>
    <row r="45836">
      <c r="BB45836" s="122"/>
      <c r="BC45836" s="141"/>
    </row>
    <row r="45837">
      <c r="BB45837" s="122"/>
      <c r="BC45837" s="141"/>
    </row>
    <row r="45838">
      <c r="BB45838" s="122"/>
      <c r="BC45838" s="141"/>
    </row>
    <row r="45839">
      <c r="BB45839" s="122"/>
      <c r="BC45839" s="141"/>
    </row>
    <row r="45840">
      <c r="BB45840" s="122"/>
      <c r="BC45840" s="141"/>
    </row>
    <row r="45841">
      <c r="BB45841" s="122"/>
      <c r="BC45841" s="141"/>
    </row>
    <row r="45842">
      <c r="BB45842" s="122"/>
      <c r="BC45842" s="141"/>
    </row>
    <row r="45843">
      <c r="BB45843" s="122"/>
      <c r="BC45843" s="141"/>
    </row>
    <row r="45844">
      <c r="BB45844" s="122"/>
      <c r="BC45844" s="141"/>
    </row>
    <row r="45845">
      <c r="BB45845" s="122"/>
      <c r="BC45845" s="141"/>
    </row>
    <row r="45846">
      <c r="BB45846" s="122"/>
      <c r="BC45846" s="141"/>
    </row>
    <row r="45847">
      <c r="BB45847" s="122"/>
      <c r="BC45847" s="141"/>
    </row>
    <row r="45848">
      <c r="BB45848" s="122"/>
      <c r="BC45848" s="141"/>
    </row>
    <row r="45849">
      <c r="BB45849" s="122"/>
      <c r="BC45849" s="141"/>
    </row>
    <row r="45850">
      <c r="BB45850" s="122"/>
      <c r="BC45850" s="141"/>
    </row>
    <row r="45851">
      <c r="BB45851" s="122"/>
      <c r="BC45851" s="141"/>
    </row>
    <row r="45852">
      <c r="BB45852" s="122"/>
      <c r="BC45852" s="141"/>
    </row>
    <row r="45853">
      <c r="BB45853" s="122"/>
      <c r="BC45853" s="141"/>
    </row>
    <row r="45854">
      <c r="BB45854" s="122"/>
      <c r="BC45854" s="141"/>
    </row>
    <row r="45855">
      <c r="BB45855" s="122"/>
      <c r="BC45855" s="141"/>
    </row>
    <row r="45856">
      <c r="BB45856" s="122"/>
      <c r="BC45856" s="141"/>
    </row>
    <row r="45857">
      <c r="BB45857" s="122"/>
      <c r="BC45857" s="141"/>
    </row>
    <row r="45858">
      <c r="BB45858" s="122"/>
      <c r="BC45858" s="141"/>
    </row>
    <row r="45859">
      <c r="BB45859" s="122"/>
      <c r="BC45859" s="141"/>
    </row>
    <row r="45860">
      <c r="BB45860" s="122"/>
      <c r="BC45860" s="141"/>
    </row>
    <row r="45861">
      <c r="BB45861" s="122"/>
      <c r="BC45861" s="141"/>
    </row>
    <row r="45862">
      <c r="BB45862" s="122"/>
      <c r="BC45862" s="141"/>
    </row>
    <row r="45863">
      <c r="BB45863" s="122"/>
      <c r="BC45863" s="141"/>
    </row>
    <row r="45864">
      <c r="BB45864" s="122"/>
      <c r="BC45864" s="141"/>
    </row>
    <row r="45865">
      <c r="BB45865" s="122"/>
      <c r="BC45865" s="141"/>
    </row>
    <row r="45866">
      <c r="BB45866" s="122"/>
      <c r="BC45866" s="141"/>
    </row>
    <row r="45867">
      <c r="BB45867" s="122"/>
      <c r="BC45867" s="141"/>
    </row>
    <row r="45868">
      <c r="BB45868" s="122"/>
      <c r="BC45868" s="141"/>
    </row>
    <row r="45869">
      <c r="BB45869" s="122"/>
      <c r="BC45869" s="141"/>
    </row>
    <row r="45870">
      <c r="BB45870" s="122"/>
      <c r="BC45870" s="141"/>
    </row>
    <row r="45871">
      <c r="BB45871" s="122"/>
      <c r="BC45871" s="141"/>
    </row>
    <row r="45872">
      <c r="BB45872" s="122"/>
      <c r="BC45872" s="141"/>
    </row>
    <row r="45873">
      <c r="BB45873" s="122"/>
      <c r="BC45873" s="141"/>
    </row>
    <row r="45874">
      <c r="BB45874" s="122"/>
      <c r="BC45874" s="141"/>
    </row>
    <row r="45875">
      <c r="BB45875" s="122"/>
      <c r="BC45875" s="141"/>
    </row>
    <row r="45876">
      <c r="BB45876" s="122"/>
      <c r="BC45876" s="141"/>
    </row>
    <row r="45877">
      <c r="BB45877" s="122"/>
      <c r="BC45877" s="141"/>
    </row>
    <row r="45878">
      <c r="BB45878" s="122"/>
      <c r="BC45878" s="141"/>
    </row>
    <row r="45879">
      <c r="BB45879" s="122"/>
      <c r="BC45879" s="141"/>
    </row>
    <row r="45880">
      <c r="BB45880" s="122"/>
      <c r="BC45880" s="141"/>
    </row>
    <row r="45881">
      <c r="BB45881" s="122"/>
      <c r="BC45881" s="141"/>
    </row>
    <row r="45882">
      <c r="BB45882" s="122"/>
      <c r="BC45882" s="141"/>
    </row>
    <row r="45883">
      <c r="BB45883" s="122"/>
      <c r="BC45883" s="141"/>
    </row>
    <row r="45884">
      <c r="BB45884" s="122"/>
      <c r="BC45884" s="141"/>
    </row>
    <row r="45885">
      <c r="BB45885" s="122"/>
      <c r="BC45885" s="141"/>
    </row>
    <row r="45886">
      <c r="BB45886" s="122"/>
      <c r="BC45886" s="141"/>
    </row>
    <row r="45887">
      <c r="BB45887" s="122"/>
      <c r="BC45887" s="141"/>
    </row>
    <row r="45888">
      <c r="BB45888" s="122"/>
      <c r="BC45888" s="141"/>
    </row>
    <row r="45889">
      <c r="BB45889" s="122"/>
      <c r="BC45889" s="141"/>
    </row>
    <row r="45890">
      <c r="BB45890" s="122"/>
      <c r="BC45890" s="141"/>
    </row>
    <row r="45891">
      <c r="BB45891" s="122"/>
      <c r="BC45891" s="141"/>
    </row>
    <row r="45892">
      <c r="BB45892" s="122"/>
      <c r="BC45892" s="141"/>
    </row>
    <row r="45893">
      <c r="BB45893" s="122"/>
      <c r="BC45893" s="141"/>
    </row>
    <row r="45894">
      <c r="BB45894" s="122"/>
      <c r="BC45894" s="141"/>
    </row>
    <row r="45895">
      <c r="BB45895" s="122"/>
      <c r="BC45895" s="141"/>
    </row>
    <row r="45896">
      <c r="BB45896" s="122"/>
      <c r="BC45896" s="141"/>
    </row>
    <row r="45897">
      <c r="BB45897" s="122"/>
      <c r="BC45897" s="141"/>
    </row>
    <row r="45898">
      <c r="BB45898" s="122"/>
      <c r="BC45898" s="141"/>
    </row>
    <row r="45899">
      <c r="BB45899" s="122"/>
      <c r="BC45899" s="141"/>
    </row>
    <row r="45900">
      <c r="BB45900" s="122"/>
      <c r="BC45900" s="141"/>
    </row>
    <row r="45901">
      <c r="BB45901" s="122"/>
      <c r="BC45901" s="141"/>
    </row>
    <row r="45902">
      <c r="BB45902" s="122"/>
      <c r="BC45902" s="141"/>
    </row>
    <row r="45903">
      <c r="BB45903" s="122"/>
      <c r="BC45903" s="141"/>
    </row>
    <row r="45904">
      <c r="BB45904" s="122"/>
      <c r="BC45904" s="141"/>
    </row>
    <row r="45905">
      <c r="BB45905" s="122"/>
      <c r="BC45905" s="141"/>
    </row>
    <row r="45906">
      <c r="BB45906" s="122"/>
      <c r="BC45906" s="141"/>
    </row>
    <row r="45907">
      <c r="BB45907" s="122"/>
      <c r="BC45907" s="141"/>
    </row>
    <row r="45908">
      <c r="BB45908" s="122"/>
      <c r="BC45908" s="141"/>
    </row>
    <row r="45909">
      <c r="BB45909" s="122"/>
      <c r="BC45909" s="141"/>
    </row>
    <row r="45910">
      <c r="BB45910" s="122"/>
      <c r="BC45910" s="141"/>
    </row>
    <row r="45911">
      <c r="BB45911" s="122"/>
      <c r="BC45911" s="141"/>
    </row>
    <row r="45912">
      <c r="BB45912" s="122"/>
      <c r="BC45912" s="141"/>
    </row>
    <row r="45913">
      <c r="BB45913" s="122"/>
      <c r="BC45913" s="141"/>
    </row>
    <row r="45914">
      <c r="BB45914" s="122"/>
      <c r="BC45914" s="141"/>
    </row>
    <row r="45915">
      <c r="BB45915" s="122"/>
      <c r="BC45915" s="141"/>
    </row>
    <row r="45916">
      <c r="BB45916" s="122"/>
      <c r="BC45916" s="141"/>
    </row>
    <row r="45917">
      <c r="BB45917" s="122"/>
      <c r="BC45917" s="141"/>
    </row>
    <row r="45918">
      <c r="BB45918" s="122"/>
      <c r="BC45918" s="141"/>
    </row>
    <row r="45919">
      <c r="BB45919" s="122"/>
      <c r="BC45919" s="141"/>
    </row>
    <row r="45920">
      <c r="BB45920" s="122"/>
      <c r="BC45920" s="141"/>
    </row>
    <row r="45921">
      <c r="BB45921" s="122"/>
      <c r="BC45921" s="141"/>
    </row>
    <row r="45922">
      <c r="BB45922" s="122"/>
      <c r="BC45922" s="141"/>
    </row>
    <row r="45923">
      <c r="BB45923" s="122"/>
      <c r="BC45923" s="141"/>
    </row>
    <row r="45924">
      <c r="BB45924" s="122"/>
      <c r="BC45924" s="141"/>
    </row>
    <row r="45925">
      <c r="BB45925" s="122"/>
      <c r="BC45925" s="141"/>
    </row>
    <row r="45926">
      <c r="BB45926" s="122"/>
      <c r="BC45926" s="141"/>
    </row>
    <row r="45927">
      <c r="BB45927" s="122"/>
      <c r="BC45927" s="141"/>
    </row>
    <row r="45928">
      <c r="BB45928" s="122"/>
      <c r="BC45928" s="141"/>
    </row>
    <row r="45929">
      <c r="BB45929" s="122"/>
      <c r="BC45929" s="141"/>
    </row>
    <row r="45930">
      <c r="BB45930" s="122"/>
      <c r="BC45930" s="141"/>
    </row>
    <row r="45931">
      <c r="BB45931" s="122"/>
      <c r="BC45931" s="141"/>
    </row>
    <row r="45932">
      <c r="BB45932" s="122"/>
      <c r="BC45932" s="141"/>
    </row>
    <row r="45933">
      <c r="BB45933" s="122"/>
      <c r="BC45933" s="141"/>
    </row>
    <row r="45934">
      <c r="BB45934" s="122"/>
      <c r="BC45934" s="141"/>
    </row>
    <row r="45935">
      <c r="BB45935" s="122"/>
      <c r="BC45935" s="141"/>
    </row>
    <row r="45936">
      <c r="BB45936" s="122"/>
      <c r="BC45936" s="141"/>
    </row>
    <row r="45937">
      <c r="BB45937" s="122"/>
      <c r="BC45937" s="141"/>
    </row>
    <row r="45938">
      <c r="BB45938" s="122"/>
      <c r="BC45938" s="141"/>
    </row>
    <row r="45939">
      <c r="BB45939" s="122"/>
      <c r="BC45939" s="141"/>
    </row>
    <row r="45940">
      <c r="BB45940" s="122"/>
      <c r="BC45940" s="141"/>
    </row>
    <row r="45941">
      <c r="BB45941" s="122"/>
      <c r="BC45941" s="141"/>
    </row>
    <row r="45942">
      <c r="BB45942" s="122"/>
      <c r="BC45942" s="141"/>
    </row>
    <row r="45943">
      <c r="BB45943" s="122"/>
      <c r="BC45943" s="141"/>
    </row>
    <row r="45944">
      <c r="BB45944" s="122"/>
      <c r="BC45944" s="141"/>
    </row>
    <row r="45945">
      <c r="BB45945" s="122"/>
      <c r="BC45945" s="141"/>
    </row>
    <row r="45946">
      <c r="BB45946" s="122"/>
      <c r="BC45946" s="141"/>
    </row>
    <row r="45947">
      <c r="BB45947" s="122"/>
      <c r="BC45947" s="141"/>
    </row>
    <row r="45948">
      <c r="BB45948" s="122"/>
      <c r="BC45948" s="141"/>
    </row>
    <row r="45949">
      <c r="BB45949" s="122"/>
      <c r="BC45949" s="141"/>
    </row>
    <row r="45950">
      <c r="BB45950" s="122"/>
      <c r="BC45950" s="141"/>
    </row>
    <row r="45951">
      <c r="BB45951" s="122"/>
      <c r="BC45951" s="141"/>
    </row>
    <row r="45952">
      <c r="BB45952" s="122"/>
      <c r="BC45952" s="141"/>
    </row>
    <row r="45953">
      <c r="BB45953" s="122"/>
      <c r="BC45953" s="141"/>
    </row>
    <row r="45954">
      <c r="BB45954" s="122"/>
      <c r="BC45954" s="141"/>
    </row>
    <row r="45955">
      <c r="BB45955" s="122"/>
      <c r="BC45955" s="141"/>
    </row>
    <row r="45956">
      <c r="BB45956" s="122"/>
      <c r="BC45956" s="141"/>
    </row>
    <row r="45957">
      <c r="BB45957" s="122"/>
      <c r="BC45957" s="141"/>
    </row>
    <row r="45958">
      <c r="BB45958" s="122"/>
      <c r="BC45958" s="141"/>
    </row>
    <row r="45959">
      <c r="BB45959" s="122"/>
      <c r="BC45959" s="141"/>
    </row>
    <row r="45960">
      <c r="BB45960" s="122"/>
      <c r="BC45960" s="141"/>
    </row>
    <row r="45961">
      <c r="BB45961" s="122"/>
      <c r="BC45961" s="141"/>
    </row>
    <row r="45962">
      <c r="BB45962" s="122"/>
      <c r="BC45962" s="141"/>
    </row>
    <row r="45963">
      <c r="BB45963" s="122"/>
      <c r="BC45963" s="141"/>
    </row>
    <row r="45964">
      <c r="BB45964" s="122"/>
      <c r="BC45964" s="141"/>
    </row>
    <row r="45965">
      <c r="BB45965" s="122"/>
      <c r="BC45965" s="141"/>
    </row>
    <row r="45966">
      <c r="BB45966" s="122"/>
      <c r="BC45966" s="141"/>
    </row>
    <row r="45967">
      <c r="BB45967" s="122"/>
      <c r="BC45967" s="141"/>
    </row>
    <row r="45968">
      <c r="BB45968" s="122"/>
      <c r="BC45968" s="141"/>
    </row>
    <row r="45969">
      <c r="BB45969" s="122"/>
      <c r="BC45969" s="141"/>
    </row>
    <row r="45970">
      <c r="BB45970" s="122"/>
      <c r="BC45970" s="141"/>
    </row>
    <row r="45971">
      <c r="BB45971" s="122"/>
      <c r="BC45971" s="141"/>
    </row>
    <row r="45972">
      <c r="BB45972" s="122"/>
      <c r="BC45972" s="141"/>
    </row>
    <row r="45973">
      <c r="BB45973" s="122"/>
      <c r="BC45973" s="141"/>
    </row>
    <row r="45974">
      <c r="BB45974" s="122"/>
      <c r="BC45974" s="141"/>
    </row>
    <row r="45975">
      <c r="BB45975" s="122"/>
      <c r="BC45975" s="141"/>
    </row>
    <row r="45976">
      <c r="BB45976" s="122"/>
      <c r="BC45976" s="141"/>
    </row>
    <row r="45977">
      <c r="BB45977" s="122"/>
      <c r="BC45977" s="141"/>
    </row>
    <row r="45978">
      <c r="BB45978" s="122"/>
      <c r="BC45978" s="141"/>
    </row>
    <row r="45979">
      <c r="BB45979" s="122"/>
      <c r="BC45979" s="141"/>
    </row>
    <row r="45980">
      <c r="BB45980" s="122"/>
      <c r="BC45980" s="141"/>
    </row>
    <row r="45981">
      <c r="BB45981" s="122"/>
      <c r="BC45981" s="141"/>
    </row>
    <row r="45982">
      <c r="BB45982" s="122"/>
      <c r="BC45982" s="141"/>
    </row>
    <row r="45983">
      <c r="BB45983" s="122"/>
      <c r="BC45983" s="141"/>
    </row>
    <row r="45984">
      <c r="BB45984" s="122"/>
      <c r="BC45984" s="141"/>
    </row>
    <row r="45985">
      <c r="BB45985" s="122"/>
      <c r="BC45985" s="141"/>
    </row>
    <row r="45986">
      <c r="BB45986" s="122"/>
      <c r="BC45986" s="141"/>
    </row>
    <row r="45987">
      <c r="BB45987" s="122"/>
      <c r="BC45987" s="141"/>
    </row>
    <row r="45988">
      <c r="BB45988" s="122"/>
      <c r="BC45988" s="141"/>
    </row>
    <row r="45989">
      <c r="BB45989" s="122"/>
      <c r="BC45989" s="141"/>
    </row>
    <row r="45990">
      <c r="BB45990" s="122"/>
      <c r="BC45990" s="141"/>
    </row>
    <row r="45991">
      <c r="BB45991" s="122"/>
      <c r="BC45991" s="141"/>
    </row>
    <row r="45992">
      <c r="BB45992" s="122"/>
      <c r="BC45992" s="141"/>
    </row>
    <row r="45993">
      <c r="BB45993" s="122"/>
      <c r="BC45993" s="141"/>
    </row>
    <row r="45994">
      <c r="BB45994" s="122"/>
      <c r="BC45994" s="141"/>
    </row>
    <row r="45995">
      <c r="BB45995" s="122"/>
      <c r="BC45995" s="141"/>
    </row>
    <row r="45996">
      <c r="BB45996" s="122"/>
      <c r="BC45996" s="141"/>
    </row>
    <row r="45997">
      <c r="BB45997" s="122"/>
      <c r="BC45997" s="141"/>
    </row>
    <row r="45998">
      <c r="BB45998" s="122"/>
      <c r="BC45998" s="141"/>
    </row>
    <row r="45999">
      <c r="BB45999" s="122"/>
      <c r="BC45999" s="141"/>
    </row>
    <row r="46000">
      <c r="BB46000" s="122"/>
      <c r="BC46000" s="141"/>
    </row>
    <row r="46001">
      <c r="BB46001" s="122"/>
      <c r="BC46001" s="141"/>
    </row>
    <row r="46002">
      <c r="BB46002" s="122"/>
      <c r="BC46002" s="141"/>
    </row>
    <row r="46003">
      <c r="BB46003" s="122"/>
      <c r="BC46003" s="141"/>
    </row>
    <row r="46004">
      <c r="BB46004" s="122"/>
      <c r="BC46004" s="141"/>
    </row>
    <row r="46005">
      <c r="BB46005" s="122"/>
      <c r="BC46005" s="141"/>
    </row>
    <row r="46006">
      <c r="BB46006" s="122"/>
      <c r="BC46006" s="141"/>
    </row>
    <row r="46007">
      <c r="BB46007" s="122"/>
      <c r="BC46007" s="141"/>
    </row>
    <row r="46008">
      <c r="BB46008" s="122"/>
      <c r="BC46008" s="141"/>
    </row>
    <row r="46009">
      <c r="BB46009" s="122"/>
      <c r="BC46009" s="141"/>
    </row>
    <row r="46010">
      <c r="BB46010" s="122"/>
      <c r="BC46010" s="141"/>
    </row>
    <row r="46011">
      <c r="BB46011" s="122"/>
      <c r="BC46011" s="141"/>
    </row>
    <row r="46012">
      <c r="BB46012" s="122"/>
      <c r="BC46012" s="141"/>
    </row>
    <row r="46013">
      <c r="BB46013" s="122"/>
      <c r="BC46013" s="141"/>
    </row>
    <row r="46014">
      <c r="BB46014" s="122"/>
      <c r="BC46014" s="141"/>
    </row>
    <row r="46015">
      <c r="BB46015" s="122"/>
      <c r="BC46015" s="141"/>
    </row>
    <row r="46016">
      <c r="BB46016" s="122"/>
      <c r="BC46016" s="141"/>
    </row>
    <row r="46017">
      <c r="BB46017" s="122"/>
      <c r="BC46017" s="141"/>
    </row>
    <row r="46018">
      <c r="BB46018" s="122"/>
      <c r="BC46018" s="141"/>
    </row>
    <row r="46019">
      <c r="BB46019" s="122"/>
      <c r="BC46019" s="141"/>
    </row>
    <row r="46020">
      <c r="BB46020" s="122"/>
      <c r="BC46020" s="141"/>
    </row>
    <row r="46021">
      <c r="BB46021" s="122"/>
      <c r="BC46021" s="141"/>
    </row>
    <row r="46022">
      <c r="BB46022" s="122"/>
      <c r="BC46022" s="141"/>
    </row>
    <row r="46023">
      <c r="BB46023" s="122"/>
      <c r="BC46023" s="141"/>
    </row>
    <row r="46024">
      <c r="BB46024" s="122"/>
      <c r="BC46024" s="141"/>
    </row>
    <row r="46025">
      <c r="BB46025" s="122"/>
      <c r="BC46025" s="141"/>
    </row>
    <row r="46026">
      <c r="BB46026" s="122"/>
      <c r="BC46026" s="141"/>
    </row>
    <row r="46027">
      <c r="BB46027" s="122"/>
      <c r="BC46027" s="141"/>
    </row>
    <row r="46028">
      <c r="BB46028" s="122"/>
      <c r="BC46028" s="141"/>
    </row>
    <row r="46029">
      <c r="BB46029" s="122"/>
      <c r="BC46029" s="141"/>
    </row>
    <row r="46030">
      <c r="BB46030" s="122"/>
      <c r="BC46030" s="141"/>
    </row>
    <row r="46031">
      <c r="BB46031" s="122"/>
      <c r="BC46031" s="141"/>
    </row>
    <row r="46032">
      <c r="BB46032" s="122"/>
      <c r="BC46032" s="141"/>
    </row>
    <row r="46033">
      <c r="BB46033" s="122"/>
      <c r="BC46033" s="141"/>
    </row>
    <row r="46034">
      <c r="BB46034" s="122"/>
      <c r="BC46034" s="141"/>
    </row>
    <row r="46035">
      <c r="BB46035" s="122"/>
      <c r="BC46035" s="141"/>
    </row>
    <row r="46036">
      <c r="BB46036" s="122"/>
      <c r="BC46036" s="141"/>
    </row>
    <row r="46037">
      <c r="BB46037" s="122"/>
      <c r="BC46037" s="141"/>
    </row>
    <row r="46038">
      <c r="BB46038" s="122"/>
      <c r="BC46038" s="141"/>
    </row>
    <row r="46039">
      <c r="BB46039" s="122"/>
      <c r="BC46039" s="141"/>
    </row>
    <row r="46040">
      <c r="BB46040" s="122"/>
      <c r="BC46040" s="141"/>
    </row>
    <row r="46041">
      <c r="BB46041" s="122"/>
      <c r="BC46041" s="141"/>
    </row>
    <row r="46042">
      <c r="BB46042" s="122"/>
      <c r="BC46042" s="141"/>
    </row>
    <row r="46043">
      <c r="BB46043" s="122"/>
      <c r="BC46043" s="141"/>
    </row>
    <row r="46044">
      <c r="BB46044" s="122"/>
      <c r="BC46044" s="141"/>
    </row>
    <row r="46045">
      <c r="BB46045" s="122"/>
      <c r="BC46045" s="141"/>
    </row>
    <row r="46046">
      <c r="BB46046" s="122"/>
      <c r="BC46046" s="141"/>
    </row>
    <row r="46047">
      <c r="BB46047" s="122"/>
      <c r="BC46047" s="141"/>
    </row>
    <row r="46048">
      <c r="BB46048" s="122"/>
      <c r="BC46048" s="141"/>
    </row>
    <row r="46049">
      <c r="BB46049" s="122"/>
      <c r="BC46049" s="141"/>
    </row>
    <row r="46050">
      <c r="BB46050" s="122"/>
      <c r="BC46050" s="141"/>
    </row>
    <row r="46051">
      <c r="BB46051" s="122"/>
      <c r="BC46051" s="141"/>
    </row>
    <row r="46052">
      <c r="BB46052" s="122"/>
      <c r="BC46052" s="141"/>
    </row>
    <row r="46053">
      <c r="BB46053" s="122"/>
      <c r="BC46053" s="141"/>
    </row>
    <row r="46054">
      <c r="BB46054" s="122"/>
      <c r="BC46054" s="141"/>
    </row>
    <row r="46055">
      <c r="BB46055" s="122"/>
      <c r="BC46055" s="141"/>
    </row>
    <row r="46056">
      <c r="BB46056" s="122"/>
      <c r="BC46056" s="141"/>
    </row>
    <row r="46057">
      <c r="BB46057" s="122"/>
      <c r="BC46057" s="141"/>
    </row>
    <row r="46058">
      <c r="BB46058" s="122"/>
      <c r="BC46058" s="141"/>
    </row>
    <row r="46059">
      <c r="BB46059" s="122"/>
      <c r="BC46059" s="141"/>
    </row>
    <row r="46060">
      <c r="BB46060" s="122"/>
      <c r="BC46060" s="141"/>
    </row>
    <row r="46061">
      <c r="BB46061" s="122"/>
      <c r="BC46061" s="141"/>
    </row>
    <row r="46062">
      <c r="BB46062" s="122"/>
      <c r="BC46062" s="141"/>
    </row>
    <row r="46063">
      <c r="BB46063" s="122"/>
      <c r="BC46063" s="141"/>
    </row>
    <row r="46064">
      <c r="BB46064" s="122"/>
      <c r="BC46064" s="141"/>
    </row>
    <row r="46065">
      <c r="BB46065" s="122"/>
      <c r="BC46065" s="141"/>
    </row>
    <row r="46066">
      <c r="BB46066" s="122"/>
      <c r="BC46066" s="141"/>
    </row>
    <row r="46067">
      <c r="BB46067" s="122"/>
      <c r="BC46067" s="141"/>
    </row>
    <row r="46068">
      <c r="BB46068" s="122"/>
      <c r="BC46068" s="141"/>
    </row>
    <row r="46069">
      <c r="BB46069" s="122"/>
      <c r="BC46069" s="141"/>
    </row>
    <row r="46070">
      <c r="BB46070" s="122"/>
      <c r="BC46070" s="141"/>
    </row>
    <row r="46071">
      <c r="BB46071" s="122"/>
      <c r="BC46071" s="141"/>
    </row>
    <row r="46072">
      <c r="BB46072" s="122"/>
      <c r="BC46072" s="141"/>
    </row>
    <row r="46073">
      <c r="BB46073" s="122"/>
      <c r="BC46073" s="141"/>
    </row>
    <row r="46074">
      <c r="BB46074" s="122"/>
      <c r="BC46074" s="141"/>
    </row>
    <row r="46075">
      <c r="BB46075" s="122"/>
      <c r="BC46075" s="141"/>
    </row>
    <row r="46076">
      <c r="BB46076" s="122"/>
      <c r="BC46076" s="141"/>
    </row>
    <row r="46077">
      <c r="BB46077" s="122"/>
      <c r="BC46077" s="141"/>
    </row>
    <row r="46078">
      <c r="BB46078" s="122"/>
      <c r="BC46078" s="141"/>
    </row>
    <row r="46079">
      <c r="BB46079" s="122"/>
      <c r="BC46079" s="141"/>
    </row>
    <row r="46080">
      <c r="BB46080" s="122"/>
      <c r="BC46080" s="141"/>
    </row>
    <row r="46081">
      <c r="BB46081" s="122"/>
      <c r="BC46081" s="141"/>
    </row>
    <row r="46082">
      <c r="BB46082" s="122"/>
      <c r="BC46082" s="141"/>
    </row>
    <row r="46083">
      <c r="BB46083" s="122"/>
      <c r="BC46083" s="141"/>
    </row>
    <row r="46084">
      <c r="BB46084" s="122"/>
      <c r="BC46084" s="141"/>
    </row>
    <row r="46085">
      <c r="BB46085" s="122"/>
      <c r="BC46085" s="141"/>
    </row>
    <row r="46086">
      <c r="BB46086" s="122"/>
      <c r="BC46086" s="141"/>
    </row>
    <row r="46087">
      <c r="BB46087" s="122"/>
      <c r="BC46087" s="141"/>
    </row>
    <row r="46088">
      <c r="BB46088" s="122"/>
      <c r="BC46088" s="141"/>
    </row>
    <row r="46089">
      <c r="BB46089" s="122"/>
      <c r="BC46089" s="141"/>
    </row>
    <row r="46090">
      <c r="BB46090" s="122"/>
      <c r="BC46090" s="141"/>
    </row>
    <row r="46091">
      <c r="BB46091" s="122"/>
      <c r="BC46091" s="141"/>
    </row>
    <row r="46092">
      <c r="BB46092" s="122"/>
      <c r="BC46092" s="141"/>
    </row>
    <row r="46093">
      <c r="BB46093" s="122"/>
      <c r="BC46093" s="141"/>
    </row>
    <row r="46094">
      <c r="BB46094" s="122"/>
      <c r="BC46094" s="141"/>
    </row>
    <row r="46095">
      <c r="BB46095" s="122"/>
      <c r="BC46095" s="141"/>
    </row>
    <row r="46096">
      <c r="BB46096" s="122"/>
      <c r="BC46096" s="141"/>
    </row>
    <row r="46097">
      <c r="BB46097" s="122"/>
      <c r="BC46097" s="141"/>
    </row>
    <row r="46098">
      <c r="BB46098" s="122"/>
      <c r="BC46098" s="141"/>
    </row>
    <row r="46099">
      <c r="BB46099" s="122"/>
      <c r="BC46099" s="141"/>
    </row>
    <row r="46100">
      <c r="BB46100" s="122"/>
      <c r="BC46100" s="141"/>
    </row>
    <row r="46101">
      <c r="BB46101" s="122"/>
      <c r="BC46101" s="141"/>
    </row>
    <row r="46102">
      <c r="BB46102" s="122"/>
      <c r="BC46102" s="141"/>
    </row>
    <row r="46103">
      <c r="BB46103" s="122"/>
      <c r="BC46103" s="141"/>
    </row>
    <row r="46104">
      <c r="BB46104" s="122"/>
      <c r="BC46104" s="141"/>
    </row>
    <row r="46105">
      <c r="BB46105" s="122"/>
      <c r="BC46105" s="141"/>
    </row>
    <row r="46106">
      <c r="BB46106" s="122"/>
      <c r="BC46106" s="141"/>
    </row>
    <row r="46107">
      <c r="BB46107" s="122"/>
      <c r="BC46107" s="141"/>
    </row>
    <row r="46108">
      <c r="BB46108" s="122"/>
      <c r="BC46108" s="141"/>
    </row>
    <row r="46109">
      <c r="BB46109" s="122"/>
      <c r="BC46109" s="141"/>
    </row>
    <row r="46110">
      <c r="BB46110" s="122"/>
      <c r="BC46110" s="141"/>
    </row>
    <row r="46111">
      <c r="BB46111" s="122"/>
      <c r="BC46111" s="141"/>
    </row>
    <row r="46112">
      <c r="BB46112" s="122"/>
      <c r="BC46112" s="141"/>
    </row>
    <row r="46113">
      <c r="BB46113" s="122"/>
      <c r="BC46113" s="141"/>
    </row>
    <row r="46114">
      <c r="BB46114" s="122"/>
      <c r="BC46114" s="141"/>
    </row>
    <row r="46115">
      <c r="BB46115" s="122"/>
      <c r="BC46115" s="141"/>
    </row>
    <row r="46116">
      <c r="BB46116" s="122"/>
      <c r="BC46116" s="141"/>
    </row>
    <row r="46117">
      <c r="BB46117" s="122"/>
      <c r="BC46117" s="141"/>
    </row>
    <row r="46118">
      <c r="BB46118" s="122"/>
      <c r="BC46118" s="141"/>
    </row>
    <row r="46119">
      <c r="BB46119" s="122"/>
      <c r="BC46119" s="141"/>
    </row>
    <row r="46120">
      <c r="BB46120" s="122"/>
      <c r="BC46120" s="141"/>
    </row>
    <row r="46121">
      <c r="BB46121" s="122"/>
      <c r="BC46121" s="141"/>
    </row>
    <row r="46122">
      <c r="BB46122" s="122"/>
      <c r="BC46122" s="141"/>
    </row>
    <row r="46123">
      <c r="BB46123" s="122"/>
      <c r="BC46123" s="141"/>
    </row>
    <row r="46124">
      <c r="BB46124" s="122"/>
      <c r="BC46124" s="141"/>
    </row>
    <row r="46125">
      <c r="BB46125" s="122"/>
      <c r="BC46125" s="141"/>
    </row>
    <row r="46126">
      <c r="BB46126" s="122"/>
      <c r="BC46126" s="141"/>
    </row>
    <row r="46127">
      <c r="BB46127" s="122"/>
      <c r="BC46127" s="141"/>
    </row>
    <row r="46128">
      <c r="BB46128" s="122"/>
      <c r="BC46128" s="141"/>
    </row>
    <row r="46129">
      <c r="BB46129" s="122"/>
      <c r="BC46129" s="141"/>
    </row>
    <row r="46130">
      <c r="BB46130" s="122"/>
      <c r="BC46130" s="141"/>
    </row>
    <row r="46131">
      <c r="BB46131" s="122"/>
      <c r="BC46131" s="141"/>
    </row>
    <row r="46132">
      <c r="BB46132" s="122"/>
      <c r="BC46132" s="141"/>
    </row>
    <row r="46133">
      <c r="BB46133" s="122"/>
      <c r="BC46133" s="141"/>
    </row>
    <row r="46134">
      <c r="BB46134" s="122"/>
      <c r="BC46134" s="141"/>
    </row>
    <row r="46135">
      <c r="BB46135" s="122"/>
      <c r="BC46135" s="141"/>
    </row>
    <row r="46136">
      <c r="BB46136" s="122"/>
      <c r="BC46136" s="141"/>
    </row>
    <row r="46137">
      <c r="BB46137" s="122"/>
      <c r="BC46137" s="141"/>
    </row>
    <row r="46138">
      <c r="BB46138" s="122"/>
      <c r="BC46138" s="141"/>
    </row>
    <row r="46139">
      <c r="BB46139" s="122"/>
      <c r="BC46139" s="141"/>
    </row>
    <row r="46140">
      <c r="BB46140" s="122"/>
      <c r="BC46140" s="141"/>
    </row>
    <row r="46141">
      <c r="BB46141" s="122"/>
      <c r="BC46141" s="141"/>
    </row>
    <row r="46142">
      <c r="BB46142" s="122"/>
      <c r="BC46142" s="141"/>
    </row>
    <row r="46143">
      <c r="BB46143" s="122"/>
      <c r="BC46143" s="141"/>
    </row>
    <row r="46144">
      <c r="BB46144" s="122"/>
      <c r="BC46144" s="141"/>
    </row>
    <row r="46145">
      <c r="BB46145" s="122"/>
      <c r="BC46145" s="141"/>
    </row>
    <row r="46146">
      <c r="BB46146" s="122"/>
      <c r="BC46146" s="141"/>
    </row>
    <row r="46147">
      <c r="BB46147" s="122"/>
      <c r="BC46147" s="141"/>
    </row>
    <row r="46148">
      <c r="BB46148" s="122"/>
      <c r="BC46148" s="141"/>
    </row>
    <row r="46149">
      <c r="BB46149" s="122"/>
      <c r="BC46149" s="141"/>
    </row>
    <row r="46150">
      <c r="BB46150" s="122"/>
      <c r="BC46150" s="141"/>
    </row>
    <row r="46151">
      <c r="BB46151" s="122"/>
      <c r="BC46151" s="141"/>
    </row>
    <row r="46152">
      <c r="BB46152" s="122"/>
      <c r="BC46152" s="141"/>
    </row>
    <row r="46153">
      <c r="BB46153" s="122"/>
      <c r="BC46153" s="141"/>
    </row>
    <row r="46154">
      <c r="BB46154" s="122"/>
      <c r="BC46154" s="141"/>
    </row>
    <row r="46155">
      <c r="BB46155" s="122"/>
      <c r="BC46155" s="141"/>
    </row>
    <row r="46156">
      <c r="BB46156" s="122"/>
      <c r="BC46156" s="141"/>
    </row>
    <row r="46157">
      <c r="BB46157" s="122"/>
      <c r="BC46157" s="141"/>
    </row>
    <row r="46158">
      <c r="BB46158" s="122"/>
      <c r="BC46158" s="141"/>
    </row>
    <row r="46159">
      <c r="BB46159" s="122"/>
      <c r="BC46159" s="141"/>
    </row>
    <row r="46160">
      <c r="BB46160" s="122"/>
      <c r="BC46160" s="141"/>
    </row>
    <row r="46161">
      <c r="BB46161" s="122"/>
      <c r="BC46161" s="141"/>
    </row>
    <row r="46162">
      <c r="BB46162" s="122"/>
      <c r="BC46162" s="141"/>
    </row>
    <row r="46163">
      <c r="BB46163" s="122"/>
      <c r="BC46163" s="141"/>
    </row>
    <row r="46164">
      <c r="BB46164" s="122"/>
      <c r="BC46164" s="141"/>
    </row>
    <row r="46165">
      <c r="BB46165" s="122"/>
      <c r="BC46165" s="141"/>
    </row>
    <row r="46166">
      <c r="BB46166" s="122"/>
      <c r="BC46166" s="141"/>
    </row>
    <row r="46167">
      <c r="BB46167" s="122"/>
      <c r="BC46167" s="141"/>
    </row>
    <row r="46168">
      <c r="BB46168" s="122"/>
      <c r="BC46168" s="141"/>
    </row>
    <row r="46169">
      <c r="BB46169" s="122"/>
      <c r="BC46169" s="141"/>
    </row>
    <row r="46170">
      <c r="BB46170" s="122"/>
      <c r="BC46170" s="141"/>
    </row>
    <row r="46171">
      <c r="BB46171" s="122"/>
      <c r="BC46171" s="141"/>
    </row>
    <row r="46172">
      <c r="BB46172" s="122"/>
      <c r="BC46172" s="141"/>
    </row>
    <row r="46173">
      <c r="BB46173" s="122"/>
      <c r="BC46173" s="141"/>
    </row>
    <row r="46174">
      <c r="BB46174" s="122"/>
      <c r="BC46174" s="141"/>
    </row>
    <row r="46175">
      <c r="BB46175" s="122"/>
      <c r="BC46175" s="141"/>
    </row>
    <row r="46176">
      <c r="BB46176" s="122"/>
      <c r="BC46176" s="141"/>
    </row>
    <row r="46177">
      <c r="BB46177" s="122"/>
      <c r="BC46177" s="141"/>
    </row>
    <row r="46178">
      <c r="BB46178" s="122"/>
      <c r="BC46178" s="141"/>
    </row>
    <row r="46179">
      <c r="BB46179" s="122"/>
      <c r="BC46179" s="141"/>
    </row>
    <row r="46180">
      <c r="BB46180" s="122"/>
      <c r="BC46180" s="141"/>
    </row>
    <row r="46181">
      <c r="BB46181" s="122"/>
      <c r="BC46181" s="141"/>
    </row>
    <row r="46182">
      <c r="BB46182" s="122"/>
      <c r="BC46182" s="141"/>
    </row>
    <row r="46183">
      <c r="BB46183" s="122"/>
      <c r="BC46183" s="141"/>
    </row>
    <row r="46184">
      <c r="BB46184" s="122"/>
      <c r="BC46184" s="141"/>
    </row>
    <row r="46185">
      <c r="BB46185" s="122"/>
      <c r="BC46185" s="141"/>
    </row>
    <row r="46186">
      <c r="BB46186" s="122"/>
      <c r="BC46186" s="141"/>
    </row>
    <row r="46187">
      <c r="BB46187" s="122"/>
      <c r="BC46187" s="141"/>
    </row>
    <row r="46188">
      <c r="BB46188" s="122"/>
      <c r="BC46188" s="141"/>
    </row>
    <row r="46189">
      <c r="BB46189" s="122"/>
      <c r="BC46189" s="141"/>
    </row>
    <row r="46190">
      <c r="BB46190" s="122"/>
      <c r="BC46190" s="141"/>
    </row>
    <row r="46191">
      <c r="BB46191" s="122"/>
      <c r="BC46191" s="141"/>
    </row>
    <row r="46192">
      <c r="BB46192" s="122"/>
      <c r="BC46192" s="141"/>
    </row>
    <row r="46193">
      <c r="BB46193" s="122"/>
      <c r="BC46193" s="141"/>
    </row>
    <row r="46194">
      <c r="BB46194" s="122"/>
      <c r="BC46194" s="141"/>
    </row>
    <row r="46195">
      <c r="BB46195" s="122"/>
      <c r="BC46195" s="141"/>
    </row>
    <row r="46196">
      <c r="BB46196" s="122"/>
      <c r="BC46196" s="141"/>
    </row>
    <row r="46197">
      <c r="BB46197" s="122"/>
      <c r="BC46197" s="141"/>
    </row>
    <row r="46198">
      <c r="BB46198" s="122"/>
      <c r="BC46198" s="141"/>
    </row>
    <row r="46199">
      <c r="BB46199" s="122"/>
      <c r="BC46199" s="141"/>
    </row>
    <row r="46200">
      <c r="BB46200" s="122"/>
      <c r="BC46200" s="141"/>
    </row>
    <row r="46201">
      <c r="BB46201" s="122"/>
      <c r="BC46201" s="141"/>
    </row>
    <row r="46202">
      <c r="BB46202" s="122"/>
      <c r="BC46202" s="141"/>
    </row>
    <row r="46203">
      <c r="BB46203" s="122"/>
      <c r="BC46203" s="141"/>
    </row>
    <row r="46204">
      <c r="BB46204" s="122"/>
      <c r="BC46204" s="141"/>
    </row>
    <row r="46205">
      <c r="BB46205" s="122"/>
      <c r="BC46205" s="141"/>
    </row>
    <row r="46206">
      <c r="BB46206" s="122"/>
      <c r="BC46206" s="141"/>
    </row>
    <row r="46207">
      <c r="BB46207" s="122"/>
      <c r="BC46207" s="141"/>
    </row>
    <row r="46208">
      <c r="BB46208" s="122"/>
      <c r="BC46208" s="141"/>
    </row>
    <row r="46209">
      <c r="BB46209" s="122"/>
      <c r="BC46209" s="141"/>
    </row>
    <row r="46210">
      <c r="BB46210" s="122"/>
      <c r="BC46210" s="141"/>
    </row>
    <row r="46211">
      <c r="BB46211" s="122"/>
      <c r="BC46211" s="141"/>
    </row>
    <row r="46212">
      <c r="BB46212" s="122"/>
      <c r="BC46212" s="141"/>
    </row>
    <row r="46213">
      <c r="BB46213" s="122"/>
      <c r="BC46213" s="141"/>
    </row>
    <row r="46214">
      <c r="BB46214" s="122"/>
      <c r="BC46214" s="141"/>
    </row>
    <row r="46215">
      <c r="BB46215" s="122"/>
      <c r="BC46215" s="141"/>
    </row>
    <row r="46216">
      <c r="BB46216" s="122"/>
      <c r="BC46216" s="141"/>
    </row>
    <row r="46217">
      <c r="BB46217" s="122"/>
      <c r="BC46217" s="141"/>
    </row>
    <row r="46218">
      <c r="BB46218" s="122"/>
      <c r="BC46218" s="141"/>
    </row>
    <row r="46219">
      <c r="BB46219" s="122"/>
      <c r="BC46219" s="141"/>
    </row>
    <row r="46220">
      <c r="BB46220" s="122"/>
      <c r="BC46220" s="141"/>
    </row>
    <row r="46221">
      <c r="BB46221" s="122"/>
      <c r="BC46221" s="141"/>
    </row>
    <row r="46222">
      <c r="BB46222" s="122"/>
      <c r="BC46222" s="141"/>
    </row>
    <row r="46223">
      <c r="BB46223" s="122"/>
      <c r="BC46223" s="141"/>
    </row>
    <row r="46224">
      <c r="BB46224" s="122"/>
      <c r="BC46224" s="141"/>
    </row>
    <row r="46225">
      <c r="BB46225" s="122"/>
      <c r="BC46225" s="141"/>
    </row>
    <row r="46226">
      <c r="BB46226" s="122"/>
      <c r="BC46226" s="141"/>
    </row>
    <row r="46227">
      <c r="BB46227" s="122"/>
      <c r="BC46227" s="141"/>
    </row>
    <row r="46228">
      <c r="BB46228" s="122"/>
      <c r="BC46228" s="141"/>
    </row>
    <row r="46229">
      <c r="BB46229" s="122"/>
      <c r="BC46229" s="141"/>
    </row>
    <row r="46230">
      <c r="BB46230" s="122"/>
      <c r="BC46230" s="141"/>
    </row>
    <row r="46231">
      <c r="BB46231" s="122"/>
      <c r="BC46231" s="141"/>
    </row>
    <row r="46232">
      <c r="BB46232" s="122"/>
      <c r="BC46232" s="141"/>
    </row>
    <row r="46233">
      <c r="BB46233" s="122"/>
      <c r="BC46233" s="141"/>
    </row>
    <row r="46234">
      <c r="BB46234" s="122"/>
      <c r="BC46234" s="141"/>
    </row>
    <row r="46235">
      <c r="BB46235" s="122"/>
      <c r="BC46235" s="141"/>
    </row>
    <row r="46236">
      <c r="BB46236" s="122"/>
      <c r="BC46236" s="141"/>
    </row>
    <row r="46237">
      <c r="BB46237" s="122"/>
      <c r="BC46237" s="141"/>
    </row>
    <row r="46238">
      <c r="BB46238" s="122"/>
      <c r="BC46238" s="141"/>
    </row>
    <row r="46239">
      <c r="BB46239" s="122"/>
      <c r="BC46239" s="141"/>
    </row>
    <row r="46240">
      <c r="BB46240" s="122"/>
      <c r="BC46240" s="141"/>
    </row>
    <row r="46241">
      <c r="BB46241" s="122"/>
      <c r="BC46241" s="141"/>
    </row>
    <row r="46242">
      <c r="BB46242" s="122"/>
      <c r="BC46242" s="141"/>
    </row>
    <row r="46243">
      <c r="BB46243" s="122"/>
      <c r="BC46243" s="141"/>
    </row>
    <row r="46244">
      <c r="BB46244" s="122"/>
      <c r="BC46244" s="141"/>
    </row>
    <row r="46245">
      <c r="BB46245" s="122"/>
      <c r="BC46245" s="141"/>
    </row>
    <row r="46246">
      <c r="BB46246" s="122"/>
      <c r="BC46246" s="141"/>
    </row>
    <row r="46247">
      <c r="BB46247" s="122"/>
      <c r="BC46247" s="141"/>
    </row>
    <row r="46248">
      <c r="BB46248" s="122"/>
      <c r="BC46248" s="141"/>
    </row>
    <row r="46249">
      <c r="BB46249" s="122"/>
      <c r="BC46249" s="141"/>
    </row>
    <row r="46250">
      <c r="BB46250" s="122"/>
      <c r="BC46250" s="141"/>
    </row>
    <row r="46251">
      <c r="BB46251" s="122"/>
      <c r="BC46251" s="141"/>
    </row>
    <row r="46252">
      <c r="BB46252" s="122"/>
      <c r="BC46252" s="141"/>
    </row>
    <row r="46253">
      <c r="BB46253" s="122"/>
      <c r="BC46253" s="141"/>
    </row>
    <row r="46254">
      <c r="BB46254" s="122"/>
      <c r="BC46254" s="141"/>
    </row>
    <row r="46255">
      <c r="BB46255" s="122"/>
      <c r="BC46255" s="141"/>
    </row>
    <row r="46256">
      <c r="BB46256" s="122"/>
      <c r="BC46256" s="141"/>
    </row>
    <row r="46257">
      <c r="BB46257" s="122"/>
      <c r="BC46257" s="141"/>
    </row>
    <row r="46258">
      <c r="BB46258" s="122"/>
      <c r="BC46258" s="141"/>
    </row>
    <row r="46259">
      <c r="BB46259" s="122"/>
      <c r="BC46259" s="141"/>
    </row>
    <row r="46260">
      <c r="BB46260" s="122"/>
      <c r="BC46260" s="141"/>
    </row>
    <row r="46261">
      <c r="BB46261" s="122"/>
      <c r="BC46261" s="141"/>
    </row>
    <row r="46262">
      <c r="BB46262" s="122"/>
      <c r="BC46262" s="141"/>
    </row>
    <row r="46263">
      <c r="BB46263" s="122"/>
      <c r="BC46263" s="141"/>
    </row>
    <row r="46264">
      <c r="BB46264" s="122"/>
      <c r="BC46264" s="141"/>
    </row>
    <row r="46265">
      <c r="BB46265" s="122"/>
      <c r="BC46265" s="141"/>
    </row>
    <row r="46266">
      <c r="BB46266" s="122"/>
      <c r="BC46266" s="141"/>
    </row>
    <row r="46267">
      <c r="BB46267" s="122"/>
      <c r="BC46267" s="141"/>
    </row>
    <row r="46268">
      <c r="BB46268" s="122"/>
      <c r="BC46268" s="141"/>
    </row>
    <row r="46269">
      <c r="BB46269" s="122"/>
      <c r="BC46269" s="141"/>
    </row>
    <row r="46270">
      <c r="BB46270" s="122"/>
      <c r="BC46270" s="141"/>
    </row>
    <row r="46271">
      <c r="BB46271" s="122"/>
      <c r="BC46271" s="141"/>
    </row>
    <row r="46272">
      <c r="BB46272" s="122"/>
      <c r="BC46272" s="141"/>
    </row>
    <row r="46273">
      <c r="BB46273" s="122"/>
      <c r="BC46273" s="141"/>
    </row>
    <row r="46274">
      <c r="BB46274" s="122"/>
      <c r="BC46274" s="141"/>
    </row>
    <row r="46275">
      <c r="BB46275" s="122"/>
      <c r="BC46275" s="141"/>
    </row>
    <row r="46276">
      <c r="BB46276" s="122"/>
      <c r="BC46276" s="141"/>
    </row>
    <row r="46277">
      <c r="BB46277" s="122"/>
      <c r="BC46277" s="141"/>
    </row>
    <row r="46278">
      <c r="BB46278" s="122"/>
      <c r="BC46278" s="141"/>
    </row>
    <row r="46279">
      <c r="BB46279" s="122"/>
      <c r="BC46279" s="141"/>
    </row>
    <row r="46280">
      <c r="BB46280" s="122"/>
      <c r="BC46280" s="141"/>
    </row>
    <row r="46281">
      <c r="BB46281" s="122"/>
      <c r="BC46281" s="141"/>
    </row>
    <row r="46282">
      <c r="BB46282" s="122"/>
      <c r="BC46282" s="141"/>
    </row>
    <row r="46283">
      <c r="BB46283" s="122"/>
      <c r="BC46283" s="141"/>
    </row>
    <row r="46284">
      <c r="BB46284" s="122"/>
      <c r="BC46284" s="141"/>
    </row>
    <row r="46285">
      <c r="BB46285" s="122"/>
      <c r="BC46285" s="141"/>
    </row>
    <row r="46286">
      <c r="BB46286" s="122"/>
      <c r="BC46286" s="141"/>
    </row>
    <row r="46287">
      <c r="BB46287" s="122"/>
      <c r="BC46287" s="141"/>
    </row>
    <row r="46288">
      <c r="BB46288" s="122"/>
      <c r="BC46288" s="141"/>
    </row>
    <row r="46289">
      <c r="BB46289" s="122"/>
      <c r="BC46289" s="141"/>
    </row>
    <row r="46290">
      <c r="BB46290" s="122"/>
      <c r="BC46290" s="141"/>
    </row>
    <row r="46291">
      <c r="BB46291" s="122"/>
      <c r="BC46291" s="141"/>
    </row>
    <row r="46292">
      <c r="BB46292" s="122"/>
      <c r="BC46292" s="141"/>
    </row>
    <row r="46293">
      <c r="BB46293" s="122"/>
      <c r="BC46293" s="141"/>
    </row>
    <row r="46294">
      <c r="BB46294" s="122"/>
      <c r="BC46294" s="141"/>
    </row>
    <row r="46295">
      <c r="BB46295" s="122"/>
      <c r="BC46295" s="141"/>
    </row>
    <row r="46296">
      <c r="BB46296" s="122"/>
      <c r="BC46296" s="141"/>
    </row>
    <row r="46297">
      <c r="BB46297" s="122"/>
      <c r="BC46297" s="141"/>
    </row>
    <row r="46298">
      <c r="BB46298" s="122"/>
      <c r="BC46298" s="141"/>
    </row>
    <row r="46299">
      <c r="BB46299" s="122"/>
      <c r="BC46299" s="141"/>
    </row>
    <row r="46300">
      <c r="BB46300" s="122"/>
      <c r="BC46300" s="141"/>
    </row>
    <row r="46301">
      <c r="BB46301" s="122"/>
      <c r="BC46301" s="141"/>
    </row>
    <row r="46302">
      <c r="BB46302" s="122"/>
      <c r="BC46302" s="141"/>
    </row>
    <row r="46303">
      <c r="BB46303" s="122"/>
      <c r="BC46303" s="141"/>
    </row>
    <row r="46304">
      <c r="BB46304" s="122"/>
      <c r="BC46304" s="141"/>
    </row>
    <row r="46305">
      <c r="BB46305" s="122"/>
      <c r="BC46305" s="141"/>
    </row>
    <row r="46306">
      <c r="BB46306" s="122"/>
      <c r="BC46306" s="141"/>
    </row>
    <row r="46307">
      <c r="BB46307" s="122"/>
      <c r="BC46307" s="141"/>
    </row>
    <row r="46308">
      <c r="BB46308" s="122"/>
      <c r="BC46308" s="141"/>
    </row>
    <row r="46309">
      <c r="BB46309" s="122"/>
      <c r="BC46309" s="141"/>
    </row>
    <row r="46310">
      <c r="BB46310" s="122"/>
      <c r="BC46310" s="141"/>
    </row>
    <row r="46311">
      <c r="BB46311" s="122"/>
      <c r="BC46311" s="141"/>
    </row>
    <row r="46312">
      <c r="BB46312" s="122"/>
      <c r="BC46312" s="141"/>
    </row>
    <row r="46313">
      <c r="BB46313" s="122"/>
      <c r="BC46313" s="141"/>
    </row>
    <row r="46314">
      <c r="BB46314" s="122"/>
      <c r="BC46314" s="141"/>
    </row>
    <row r="46315">
      <c r="BB46315" s="122"/>
      <c r="BC46315" s="141"/>
    </row>
    <row r="46316">
      <c r="BB46316" s="122"/>
      <c r="BC46316" s="141"/>
    </row>
    <row r="46317">
      <c r="BB46317" s="122"/>
      <c r="BC46317" s="141"/>
    </row>
    <row r="46318">
      <c r="BB46318" s="122"/>
      <c r="BC46318" s="141"/>
    </row>
    <row r="46319">
      <c r="BB46319" s="122"/>
      <c r="BC46319" s="141"/>
    </row>
    <row r="46320">
      <c r="BB46320" s="122"/>
      <c r="BC46320" s="141"/>
    </row>
    <row r="46321">
      <c r="BB46321" s="122"/>
      <c r="BC46321" s="141"/>
    </row>
    <row r="46322">
      <c r="BB46322" s="122"/>
      <c r="BC46322" s="141"/>
    </row>
    <row r="46323">
      <c r="BB46323" s="122"/>
      <c r="BC46323" s="141"/>
    </row>
    <row r="46324">
      <c r="BB46324" s="122"/>
      <c r="BC46324" s="141"/>
    </row>
    <row r="46325">
      <c r="BB46325" s="122"/>
      <c r="BC46325" s="141"/>
    </row>
    <row r="46326">
      <c r="BB46326" s="122"/>
      <c r="BC46326" s="141"/>
    </row>
    <row r="46327">
      <c r="BB46327" s="122"/>
      <c r="BC46327" s="141"/>
    </row>
    <row r="46328">
      <c r="BB46328" s="122"/>
      <c r="BC46328" s="141"/>
    </row>
    <row r="46329">
      <c r="BB46329" s="122"/>
      <c r="BC46329" s="141"/>
    </row>
    <row r="46330">
      <c r="BB46330" s="122"/>
      <c r="BC46330" s="141"/>
    </row>
    <row r="46331">
      <c r="BB46331" s="122"/>
      <c r="BC46331" s="141"/>
    </row>
    <row r="46332">
      <c r="BB46332" s="122"/>
      <c r="BC46332" s="141"/>
    </row>
    <row r="46333">
      <c r="BB46333" s="122"/>
      <c r="BC46333" s="141"/>
    </row>
    <row r="46334">
      <c r="BB46334" s="122"/>
      <c r="BC46334" s="141"/>
    </row>
    <row r="46335">
      <c r="BB46335" s="122"/>
      <c r="BC46335" s="141"/>
    </row>
    <row r="46336">
      <c r="BB46336" s="122"/>
      <c r="BC46336" s="141"/>
    </row>
    <row r="46337">
      <c r="BB46337" s="122"/>
      <c r="BC46337" s="141"/>
    </row>
    <row r="46338">
      <c r="BB46338" s="122"/>
      <c r="BC46338" s="141"/>
    </row>
    <row r="46339">
      <c r="BB46339" s="122"/>
      <c r="BC46339" s="141"/>
    </row>
    <row r="46340">
      <c r="BB46340" s="122"/>
      <c r="BC46340" s="141"/>
    </row>
    <row r="46341">
      <c r="BB46341" s="122"/>
      <c r="BC46341" s="141"/>
    </row>
    <row r="46342">
      <c r="BB46342" s="122"/>
      <c r="BC46342" s="141"/>
    </row>
    <row r="46343">
      <c r="BB46343" s="122"/>
      <c r="BC46343" s="141"/>
    </row>
    <row r="46344">
      <c r="BB46344" s="122"/>
      <c r="BC46344" s="141"/>
    </row>
    <row r="46345">
      <c r="BB46345" s="122"/>
      <c r="BC46345" s="141"/>
    </row>
    <row r="46346">
      <c r="BB46346" s="122"/>
      <c r="BC46346" s="141"/>
    </row>
    <row r="46347">
      <c r="BB46347" s="122"/>
      <c r="BC46347" s="141"/>
    </row>
    <row r="46348">
      <c r="BB46348" s="122"/>
      <c r="BC46348" s="141"/>
    </row>
    <row r="46349">
      <c r="BB46349" s="122"/>
      <c r="BC46349" s="141"/>
    </row>
    <row r="46350">
      <c r="BB46350" s="122"/>
      <c r="BC46350" s="141"/>
    </row>
    <row r="46351">
      <c r="BB46351" s="122"/>
      <c r="BC46351" s="141"/>
    </row>
    <row r="46352">
      <c r="BB46352" s="122"/>
      <c r="BC46352" s="141"/>
    </row>
    <row r="46353">
      <c r="BB46353" s="122"/>
      <c r="BC46353" s="141"/>
    </row>
    <row r="46354">
      <c r="BB46354" s="122"/>
      <c r="BC46354" s="141"/>
    </row>
    <row r="46355">
      <c r="BB46355" s="122"/>
      <c r="BC46355" s="141"/>
    </row>
    <row r="46356">
      <c r="BB46356" s="122"/>
      <c r="BC46356" s="141"/>
    </row>
    <row r="46357">
      <c r="BB46357" s="122"/>
      <c r="BC46357" s="141"/>
    </row>
    <row r="46358">
      <c r="BB46358" s="122"/>
      <c r="BC46358" s="141"/>
    </row>
    <row r="46359">
      <c r="BB46359" s="122"/>
      <c r="BC46359" s="141"/>
    </row>
    <row r="46360">
      <c r="BB46360" s="122"/>
      <c r="BC46360" s="141"/>
    </row>
    <row r="46361">
      <c r="BB46361" s="122"/>
      <c r="BC46361" s="141"/>
    </row>
    <row r="46362">
      <c r="BB46362" s="122"/>
      <c r="BC46362" s="141"/>
    </row>
    <row r="46363">
      <c r="BB46363" s="122"/>
      <c r="BC46363" s="141"/>
    </row>
    <row r="46364">
      <c r="BB46364" s="122"/>
      <c r="BC46364" s="141"/>
    </row>
    <row r="46365">
      <c r="BB46365" s="122"/>
      <c r="BC46365" s="141"/>
    </row>
    <row r="46366">
      <c r="BB46366" s="122"/>
      <c r="BC46366" s="141"/>
    </row>
    <row r="46367">
      <c r="BB46367" s="122"/>
      <c r="BC46367" s="141"/>
    </row>
    <row r="46368">
      <c r="BB46368" s="122"/>
      <c r="BC46368" s="141"/>
    </row>
    <row r="46369">
      <c r="BB46369" s="122"/>
      <c r="BC46369" s="141"/>
    </row>
    <row r="46370">
      <c r="BB46370" s="122"/>
      <c r="BC46370" s="141"/>
    </row>
    <row r="46371">
      <c r="BB46371" s="122"/>
      <c r="BC46371" s="141"/>
    </row>
    <row r="46372">
      <c r="BB46372" s="122"/>
      <c r="BC46372" s="141"/>
    </row>
    <row r="46373">
      <c r="BB46373" s="122"/>
      <c r="BC46373" s="141"/>
    </row>
    <row r="46374">
      <c r="BB46374" s="122"/>
      <c r="BC46374" s="141"/>
    </row>
    <row r="46375">
      <c r="BB46375" s="122"/>
      <c r="BC46375" s="141"/>
    </row>
    <row r="46376">
      <c r="BB46376" s="122"/>
      <c r="BC46376" s="141"/>
    </row>
    <row r="46377">
      <c r="BB46377" s="122"/>
      <c r="BC46377" s="141"/>
    </row>
    <row r="46378">
      <c r="BB46378" s="122"/>
      <c r="BC46378" s="141"/>
    </row>
    <row r="46379">
      <c r="BB46379" s="122"/>
      <c r="BC46379" s="141"/>
    </row>
    <row r="46380">
      <c r="BB46380" s="122"/>
      <c r="BC46380" s="141"/>
    </row>
    <row r="46381">
      <c r="BB46381" s="122"/>
      <c r="BC46381" s="141"/>
    </row>
    <row r="46382">
      <c r="BB46382" s="122"/>
      <c r="BC46382" s="141"/>
    </row>
    <row r="46383">
      <c r="BB46383" s="122"/>
      <c r="BC46383" s="141"/>
    </row>
    <row r="46384">
      <c r="BB46384" s="122"/>
      <c r="BC46384" s="141"/>
    </row>
    <row r="46385">
      <c r="BB46385" s="122"/>
      <c r="BC46385" s="141"/>
    </row>
    <row r="46386">
      <c r="BB46386" s="122"/>
      <c r="BC46386" s="141"/>
    </row>
    <row r="46387">
      <c r="BB46387" s="122"/>
      <c r="BC46387" s="141"/>
    </row>
    <row r="46388">
      <c r="BB46388" s="122"/>
      <c r="BC46388" s="141"/>
    </row>
    <row r="46389">
      <c r="BB46389" s="122"/>
      <c r="BC46389" s="141"/>
    </row>
    <row r="46390">
      <c r="BB46390" s="122"/>
      <c r="BC46390" s="141"/>
    </row>
    <row r="46391">
      <c r="BB46391" s="122"/>
      <c r="BC46391" s="141"/>
    </row>
    <row r="46392">
      <c r="BB46392" s="122"/>
      <c r="BC46392" s="141"/>
    </row>
    <row r="46393">
      <c r="BB46393" s="122"/>
      <c r="BC46393" s="141"/>
    </row>
    <row r="46394">
      <c r="BB46394" s="122"/>
      <c r="BC46394" s="141"/>
    </row>
    <row r="46395">
      <c r="BB46395" s="122"/>
      <c r="BC46395" s="141"/>
    </row>
    <row r="46396">
      <c r="BB46396" s="122"/>
      <c r="BC46396" s="141"/>
    </row>
    <row r="46397">
      <c r="BB46397" s="122"/>
      <c r="BC46397" s="141"/>
    </row>
    <row r="46398">
      <c r="BB46398" s="122"/>
      <c r="BC46398" s="141"/>
    </row>
    <row r="46399">
      <c r="BB46399" s="122"/>
      <c r="BC46399" s="141"/>
    </row>
    <row r="46400">
      <c r="BB46400" s="122"/>
      <c r="BC46400" s="141"/>
    </row>
    <row r="46401">
      <c r="BB46401" s="122"/>
      <c r="BC46401" s="141"/>
    </row>
    <row r="46402">
      <c r="BB46402" s="122"/>
      <c r="BC46402" s="141"/>
    </row>
    <row r="46403">
      <c r="BB46403" s="122"/>
      <c r="BC46403" s="141"/>
    </row>
    <row r="46404">
      <c r="BB46404" s="122"/>
      <c r="BC46404" s="141"/>
    </row>
    <row r="46405">
      <c r="BB46405" s="122"/>
      <c r="BC46405" s="141"/>
    </row>
    <row r="46406">
      <c r="BB46406" s="122"/>
      <c r="BC46406" s="141"/>
    </row>
    <row r="46407">
      <c r="BB46407" s="122"/>
      <c r="BC46407" s="141"/>
    </row>
    <row r="46408">
      <c r="BB46408" s="122"/>
      <c r="BC46408" s="141"/>
    </row>
    <row r="46409">
      <c r="BB46409" s="122"/>
      <c r="BC46409" s="141"/>
    </row>
    <row r="46410">
      <c r="BB46410" s="122"/>
      <c r="BC46410" s="141"/>
    </row>
    <row r="46411">
      <c r="BB46411" s="122"/>
      <c r="BC46411" s="141"/>
    </row>
    <row r="46412">
      <c r="BB46412" s="122"/>
      <c r="BC46412" s="141"/>
    </row>
    <row r="46413">
      <c r="BB46413" s="122"/>
      <c r="BC46413" s="141"/>
    </row>
    <row r="46414">
      <c r="BB46414" s="122"/>
      <c r="BC46414" s="141"/>
    </row>
    <row r="46415">
      <c r="BB46415" s="122"/>
      <c r="BC46415" s="141"/>
    </row>
    <row r="46416">
      <c r="BB46416" s="122"/>
      <c r="BC46416" s="141"/>
    </row>
    <row r="46417">
      <c r="BB46417" s="122"/>
      <c r="BC46417" s="141"/>
    </row>
    <row r="46418">
      <c r="BB46418" s="122"/>
      <c r="BC46418" s="141"/>
    </row>
    <row r="46419">
      <c r="BB46419" s="122"/>
      <c r="BC46419" s="141"/>
    </row>
    <row r="46420">
      <c r="BB46420" s="122"/>
      <c r="BC46420" s="141"/>
    </row>
    <row r="46421">
      <c r="BB46421" s="122"/>
      <c r="BC46421" s="141"/>
    </row>
    <row r="46422">
      <c r="BB46422" s="122"/>
      <c r="BC46422" s="141"/>
    </row>
    <row r="46423">
      <c r="BB46423" s="122"/>
      <c r="BC46423" s="141"/>
    </row>
    <row r="46424">
      <c r="BB46424" s="122"/>
      <c r="BC46424" s="141"/>
    </row>
    <row r="46425">
      <c r="BB46425" s="122"/>
      <c r="BC46425" s="141"/>
    </row>
    <row r="46426">
      <c r="BB46426" s="122"/>
      <c r="BC46426" s="141"/>
    </row>
    <row r="46427">
      <c r="BB46427" s="122"/>
      <c r="BC46427" s="141"/>
    </row>
    <row r="46428">
      <c r="BB46428" s="122"/>
      <c r="BC46428" s="141"/>
    </row>
    <row r="46429">
      <c r="BB46429" s="122"/>
      <c r="BC46429" s="141"/>
    </row>
    <row r="46430">
      <c r="BB46430" s="122"/>
      <c r="BC46430" s="141"/>
    </row>
    <row r="46431">
      <c r="BB46431" s="122"/>
      <c r="BC46431" s="141"/>
    </row>
    <row r="46432">
      <c r="BB46432" s="122"/>
      <c r="BC46432" s="141"/>
    </row>
    <row r="46433">
      <c r="BB46433" s="122"/>
      <c r="BC46433" s="141"/>
    </row>
    <row r="46434">
      <c r="BB46434" s="122"/>
      <c r="BC46434" s="141"/>
    </row>
    <row r="46435">
      <c r="BB46435" s="122"/>
      <c r="BC46435" s="141"/>
    </row>
    <row r="46436">
      <c r="BB46436" s="122"/>
      <c r="BC46436" s="141"/>
    </row>
    <row r="46437">
      <c r="BB46437" s="122"/>
      <c r="BC46437" s="141"/>
    </row>
    <row r="46438">
      <c r="BB46438" s="122"/>
      <c r="BC46438" s="141"/>
    </row>
    <row r="46439">
      <c r="BB46439" s="122"/>
      <c r="BC46439" s="141"/>
    </row>
    <row r="46440">
      <c r="BB46440" s="122"/>
      <c r="BC46440" s="141"/>
    </row>
    <row r="46441">
      <c r="BB46441" s="122"/>
      <c r="BC46441" s="141"/>
    </row>
    <row r="46442">
      <c r="BB46442" s="122"/>
      <c r="BC46442" s="141"/>
    </row>
    <row r="46443">
      <c r="BB46443" s="122"/>
      <c r="BC46443" s="141"/>
    </row>
    <row r="46444">
      <c r="BB46444" s="122"/>
      <c r="BC46444" s="141"/>
    </row>
    <row r="46445">
      <c r="BB46445" s="122"/>
      <c r="BC46445" s="141"/>
    </row>
    <row r="46446">
      <c r="BB46446" s="122"/>
      <c r="BC46446" s="141"/>
    </row>
    <row r="46447">
      <c r="BB46447" s="122"/>
      <c r="BC46447" s="141"/>
    </row>
    <row r="46448">
      <c r="BB46448" s="122"/>
      <c r="BC46448" s="141"/>
    </row>
    <row r="46449">
      <c r="BB46449" s="122"/>
      <c r="BC46449" s="141"/>
    </row>
    <row r="46450">
      <c r="BB46450" s="122"/>
      <c r="BC46450" s="141"/>
    </row>
    <row r="46451">
      <c r="BB46451" s="122"/>
      <c r="BC46451" s="141"/>
    </row>
    <row r="46452">
      <c r="BB46452" s="122"/>
      <c r="BC46452" s="141"/>
    </row>
    <row r="46453">
      <c r="BB46453" s="122"/>
      <c r="BC46453" s="141"/>
    </row>
    <row r="46454">
      <c r="BB46454" s="122"/>
      <c r="BC46454" s="141"/>
    </row>
    <row r="46455">
      <c r="BB46455" s="122"/>
      <c r="BC46455" s="141"/>
    </row>
    <row r="46456">
      <c r="BB46456" s="122"/>
      <c r="BC46456" s="141"/>
    </row>
    <row r="46457">
      <c r="BB46457" s="122"/>
      <c r="BC46457" s="141"/>
    </row>
    <row r="46458">
      <c r="BB46458" s="122"/>
      <c r="BC46458" s="141"/>
    </row>
    <row r="46459">
      <c r="BB46459" s="122"/>
      <c r="BC46459" s="141"/>
    </row>
    <row r="46460">
      <c r="BB46460" s="122"/>
      <c r="BC46460" s="141"/>
    </row>
    <row r="46461">
      <c r="BB46461" s="122"/>
      <c r="BC46461" s="141"/>
    </row>
    <row r="46462">
      <c r="BB46462" s="122"/>
      <c r="BC46462" s="141"/>
    </row>
    <row r="46463">
      <c r="BB46463" s="122"/>
      <c r="BC46463" s="141"/>
    </row>
    <row r="46464">
      <c r="BB46464" s="122"/>
      <c r="BC46464" s="141"/>
    </row>
    <row r="46465">
      <c r="BB46465" s="122"/>
      <c r="BC46465" s="141"/>
    </row>
    <row r="46466">
      <c r="BB46466" s="122"/>
      <c r="BC46466" s="141"/>
    </row>
    <row r="46467">
      <c r="BB46467" s="122"/>
      <c r="BC46467" s="141"/>
    </row>
    <row r="46468">
      <c r="BB46468" s="122"/>
      <c r="BC46468" s="141"/>
    </row>
    <row r="46469">
      <c r="BB46469" s="122"/>
      <c r="BC46469" s="141"/>
    </row>
    <row r="46470">
      <c r="BB46470" s="122"/>
      <c r="BC46470" s="141"/>
    </row>
    <row r="46471">
      <c r="BB46471" s="122"/>
      <c r="BC46471" s="141"/>
    </row>
    <row r="46472">
      <c r="BB46472" s="122"/>
      <c r="BC46472" s="141"/>
    </row>
    <row r="46473">
      <c r="BB46473" s="122"/>
      <c r="BC46473" s="141"/>
    </row>
    <row r="46474">
      <c r="BB46474" s="122"/>
      <c r="BC46474" s="141"/>
    </row>
    <row r="46475">
      <c r="BB46475" s="122"/>
      <c r="BC46475" s="141"/>
    </row>
    <row r="46476">
      <c r="BB46476" s="122"/>
      <c r="BC46476" s="141"/>
    </row>
    <row r="46477">
      <c r="BB46477" s="122"/>
      <c r="BC46477" s="141"/>
    </row>
    <row r="46478">
      <c r="BB46478" s="122"/>
      <c r="BC46478" s="141"/>
    </row>
    <row r="46479">
      <c r="BB46479" s="122"/>
      <c r="BC46479" s="141"/>
    </row>
    <row r="46480">
      <c r="BB46480" s="122"/>
      <c r="BC46480" s="141"/>
    </row>
    <row r="46481">
      <c r="BB46481" s="122"/>
      <c r="BC46481" s="141"/>
    </row>
    <row r="46482">
      <c r="BB46482" s="122"/>
      <c r="BC46482" s="141"/>
    </row>
    <row r="46483">
      <c r="BB46483" s="122"/>
      <c r="BC46483" s="141"/>
    </row>
    <row r="46484">
      <c r="BB46484" s="122"/>
      <c r="BC46484" s="141"/>
    </row>
    <row r="46485">
      <c r="BB46485" s="122"/>
      <c r="BC46485" s="141"/>
    </row>
    <row r="46486">
      <c r="BB46486" s="122"/>
      <c r="BC46486" s="141"/>
    </row>
    <row r="46487">
      <c r="BB46487" s="122"/>
      <c r="BC46487" s="141"/>
    </row>
    <row r="46488">
      <c r="BB46488" s="122"/>
      <c r="BC46488" s="141"/>
    </row>
    <row r="46489">
      <c r="BB46489" s="122"/>
      <c r="BC46489" s="141"/>
    </row>
    <row r="46490">
      <c r="BB46490" s="122"/>
      <c r="BC46490" s="141"/>
    </row>
    <row r="46491">
      <c r="BB46491" s="122"/>
      <c r="BC46491" s="141"/>
    </row>
    <row r="46492">
      <c r="BB46492" s="122"/>
      <c r="BC46492" s="141"/>
    </row>
    <row r="46493">
      <c r="BB46493" s="122"/>
      <c r="BC46493" s="141"/>
    </row>
    <row r="46494">
      <c r="BB46494" s="122"/>
      <c r="BC46494" s="141"/>
    </row>
    <row r="46495">
      <c r="BB46495" s="122"/>
      <c r="BC46495" s="141"/>
    </row>
    <row r="46496">
      <c r="BB46496" s="122"/>
      <c r="BC46496" s="141"/>
    </row>
    <row r="46497">
      <c r="BB46497" s="122"/>
      <c r="BC46497" s="141"/>
    </row>
    <row r="46498">
      <c r="BB46498" s="122"/>
      <c r="BC46498" s="141"/>
    </row>
    <row r="46499">
      <c r="BB46499" s="122"/>
      <c r="BC46499" s="141"/>
    </row>
    <row r="46500">
      <c r="BB46500" s="122"/>
      <c r="BC46500" s="141"/>
    </row>
    <row r="46501">
      <c r="BB46501" s="122"/>
      <c r="BC46501" s="141"/>
    </row>
    <row r="46502">
      <c r="BB46502" s="122"/>
      <c r="BC46502" s="141"/>
    </row>
    <row r="46503">
      <c r="BB46503" s="122"/>
      <c r="BC46503" s="141"/>
    </row>
    <row r="46504">
      <c r="BB46504" s="122"/>
      <c r="BC46504" s="141"/>
    </row>
    <row r="46505">
      <c r="BB46505" s="122"/>
      <c r="BC46505" s="141"/>
    </row>
    <row r="46506">
      <c r="BB46506" s="122"/>
      <c r="BC46506" s="141"/>
    </row>
    <row r="46507">
      <c r="BB46507" s="122"/>
      <c r="BC46507" s="141"/>
    </row>
    <row r="46508">
      <c r="BB46508" s="122"/>
      <c r="BC46508" s="141"/>
    </row>
    <row r="46509">
      <c r="BB46509" s="122"/>
      <c r="BC46509" s="141"/>
    </row>
    <row r="46510">
      <c r="BB46510" s="122"/>
      <c r="BC46510" s="141"/>
    </row>
    <row r="46511">
      <c r="BB46511" s="122"/>
      <c r="BC46511" s="141"/>
    </row>
    <row r="46512">
      <c r="BB46512" s="122"/>
      <c r="BC46512" s="141"/>
    </row>
    <row r="46513">
      <c r="BB46513" s="122"/>
      <c r="BC46513" s="141"/>
    </row>
    <row r="46514">
      <c r="BB46514" s="122"/>
      <c r="BC46514" s="141"/>
    </row>
    <row r="46515">
      <c r="BB46515" s="122"/>
      <c r="BC46515" s="141"/>
    </row>
    <row r="46516">
      <c r="BB46516" s="122"/>
      <c r="BC46516" s="141"/>
    </row>
    <row r="46517">
      <c r="BB46517" s="122"/>
      <c r="BC46517" s="141"/>
    </row>
    <row r="46518">
      <c r="BB46518" s="122"/>
      <c r="BC46518" s="141"/>
    </row>
    <row r="46519">
      <c r="BB46519" s="122"/>
      <c r="BC46519" s="141"/>
    </row>
    <row r="46520">
      <c r="BB46520" s="122"/>
      <c r="BC46520" s="141"/>
    </row>
    <row r="46521">
      <c r="BB46521" s="122"/>
      <c r="BC46521" s="141"/>
    </row>
    <row r="46522">
      <c r="BB46522" s="122"/>
      <c r="BC46522" s="141"/>
    </row>
    <row r="46523">
      <c r="BB46523" s="122"/>
      <c r="BC46523" s="141"/>
    </row>
    <row r="46524">
      <c r="BB46524" s="122"/>
      <c r="BC46524" s="141"/>
    </row>
    <row r="46525">
      <c r="BB46525" s="122"/>
      <c r="BC46525" s="141"/>
    </row>
    <row r="46526">
      <c r="BB46526" s="122"/>
      <c r="BC46526" s="141"/>
    </row>
    <row r="46527">
      <c r="BB46527" s="122"/>
      <c r="BC46527" s="141"/>
    </row>
    <row r="46528">
      <c r="BB46528" s="122"/>
      <c r="BC46528" s="141"/>
    </row>
    <row r="46529">
      <c r="BB46529" s="122"/>
      <c r="BC46529" s="141"/>
    </row>
    <row r="46530">
      <c r="BB46530" s="122"/>
      <c r="BC46530" s="141"/>
    </row>
    <row r="46531">
      <c r="BB46531" s="122"/>
      <c r="BC46531" s="141"/>
    </row>
    <row r="46532">
      <c r="BB46532" s="122"/>
      <c r="BC46532" s="141"/>
    </row>
    <row r="46533">
      <c r="BB46533" s="122"/>
      <c r="BC46533" s="141"/>
    </row>
    <row r="46534">
      <c r="BB46534" s="122"/>
      <c r="BC46534" s="141"/>
    </row>
    <row r="46535">
      <c r="BB46535" s="122"/>
      <c r="BC46535" s="141"/>
    </row>
    <row r="46536">
      <c r="BB46536" s="122"/>
      <c r="BC46536" s="141"/>
    </row>
    <row r="46537">
      <c r="BB46537" s="122"/>
      <c r="BC46537" s="141"/>
    </row>
    <row r="46538">
      <c r="BB46538" s="122"/>
      <c r="BC46538" s="141"/>
    </row>
    <row r="46539">
      <c r="BB46539" s="122"/>
      <c r="BC46539" s="141"/>
    </row>
    <row r="46540">
      <c r="BB46540" s="122"/>
      <c r="BC46540" s="141"/>
    </row>
    <row r="46541">
      <c r="BB46541" s="122"/>
      <c r="BC46541" s="141"/>
    </row>
    <row r="46542">
      <c r="BB46542" s="122"/>
      <c r="BC46542" s="141"/>
    </row>
    <row r="46543">
      <c r="BB46543" s="122"/>
      <c r="BC46543" s="141"/>
    </row>
    <row r="46544">
      <c r="BB46544" s="122"/>
      <c r="BC46544" s="141"/>
    </row>
    <row r="46545">
      <c r="BB46545" s="122"/>
      <c r="BC46545" s="141"/>
    </row>
    <row r="46546">
      <c r="BB46546" s="122"/>
      <c r="BC46546" s="141"/>
    </row>
    <row r="46547">
      <c r="BB46547" s="122"/>
      <c r="BC46547" s="141"/>
    </row>
    <row r="46548">
      <c r="BB46548" s="122"/>
      <c r="BC46548" s="141"/>
    </row>
    <row r="46549">
      <c r="BB46549" s="122"/>
      <c r="BC46549" s="141"/>
    </row>
    <row r="46550">
      <c r="BB46550" s="122"/>
      <c r="BC46550" s="141"/>
    </row>
    <row r="46551">
      <c r="BB46551" s="122"/>
      <c r="BC46551" s="141"/>
    </row>
    <row r="46552">
      <c r="BB46552" s="122"/>
      <c r="BC46552" s="141"/>
    </row>
    <row r="46553">
      <c r="BB46553" s="122"/>
      <c r="BC46553" s="141"/>
    </row>
    <row r="46554">
      <c r="BB46554" s="122"/>
      <c r="BC46554" s="141"/>
    </row>
    <row r="46555">
      <c r="BB46555" s="122"/>
      <c r="BC46555" s="141"/>
    </row>
    <row r="46556">
      <c r="BB46556" s="122"/>
      <c r="BC46556" s="141"/>
    </row>
    <row r="46557">
      <c r="BB46557" s="122"/>
      <c r="BC46557" s="141"/>
    </row>
    <row r="46558">
      <c r="BB46558" s="122"/>
      <c r="BC46558" s="141"/>
    </row>
    <row r="46559">
      <c r="BB46559" s="122"/>
      <c r="BC46559" s="141"/>
    </row>
    <row r="46560">
      <c r="BB46560" s="122"/>
      <c r="BC46560" s="141"/>
    </row>
    <row r="46561">
      <c r="BB46561" s="122"/>
      <c r="BC46561" s="141"/>
    </row>
    <row r="46562">
      <c r="BB46562" s="122"/>
      <c r="BC46562" s="141"/>
    </row>
    <row r="46563">
      <c r="BB46563" s="122"/>
      <c r="BC46563" s="141"/>
    </row>
    <row r="46564">
      <c r="BB46564" s="122"/>
      <c r="BC46564" s="141"/>
    </row>
    <row r="46565">
      <c r="BB46565" s="122"/>
      <c r="BC46565" s="141"/>
    </row>
    <row r="46566">
      <c r="BB46566" s="122"/>
      <c r="BC46566" s="141"/>
    </row>
    <row r="46567">
      <c r="BB46567" s="122"/>
      <c r="BC46567" s="141"/>
    </row>
    <row r="46568">
      <c r="BB46568" s="122"/>
      <c r="BC46568" s="141"/>
    </row>
    <row r="46569">
      <c r="BB46569" s="122"/>
      <c r="BC46569" s="141"/>
    </row>
    <row r="46570">
      <c r="BB46570" s="122"/>
      <c r="BC46570" s="141"/>
    </row>
    <row r="46571">
      <c r="BB46571" s="122"/>
      <c r="BC46571" s="141"/>
    </row>
    <row r="46572">
      <c r="BB46572" s="122"/>
      <c r="BC46572" s="141"/>
    </row>
    <row r="46573">
      <c r="BB46573" s="122"/>
      <c r="BC46573" s="141"/>
    </row>
    <row r="46574">
      <c r="BB46574" s="122"/>
      <c r="BC46574" s="141"/>
    </row>
    <row r="46575">
      <c r="BB46575" s="122"/>
      <c r="BC46575" s="141"/>
    </row>
    <row r="46576">
      <c r="BB46576" s="122"/>
      <c r="BC46576" s="141"/>
    </row>
    <row r="46577">
      <c r="BB46577" s="122"/>
      <c r="BC46577" s="141"/>
    </row>
    <row r="46578">
      <c r="BB46578" s="122"/>
      <c r="BC46578" s="141"/>
    </row>
    <row r="46579">
      <c r="BB46579" s="122"/>
      <c r="BC46579" s="141"/>
    </row>
    <row r="46580">
      <c r="BB46580" s="122"/>
      <c r="BC46580" s="141"/>
    </row>
    <row r="46581">
      <c r="BB46581" s="122"/>
      <c r="BC46581" s="141"/>
    </row>
    <row r="46582">
      <c r="BB46582" s="122"/>
      <c r="BC46582" s="141"/>
    </row>
    <row r="46583">
      <c r="BB46583" s="122"/>
      <c r="BC46583" s="141"/>
    </row>
    <row r="46584">
      <c r="BB46584" s="122"/>
      <c r="BC46584" s="141"/>
    </row>
    <row r="46585">
      <c r="BB46585" s="122"/>
      <c r="BC46585" s="141"/>
    </row>
    <row r="46586">
      <c r="BB46586" s="122"/>
      <c r="BC46586" s="141"/>
    </row>
    <row r="46587">
      <c r="BB46587" s="122"/>
      <c r="BC46587" s="141"/>
    </row>
    <row r="46588">
      <c r="BB46588" s="122"/>
      <c r="BC46588" s="141"/>
    </row>
    <row r="46589">
      <c r="BB46589" s="122"/>
      <c r="BC46589" s="141"/>
    </row>
    <row r="46590">
      <c r="BB46590" s="122"/>
      <c r="BC46590" s="141"/>
    </row>
    <row r="46591">
      <c r="BB46591" s="122"/>
      <c r="BC46591" s="141"/>
    </row>
    <row r="46592">
      <c r="BB46592" s="122"/>
      <c r="BC46592" s="141"/>
    </row>
    <row r="46593">
      <c r="BB46593" s="122"/>
      <c r="BC46593" s="141"/>
    </row>
    <row r="46594">
      <c r="BB46594" s="122"/>
      <c r="BC46594" s="141"/>
    </row>
    <row r="46595">
      <c r="BB46595" s="122"/>
      <c r="BC46595" s="141"/>
    </row>
    <row r="46596">
      <c r="BB46596" s="122"/>
      <c r="BC46596" s="141"/>
    </row>
    <row r="46597">
      <c r="BB46597" s="122"/>
      <c r="BC46597" s="141"/>
    </row>
    <row r="46598">
      <c r="BB46598" s="122"/>
      <c r="BC46598" s="141"/>
    </row>
    <row r="46599">
      <c r="BB46599" s="122"/>
      <c r="BC46599" s="141"/>
    </row>
    <row r="46600">
      <c r="BB46600" s="122"/>
      <c r="BC46600" s="141"/>
    </row>
    <row r="46601">
      <c r="BB46601" s="122"/>
      <c r="BC46601" s="141"/>
    </row>
    <row r="46602">
      <c r="BB46602" s="122"/>
      <c r="BC46602" s="141"/>
    </row>
    <row r="46603">
      <c r="BB46603" s="122"/>
      <c r="BC46603" s="141"/>
    </row>
    <row r="46604">
      <c r="BB46604" s="122"/>
      <c r="BC46604" s="141"/>
    </row>
    <row r="46605">
      <c r="BB46605" s="122"/>
      <c r="BC46605" s="141"/>
    </row>
    <row r="46606">
      <c r="BB46606" s="122"/>
      <c r="BC46606" s="141"/>
    </row>
    <row r="46607">
      <c r="BB46607" s="122"/>
      <c r="BC46607" s="141"/>
    </row>
    <row r="46608">
      <c r="BB46608" s="122"/>
      <c r="BC46608" s="141"/>
    </row>
    <row r="46609">
      <c r="BB46609" s="122"/>
      <c r="BC46609" s="141"/>
    </row>
    <row r="46610">
      <c r="BB46610" s="122"/>
      <c r="BC46610" s="141"/>
    </row>
    <row r="46611">
      <c r="BB46611" s="122"/>
      <c r="BC46611" s="141"/>
    </row>
    <row r="46612">
      <c r="BB46612" s="122"/>
      <c r="BC46612" s="141"/>
    </row>
    <row r="46613">
      <c r="BB46613" s="122"/>
      <c r="BC46613" s="141"/>
    </row>
    <row r="46614">
      <c r="BB46614" s="122"/>
      <c r="BC46614" s="141"/>
    </row>
    <row r="46615">
      <c r="BB46615" s="122"/>
      <c r="BC46615" s="141"/>
    </row>
    <row r="46616">
      <c r="BB46616" s="122"/>
      <c r="BC46616" s="141"/>
    </row>
    <row r="46617">
      <c r="BB46617" s="122"/>
      <c r="BC46617" s="141"/>
    </row>
    <row r="46618">
      <c r="BB46618" s="122"/>
      <c r="BC46618" s="141"/>
    </row>
    <row r="46619">
      <c r="BB46619" s="122"/>
      <c r="BC46619" s="141"/>
    </row>
    <row r="46620">
      <c r="BB46620" s="122"/>
      <c r="BC46620" s="141"/>
    </row>
    <row r="46621">
      <c r="BB46621" s="122"/>
      <c r="BC46621" s="141"/>
    </row>
    <row r="46622">
      <c r="BB46622" s="122"/>
      <c r="BC46622" s="141"/>
    </row>
    <row r="46623">
      <c r="BB46623" s="122"/>
      <c r="BC46623" s="141"/>
    </row>
    <row r="46624">
      <c r="BB46624" s="122"/>
      <c r="BC46624" s="141"/>
    </row>
    <row r="46625">
      <c r="BB46625" s="122"/>
      <c r="BC46625" s="141"/>
    </row>
    <row r="46626">
      <c r="BB46626" s="122"/>
      <c r="BC46626" s="141"/>
    </row>
    <row r="46627">
      <c r="BB46627" s="122"/>
      <c r="BC46627" s="141"/>
    </row>
    <row r="46628">
      <c r="BB46628" s="122"/>
      <c r="BC46628" s="141"/>
    </row>
    <row r="46629">
      <c r="BB46629" s="122"/>
      <c r="BC46629" s="141"/>
    </row>
    <row r="46630">
      <c r="BB46630" s="122"/>
      <c r="BC46630" s="141"/>
    </row>
    <row r="46631">
      <c r="BB46631" s="122"/>
      <c r="BC46631" s="141"/>
    </row>
    <row r="46632">
      <c r="BB46632" s="122"/>
      <c r="BC46632" s="141"/>
    </row>
    <row r="46633">
      <c r="BB46633" s="122"/>
      <c r="BC46633" s="141"/>
    </row>
    <row r="46634">
      <c r="BB46634" s="122"/>
      <c r="BC46634" s="141"/>
    </row>
    <row r="46635">
      <c r="BB46635" s="122"/>
      <c r="BC46635" s="141"/>
    </row>
    <row r="46636">
      <c r="BB46636" s="122"/>
      <c r="BC46636" s="141"/>
    </row>
    <row r="46637">
      <c r="BB46637" s="122"/>
      <c r="BC46637" s="141"/>
    </row>
    <row r="46638">
      <c r="BB46638" s="122"/>
      <c r="BC46638" s="141"/>
    </row>
    <row r="46639">
      <c r="BB46639" s="122"/>
      <c r="BC46639" s="141"/>
    </row>
    <row r="46640">
      <c r="BB46640" s="122"/>
      <c r="BC46640" s="141"/>
    </row>
    <row r="46641">
      <c r="BB46641" s="122"/>
      <c r="BC46641" s="141"/>
    </row>
    <row r="46642">
      <c r="BB46642" s="122"/>
      <c r="BC46642" s="141"/>
    </row>
    <row r="46643">
      <c r="BB46643" s="122"/>
      <c r="BC46643" s="141"/>
    </row>
    <row r="46644">
      <c r="BB46644" s="122"/>
      <c r="BC46644" s="141"/>
    </row>
    <row r="46645">
      <c r="BB46645" s="122"/>
      <c r="BC46645" s="141"/>
    </row>
    <row r="46646">
      <c r="BB46646" s="122"/>
      <c r="BC46646" s="141"/>
    </row>
    <row r="46647">
      <c r="BB46647" s="122"/>
      <c r="BC46647" s="141"/>
    </row>
    <row r="46648">
      <c r="BB46648" s="122"/>
      <c r="BC46648" s="141"/>
    </row>
    <row r="46649">
      <c r="BB46649" s="122"/>
      <c r="BC46649" s="141"/>
    </row>
    <row r="46650">
      <c r="BB46650" s="122"/>
      <c r="BC46650" s="141"/>
    </row>
    <row r="46651">
      <c r="BB46651" s="122"/>
      <c r="BC46651" s="141"/>
    </row>
    <row r="46652">
      <c r="BB46652" s="122"/>
      <c r="BC46652" s="141"/>
    </row>
    <row r="46653">
      <c r="BB46653" s="122"/>
      <c r="BC46653" s="141"/>
    </row>
    <row r="46654">
      <c r="BB46654" s="122"/>
      <c r="BC46654" s="141"/>
    </row>
    <row r="46655">
      <c r="BB46655" s="122"/>
      <c r="BC46655" s="141"/>
    </row>
    <row r="46656">
      <c r="BB46656" s="122"/>
      <c r="BC46656" s="141"/>
    </row>
    <row r="46657">
      <c r="BB46657" s="122"/>
      <c r="BC46657" s="141"/>
    </row>
    <row r="46658">
      <c r="BB46658" s="122"/>
      <c r="BC46658" s="141"/>
    </row>
    <row r="46659">
      <c r="BB46659" s="122"/>
      <c r="BC46659" s="141"/>
    </row>
    <row r="46660">
      <c r="BB46660" s="122"/>
      <c r="BC46660" s="141"/>
    </row>
    <row r="46661">
      <c r="BB46661" s="122"/>
      <c r="BC46661" s="141"/>
    </row>
    <row r="46662">
      <c r="BB46662" s="122"/>
      <c r="BC46662" s="141"/>
    </row>
    <row r="46663">
      <c r="BB46663" s="122"/>
      <c r="BC46663" s="141"/>
    </row>
    <row r="46664">
      <c r="BB46664" s="122"/>
      <c r="BC46664" s="141"/>
    </row>
    <row r="46665">
      <c r="BB46665" s="122"/>
      <c r="BC46665" s="141"/>
    </row>
    <row r="46666">
      <c r="BB46666" s="122"/>
      <c r="BC46666" s="141"/>
    </row>
    <row r="46667">
      <c r="BB46667" s="122"/>
      <c r="BC46667" s="141"/>
    </row>
    <row r="46668">
      <c r="BB46668" s="122"/>
      <c r="BC46668" s="141"/>
    </row>
    <row r="46669">
      <c r="BB46669" s="122"/>
      <c r="BC46669" s="141"/>
    </row>
    <row r="46670">
      <c r="BB46670" s="122"/>
      <c r="BC46670" s="141"/>
    </row>
    <row r="46671">
      <c r="BB46671" s="122"/>
      <c r="BC46671" s="141"/>
    </row>
    <row r="46672">
      <c r="BB46672" s="122"/>
      <c r="BC46672" s="141"/>
    </row>
    <row r="46673">
      <c r="BB46673" s="122"/>
      <c r="BC46673" s="141"/>
    </row>
    <row r="46674">
      <c r="BB46674" s="122"/>
      <c r="BC46674" s="141"/>
    </row>
    <row r="46675">
      <c r="BB46675" s="122"/>
      <c r="BC46675" s="141"/>
    </row>
    <row r="46676">
      <c r="BB46676" s="122"/>
      <c r="BC46676" s="141"/>
    </row>
    <row r="46677">
      <c r="BB46677" s="122"/>
      <c r="BC46677" s="141"/>
    </row>
    <row r="46678">
      <c r="BB46678" s="122"/>
      <c r="BC46678" s="141"/>
    </row>
    <row r="46679">
      <c r="BB46679" s="122"/>
      <c r="BC46679" s="141"/>
    </row>
    <row r="46680">
      <c r="BB46680" s="122"/>
      <c r="BC46680" s="141"/>
    </row>
    <row r="46681">
      <c r="BB46681" s="122"/>
      <c r="BC46681" s="141"/>
    </row>
    <row r="46682">
      <c r="BB46682" s="122"/>
      <c r="BC46682" s="141"/>
    </row>
    <row r="46683">
      <c r="BB46683" s="122"/>
      <c r="BC46683" s="141"/>
    </row>
    <row r="46684">
      <c r="BB46684" s="122"/>
      <c r="BC46684" s="141"/>
    </row>
    <row r="46685">
      <c r="BB46685" s="122"/>
      <c r="BC46685" s="141"/>
    </row>
    <row r="46686">
      <c r="BB46686" s="122"/>
      <c r="BC46686" s="141"/>
    </row>
    <row r="46687">
      <c r="BB46687" s="122"/>
      <c r="BC46687" s="141"/>
    </row>
    <row r="46688">
      <c r="BB46688" s="122"/>
      <c r="BC46688" s="141"/>
    </row>
    <row r="46689">
      <c r="BB46689" s="122"/>
      <c r="BC46689" s="141"/>
    </row>
    <row r="46690">
      <c r="BB46690" s="122"/>
      <c r="BC46690" s="141"/>
    </row>
    <row r="46691">
      <c r="BB46691" s="122"/>
      <c r="BC46691" s="141"/>
    </row>
    <row r="46692">
      <c r="BB46692" s="122"/>
      <c r="BC46692" s="141"/>
    </row>
    <row r="46693">
      <c r="BB46693" s="122"/>
      <c r="BC46693" s="141"/>
    </row>
    <row r="46694">
      <c r="BB46694" s="122"/>
      <c r="BC46694" s="141"/>
    </row>
    <row r="46695">
      <c r="BB46695" s="122"/>
      <c r="BC46695" s="141"/>
    </row>
    <row r="46696">
      <c r="BB46696" s="122"/>
      <c r="BC46696" s="141"/>
    </row>
    <row r="46697">
      <c r="BB46697" s="122"/>
      <c r="BC46697" s="141"/>
    </row>
    <row r="46698">
      <c r="BB46698" s="122"/>
      <c r="BC46698" s="141"/>
    </row>
    <row r="46699">
      <c r="BB46699" s="122"/>
      <c r="BC46699" s="141"/>
    </row>
    <row r="46700">
      <c r="BB46700" s="122"/>
      <c r="BC46700" s="141"/>
    </row>
    <row r="46701">
      <c r="BB46701" s="122"/>
      <c r="BC46701" s="141"/>
    </row>
    <row r="46702">
      <c r="BB46702" s="122"/>
      <c r="BC46702" s="141"/>
    </row>
    <row r="46703">
      <c r="BB46703" s="122"/>
      <c r="BC46703" s="141"/>
    </row>
    <row r="46704">
      <c r="BB46704" s="122"/>
      <c r="BC46704" s="141"/>
    </row>
    <row r="46705">
      <c r="BB46705" s="122"/>
      <c r="BC46705" s="141"/>
    </row>
    <row r="46706">
      <c r="BB46706" s="122"/>
      <c r="BC46706" s="141"/>
    </row>
    <row r="46707">
      <c r="BB46707" s="122"/>
      <c r="BC46707" s="141"/>
    </row>
    <row r="46708">
      <c r="BB46708" s="122"/>
      <c r="BC46708" s="141"/>
    </row>
    <row r="46709">
      <c r="BB46709" s="122"/>
      <c r="BC46709" s="141"/>
    </row>
    <row r="46710">
      <c r="BB46710" s="122"/>
      <c r="BC46710" s="141"/>
    </row>
    <row r="46711">
      <c r="BB46711" s="122"/>
      <c r="BC46711" s="141"/>
    </row>
    <row r="46712">
      <c r="BB46712" s="122"/>
      <c r="BC46712" s="141"/>
    </row>
    <row r="46713">
      <c r="BB46713" s="122"/>
      <c r="BC46713" s="141"/>
    </row>
    <row r="46714">
      <c r="BB46714" s="122"/>
      <c r="BC46714" s="141"/>
    </row>
    <row r="46715">
      <c r="BB46715" s="122"/>
      <c r="BC46715" s="141"/>
    </row>
    <row r="46716">
      <c r="BB46716" s="122"/>
      <c r="BC46716" s="141"/>
    </row>
    <row r="46717">
      <c r="BB46717" s="122"/>
      <c r="BC46717" s="141"/>
    </row>
    <row r="46718">
      <c r="BB46718" s="122"/>
      <c r="BC46718" s="141"/>
    </row>
    <row r="46719">
      <c r="BB46719" s="122"/>
      <c r="BC46719" s="141"/>
    </row>
    <row r="46720">
      <c r="BB46720" s="122"/>
      <c r="BC46720" s="141"/>
    </row>
    <row r="46721">
      <c r="BB46721" s="122"/>
      <c r="BC46721" s="141"/>
    </row>
    <row r="46722">
      <c r="BB46722" s="122"/>
      <c r="BC46722" s="141"/>
    </row>
    <row r="46723">
      <c r="BB46723" s="122"/>
      <c r="BC46723" s="141"/>
    </row>
    <row r="46724">
      <c r="BB46724" s="122"/>
      <c r="BC46724" s="141"/>
    </row>
    <row r="46725">
      <c r="BB46725" s="122"/>
      <c r="BC46725" s="141"/>
    </row>
    <row r="46726">
      <c r="BB46726" s="122"/>
      <c r="BC46726" s="141"/>
    </row>
    <row r="46727">
      <c r="BB46727" s="122"/>
      <c r="BC46727" s="141"/>
    </row>
    <row r="46728">
      <c r="BB46728" s="122"/>
      <c r="BC46728" s="141"/>
    </row>
    <row r="46729">
      <c r="BB46729" s="122"/>
      <c r="BC46729" s="141"/>
    </row>
    <row r="46730">
      <c r="BB46730" s="122"/>
      <c r="BC46730" s="141"/>
    </row>
    <row r="46731">
      <c r="BB46731" s="122"/>
      <c r="BC46731" s="141"/>
    </row>
    <row r="46732">
      <c r="BB46732" s="122"/>
      <c r="BC46732" s="141"/>
    </row>
    <row r="46733">
      <c r="BB46733" s="122"/>
      <c r="BC46733" s="141"/>
    </row>
    <row r="46734">
      <c r="BB46734" s="122"/>
      <c r="BC46734" s="141"/>
    </row>
    <row r="46735">
      <c r="BB46735" s="122"/>
      <c r="BC46735" s="141"/>
    </row>
    <row r="46736">
      <c r="BB46736" s="122"/>
      <c r="BC46736" s="141"/>
    </row>
    <row r="46737">
      <c r="BB46737" s="122"/>
      <c r="BC46737" s="141"/>
    </row>
    <row r="46738">
      <c r="BB46738" s="122"/>
      <c r="BC46738" s="141"/>
    </row>
    <row r="46739">
      <c r="BB46739" s="122"/>
      <c r="BC46739" s="141"/>
    </row>
    <row r="46740">
      <c r="BB46740" s="122"/>
      <c r="BC46740" s="141"/>
    </row>
    <row r="46741">
      <c r="BB46741" s="122"/>
      <c r="BC46741" s="141"/>
    </row>
    <row r="46742">
      <c r="BB46742" s="122"/>
      <c r="BC46742" s="141"/>
    </row>
    <row r="46743">
      <c r="BB46743" s="122"/>
      <c r="BC46743" s="141"/>
    </row>
    <row r="46744">
      <c r="BB46744" s="122"/>
      <c r="BC46744" s="141"/>
    </row>
    <row r="46745">
      <c r="BB46745" s="122"/>
      <c r="BC46745" s="141"/>
    </row>
    <row r="46746">
      <c r="BB46746" s="122"/>
      <c r="BC46746" s="141"/>
    </row>
    <row r="46747">
      <c r="BB46747" s="122"/>
      <c r="BC46747" s="141"/>
    </row>
    <row r="46748">
      <c r="BB46748" s="122"/>
      <c r="BC46748" s="141"/>
    </row>
    <row r="46749">
      <c r="BB46749" s="122"/>
      <c r="BC46749" s="141"/>
    </row>
    <row r="46750">
      <c r="BB46750" s="122"/>
      <c r="BC46750" s="141"/>
    </row>
    <row r="46751">
      <c r="BB46751" s="122"/>
      <c r="BC46751" s="141"/>
    </row>
    <row r="46752">
      <c r="BB46752" s="122"/>
      <c r="BC46752" s="141"/>
    </row>
    <row r="46753">
      <c r="BB46753" s="122"/>
      <c r="BC46753" s="141"/>
    </row>
    <row r="46754">
      <c r="BB46754" s="122"/>
      <c r="BC46754" s="141"/>
    </row>
    <row r="46755">
      <c r="BB46755" s="122"/>
      <c r="BC46755" s="141"/>
    </row>
    <row r="46756">
      <c r="BB46756" s="122"/>
      <c r="BC46756" s="141"/>
    </row>
    <row r="46757">
      <c r="BB46757" s="122"/>
      <c r="BC46757" s="141"/>
    </row>
    <row r="46758">
      <c r="BB46758" s="122"/>
      <c r="BC46758" s="141"/>
    </row>
    <row r="46759">
      <c r="BB46759" s="122"/>
      <c r="BC46759" s="141"/>
    </row>
    <row r="46760">
      <c r="BB46760" s="122"/>
      <c r="BC46760" s="141"/>
    </row>
    <row r="46761">
      <c r="BB46761" s="122"/>
      <c r="BC46761" s="141"/>
    </row>
    <row r="46762">
      <c r="BB46762" s="122"/>
      <c r="BC46762" s="141"/>
    </row>
    <row r="46763">
      <c r="BB46763" s="122"/>
      <c r="BC46763" s="141"/>
    </row>
    <row r="46764">
      <c r="BB46764" s="122"/>
      <c r="BC46764" s="141"/>
    </row>
    <row r="46765">
      <c r="BB46765" s="122"/>
      <c r="BC46765" s="141"/>
    </row>
    <row r="46766">
      <c r="BB46766" s="122"/>
      <c r="BC46766" s="141"/>
    </row>
    <row r="46767">
      <c r="BB46767" s="122"/>
      <c r="BC46767" s="141"/>
    </row>
    <row r="46768">
      <c r="BB46768" s="122"/>
      <c r="BC46768" s="141"/>
    </row>
    <row r="46769">
      <c r="BB46769" s="122"/>
      <c r="BC46769" s="141"/>
    </row>
    <row r="46770">
      <c r="BB46770" s="122"/>
      <c r="BC46770" s="141"/>
    </row>
    <row r="46771">
      <c r="BB46771" s="122"/>
      <c r="BC46771" s="141"/>
    </row>
    <row r="46772">
      <c r="BB46772" s="122"/>
      <c r="BC46772" s="141"/>
    </row>
    <row r="46773">
      <c r="BB46773" s="122"/>
      <c r="BC46773" s="141"/>
    </row>
    <row r="46774">
      <c r="BB46774" s="122"/>
      <c r="BC46774" s="141"/>
    </row>
    <row r="46775">
      <c r="BB46775" s="122"/>
      <c r="BC46775" s="141"/>
    </row>
    <row r="46776">
      <c r="BB46776" s="122"/>
      <c r="BC46776" s="141"/>
    </row>
    <row r="46777">
      <c r="BB46777" s="122"/>
      <c r="BC46777" s="141"/>
    </row>
    <row r="46778">
      <c r="BB46778" s="122"/>
      <c r="BC46778" s="141"/>
    </row>
    <row r="46779">
      <c r="BB46779" s="122"/>
      <c r="BC46779" s="141"/>
    </row>
    <row r="46780">
      <c r="BB46780" s="122"/>
      <c r="BC46780" s="141"/>
    </row>
    <row r="46781">
      <c r="BB46781" s="122"/>
      <c r="BC46781" s="141"/>
    </row>
    <row r="46782">
      <c r="BB46782" s="122"/>
      <c r="BC46782" s="141"/>
    </row>
    <row r="46783">
      <c r="BB46783" s="122"/>
      <c r="BC46783" s="141"/>
    </row>
    <row r="46784">
      <c r="BB46784" s="122"/>
      <c r="BC46784" s="141"/>
    </row>
    <row r="46785">
      <c r="BB46785" s="122"/>
      <c r="BC46785" s="141"/>
    </row>
    <row r="46786">
      <c r="BB46786" s="122"/>
      <c r="BC46786" s="141"/>
    </row>
    <row r="46787">
      <c r="BB46787" s="122"/>
      <c r="BC46787" s="141"/>
    </row>
    <row r="46788">
      <c r="BB46788" s="122"/>
      <c r="BC46788" s="141"/>
    </row>
    <row r="46789">
      <c r="BB46789" s="122"/>
      <c r="BC46789" s="141"/>
    </row>
    <row r="46790">
      <c r="BB46790" s="122"/>
      <c r="BC46790" s="141"/>
    </row>
    <row r="46791">
      <c r="BB46791" s="122"/>
      <c r="BC46791" s="141"/>
    </row>
    <row r="46792">
      <c r="BB46792" s="122"/>
      <c r="BC46792" s="141"/>
    </row>
    <row r="46793">
      <c r="BB46793" s="122"/>
      <c r="BC46793" s="141"/>
    </row>
    <row r="46794">
      <c r="BB46794" s="122"/>
      <c r="BC46794" s="141"/>
    </row>
    <row r="46795">
      <c r="BB46795" s="122"/>
      <c r="BC46795" s="141"/>
    </row>
    <row r="46796">
      <c r="BB46796" s="122"/>
      <c r="BC46796" s="141"/>
    </row>
    <row r="46797">
      <c r="BB46797" s="122"/>
      <c r="BC46797" s="141"/>
    </row>
    <row r="46798">
      <c r="BB46798" s="122"/>
      <c r="BC46798" s="141"/>
    </row>
    <row r="46799">
      <c r="BB46799" s="122"/>
      <c r="BC46799" s="141"/>
    </row>
    <row r="46800">
      <c r="BB46800" s="122"/>
      <c r="BC46800" s="141"/>
    </row>
    <row r="46801">
      <c r="BB46801" s="122"/>
      <c r="BC46801" s="141"/>
    </row>
    <row r="46802">
      <c r="BB46802" s="122"/>
      <c r="BC46802" s="141"/>
    </row>
    <row r="46803">
      <c r="BB46803" s="122"/>
      <c r="BC46803" s="141"/>
    </row>
    <row r="46804">
      <c r="BB46804" s="122"/>
      <c r="BC46804" s="141"/>
    </row>
    <row r="46805">
      <c r="BB46805" s="122"/>
      <c r="BC46805" s="141"/>
    </row>
    <row r="46806">
      <c r="BB46806" s="122"/>
      <c r="BC46806" s="141"/>
    </row>
    <row r="46807">
      <c r="BB46807" s="122"/>
      <c r="BC46807" s="141"/>
    </row>
    <row r="46808">
      <c r="BB46808" s="122"/>
      <c r="BC46808" s="141"/>
    </row>
    <row r="46809">
      <c r="BB46809" s="122"/>
      <c r="BC46809" s="141"/>
    </row>
    <row r="46810">
      <c r="BB46810" s="122"/>
      <c r="BC46810" s="141"/>
    </row>
    <row r="46811">
      <c r="BB46811" s="122"/>
      <c r="BC46811" s="141"/>
    </row>
    <row r="46812">
      <c r="BB46812" s="122"/>
      <c r="BC46812" s="141"/>
    </row>
    <row r="46813">
      <c r="BB46813" s="122"/>
      <c r="BC46813" s="141"/>
    </row>
    <row r="46814">
      <c r="BB46814" s="122"/>
      <c r="BC46814" s="141"/>
    </row>
    <row r="46815">
      <c r="BB46815" s="122"/>
      <c r="BC46815" s="141"/>
    </row>
    <row r="46816">
      <c r="BB46816" s="122"/>
      <c r="BC46816" s="141"/>
    </row>
    <row r="46817">
      <c r="BB46817" s="122"/>
      <c r="BC46817" s="141"/>
    </row>
    <row r="46818">
      <c r="BB46818" s="122"/>
      <c r="BC46818" s="141"/>
    </row>
    <row r="46819">
      <c r="BB46819" s="122"/>
      <c r="BC46819" s="141"/>
    </row>
    <row r="46820">
      <c r="BB46820" s="122"/>
      <c r="BC46820" s="141"/>
    </row>
    <row r="46821">
      <c r="BB46821" s="122"/>
      <c r="BC46821" s="141"/>
    </row>
    <row r="46822">
      <c r="BB46822" s="122"/>
      <c r="BC46822" s="141"/>
    </row>
    <row r="46823">
      <c r="BB46823" s="122"/>
      <c r="BC46823" s="141"/>
    </row>
    <row r="46824">
      <c r="BB46824" s="122"/>
      <c r="BC46824" s="141"/>
    </row>
    <row r="46825">
      <c r="BB46825" s="122"/>
      <c r="BC46825" s="141"/>
    </row>
    <row r="46826">
      <c r="BB46826" s="122"/>
      <c r="BC46826" s="141"/>
    </row>
    <row r="46827">
      <c r="BB46827" s="122"/>
      <c r="BC46827" s="141"/>
    </row>
    <row r="46828">
      <c r="BB46828" s="122"/>
      <c r="BC46828" s="141"/>
    </row>
    <row r="46829">
      <c r="BB46829" s="122"/>
      <c r="BC46829" s="141"/>
    </row>
    <row r="46830">
      <c r="BB46830" s="122"/>
      <c r="BC46830" s="141"/>
    </row>
    <row r="46831">
      <c r="BB46831" s="122"/>
      <c r="BC46831" s="141"/>
    </row>
    <row r="46832">
      <c r="BB46832" s="122"/>
      <c r="BC46832" s="141"/>
    </row>
    <row r="46833">
      <c r="BB46833" s="122"/>
      <c r="BC46833" s="141"/>
    </row>
    <row r="46834">
      <c r="BB46834" s="122"/>
      <c r="BC46834" s="141"/>
    </row>
    <row r="46835">
      <c r="BB46835" s="122"/>
      <c r="BC46835" s="141"/>
    </row>
    <row r="46836">
      <c r="BB46836" s="122"/>
      <c r="BC46836" s="141"/>
    </row>
    <row r="46837">
      <c r="BB46837" s="122"/>
      <c r="BC46837" s="141"/>
    </row>
    <row r="46838">
      <c r="BB46838" s="122"/>
      <c r="BC46838" s="141"/>
    </row>
    <row r="46839">
      <c r="BB46839" s="122"/>
      <c r="BC46839" s="141"/>
    </row>
    <row r="46840">
      <c r="BB46840" s="122"/>
      <c r="BC46840" s="141"/>
    </row>
    <row r="46841">
      <c r="BB46841" s="122"/>
      <c r="BC46841" s="141"/>
    </row>
    <row r="46842">
      <c r="BB46842" s="122"/>
      <c r="BC46842" s="141"/>
    </row>
    <row r="46843">
      <c r="BB46843" s="122"/>
      <c r="BC46843" s="141"/>
    </row>
    <row r="46844">
      <c r="BB46844" s="122"/>
      <c r="BC46844" s="141"/>
    </row>
    <row r="46845">
      <c r="BB46845" s="122"/>
      <c r="BC46845" s="141"/>
    </row>
    <row r="46846">
      <c r="BB46846" s="122"/>
      <c r="BC46846" s="141"/>
    </row>
    <row r="46847">
      <c r="BB46847" s="122"/>
      <c r="BC46847" s="141"/>
    </row>
    <row r="46848">
      <c r="BB46848" s="122"/>
      <c r="BC46848" s="141"/>
    </row>
    <row r="46849">
      <c r="BB46849" s="122"/>
      <c r="BC46849" s="141"/>
    </row>
    <row r="46850">
      <c r="BB46850" s="122"/>
      <c r="BC46850" s="141"/>
    </row>
    <row r="46851">
      <c r="BB46851" s="122"/>
      <c r="BC46851" s="141"/>
    </row>
    <row r="46852">
      <c r="BB46852" s="122"/>
      <c r="BC46852" s="141"/>
    </row>
    <row r="46853">
      <c r="BB46853" s="122"/>
      <c r="BC46853" s="141"/>
    </row>
    <row r="46854">
      <c r="BB46854" s="122"/>
      <c r="BC46854" s="141"/>
    </row>
    <row r="46855">
      <c r="BB46855" s="122"/>
      <c r="BC46855" s="141"/>
    </row>
    <row r="46856">
      <c r="BB46856" s="122"/>
      <c r="BC46856" s="141"/>
    </row>
    <row r="46857">
      <c r="BB46857" s="122"/>
      <c r="BC46857" s="141"/>
    </row>
    <row r="46858">
      <c r="BB46858" s="122"/>
      <c r="BC46858" s="141"/>
    </row>
    <row r="46859">
      <c r="BB46859" s="122"/>
      <c r="BC46859" s="141"/>
    </row>
    <row r="46860">
      <c r="BB46860" s="122"/>
      <c r="BC46860" s="141"/>
    </row>
    <row r="46861">
      <c r="BB46861" s="122"/>
      <c r="BC46861" s="141"/>
    </row>
    <row r="46862">
      <c r="BB46862" s="122"/>
      <c r="BC46862" s="141"/>
    </row>
    <row r="46863">
      <c r="BB46863" s="122"/>
      <c r="BC46863" s="141"/>
    </row>
    <row r="46864">
      <c r="BB46864" s="122"/>
      <c r="BC46864" s="141"/>
    </row>
    <row r="46865">
      <c r="BB46865" s="122"/>
      <c r="BC46865" s="141"/>
    </row>
    <row r="46866">
      <c r="BB46866" s="122"/>
      <c r="BC46866" s="141"/>
    </row>
    <row r="46867">
      <c r="BB46867" s="122"/>
      <c r="BC46867" s="141"/>
    </row>
    <row r="46868">
      <c r="BB46868" s="122"/>
      <c r="BC46868" s="141"/>
    </row>
    <row r="46869">
      <c r="BB46869" s="122"/>
      <c r="BC46869" s="141"/>
    </row>
    <row r="46870">
      <c r="BB46870" s="122"/>
      <c r="BC46870" s="141"/>
    </row>
    <row r="46871">
      <c r="BB46871" s="122"/>
      <c r="BC46871" s="141"/>
    </row>
    <row r="46872">
      <c r="BB46872" s="122"/>
      <c r="BC46872" s="141"/>
    </row>
    <row r="46873">
      <c r="BB46873" s="122"/>
      <c r="BC46873" s="141"/>
    </row>
    <row r="46874">
      <c r="BB46874" s="122"/>
      <c r="BC46874" s="141"/>
    </row>
    <row r="46875">
      <c r="BB46875" s="122"/>
      <c r="BC46875" s="141"/>
    </row>
    <row r="46876">
      <c r="BB46876" s="122"/>
      <c r="BC46876" s="141"/>
    </row>
    <row r="46877">
      <c r="BB46877" s="122"/>
      <c r="BC46877" s="141"/>
    </row>
    <row r="46878">
      <c r="BB46878" s="122"/>
      <c r="BC46878" s="141"/>
    </row>
    <row r="46879">
      <c r="BB46879" s="122"/>
      <c r="BC46879" s="141"/>
    </row>
    <row r="46880">
      <c r="BB46880" s="122"/>
      <c r="BC46880" s="141"/>
    </row>
    <row r="46881">
      <c r="BB46881" s="122"/>
      <c r="BC46881" s="141"/>
    </row>
    <row r="46882">
      <c r="BB46882" s="122"/>
      <c r="BC46882" s="141"/>
    </row>
    <row r="46883">
      <c r="BB46883" s="122"/>
      <c r="BC46883" s="141"/>
    </row>
    <row r="46884">
      <c r="BB46884" s="122"/>
      <c r="BC46884" s="141"/>
    </row>
    <row r="46885">
      <c r="BB46885" s="122"/>
      <c r="BC46885" s="141"/>
    </row>
    <row r="46886">
      <c r="BB46886" s="122"/>
      <c r="BC46886" s="141"/>
    </row>
    <row r="46887">
      <c r="BB46887" s="122"/>
      <c r="BC46887" s="141"/>
    </row>
    <row r="46888">
      <c r="BB46888" s="122"/>
      <c r="BC46888" s="141"/>
    </row>
    <row r="46889">
      <c r="BB46889" s="122"/>
      <c r="BC46889" s="141"/>
    </row>
    <row r="46890">
      <c r="BB46890" s="122"/>
      <c r="BC46890" s="141"/>
    </row>
    <row r="46891">
      <c r="BB46891" s="122"/>
      <c r="BC46891" s="141"/>
    </row>
    <row r="46892">
      <c r="BB46892" s="122"/>
      <c r="BC46892" s="141"/>
    </row>
    <row r="46893">
      <c r="BB46893" s="122"/>
      <c r="BC46893" s="141"/>
    </row>
    <row r="46894">
      <c r="BB46894" s="122"/>
      <c r="BC46894" s="141"/>
    </row>
    <row r="46895">
      <c r="BB46895" s="122"/>
      <c r="BC46895" s="141"/>
    </row>
    <row r="46896">
      <c r="BB46896" s="122"/>
      <c r="BC46896" s="141"/>
    </row>
    <row r="46897">
      <c r="BB46897" s="122"/>
      <c r="BC46897" s="141"/>
    </row>
    <row r="46898">
      <c r="BB46898" s="122"/>
      <c r="BC46898" s="141"/>
    </row>
    <row r="46899">
      <c r="BB46899" s="122"/>
      <c r="BC46899" s="141"/>
    </row>
    <row r="46900">
      <c r="BB46900" s="122"/>
      <c r="BC46900" s="141"/>
    </row>
    <row r="46901">
      <c r="BB46901" s="122"/>
      <c r="BC46901" s="141"/>
    </row>
    <row r="46902">
      <c r="BB46902" s="122"/>
      <c r="BC46902" s="141"/>
    </row>
    <row r="46903">
      <c r="BB46903" s="122"/>
      <c r="BC46903" s="141"/>
    </row>
    <row r="46904">
      <c r="BB46904" s="122"/>
      <c r="BC46904" s="141"/>
    </row>
    <row r="46905">
      <c r="BB46905" s="122"/>
      <c r="BC46905" s="141"/>
    </row>
    <row r="46906">
      <c r="BB46906" s="122"/>
      <c r="BC46906" s="141"/>
    </row>
    <row r="46907">
      <c r="BB46907" s="122"/>
      <c r="BC46907" s="141"/>
    </row>
    <row r="46908">
      <c r="BB46908" s="122"/>
      <c r="BC46908" s="141"/>
    </row>
    <row r="46909">
      <c r="BB46909" s="122"/>
      <c r="BC46909" s="141"/>
    </row>
    <row r="46910">
      <c r="BB46910" s="122"/>
      <c r="BC46910" s="141"/>
    </row>
    <row r="46911">
      <c r="BB46911" s="122"/>
      <c r="BC46911" s="141"/>
    </row>
    <row r="46912">
      <c r="BB46912" s="122"/>
      <c r="BC46912" s="141"/>
    </row>
    <row r="46913">
      <c r="BB46913" s="122"/>
      <c r="BC46913" s="141"/>
    </row>
    <row r="46914">
      <c r="BB46914" s="122"/>
      <c r="BC46914" s="141"/>
    </row>
    <row r="46915">
      <c r="BB46915" s="122"/>
      <c r="BC46915" s="141"/>
    </row>
    <row r="46916">
      <c r="BB46916" s="122"/>
      <c r="BC46916" s="141"/>
    </row>
    <row r="46917">
      <c r="BB46917" s="122"/>
      <c r="BC46917" s="141"/>
    </row>
    <row r="46918">
      <c r="BB46918" s="122"/>
      <c r="BC46918" s="141"/>
    </row>
    <row r="46919">
      <c r="BB46919" s="122"/>
      <c r="BC46919" s="141"/>
    </row>
    <row r="46920">
      <c r="BB46920" s="122"/>
      <c r="BC46920" s="141"/>
    </row>
    <row r="46921">
      <c r="BB46921" s="122"/>
      <c r="BC46921" s="141"/>
    </row>
    <row r="46922">
      <c r="BB46922" s="122"/>
      <c r="BC46922" s="141"/>
    </row>
    <row r="46923">
      <c r="BB46923" s="122"/>
      <c r="BC46923" s="141"/>
    </row>
    <row r="46924">
      <c r="BB46924" s="122"/>
      <c r="BC46924" s="141"/>
    </row>
    <row r="46925">
      <c r="BB46925" s="122"/>
      <c r="BC46925" s="141"/>
    </row>
    <row r="46926">
      <c r="BB46926" s="122"/>
      <c r="BC46926" s="141"/>
    </row>
    <row r="46927">
      <c r="BB46927" s="122"/>
      <c r="BC46927" s="141"/>
    </row>
    <row r="46928">
      <c r="BB46928" s="122"/>
      <c r="BC46928" s="141"/>
    </row>
    <row r="46929">
      <c r="BB46929" s="122"/>
      <c r="BC46929" s="141"/>
    </row>
    <row r="46930">
      <c r="BB46930" s="122"/>
      <c r="BC46930" s="141"/>
    </row>
    <row r="46931">
      <c r="BB46931" s="122"/>
      <c r="BC46931" s="141"/>
    </row>
    <row r="46932">
      <c r="BB46932" s="122"/>
      <c r="BC46932" s="141"/>
    </row>
    <row r="46933">
      <c r="BB46933" s="122"/>
      <c r="BC46933" s="141"/>
    </row>
    <row r="46934">
      <c r="BB46934" s="122"/>
      <c r="BC46934" s="141"/>
    </row>
    <row r="46935">
      <c r="BB46935" s="122"/>
      <c r="BC46935" s="141"/>
    </row>
    <row r="46936">
      <c r="BB46936" s="122"/>
      <c r="BC46936" s="141"/>
    </row>
    <row r="46937">
      <c r="BB46937" s="122"/>
      <c r="BC46937" s="141"/>
    </row>
    <row r="46938">
      <c r="BB46938" s="122"/>
      <c r="BC46938" s="141"/>
    </row>
    <row r="46939">
      <c r="BB46939" s="122"/>
      <c r="BC46939" s="141"/>
    </row>
    <row r="46940">
      <c r="BB46940" s="122"/>
      <c r="BC46940" s="141"/>
    </row>
    <row r="46941">
      <c r="BB46941" s="122"/>
      <c r="BC46941" s="141"/>
    </row>
    <row r="46942">
      <c r="BB46942" s="122"/>
      <c r="BC46942" s="141"/>
    </row>
    <row r="46943">
      <c r="BB46943" s="122"/>
      <c r="BC46943" s="141"/>
    </row>
    <row r="46944">
      <c r="BB46944" s="122"/>
      <c r="BC46944" s="141"/>
    </row>
    <row r="46945">
      <c r="BB46945" s="122"/>
      <c r="BC46945" s="141"/>
    </row>
    <row r="46946">
      <c r="BB46946" s="122"/>
      <c r="BC46946" s="141"/>
    </row>
    <row r="46947">
      <c r="BB46947" s="122"/>
      <c r="BC46947" s="141"/>
    </row>
    <row r="46948">
      <c r="BB46948" s="122"/>
      <c r="BC46948" s="141"/>
    </row>
    <row r="46949">
      <c r="BB46949" s="122"/>
      <c r="BC46949" s="141"/>
    </row>
    <row r="46950">
      <c r="BB46950" s="122"/>
      <c r="BC46950" s="141"/>
    </row>
    <row r="46951">
      <c r="BB46951" s="122"/>
      <c r="BC46951" s="141"/>
    </row>
    <row r="46952">
      <c r="BB46952" s="122"/>
      <c r="BC46952" s="141"/>
    </row>
    <row r="46953">
      <c r="BB46953" s="122"/>
      <c r="BC46953" s="141"/>
    </row>
    <row r="46954">
      <c r="BB46954" s="122"/>
      <c r="BC46954" s="141"/>
    </row>
    <row r="46955">
      <c r="BB46955" s="122"/>
      <c r="BC46955" s="141"/>
    </row>
    <row r="46956">
      <c r="BB46956" s="122"/>
      <c r="BC46956" s="141"/>
    </row>
    <row r="46957">
      <c r="BB46957" s="122"/>
      <c r="BC46957" s="141"/>
    </row>
    <row r="46958">
      <c r="BB46958" s="122"/>
      <c r="BC46958" s="141"/>
    </row>
    <row r="46959">
      <c r="BB46959" s="122"/>
      <c r="BC46959" s="141"/>
    </row>
    <row r="46960">
      <c r="BB46960" s="122"/>
      <c r="BC46960" s="141"/>
    </row>
    <row r="46961">
      <c r="BB46961" s="122"/>
      <c r="BC46961" s="141"/>
    </row>
    <row r="46962">
      <c r="BB46962" s="122"/>
      <c r="BC46962" s="141"/>
    </row>
    <row r="46963">
      <c r="BB46963" s="122"/>
      <c r="BC46963" s="141"/>
    </row>
    <row r="46964">
      <c r="BB46964" s="122"/>
      <c r="BC46964" s="141"/>
    </row>
    <row r="46965">
      <c r="BB46965" s="122"/>
      <c r="BC46965" s="141"/>
    </row>
    <row r="46966">
      <c r="BB46966" s="122"/>
      <c r="BC46966" s="141"/>
    </row>
    <row r="46967">
      <c r="BB46967" s="122"/>
      <c r="BC46967" s="141"/>
    </row>
    <row r="46968">
      <c r="BB46968" s="122"/>
      <c r="BC46968" s="141"/>
    </row>
    <row r="46969">
      <c r="BB46969" s="122"/>
      <c r="BC46969" s="141"/>
    </row>
    <row r="46970">
      <c r="BB46970" s="122"/>
      <c r="BC46970" s="141"/>
    </row>
    <row r="46971">
      <c r="BB46971" s="122"/>
      <c r="BC46971" s="141"/>
    </row>
    <row r="46972">
      <c r="BB46972" s="122"/>
      <c r="BC46972" s="141"/>
    </row>
    <row r="46973">
      <c r="BB46973" s="122"/>
      <c r="BC46973" s="141"/>
    </row>
    <row r="46974">
      <c r="BB46974" s="122"/>
      <c r="BC46974" s="141"/>
    </row>
    <row r="46975">
      <c r="BB46975" s="122"/>
      <c r="BC46975" s="141"/>
    </row>
    <row r="46976">
      <c r="BB46976" s="122"/>
      <c r="BC46976" s="141"/>
    </row>
    <row r="46977">
      <c r="BB46977" s="122"/>
      <c r="BC46977" s="141"/>
    </row>
    <row r="46978">
      <c r="BB46978" s="122"/>
      <c r="BC46978" s="141"/>
    </row>
    <row r="46979">
      <c r="BB46979" s="122"/>
      <c r="BC46979" s="141"/>
    </row>
    <row r="46980">
      <c r="BB46980" s="122"/>
      <c r="BC46980" s="141"/>
    </row>
    <row r="46981">
      <c r="BB46981" s="122"/>
      <c r="BC46981" s="141"/>
    </row>
    <row r="46982">
      <c r="BB46982" s="122"/>
      <c r="BC46982" s="141"/>
    </row>
    <row r="46983">
      <c r="BB46983" s="122"/>
      <c r="BC46983" s="141"/>
    </row>
    <row r="46984">
      <c r="BB46984" s="122"/>
      <c r="BC46984" s="141"/>
    </row>
    <row r="46985">
      <c r="BB46985" s="122"/>
      <c r="BC46985" s="141"/>
    </row>
    <row r="46986">
      <c r="BB46986" s="122"/>
      <c r="BC46986" s="141"/>
    </row>
    <row r="46987">
      <c r="BB46987" s="122"/>
      <c r="BC46987" s="141"/>
    </row>
    <row r="46988">
      <c r="BB46988" s="122"/>
      <c r="BC46988" s="141"/>
    </row>
    <row r="46989">
      <c r="BB46989" s="122"/>
      <c r="BC46989" s="141"/>
    </row>
    <row r="46990">
      <c r="BB46990" s="122"/>
      <c r="BC46990" s="141"/>
    </row>
    <row r="46991">
      <c r="BB46991" s="122"/>
      <c r="BC46991" s="141"/>
    </row>
    <row r="46992">
      <c r="BB46992" s="122"/>
      <c r="BC46992" s="141"/>
    </row>
    <row r="46993">
      <c r="BB46993" s="122"/>
      <c r="BC46993" s="141"/>
    </row>
    <row r="46994">
      <c r="BB46994" s="122"/>
      <c r="BC46994" s="141"/>
    </row>
    <row r="46995">
      <c r="BB46995" s="122"/>
      <c r="BC46995" s="141"/>
    </row>
    <row r="46996">
      <c r="BB46996" s="122"/>
      <c r="BC46996" s="141"/>
    </row>
    <row r="46997">
      <c r="BB46997" s="122"/>
      <c r="BC46997" s="141"/>
    </row>
    <row r="46998">
      <c r="BB46998" s="122"/>
      <c r="BC46998" s="141"/>
    </row>
    <row r="46999">
      <c r="BB46999" s="122"/>
      <c r="BC46999" s="141"/>
    </row>
    <row r="47000">
      <c r="BB47000" s="122"/>
      <c r="BC47000" s="141"/>
    </row>
    <row r="47001">
      <c r="BB47001" s="122"/>
      <c r="BC47001" s="141"/>
    </row>
    <row r="47002">
      <c r="BB47002" s="122"/>
      <c r="BC47002" s="141"/>
    </row>
    <row r="47003">
      <c r="BB47003" s="122"/>
      <c r="BC47003" s="141"/>
    </row>
    <row r="47004">
      <c r="BB47004" s="122"/>
      <c r="BC47004" s="141"/>
    </row>
    <row r="47005">
      <c r="BB47005" s="122"/>
      <c r="BC47005" s="141"/>
    </row>
    <row r="47006">
      <c r="BB47006" s="122"/>
      <c r="BC47006" s="141"/>
    </row>
    <row r="47007">
      <c r="BB47007" s="122"/>
      <c r="BC47007" s="141"/>
    </row>
    <row r="47008">
      <c r="BB47008" s="122"/>
      <c r="BC47008" s="141"/>
    </row>
    <row r="47009">
      <c r="BB47009" s="122"/>
      <c r="BC47009" s="141"/>
    </row>
    <row r="47010">
      <c r="BB47010" s="122"/>
      <c r="BC47010" s="141"/>
    </row>
    <row r="47011">
      <c r="BB47011" s="122"/>
      <c r="BC47011" s="141"/>
    </row>
    <row r="47012">
      <c r="BB47012" s="122"/>
      <c r="BC47012" s="141"/>
    </row>
    <row r="47013">
      <c r="BB47013" s="122"/>
      <c r="BC47013" s="141"/>
    </row>
    <row r="47014">
      <c r="BB47014" s="122"/>
      <c r="BC47014" s="141"/>
    </row>
    <row r="47015">
      <c r="BB47015" s="122"/>
      <c r="BC47015" s="141"/>
    </row>
    <row r="47016">
      <c r="BB47016" s="122"/>
      <c r="BC47016" s="141"/>
    </row>
    <row r="47017">
      <c r="BB47017" s="122"/>
      <c r="BC47017" s="141"/>
    </row>
    <row r="47018">
      <c r="BB47018" s="122"/>
      <c r="BC47018" s="141"/>
    </row>
    <row r="47019">
      <c r="BB47019" s="122"/>
      <c r="BC47019" s="141"/>
    </row>
    <row r="47020">
      <c r="BB47020" s="122"/>
      <c r="BC47020" s="141"/>
    </row>
    <row r="47021">
      <c r="BB47021" s="122"/>
      <c r="BC47021" s="141"/>
    </row>
    <row r="47022">
      <c r="BB47022" s="122"/>
      <c r="BC47022" s="141"/>
    </row>
    <row r="47023">
      <c r="BB47023" s="122"/>
      <c r="BC47023" s="141"/>
    </row>
    <row r="47024">
      <c r="BB47024" s="122"/>
      <c r="BC47024" s="141"/>
    </row>
    <row r="47025">
      <c r="BB47025" s="122"/>
      <c r="BC47025" s="141"/>
    </row>
    <row r="47026">
      <c r="BB47026" s="122"/>
      <c r="BC47026" s="141"/>
    </row>
    <row r="47027">
      <c r="BB47027" s="122"/>
      <c r="BC47027" s="141"/>
    </row>
    <row r="47028">
      <c r="BB47028" s="122"/>
      <c r="BC47028" s="141"/>
    </row>
    <row r="47029">
      <c r="BB47029" s="122"/>
      <c r="BC47029" s="141"/>
    </row>
    <row r="47030">
      <c r="BB47030" s="122"/>
      <c r="BC47030" s="141"/>
    </row>
    <row r="47031">
      <c r="BB47031" s="122"/>
      <c r="BC47031" s="141"/>
    </row>
    <row r="47032">
      <c r="BB47032" s="122"/>
      <c r="BC47032" s="141"/>
    </row>
    <row r="47033">
      <c r="BB47033" s="122"/>
      <c r="BC47033" s="141"/>
    </row>
    <row r="47034">
      <c r="BB47034" s="122"/>
      <c r="BC47034" s="141"/>
    </row>
    <row r="47035">
      <c r="BB47035" s="122"/>
      <c r="BC47035" s="141"/>
    </row>
    <row r="47036">
      <c r="BB47036" s="122"/>
      <c r="BC47036" s="141"/>
    </row>
    <row r="47037">
      <c r="BB47037" s="122"/>
      <c r="BC47037" s="141"/>
    </row>
    <row r="47038">
      <c r="BB47038" s="122"/>
      <c r="BC47038" s="141"/>
    </row>
    <row r="47039">
      <c r="BB47039" s="122"/>
      <c r="BC47039" s="141"/>
    </row>
    <row r="47040">
      <c r="BB47040" s="122"/>
      <c r="BC47040" s="141"/>
    </row>
    <row r="47041">
      <c r="BB47041" s="122"/>
      <c r="BC47041" s="141"/>
    </row>
    <row r="47042">
      <c r="BB47042" s="122"/>
      <c r="BC47042" s="141"/>
    </row>
    <row r="47043">
      <c r="BB47043" s="122"/>
      <c r="BC47043" s="141"/>
    </row>
    <row r="47044">
      <c r="BB47044" s="122"/>
      <c r="BC47044" s="141"/>
    </row>
    <row r="47045">
      <c r="BB47045" s="122"/>
      <c r="BC47045" s="141"/>
    </row>
    <row r="47046">
      <c r="BB47046" s="122"/>
      <c r="BC47046" s="141"/>
    </row>
    <row r="47047">
      <c r="BB47047" s="122"/>
      <c r="BC47047" s="141"/>
    </row>
    <row r="47048">
      <c r="BB47048" s="122"/>
      <c r="BC47048" s="141"/>
    </row>
    <row r="47049">
      <c r="BB47049" s="122"/>
      <c r="BC47049" s="141"/>
    </row>
    <row r="47050">
      <c r="BB47050" s="122"/>
      <c r="BC47050" s="141"/>
    </row>
    <row r="47051">
      <c r="BB47051" s="122"/>
      <c r="BC47051" s="141"/>
    </row>
    <row r="47052">
      <c r="BB47052" s="122"/>
      <c r="BC47052" s="141"/>
    </row>
    <row r="47053">
      <c r="BB47053" s="122"/>
      <c r="BC47053" s="141"/>
    </row>
    <row r="47054">
      <c r="BB47054" s="122"/>
      <c r="BC47054" s="141"/>
    </row>
    <row r="47055">
      <c r="BB47055" s="122"/>
      <c r="BC47055" s="141"/>
    </row>
    <row r="47056">
      <c r="BB47056" s="122"/>
      <c r="BC47056" s="141"/>
    </row>
    <row r="47057">
      <c r="BB47057" s="122"/>
      <c r="BC47057" s="141"/>
    </row>
    <row r="47058">
      <c r="BB47058" s="122"/>
      <c r="BC47058" s="141"/>
    </row>
    <row r="47059">
      <c r="BB47059" s="122"/>
      <c r="BC47059" s="141"/>
    </row>
    <row r="47060">
      <c r="BB47060" s="122"/>
      <c r="BC47060" s="141"/>
    </row>
    <row r="47061">
      <c r="BB47061" s="122"/>
      <c r="BC47061" s="141"/>
    </row>
    <row r="47062">
      <c r="BB47062" s="122"/>
      <c r="BC47062" s="141"/>
    </row>
    <row r="47063">
      <c r="BB47063" s="122"/>
      <c r="BC47063" s="141"/>
    </row>
    <row r="47064">
      <c r="BB47064" s="122"/>
      <c r="BC47064" s="141"/>
    </row>
    <row r="47065">
      <c r="BB47065" s="122"/>
      <c r="BC47065" s="141"/>
    </row>
    <row r="47066">
      <c r="BB47066" s="122"/>
      <c r="BC47066" s="141"/>
    </row>
    <row r="47067">
      <c r="BB47067" s="122"/>
      <c r="BC47067" s="141"/>
    </row>
    <row r="47068">
      <c r="BB47068" s="122"/>
      <c r="BC47068" s="141"/>
    </row>
    <row r="47069">
      <c r="BB47069" s="122"/>
      <c r="BC47069" s="141"/>
    </row>
    <row r="47070">
      <c r="BB47070" s="122"/>
      <c r="BC47070" s="141"/>
    </row>
    <row r="47071">
      <c r="BB47071" s="122"/>
      <c r="BC47071" s="141"/>
    </row>
    <row r="47072">
      <c r="BB47072" s="122"/>
      <c r="BC47072" s="141"/>
    </row>
    <row r="47073">
      <c r="BB47073" s="122"/>
      <c r="BC47073" s="141"/>
    </row>
    <row r="47074">
      <c r="BB47074" s="122"/>
      <c r="BC47074" s="141"/>
    </row>
    <row r="47075">
      <c r="BB47075" s="122"/>
      <c r="BC47075" s="141"/>
    </row>
    <row r="47076">
      <c r="BB47076" s="122"/>
      <c r="BC47076" s="141"/>
    </row>
    <row r="47077">
      <c r="BB47077" s="122"/>
      <c r="BC47077" s="141"/>
    </row>
    <row r="47078">
      <c r="BB47078" s="122"/>
      <c r="BC47078" s="141"/>
    </row>
    <row r="47079">
      <c r="BB47079" s="122"/>
      <c r="BC47079" s="141"/>
    </row>
    <row r="47080">
      <c r="BB47080" s="122"/>
      <c r="BC47080" s="141"/>
    </row>
    <row r="47081">
      <c r="BB47081" s="122"/>
      <c r="BC47081" s="141"/>
    </row>
    <row r="47082">
      <c r="BB47082" s="122"/>
      <c r="BC47082" s="141"/>
    </row>
    <row r="47083">
      <c r="BB47083" s="122"/>
      <c r="BC47083" s="141"/>
    </row>
    <row r="47084">
      <c r="BB47084" s="122"/>
      <c r="BC47084" s="141"/>
    </row>
    <row r="47085">
      <c r="BB47085" s="122"/>
      <c r="BC47085" s="141"/>
    </row>
    <row r="47086">
      <c r="BB47086" s="122"/>
      <c r="BC47086" s="141"/>
    </row>
    <row r="47087">
      <c r="BB47087" s="122"/>
      <c r="BC47087" s="141"/>
    </row>
    <row r="47088">
      <c r="BB47088" s="122"/>
      <c r="BC47088" s="141"/>
    </row>
    <row r="47089">
      <c r="BB47089" s="122"/>
      <c r="BC47089" s="141"/>
    </row>
    <row r="47090">
      <c r="BB47090" s="122"/>
      <c r="BC47090" s="141"/>
    </row>
    <row r="47091">
      <c r="BB47091" s="122"/>
      <c r="BC47091" s="141"/>
    </row>
    <row r="47092">
      <c r="BB47092" s="122"/>
      <c r="BC47092" s="141"/>
    </row>
    <row r="47093">
      <c r="BB47093" s="122"/>
      <c r="BC47093" s="141"/>
    </row>
    <row r="47094">
      <c r="BB47094" s="122"/>
      <c r="BC47094" s="141"/>
    </row>
    <row r="47095">
      <c r="BB47095" s="122"/>
      <c r="BC47095" s="141"/>
    </row>
    <row r="47096">
      <c r="BB47096" s="122"/>
      <c r="BC47096" s="141"/>
    </row>
    <row r="47097">
      <c r="BB47097" s="122"/>
      <c r="BC47097" s="141"/>
    </row>
    <row r="47098">
      <c r="BB47098" s="122"/>
      <c r="BC47098" s="141"/>
    </row>
    <row r="47099">
      <c r="BB47099" s="122"/>
      <c r="BC47099" s="141"/>
    </row>
    <row r="47100">
      <c r="BB47100" s="122"/>
      <c r="BC47100" s="141"/>
    </row>
    <row r="47101">
      <c r="BB47101" s="122"/>
      <c r="BC47101" s="141"/>
    </row>
    <row r="47102">
      <c r="BB47102" s="122"/>
      <c r="BC47102" s="141"/>
    </row>
    <row r="47103">
      <c r="BB47103" s="122"/>
      <c r="BC47103" s="141"/>
    </row>
    <row r="47104">
      <c r="BB47104" s="122"/>
      <c r="BC47104" s="141"/>
    </row>
    <row r="47105">
      <c r="BB47105" s="122"/>
      <c r="BC47105" s="141"/>
    </row>
    <row r="47106">
      <c r="BB47106" s="122"/>
      <c r="BC47106" s="141"/>
    </row>
    <row r="47107">
      <c r="BB47107" s="122"/>
      <c r="BC47107" s="141"/>
    </row>
    <row r="47108">
      <c r="BB47108" s="122"/>
      <c r="BC47108" s="141"/>
    </row>
    <row r="47109">
      <c r="BB47109" s="122"/>
      <c r="BC47109" s="141"/>
    </row>
    <row r="47110">
      <c r="BB47110" s="122"/>
      <c r="BC47110" s="141"/>
    </row>
    <row r="47111">
      <c r="BB47111" s="122"/>
      <c r="BC47111" s="141"/>
    </row>
    <row r="47112">
      <c r="BB47112" s="122"/>
      <c r="BC47112" s="141"/>
    </row>
    <row r="47113">
      <c r="BB47113" s="122"/>
      <c r="BC47113" s="141"/>
    </row>
    <row r="47114">
      <c r="BB47114" s="122"/>
      <c r="BC47114" s="141"/>
    </row>
    <row r="47115">
      <c r="BB47115" s="122"/>
      <c r="BC47115" s="141"/>
    </row>
    <row r="47116">
      <c r="BB47116" s="122"/>
      <c r="BC47116" s="141"/>
    </row>
    <row r="47117">
      <c r="BB47117" s="122"/>
      <c r="BC47117" s="141"/>
    </row>
    <row r="47118">
      <c r="BB47118" s="122"/>
      <c r="BC47118" s="141"/>
    </row>
    <row r="47119">
      <c r="BB47119" s="122"/>
      <c r="BC47119" s="141"/>
    </row>
    <row r="47120">
      <c r="BB47120" s="122"/>
      <c r="BC47120" s="141"/>
    </row>
    <row r="47121">
      <c r="BB47121" s="122"/>
      <c r="BC47121" s="141"/>
    </row>
    <row r="47122">
      <c r="BB47122" s="122"/>
      <c r="BC47122" s="141"/>
    </row>
    <row r="47123">
      <c r="BB47123" s="122"/>
      <c r="BC47123" s="141"/>
    </row>
    <row r="47124">
      <c r="BB47124" s="122"/>
      <c r="BC47124" s="141"/>
    </row>
    <row r="47125">
      <c r="BB47125" s="122"/>
      <c r="BC47125" s="141"/>
    </row>
    <row r="47126">
      <c r="BB47126" s="122"/>
      <c r="BC47126" s="141"/>
    </row>
    <row r="47127">
      <c r="BB47127" s="122"/>
      <c r="BC47127" s="141"/>
    </row>
    <row r="47128">
      <c r="BB47128" s="122"/>
      <c r="BC47128" s="141"/>
    </row>
    <row r="47129">
      <c r="BB47129" s="122"/>
      <c r="BC47129" s="141"/>
    </row>
    <row r="47130">
      <c r="BB47130" s="122"/>
      <c r="BC47130" s="141"/>
    </row>
    <row r="47131">
      <c r="BB47131" s="122"/>
      <c r="BC47131" s="141"/>
    </row>
    <row r="47132">
      <c r="BB47132" s="122"/>
      <c r="BC47132" s="141"/>
    </row>
    <row r="47133">
      <c r="BB47133" s="122"/>
      <c r="BC47133" s="141"/>
    </row>
    <row r="47134">
      <c r="BB47134" s="122"/>
      <c r="BC47134" s="141"/>
    </row>
    <row r="47135">
      <c r="BB47135" s="122"/>
      <c r="BC47135" s="141"/>
    </row>
    <row r="47136">
      <c r="BB47136" s="122"/>
      <c r="BC47136" s="141"/>
    </row>
    <row r="47137">
      <c r="BB47137" s="122"/>
      <c r="BC47137" s="141"/>
    </row>
    <row r="47138">
      <c r="BB47138" s="122"/>
      <c r="BC47138" s="141"/>
    </row>
    <row r="47139">
      <c r="BB47139" s="122"/>
      <c r="BC47139" s="141"/>
    </row>
    <row r="47140">
      <c r="BB47140" s="122"/>
      <c r="BC47140" s="141"/>
    </row>
    <row r="47141">
      <c r="BB47141" s="122"/>
      <c r="BC47141" s="141"/>
    </row>
    <row r="47142">
      <c r="BB47142" s="122"/>
      <c r="BC47142" s="141"/>
    </row>
    <row r="47143">
      <c r="BB47143" s="122"/>
      <c r="BC47143" s="141"/>
    </row>
    <row r="47144">
      <c r="BB47144" s="122"/>
      <c r="BC47144" s="141"/>
    </row>
    <row r="47145">
      <c r="BB47145" s="122"/>
      <c r="BC47145" s="141"/>
    </row>
    <row r="47146">
      <c r="BB47146" s="122"/>
      <c r="BC47146" s="141"/>
    </row>
    <row r="47147">
      <c r="BB47147" s="122"/>
      <c r="BC47147" s="141"/>
    </row>
    <row r="47148">
      <c r="BB47148" s="122"/>
      <c r="BC47148" s="141"/>
    </row>
    <row r="47149">
      <c r="BB47149" s="122"/>
      <c r="BC47149" s="141"/>
    </row>
    <row r="47150">
      <c r="BB47150" s="122"/>
      <c r="BC47150" s="141"/>
    </row>
    <row r="47151">
      <c r="BB47151" s="122"/>
      <c r="BC47151" s="141"/>
    </row>
    <row r="47152">
      <c r="BB47152" s="122"/>
      <c r="BC47152" s="141"/>
    </row>
    <row r="47153">
      <c r="BB47153" s="122"/>
      <c r="BC47153" s="141"/>
    </row>
    <row r="47154">
      <c r="BB47154" s="122"/>
      <c r="BC47154" s="141"/>
    </row>
    <row r="47155">
      <c r="BB47155" s="122"/>
      <c r="BC47155" s="141"/>
    </row>
    <row r="47156">
      <c r="BB47156" s="122"/>
      <c r="BC47156" s="141"/>
    </row>
    <row r="47157">
      <c r="BB47157" s="122"/>
      <c r="BC47157" s="141"/>
    </row>
    <row r="47158">
      <c r="BB47158" s="122"/>
      <c r="BC47158" s="141"/>
    </row>
    <row r="47159">
      <c r="BB47159" s="122"/>
      <c r="BC47159" s="141"/>
    </row>
    <row r="47160">
      <c r="BB47160" s="122"/>
      <c r="BC47160" s="141"/>
    </row>
    <row r="47161">
      <c r="BB47161" s="122"/>
      <c r="BC47161" s="141"/>
    </row>
    <row r="47162">
      <c r="BB47162" s="122"/>
      <c r="BC47162" s="141"/>
    </row>
    <row r="47163">
      <c r="BB47163" s="122"/>
      <c r="BC47163" s="141"/>
    </row>
    <row r="47164">
      <c r="BB47164" s="122"/>
      <c r="BC47164" s="141"/>
    </row>
    <row r="47165">
      <c r="BB47165" s="122"/>
      <c r="BC47165" s="141"/>
    </row>
    <row r="47166">
      <c r="BB47166" s="122"/>
      <c r="BC47166" s="141"/>
    </row>
    <row r="47167">
      <c r="BB47167" s="122"/>
      <c r="BC47167" s="141"/>
    </row>
    <row r="47168">
      <c r="BB47168" s="122"/>
      <c r="BC47168" s="141"/>
    </row>
    <row r="47169">
      <c r="BB47169" s="122"/>
      <c r="BC47169" s="141"/>
    </row>
    <row r="47170">
      <c r="BB47170" s="122"/>
      <c r="BC47170" s="141"/>
    </row>
    <row r="47171">
      <c r="BB47171" s="122"/>
      <c r="BC47171" s="141"/>
    </row>
    <row r="47172">
      <c r="BB47172" s="122"/>
      <c r="BC47172" s="141"/>
    </row>
    <row r="47173">
      <c r="BB47173" s="122"/>
      <c r="BC47173" s="141"/>
    </row>
    <row r="47174">
      <c r="BB47174" s="122"/>
      <c r="BC47174" s="141"/>
    </row>
    <row r="47175">
      <c r="BB47175" s="122"/>
      <c r="BC47175" s="141"/>
    </row>
    <row r="47176">
      <c r="BB47176" s="122"/>
      <c r="BC47176" s="141"/>
    </row>
    <row r="47177">
      <c r="BB47177" s="122"/>
      <c r="BC47177" s="141"/>
    </row>
    <row r="47178">
      <c r="BB47178" s="122"/>
      <c r="BC47178" s="141"/>
    </row>
    <row r="47179">
      <c r="BB47179" s="122"/>
      <c r="BC47179" s="141"/>
    </row>
    <row r="47180">
      <c r="BB47180" s="122"/>
      <c r="BC47180" s="141"/>
    </row>
    <row r="47181">
      <c r="BB47181" s="122"/>
      <c r="BC47181" s="141"/>
    </row>
    <row r="47182">
      <c r="BB47182" s="122"/>
      <c r="BC47182" s="141"/>
    </row>
    <row r="47183">
      <c r="BB47183" s="122"/>
      <c r="BC47183" s="141"/>
    </row>
    <row r="47184">
      <c r="BB47184" s="122"/>
      <c r="BC47184" s="141"/>
    </row>
    <row r="47185">
      <c r="BB47185" s="122"/>
      <c r="BC47185" s="141"/>
    </row>
    <row r="47186">
      <c r="BB47186" s="122"/>
      <c r="BC47186" s="141"/>
    </row>
    <row r="47187">
      <c r="BB47187" s="122"/>
      <c r="BC47187" s="141"/>
    </row>
    <row r="47188">
      <c r="BB47188" s="122"/>
      <c r="BC47188" s="141"/>
    </row>
    <row r="47189">
      <c r="BB47189" s="122"/>
      <c r="BC47189" s="141"/>
    </row>
    <row r="47190">
      <c r="BB47190" s="122"/>
      <c r="BC47190" s="141"/>
    </row>
    <row r="47191">
      <c r="BB47191" s="122"/>
      <c r="BC47191" s="141"/>
    </row>
    <row r="47192">
      <c r="BB47192" s="122"/>
      <c r="BC47192" s="141"/>
    </row>
    <row r="47193">
      <c r="BB47193" s="122"/>
      <c r="BC47193" s="141"/>
    </row>
    <row r="47194">
      <c r="BB47194" s="122"/>
      <c r="BC47194" s="141"/>
    </row>
    <row r="47195">
      <c r="BB47195" s="122"/>
      <c r="BC47195" s="141"/>
    </row>
    <row r="47196">
      <c r="BB47196" s="122"/>
      <c r="BC47196" s="141"/>
    </row>
    <row r="47197">
      <c r="BB47197" s="122"/>
      <c r="BC47197" s="141"/>
    </row>
    <row r="47198">
      <c r="BB47198" s="122"/>
      <c r="BC47198" s="141"/>
    </row>
    <row r="47199">
      <c r="BB47199" s="122"/>
      <c r="BC47199" s="141"/>
    </row>
    <row r="47200">
      <c r="BB47200" s="122"/>
      <c r="BC47200" s="141"/>
    </row>
    <row r="47201">
      <c r="BB47201" s="122"/>
      <c r="BC47201" s="141"/>
    </row>
    <row r="47202">
      <c r="BB47202" s="122"/>
      <c r="BC47202" s="141"/>
    </row>
    <row r="47203">
      <c r="BB47203" s="122"/>
      <c r="BC47203" s="141"/>
    </row>
    <row r="47204">
      <c r="BB47204" s="122"/>
      <c r="BC47204" s="141"/>
    </row>
    <row r="47205">
      <c r="BB47205" s="122"/>
      <c r="BC47205" s="141"/>
    </row>
    <row r="47206">
      <c r="BB47206" s="122"/>
      <c r="BC47206" s="141"/>
    </row>
    <row r="47207">
      <c r="BB47207" s="122"/>
      <c r="BC47207" s="141"/>
    </row>
    <row r="47208">
      <c r="BB47208" s="122"/>
      <c r="BC47208" s="141"/>
    </row>
    <row r="47209">
      <c r="BB47209" s="122"/>
      <c r="BC47209" s="141"/>
    </row>
    <row r="47210">
      <c r="BB47210" s="122"/>
      <c r="BC47210" s="141"/>
    </row>
    <row r="47211">
      <c r="BB47211" s="122"/>
      <c r="BC47211" s="141"/>
    </row>
    <row r="47212">
      <c r="BB47212" s="122"/>
      <c r="BC47212" s="141"/>
    </row>
    <row r="47213">
      <c r="BB47213" s="122"/>
      <c r="BC47213" s="141"/>
    </row>
    <row r="47214">
      <c r="BB47214" s="122"/>
      <c r="BC47214" s="141"/>
    </row>
    <row r="47215">
      <c r="BB47215" s="122"/>
      <c r="BC47215" s="141"/>
    </row>
    <row r="47216">
      <c r="BB47216" s="122"/>
      <c r="BC47216" s="141"/>
    </row>
    <row r="47217">
      <c r="BB47217" s="122"/>
      <c r="BC47217" s="141"/>
    </row>
    <row r="47218">
      <c r="BB47218" s="122"/>
      <c r="BC47218" s="141"/>
    </row>
    <row r="47219">
      <c r="BB47219" s="122"/>
      <c r="BC47219" s="141"/>
    </row>
    <row r="47220">
      <c r="BB47220" s="122"/>
      <c r="BC47220" s="141"/>
    </row>
    <row r="47221">
      <c r="BB47221" s="122"/>
      <c r="BC47221" s="141"/>
    </row>
    <row r="47222">
      <c r="BB47222" s="122"/>
      <c r="BC47222" s="141"/>
    </row>
    <row r="47223">
      <c r="BB47223" s="122"/>
      <c r="BC47223" s="141"/>
    </row>
    <row r="47224">
      <c r="BB47224" s="122"/>
      <c r="BC47224" s="141"/>
    </row>
    <row r="47225">
      <c r="BB47225" s="122"/>
      <c r="BC47225" s="141"/>
    </row>
    <row r="47226">
      <c r="BB47226" s="122"/>
      <c r="BC47226" s="141"/>
    </row>
    <row r="47227">
      <c r="BB47227" s="122"/>
      <c r="BC47227" s="141"/>
    </row>
    <row r="47228">
      <c r="BB47228" s="122"/>
      <c r="BC47228" s="141"/>
    </row>
    <row r="47229">
      <c r="BB47229" s="122"/>
      <c r="BC47229" s="141"/>
    </row>
    <row r="47230">
      <c r="BB47230" s="122"/>
      <c r="BC47230" s="141"/>
    </row>
    <row r="47231">
      <c r="BB47231" s="122"/>
      <c r="BC47231" s="141"/>
    </row>
    <row r="47232">
      <c r="BB47232" s="122"/>
      <c r="BC47232" s="141"/>
    </row>
    <row r="47233">
      <c r="BB47233" s="122"/>
      <c r="BC47233" s="141"/>
    </row>
    <row r="47234">
      <c r="BB47234" s="122"/>
      <c r="BC47234" s="141"/>
    </row>
    <row r="47235">
      <c r="BB47235" s="122"/>
      <c r="BC47235" s="141"/>
    </row>
    <row r="47236">
      <c r="BB47236" s="122"/>
      <c r="BC47236" s="141"/>
    </row>
    <row r="47237">
      <c r="BB47237" s="122"/>
      <c r="BC47237" s="141"/>
    </row>
    <row r="47238">
      <c r="BB47238" s="122"/>
      <c r="BC47238" s="141"/>
    </row>
    <row r="47239">
      <c r="BB47239" s="122"/>
      <c r="BC47239" s="141"/>
    </row>
    <row r="47240">
      <c r="BB47240" s="122"/>
      <c r="BC47240" s="141"/>
    </row>
    <row r="47241">
      <c r="BB47241" s="122"/>
      <c r="BC47241" s="141"/>
    </row>
    <row r="47242">
      <c r="BB47242" s="122"/>
      <c r="BC47242" s="141"/>
    </row>
    <row r="47243">
      <c r="BB47243" s="122"/>
      <c r="BC47243" s="141"/>
    </row>
    <row r="47244">
      <c r="BB47244" s="122"/>
      <c r="BC47244" s="141"/>
    </row>
    <row r="47245">
      <c r="BB47245" s="122"/>
      <c r="BC47245" s="141"/>
    </row>
    <row r="47246">
      <c r="BB47246" s="122"/>
      <c r="BC47246" s="141"/>
    </row>
    <row r="47247">
      <c r="BB47247" s="122"/>
      <c r="BC47247" s="141"/>
    </row>
    <row r="47248">
      <c r="BB47248" s="122"/>
      <c r="BC47248" s="141"/>
    </row>
    <row r="47249">
      <c r="BB47249" s="122"/>
      <c r="BC47249" s="141"/>
    </row>
    <row r="47250">
      <c r="BB47250" s="122"/>
      <c r="BC47250" s="141"/>
    </row>
    <row r="47251">
      <c r="BB47251" s="122"/>
      <c r="BC47251" s="141"/>
    </row>
    <row r="47252">
      <c r="BB47252" s="122"/>
      <c r="BC47252" s="141"/>
    </row>
    <row r="47253">
      <c r="BB47253" s="122"/>
      <c r="BC47253" s="141"/>
    </row>
    <row r="47254">
      <c r="BB47254" s="122"/>
      <c r="BC47254" s="141"/>
    </row>
    <row r="47255">
      <c r="BB47255" s="122"/>
      <c r="BC47255" s="141"/>
    </row>
    <row r="47256">
      <c r="BB47256" s="122"/>
      <c r="BC47256" s="141"/>
    </row>
    <row r="47257">
      <c r="BB47257" s="122"/>
      <c r="BC47257" s="141"/>
    </row>
    <row r="47258">
      <c r="BB47258" s="122"/>
      <c r="BC47258" s="141"/>
    </row>
    <row r="47259">
      <c r="BB47259" s="122"/>
      <c r="BC47259" s="141"/>
    </row>
    <row r="47260">
      <c r="BB47260" s="122"/>
      <c r="BC47260" s="141"/>
    </row>
    <row r="47261">
      <c r="BB47261" s="122"/>
      <c r="BC47261" s="141"/>
    </row>
    <row r="47262">
      <c r="BB47262" s="122"/>
      <c r="BC47262" s="141"/>
    </row>
    <row r="47263">
      <c r="BB47263" s="122"/>
      <c r="BC47263" s="141"/>
    </row>
    <row r="47264">
      <c r="BB47264" s="122"/>
      <c r="BC47264" s="141"/>
    </row>
    <row r="47265">
      <c r="BB47265" s="122"/>
      <c r="BC47265" s="141"/>
    </row>
    <row r="47266">
      <c r="BB47266" s="122"/>
      <c r="BC47266" s="141"/>
    </row>
    <row r="47267">
      <c r="BB47267" s="122"/>
      <c r="BC47267" s="141"/>
    </row>
    <row r="47268">
      <c r="BB47268" s="122"/>
      <c r="BC47268" s="141"/>
    </row>
    <row r="47269">
      <c r="BB47269" s="122"/>
      <c r="BC47269" s="141"/>
    </row>
    <row r="47270">
      <c r="BB47270" s="122"/>
      <c r="BC47270" s="141"/>
    </row>
    <row r="47271">
      <c r="BB47271" s="122"/>
      <c r="BC47271" s="141"/>
    </row>
    <row r="47272">
      <c r="BB47272" s="122"/>
      <c r="BC47272" s="141"/>
    </row>
    <row r="47273">
      <c r="BB47273" s="122"/>
      <c r="BC47273" s="141"/>
    </row>
    <row r="47274">
      <c r="BB47274" s="122"/>
      <c r="BC47274" s="141"/>
    </row>
    <row r="47275">
      <c r="BB47275" s="122"/>
      <c r="BC47275" s="141"/>
    </row>
    <row r="47276">
      <c r="BB47276" s="122"/>
      <c r="BC47276" s="141"/>
    </row>
    <row r="47277">
      <c r="BB47277" s="122"/>
      <c r="BC47277" s="141"/>
    </row>
    <row r="47278">
      <c r="BB47278" s="122"/>
      <c r="BC47278" s="141"/>
    </row>
    <row r="47279">
      <c r="BB47279" s="122"/>
      <c r="BC47279" s="141"/>
    </row>
    <row r="47280">
      <c r="BB47280" s="122"/>
      <c r="BC47280" s="141"/>
    </row>
    <row r="47281">
      <c r="BB47281" s="122"/>
      <c r="BC47281" s="141"/>
    </row>
    <row r="47282">
      <c r="BB47282" s="122"/>
      <c r="BC47282" s="141"/>
    </row>
    <row r="47283">
      <c r="BB47283" s="122"/>
      <c r="BC47283" s="141"/>
    </row>
    <row r="47284">
      <c r="BB47284" s="122"/>
      <c r="BC47284" s="141"/>
    </row>
    <row r="47285">
      <c r="BB47285" s="122"/>
      <c r="BC47285" s="141"/>
    </row>
    <row r="47286">
      <c r="BB47286" s="122"/>
      <c r="BC47286" s="141"/>
    </row>
    <row r="47287">
      <c r="BB47287" s="122"/>
      <c r="BC47287" s="141"/>
    </row>
    <row r="47288">
      <c r="BB47288" s="122"/>
      <c r="BC47288" s="141"/>
    </row>
    <row r="47289">
      <c r="BB47289" s="122"/>
      <c r="BC47289" s="141"/>
    </row>
    <row r="47290">
      <c r="BB47290" s="122"/>
      <c r="BC47290" s="141"/>
    </row>
    <row r="47291">
      <c r="BB47291" s="122"/>
      <c r="BC47291" s="141"/>
    </row>
    <row r="47292">
      <c r="BB47292" s="122"/>
      <c r="BC47292" s="141"/>
    </row>
    <row r="47293">
      <c r="BB47293" s="122"/>
      <c r="BC47293" s="141"/>
    </row>
    <row r="47294">
      <c r="BB47294" s="122"/>
      <c r="BC47294" s="141"/>
    </row>
    <row r="47295">
      <c r="BB47295" s="122"/>
      <c r="BC47295" s="141"/>
    </row>
    <row r="47296">
      <c r="BB47296" s="122"/>
      <c r="BC47296" s="141"/>
    </row>
    <row r="47297">
      <c r="BB47297" s="122"/>
      <c r="BC47297" s="141"/>
    </row>
    <row r="47298">
      <c r="BB47298" s="122"/>
      <c r="BC47298" s="141"/>
    </row>
    <row r="47299">
      <c r="BB47299" s="122"/>
      <c r="BC47299" s="141"/>
    </row>
    <row r="47300">
      <c r="BB47300" s="122"/>
      <c r="BC47300" s="141"/>
    </row>
    <row r="47301">
      <c r="BB47301" s="122"/>
      <c r="BC47301" s="141"/>
    </row>
    <row r="47302">
      <c r="BB47302" s="122"/>
      <c r="BC47302" s="141"/>
    </row>
    <row r="47303">
      <c r="BB47303" s="122"/>
      <c r="BC47303" s="141"/>
    </row>
    <row r="47304">
      <c r="BB47304" s="122"/>
      <c r="BC47304" s="141"/>
    </row>
    <row r="47305">
      <c r="BB47305" s="122"/>
      <c r="BC47305" s="141"/>
    </row>
    <row r="47306">
      <c r="BB47306" s="122"/>
      <c r="BC47306" s="141"/>
    </row>
    <row r="47307">
      <c r="BB47307" s="122"/>
      <c r="BC47307" s="141"/>
    </row>
    <row r="47308">
      <c r="BB47308" s="122"/>
      <c r="BC47308" s="141"/>
    </row>
    <row r="47309">
      <c r="BB47309" s="122"/>
      <c r="BC47309" s="141"/>
    </row>
    <row r="47310">
      <c r="BB47310" s="122"/>
      <c r="BC47310" s="141"/>
    </row>
    <row r="47311">
      <c r="BB47311" s="122"/>
      <c r="BC47311" s="141"/>
    </row>
    <row r="47312">
      <c r="BB47312" s="122"/>
      <c r="BC47312" s="141"/>
    </row>
    <row r="47313">
      <c r="BB47313" s="122"/>
      <c r="BC47313" s="141"/>
    </row>
    <row r="47314">
      <c r="BB47314" s="122"/>
      <c r="BC47314" s="141"/>
    </row>
    <row r="47315">
      <c r="BB47315" s="122"/>
      <c r="BC47315" s="141"/>
    </row>
    <row r="47316">
      <c r="BB47316" s="122"/>
      <c r="BC47316" s="141"/>
    </row>
    <row r="47317">
      <c r="BB47317" s="122"/>
      <c r="BC47317" s="141"/>
    </row>
    <row r="47318">
      <c r="BB47318" s="122"/>
      <c r="BC47318" s="141"/>
    </row>
    <row r="47319">
      <c r="BB47319" s="122"/>
      <c r="BC47319" s="141"/>
    </row>
    <row r="47320">
      <c r="BB47320" s="122"/>
      <c r="BC47320" s="141"/>
    </row>
    <row r="47321">
      <c r="BB47321" s="122"/>
      <c r="BC47321" s="141"/>
    </row>
    <row r="47322">
      <c r="BB47322" s="122"/>
      <c r="BC47322" s="141"/>
    </row>
    <row r="47323">
      <c r="BB47323" s="122"/>
      <c r="BC47323" s="141"/>
    </row>
    <row r="47324">
      <c r="BB47324" s="122"/>
      <c r="BC47324" s="141"/>
    </row>
    <row r="47325">
      <c r="BB47325" s="122"/>
      <c r="BC47325" s="141"/>
    </row>
    <row r="47326">
      <c r="BB47326" s="122"/>
      <c r="BC47326" s="141"/>
    </row>
    <row r="47327">
      <c r="BB47327" s="122"/>
      <c r="BC47327" s="141"/>
    </row>
    <row r="47328">
      <c r="BB47328" s="122"/>
      <c r="BC47328" s="141"/>
    </row>
    <row r="47329">
      <c r="BB47329" s="122"/>
      <c r="BC47329" s="141"/>
    </row>
    <row r="47330">
      <c r="BB47330" s="122"/>
      <c r="BC47330" s="141"/>
    </row>
    <row r="47331">
      <c r="BB47331" s="122"/>
      <c r="BC47331" s="141"/>
    </row>
    <row r="47332">
      <c r="BB47332" s="122"/>
      <c r="BC47332" s="141"/>
    </row>
    <row r="47333">
      <c r="BB47333" s="122"/>
      <c r="BC47333" s="141"/>
    </row>
    <row r="47334">
      <c r="BB47334" s="122"/>
      <c r="BC47334" s="141"/>
    </row>
    <row r="47335">
      <c r="BB47335" s="122"/>
      <c r="BC47335" s="141"/>
    </row>
    <row r="47336">
      <c r="BB47336" s="122"/>
      <c r="BC47336" s="141"/>
    </row>
    <row r="47337">
      <c r="BB47337" s="122"/>
      <c r="BC47337" s="141"/>
    </row>
    <row r="47338">
      <c r="BB47338" s="122"/>
      <c r="BC47338" s="141"/>
    </row>
    <row r="47339">
      <c r="BB47339" s="122"/>
      <c r="BC47339" s="141"/>
    </row>
    <row r="47340">
      <c r="BB47340" s="122"/>
      <c r="BC47340" s="141"/>
    </row>
    <row r="47341">
      <c r="BB47341" s="122"/>
      <c r="BC47341" s="141"/>
    </row>
    <row r="47342">
      <c r="BB47342" s="122"/>
      <c r="BC47342" s="141"/>
    </row>
    <row r="47343">
      <c r="BB47343" s="122"/>
      <c r="BC47343" s="141"/>
    </row>
    <row r="47344">
      <c r="BB47344" s="122"/>
      <c r="BC47344" s="141"/>
    </row>
    <row r="47345">
      <c r="BB47345" s="122"/>
      <c r="BC47345" s="141"/>
    </row>
    <row r="47346">
      <c r="BB47346" s="122"/>
      <c r="BC47346" s="141"/>
    </row>
    <row r="47347">
      <c r="BB47347" s="122"/>
      <c r="BC47347" s="141"/>
    </row>
    <row r="47348">
      <c r="BB47348" s="122"/>
      <c r="BC47348" s="141"/>
    </row>
    <row r="47349">
      <c r="BB47349" s="122"/>
      <c r="BC47349" s="141"/>
    </row>
    <row r="47350">
      <c r="BB47350" s="122"/>
      <c r="BC47350" s="141"/>
    </row>
    <row r="47351">
      <c r="BB47351" s="122"/>
      <c r="BC47351" s="141"/>
    </row>
    <row r="47352">
      <c r="BB47352" s="122"/>
      <c r="BC47352" s="141"/>
    </row>
    <row r="47353">
      <c r="BB47353" s="122"/>
      <c r="BC47353" s="141"/>
    </row>
    <row r="47354">
      <c r="BB47354" s="122"/>
      <c r="BC47354" s="141"/>
    </row>
    <row r="47355">
      <c r="BB47355" s="122"/>
      <c r="BC47355" s="141"/>
    </row>
    <row r="47356">
      <c r="BB47356" s="122"/>
      <c r="BC47356" s="141"/>
    </row>
    <row r="47357">
      <c r="BB47357" s="122"/>
      <c r="BC47357" s="141"/>
    </row>
    <row r="47358">
      <c r="BB47358" s="122"/>
      <c r="BC47358" s="141"/>
    </row>
    <row r="47359">
      <c r="BB47359" s="122"/>
      <c r="BC47359" s="141"/>
    </row>
    <row r="47360">
      <c r="BB47360" s="122"/>
      <c r="BC47360" s="141"/>
    </row>
    <row r="47361">
      <c r="BB47361" s="122"/>
      <c r="BC47361" s="141"/>
    </row>
    <row r="47362">
      <c r="BB47362" s="122"/>
      <c r="BC47362" s="141"/>
    </row>
    <row r="47363">
      <c r="BB47363" s="122"/>
      <c r="BC47363" s="141"/>
    </row>
    <row r="47364">
      <c r="BB47364" s="122"/>
      <c r="BC47364" s="141"/>
    </row>
    <row r="47365">
      <c r="BB47365" s="122"/>
      <c r="BC47365" s="141"/>
    </row>
    <row r="47366">
      <c r="BB47366" s="122"/>
      <c r="BC47366" s="141"/>
    </row>
    <row r="47367">
      <c r="BB47367" s="122"/>
      <c r="BC47367" s="141"/>
    </row>
    <row r="47368">
      <c r="BB47368" s="122"/>
      <c r="BC47368" s="141"/>
    </row>
    <row r="47369">
      <c r="BB47369" s="122"/>
      <c r="BC47369" s="141"/>
    </row>
    <row r="47370">
      <c r="BB47370" s="122"/>
      <c r="BC47370" s="141"/>
    </row>
    <row r="47371">
      <c r="BB47371" s="122"/>
      <c r="BC47371" s="141"/>
    </row>
    <row r="47372">
      <c r="BB47372" s="122"/>
      <c r="BC47372" s="141"/>
    </row>
    <row r="47373">
      <c r="BB47373" s="122"/>
      <c r="BC47373" s="141"/>
    </row>
    <row r="47374">
      <c r="BB47374" s="122"/>
      <c r="BC47374" s="141"/>
    </row>
    <row r="47375">
      <c r="BB47375" s="122"/>
      <c r="BC47375" s="141"/>
    </row>
    <row r="47376">
      <c r="BB47376" s="122"/>
      <c r="BC47376" s="141"/>
    </row>
    <row r="47377">
      <c r="BB47377" s="122"/>
      <c r="BC47377" s="141"/>
    </row>
    <row r="47378">
      <c r="BB47378" s="122"/>
      <c r="BC47378" s="141"/>
    </row>
    <row r="47379">
      <c r="BB47379" s="122"/>
      <c r="BC47379" s="141"/>
    </row>
    <row r="47380">
      <c r="BB47380" s="122"/>
      <c r="BC47380" s="141"/>
    </row>
    <row r="47381">
      <c r="BB47381" s="122"/>
      <c r="BC47381" s="141"/>
    </row>
    <row r="47382">
      <c r="BB47382" s="122"/>
      <c r="BC47382" s="141"/>
    </row>
    <row r="47383">
      <c r="BB47383" s="122"/>
      <c r="BC47383" s="141"/>
    </row>
    <row r="47384">
      <c r="BB47384" s="122"/>
      <c r="BC47384" s="141"/>
    </row>
    <row r="47385">
      <c r="BB47385" s="122"/>
      <c r="BC47385" s="141"/>
    </row>
    <row r="47386">
      <c r="BB47386" s="122"/>
      <c r="BC47386" s="141"/>
    </row>
    <row r="47387">
      <c r="BB47387" s="122"/>
      <c r="BC47387" s="141"/>
    </row>
    <row r="47388">
      <c r="BB47388" s="122"/>
      <c r="BC47388" s="141"/>
    </row>
    <row r="47389">
      <c r="BB47389" s="122"/>
      <c r="BC47389" s="141"/>
    </row>
    <row r="47390">
      <c r="BB47390" s="122"/>
      <c r="BC47390" s="141"/>
    </row>
    <row r="47391">
      <c r="BB47391" s="122"/>
      <c r="BC47391" s="141"/>
    </row>
    <row r="47392">
      <c r="BB47392" s="122"/>
      <c r="BC47392" s="141"/>
    </row>
    <row r="47393">
      <c r="BB47393" s="122"/>
      <c r="BC47393" s="141"/>
    </row>
    <row r="47394">
      <c r="BB47394" s="122"/>
      <c r="BC47394" s="141"/>
    </row>
    <row r="47395">
      <c r="BB47395" s="122"/>
      <c r="BC47395" s="141"/>
    </row>
    <row r="47396">
      <c r="BB47396" s="122"/>
      <c r="BC47396" s="141"/>
    </row>
    <row r="47397">
      <c r="BB47397" s="122"/>
      <c r="BC47397" s="141"/>
    </row>
    <row r="47398">
      <c r="BB47398" s="122"/>
      <c r="BC47398" s="141"/>
    </row>
    <row r="47399">
      <c r="BB47399" s="122"/>
      <c r="BC47399" s="141"/>
    </row>
    <row r="47400">
      <c r="BB47400" s="122"/>
      <c r="BC47400" s="141"/>
    </row>
    <row r="47401">
      <c r="BB47401" s="122"/>
      <c r="BC47401" s="141"/>
    </row>
    <row r="47402">
      <c r="BB47402" s="122"/>
      <c r="BC47402" s="141"/>
    </row>
    <row r="47403">
      <c r="BB47403" s="122"/>
      <c r="BC47403" s="141"/>
    </row>
    <row r="47404">
      <c r="BB47404" s="122"/>
      <c r="BC47404" s="141"/>
    </row>
    <row r="47405">
      <c r="BB47405" s="122"/>
      <c r="BC47405" s="141"/>
    </row>
    <row r="47406">
      <c r="BB47406" s="122"/>
      <c r="BC47406" s="141"/>
    </row>
    <row r="47407">
      <c r="BB47407" s="122"/>
      <c r="BC47407" s="141"/>
    </row>
    <row r="47408">
      <c r="BB47408" s="122"/>
      <c r="BC47408" s="141"/>
    </row>
    <row r="47409">
      <c r="BB47409" s="122"/>
      <c r="BC47409" s="141"/>
    </row>
    <row r="47410">
      <c r="BB47410" s="122"/>
      <c r="BC47410" s="141"/>
    </row>
    <row r="47411">
      <c r="BB47411" s="122"/>
      <c r="BC47411" s="141"/>
    </row>
    <row r="47412">
      <c r="BB47412" s="122"/>
      <c r="BC47412" s="141"/>
    </row>
    <row r="47413">
      <c r="BB47413" s="122"/>
      <c r="BC47413" s="141"/>
    </row>
    <row r="47414">
      <c r="BB47414" s="122"/>
      <c r="BC47414" s="141"/>
    </row>
    <row r="47415">
      <c r="BB47415" s="122"/>
      <c r="BC47415" s="141"/>
    </row>
    <row r="47416">
      <c r="BB47416" s="122"/>
      <c r="BC47416" s="141"/>
    </row>
    <row r="47417">
      <c r="BB47417" s="122"/>
      <c r="BC47417" s="141"/>
    </row>
    <row r="47418">
      <c r="BB47418" s="122"/>
      <c r="BC47418" s="141"/>
    </row>
    <row r="47419">
      <c r="BB47419" s="122"/>
      <c r="BC47419" s="141"/>
    </row>
    <row r="47420">
      <c r="BB47420" s="122"/>
      <c r="BC47420" s="141"/>
    </row>
    <row r="47421">
      <c r="BB47421" s="122"/>
      <c r="BC47421" s="141"/>
    </row>
    <row r="47422">
      <c r="BB47422" s="122"/>
      <c r="BC47422" s="141"/>
    </row>
    <row r="47423">
      <c r="BB47423" s="122"/>
      <c r="BC47423" s="141"/>
    </row>
    <row r="47424">
      <c r="BB47424" s="122"/>
      <c r="BC47424" s="141"/>
    </row>
    <row r="47425">
      <c r="BB47425" s="122"/>
      <c r="BC47425" s="141"/>
    </row>
    <row r="47426">
      <c r="BB47426" s="122"/>
      <c r="BC47426" s="141"/>
    </row>
    <row r="47427">
      <c r="BB47427" s="122"/>
      <c r="BC47427" s="141"/>
    </row>
    <row r="47428">
      <c r="BB47428" s="122"/>
      <c r="BC47428" s="141"/>
    </row>
    <row r="47429">
      <c r="BB47429" s="122"/>
      <c r="BC47429" s="141"/>
    </row>
    <row r="47430">
      <c r="BB47430" s="122"/>
      <c r="BC47430" s="141"/>
    </row>
    <row r="47431">
      <c r="BB47431" s="122"/>
      <c r="BC47431" s="141"/>
    </row>
    <row r="47432">
      <c r="BB47432" s="122"/>
      <c r="BC47432" s="141"/>
    </row>
    <row r="47433">
      <c r="BB47433" s="122"/>
      <c r="BC47433" s="141"/>
    </row>
    <row r="47434">
      <c r="BB47434" s="122"/>
      <c r="BC47434" s="141"/>
    </row>
    <row r="47435">
      <c r="BB47435" s="122"/>
      <c r="BC47435" s="141"/>
    </row>
    <row r="47436">
      <c r="BB47436" s="122"/>
      <c r="BC47436" s="141"/>
    </row>
    <row r="47437">
      <c r="BB47437" s="122"/>
      <c r="BC47437" s="141"/>
    </row>
    <row r="47438">
      <c r="BB47438" s="122"/>
      <c r="BC47438" s="141"/>
    </row>
    <row r="47439">
      <c r="BB47439" s="122"/>
      <c r="BC47439" s="141"/>
    </row>
    <row r="47440">
      <c r="BB47440" s="122"/>
      <c r="BC47440" s="141"/>
    </row>
    <row r="47441">
      <c r="BB47441" s="122"/>
      <c r="BC47441" s="141"/>
    </row>
    <row r="47442">
      <c r="BB47442" s="122"/>
      <c r="BC47442" s="141"/>
    </row>
    <row r="47443">
      <c r="BB47443" s="122"/>
      <c r="BC47443" s="141"/>
    </row>
    <row r="47444">
      <c r="BB47444" s="122"/>
      <c r="BC47444" s="141"/>
    </row>
    <row r="47445">
      <c r="BB47445" s="122"/>
      <c r="BC47445" s="141"/>
    </row>
    <row r="47446">
      <c r="BB47446" s="122"/>
      <c r="BC47446" s="141"/>
    </row>
    <row r="47447">
      <c r="BB47447" s="122"/>
      <c r="BC47447" s="141"/>
    </row>
    <row r="47448">
      <c r="BB47448" s="122"/>
      <c r="BC47448" s="141"/>
    </row>
    <row r="47449">
      <c r="BB47449" s="122"/>
      <c r="BC47449" s="141"/>
    </row>
    <row r="47450">
      <c r="BB47450" s="122"/>
      <c r="BC47450" s="141"/>
    </row>
    <row r="47451">
      <c r="BB47451" s="122"/>
      <c r="BC47451" s="141"/>
    </row>
    <row r="47452">
      <c r="BB47452" s="122"/>
      <c r="BC47452" s="141"/>
    </row>
    <row r="47453">
      <c r="BB47453" s="122"/>
      <c r="BC47453" s="141"/>
    </row>
    <row r="47454">
      <c r="BB47454" s="122"/>
      <c r="BC47454" s="141"/>
    </row>
    <row r="47455">
      <c r="BB47455" s="122"/>
      <c r="BC47455" s="141"/>
    </row>
    <row r="47456">
      <c r="BB47456" s="122"/>
      <c r="BC47456" s="141"/>
    </row>
    <row r="47457">
      <c r="BB47457" s="122"/>
      <c r="BC47457" s="141"/>
    </row>
    <row r="47458">
      <c r="BB47458" s="122"/>
      <c r="BC47458" s="141"/>
    </row>
    <row r="47459">
      <c r="BB47459" s="122"/>
      <c r="BC47459" s="141"/>
    </row>
    <row r="47460">
      <c r="BB47460" s="122"/>
      <c r="BC47460" s="141"/>
    </row>
    <row r="47461">
      <c r="BB47461" s="122"/>
      <c r="BC47461" s="141"/>
    </row>
    <row r="47462">
      <c r="BB47462" s="122"/>
      <c r="BC47462" s="141"/>
    </row>
    <row r="47463">
      <c r="BB47463" s="122"/>
      <c r="BC47463" s="141"/>
    </row>
    <row r="47464">
      <c r="BB47464" s="122"/>
      <c r="BC47464" s="141"/>
    </row>
    <row r="47465">
      <c r="BB47465" s="122"/>
      <c r="BC47465" s="141"/>
    </row>
    <row r="47466">
      <c r="BB47466" s="122"/>
      <c r="BC47466" s="141"/>
    </row>
    <row r="47467">
      <c r="BB47467" s="122"/>
      <c r="BC47467" s="141"/>
    </row>
    <row r="47468">
      <c r="BB47468" s="122"/>
      <c r="BC47468" s="141"/>
    </row>
    <row r="47469">
      <c r="BB47469" s="122"/>
      <c r="BC47469" s="141"/>
    </row>
    <row r="47470">
      <c r="BB47470" s="122"/>
      <c r="BC47470" s="141"/>
    </row>
    <row r="47471">
      <c r="BB47471" s="122"/>
      <c r="BC47471" s="141"/>
    </row>
    <row r="47472">
      <c r="BB47472" s="122"/>
      <c r="BC47472" s="141"/>
    </row>
    <row r="47473">
      <c r="BB47473" s="122"/>
      <c r="BC47473" s="141"/>
    </row>
    <row r="47474">
      <c r="BB47474" s="122"/>
      <c r="BC47474" s="141"/>
    </row>
    <row r="47475">
      <c r="BB47475" s="122"/>
      <c r="BC47475" s="141"/>
    </row>
    <row r="47476">
      <c r="BB47476" s="122"/>
      <c r="BC47476" s="141"/>
    </row>
    <row r="47477">
      <c r="BB47477" s="122"/>
      <c r="BC47477" s="141"/>
    </row>
    <row r="47478">
      <c r="BB47478" s="122"/>
      <c r="BC47478" s="141"/>
    </row>
    <row r="47479">
      <c r="BB47479" s="122"/>
      <c r="BC47479" s="141"/>
    </row>
    <row r="47480">
      <c r="BB47480" s="122"/>
      <c r="BC47480" s="141"/>
    </row>
    <row r="47481">
      <c r="BB47481" s="122"/>
      <c r="BC47481" s="141"/>
    </row>
    <row r="47482">
      <c r="BB47482" s="122"/>
      <c r="BC47482" s="141"/>
    </row>
    <row r="47483">
      <c r="BB47483" s="122"/>
      <c r="BC47483" s="141"/>
    </row>
    <row r="47484">
      <c r="BB47484" s="122"/>
      <c r="BC47484" s="141"/>
    </row>
    <row r="47485">
      <c r="BB47485" s="122"/>
      <c r="BC47485" s="141"/>
    </row>
    <row r="47486">
      <c r="BB47486" s="122"/>
      <c r="BC47486" s="141"/>
    </row>
    <row r="47487">
      <c r="BB47487" s="122"/>
      <c r="BC47487" s="141"/>
    </row>
    <row r="47488">
      <c r="BB47488" s="122"/>
      <c r="BC47488" s="141"/>
    </row>
    <row r="47489">
      <c r="BB47489" s="122"/>
      <c r="BC47489" s="141"/>
    </row>
    <row r="47490">
      <c r="BB47490" s="122"/>
      <c r="BC47490" s="141"/>
    </row>
    <row r="47491">
      <c r="BB47491" s="122"/>
      <c r="BC47491" s="141"/>
    </row>
    <row r="47492">
      <c r="BB47492" s="122"/>
      <c r="BC47492" s="141"/>
    </row>
    <row r="47493">
      <c r="BB47493" s="122"/>
      <c r="BC47493" s="141"/>
    </row>
    <row r="47494">
      <c r="BB47494" s="122"/>
      <c r="BC47494" s="141"/>
    </row>
    <row r="47495">
      <c r="BB47495" s="122"/>
      <c r="BC47495" s="141"/>
    </row>
    <row r="47496">
      <c r="BB47496" s="122"/>
      <c r="BC47496" s="141"/>
    </row>
    <row r="47497">
      <c r="BB47497" s="122"/>
      <c r="BC47497" s="141"/>
    </row>
    <row r="47498">
      <c r="BB47498" s="122"/>
      <c r="BC47498" s="141"/>
    </row>
    <row r="47499">
      <c r="BB47499" s="122"/>
      <c r="BC47499" s="141"/>
    </row>
    <row r="47500">
      <c r="BB47500" s="122"/>
      <c r="BC47500" s="141"/>
    </row>
    <row r="47501">
      <c r="BB47501" s="122"/>
      <c r="BC47501" s="141"/>
    </row>
    <row r="47502">
      <c r="BB47502" s="122"/>
      <c r="BC47502" s="141"/>
    </row>
    <row r="47503">
      <c r="BB47503" s="122"/>
      <c r="BC47503" s="141"/>
    </row>
    <row r="47504">
      <c r="BB47504" s="122"/>
      <c r="BC47504" s="141"/>
    </row>
    <row r="47505">
      <c r="BB47505" s="122"/>
      <c r="BC47505" s="141"/>
    </row>
    <row r="47506">
      <c r="BB47506" s="122"/>
      <c r="BC47506" s="141"/>
    </row>
    <row r="47507">
      <c r="BB47507" s="122"/>
      <c r="BC47507" s="141"/>
    </row>
    <row r="47508">
      <c r="BB47508" s="122"/>
      <c r="BC47508" s="141"/>
    </row>
    <row r="47509">
      <c r="BB47509" s="122"/>
      <c r="BC47509" s="141"/>
    </row>
    <row r="47510">
      <c r="BB47510" s="122"/>
      <c r="BC47510" s="141"/>
    </row>
    <row r="47511">
      <c r="BB47511" s="122"/>
      <c r="BC47511" s="141"/>
    </row>
    <row r="47512">
      <c r="BB47512" s="122"/>
      <c r="BC47512" s="141"/>
    </row>
    <row r="47513">
      <c r="BB47513" s="122"/>
      <c r="BC47513" s="141"/>
    </row>
    <row r="47514">
      <c r="BB47514" s="122"/>
      <c r="BC47514" s="141"/>
    </row>
    <row r="47515">
      <c r="BB47515" s="122"/>
      <c r="BC47515" s="141"/>
    </row>
    <row r="47516">
      <c r="BB47516" s="122"/>
      <c r="BC47516" s="141"/>
    </row>
    <row r="47517">
      <c r="BB47517" s="122"/>
      <c r="BC47517" s="141"/>
    </row>
    <row r="47518">
      <c r="BB47518" s="122"/>
      <c r="BC47518" s="141"/>
    </row>
    <row r="47519">
      <c r="BB47519" s="122"/>
      <c r="BC47519" s="141"/>
    </row>
    <row r="47520">
      <c r="BB47520" s="122"/>
      <c r="BC47520" s="141"/>
    </row>
    <row r="47521">
      <c r="BB47521" s="122"/>
      <c r="BC47521" s="141"/>
    </row>
    <row r="47522">
      <c r="BB47522" s="122"/>
      <c r="BC47522" s="141"/>
    </row>
    <row r="47523">
      <c r="BB47523" s="122"/>
      <c r="BC47523" s="141"/>
    </row>
    <row r="47524">
      <c r="BB47524" s="122"/>
      <c r="BC47524" s="141"/>
    </row>
    <row r="47525">
      <c r="BB47525" s="122"/>
      <c r="BC47525" s="141"/>
    </row>
    <row r="47526">
      <c r="BB47526" s="122"/>
      <c r="BC47526" s="141"/>
    </row>
    <row r="47527">
      <c r="BB47527" s="122"/>
      <c r="BC47527" s="141"/>
    </row>
    <row r="47528">
      <c r="BB47528" s="122"/>
      <c r="BC47528" s="141"/>
    </row>
    <row r="47529">
      <c r="BB47529" s="122"/>
      <c r="BC47529" s="141"/>
    </row>
    <row r="47530">
      <c r="BB47530" s="122"/>
      <c r="BC47530" s="141"/>
    </row>
    <row r="47531">
      <c r="BB47531" s="122"/>
      <c r="BC47531" s="141"/>
    </row>
    <row r="47532">
      <c r="BB47532" s="122"/>
      <c r="BC47532" s="141"/>
    </row>
    <row r="47533">
      <c r="BB47533" s="122"/>
      <c r="BC47533" s="141"/>
    </row>
    <row r="47534">
      <c r="BB47534" s="122"/>
      <c r="BC47534" s="141"/>
    </row>
    <row r="47535">
      <c r="BB47535" s="122"/>
      <c r="BC47535" s="141"/>
    </row>
    <row r="47536">
      <c r="BB47536" s="122"/>
      <c r="BC47536" s="141"/>
    </row>
    <row r="47537">
      <c r="BB47537" s="122"/>
      <c r="BC47537" s="141"/>
    </row>
    <row r="47538">
      <c r="BB47538" s="122"/>
      <c r="BC47538" s="141"/>
    </row>
    <row r="47539">
      <c r="BB47539" s="122"/>
      <c r="BC47539" s="141"/>
    </row>
    <row r="47540">
      <c r="BB47540" s="122"/>
      <c r="BC47540" s="141"/>
    </row>
    <row r="47541">
      <c r="BB47541" s="122"/>
      <c r="BC47541" s="141"/>
    </row>
    <row r="47542">
      <c r="BB47542" s="122"/>
      <c r="BC47542" s="141"/>
    </row>
    <row r="47543">
      <c r="BB47543" s="122"/>
      <c r="BC47543" s="141"/>
    </row>
    <row r="47544">
      <c r="BB47544" s="122"/>
      <c r="BC47544" s="141"/>
    </row>
    <row r="47545">
      <c r="BB47545" s="122"/>
      <c r="BC47545" s="141"/>
    </row>
    <row r="47546">
      <c r="BB47546" s="122"/>
      <c r="BC47546" s="141"/>
    </row>
    <row r="47547">
      <c r="BB47547" s="122"/>
      <c r="BC47547" s="141"/>
    </row>
    <row r="47548">
      <c r="BB47548" s="122"/>
      <c r="BC47548" s="141"/>
    </row>
    <row r="47549">
      <c r="BB47549" s="122"/>
      <c r="BC47549" s="141"/>
    </row>
    <row r="47550">
      <c r="BB47550" s="122"/>
      <c r="BC47550" s="141"/>
    </row>
    <row r="47551">
      <c r="BB47551" s="122"/>
      <c r="BC47551" s="141"/>
    </row>
    <row r="47552">
      <c r="BB47552" s="122"/>
      <c r="BC47552" s="141"/>
    </row>
    <row r="47553">
      <c r="BB47553" s="122"/>
      <c r="BC47553" s="141"/>
    </row>
    <row r="47554">
      <c r="BB47554" s="122"/>
      <c r="BC47554" s="141"/>
    </row>
    <row r="47555">
      <c r="BB47555" s="122"/>
      <c r="BC47555" s="141"/>
    </row>
    <row r="47556">
      <c r="BB47556" s="122"/>
      <c r="BC47556" s="141"/>
    </row>
    <row r="47557">
      <c r="BB47557" s="122"/>
      <c r="BC47557" s="141"/>
    </row>
    <row r="47558">
      <c r="BB47558" s="122"/>
      <c r="BC47558" s="141"/>
    </row>
    <row r="47559">
      <c r="BB47559" s="122"/>
      <c r="BC47559" s="141"/>
    </row>
    <row r="47560">
      <c r="BB47560" s="122"/>
      <c r="BC47560" s="141"/>
    </row>
    <row r="47561">
      <c r="BB47561" s="122"/>
      <c r="BC47561" s="141"/>
    </row>
    <row r="47562">
      <c r="BB47562" s="122"/>
      <c r="BC47562" s="141"/>
    </row>
    <row r="47563">
      <c r="BB47563" s="122"/>
      <c r="BC47563" s="141"/>
    </row>
    <row r="47564">
      <c r="BB47564" s="122"/>
      <c r="BC47564" s="141"/>
    </row>
    <row r="47565">
      <c r="BB47565" s="122"/>
      <c r="BC47565" s="141"/>
    </row>
    <row r="47566">
      <c r="BB47566" s="122"/>
      <c r="BC47566" s="141"/>
    </row>
    <row r="47567">
      <c r="BB47567" s="122"/>
      <c r="BC47567" s="141"/>
    </row>
    <row r="47568">
      <c r="BB47568" s="122"/>
      <c r="BC47568" s="141"/>
    </row>
    <row r="47569">
      <c r="BB47569" s="122"/>
      <c r="BC47569" s="141"/>
    </row>
    <row r="47570">
      <c r="BB47570" s="122"/>
      <c r="BC47570" s="141"/>
    </row>
    <row r="47571">
      <c r="BB47571" s="122"/>
      <c r="BC47571" s="141"/>
    </row>
    <row r="47572">
      <c r="BB47572" s="122"/>
      <c r="BC47572" s="141"/>
    </row>
    <row r="47573">
      <c r="BB47573" s="122"/>
      <c r="BC47573" s="141"/>
    </row>
    <row r="47574">
      <c r="BB47574" s="122"/>
      <c r="BC47574" s="141"/>
    </row>
    <row r="47575">
      <c r="BB47575" s="122"/>
      <c r="BC47575" s="141"/>
    </row>
    <row r="47576">
      <c r="BB47576" s="122"/>
      <c r="BC47576" s="141"/>
    </row>
    <row r="47577">
      <c r="BB47577" s="122"/>
      <c r="BC47577" s="141"/>
    </row>
    <row r="47578">
      <c r="BB47578" s="122"/>
      <c r="BC47578" s="141"/>
    </row>
    <row r="47579">
      <c r="BB47579" s="122"/>
      <c r="BC47579" s="141"/>
    </row>
    <row r="47580">
      <c r="BB47580" s="122"/>
      <c r="BC47580" s="141"/>
    </row>
    <row r="47581">
      <c r="BB47581" s="122"/>
      <c r="BC47581" s="141"/>
    </row>
    <row r="47582">
      <c r="BB47582" s="122"/>
      <c r="BC47582" s="141"/>
    </row>
    <row r="47583">
      <c r="BB47583" s="122"/>
      <c r="BC47583" s="141"/>
    </row>
    <row r="47584">
      <c r="BB47584" s="122"/>
      <c r="BC47584" s="141"/>
    </row>
    <row r="47585">
      <c r="BB47585" s="122"/>
      <c r="BC47585" s="141"/>
    </row>
    <row r="47586">
      <c r="BB47586" s="122"/>
      <c r="BC47586" s="141"/>
    </row>
    <row r="47587">
      <c r="BB47587" s="122"/>
      <c r="BC47587" s="141"/>
    </row>
    <row r="47588">
      <c r="BB47588" s="122"/>
      <c r="BC47588" s="141"/>
    </row>
    <row r="47589">
      <c r="BB47589" s="122"/>
      <c r="BC47589" s="141"/>
    </row>
    <row r="47590">
      <c r="BB47590" s="122"/>
      <c r="BC47590" s="141"/>
    </row>
    <row r="47591">
      <c r="BB47591" s="122"/>
      <c r="BC47591" s="141"/>
    </row>
    <row r="47592">
      <c r="BB47592" s="122"/>
      <c r="BC47592" s="141"/>
    </row>
    <row r="47593">
      <c r="BB47593" s="122"/>
      <c r="BC47593" s="141"/>
    </row>
    <row r="47594">
      <c r="BB47594" s="122"/>
      <c r="BC47594" s="141"/>
    </row>
    <row r="47595">
      <c r="BB47595" s="122"/>
      <c r="BC47595" s="141"/>
    </row>
    <row r="47596">
      <c r="BB47596" s="122"/>
      <c r="BC47596" s="141"/>
    </row>
    <row r="47597">
      <c r="BB47597" s="122"/>
      <c r="BC47597" s="141"/>
    </row>
    <row r="47598">
      <c r="BB47598" s="122"/>
      <c r="BC47598" s="141"/>
    </row>
    <row r="47599">
      <c r="BB47599" s="122"/>
      <c r="BC47599" s="141"/>
    </row>
    <row r="47600">
      <c r="BB47600" s="122"/>
      <c r="BC47600" s="141"/>
    </row>
    <row r="47601">
      <c r="BB47601" s="122"/>
      <c r="BC47601" s="141"/>
    </row>
    <row r="47602">
      <c r="BB47602" s="122"/>
      <c r="BC47602" s="141"/>
    </row>
    <row r="47603">
      <c r="BB47603" s="122"/>
      <c r="BC47603" s="141"/>
    </row>
    <row r="47604">
      <c r="BB47604" s="122"/>
      <c r="BC47604" s="141"/>
    </row>
    <row r="47605">
      <c r="BB47605" s="122"/>
      <c r="BC47605" s="141"/>
    </row>
    <row r="47606">
      <c r="BB47606" s="122"/>
      <c r="BC47606" s="141"/>
    </row>
    <row r="47607">
      <c r="BB47607" s="122"/>
      <c r="BC47607" s="141"/>
    </row>
    <row r="47608">
      <c r="BB47608" s="122"/>
      <c r="BC47608" s="141"/>
    </row>
    <row r="47609">
      <c r="BB47609" s="122"/>
      <c r="BC47609" s="141"/>
    </row>
    <row r="47610">
      <c r="BB47610" s="122"/>
      <c r="BC47610" s="141"/>
    </row>
    <row r="47611">
      <c r="BB47611" s="122"/>
      <c r="BC47611" s="141"/>
    </row>
    <row r="47612">
      <c r="BB47612" s="122"/>
      <c r="BC47612" s="141"/>
    </row>
    <row r="47613">
      <c r="BB47613" s="122"/>
      <c r="BC47613" s="141"/>
    </row>
    <row r="47614">
      <c r="BB47614" s="122"/>
      <c r="BC47614" s="141"/>
    </row>
    <row r="47615">
      <c r="BB47615" s="122"/>
      <c r="BC47615" s="141"/>
    </row>
    <row r="47616">
      <c r="BB47616" s="122"/>
      <c r="BC47616" s="141"/>
    </row>
    <row r="47617">
      <c r="BB47617" s="122"/>
      <c r="BC47617" s="141"/>
    </row>
    <row r="47618">
      <c r="BB47618" s="122"/>
      <c r="BC47618" s="141"/>
    </row>
    <row r="47619">
      <c r="BB47619" s="122"/>
      <c r="BC47619" s="141"/>
    </row>
    <row r="47620">
      <c r="BB47620" s="122"/>
      <c r="BC47620" s="141"/>
    </row>
    <row r="47621">
      <c r="BB47621" s="122"/>
      <c r="BC47621" s="141"/>
    </row>
    <row r="47622">
      <c r="BB47622" s="122"/>
      <c r="BC47622" s="141"/>
    </row>
    <row r="47623">
      <c r="BB47623" s="122"/>
      <c r="BC47623" s="141"/>
    </row>
    <row r="47624">
      <c r="BB47624" s="122"/>
      <c r="BC47624" s="141"/>
    </row>
    <row r="47625">
      <c r="BB47625" s="122"/>
      <c r="BC47625" s="141"/>
    </row>
    <row r="47626">
      <c r="BB47626" s="122"/>
      <c r="BC47626" s="141"/>
    </row>
    <row r="47627">
      <c r="BB47627" s="122"/>
      <c r="BC47627" s="141"/>
    </row>
    <row r="47628">
      <c r="BB47628" s="122"/>
      <c r="BC47628" s="141"/>
    </row>
    <row r="47629">
      <c r="BB47629" s="122"/>
      <c r="BC47629" s="141"/>
    </row>
    <row r="47630">
      <c r="BB47630" s="122"/>
      <c r="BC47630" s="141"/>
    </row>
    <row r="47631">
      <c r="BB47631" s="122"/>
      <c r="BC47631" s="141"/>
    </row>
    <row r="47632">
      <c r="BB47632" s="122"/>
      <c r="BC47632" s="141"/>
    </row>
    <row r="47633">
      <c r="BB47633" s="122"/>
      <c r="BC47633" s="141"/>
    </row>
    <row r="47634">
      <c r="BB47634" s="122"/>
      <c r="BC47634" s="141"/>
    </row>
    <row r="47635">
      <c r="BB47635" s="122"/>
      <c r="BC47635" s="141"/>
    </row>
    <row r="47636">
      <c r="BB47636" s="122"/>
      <c r="BC47636" s="141"/>
    </row>
    <row r="47637">
      <c r="BB47637" s="122"/>
      <c r="BC47637" s="141"/>
    </row>
    <row r="47638">
      <c r="BB47638" s="122"/>
      <c r="BC47638" s="141"/>
    </row>
    <row r="47639">
      <c r="BB47639" s="122"/>
      <c r="BC47639" s="141"/>
    </row>
    <row r="47640">
      <c r="BB47640" s="122"/>
      <c r="BC47640" s="141"/>
    </row>
    <row r="47641">
      <c r="BB47641" s="122"/>
      <c r="BC47641" s="141"/>
    </row>
    <row r="47642">
      <c r="BB47642" s="122"/>
      <c r="BC47642" s="141"/>
    </row>
    <row r="47643">
      <c r="BB47643" s="122"/>
      <c r="BC47643" s="141"/>
    </row>
    <row r="47644">
      <c r="BB47644" s="122"/>
      <c r="BC47644" s="141"/>
    </row>
    <row r="47645">
      <c r="BB47645" s="122"/>
      <c r="BC47645" s="141"/>
    </row>
    <row r="47646">
      <c r="BB47646" s="122"/>
      <c r="BC47646" s="141"/>
    </row>
    <row r="47647">
      <c r="BB47647" s="122"/>
      <c r="BC47647" s="141"/>
    </row>
    <row r="47648">
      <c r="BB47648" s="122"/>
      <c r="BC47648" s="141"/>
    </row>
    <row r="47649">
      <c r="BB47649" s="122"/>
      <c r="BC47649" s="141"/>
    </row>
    <row r="47650">
      <c r="BB47650" s="122"/>
      <c r="BC47650" s="141"/>
    </row>
    <row r="47651">
      <c r="BB47651" s="122"/>
      <c r="BC47651" s="141"/>
    </row>
    <row r="47652">
      <c r="BB47652" s="122"/>
      <c r="BC47652" s="141"/>
    </row>
    <row r="47653">
      <c r="BB47653" s="122"/>
      <c r="BC47653" s="141"/>
    </row>
    <row r="47654">
      <c r="BB47654" s="122"/>
      <c r="BC47654" s="141"/>
    </row>
    <row r="47655">
      <c r="BB47655" s="122"/>
      <c r="BC47655" s="141"/>
    </row>
    <row r="47656">
      <c r="BB47656" s="122"/>
      <c r="BC47656" s="141"/>
    </row>
    <row r="47657">
      <c r="BB47657" s="122"/>
      <c r="BC47657" s="141"/>
    </row>
    <row r="47658">
      <c r="BB47658" s="122"/>
      <c r="BC47658" s="141"/>
    </row>
    <row r="47659">
      <c r="BB47659" s="122"/>
      <c r="BC47659" s="141"/>
    </row>
    <row r="47660">
      <c r="BB47660" s="122"/>
      <c r="BC47660" s="141"/>
    </row>
    <row r="47661">
      <c r="BB47661" s="122"/>
      <c r="BC47661" s="141"/>
    </row>
    <row r="47662">
      <c r="BB47662" s="122"/>
      <c r="BC47662" s="141"/>
    </row>
    <row r="47663">
      <c r="BB47663" s="122"/>
      <c r="BC47663" s="141"/>
    </row>
    <row r="47664">
      <c r="BB47664" s="122"/>
      <c r="BC47664" s="141"/>
    </row>
    <row r="47665">
      <c r="BB47665" s="122"/>
      <c r="BC47665" s="141"/>
    </row>
    <row r="47666">
      <c r="BB47666" s="122"/>
      <c r="BC47666" s="141"/>
    </row>
    <row r="47667">
      <c r="BB47667" s="122"/>
      <c r="BC47667" s="141"/>
    </row>
    <row r="47668">
      <c r="BB47668" s="122"/>
      <c r="BC47668" s="141"/>
    </row>
    <row r="47669">
      <c r="BB47669" s="122"/>
      <c r="BC47669" s="141"/>
    </row>
    <row r="47670">
      <c r="BB47670" s="122"/>
      <c r="BC47670" s="141"/>
    </row>
    <row r="47671">
      <c r="BB47671" s="122"/>
      <c r="BC47671" s="141"/>
    </row>
    <row r="47672">
      <c r="BB47672" s="122"/>
      <c r="BC47672" s="141"/>
    </row>
    <row r="47673">
      <c r="BB47673" s="122"/>
      <c r="BC47673" s="141"/>
    </row>
    <row r="47674">
      <c r="BB47674" s="122"/>
      <c r="BC47674" s="141"/>
    </row>
    <row r="47675">
      <c r="BB47675" s="122"/>
      <c r="BC47675" s="141"/>
    </row>
    <row r="47676">
      <c r="BB47676" s="122"/>
      <c r="BC47676" s="141"/>
    </row>
    <row r="47677">
      <c r="BB47677" s="122"/>
      <c r="BC47677" s="141"/>
    </row>
    <row r="47678">
      <c r="BB47678" s="122"/>
      <c r="BC47678" s="141"/>
    </row>
    <row r="47679">
      <c r="BB47679" s="122"/>
      <c r="BC47679" s="141"/>
    </row>
    <row r="47680">
      <c r="BB47680" s="122"/>
      <c r="BC47680" s="141"/>
    </row>
    <row r="47681">
      <c r="BB47681" s="122"/>
      <c r="BC47681" s="141"/>
    </row>
    <row r="47682">
      <c r="BB47682" s="122"/>
      <c r="BC47682" s="141"/>
    </row>
    <row r="47683">
      <c r="BB47683" s="122"/>
      <c r="BC47683" s="141"/>
    </row>
    <row r="47684">
      <c r="BB47684" s="122"/>
      <c r="BC47684" s="141"/>
    </row>
    <row r="47685">
      <c r="BB47685" s="122"/>
      <c r="BC47685" s="141"/>
    </row>
    <row r="47686">
      <c r="BB47686" s="122"/>
      <c r="BC47686" s="141"/>
    </row>
    <row r="47687">
      <c r="BB47687" s="122"/>
      <c r="BC47687" s="141"/>
    </row>
    <row r="47688">
      <c r="BB47688" s="122"/>
      <c r="BC47688" s="141"/>
    </row>
    <row r="47689">
      <c r="BB47689" s="122"/>
      <c r="BC47689" s="141"/>
    </row>
    <row r="47690">
      <c r="BB47690" s="122"/>
      <c r="BC47690" s="141"/>
    </row>
    <row r="47691">
      <c r="BB47691" s="122"/>
      <c r="BC47691" s="141"/>
    </row>
    <row r="47692">
      <c r="BB47692" s="122"/>
      <c r="BC47692" s="141"/>
    </row>
    <row r="47693">
      <c r="BB47693" s="122"/>
      <c r="BC47693" s="141"/>
    </row>
    <row r="47694">
      <c r="BB47694" s="122"/>
      <c r="BC47694" s="141"/>
    </row>
    <row r="47695">
      <c r="BB47695" s="122"/>
      <c r="BC47695" s="141"/>
    </row>
    <row r="47696">
      <c r="BB47696" s="122"/>
      <c r="BC47696" s="141"/>
    </row>
    <row r="47697">
      <c r="BB47697" s="122"/>
      <c r="BC47697" s="141"/>
    </row>
    <row r="47698">
      <c r="BB47698" s="122"/>
      <c r="BC47698" s="141"/>
    </row>
    <row r="47699">
      <c r="BB47699" s="122"/>
      <c r="BC47699" s="141"/>
    </row>
    <row r="47700">
      <c r="BB47700" s="122"/>
      <c r="BC47700" s="141"/>
    </row>
    <row r="47701">
      <c r="BB47701" s="122"/>
      <c r="BC47701" s="141"/>
    </row>
    <row r="47702">
      <c r="BB47702" s="122"/>
      <c r="BC47702" s="141"/>
    </row>
    <row r="47703">
      <c r="BB47703" s="122"/>
      <c r="BC47703" s="141"/>
    </row>
    <row r="47704">
      <c r="BB47704" s="122"/>
      <c r="BC47704" s="141"/>
    </row>
    <row r="47705">
      <c r="BB47705" s="122"/>
      <c r="BC47705" s="141"/>
    </row>
    <row r="47706">
      <c r="BB47706" s="122"/>
      <c r="BC47706" s="141"/>
    </row>
    <row r="47707">
      <c r="BB47707" s="122"/>
      <c r="BC47707" s="141"/>
    </row>
    <row r="47708">
      <c r="BB47708" s="122"/>
      <c r="BC47708" s="141"/>
    </row>
    <row r="47709">
      <c r="BB47709" s="122"/>
      <c r="BC47709" s="141"/>
    </row>
    <row r="47710">
      <c r="BB47710" s="122"/>
      <c r="BC47710" s="141"/>
    </row>
    <row r="47711">
      <c r="BB47711" s="122"/>
      <c r="BC47711" s="141"/>
    </row>
    <row r="47712">
      <c r="BB47712" s="122"/>
      <c r="BC47712" s="141"/>
    </row>
    <row r="47713">
      <c r="BB47713" s="122"/>
      <c r="BC47713" s="141"/>
    </row>
    <row r="47714">
      <c r="BB47714" s="122"/>
      <c r="BC47714" s="141"/>
    </row>
    <row r="47715">
      <c r="BB47715" s="122"/>
      <c r="BC47715" s="141"/>
    </row>
    <row r="47716">
      <c r="BB47716" s="122"/>
      <c r="BC47716" s="141"/>
    </row>
    <row r="47717">
      <c r="BB47717" s="122"/>
      <c r="BC47717" s="141"/>
    </row>
    <row r="47718">
      <c r="BB47718" s="122"/>
      <c r="BC47718" s="141"/>
    </row>
    <row r="47719">
      <c r="BB47719" s="122"/>
      <c r="BC47719" s="141"/>
    </row>
    <row r="47720">
      <c r="BB47720" s="122"/>
      <c r="BC47720" s="141"/>
    </row>
    <row r="47721">
      <c r="BB47721" s="122"/>
      <c r="BC47721" s="141"/>
    </row>
    <row r="47722">
      <c r="BB47722" s="122"/>
      <c r="BC47722" s="141"/>
    </row>
    <row r="47723">
      <c r="BB47723" s="122"/>
      <c r="BC47723" s="141"/>
    </row>
    <row r="47724">
      <c r="BB47724" s="122"/>
      <c r="BC47724" s="141"/>
    </row>
    <row r="47725">
      <c r="BB47725" s="122"/>
      <c r="BC47725" s="141"/>
    </row>
    <row r="47726">
      <c r="BB47726" s="122"/>
      <c r="BC47726" s="141"/>
    </row>
    <row r="47727">
      <c r="BB47727" s="122"/>
      <c r="BC47727" s="141"/>
    </row>
    <row r="47728">
      <c r="BB47728" s="122"/>
      <c r="BC47728" s="141"/>
    </row>
    <row r="47729">
      <c r="BB47729" s="122"/>
      <c r="BC47729" s="141"/>
    </row>
    <row r="47730">
      <c r="BB47730" s="122"/>
      <c r="BC47730" s="141"/>
    </row>
    <row r="47731">
      <c r="BB47731" s="122"/>
      <c r="BC47731" s="141"/>
    </row>
    <row r="47732">
      <c r="BB47732" s="122"/>
      <c r="BC47732" s="141"/>
    </row>
    <row r="47733">
      <c r="BB47733" s="122"/>
      <c r="BC47733" s="141"/>
    </row>
    <row r="47734">
      <c r="BB47734" s="122"/>
      <c r="BC47734" s="141"/>
    </row>
    <row r="47735">
      <c r="BB47735" s="122"/>
      <c r="BC47735" s="141"/>
    </row>
    <row r="47736">
      <c r="BB47736" s="122"/>
      <c r="BC47736" s="141"/>
    </row>
    <row r="47737">
      <c r="BB47737" s="122"/>
      <c r="BC47737" s="141"/>
    </row>
    <row r="47738">
      <c r="BB47738" s="122"/>
      <c r="BC47738" s="141"/>
    </row>
    <row r="47739">
      <c r="BB47739" s="122"/>
      <c r="BC47739" s="141"/>
    </row>
    <row r="47740">
      <c r="BB47740" s="122"/>
      <c r="BC47740" s="141"/>
    </row>
    <row r="47741">
      <c r="BB47741" s="122"/>
      <c r="BC47741" s="141"/>
    </row>
    <row r="47742">
      <c r="BB47742" s="122"/>
      <c r="BC47742" s="141"/>
    </row>
    <row r="47743">
      <c r="BB47743" s="122"/>
      <c r="BC47743" s="141"/>
    </row>
    <row r="47744">
      <c r="BB47744" s="122"/>
      <c r="BC47744" s="141"/>
    </row>
    <row r="47745">
      <c r="BB47745" s="122"/>
      <c r="BC47745" s="141"/>
    </row>
    <row r="47746">
      <c r="BB47746" s="122"/>
      <c r="BC47746" s="141"/>
    </row>
    <row r="47747">
      <c r="BB47747" s="122"/>
      <c r="BC47747" s="141"/>
    </row>
    <row r="47748">
      <c r="BB47748" s="122"/>
      <c r="BC47748" s="141"/>
    </row>
    <row r="47749">
      <c r="BB47749" s="122"/>
      <c r="BC47749" s="141"/>
    </row>
    <row r="47750">
      <c r="BB47750" s="122"/>
      <c r="BC47750" s="141"/>
    </row>
    <row r="47751">
      <c r="BB47751" s="122"/>
      <c r="BC47751" s="141"/>
    </row>
    <row r="47752">
      <c r="BB47752" s="122"/>
      <c r="BC47752" s="141"/>
    </row>
    <row r="47753">
      <c r="BB47753" s="122"/>
      <c r="BC47753" s="141"/>
    </row>
    <row r="47754">
      <c r="BB47754" s="122"/>
      <c r="BC47754" s="141"/>
    </row>
    <row r="47755">
      <c r="BB47755" s="122"/>
      <c r="BC47755" s="141"/>
    </row>
    <row r="47756">
      <c r="BB47756" s="122"/>
      <c r="BC47756" s="141"/>
    </row>
    <row r="47757">
      <c r="BB47757" s="122"/>
      <c r="BC47757" s="141"/>
    </row>
    <row r="47758">
      <c r="BB47758" s="122"/>
      <c r="BC47758" s="141"/>
    </row>
    <row r="47759">
      <c r="BB47759" s="122"/>
      <c r="BC47759" s="141"/>
    </row>
    <row r="47760">
      <c r="BB47760" s="122"/>
      <c r="BC47760" s="141"/>
    </row>
    <row r="47761">
      <c r="BB47761" s="122"/>
      <c r="BC47761" s="141"/>
    </row>
    <row r="47762">
      <c r="BB47762" s="122"/>
      <c r="BC47762" s="141"/>
    </row>
    <row r="47763">
      <c r="BB47763" s="122"/>
      <c r="BC47763" s="141"/>
    </row>
    <row r="47764">
      <c r="BB47764" s="122"/>
      <c r="BC47764" s="141"/>
    </row>
    <row r="47765">
      <c r="BB47765" s="122"/>
      <c r="BC47765" s="141"/>
    </row>
    <row r="47766">
      <c r="BB47766" s="122"/>
      <c r="BC47766" s="141"/>
    </row>
    <row r="47767">
      <c r="BB47767" s="122"/>
      <c r="BC47767" s="141"/>
    </row>
    <row r="47768">
      <c r="BB47768" s="122"/>
      <c r="BC47768" s="141"/>
    </row>
    <row r="47769">
      <c r="BB47769" s="122"/>
      <c r="BC47769" s="141"/>
    </row>
    <row r="47770">
      <c r="BB47770" s="122"/>
      <c r="BC47770" s="141"/>
    </row>
    <row r="47771">
      <c r="BB47771" s="122"/>
      <c r="BC47771" s="141"/>
    </row>
    <row r="47772">
      <c r="BB47772" s="122"/>
      <c r="BC47772" s="141"/>
    </row>
    <row r="47773">
      <c r="BB47773" s="122"/>
      <c r="BC47773" s="141"/>
    </row>
    <row r="47774">
      <c r="BB47774" s="122"/>
      <c r="BC47774" s="141"/>
    </row>
    <row r="47775">
      <c r="BB47775" s="122"/>
      <c r="BC47775" s="141"/>
    </row>
    <row r="47776">
      <c r="BB47776" s="122"/>
      <c r="BC47776" s="141"/>
    </row>
    <row r="47777">
      <c r="BB47777" s="122"/>
      <c r="BC47777" s="141"/>
    </row>
    <row r="47778">
      <c r="BB47778" s="122"/>
      <c r="BC47778" s="141"/>
    </row>
    <row r="47779">
      <c r="BB47779" s="122"/>
      <c r="BC47779" s="141"/>
    </row>
    <row r="47780">
      <c r="BB47780" s="122"/>
      <c r="BC47780" s="141"/>
    </row>
    <row r="47781">
      <c r="BB47781" s="122"/>
      <c r="BC47781" s="141"/>
    </row>
    <row r="47782">
      <c r="BB47782" s="122"/>
      <c r="BC47782" s="141"/>
    </row>
    <row r="47783">
      <c r="BB47783" s="122"/>
      <c r="BC47783" s="141"/>
    </row>
    <row r="47784">
      <c r="BB47784" s="122"/>
      <c r="BC47784" s="141"/>
    </row>
    <row r="47785">
      <c r="BB47785" s="122"/>
      <c r="BC47785" s="141"/>
    </row>
    <row r="47786">
      <c r="BB47786" s="122"/>
      <c r="BC47786" s="141"/>
    </row>
    <row r="47787">
      <c r="BB47787" s="122"/>
      <c r="BC47787" s="141"/>
    </row>
    <row r="47788">
      <c r="BB47788" s="122"/>
      <c r="BC47788" s="141"/>
    </row>
    <row r="47789">
      <c r="BB47789" s="122"/>
      <c r="BC47789" s="141"/>
    </row>
    <row r="47790">
      <c r="BB47790" s="122"/>
      <c r="BC47790" s="141"/>
    </row>
    <row r="47791">
      <c r="BB47791" s="122"/>
      <c r="BC47791" s="141"/>
    </row>
    <row r="47792">
      <c r="BB47792" s="122"/>
      <c r="BC47792" s="141"/>
    </row>
    <row r="47793">
      <c r="BB47793" s="122"/>
      <c r="BC47793" s="141"/>
    </row>
    <row r="47794">
      <c r="BB47794" s="122"/>
      <c r="BC47794" s="141"/>
    </row>
    <row r="47795">
      <c r="BB47795" s="122"/>
      <c r="BC47795" s="141"/>
    </row>
    <row r="47796">
      <c r="BB47796" s="122"/>
      <c r="BC47796" s="141"/>
    </row>
    <row r="47797">
      <c r="BB47797" s="122"/>
      <c r="BC47797" s="141"/>
    </row>
    <row r="47798">
      <c r="BB47798" s="122"/>
      <c r="BC47798" s="141"/>
    </row>
    <row r="47799">
      <c r="BB47799" s="122"/>
      <c r="BC47799" s="141"/>
    </row>
    <row r="47800">
      <c r="BB47800" s="122"/>
      <c r="BC47800" s="141"/>
    </row>
    <row r="47801">
      <c r="BB47801" s="122"/>
      <c r="BC47801" s="141"/>
    </row>
    <row r="47802">
      <c r="BB47802" s="122"/>
      <c r="BC47802" s="141"/>
    </row>
    <row r="47803">
      <c r="BB47803" s="122"/>
      <c r="BC47803" s="141"/>
    </row>
    <row r="47804">
      <c r="BB47804" s="122"/>
      <c r="BC47804" s="141"/>
    </row>
    <row r="47805">
      <c r="BB47805" s="122"/>
      <c r="BC47805" s="141"/>
    </row>
    <row r="47806">
      <c r="BB47806" s="122"/>
      <c r="BC47806" s="141"/>
    </row>
    <row r="47807">
      <c r="BB47807" s="122"/>
      <c r="BC47807" s="141"/>
    </row>
    <row r="47808">
      <c r="BB47808" s="122"/>
      <c r="BC47808" s="141"/>
    </row>
    <row r="47809">
      <c r="BB47809" s="122"/>
      <c r="BC47809" s="141"/>
    </row>
    <row r="47810">
      <c r="BB47810" s="122"/>
      <c r="BC47810" s="141"/>
    </row>
    <row r="47811">
      <c r="BB47811" s="122"/>
      <c r="BC47811" s="141"/>
    </row>
    <row r="47812">
      <c r="BB47812" s="122"/>
      <c r="BC47812" s="141"/>
    </row>
    <row r="47813">
      <c r="BB47813" s="122"/>
      <c r="BC47813" s="141"/>
    </row>
    <row r="47814">
      <c r="BB47814" s="122"/>
      <c r="BC47814" s="141"/>
    </row>
    <row r="47815">
      <c r="BB47815" s="122"/>
      <c r="BC47815" s="141"/>
    </row>
    <row r="47816">
      <c r="BB47816" s="122"/>
      <c r="BC47816" s="141"/>
    </row>
    <row r="47817">
      <c r="BB47817" s="122"/>
      <c r="BC47817" s="141"/>
    </row>
    <row r="47818">
      <c r="BB47818" s="122"/>
      <c r="BC47818" s="141"/>
    </row>
    <row r="47819">
      <c r="BB47819" s="122"/>
      <c r="BC47819" s="141"/>
    </row>
    <row r="47820">
      <c r="BB47820" s="122"/>
      <c r="BC47820" s="141"/>
    </row>
    <row r="47821">
      <c r="BB47821" s="122"/>
      <c r="BC47821" s="141"/>
    </row>
    <row r="47822">
      <c r="BB47822" s="122"/>
      <c r="BC47822" s="141"/>
    </row>
    <row r="47823">
      <c r="BB47823" s="122"/>
      <c r="BC47823" s="141"/>
    </row>
    <row r="47824">
      <c r="BB47824" s="122"/>
      <c r="BC47824" s="141"/>
    </row>
    <row r="47825">
      <c r="BB47825" s="122"/>
      <c r="BC47825" s="141"/>
    </row>
    <row r="47826">
      <c r="BB47826" s="122"/>
      <c r="BC47826" s="141"/>
    </row>
    <row r="47827">
      <c r="BB47827" s="122"/>
      <c r="BC47827" s="141"/>
    </row>
    <row r="47828">
      <c r="BB47828" s="122"/>
      <c r="BC47828" s="141"/>
    </row>
    <row r="47829">
      <c r="BB47829" s="122"/>
      <c r="BC47829" s="141"/>
    </row>
    <row r="47830">
      <c r="BB47830" s="122"/>
      <c r="BC47830" s="141"/>
    </row>
    <row r="47831">
      <c r="BB47831" s="122"/>
      <c r="BC47831" s="141"/>
    </row>
    <row r="47832">
      <c r="BB47832" s="122"/>
      <c r="BC47832" s="141"/>
    </row>
    <row r="47833">
      <c r="BB47833" s="122"/>
      <c r="BC47833" s="141"/>
    </row>
    <row r="47834">
      <c r="BB47834" s="122"/>
      <c r="BC47834" s="141"/>
    </row>
    <row r="47835">
      <c r="BB47835" s="122"/>
      <c r="BC47835" s="141"/>
    </row>
    <row r="47836">
      <c r="BB47836" s="122"/>
      <c r="BC47836" s="141"/>
    </row>
    <row r="47837">
      <c r="BB47837" s="122"/>
      <c r="BC47837" s="141"/>
    </row>
    <row r="47838">
      <c r="BB47838" s="122"/>
      <c r="BC47838" s="141"/>
    </row>
    <row r="47839">
      <c r="BB47839" s="122"/>
      <c r="BC47839" s="141"/>
    </row>
    <row r="47840">
      <c r="BB47840" s="122"/>
      <c r="BC47840" s="141"/>
    </row>
    <row r="47841">
      <c r="BB47841" s="122"/>
      <c r="BC47841" s="141"/>
    </row>
    <row r="47842">
      <c r="BB47842" s="122"/>
      <c r="BC47842" s="141"/>
    </row>
    <row r="47843">
      <c r="BB47843" s="122"/>
      <c r="BC47843" s="141"/>
    </row>
    <row r="47844">
      <c r="BB47844" s="122"/>
      <c r="BC47844" s="141"/>
    </row>
    <row r="47845">
      <c r="BB47845" s="122"/>
      <c r="BC47845" s="141"/>
    </row>
    <row r="47846">
      <c r="BB47846" s="122"/>
      <c r="BC47846" s="141"/>
    </row>
    <row r="47847">
      <c r="BB47847" s="122"/>
      <c r="BC47847" s="141"/>
    </row>
    <row r="47848">
      <c r="BB47848" s="122"/>
      <c r="BC47848" s="141"/>
    </row>
    <row r="47849">
      <c r="BB47849" s="122"/>
      <c r="BC47849" s="141"/>
    </row>
    <row r="47850">
      <c r="BB47850" s="122"/>
      <c r="BC47850" s="141"/>
    </row>
    <row r="47851">
      <c r="BB47851" s="122"/>
      <c r="BC47851" s="141"/>
    </row>
    <row r="47852">
      <c r="BB47852" s="122"/>
      <c r="BC47852" s="141"/>
    </row>
    <row r="47853">
      <c r="BB47853" s="122"/>
      <c r="BC47853" s="141"/>
    </row>
    <row r="47854">
      <c r="BB47854" s="122"/>
      <c r="BC47854" s="141"/>
    </row>
    <row r="47855">
      <c r="BB47855" s="122"/>
      <c r="BC47855" s="141"/>
    </row>
    <row r="47856">
      <c r="BB47856" s="122"/>
      <c r="BC47856" s="141"/>
    </row>
    <row r="47857">
      <c r="BB47857" s="122"/>
      <c r="BC47857" s="141"/>
    </row>
    <row r="47858">
      <c r="BB47858" s="122"/>
      <c r="BC47858" s="141"/>
    </row>
    <row r="47859">
      <c r="BB47859" s="122"/>
      <c r="BC47859" s="141"/>
    </row>
    <row r="47860">
      <c r="BB47860" s="122"/>
      <c r="BC47860" s="141"/>
    </row>
    <row r="47861">
      <c r="BB47861" s="122"/>
      <c r="BC47861" s="141"/>
    </row>
    <row r="47862">
      <c r="BB47862" s="122"/>
      <c r="BC47862" s="141"/>
    </row>
    <row r="47863">
      <c r="BB47863" s="122"/>
      <c r="BC47863" s="141"/>
    </row>
    <row r="47864">
      <c r="BB47864" s="122"/>
      <c r="BC47864" s="141"/>
    </row>
    <row r="47865">
      <c r="BB47865" s="122"/>
      <c r="BC47865" s="141"/>
    </row>
    <row r="47866">
      <c r="BB47866" s="122"/>
      <c r="BC47866" s="141"/>
    </row>
    <row r="47867">
      <c r="BB47867" s="122"/>
      <c r="BC47867" s="141"/>
    </row>
    <row r="47868">
      <c r="BB47868" s="122"/>
      <c r="BC47868" s="141"/>
    </row>
    <row r="47869">
      <c r="BB47869" s="122"/>
      <c r="BC47869" s="141"/>
    </row>
    <row r="47870">
      <c r="BB47870" s="122"/>
      <c r="BC47870" s="141"/>
    </row>
    <row r="47871">
      <c r="BB47871" s="122"/>
      <c r="BC47871" s="141"/>
    </row>
    <row r="47872">
      <c r="BB47872" s="122"/>
      <c r="BC47872" s="141"/>
    </row>
    <row r="47873">
      <c r="BB47873" s="122"/>
      <c r="BC47873" s="141"/>
    </row>
    <row r="47874">
      <c r="BB47874" s="122"/>
      <c r="BC47874" s="141"/>
    </row>
    <row r="47875">
      <c r="BB47875" s="122"/>
      <c r="BC47875" s="141"/>
    </row>
    <row r="47876">
      <c r="BB47876" s="122"/>
      <c r="BC47876" s="141"/>
    </row>
    <row r="47877">
      <c r="BB47877" s="122"/>
      <c r="BC47877" s="141"/>
    </row>
    <row r="47878">
      <c r="BB47878" s="122"/>
      <c r="BC47878" s="141"/>
    </row>
    <row r="47879">
      <c r="BB47879" s="122"/>
      <c r="BC47879" s="141"/>
    </row>
    <row r="47880">
      <c r="BB47880" s="122"/>
      <c r="BC47880" s="141"/>
    </row>
    <row r="47881">
      <c r="BB47881" s="122"/>
      <c r="BC47881" s="141"/>
    </row>
    <row r="47882">
      <c r="BB47882" s="122"/>
      <c r="BC47882" s="141"/>
    </row>
    <row r="47883">
      <c r="BB47883" s="122"/>
      <c r="BC47883" s="141"/>
    </row>
    <row r="47884">
      <c r="BB47884" s="122"/>
      <c r="BC47884" s="141"/>
    </row>
    <row r="47885">
      <c r="BB47885" s="122"/>
      <c r="BC47885" s="141"/>
    </row>
    <row r="47886">
      <c r="BB47886" s="122"/>
      <c r="BC47886" s="141"/>
    </row>
    <row r="47887">
      <c r="BB47887" s="122"/>
      <c r="BC47887" s="141"/>
    </row>
    <row r="47888">
      <c r="BB47888" s="122"/>
      <c r="BC47888" s="141"/>
    </row>
    <row r="47889">
      <c r="BB47889" s="122"/>
      <c r="BC47889" s="141"/>
    </row>
    <row r="47890">
      <c r="BB47890" s="122"/>
      <c r="BC47890" s="141"/>
    </row>
    <row r="47891">
      <c r="BB47891" s="122"/>
      <c r="BC47891" s="141"/>
    </row>
    <row r="47892">
      <c r="BB47892" s="122"/>
      <c r="BC47892" s="141"/>
    </row>
    <row r="47893">
      <c r="BB47893" s="122"/>
      <c r="BC47893" s="141"/>
    </row>
    <row r="47894">
      <c r="BB47894" s="122"/>
      <c r="BC47894" s="141"/>
    </row>
    <row r="47895">
      <c r="BB47895" s="122"/>
      <c r="BC47895" s="141"/>
    </row>
    <row r="47896">
      <c r="BB47896" s="122"/>
      <c r="BC47896" s="141"/>
    </row>
    <row r="47897">
      <c r="BB47897" s="122"/>
      <c r="BC47897" s="141"/>
    </row>
    <row r="47898">
      <c r="BB47898" s="122"/>
      <c r="BC47898" s="141"/>
    </row>
    <row r="47899">
      <c r="BB47899" s="122"/>
      <c r="BC47899" s="141"/>
    </row>
    <row r="47900">
      <c r="BB47900" s="122"/>
      <c r="BC47900" s="141"/>
    </row>
    <row r="47901">
      <c r="BB47901" s="122"/>
      <c r="BC47901" s="141"/>
    </row>
    <row r="47902">
      <c r="BB47902" s="122"/>
      <c r="BC47902" s="141"/>
    </row>
    <row r="47903">
      <c r="BB47903" s="122"/>
      <c r="BC47903" s="141"/>
    </row>
    <row r="47904">
      <c r="BB47904" s="122"/>
      <c r="BC47904" s="141"/>
    </row>
    <row r="47905">
      <c r="BB47905" s="122"/>
      <c r="BC47905" s="141"/>
    </row>
    <row r="47906">
      <c r="BB47906" s="122"/>
      <c r="BC47906" s="141"/>
    </row>
    <row r="47907">
      <c r="BB47907" s="122"/>
      <c r="BC47907" s="141"/>
    </row>
    <row r="47908">
      <c r="BB47908" s="122"/>
      <c r="BC47908" s="141"/>
    </row>
    <row r="47909">
      <c r="BB47909" s="122"/>
      <c r="BC47909" s="141"/>
    </row>
    <row r="47910">
      <c r="BB47910" s="122"/>
      <c r="BC47910" s="141"/>
    </row>
    <row r="47911">
      <c r="BB47911" s="122"/>
      <c r="BC47911" s="141"/>
    </row>
    <row r="47912">
      <c r="BB47912" s="122"/>
      <c r="BC47912" s="141"/>
    </row>
    <row r="47913">
      <c r="BB47913" s="122"/>
      <c r="BC47913" s="141"/>
    </row>
    <row r="47914">
      <c r="BB47914" s="122"/>
      <c r="BC47914" s="141"/>
    </row>
    <row r="47915">
      <c r="BB47915" s="122"/>
      <c r="BC47915" s="141"/>
    </row>
    <row r="47916">
      <c r="BB47916" s="122"/>
      <c r="BC47916" s="141"/>
    </row>
    <row r="47917">
      <c r="BB47917" s="122"/>
      <c r="BC47917" s="141"/>
    </row>
    <row r="47918">
      <c r="BB47918" s="122"/>
      <c r="BC47918" s="141"/>
    </row>
    <row r="47919">
      <c r="BB47919" s="122"/>
      <c r="BC47919" s="141"/>
    </row>
    <row r="47920">
      <c r="BB47920" s="122"/>
      <c r="BC47920" s="141"/>
    </row>
    <row r="47921">
      <c r="BB47921" s="122"/>
      <c r="BC47921" s="141"/>
    </row>
    <row r="47922">
      <c r="BB47922" s="122"/>
      <c r="BC47922" s="141"/>
    </row>
    <row r="47923">
      <c r="BB47923" s="122"/>
      <c r="BC47923" s="141"/>
    </row>
    <row r="47924">
      <c r="BB47924" s="122"/>
      <c r="BC47924" s="141"/>
    </row>
    <row r="47925">
      <c r="BB47925" s="122"/>
      <c r="BC47925" s="141"/>
    </row>
    <row r="47926">
      <c r="BB47926" s="122"/>
      <c r="BC47926" s="141"/>
    </row>
    <row r="47927">
      <c r="BB47927" s="122"/>
      <c r="BC47927" s="141"/>
    </row>
    <row r="47928">
      <c r="BB47928" s="122"/>
      <c r="BC47928" s="141"/>
    </row>
    <row r="47929">
      <c r="BB47929" s="122"/>
      <c r="BC47929" s="141"/>
    </row>
    <row r="47930">
      <c r="BB47930" s="122"/>
      <c r="BC47930" s="141"/>
    </row>
    <row r="47931">
      <c r="BB47931" s="122"/>
      <c r="BC47931" s="141"/>
    </row>
    <row r="47932">
      <c r="BB47932" s="122"/>
      <c r="BC47932" s="141"/>
    </row>
    <row r="47933">
      <c r="BB47933" s="122"/>
      <c r="BC47933" s="141"/>
    </row>
    <row r="47934">
      <c r="BB47934" s="122"/>
      <c r="BC47934" s="141"/>
    </row>
    <row r="47935">
      <c r="BB47935" s="122"/>
      <c r="BC47935" s="141"/>
    </row>
    <row r="47936">
      <c r="BB47936" s="122"/>
      <c r="BC47936" s="141"/>
    </row>
    <row r="47937">
      <c r="BB47937" s="122"/>
      <c r="BC47937" s="141"/>
    </row>
    <row r="47938">
      <c r="BB47938" s="122"/>
      <c r="BC47938" s="141"/>
    </row>
    <row r="47939">
      <c r="BB47939" s="122"/>
      <c r="BC47939" s="141"/>
    </row>
    <row r="47940">
      <c r="BB47940" s="122"/>
      <c r="BC47940" s="141"/>
    </row>
    <row r="47941">
      <c r="BB47941" s="122"/>
      <c r="BC47941" s="141"/>
    </row>
    <row r="47942">
      <c r="BB47942" s="122"/>
      <c r="BC47942" s="141"/>
    </row>
    <row r="47943">
      <c r="BB47943" s="122"/>
      <c r="BC47943" s="141"/>
    </row>
    <row r="47944">
      <c r="BB47944" s="122"/>
      <c r="BC47944" s="141"/>
    </row>
    <row r="47945">
      <c r="BB47945" s="122"/>
      <c r="BC47945" s="141"/>
    </row>
    <row r="47946">
      <c r="BB47946" s="122"/>
      <c r="BC47946" s="141"/>
    </row>
    <row r="47947">
      <c r="BB47947" s="122"/>
      <c r="BC47947" s="141"/>
    </row>
    <row r="47948">
      <c r="BB47948" s="122"/>
      <c r="BC47948" s="141"/>
    </row>
    <row r="47949">
      <c r="BB47949" s="122"/>
      <c r="BC47949" s="141"/>
    </row>
    <row r="47950">
      <c r="BB47950" s="122"/>
      <c r="BC47950" s="141"/>
    </row>
    <row r="47951">
      <c r="BB47951" s="122"/>
      <c r="BC47951" s="141"/>
    </row>
    <row r="47952">
      <c r="BB47952" s="122"/>
      <c r="BC47952" s="141"/>
    </row>
    <row r="47953">
      <c r="BB47953" s="122"/>
      <c r="BC47953" s="141"/>
    </row>
    <row r="47954">
      <c r="BB47954" s="122"/>
      <c r="BC47954" s="141"/>
    </row>
    <row r="47955">
      <c r="BB47955" s="122"/>
      <c r="BC47955" s="141"/>
    </row>
    <row r="47956">
      <c r="BB47956" s="122"/>
      <c r="BC47956" s="141"/>
    </row>
    <row r="47957">
      <c r="BB47957" s="122"/>
      <c r="BC47957" s="141"/>
    </row>
    <row r="47958">
      <c r="BB47958" s="122"/>
      <c r="BC47958" s="141"/>
    </row>
    <row r="47959">
      <c r="BB47959" s="122"/>
      <c r="BC47959" s="141"/>
    </row>
    <row r="47960">
      <c r="BB47960" s="122"/>
      <c r="BC47960" s="141"/>
    </row>
    <row r="47961">
      <c r="BB47961" s="122"/>
      <c r="BC47961" s="141"/>
    </row>
    <row r="47962">
      <c r="BB47962" s="122"/>
      <c r="BC47962" s="141"/>
    </row>
    <row r="47963">
      <c r="BB47963" s="122"/>
      <c r="BC47963" s="141"/>
    </row>
    <row r="47964">
      <c r="BB47964" s="122"/>
      <c r="BC47964" s="141"/>
    </row>
    <row r="47965">
      <c r="BB47965" s="122"/>
      <c r="BC47965" s="141"/>
    </row>
    <row r="47966">
      <c r="BB47966" s="122"/>
      <c r="BC47966" s="141"/>
    </row>
    <row r="47967">
      <c r="BB47967" s="122"/>
      <c r="BC47967" s="141"/>
    </row>
    <row r="47968">
      <c r="BB47968" s="122"/>
      <c r="BC47968" s="141"/>
    </row>
    <row r="47969">
      <c r="BB47969" s="122"/>
      <c r="BC47969" s="141"/>
    </row>
    <row r="47970">
      <c r="BB47970" s="122"/>
      <c r="BC47970" s="141"/>
    </row>
    <row r="47971">
      <c r="BB47971" s="122"/>
      <c r="BC47971" s="141"/>
    </row>
    <row r="47972">
      <c r="BB47972" s="122"/>
      <c r="BC47972" s="141"/>
    </row>
    <row r="47973">
      <c r="BB47973" s="122"/>
      <c r="BC47973" s="141"/>
    </row>
    <row r="47974">
      <c r="BB47974" s="122"/>
      <c r="BC47974" s="141"/>
    </row>
    <row r="47975">
      <c r="BB47975" s="122"/>
      <c r="BC47975" s="141"/>
    </row>
    <row r="47976">
      <c r="BB47976" s="122"/>
      <c r="BC47976" s="141"/>
    </row>
    <row r="47977">
      <c r="BB47977" s="122"/>
      <c r="BC47977" s="141"/>
    </row>
    <row r="47978">
      <c r="BB47978" s="122"/>
      <c r="BC47978" s="141"/>
    </row>
    <row r="47979">
      <c r="BB47979" s="122"/>
      <c r="BC47979" s="141"/>
    </row>
    <row r="47980">
      <c r="BB47980" s="122"/>
      <c r="BC47980" s="141"/>
    </row>
    <row r="47981">
      <c r="BB47981" s="122"/>
      <c r="BC47981" s="141"/>
    </row>
    <row r="47982">
      <c r="BB47982" s="122"/>
      <c r="BC47982" s="141"/>
    </row>
    <row r="47983">
      <c r="BB47983" s="122"/>
      <c r="BC47983" s="141"/>
    </row>
    <row r="47984">
      <c r="BB47984" s="122"/>
      <c r="BC47984" s="141"/>
    </row>
    <row r="47985">
      <c r="BB47985" s="122"/>
      <c r="BC47985" s="141"/>
    </row>
    <row r="47986">
      <c r="BB47986" s="122"/>
      <c r="BC47986" s="141"/>
    </row>
    <row r="47987">
      <c r="BB47987" s="122"/>
      <c r="BC47987" s="141"/>
    </row>
    <row r="47988">
      <c r="BB47988" s="122"/>
      <c r="BC47988" s="141"/>
    </row>
    <row r="47989">
      <c r="BB47989" s="122"/>
      <c r="BC47989" s="141"/>
    </row>
    <row r="47990">
      <c r="BB47990" s="122"/>
      <c r="BC47990" s="141"/>
    </row>
    <row r="47991">
      <c r="BB47991" s="122"/>
      <c r="BC47991" s="141"/>
    </row>
    <row r="47992">
      <c r="BB47992" s="122"/>
      <c r="BC47992" s="141"/>
    </row>
    <row r="47993">
      <c r="BB47993" s="122"/>
      <c r="BC47993" s="141"/>
    </row>
    <row r="47994">
      <c r="BB47994" s="122"/>
      <c r="BC47994" s="141"/>
    </row>
    <row r="47995">
      <c r="BB47995" s="122"/>
      <c r="BC47995" s="141"/>
    </row>
    <row r="47996">
      <c r="BB47996" s="122"/>
      <c r="BC47996" s="141"/>
    </row>
    <row r="47997">
      <c r="BB47997" s="122"/>
      <c r="BC47997" s="141"/>
    </row>
    <row r="47998">
      <c r="BB47998" s="122"/>
      <c r="BC47998" s="141"/>
    </row>
    <row r="47999">
      <c r="BB47999" s="122"/>
      <c r="BC47999" s="141"/>
    </row>
    <row r="48000">
      <c r="BB48000" s="122"/>
      <c r="BC48000" s="141"/>
    </row>
    <row r="48001">
      <c r="BB48001" s="122"/>
      <c r="BC48001" s="141"/>
    </row>
    <row r="48002">
      <c r="BB48002" s="122"/>
      <c r="BC48002" s="141"/>
    </row>
    <row r="48003">
      <c r="BB48003" s="122"/>
      <c r="BC48003" s="141"/>
    </row>
    <row r="48004">
      <c r="BB48004" s="122"/>
      <c r="BC48004" s="141"/>
    </row>
    <row r="48005">
      <c r="BB48005" s="122"/>
      <c r="BC48005" s="141"/>
    </row>
    <row r="48006">
      <c r="BB48006" s="122"/>
      <c r="BC48006" s="141"/>
    </row>
    <row r="48007">
      <c r="BB48007" s="122"/>
      <c r="BC48007" s="141"/>
    </row>
    <row r="48008">
      <c r="BB48008" s="122"/>
      <c r="BC48008" s="141"/>
    </row>
    <row r="48009">
      <c r="BB48009" s="122"/>
      <c r="BC48009" s="141"/>
    </row>
    <row r="48010">
      <c r="BB48010" s="122"/>
      <c r="BC48010" s="141"/>
    </row>
    <row r="48011">
      <c r="BB48011" s="122"/>
      <c r="BC48011" s="141"/>
    </row>
    <row r="48012">
      <c r="BB48012" s="122"/>
      <c r="BC48012" s="141"/>
    </row>
    <row r="48013">
      <c r="BB48013" s="122"/>
      <c r="BC48013" s="141"/>
    </row>
    <row r="48014">
      <c r="BB48014" s="122"/>
      <c r="BC48014" s="141"/>
    </row>
    <row r="48015">
      <c r="BB48015" s="122"/>
      <c r="BC48015" s="141"/>
    </row>
    <row r="48016">
      <c r="BB48016" s="122"/>
      <c r="BC48016" s="141"/>
    </row>
    <row r="48017">
      <c r="BB48017" s="122"/>
      <c r="BC48017" s="141"/>
    </row>
    <row r="48018">
      <c r="BB48018" s="122"/>
      <c r="BC48018" s="141"/>
    </row>
    <row r="48019">
      <c r="BB48019" s="122"/>
      <c r="BC48019" s="141"/>
    </row>
    <row r="48020">
      <c r="BB48020" s="122"/>
      <c r="BC48020" s="141"/>
    </row>
    <row r="48021">
      <c r="BB48021" s="122"/>
      <c r="BC48021" s="141"/>
    </row>
    <row r="48022">
      <c r="BB48022" s="122"/>
      <c r="BC48022" s="141"/>
    </row>
    <row r="48023">
      <c r="BB48023" s="122"/>
      <c r="BC48023" s="141"/>
    </row>
    <row r="48024">
      <c r="BB48024" s="122"/>
      <c r="BC48024" s="141"/>
    </row>
    <row r="48025">
      <c r="BB48025" s="122"/>
      <c r="BC48025" s="141"/>
    </row>
    <row r="48026">
      <c r="BB48026" s="122"/>
      <c r="BC48026" s="141"/>
    </row>
    <row r="48027">
      <c r="BB48027" s="122"/>
      <c r="BC48027" s="141"/>
    </row>
    <row r="48028">
      <c r="BB48028" s="122"/>
      <c r="BC48028" s="141"/>
    </row>
    <row r="48029">
      <c r="BB48029" s="122"/>
      <c r="BC48029" s="141"/>
    </row>
    <row r="48030">
      <c r="BB48030" s="122"/>
      <c r="BC48030" s="141"/>
    </row>
    <row r="48031">
      <c r="BB48031" s="122"/>
      <c r="BC48031" s="141"/>
    </row>
    <row r="48032">
      <c r="BB48032" s="122"/>
      <c r="BC48032" s="141"/>
    </row>
    <row r="48033">
      <c r="BB48033" s="122"/>
      <c r="BC48033" s="141"/>
    </row>
    <row r="48034">
      <c r="BB48034" s="122"/>
      <c r="BC48034" s="141"/>
    </row>
    <row r="48035">
      <c r="BB48035" s="122"/>
      <c r="BC48035" s="141"/>
    </row>
    <row r="48036">
      <c r="BB48036" s="122"/>
      <c r="BC48036" s="141"/>
    </row>
    <row r="48037">
      <c r="BB48037" s="122"/>
      <c r="BC48037" s="141"/>
    </row>
    <row r="48038">
      <c r="BB48038" s="122"/>
      <c r="BC48038" s="141"/>
    </row>
    <row r="48039">
      <c r="BB48039" s="122"/>
      <c r="BC48039" s="141"/>
    </row>
    <row r="48040">
      <c r="BB48040" s="122"/>
      <c r="BC48040" s="141"/>
    </row>
    <row r="48041">
      <c r="BB48041" s="122"/>
      <c r="BC48041" s="141"/>
    </row>
    <row r="48042">
      <c r="BB48042" s="122"/>
      <c r="BC48042" s="141"/>
    </row>
    <row r="48043">
      <c r="BB48043" s="122"/>
      <c r="BC48043" s="141"/>
    </row>
    <row r="48044">
      <c r="BB48044" s="122"/>
      <c r="BC48044" s="141"/>
    </row>
    <row r="48045">
      <c r="BB48045" s="122"/>
      <c r="BC48045" s="141"/>
    </row>
    <row r="48046">
      <c r="BB48046" s="122"/>
      <c r="BC48046" s="141"/>
    </row>
    <row r="48047">
      <c r="BB48047" s="122"/>
      <c r="BC48047" s="141"/>
    </row>
    <row r="48048">
      <c r="BB48048" s="122"/>
      <c r="BC48048" s="141"/>
    </row>
    <row r="48049">
      <c r="BB48049" s="122"/>
      <c r="BC48049" s="141"/>
    </row>
    <row r="48050">
      <c r="BB48050" s="122"/>
      <c r="BC48050" s="141"/>
    </row>
    <row r="48051">
      <c r="BB48051" s="122"/>
      <c r="BC48051" s="141"/>
    </row>
    <row r="48052">
      <c r="BB48052" s="122"/>
      <c r="BC48052" s="141"/>
    </row>
    <row r="48053">
      <c r="BB48053" s="122"/>
      <c r="BC48053" s="141"/>
    </row>
    <row r="48054">
      <c r="BB48054" s="122"/>
      <c r="BC48054" s="141"/>
    </row>
    <row r="48055">
      <c r="BB48055" s="122"/>
      <c r="BC48055" s="141"/>
    </row>
    <row r="48056">
      <c r="BB48056" s="122"/>
      <c r="BC48056" s="141"/>
    </row>
    <row r="48057">
      <c r="BB48057" s="122"/>
      <c r="BC48057" s="141"/>
    </row>
    <row r="48058">
      <c r="BB48058" s="122"/>
      <c r="BC48058" s="141"/>
    </row>
    <row r="48059">
      <c r="BB48059" s="122"/>
      <c r="BC48059" s="141"/>
    </row>
    <row r="48060">
      <c r="BB48060" s="122"/>
      <c r="BC48060" s="141"/>
    </row>
    <row r="48061">
      <c r="BB48061" s="122"/>
      <c r="BC48061" s="141"/>
    </row>
    <row r="48062">
      <c r="BB48062" s="122"/>
      <c r="BC48062" s="141"/>
    </row>
    <row r="48063">
      <c r="BB48063" s="122"/>
      <c r="BC48063" s="141"/>
    </row>
    <row r="48064">
      <c r="BB48064" s="122"/>
      <c r="BC48064" s="141"/>
    </row>
    <row r="48065">
      <c r="BB48065" s="122"/>
      <c r="BC48065" s="141"/>
    </row>
    <row r="48066">
      <c r="BB48066" s="122"/>
      <c r="BC48066" s="141"/>
    </row>
    <row r="48067">
      <c r="BB48067" s="122"/>
      <c r="BC48067" s="141"/>
    </row>
    <row r="48068">
      <c r="BB48068" s="122"/>
      <c r="BC48068" s="141"/>
    </row>
    <row r="48069">
      <c r="BB48069" s="122"/>
      <c r="BC48069" s="141"/>
    </row>
    <row r="48070">
      <c r="BB48070" s="122"/>
      <c r="BC48070" s="141"/>
    </row>
    <row r="48071">
      <c r="BB48071" s="122"/>
      <c r="BC48071" s="141"/>
    </row>
    <row r="48072">
      <c r="BB48072" s="122"/>
      <c r="BC48072" s="141"/>
    </row>
    <row r="48073">
      <c r="BB48073" s="122"/>
      <c r="BC48073" s="141"/>
    </row>
    <row r="48074">
      <c r="BB48074" s="122"/>
      <c r="BC48074" s="141"/>
    </row>
    <row r="48075">
      <c r="BB48075" s="122"/>
      <c r="BC48075" s="141"/>
    </row>
    <row r="48076">
      <c r="BB48076" s="122"/>
      <c r="BC48076" s="141"/>
    </row>
    <row r="48077">
      <c r="BB48077" s="122"/>
      <c r="BC48077" s="141"/>
    </row>
    <row r="48078">
      <c r="BB48078" s="122"/>
      <c r="BC48078" s="141"/>
    </row>
    <row r="48079">
      <c r="BB48079" s="122"/>
      <c r="BC48079" s="141"/>
    </row>
    <row r="48080">
      <c r="BB48080" s="122"/>
      <c r="BC48080" s="141"/>
    </row>
    <row r="48081">
      <c r="BB48081" s="122"/>
      <c r="BC48081" s="141"/>
    </row>
    <row r="48082">
      <c r="BB48082" s="122"/>
      <c r="BC48082" s="141"/>
    </row>
    <row r="48083">
      <c r="BB48083" s="122"/>
      <c r="BC48083" s="141"/>
    </row>
    <row r="48084">
      <c r="BB48084" s="122"/>
      <c r="BC48084" s="141"/>
    </row>
    <row r="48085">
      <c r="BB48085" s="122"/>
      <c r="BC48085" s="141"/>
    </row>
    <row r="48086">
      <c r="BB48086" s="122"/>
      <c r="BC48086" s="141"/>
    </row>
    <row r="48087">
      <c r="BB48087" s="122"/>
      <c r="BC48087" s="141"/>
    </row>
    <row r="48088">
      <c r="BB48088" s="122"/>
      <c r="BC48088" s="141"/>
    </row>
    <row r="48089">
      <c r="BB48089" s="122"/>
      <c r="BC48089" s="141"/>
    </row>
    <row r="48090">
      <c r="BB48090" s="122"/>
      <c r="BC48090" s="141"/>
    </row>
    <row r="48091">
      <c r="BB48091" s="122"/>
      <c r="BC48091" s="141"/>
    </row>
    <row r="48092">
      <c r="BB48092" s="122"/>
      <c r="BC48092" s="141"/>
    </row>
    <row r="48093">
      <c r="BB48093" s="122"/>
      <c r="BC48093" s="141"/>
    </row>
    <row r="48094">
      <c r="BB48094" s="122"/>
      <c r="BC48094" s="141"/>
    </row>
    <row r="48095">
      <c r="BB48095" s="122"/>
      <c r="BC48095" s="141"/>
    </row>
    <row r="48096">
      <c r="BB48096" s="122"/>
      <c r="BC48096" s="141"/>
    </row>
    <row r="48097">
      <c r="BB48097" s="122"/>
      <c r="BC48097" s="141"/>
    </row>
    <row r="48098">
      <c r="BB48098" s="122"/>
      <c r="BC48098" s="141"/>
    </row>
    <row r="48099">
      <c r="BB48099" s="122"/>
      <c r="BC48099" s="141"/>
    </row>
    <row r="48100">
      <c r="BB48100" s="122"/>
      <c r="BC48100" s="141"/>
    </row>
    <row r="48101">
      <c r="BB48101" s="122"/>
      <c r="BC48101" s="141"/>
    </row>
    <row r="48102">
      <c r="BB48102" s="122"/>
      <c r="BC48102" s="141"/>
    </row>
    <row r="48103">
      <c r="BB48103" s="122"/>
      <c r="BC48103" s="141"/>
    </row>
    <row r="48104">
      <c r="BB48104" s="122"/>
      <c r="BC48104" s="141"/>
    </row>
    <row r="48105">
      <c r="BB48105" s="122"/>
      <c r="BC48105" s="141"/>
    </row>
    <row r="48106">
      <c r="BB48106" s="122"/>
      <c r="BC48106" s="141"/>
    </row>
    <row r="48107">
      <c r="BB48107" s="122"/>
      <c r="BC48107" s="141"/>
    </row>
    <row r="48108">
      <c r="BB48108" s="122"/>
      <c r="BC48108" s="141"/>
    </row>
    <row r="48109">
      <c r="BB48109" s="122"/>
      <c r="BC48109" s="141"/>
    </row>
    <row r="48110">
      <c r="BB48110" s="122"/>
      <c r="BC48110" s="141"/>
    </row>
    <row r="48111">
      <c r="BB48111" s="122"/>
      <c r="BC48111" s="141"/>
    </row>
    <row r="48112">
      <c r="BB48112" s="122"/>
      <c r="BC48112" s="141"/>
    </row>
    <row r="48113">
      <c r="BB48113" s="122"/>
      <c r="BC48113" s="141"/>
    </row>
    <row r="48114">
      <c r="BB48114" s="122"/>
      <c r="BC48114" s="141"/>
    </row>
    <row r="48115">
      <c r="BB48115" s="122"/>
      <c r="BC48115" s="141"/>
    </row>
    <row r="48116">
      <c r="BB48116" s="122"/>
      <c r="BC48116" s="141"/>
    </row>
    <row r="48117">
      <c r="BB48117" s="122"/>
      <c r="BC48117" s="141"/>
    </row>
    <row r="48118">
      <c r="BB48118" s="122"/>
      <c r="BC48118" s="141"/>
    </row>
    <row r="48119">
      <c r="BB48119" s="122"/>
      <c r="BC48119" s="141"/>
    </row>
    <row r="48120">
      <c r="BB48120" s="122"/>
      <c r="BC48120" s="141"/>
    </row>
    <row r="48121">
      <c r="BB48121" s="122"/>
      <c r="BC48121" s="141"/>
    </row>
    <row r="48122">
      <c r="BB48122" s="122"/>
      <c r="BC48122" s="141"/>
    </row>
    <row r="48123">
      <c r="BB48123" s="122"/>
      <c r="BC48123" s="141"/>
    </row>
    <row r="48124">
      <c r="BB48124" s="122"/>
      <c r="BC48124" s="141"/>
    </row>
    <row r="48125">
      <c r="BB48125" s="122"/>
      <c r="BC48125" s="141"/>
    </row>
    <row r="48126">
      <c r="BB48126" s="122"/>
      <c r="BC48126" s="141"/>
    </row>
    <row r="48127">
      <c r="BB48127" s="122"/>
      <c r="BC48127" s="141"/>
    </row>
    <row r="48128">
      <c r="BB48128" s="122"/>
      <c r="BC48128" s="141"/>
    </row>
    <row r="48129">
      <c r="BB48129" s="122"/>
      <c r="BC48129" s="141"/>
    </row>
    <row r="48130">
      <c r="BB48130" s="122"/>
      <c r="BC48130" s="141"/>
    </row>
    <row r="48131">
      <c r="BB48131" s="122"/>
      <c r="BC48131" s="141"/>
    </row>
    <row r="48132">
      <c r="BB48132" s="122"/>
      <c r="BC48132" s="141"/>
    </row>
    <row r="48133">
      <c r="BB48133" s="122"/>
      <c r="BC48133" s="141"/>
    </row>
    <row r="48134">
      <c r="BB48134" s="122"/>
      <c r="BC48134" s="141"/>
    </row>
    <row r="48135">
      <c r="BB48135" s="122"/>
      <c r="BC48135" s="141"/>
    </row>
    <row r="48136">
      <c r="BB48136" s="122"/>
      <c r="BC48136" s="141"/>
    </row>
    <row r="48137">
      <c r="BB48137" s="122"/>
      <c r="BC48137" s="141"/>
    </row>
    <row r="48138">
      <c r="BB48138" s="122"/>
      <c r="BC48138" s="141"/>
    </row>
    <row r="48139">
      <c r="BB48139" s="122"/>
      <c r="BC48139" s="141"/>
    </row>
    <row r="48140">
      <c r="BB48140" s="122"/>
      <c r="BC48140" s="141"/>
    </row>
    <row r="48141">
      <c r="BB48141" s="122"/>
      <c r="BC48141" s="141"/>
    </row>
    <row r="48142">
      <c r="BB48142" s="122"/>
      <c r="BC48142" s="141"/>
    </row>
    <row r="48143">
      <c r="BB48143" s="122"/>
      <c r="BC48143" s="141"/>
    </row>
    <row r="48144">
      <c r="BB48144" s="122"/>
      <c r="BC48144" s="141"/>
    </row>
    <row r="48145">
      <c r="BB48145" s="122"/>
      <c r="BC48145" s="141"/>
    </row>
    <row r="48146">
      <c r="BB48146" s="122"/>
      <c r="BC48146" s="141"/>
    </row>
    <row r="48147">
      <c r="BB48147" s="122"/>
      <c r="BC48147" s="141"/>
    </row>
    <row r="48148">
      <c r="BB48148" s="122"/>
      <c r="BC48148" s="141"/>
    </row>
    <row r="48149">
      <c r="BB48149" s="122"/>
      <c r="BC48149" s="141"/>
    </row>
    <row r="48150">
      <c r="BB48150" s="122"/>
      <c r="BC48150" s="141"/>
    </row>
    <row r="48151">
      <c r="BB48151" s="122"/>
      <c r="BC48151" s="141"/>
    </row>
    <row r="48152">
      <c r="BB48152" s="122"/>
      <c r="BC48152" s="141"/>
    </row>
    <row r="48153">
      <c r="BB48153" s="122"/>
      <c r="BC48153" s="141"/>
    </row>
    <row r="48154">
      <c r="BB48154" s="122"/>
      <c r="BC48154" s="141"/>
    </row>
    <row r="48155">
      <c r="BB48155" s="122"/>
      <c r="BC48155" s="141"/>
    </row>
    <row r="48156">
      <c r="BB48156" s="122"/>
      <c r="BC48156" s="141"/>
    </row>
    <row r="48157">
      <c r="BB48157" s="122"/>
      <c r="BC48157" s="141"/>
    </row>
    <row r="48158">
      <c r="BB48158" s="122"/>
      <c r="BC48158" s="141"/>
    </row>
    <row r="48159">
      <c r="BB48159" s="122"/>
      <c r="BC48159" s="141"/>
    </row>
    <row r="48160">
      <c r="BB48160" s="122"/>
      <c r="BC48160" s="141"/>
    </row>
    <row r="48161">
      <c r="BB48161" s="122"/>
      <c r="BC48161" s="141"/>
    </row>
    <row r="48162">
      <c r="BB48162" s="122"/>
      <c r="BC48162" s="141"/>
    </row>
    <row r="48163">
      <c r="BB48163" s="122"/>
      <c r="BC48163" s="141"/>
    </row>
    <row r="48164">
      <c r="BB48164" s="122"/>
      <c r="BC48164" s="141"/>
    </row>
    <row r="48165">
      <c r="BB48165" s="122"/>
      <c r="BC48165" s="141"/>
    </row>
    <row r="48166">
      <c r="BB48166" s="122"/>
      <c r="BC48166" s="141"/>
    </row>
    <row r="48167">
      <c r="BB48167" s="122"/>
      <c r="BC48167" s="141"/>
    </row>
    <row r="48168">
      <c r="BB48168" s="122"/>
      <c r="BC48168" s="141"/>
    </row>
    <row r="48169">
      <c r="BB48169" s="122"/>
      <c r="BC48169" s="141"/>
    </row>
    <row r="48170">
      <c r="BB48170" s="122"/>
      <c r="BC48170" s="141"/>
    </row>
    <row r="48171">
      <c r="BB48171" s="122"/>
      <c r="BC48171" s="141"/>
    </row>
    <row r="48172">
      <c r="BB48172" s="122"/>
      <c r="BC48172" s="141"/>
    </row>
    <row r="48173">
      <c r="BB48173" s="122"/>
      <c r="BC48173" s="141"/>
    </row>
    <row r="48174">
      <c r="BB48174" s="122"/>
      <c r="BC48174" s="141"/>
    </row>
    <row r="48175">
      <c r="BB48175" s="122"/>
      <c r="BC48175" s="141"/>
    </row>
    <row r="48176">
      <c r="BB48176" s="122"/>
      <c r="BC48176" s="141"/>
    </row>
    <row r="48177">
      <c r="BB48177" s="122"/>
      <c r="BC48177" s="141"/>
    </row>
    <row r="48178">
      <c r="BB48178" s="122"/>
      <c r="BC48178" s="141"/>
    </row>
    <row r="48179">
      <c r="BB48179" s="122"/>
      <c r="BC48179" s="141"/>
    </row>
    <row r="48180">
      <c r="BB48180" s="122"/>
      <c r="BC48180" s="141"/>
    </row>
    <row r="48181">
      <c r="BB48181" s="122"/>
      <c r="BC48181" s="141"/>
    </row>
    <row r="48182">
      <c r="BB48182" s="122"/>
      <c r="BC48182" s="141"/>
    </row>
    <row r="48183">
      <c r="BB48183" s="122"/>
      <c r="BC48183" s="141"/>
    </row>
    <row r="48184">
      <c r="BB48184" s="122"/>
      <c r="BC48184" s="141"/>
    </row>
    <row r="48185">
      <c r="BB48185" s="122"/>
      <c r="BC48185" s="141"/>
    </row>
    <row r="48186">
      <c r="BB48186" s="122"/>
      <c r="BC48186" s="141"/>
    </row>
    <row r="48187">
      <c r="BB48187" s="122"/>
      <c r="BC48187" s="141"/>
    </row>
    <row r="48188">
      <c r="BB48188" s="122"/>
      <c r="BC48188" s="141"/>
    </row>
    <row r="48189">
      <c r="BB48189" s="122"/>
      <c r="BC48189" s="141"/>
    </row>
    <row r="48190">
      <c r="BB48190" s="122"/>
      <c r="BC48190" s="141"/>
    </row>
    <row r="48191">
      <c r="BB48191" s="122"/>
      <c r="BC48191" s="141"/>
    </row>
    <row r="48192">
      <c r="BB48192" s="122"/>
      <c r="BC48192" s="141"/>
    </row>
    <row r="48193">
      <c r="BB48193" s="122"/>
      <c r="BC48193" s="141"/>
    </row>
    <row r="48194">
      <c r="BB48194" s="122"/>
      <c r="BC48194" s="141"/>
    </row>
    <row r="48195">
      <c r="BB48195" s="122"/>
      <c r="BC48195" s="141"/>
    </row>
    <row r="48196">
      <c r="BB48196" s="122"/>
      <c r="BC48196" s="141"/>
    </row>
    <row r="48197">
      <c r="BB48197" s="122"/>
      <c r="BC48197" s="141"/>
    </row>
    <row r="48198">
      <c r="BB48198" s="122"/>
      <c r="BC48198" s="141"/>
    </row>
    <row r="48199">
      <c r="BB48199" s="122"/>
      <c r="BC48199" s="141"/>
    </row>
    <row r="48200">
      <c r="BB48200" s="122"/>
      <c r="BC48200" s="141"/>
    </row>
    <row r="48201">
      <c r="BB48201" s="122"/>
      <c r="BC48201" s="141"/>
    </row>
    <row r="48202">
      <c r="BB48202" s="122"/>
      <c r="BC48202" s="141"/>
    </row>
    <row r="48203">
      <c r="BB48203" s="122"/>
      <c r="BC48203" s="141"/>
    </row>
    <row r="48204">
      <c r="BB48204" s="122"/>
      <c r="BC48204" s="141"/>
    </row>
    <row r="48205">
      <c r="BB48205" s="122"/>
      <c r="BC48205" s="141"/>
    </row>
    <row r="48206">
      <c r="BB48206" s="122"/>
      <c r="BC48206" s="141"/>
    </row>
    <row r="48207">
      <c r="BB48207" s="122"/>
      <c r="BC48207" s="141"/>
    </row>
    <row r="48208">
      <c r="BB48208" s="122"/>
      <c r="BC48208" s="141"/>
    </row>
    <row r="48209">
      <c r="BB48209" s="122"/>
      <c r="BC48209" s="141"/>
    </row>
    <row r="48210">
      <c r="BB48210" s="122"/>
      <c r="BC48210" s="141"/>
    </row>
    <row r="48211">
      <c r="BB48211" s="122"/>
      <c r="BC48211" s="141"/>
    </row>
    <row r="48212">
      <c r="BB48212" s="122"/>
      <c r="BC48212" s="141"/>
    </row>
    <row r="48213">
      <c r="BB48213" s="122"/>
      <c r="BC48213" s="141"/>
    </row>
    <row r="48214">
      <c r="BB48214" s="122"/>
      <c r="BC48214" s="141"/>
    </row>
    <row r="48215">
      <c r="BB48215" s="122"/>
      <c r="BC48215" s="141"/>
    </row>
    <row r="48216">
      <c r="BB48216" s="122"/>
      <c r="BC48216" s="141"/>
    </row>
    <row r="48217">
      <c r="BB48217" s="122"/>
      <c r="BC48217" s="141"/>
    </row>
    <row r="48218">
      <c r="BB48218" s="122"/>
      <c r="BC48218" s="141"/>
    </row>
    <row r="48219">
      <c r="BB48219" s="122"/>
      <c r="BC48219" s="141"/>
    </row>
    <row r="48220">
      <c r="BB48220" s="122"/>
      <c r="BC48220" s="141"/>
    </row>
    <row r="48221">
      <c r="BB48221" s="122"/>
      <c r="BC48221" s="141"/>
    </row>
    <row r="48222">
      <c r="BB48222" s="122"/>
      <c r="BC48222" s="141"/>
    </row>
    <row r="48223">
      <c r="BB48223" s="122"/>
      <c r="BC48223" s="141"/>
    </row>
    <row r="48224">
      <c r="BB48224" s="122"/>
      <c r="BC48224" s="141"/>
    </row>
    <row r="48225">
      <c r="BB48225" s="122"/>
      <c r="BC48225" s="141"/>
    </row>
    <row r="48226">
      <c r="BB48226" s="122"/>
      <c r="BC48226" s="141"/>
    </row>
    <row r="48227">
      <c r="BB48227" s="122"/>
      <c r="BC48227" s="141"/>
    </row>
    <row r="48228">
      <c r="BB48228" s="122"/>
      <c r="BC48228" s="141"/>
    </row>
    <row r="48229">
      <c r="BB48229" s="122"/>
      <c r="BC48229" s="141"/>
    </row>
    <row r="48230">
      <c r="BB48230" s="122"/>
      <c r="BC48230" s="141"/>
    </row>
    <row r="48231">
      <c r="BB48231" s="122"/>
      <c r="BC48231" s="141"/>
    </row>
    <row r="48232">
      <c r="BB48232" s="122"/>
      <c r="BC48232" s="141"/>
    </row>
    <row r="48233">
      <c r="BB48233" s="122"/>
      <c r="BC48233" s="141"/>
    </row>
    <row r="48234">
      <c r="BB48234" s="122"/>
      <c r="BC48234" s="141"/>
    </row>
    <row r="48235">
      <c r="BB48235" s="122"/>
      <c r="BC48235" s="141"/>
    </row>
    <row r="48236">
      <c r="BB48236" s="122"/>
      <c r="BC48236" s="141"/>
    </row>
    <row r="48237">
      <c r="BB48237" s="122"/>
      <c r="BC48237" s="141"/>
    </row>
    <row r="48238">
      <c r="BB48238" s="122"/>
      <c r="BC48238" s="141"/>
    </row>
    <row r="48239">
      <c r="BB48239" s="122"/>
      <c r="BC48239" s="141"/>
    </row>
    <row r="48240">
      <c r="BB48240" s="122"/>
      <c r="BC48240" s="141"/>
    </row>
    <row r="48241">
      <c r="BB48241" s="122"/>
      <c r="BC48241" s="141"/>
    </row>
    <row r="48242">
      <c r="BB48242" s="122"/>
      <c r="BC48242" s="141"/>
    </row>
    <row r="48243">
      <c r="BB48243" s="122"/>
      <c r="BC48243" s="141"/>
    </row>
    <row r="48244">
      <c r="BB48244" s="122"/>
      <c r="BC48244" s="141"/>
    </row>
    <row r="48245">
      <c r="BB48245" s="122"/>
      <c r="BC48245" s="141"/>
    </row>
    <row r="48246">
      <c r="BB48246" s="122"/>
      <c r="BC48246" s="141"/>
    </row>
    <row r="48247">
      <c r="BB48247" s="122"/>
      <c r="BC48247" s="141"/>
    </row>
    <row r="48248">
      <c r="BB48248" s="122"/>
      <c r="BC48248" s="141"/>
    </row>
    <row r="48249">
      <c r="BB48249" s="122"/>
      <c r="BC48249" s="141"/>
    </row>
    <row r="48250">
      <c r="BB48250" s="122"/>
      <c r="BC48250" s="141"/>
    </row>
    <row r="48251">
      <c r="BB48251" s="122"/>
      <c r="BC48251" s="141"/>
    </row>
    <row r="48252">
      <c r="BB48252" s="122"/>
      <c r="BC48252" s="141"/>
    </row>
    <row r="48253">
      <c r="BB48253" s="122"/>
      <c r="BC48253" s="141"/>
    </row>
    <row r="48254">
      <c r="BB48254" s="122"/>
      <c r="BC48254" s="141"/>
    </row>
    <row r="48255">
      <c r="BB48255" s="122"/>
      <c r="BC48255" s="141"/>
    </row>
    <row r="48256">
      <c r="BB48256" s="122"/>
      <c r="BC48256" s="141"/>
    </row>
    <row r="48257">
      <c r="BB48257" s="122"/>
      <c r="BC48257" s="141"/>
    </row>
    <row r="48258">
      <c r="BB48258" s="122"/>
      <c r="BC48258" s="141"/>
    </row>
    <row r="48259">
      <c r="BB48259" s="122"/>
      <c r="BC48259" s="141"/>
    </row>
    <row r="48260">
      <c r="BB48260" s="122"/>
      <c r="BC48260" s="141"/>
    </row>
    <row r="48261">
      <c r="BB48261" s="122"/>
      <c r="BC48261" s="141"/>
    </row>
    <row r="48262">
      <c r="BB48262" s="122"/>
      <c r="BC48262" s="141"/>
    </row>
    <row r="48263">
      <c r="BB48263" s="122"/>
      <c r="BC48263" s="141"/>
    </row>
    <row r="48264">
      <c r="BB48264" s="122"/>
      <c r="BC48264" s="141"/>
    </row>
    <row r="48265">
      <c r="BB48265" s="122"/>
      <c r="BC48265" s="141"/>
    </row>
    <row r="48266">
      <c r="BB48266" s="122"/>
      <c r="BC48266" s="141"/>
    </row>
    <row r="48267">
      <c r="BB48267" s="122"/>
      <c r="BC48267" s="141"/>
    </row>
    <row r="48268">
      <c r="BB48268" s="122"/>
      <c r="BC48268" s="141"/>
    </row>
    <row r="48269">
      <c r="BB48269" s="122"/>
      <c r="BC48269" s="141"/>
    </row>
    <row r="48270">
      <c r="BB48270" s="122"/>
      <c r="BC48270" s="141"/>
    </row>
    <row r="48271">
      <c r="BB48271" s="122"/>
      <c r="BC48271" s="141"/>
    </row>
    <row r="48272">
      <c r="BB48272" s="122"/>
      <c r="BC48272" s="141"/>
    </row>
    <row r="48273">
      <c r="BB48273" s="122"/>
      <c r="BC48273" s="141"/>
    </row>
    <row r="48274">
      <c r="BB48274" s="122"/>
      <c r="BC48274" s="141"/>
    </row>
    <row r="48275">
      <c r="BB48275" s="122"/>
      <c r="BC48275" s="141"/>
    </row>
    <row r="48276">
      <c r="BB48276" s="122"/>
      <c r="BC48276" s="141"/>
    </row>
    <row r="48277">
      <c r="BB48277" s="122"/>
      <c r="BC48277" s="141"/>
    </row>
    <row r="48278">
      <c r="BB48278" s="122"/>
      <c r="BC48278" s="141"/>
    </row>
    <row r="48279">
      <c r="BB48279" s="122"/>
      <c r="BC48279" s="141"/>
    </row>
    <row r="48280">
      <c r="BB48280" s="122"/>
      <c r="BC48280" s="141"/>
    </row>
    <row r="48281">
      <c r="BB48281" s="122"/>
      <c r="BC48281" s="141"/>
    </row>
    <row r="48282">
      <c r="BB48282" s="122"/>
      <c r="BC48282" s="141"/>
    </row>
    <row r="48283">
      <c r="BB48283" s="122"/>
      <c r="BC48283" s="141"/>
    </row>
    <row r="48284">
      <c r="BB48284" s="122"/>
      <c r="BC48284" s="141"/>
    </row>
    <row r="48285">
      <c r="BB48285" s="122"/>
      <c r="BC48285" s="141"/>
    </row>
    <row r="48286">
      <c r="BB48286" s="122"/>
      <c r="BC48286" s="141"/>
    </row>
    <row r="48287">
      <c r="BB48287" s="122"/>
      <c r="BC48287" s="141"/>
    </row>
    <row r="48288">
      <c r="BB48288" s="122"/>
      <c r="BC48288" s="141"/>
    </row>
    <row r="48289">
      <c r="BB48289" s="122"/>
      <c r="BC48289" s="141"/>
    </row>
    <row r="48290">
      <c r="BB48290" s="122"/>
      <c r="BC48290" s="141"/>
    </row>
    <row r="48291">
      <c r="BB48291" s="122"/>
      <c r="BC48291" s="141"/>
    </row>
    <row r="48292">
      <c r="BB48292" s="122"/>
      <c r="BC48292" s="141"/>
    </row>
    <row r="48293">
      <c r="BB48293" s="122"/>
      <c r="BC48293" s="141"/>
    </row>
    <row r="48294">
      <c r="BB48294" s="122"/>
      <c r="BC48294" s="141"/>
    </row>
    <row r="48295">
      <c r="BB48295" s="122"/>
      <c r="BC48295" s="141"/>
    </row>
    <row r="48296">
      <c r="BB48296" s="122"/>
      <c r="BC48296" s="141"/>
    </row>
    <row r="48297">
      <c r="BB48297" s="122"/>
      <c r="BC48297" s="141"/>
    </row>
    <row r="48298">
      <c r="BB48298" s="122"/>
      <c r="BC48298" s="141"/>
    </row>
    <row r="48299">
      <c r="BB48299" s="122"/>
      <c r="BC48299" s="141"/>
    </row>
    <row r="48300">
      <c r="BB48300" s="122"/>
      <c r="BC48300" s="141"/>
    </row>
    <row r="48301">
      <c r="BB48301" s="122"/>
      <c r="BC48301" s="141"/>
    </row>
    <row r="48302">
      <c r="BB48302" s="122"/>
      <c r="BC48302" s="141"/>
    </row>
    <row r="48303">
      <c r="BB48303" s="122"/>
      <c r="BC48303" s="141"/>
    </row>
    <row r="48304">
      <c r="BB48304" s="122"/>
      <c r="BC48304" s="141"/>
    </row>
    <row r="48305">
      <c r="BB48305" s="122"/>
      <c r="BC48305" s="141"/>
    </row>
    <row r="48306">
      <c r="BB48306" s="122"/>
      <c r="BC48306" s="141"/>
    </row>
    <row r="48307">
      <c r="BB48307" s="122"/>
      <c r="BC48307" s="141"/>
    </row>
    <row r="48308">
      <c r="BB48308" s="122"/>
      <c r="BC48308" s="141"/>
    </row>
    <row r="48309">
      <c r="BB48309" s="122"/>
      <c r="BC48309" s="141"/>
    </row>
    <row r="48310">
      <c r="BB48310" s="122"/>
      <c r="BC48310" s="141"/>
    </row>
    <row r="48311">
      <c r="BB48311" s="122"/>
      <c r="BC48311" s="141"/>
    </row>
    <row r="48312">
      <c r="BB48312" s="122"/>
      <c r="BC48312" s="141"/>
    </row>
    <row r="48313">
      <c r="BB48313" s="122"/>
      <c r="BC48313" s="141"/>
    </row>
    <row r="48314">
      <c r="BB48314" s="122"/>
      <c r="BC48314" s="141"/>
    </row>
    <row r="48315">
      <c r="BB48315" s="122"/>
      <c r="BC48315" s="141"/>
    </row>
    <row r="48316">
      <c r="BB48316" s="122"/>
      <c r="BC48316" s="141"/>
    </row>
    <row r="48317">
      <c r="BB48317" s="122"/>
      <c r="BC48317" s="141"/>
    </row>
    <row r="48318">
      <c r="BB48318" s="122"/>
      <c r="BC48318" s="141"/>
    </row>
    <row r="48319">
      <c r="BB48319" s="122"/>
      <c r="BC48319" s="141"/>
    </row>
    <row r="48320">
      <c r="BB48320" s="122"/>
      <c r="BC48320" s="141"/>
    </row>
    <row r="48321">
      <c r="BB48321" s="122"/>
      <c r="BC48321" s="141"/>
    </row>
    <row r="48322">
      <c r="BB48322" s="122"/>
      <c r="BC48322" s="141"/>
    </row>
    <row r="48323">
      <c r="BB48323" s="122"/>
      <c r="BC48323" s="141"/>
    </row>
    <row r="48324">
      <c r="BB48324" s="122"/>
      <c r="BC48324" s="141"/>
    </row>
    <row r="48325">
      <c r="BB48325" s="122"/>
      <c r="BC48325" s="141"/>
    </row>
    <row r="48326">
      <c r="BB48326" s="122"/>
      <c r="BC48326" s="141"/>
    </row>
    <row r="48327">
      <c r="BB48327" s="122"/>
      <c r="BC48327" s="141"/>
    </row>
    <row r="48328">
      <c r="BB48328" s="122"/>
      <c r="BC48328" s="141"/>
    </row>
    <row r="48329">
      <c r="BB48329" s="122"/>
      <c r="BC48329" s="141"/>
    </row>
    <row r="48330">
      <c r="BB48330" s="122"/>
      <c r="BC48330" s="141"/>
    </row>
    <row r="48331">
      <c r="BB48331" s="122"/>
      <c r="BC48331" s="141"/>
    </row>
    <row r="48332">
      <c r="BB48332" s="122"/>
      <c r="BC48332" s="141"/>
    </row>
    <row r="48333">
      <c r="BB48333" s="122"/>
      <c r="BC48333" s="141"/>
    </row>
    <row r="48334">
      <c r="BB48334" s="122"/>
      <c r="BC48334" s="141"/>
    </row>
    <row r="48335">
      <c r="BB48335" s="122"/>
      <c r="BC48335" s="141"/>
    </row>
    <row r="48336">
      <c r="BB48336" s="122"/>
      <c r="BC48336" s="141"/>
    </row>
    <row r="48337">
      <c r="BB48337" s="122"/>
      <c r="BC48337" s="141"/>
    </row>
    <row r="48338">
      <c r="BB48338" s="122"/>
      <c r="BC48338" s="141"/>
    </row>
    <row r="48339">
      <c r="BB48339" s="122"/>
      <c r="BC48339" s="141"/>
    </row>
    <row r="48340">
      <c r="BB48340" s="122"/>
      <c r="BC48340" s="141"/>
    </row>
    <row r="48341">
      <c r="BB48341" s="122"/>
      <c r="BC48341" s="141"/>
    </row>
    <row r="48342">
      <c r="BB48342" s="122"/>
      <c r="BC48342" s="141"/>
    </row>
    <row r="48343">
      <c r="BB48343" s="122"/>
      <c r="BC48343" s="141"/>
    </row>
    <row r="48344">
      <c r="BB48344" s="122"/>
      <c r="BC48344" s="141"/>
    </row>
    <row r="48345">
      <c r="BB48345" s="122"/>
      <c r="BC48345" s="141"/>
    </row>
    <row r="48346">
      <c r="BB48346" s="122"/>
      <c r="BC48346" s="141"/>
    </row>
    <row r="48347">
      <c r="BB48347" s="122"/>
      <c r="BC48347" s="141"/>
    </row>
    <row r="48348">
      <c r="BB48348" s="122"/>
      <c r="BC48348" s="141"/>
    </row>
    <row r="48349">
      <c r="BB48349" s="122"/>
      <c r="BC48349" s="141"/>
    </row>
    <row r="48350">
      <c r="BB48350" s="122"/>
      <c r="BC48350" s="141"/>
    </row>
    <row r="48351">
      <c r="BB48351" s="122"/>
      <c r="BC48351" s="141"/>
    </row>
    <row r="48352">
      <c r="BB48352" s="122"/>
      <c r="BC48352" s="141"/>
    </row>
    <row r="48353">
      <c r="BB48353" s="122"/>
      <c r="BC48353" s="141"/>
    </row>
    <row r="48354">
      <c r="BB48354" s="122"/>
      <c r="BC48354" s="141"/>
    </row>
    <row r="48355">
      <c r="BB48355" s="122"/>
      <c r="BC48355" s="141"/>
    </row>
    <row r="48356">
      <c r="BB48356" s="122"/>
      <c r="BC48356" s="141"/>
    </row>
    <row r="48357">
      <c r="BB48357" s="122"/>
      <c r="BC48357" s="141"/>
    </row>
    <row r="48358">
      <c r="BB48358" s="122"/>
      <c r="BC48358" s="141"/>
    </row>
    <row r="48359">
      <c r="BB48359" s="122"/>
      <c r="BC48359" s="141"/>
    </row>
    <row r="48360">
      <c r="BB48360" s="122"/>
      <c r="BC48360" s="141"/>
    </row>
    <row r="48361">
      <c r="BB48361" s="122"/>
      <c r="BC48361" s="141"/>
    </row>
    <row r="48362">
      <c r="BB48362" s="122"/>
      <c r="BC48362" s="141"/>
    </row>
    <row r="48363">
      <c r="BB48363" s="122"/>
      <c r="BC48363" s="141"/>
    </row>
    <row r="48364">
      <c r="BB48364" s="122"/>
      <c r="BC48364" s="141"/>
    </row>
    <row r="48365">
      <c r="BB48365" s="122"/>
      <c r="BC48365" s="141"/>
    </row>
    <row r="48366">
      <c r="BB48366" s="122"/>
      <c r="BC48366" s="141"/>
    </row>
    <row r="48367">
      <c r="BB48367" s="122"/>
      <c r="BC48367" s="141"/>
    </row>
    <row r="48368">
      <c r="BB48368" s="122"/>
      <c r="BC48368" s="141"/>
    </row>
    <row r="48369">
      <c r="BB48369" s="122"/>
      <c r="BC48369" s="141"/>
    </row>
    <row r="48370">
      <c r="BB48370" s="122"/>
      <c r="BC48370" s="141"/>
    </row>
    <row r="48371">
      <c r="BB48371" s="122"/>
      <c r="BC48371" s="141"/>
    </row>
    <row r="48372">
      <c r="BB48372" s="122"/>
      <c r="BC48372" s="141"/>
    </row>
    <row r="48373">
      <c r="BB48373" s="122"/>
      <c r="BC48373" s="141"/>
    </row>
    <row r="48374">
      <c r="BB48374" s="122"/>
      <c r="BC48374" s="141"/>
    </row>
    <row r="48375">
      <c r="BB48375" s="122"/>
      <c r="BC48375" s="141"/>
    </row>
    <row r="48376">
      <c r="BB48376" s="122"/>
      <c r="BC48376" s="141"/>
    </row>
    <row r="48377">
      <c r="BB48377" s="122"/>
      <c r="BC48377" s="141"/>
    </row>
    <row r="48378">
      <c r="BB48378" s="122"/>
      <c r="BC48378" s="141"/>
    </row>
    <row r="48379">
      <c r="BB48379" s="122"/>
      <c r="BC48379" s="141"/>
    </row>
    <row r="48380">
      <c r="BB48380" s="122"/>
      <c r="BC48380" s="141"/>
    </row>
    <row r="48381">
      <c r="BB48381" s="122"/>
      <c r="BC48381" s="141"/>
    </row>
    <row r="48382">
      <c r="BB48382" s="122"/>
      <c r="BC48382" s="141"/>
    </row>
    <row r="48383">
      <c r="BB48383" s="122"/>
      <c r="BC48383" s="141"/>
    </row>
    <row r="48384">
      <c r="BB48384" s="122"/>
      <c r="BC48384" s="141"/>
    </row>
    <row r="48385">
      <c r="BB48385" s="122"/>
      <c r="BC48385" s="141"/>
    </row>
    <row r="48386">
      <c r="BB48386" s="122"/>
      <c r="BC48386" s="141"/>
    </row>
    <row r="48387">
      <c r="BB48387" s="122"/>
      <c r="BC48387" s="141"/>
    </row>
    <row r="48388">
      <c r="BB48388" s="122"/>
      <c r="BC48388" s="141"/>
    </row>
    <row r="48389">
      <c r="BB48389" s="122"/>
      <c r="BC48389" s="141"/>
    </row>
    <row r="48390">
      <c r="BB48390" s="122"/>
      <c r="BC48390" s="141"/>
    </row>
    <row r="48391">
      <c r="BB48391" s="122"/>
      <c r="BC48391" s="141"/>
    </row>
    <row r="48392">
      <c r="BB48392" s="122"/>
      <c r="BC48392" s="141"/>
    </row>
    <row r="48393">
      <c r="BB48393" s="122"/>
      <c r="BC48393" s="141"/>
    </row>
    <row r="48394">
      <c r="BB48394" s="122"/>
      <c r="BC48394" s="141"/>
    </row>
    <row r="48395">
      <c r="BB48395" s="122"/>
      <c r="BC48395" s="141"/>
    </row>
    <row r="48396">
      <c r="BB48396" s="122"/>
      <c r="BC48396" s="141"/>
    </row>
    <row r="48397">
      <c r="BB48397" s="122"/>
      <c r="BC48397" s="141"/>
    </row>
    <row r="48398">
      <c r="BB48398" s="122"/>
      <c r="BC48398" s="141"/>
    </row>
    <row r="48399">
      <c r="BB48399" s="122"/>
      <c r="BC48399" s="141"/>
    </row>
    <row r="48400">
      <c r="BB48400" s="122"/>
      <c r="BC48400" s="141"/>
    </row>
    <row r="48401">
      <c r="BB48401" s="122"/>
      <c r="BC48401" s="141"/>
    </row>
    <row r="48402">
      <c r="BB48402" s="122"/>
      <c r="BC48402" s="141"/>
    </row>
    <row r="48403">
      <c r="BB48403" s="122"/>
      <c r="BC48403" s="141"/>
    </row>
    <row r="48404">
      <c r="BB48404" s="122"/>
      <c r="BC48404" s="141"/>
    </row>
    <row r="48405">
      <c r="BB48405" s="122"/>
      <c r="BC48405" s="141"/>
    </row>
    <row r="48406">
      <c r="BB48406" s="122"/>
      <c r="BC48406" s="141"/>
    </row>
    <row r="48407">
      <c r="BB48407" s="122"/>
      <c r="BC48407" s="141"/>
    </row>
    <row r="48408">
      <c r="BB48408" s="122"/>
      <c r="BC48408" s="141"/>
    </row>
    <row r="48409">
      <c r="BB48409" s="122"/>
      <c r="BC48409" s="141"/>
    </row>
    <row r="48410">
      <c r="BB48410" s="122"/>
      <c r="BC48410" s="141"/>
    </row>
    <row r="48411">
      <c r="BB48411" s="122"/>
      <c r="BC48411" s="141"/>
    </row>
    <row r="48412">
      <c r="BB48412" s="122"/>
      <c r="BC48412" s="141"/>
    </row>
    <row r="48413">
      <c r="BB48413" s="122"/>
      <c r="BC48413" s="141"/>
    </row>
    <row r="48414">
      <c r="BB48414" s="122"/>
      <c r="BC48414" s="141"/>
    </row>
    <row r="48415">
      <c r="BB48415" s="122"/>
      <c r="BC48415" s="141"/>
    </row>
    <row r="48416">
      <c r="BB48416" s="122"/>
      <c r="BC48416" s="141"/>
    </row>
    <row r="48417">
      <c r="BB48417" s="122"/>
      <c r="BC48417" s="141"/>
    </row>
    <row r="48418">
      <c r="BB48418" s="122"/>
      <c r="BC48418" s="141"/>
    </row>
    <row r="48419">
      <c r="BB48419" s="122"/>
      <c r="BC48419" s="141"/>
    </row>
    <row r="48420">
      <c r="BB48420" s="122"/>
      <c r="BC48420" s="141"/>
    </row>
    <row r="48421">
      <c r="BB48421" s="122"/>
      <c r="BC48421" s="141"/>
    </row>
    <row r="48422">
      <c r="BB48422" s="122"/>
      <c r="BC48422" s="141"/>
    </row>
    <row r="48423">
      <c r="BB48423" s="122"/>
      <c r="BC48423" s="141"/>
    </row>
    <row r="48424">
      <c r="BB48424" s="122"/>
      <c r="BC48424" s="141"/>
    </row>
    <row r="48425">
      <c r="BB48425" s="122"/>
      <c r="BC48425" s="141"/>
    </row>
    <row r="48426">
      <c r="BB48426" s="122"/>
      <c r="BC48426" s="141"/>
    </row>
    <row r="48427">
      <c r="BB48427" s="122"/>
      <c r="BC48427" s="141"/>
    </row>
    <row r="48428">
      <c r="BB48428" s="122"/>
      <c r="BC48428" s="141"/>
    </row>
    <row r="48429">
      <c r="BB48429" s="122"/>
      <c r="BC48429" s="141"/>
    </row>
    <row r="48430">
      <c r="BB48430" s="122"/>
      <c r="BC48430" s="141"/>
    </row>
    <row r="48431">
      <c r="BB48431" s="122"/>
      <c r="BC48431" s="141"/>
    </row>
    <row r="48432">
      <c r="BB48432" s="122"/>
      <c r="BC48432" s="141"/>
    </row>
    <row r="48433">
      <c r="BB48433" s="122"/>
      <c r="BC48433" s="141"/>
    </row>
    <row r="48434">
      <c r="BB48434" s="122"/>
      <c r="BC48434" s="141"/>
    </row>
    <row r="48435">
      <c r="BB48435" s="122"/>
      <c r="BC48435" s="141"/>
    </row>
    <row r="48436">
      <c r="BB48436" s="122"/>
      <c r="BC48436" s="141"/>
    </row>
    <row r="48437">
      <c r="BB48437" s="122"/>
      <c r="BC48437" s="141"/>
    </row>
    <row r="48438">
      <c r="BB48438" s="122"/>
      <c r="BC48438" s="141"/>
    </row>
    <row r="48439">
      <c r="BB48439" s="122"/>
      <c r="BC48439" s="141"/>
    </row>
    <row r="48440">
      <c r="BB48440" s="122"/>
      <c r="BC48440" s="141"/>
    </row>
    <row r="48441">
      <c r="BB48441" s="122"/>
      <c r="BC48441" s="141"/>
    </row>
    <row r="48442">
      <c r="BB48442" s="122"/>
      <c r="BC48442" s="141"/>
    </row>
    <row r="48443">
      <c r="BB48443" s="122"/>
      <c r="BC48443" s="141"/>
    </row>
    <row r="48444">
      <c r="BB48444" s="122"/>
      <c r="BC48444" s="141"/>
    </row>
    <row r="48445">
      <c r="BB48445" s="122"/>
      <c r="BC48445" s="141"/>
    </row>
    <row r="48446">
      <c r="BB48446" s="122"/>
      <c r="BC48446" s="141"/>
    </row>
    <row r="48447">
      <c r="BB48447" s="122"/>
      <c r="BC48447" s="141"/>
    </row>
    <row r="48448">
      <c r="BB48448" s="122"/>
      <c r="BC48448" s="141"/>
    </row>
    <row r="48449">
      <c r="BB48449" s="122"/>
      <c r="BC48449" s="141"/>
    </row>
    <row r="48450">
      <c r="BB48450" s="122"/>
      <c r="BC48450" s="141"/>
    </row>
    <row r="48451">
      <c r="BB48451" s="122"/>
      <c r="BC48451" s="141"/>
    </row>
    <row r="48452">
      <c r="BB48452" s="122"/>
      <c r="BC48452" s="141"/>
    </row>
    <row r="48453">
      <c r="BB48453" s="122"/>
      <c r="BC48453" s="141"/>
    </row>
    <row r="48454">
      <c r="BB48454" s="122"/>
      <c r="BC48454" s="141"/>
    </row>
    <row r="48455">
      <c r="BB48455" s="122"/>
      <c r="BC48455" s="141"/>
    </row>
    <row r="48456">
      <c r="BB48456" s="122"/>
      <c r="BC48456" s="141"/>
    </row>
    <row r="48457">
      <c r="BB48457" s="122"/>
      <c r="BC48457" s="141"/>
    </row>
    <row r="48458">
      <c r="BB48458" s="122"/>
      <c r="BC48458" s="141"/>
    </row>
    <row r="48459">
      <c r="BB48459" s="122"/>
      <c r="BC48459" s="141"/>
    </row>
    <row r="48460">
      <c r="BB48460" s="122"/>
      <c r="BC48460" s="141"/>
    </row>
    <row r="48461">
      <c r="BB48461" s="122"/>
      <c r="BC48461" s="141"/>
    </row>
    <row r="48462">
      <c r="BB48462" s="122"/>
      <c r="BC48462" s="141"/>
    </row>
    <row r="48463">
      <c r="BB48463" s="122"/>
      <c r="BC48463" s="141"/>
    </row>
    <row r="48464">
      <c r="BB48464" s="122"/>
      <c r="BC48464" s="141"/>
    </row>
    <row r="48465">
      <c r="BB48465" s="122"/>
      <c r="BC48465" s="141"/>
    </row>
    <row r="48466">
      <c r="BB48466" s="122"/>
      <c r="BC48466" s="141"/>
    </row>
    <row r="48467">
      <c r="BB48467" s="122"/>
      <c r="BC48467" s="141"/>
    </row>
    <row r="48468">
      <c r="BB48468" s="122"/>
      <c r="BC48468" s="141"/>
    </row>
    <row r="48469">
      <c r="BB48469" s="122"/>
      <c r="BC48469" s="141"/>
    </row>
    <row r="48470">
      <c r="BB48470" s="122"/>
      <c r="BC48470" s="141"/>
    </row>
    <row r="48471">
      <c r="BB48471" s="122"/>
      <c r="BC48471" s="141"/>
    </row>
    <row r="48472">
      <c r="BB48472" s="122"/>
      <c r="BC48472" s="141"/>
    </row>
    <row r="48473">
      <c r="BB48473" s="122"/>
      <c r="BC48473" s="141"/>
    </row>
    <row r="48474">
      <c r="BB48474" s="122"/>
      <c r="BC48474" s="141"/>
    </row>
    <row r="48475">
      <c r="BB48475" s="122"/>
      <c r="BC48475" s="141"/>
    </row>
    <row r="48476">
      <c r="BB48476" s="122"/>
      <c r="BC48476" s="141"/>
    </row>
    <row r="48477">
      <c r="BB48477" s="122"/>
      <c r="BC48477" s="141"/>
    </row>
    <row r="48478">
      <c r="BB48478" s="122"/>
      <c r="BC48478" s="141"/>
    </row>
    <row r="48479">
      <c r="BB48479" s="122"/>
      <c r="BC48479" s="141"/>
    </row>
    <row r="48480">
      <c r="BB48480" s="122"/>
      <c r="BC48480" s="141"/>
    </row>
    <row r="48481">
      <c r="BB48481" s="122"/>
      <c r="BC48481" s="141"/>
    </row>
    <row r="48482">
      <c r="BB48482" s="122"/>
      <c r="BC48482" s="141"/>
    </row>
    <row r="48483">
      <c r="BB48483" s="122"/>
      <c r="BC48483" s="141"/>
    </row>
    <row r="48484">
      <c r="BB48484" s="122"/>
      <c r="BC48484" s="141"/>
    </row>
    <row r="48485">
      <c r="BB48485" s="122"/>
      <c r="BC48485" s="141"/>
    </row>
    <row r="48486">
      <c r="BB48486" s="122"/>
      <c r="BC48486" s="141"/>
    </row>
    <row r="48487">
      <c r="BB48487" s="122"/>
      <c r="BC48487" s="141"/>
    </row>
    <row r="48488">
      <c r="BB48488" s="122"/>
      <c r="BC48488" s="141"/>
    </row>
    <row r="48489">
      <c r="BB48489" s="122"/>
      <c r="BC48489" s="141"/>
    </row>
    <row r="48490">
      <c r="BB48490" s="122"/>
      <c r="BC48490" s="141"/>
    </row>
    <row r="48491">
      <c r="BB48491" s="122"/>
      <c r="BC48491" s="141"/>
    </row>
    <row r="48492">
      <c r="BB48492" s="122"/>
      <c r="BC48492" s="141"/>
    </row>
    <row r="48493">
      <c r="BB48493" s="122"/>
      <c r="BC48493" s="141"/>
    </row>
    <row r="48494">
      <c r="BB48494" s="122"/>
      <c r="BC48494" s="141"/>
    </row>
    <row r="48495">
      <c r="BB48495" s="122"/>
      <c r="BC48495" s="141"/>
    </row>
    <row r="48496">
      <c r="BB48496" s="122"/>
      <c r="BC48496" s="141"/>
    </row>
    <row r="48497">
      <c r="BB48497" s="122"/>
      <c r="BC48497" s="141"/>
    </row>
    <row r="48498">
      <c r="BB48498" s="122"/>
      <c r="BC48498" s="141"/>
    </row>
    <row r="48499">
      <c r="BB48499" s="122"/>
      <c r="BC48499" s="141"/>
    </row>
    <row r="48500">
      <c r="BB48500" s="122"/>
      <c r="BC48500" s="141"/>
    </row>
    <row r="48501">
      <c r="BB48501" s="122"/>
      <c r="BC48501" s="141"/>
    </row>
    <row r="48502">
      <c r="BB48502" s="122"/>
      <c r="BC48502" s="141"/>
    </row>
    <row r="48503">
      <c r="BB48503" s="122"/>
      <c r="BC48503" s="141"/>
    </row>
    <row r="48504">
      <c r="BB48504" s="122"/>
      <c r="BC48504" s="141"/>
    </row>
    <row r="48505">
      <c r="BB48505" s="122"/>
      <c r="BC48505" s="141"/>
    </row>
    <row r="48506">
      <c r="BB48506" s="122"/>
      <c r="BC48506" s="141"/>
    </row>
    <row r="48507">
      <c r="BB48507" s="122"/>
      <c r="BC48507" s="141"/>
    </row>
    <row r="48508">
      <c r="BB48508" s="122"/>
      <c r="BC48508" s="141"/>
    </row>
    <row r="48509">
      <c r="BB48509" s="122"/>
      <c r="BC48509" s="141"/>
    </row>
    <row r="48510">
      <c r="BB48510" s="122"/>
      <c r="BC48510" s="141"/>
    </row>
    <row r="48511">
      <c r="BB48511" s="122"/>
      <c r="BC48511" s="141"/>
    </row>
    <row r="48512">
      <c r="BB48512" s="122"/>
      <c r="BC48512" s="141"/>
    </row>
    <row r="48513">
      <c r="BB48513" s="122"/>
      <c r="BC48513" s="141"/>
    </row>
    <row r="48514">
      <c r="BB48514" s="122"/>
      <c r="BC48514" s="141"/>
    </row>
    <row r="48515">
      <c r="BB48515" s="122"/>
      <c r="BC48515" s="141"/>
    </row>
    <row r="48516">
      <c r="BB48516" s="122"/>
      <c r="BC48516" s="141"/>
    </row>
    <row r="48517">
      <c r="BB48517" s="122"/>
      <c r="BC48517" s="141"/>
    </row>
    <row r="48518">
      <c r="BB48518" s="122"/>
      <c r="BC48518" s="141"/>
    </row>
    <row r="48519">
      <c r="BB48519" s="122"/>
      <c r="BC48519" s="141"/>
    </row>
    <row r="48520">
      <c r="BB48520" s="122"/>
      <c r="BC48520" s="141"/>
    </row>
    <row r="48521">
      <c r="BB48521" s="122"/>
      <c r="BC48521" s="141"/>
    </row>
    <row r="48522">
      <c r="BB48522" s="122"/>
      <c r="BC48522" s="141"/>
    </row>
    <row r="48523">
      <c r="BB48523" s="122"/>
      <c r="BC48523" s="141"/>
    </row>
    <row r="48524">
      <c r="BB48524" s="122"/>
      <c r="BC48524" s="141"/>
    </row>
    <row r="48525">
      <c r="BB48525" s="122"/>
      <c r="BC48525" s="141"/>
    </row>
    <row r="48526">
      <c r="BB48526" s="122"/>
      <c r="BC48526" s="141"/>
    </row>
    <row r="48527">
      <c r="BB48527" s="122"/>
      <c r="BC48527" s="141"/>
    </row>
    <row r="48528">
      <c r="BB48528" s="122"/>
      <c r="BC48528" s="141"/>
    </row>
    <row r="48529">
      <c r="BB48529" s="122"/>
      <c r="BC48529" s="141"/>
    </row>
    <row r="48530">
      <c r="BB48530" s="122"/>
      <c r="BC48530" s="141"/>
    </row>
    <row r="48531">
      <c r="BB48531" s="122"/>
      <c r="BC48531" s="141"/>
    </row>
    <row r="48532">
      <c r="BB48532" s="122"/>
      <c r="BC48532" s="141"/>
    </row>
    <row r="48533">
      <c r="BB48533" s="122"/>
      <c r="BC48533" s="141"/>
    </row>
    <row r="48534">
      <c r="BB48534" s="122"/>
      <c r="BC48534" s="141"/>
    </row>
    <row r="48535">
      <c r="BB48535" s="122"/>
      <c r="BC48535" s="141"/>
    </row>
    <row r="48536">
      <c r="BB48536" s="122"/>
      <c r="BC48536" s="141"/>
    </row>
    <row r="48537">
      <c r="BB48537" s="122"/>
      <c r="BC48537" s="141"/>
    </row>
    <row r="48538">
      <c r="BB48538" s="122"/>
      <c r="BC48538" s="141"/>
    </row>
    <row r="48539">
      <c r="BB48539" s="122"/>
      <c r="BC48539" s="141"/>
    </row>
    <row r="48540">
      <c r="BB48540" s="122"/>
      <c r="BC48540" s="141"/>
    </row>
    <row r="48541">
      <c r="BB48541" s="122"/>
      <c r="BC48541" s="141"/>
    </row>
    <row r="48542">
      <c r="BB48542" s="122"/>
      <c r="BC48542" s="141"/>
    </row>
    <row r="48543">
      <c r="BB48543" s="122"/>
      <c r="BC48543" s="141"/>
    </row>
    <row r="48544">
      <c r="BB48544" s="122"/>
      <c r="BC48544" s="141"/>
    </row>
    <row r="48545">
      <c r="BB48545" s="122"/>
      <c r="BC48545" s="141"/>
    </row>
    <row r="48546">
      <c r="BB48546" s="122"/>
      <c r="BC48546" s="141"/>
    </row>
    <row r="48547">
      <c r="BB48547" s="122"/>
      <c r="BC48547" s="141"/>
    </row>
    <row r="48548">
      <c r="BB48548" s="122"/>
      <c r="BC48548" s="141"/>
    </row>
    <row r="48549">
      <c r="BB48549" s="122"/>
      <c r="BC48549" s="141"/>
    </row>
    <row r="48550">
      <c r="BB48550" s="122"/>
      <c r="BC48550" s="141"/>
    </row>
    <row r="48551">
      <c r="BB48551" s="122"/>
      <c r="BC48551" s="141"/>
    </row>
    <row r="48552">
      <c r="BB48552" s="122"/>
      <c r="BC48552" s="141"/>
    </row>
    <row r="48553">
      <c r="BB48553" s="122"/>
      <c r="BC48553" s="141"/>
    </row>
    <row r="48554">
      <c r="BB48554" s="122"/>
      <c r="BC48554" s="141"/>
    </row>
    <row r="48555">
      <c r="BB48555" s="122"/>
      <c r="BC48555" s="141"/>
    </row>
    <row r="48556">
      <c r="BB48556" s="122"/>
      <c r="BC48556" s="141"/>
    </row>
    <row r="48557">
      <c r="BB48557" s="122"/>
      <c r="BC48557" s="141"/>
    </row>
    <row r="48558">
      <c r="BB48558" s="122"/>
      <c r="BC48558" s="141"/>
    </row>
    <row r="48559">
      <c r="BB48559" s="122"/>
      <c r="BC48559" s="141"/>
    </row>
    <row r="48560">
      <c r="BB48560" s="122"/>
      <c r="BC48560" s="141"/>
    </row>
    <row r="48561">
      <c r="BB48561" s="122"/>
      <c r="BC48561" s="141"/>
    </row>
    <row r="48562">
      <c r="BB48562" s="122"/>
      <c r="BC48562" s="141"/>
    </row>
    <row r="48563">
      <c r="BB48563" s="122"/>
      <c r="BC48563" s="141"/>
    </row>
    <row r="48564">
      <c r="BB48564" s="122"/>
      <c r="BC48564" s="141"/>
    </row>
    <row r="48565">
      <c r="BB48565" s="122"/>
      <c r="BC48565" s="141"/>
    </row>
    <row r="48566">
      <c r="BB48566" s="122"/>
      <c r="BC48566" s="141"/>
    </row>
    <row r="48567">
      <c r="BB48567" s="122"/>
      <c r="BC48567" s="141"/>
    </row>
    <row r="48568">
      <c r="BB48568" s="122"/>
      <c r="BC48568" s="141"/>
    </row>
    <row r="48569">
      <c r="BB48569" s="122"/>
      <c r="BC48569" s="141"/>
    </row>
    <row r="48570">
      <c r="BB48570" s="122"/>
      <c r="BC48570" s="141"/>
    </row>
    <row r="48571">
      <c r="BB48571" s="122"/>
      <c r="BC48571" s="141"/>
    </row>
    <row r="48572">
      <c r="BB48572" s="122"/>
      <c r="BC48572" s="141"/>
    </row>
    <row r="48573">
      <c r="BB48573" s="122"/>
      <c r="BC48573" s="141"/>
    </row>
    <row r="48574">
      <c r="BB48574" s="122"/>
      <c r="BC48574" s="141"/>
    </row>
    <row r="48575">
      <c r="BB48575" s="122"/>
      <c r="BC48575" s="141"/>
    </row>
    <row r="48576">
      <c r="BB48576" s="122"/>
      <c r="BC48576" s="141"/>
    </row>
    <row r="48577">
      <c r="BB48577" s="122"/>
      <c r="BC48577" s="141"/>
    </row>
    <row r="48578">
      <c r="BB48578" s="122"/>
      <c r="BC48578" s="141"/>
    </row>
    <row r="48579">
      <c r="BB48579" s="122"/>
      <c r="BC48579" s="141"/>
    </row>
    <row r="48580">
      <c r="BB48580" s="122"/>
      <c r="BC48580" s="141"/>
    </row>
    <row r="48581">
      <c r="BB48581" s="122"/>
      <c r="BC48581" s="141"/>
    </row>
    <row r="48582">
      <c r="BB48582" s="122"/>
      <c r="BC48582" s="141"/>
    </row>
    <row r="48583">
      <c r="BB48583" s="122"/>
      <c r="BC48583" s="141"/>
    </row>
    <row r="48584">
      <c r="BB48584" s="122"/>
      <c r="BC48584" s="141"/>
    </row>
    <row r="48585">
      <c r="BB48585" s="122"/>
      <c r="BC48585" s="141"/>
    </row>
    <row r="48586">
      <c r="BB48586" s="122"/>
      <c r="BC48586" s="141"/>
    </row>
    <row r="48587">
      <c r="BB48587" s="122"/>
      <c r="BC48587" s="141"/>
    </row>
    <row r="48588">
      <c r="BB48588" s="122"/>
      <c r="BC48588" s="141"/>
    </row>
    <row r="48589">
      <c r="BB48589" s="122"/>
      <c r="BC48589" s="141"/>
    </row>
    <row r="48590">
      <c r="BB48590" s="122"/>
      <c r="BC48590" s="141"/>
    </row>
    <row r="48591">
      <c r="BB48591" s="122"/>
      <c r="BC48591" s="141"/>
    </row>
    <row r="48592">
      <c r="BB48592" s="122"/>
      <c r="BC48592" s="141"/>
    </row>
    <row r="48593">
      <c r="BB48593" s="122"/>
      <c r="BC48593" s="141"/>
    </row>
    <row r="48594">
      <c r="BB48594" s="122"/>
      <c r="BC48594" s="141"/>
    </row>
    <row r="48595">
      <c r="BB48595" s="122"/>
      <c r="BC48595" s="141"/>
    </row>
    <row r="48596">
      <c r="BB48596" s="122"/>
      <c r="BC48596" s="141"/>
    </row>
    <row r="48597">
      <c r="BB48597" s="122"/>
      <c r="BC48597" s="141"/>
    </row>
    <row r="48598">
      <c r="BB48598" s="122"/>
      <c r="BC48598" s="141"/>
    </row>
    <row r="48599">
      <c r="BB48599" s="122"/>
      <c r="BC48599" s="141"/>
    </row>
    <row r="48600">
      <c r="BB48600" s="122"/>
      <c r="BC48600" s="141"/>
    </row>
    <row r="48601">
      <c r="BB48601" s="122"/>
      <c r="BC48601" s="141"/>
    </row>
    <row r="48602">
      <c r="BB48602" s="122"/>
      <c r="BC48602" s="141"/>
    </row>
    <row r="48603">
      <c r="BB48603" s="122"/>
      <c r="BC48603" s="141"/>
    </row>
    <row r="48604">
      <c r="BB48604" s="122"/>
      <c r="BC48604" s="141"/>
    </row>
    <row r="48605">
      <c r="BB48605" s="122"/>
      <c r="BC48605" s="141"/>
    </row>
    <row r="48606">
      <c r="BB48606" s="122"/>
      <c r="BC48606" s="141"/>
    </row>
    <row r="48607">
      <c r="BB48607" s="122"/>
      <c r="BC48607" s="141"/>
    </row>
    <row r="48608">
      <c r="BB48608" s="122"/>
      <c r="BC48608" s="141"/>
    </row>
    <row r="48609">
      <c r="BB48609" s="122"/>
      <c r="BC48609" s="141"/>
    </row>
    <row r="48610">
      <c r="BB48610" s="122"/>
      <c r="BC48610" s="141"/>
    </row>
    <row r="48611">
      <c r="BB48611" s="122"/>
      <c r="BC48611" s="141"/>
    </row>
    <row r="48612">
      <c r="BB48612" s="122"/>
      <c r="BC48612" s="141"/>
    </row>
    <row r="48613">
      <c r="BB48613" s="122"/>
      <c r="BC48613" s="141"/>
    </row>
    <row r="48614">
      <c r="BB48614" s="122"/>
      <c r="BC48614" s="141"/>
    </row>
    <row r="48615">
      <c r="BB48615" s="122"/>
      <c r="BC48615" s="141"/>
    </row>
    <row r="48616">
      <c r="BB48616" s="122"/>
      <c r="BC48616" s="141"/>
    </row>
    <row r="48617">
      <c r="BB48617" s="122"/>
      <c r="BC48617" s="141"/>
    </row>
    <row r="48618">
      <c r="BB48618" s="122"/>
      <c r="BC48618" s="141"/>
    </row>
    <row r="48619">
      <c r="BB48619" s="122"/>
      <c r="BC48619" s="141"/>
    </row>
    <row r="48620">
      <c r="BB48620" s="122"/>
      <c r="BC48620" s="141"/>
    </row>
    <row r="48621">
      <c r="BB48621" s="122"/>
      <c r="BC48621" s="141"/>
    </row>
    <row r="48622">
      <c r="BB48622" s="122"/>
      <c r="BC48622" s="141"/>
    </row>
    <row r="48623">
      <c r="BB48623" s="122"/>
      <c r="BC48623" s="141"/>
    </row>
    <row r="48624">
      <c r="BB48624" s="122"/>
      <c r="BC48624" s="141"/>
    </row>
    <row r="48625">
      <c r="BB48625" s="122"/>
      <c r="BC48625" s="141"/>
    </row>
    <row r="48626">
      <c r="BB48626" s="122"/>
      <c r="BC48626" s="141"/>
    </row>
    <row r="48627">
      <c r="BB48627" s="122"/>
      <c r="BC48627" s="141"/>
    </row>
    <row r="48628">
      <c r="BB48628" s="122"/>
      <c r="BC48628" s="141"/>
    </row>
    <row r="48629">
      <c r="BB48629" s="122"/>
      <c r="BC48629" s="141"/>
    </row>
    <row r="48630">
      <c r="BB48630" s="122"/>
      <c r="BC48630" s="141"/>
    </row>
    <row r="48631">
      <c r="BB48631" s="122"/>
      <c r="BC48631" s="141"/>
    </row>
    <row r="48632">
      <c r="BB48632" s="122"/>
      <c r="BC48632" s="141"/>
    </row>
    <row r="48633">
      <c r="BB48633" s="122"/>
      <c r="BC48633" s="141"/>
    </row>
    <row r="48634">
      <c r="BB48634" s="122"/>
      <c r="BC48634" s="141"/>
    </row>
    <row r="48635">
      <c r="BB48635" s="122"/>
      <c r="BC48635" s="141"/>
    </row>
    <row r="48636">
      <c r="BB48636" s="122"/>
      <c r="BC48636" s="141"/>
    </row>
    <row r="48637">
      <c r="BB48637" s="122"/>
      <c r="BC48637" s="141"/>
    </row>
    <row r="48638">
      <c r="BB48638" s="122"/>
      <c r="BC48638" s="141"/>
    </row>
    <row r="48639">
      <c r="BB48639" s="122"/>
      <c r="BC48639" s="141"/>
    </row>
    <row r="48640">
      <c r="BB48640" s="122"/>
      <c r="BC48640" s="141"/>
    </row>
    <row r="48641">
      <c r="BB48641" s="122"/>
      <c r="BC48641" s="141"/>
    </row>
    <row r="48642">
      <c r="BB48642" s="122"/>
      <c r="BC48642" s="141"/>
    </row>
    <row r="48643">
      <c r="BB48643" s="122"/>
      <c r="BC48643" s="141"/>
    </row>
    <row r="48644">
      <c r="BB48644" s="122"/>
      <c r="BC48644" s="141"/>
    </row>
    <row r="48645">
      <c r="BB48645" s="122"/>
      <c r="BC48645" s="141"/>
    </row>
    <row r="48646">
      <c r="BB48646" s="122"/>
      <c r="BC48646" s="141"/>
    </row>
    <row r="48647">
      <c r="BB48647" s="122"/>
      <c r="BC48647" s="141"/>
    </row>
    <row r="48648">
      <c r="BB48648" s="122"/>
      <c r="BC48648" s="141"/>
    </row>
    <row r="48649">
      <c r="BB48649" s="122"/>
      <c r="BC48649" s="141"/>
    </row>
    <row r="48650">
      <c r="BB48650" s="122"/>
      <c r="BC48650" s="141"/>
    </row>
    <row r="48651">
      <c r="BB48651" s="122"/>
      <c r="BC48651" s="141"/>
    </row>
    <row r="48652">
      <c r="BB48652" s="122"/>
      <c r="BC48652" s="141"/>
    </row>
    <row r="48653">
      <c r="BB48653" s="122"/>
      <c r="BC48653" s="141"/>
    </row>
    <row r="48654">
      <c r="BB48654" s="122"/>
      <c r="BC48654" s="141"/>
    </row>
    <row r="48655">
      <c r="BB48655" s="122"/>
      <c r="BC48655" s="141"/>
    </row>
    <row r="48656">
      <c r="BB48656" s="122"/>
      <c r="BC48656" s="141"/>
    </row>
    <row r="48657">
      <c r="BB48657" s="122"/>
      <c r="BC48657" s="141"/>
    </row>
    <row r="48658">
      <c r="BB48658" s="122"/>
      <c r="BC48658" s="141"/>
    </row>
    <row r="48659">
      <c r="BB48659" s="122"/>
      <c r="BC48659" s="141"/>
    </row>
    <row r="48660">
      <c r="BB48660" s="122"/>
      <c r="BC48660" s="141"/>
    </row>
    <row r="48661">
      <c r="BB48661" s="122"/>
      <c r="BC48661" s="141"/>
    </row>
    <row r="48662">
      <c r="BB48662" s="122"/>
      <c r="BC48662" s="141"/>
    </row>
    <row r="48663">
      <c r="BB48663" s="122"/>
      <c r="BC48663" s="141"/>
    </row>
    <row r="48664">
      <c r="BB48664" s="122"/>
      <c r="BC48664" s="141"/>
    </row>
    <row r="48665">
      <c r="BB48665" s="122"/>
      <c r="BC48665" s="141"/>
    </row>
    <row r="48666">
      <c r="BB48666" s="122"/>
      <c r="BC48666" s="141"/>
    </row>
    <row r="48667">
      <c r="BB48667" s="122"/>
      <c r="BC48667" s="141"/>
    </row>
    <row r="48668">
      <c r="BB48668" s="122"/>
      <c r="BC48668" s="141"/>
    </row>
    <row r="48669">
      <c r="BB48669" s="122"/>
      <c r="BC48669" s="141"/>
    </row>
    <row r="48670">
      <c r="BB48670" s="122"/>
      <c r="BC48670" s="141"/>
    </row>
    <row r="48671">
      <c r="BB48671" s="122"/>
      <c r="BC48671" s="141"/>
    </row>
    <row r="48672">
      <c r="BB48672" s="122"/>
      <c r="BC48672" s="141"/>
    </row>
    <row r="48673">
      <c r="BB48673" s="122"/>
      <c r="BC48673" s="141"/>
    </row>
    <row r="48674">
      <c r="BB48674" s="122"/>
      <c r="BC48674" s="141"/>
    </row>
    <row r="48675">
      <c r="BB48675" s="122"/>
      <c r="BC48675" s="141"/>
    </row>
    <row r="48676">
      <c r="BB48676" s="122"/>
      <c r="BC48676" s="141"/>
    </row>
    <row r="48677">
      <c r="BB48677" s="122"/>
      <c r="BC48677" s="141"/>
    </row>
    <row r="48678">
      <c r="BB48678" s="122"/>
      <c r="BC48678" s="141"/>
    </row>
    <row r="48679">
      <c r="BB48679" s="122"/>
      <c r="BC48679" s="141"/>
    </row>
    <row r="48680">
      <c r="BB48680" s="122"/>
      <c r="BC48680" s="141"/>
    </row>
    <row r="48681">
      <c r="BB48681" s="122"/>
      <c r="BC48681" s="141"/>
    </row>
    <row r="48682">
      <c r="BB48682" s="122"/>
      <c r="BC48682" s="141"/>
    </row>
    <row r="48683">
      <c r="BB48683" s="122"/>
      <c r="BC48683" s="141"/>
    </row>
    <row r="48684">
      <c r="BB48684" s="122"/>
      <c r="BC48684" s="141"/>
    </row>
    <row r="48685">
      <c r="BB48685" s="122"/>
      <c r="BC48685" s="141"/>
    </row>
    <row r="48686">
      <c r="BB48686" s="122"/>
      <c r="BC48686" s="141"/>
    </row>
    <row r="48687">
      <c r="BB48687" s="122"/>
      <c r="BC48687" s="141"/>
    </row>
    <row r="48688">
      <c r="BB48688" s="122"/>
      <c r="BC48688" s="141"/>
    </row>
    <row r="48689">
      <c r="BB48689" s="122"/>
      <c r="BC48689" s="141"/>
    </row>
    <row r="48690">
      <c r="BB48690" s="122"/>
      <c r="BC48690" s="141"/>
    </row>
    <row r="48691">
      <c r="BB48691" s="122"/>
      <c r="BC48691" s="141"/>
    </row>
    <row r="48692">
      <c r="BB48692" s="122"/>
      <c r="BC48692" s="141"/>
    </row>
    <row r="48693">
      <c r="BB48693" s="122"/>
      <c r="BC48693" s="141"/>
    </row>
    <row r="48694">
      <c r="BB48694" s="122"/>
      <c r="BC48694" s="141"/>
    </row>
    <row r="48695">
      <c r="BB48695" s="122"/>
      <c r="BC48695" s="141"/>
    </row>
    <row r="48696">
      <c r="BB48696" s="122"/>
      <c r="BC48696" s="141"/>
    </row>
    <row r="48697">
      <c r="BB48697" s="122"/>
      <c r="BC48697" s="141"/>
    </row>
    <row r="48698">
      <c r="BB48698" s="122"/>
      <c r="BC48698" s="141"/>
    </row>
    <row r="48699">
      <c r="BB48699" s="122"/>
      <c r="BC48699" s="141"/>
    </row>
    <row r="48700">
      <c r="BB48700" s="122"/>
      <c r="BC48700" s="141"/>
    </row>
    <row r="48701">
      <c r="BB48701" s="122"/>
      <c r="BC48701" s="141"/>
    </row>
    <row r="48702">
      <c r="BB48702" s="122"/>
      <c r="BC48702" s="141"/>
    </row>
    <row r="48703">
      <c r="BB48703" s="122"/>
      <c r="BC48703" s="141"/>
    </row>
    <row r="48704">
      <c r="BB48704" s="122"/>
      <c r="BC48704" s="141"/>
    </row>
    <row r="48705">
      <c r="BB48705" s="122"/>
      <c r="BC48705" s="141"/>
    </row>
    <row r="48706">
      <c r="BB48706" s="122"/>
      <c r="BC48706" s="141"/>
    </row>
    <row r="48707">
      <c r="BB48707" s="122"/>
      <c r="BC48707" s="141"/>
    </row>
    <row r="48708">
      <c r="BB48708" s="122"/>
      <c r="BC48708" s="141"/>
    </row>
    <row r="48709">
      <c r="BB48709" s="122"/>
      <c r="BC48709" s="141"/>
    </row>
    <row r="48710">
      <c r="BB48710" s="122"/>
      <c r="BC48710" s="141"/>
    </row>
    <row r="48711">
      <c r="BB48711" s="122"/>
      <c r="BC48711" s="141"/>
    </row>
    <row r="48712">
      <c r="BB48712" s="122"/>
      <c r="BC48712" s="141"/>
    </row>
    <row r="48713">
      <c r="BB48713" s="122"/>
      <c r="BC48713" s="141"/>
    </row>
    <row r="48714">
      <c r="BB48714" s="122"/>
      <c r="BC48714" s="141"/>
    </row>
    <row r="48715">
      <c r="BB48715" s="122"/>
      <c r="BC48715" s="141"/>
    </row>
    <row r="48716">
      <c r="BB48716" s="122"/>
      <c r="BC48716" s="141"/>
    </row>
    <row r="48717">
      <c r="BB48717" s="122"/>
      <c r="BC48717" s="141"/>
    </row>
    <row r="48718">
      <c r="BB48718" s="122"/>
      <c r="BC48718" s="141"/>
    </row>
    <row r="48719">
      <c r="BB48719" s="122"/>
      <c r="BC48719" s="141"/>
    </row>
    <row r="48720">
      <c r="BB48720" s="122"/>
      <c r="BC48720" s="141"/>
    </row>
    <row r="48721">
      <c r="BB48721" s="122"/>
      <c r="BC48721" s="141"/>
    </row>
    <row r="48722">
      <c r="BB48722" s="122"/>
      <c r="BC48722" s="141"/>
    </row>
    <row r="48723">
      <c r="BB48723" s="122"/>
      <c r="BC48723" s="141"/>
    </row>
    <row r="48724">
      <c r="BB48724" s="122"/>
      <c r="BC48724" s="141"/>
    </row>
    <row r="48725">
      <c r="BB48725" s="122"/>
      <c r="BC48725" s="141"/>
    </row>
    <row r="48726">
      <c r="BB48726" s="122"/>
      <c r="BC48726" s="141"/>
    </row>
    <row r="48727">
      <c r="BB48727" s="122"/>
      <c r="BC48727" s="141"/>
    </row>
    <row r="48728">
      <c r="BB48728" s="122"/>
      <c r="BC48728" s="141"/>
    </row>
    <row r="48729">
      <c r="BB48729" s="122"/>
      <c r="BC48729" s="141"/>
    </row>
    <row r="48730">
      <c r="BB48730" s="122"/>
      <c r="BC48730" s="141"/>
    </row>
    <row r="48731">
      <c r="BB48731" s="122"/>
      <c r="BC48731" s="141"/>
    </row>
    <row r="48732">
      <c r="BB48732" s="122"/>
      <c r="BC48732" s="141"/>
    </row>
    <row r="48733">
      <c r="BB48733" s="122"/>
      <c r="BC48733" s="141"/>
    </row>
    <row r="48734">
      <c r="BB48734" s="122"/>
      <c r="BC48734" s="141"/>
    </row>
    <row r="48735">
      <c r="BB48735" s="122"/>
      <c r="BC48735" s="141"/>
    </row>
    <row r="48736">
      <c r="BB48736" s="122"/>
      <c r="BC48736" s="141"/>
    </row>
    <row r="48737">
      <c r="BB48737" s="122"/>
      <c r="BC48737" s="141"/>
    </row>
    <row r="48738">
      <c r="BB48738" s="122"/>
      <c r="BC48738" s="141"/>
    </row>
    <row r="48739">
      <c r="BB48739" s="122"/>
      <c r="BC48739" s="141"/>
    </row>
    <row r="48740">
      <c r="BB48740" s="122"/>
      <c r="BC48740" s="141"/>
    </row>
    <row r="48741">
      <c r="BB48741" s="122"/>
      <c r="BC48741" s="141"/>
    </row>
    <row r="48742">
      <c r="BB48742" s="122"/>
      <c r="BC48742" s="141"/>
    </row>
    <row r="48743">
      <c r="BB48743" s="122"/>
      <c r="BC48743" s="141"/>
    </row>
    <row r="48744">
      <c r="BB48744" s="122"/>
      <c r="BC48744" s="141"/>
    </row>
    <row r="48745">
      <c r="BB48745" s="122"/>
      <c r="BC48745" s="141"/>
    </row>
    <row r="48746">
      <c r="BB48746" s="122"/>
      <c r="BC48746" s="141"/>
    </row>
    <row r="48747">
      <c r="BB48747" s="122"/>
      <c r="BC48747" s="141"/>
    </row>
    <row r="48748">
      <c r="BB48748" s="122"/>
      <c r="BC48748" s="141"/>
    </row>
    <row r="48749">
      <c r="BB48749" s="122"/>
      <c r="BC48749" s="141"/>
    </row>
    <row r="48750">
      <c r="BB48750" s="122"/>
      <c r="BC48750" s="141"/>
    </row>
    <row r="48751">
      <c r="BB48751" s="122"/>
      <c r="BC48751" s="141"/>
    </row>
    <row r="48752">
      <c r="BB48752" s="122"/>
      <c r="BC48752" s="141"/>
    </row>
    <row r="48753">
      <c r="BB48753" s="122"/>
      <c r="BC48753" s="141"/>
    </row>
    <row r="48754">
      <c r="BB48754" s="122"/>
      <c r="BC48754" s="141"/>
    </row>
    <row r="48755">
      <c r="BB48755" s="122"/>
      <c r="BC48755" s="141"/>
    </row>
    <row r="48756">
      <c r="BB48756" s="122"/>
      <c r="BC48756" s="141"/>
    </row>
    <row r="48757">
      <c r="BB48757" s="122"/>
      <c r="BC48757" s="141"/>
    </row>
    <row r="48758">
      <c r="BB48758" s="122"/>
      <c r="BC48758" s="141"/>
    </row>
    <row r="48759">
      <c r="BB48759" s="122"/>
      <c r="BC48759" s="141"/>
    </row>
    <row r="48760">
      <c r="BB48760" s="122"/>
      <c r="BC48760" s="141"/>
    </row>
    <row r="48761">
      <c r="BB48761" s="122"/>
      <c r="BC48761" s="141"/>
    </row>
    <row r="48762">
      <c r="BB48762" s="122"/>
      <c r="BC48762" s="141"/>
    </row>
    <row r="48763">
      <c r="BB48763" s="122"/>
      <c r="BC48763" s="141"/>
    </row>
    <row r="48764">
      <c r="BB48764" s="122"/>
      <c r="BC48764" s="141"/>
    </row>
    <row r="48765">
      <c r="BB48765" s="122"/>
      <c r="BC48765" s="141"/>
    </row>
    <row r="48766">
      <c r="BB48766" s="122"/>
      <c r="BC48766" s="141"/>
    </row>
    <row r="48767">
      <c r="BB48767" s="122"/>
      <c r="BC48767" s="141"/>
    </row>
    <row r="48768">
      <c r="BB48768" s="122"/>
      <c r="BC48768" s="141"/>
    </row>
    <row r="48769">
      <c r="BB48769" s="122"/>
      <c r="BC48769" s="141"/>
    </row>
    <row r="48770">
      <c r="BB48770" s="122"/>
      <c r="BC48770" s="141"/>
    </row>
    <row r="48771">
      <c r="BB48771" s="122"/>
      <c r="BC48771" s="141"/>
    </row>
    <row r="48772">
      <c r="BB48772" s="122"/>
      <c r="BC48772" s="141"/>
    </row>
    <row r="48773">
      <c r="BB48773" s="122"/>
      <c r="BC48773" s="141"/>
    </row>
    <row r="48774">
      <c r="BB48774" s="122"/>
      <c r="BC48774" s="141"/>
    </row>
    <row r="48775">
      <c r="BB48775" s="122"/>
      <c r="BC48775" s="141"/>
    </row>
    <row r="48776">
      <c r="BB48776" s="122"/>
      <c r="BC48776" s="141"/>
    </row>
    <row r="48777">
      <c r="BB48777" s="122"/>
      <c r="BC48777" s="141"/>
    </row>
    <row r="48778">
      <c r="BB48778" s="122"/>
      <c r="BC48778" s="141"/>
    </row>
    <row r="48779">
      <c r="BB48779" s="122"/>
      <c r="BC48779" s="141"/>
    </row>
    <row r="48780">
      <c r="BB48780" s="122"/>
      <c r="BC48780" s="141"/>
    </row>
    <row r="48781">
      <c r="BB48781" s="122"/>
      <c r="BC48781" s="141"/>
    </row>
    <row r="48782">
      <c r="BB48782" s="122"/>
      <c r="BC48782" s="141"/>
    </row>
    <row r="48783">
      <c r="BB48783" s="122"/>
      <c r="BC48783" s="141"/>
    </row>
    <row r="48784">
      <c r="BB48784" s="122"/>
      <c r="BC48784" s="141"/>
    </row>
    <row r="48785">
      <c r="BB48785" s="122"/>
      <c r="BC48785" s="141"/>
    </row>
    <row r="48786">
      <c r="BB48786" s="122"/>
      <c r="BC48786" s="141"/>
    </row>
    <row r="48787">
      <c r="BB48787" s="122"/>
      <c r="BC48787" s="141"/>
    </row>
    <row r="48788">
      <c r="BB48788" s="122"/>
      <c r="BC48788" s="141"/>
    </row>
    <row r="48789">
      <c r="BB48789" s="122"/>
      <c r="BC48789" s="141"/>
    </row>
    <row r="48790">
      <c r="BB48790" s="122"/>
      <c r="BC48790" s="141"/>
    </row>
    <row r="48791">
      <c r="BB48791" s="122"/>
      <c r="BC48791" s="141"/>
    </row>
    <row r="48792">
      <c r="BB48792" s="122"/>
      <c r="BC48792" s="141"/>
    </row>
    <row r="48793">
      <c r="BB48793" s="122"/>
      <c r="BC48793" s="141"/>
    </row>
    <row r="48794">
      <c r="BB48794" s="122"/>
      <c r="BC48794" s="141"/>
    </row>
    <row r="48795">
      <c r="BB48795" s="122"/>
      <c r="BC48795" s="141"/>
    </row>
    <row r="48796">
      <c r="BB48796" s="122"/>
      <c r="BC48796" s="141"/>
    </row>
    <row r="48797">
      <c r="BB48797" s="122"/>
      <c r="BC48797" s="141"/>
    </row>
    <row r="48798">
      <c r="BB48798" s="122"/>
      <c r="BC48798" s="141"/>
    </row>
    <row r="48799">
      <c r="BB48799" s="122"/>
      <c r="BC48799" s="141"/>
    </row>
    <row r="48800">
      <c r="BB48800" s="122"/>
      <c r="BC48800" s="141"/>
    </row>
    <row r="48801">
      <c r="BB48801" s="122"/>
      <c r="BC48801" s="141"/>
    </row>
    <row r="48802">
      <c r="BB48802" s="122"/>
      <c r="BC48802" s="141"/>
    </row>
    <row r="48803">
      <c r="BB48803" s="122"/>
      <c r="BC48803" s="141"/>
    </row>
    <row r="48804">
      <c r="BB48804" s="122"/>
      <c r="BC48804" s="141"/>
    </row>
    <row r="48805">
      <c r="BB48805" s="122"/>
      <c r="BC48805" s="141"/>
    </row>
    <row r="48806">
      <c r="BB48806" s="122"/>
      <c r="BC48806" s="141"/>
    </row>
    <row r="48807">
      <c r="BB48807" s="122"/>
      <c r="BC48807" s="141"/>
    </row>
    <row r="48808">
      <c r="BB48808" s="122"/>
      <c r="BC48808" s="141"/>
    </row>
    <row r="48809">
      <c r="BB48809" s="122"/>
      <c r="BC48809" s="141"/>
    </row>
    <row r="48810">
      <c r="BB48810" s="122"/>
      <c r="BC48810" s="141"/>
    </row>
    <row r="48811">
      <c r="BB48811" s="122"/>
      <c r="BC48811" s="141"/>
    </row>
    <row r="48812">
      <c r="BB48812" s="122"/>
      <c r="BC48812" s="141"/>
    </row>
    <row r="48813">
      <c r="BB48813" s="122"/>
      <c r="BC48813" s="141"/>
    </row>
    <row r="48814">
      <c r="BB48814" s="122"/>
      <c r="BC48814" s="141"/>
    </row>
    <row r="48815">
      <c r="BB48815" s="122"/>
      <c r="BC48815" s="141"/>
    </row>
    <row r="48816">
      <c r="BB48816" s="122"/>
      <c r="BC48816" s="141"/>
    </row>
    <row r="48817">
      <c r="BB48817" s="122"/>
      <c r="BC48817" s="141"/>
    </row>
    <row r="48818">
      <c r="BB48818" s="122"/>
      <c r="BC48818" s="141"/>
    </row>
    <row r="48819">
      <c r="BB48819" s="122"/>
      <c r="BC48819" s="141"/>
    </row>
    <row r="48820">
      <c r="BB48820" s="122"/>
      <c r="BC48820" s="141"/>
    </row>
    <row r="48821">
      <c r="BB48821" s="122"/>
      <c r="BC48821" s="141"/>
    </row>
    <row r="48822">
      <c r="BB48822" s="122"/>
      <c r="BC48822" s="141"/>
    </row>
    <row r="48823">
      <c r="BB48823" s="122"/>
      <c r="BC48823" s="141"/>
    </row>
    <row r="48824">
      <c r="BB48824" s="122"/>
      <c r="BC48824" s="141"/>
    </row>
    <row r="48825">
      <c r="BB48825" s="122"/>
      <c r="BC48825" s="141"/>
    </row>
    <row r="48826">
      <c r="BB48826" s="122"/>
      <c r="BC48826" s="141"/>
    </row>
    <row r="48827">
      <c r="BB48827" s="122"/>
      <c r="BC48827" s="141"/>
    </row>
    <row r="48828">
      <c r="BB48828" s="122"/>
      <c r="BC48828" s="141"/>
    </row>
    <row r="48829">
      <c r="BB48829" s="122"/>
      <c r="BC48829" s="141"/>
    </row>
    <row r="48830">
      <c r="BB48830" s="122"/>
      <c r="BC48830" s="141"/>
    </row>
    <row r="48831">
      <c r="BB48831" s="122"/>
      <c r="BC48831" s="141"/>
    </row>
    <row r="48832">
      <c r="BB48832" s="122"/>
      <c r="BC48832" s="141"/>
    </row>
    <row r="48833">
      <c r="BB48833" s="122"/>
      <c r="BC48833" s="141"/>
    </row>
    <row r="48834">
      <c r="BB48834" s="122"/>
      <c r="BC48834" s="141"/>
    </row>
    <row r="48835">
      <c r="BB48835" s="122"/>
      <c r="BC48835" s="141"/>
    </row>
    <row r="48836">
      <c r="BB48836" s="122"/>
      <c r="BC48836" s="141"/>
    </row>
    <row r="48837">
      <c r="BB48837" s="122"/>
      <c r="BC48837" s="141"/>
    </row>
    <row r="48838">
      <c r="BB48838" s="122"/>
      <c r="BC48838" s="141"/>
    </row>
    <row r="48839">
      <c r="BB48839" s="122"/>
      <c r="BC48839" s="141"/>
    </row>
    <row r="48840">
      <c r="BB48840" s="122"/>
      <c r="BC48840" s="141"/>
    </row>
    <row r="48841">
      <c r="BB48841" s="122"/>
      <c r="BC48841" s="141"/>
    </row>
    <row r="48842">
      <c r="BB48842" s="122"/>
      <c r="BC48842" s="141"/>
    </row>
    <row r="48843">
      <c r="BB48843" s="122"/>
      <c r="BC48843" s="141"/>
    </row>
    <row r="48844">
      <c r="BB48844" s="122"/>
      <c r="BC48844" s="141"/>
    </row>
    <row r="48845">
      <c r="BB48845" s="122"/>
      <c r="BC48845" s="141"/>
    </row>
    <row r="48846">
      <c r="BB48846" s="122"/>
      <c r="BC48846" s="141"/>
    </row>
    <row r="48847">
      <c r="BB48847" s="122"/>
      <c r="BC48847" s="141"/>
    </row>
    <row r="48848">
      <c r="BB48848" s="122"/>
      <c r="BC48848" s="141"/>
    </row>
    <row r="48849">
      <c r="BB48849" s="122"/>
      <c r="BC48849" s="141"/>
    </row>
    <row r="48850">
      <c r="BB48850" s="122"/>
      <c r="BC48850" s="141"/>
    </row>
    <row r="48851">
      <c r="BB48851" s="122"/>
      <c r="BC48851" s="141"/>
    </row>
    <row r="48852">
      <c r="BB48852" s="122"/>
      <c r="BC48852" s="141"/>
    </row>
    <row r="48853">
      <c r="BB48853" s="122"/>
      <c r="BC48853" s="141"/>
    </row>
    <row r="48854">
      <c r="BB48854" s="122"/>
      <c r="BC48854" s="141"/>
    </row>
    <row r="48855">
      <c r="BB48855" s="122"/>
      <c r="BC48855" s="141"/>
    </row>
    <row r="48856">
      <c r="BB48856" s="122"/>
      <c r="BC48856" s="141"/>
    </row>
    <row r="48857">
      <c r="BB48857" s="122"/>
      <c r="BC48857" s="141"/>
    </row>
    <row r="48858">
      <c r="BB48858" s="122"/>
      <c r="BC48858" s="141"/>
    </row>
    <row r="48859">
      <c r="BB48859" s="122"/>
      <c r="BC48859" s="141"/>
    </row>
    <row r="48860">
      <c r="BB48860" s="122"/>
      <c r="BC48860" s="141"/>
    </row>
    <row r="48861">
      <c r="BB48861" s="122"/>
      <c r="BC48861" s="141"/>
    </row>
    <row r="48862">
      <c r="BB48862" s="122"/>
      <c r="BC48862" s="141"/>
    </row>
    <row r="48863">
      <c r="BB48863" s="122"/>
      <c r="BC48863" s="141"/>
    </row>
    <row r="48864">
      <c r="BB48864" s="122"/>
      <c r="BC48864" s="141"/>
    </row>
    <row r="48865">
      <c r="BB48865" s="122"/>
      <c r="BC48865" s="141"/>
    </row>
    <row r="48866">
      <c r="BB48866" s="122"/>
      <c r="BC48866" s="141"/>
    </row>
    <row r="48867">
      <c r="BB48867" s="122"/>
      <c r="BC48867" s="141"/>
    </row>
    <row r="48868">
      <c r="BB48868" s="122"/>
      <c r="BC48868" s="141"/>
    </row>
    <row r="48869">
      <c r="BB48869" s="122"/>
      <c r="BC48869" s="141"/>
    </row>
    <row r="48870">
      <c r="BB48870" s="122"/>
      <c r="BC48870" s="141"/>
    </row>
    <row r="48871">
      <c r="BB48871" s="122"/>
      <c r="BC48871" s="141"/>
    </row>
    <row r="48872">
      <c r="BB48872" s="122"/>
      <c r="BC48872" s="141"/>
    </row>
    <row r="48873">
      <c r="BB48873" s="122"/>
      <c r="BC48873" s="141"/>
    </row>
    <row r="48874">
      <c r="BB48874" s="122"/>
      <c r="BC48874" s="141"/>
    </row>
    <row r="48875">
      <c r="BB48875" s="122"/>
      <c r="BC48875" s="141"/>
    </row>
    <row r="48876">
      <c r="BB48876" s="122"/>
      <c r="BC48876" s="141"/>
    </row>
    <row r="48877">
      <c r="BB48877" s="122"/>
      <c r="BC48877" s="141"/>
    </row>
    <row r="48878">
      <c r="BB48878" s="122"/>
      <c r="BC48878" s="141"/>
    </row>
    <row r="48879">
      <c r="BB48879" s="122"/>
      <c r="BC48879" s="141"/>
    </row>
    <row r="48880">
      <c r="BB48880" s="122"/>
      <c r="BC48880" s="141"/>
    </row>
    <row r="48881">
      <c r="BB48881" s="122"/>
      <c r="BC48881" s="141"/>
    </row>
    <row r="48882">
      <c r="BB48882" s="122"/>
      <c r="BC48882" s="141"/>
    </row>
    <row r="48883">
      <c r="BB48883" s="122"/>
      <c r="BC48883" s="141"/>
    </row>
    <row r="48884">
      <c r="BB48884" s="122"/>
      <c r="BC48884" s="141"/>
    </row>
    <row r="48885">
      <c r="BB48885" s="122"/>
      <c r="BC48885" s="141"/>
    </row>
    <row r="48886">
      <c r="BB48886" s="122"/>
      <c r="BC48886" s="141"/>
    </row>
    <row r="48887">
      <c r="BB48887" s="122"/>
      <c r="BC48887" s="141"/>
    </row>
    <row r="48888">
      <c r="BB48888" s="122"/>
      <c r="BC48888" s="141"/>
    </row>
    <row r="48889">
      <c r="BB48889" s="122"/>
      <c r="BC48889" s="141"/>
    </row>
    <row r="48890">
      <c r="BB48890" s="122"/>
      <c r="BC48890" s="141"/>
    </row>
    <row r="48891">
      <c r="BB48891" s="122"/>
      <c r="BC48891" s="141"/>
    </row>
    <row r="48892">
      <c r="BB48892" s="122"/>
      <c r="BC48892" s="141"/>
    </row>
    <row r="48893">
      <c r="BB48893" s="122"/>
      <c r="BC48893" s="141"/>
    </row>
    <row r="48894">
      <c r="BB48894" s="122"/>
      <c r="BC48894" s="141"/>
    </row>
    <row r="48895">
      <c r="BB48895" s="122"/>
      <c r="BC48895" s="141"/>
    </row>
    <row r="48896">
      <c r="BB48896" s="122"/>
      <c r="BC48896" s="141"/>
    </row>
    <row r="48897">
      <c r="BB48897" s="122"/>
      <c r="BC48897" s="141"/>
    </row>
    <row r="48898">
      <c r="BB48898" s="122"/>
      <c r="BC48898" s="141"/>
    </row>
    <row r="48899">
      <c r="BB48899" s="122"/>
      <c r="BC48899" s="141"/>
    </row>
    <row r="48900">
      <c r="BB48900" s="122"/>
      <c r="BC48900" s="141"/>
    </row>
    <row r="48901">
      <c r="BB48901" s="122"/>
      <c r="BC48901" s="141"/>
    </row>
    <row r="48902">
      <c r="BB48902" s="122"/>
      <c r="BC48902" s="141"/>
    </row>
    <row r="48903">
      <c r="BB48903" s="122"/>
      <c r="BC48903" s="141"/>
    </row>
    <row r="48904">
      <c r="BB48904" s="122"/>
      <c r="BC48904" s="141"/>
    </row>
    <row r="48905">
      <c r="BB48905" s="122"/>
      <c r="BC48905" s="141"/>
    </row>
    <row r="48906">
      <c r="BB48906" s="122"/>
      <c r="BC48906" s="141"/>
    </row>
    <row r="48907">
      <c r="BB48907" s="122"/>
      <c r="BC48907" s="141"/>
    </row>
    <row r="48908">
      <c r="BB48908" s="122"/>
      <c r="BC48908" s="141"/>
    </row>
    <row r="48909">
      <c r="BB48909" s="122"/>
      <c r="BC48909" s="141"/>
    </row>
    <row r="48910">
      <c r="BB48910" s="122"/>
      <c r="BC48910" s="141"/>
    </row>
    <row r="48911">
      <c r="BB48911" s="122"/>
      <c r="BC48911" s="141"/>
    </row>
    <row r="48912">
      <c r="BB48912" s="122"/>
      <c r="BC48912" s="141"/>
    </row>
    <row r="48913">
      <c r="BB48913" s="122"/>
      <c r="BC48913" s="141"/>
    </row>
    <row r="48914">
      <c r="BB48914" s="122"/>
      <c r="BC48914" s="141"/>
    </row>
    <row r="48915">
      <c r="BB48915" s="122"/>
      <c r="BC48915" s="141"/>
    </row>
    <row r="48916">
      <c r="BB48916" s="122"/>
      <c r="BC48916" s="141"/>
    </row>
    <row r="48917">
      <c r="BB48917" s="122"/>
      <c r="BC48917" s="141"/>
    </row>
    <row r="48918">
      <c r="BB48918" s="122"/>
      <c r="BC48918" s="141"/>
    </row>
    <row r="48919">
      <c r="BB48919" s="122"/>
      <c r="BC48919" s="141"/>
    </row>
    <row r="48920">
      <c r="BB48920" s="122"/>
      <c r="BC48920" s="141"/>
    </row>
    <row r="48921">
      <c r="BB48921" s="122"/>
      <c r="BC48921" s="141"/>
    </row>
    <row r="48922">
      <c r="BB48922" s="122"/>
      <c r="BC48922" s="141"/>
    </row>
    <row r="48923">
      <c r="BB48923" s="122"/>
      <c r="BC48923" s="141"/>
    </row>
    <row r="48924">
      <c r="BB48924" s="122"/>
      <c r="BC48924" s="141"/>
    </row>
    <row r="48925">
      <c r="BB48925" s="122"/>
      <c r="BC48925" s="141"/>
    </row>
    <row r="48926">
      <c r="BB48926" s="122"/>
      <c r="BC48926" s="141"/>
    </row>
    <row r="48927">
      <c r="BB48927" s="122"/>
      <c r="BC48927" s="141"/>
    </row>
    <row r="48928">
      <c r="BB48928" s="122"/>
      <c r="BC48928" s="141"/>
    </row>
    <row r="48929">
      <c r="BB48929" s="122"/>
      <c r="BC48929" s="141"/>
    </row>
    <row r="48930">
      <c r="BB48930" s="122"/>
      <c r="BC48930" s="141"/>
    </row>
    <row r="48931">
      <c r="BB48931" s="122"/>
      <c r="BC48931" s="141"/>
    </row>
    <row r="48932">
      <c r="BB48932" s="122"/>
      <c r="BC48932" s="141"/>
    </row>
    <row r="48933">
      <c r="BB48933" s="122"/>
      <c r="BC48933" s="141"/>
    </row>
    <row r="48934">
      <c r="BB48934" s="122"/>
      <c r="BC48934" s="141"/>
    </row>
    <row r="48935">
      <c r="BB48935" s="122"/>
      <c r="BC48935" s="141"/>
    </row>
    <row r="48936">
      <c r="BB48936" s="122"/>
      <c r="BC48936" s="141"/>
    </row>
    <row r="48937">
      <c r="BB48937" s="122"/>
      <c r="BC48937" s="141"/>
    </row>
    <row r="48938">
      <c r="BB48938" s="122"/>
      <c r="BC48938" s="141"/>
    </row>
    <row r="48939">
      <c r="BB48939" s="122"/>
      <c r="BC48939" s="141"/>
    </row>
    <row r="48940">
      <c r="BB48940" s="122"/>
      <c r="BC48940" s="141"/>
    </row>
    <row r="48941">
      <c r="BB48941" s="122"/>
      <c r="BC48941" s="141"/>
    </row>
    <row r="48942">
      <c r="BB48942" s="122"/>
      <c r="BC48942" s="141"/>
    </row>
    <row r="48943">
      <c r="BB48943" s="122"/>
      <c r="BC48943" s="141"/>
    </row>
    <row r="48944">
      <c r="BB48944" s="122"/>
      <c r="BC48944" s="141"/>
    </row>
    <row r="48945">
      <c r="BB48945" s="122"/>
      <c r="BC48945" s="141"/>
    </row>
    <row r="48946">
      <c r="BB48946" s="122"/>
      <c r="BC48946" s="141"/>
    </row>
    <row r="48947">
      <c r="BB48947" s="122"/>
      <c r="BC48947" s="141"/>
    </row>
    <row r="48948">
      <c r="BB48948" s="122"/>
      <c r="BC48948" s="141"/>
    </row>
    <row r="48949">
      <c r="BB48949" s="122"/>
      <c r="BC48949" s="141"/>
    </row>
    <row r="48950">
      <c r="BB48950" s="122"/>
      <c r="BC48950" s="141"/>
    </row>
    <row r="48951">
      <c r="BB48951" s="122"/>
      <c r="BC48951" s="141"/>
    </row>
    <row r="48952">
      <c r="BB48952" s="122"/>
      <c r="BC48952" s="141"/>
    </row>
    <row r="48953">
      <c r="BB48953" s="122"/>
      <c r="BC48953" s="141"/>
    </row>
    <row r="48954">
      <c r="BB48954" s="122"/>
      <c r="BC48954" s="141"/>
    </row>
    <row r="48955">
      <c r="BB48955" s="122"/>
      <c r="BC48955" s="141"/>
    </row>
    <row r="48956">
      <c r="BB48956" s="122"/>
      <c r="BC48956" s="141"/>
    </row>
    <row r="48957">
      <c r="BB48957" s="122"/>
      <c r="BC48957" s="141"/>
    </row>
    <row r="48958">
      <c r="BB48958" s="122"/>
      <c r="BC48958" s="141"/>
    </row>
    <row r="48959">
      <c r="BB48959" s="122"/>
      <c r="BC48959" s="141"/>
    </row>
    <row r="48960">
      <c r="BB48960" s="122"/>
      <c r="BC48960" s="141"/>
    </row>
    <row r="48961">
      <c r="BB48961" s="122"/>
      <c r="BC48961" s="141"/>
    </row>
    <row r="48962">
      <c r="BB48962" s="122"/>
      <c r="BC48962" s="141"/>
    </row>
    <row r="48963">
      <c r="BB48963" s="122"/>
      <c r="BC48963" s="141"/>
    </row>
    <row r="48964">
      <c r="BB48964" s="122"/>
      <c r="BC48964" s="141"/>
    </row>
    <row r="48965">
      <c r="BB48965" s="122"/>
      <c r="BC48965" s="141"/>
    </row>
    <row r="48966">
      <c r="BB48966" s="122"/>
      <c r="BC48966" s="141"/>
    </row>
    <row r="48967">
      <c r="BB48967" s="122"/>
      <c r="BC48967" s="141"/>
    </row>
    <row r="48968">
      <c r="BB48968" s="122"/>
      <c r="BC48968" s="141"/>
    </row>
    <row r="48969">
      <c r="BB48969" s="122"/>
      <c r="BC48969" s="141"/>
    </row>
    <row r="48970">
      <c r="BB48970" s="122"/>
      <c r="BC48970" s="141"/>
    </row>
    <row r="48971">
      <c r="BB48971" s="122"/>
      <c r="BC48971" s="141"/>
    </row>
    <row r="48972">
      <c r="BB48972" s="122"/>
      <c r="BC48972" s="141"/>
    </row>
    <row r="48973">
      <c r="BB48973" s="122"/>
      <c r="BC48973" s="141"/>
    </row>
    <row r="48974">
      <c r="BB48974" s="122"/>
      <c r="BC48974" s="141"/>
    </row>
    <row r="48975">
      <c r="BB48975" s="122"/>
      <c r="BC48975" s="141"/>
    </row>
    <row r="48976">
      <c r="BB48976" s="122"/>
      <c r="BC48976" s="141"/>
    </row>
    <row r="48977">
      <c r="BB48977" s="122"/>
      <c r="BC48977" s="141"/>
    </row>
    <row r="48978">
      <c r="BB48978" s="122"/>
      <c r="BC48978" s="141"/>
    </row>
    <row r="48979">
      <c r="BB48979" s="122"/>
      <c r="BC48979" s="141"/>
    </row>
    <row r="48980">
      <c r="BB48980" s="122"/>
      <c r="BC48980" s="141"/>
    </row>
    <row r="48981">
      <c r="BB48981" s="122"/>
      <c r="BC48981" s="141"/>
    </row>
    <row r="48982">
      <c r="BB48982" s="122"/>
      <c r="BC48982" s="141"/>
    </row>
    <row r="48983">
      <c r="BB48983" s="122"/>
      <c r="BC48983" s="141"/>
    </row>
    <row r="48984">
      <c r="BB48984" s="122"/>
      <c r="BC48984" s="141"/>
    </row>
    <row r="48985">
      <c r="BB48985" s="122"/>
      <c r="BC48985" s="141"/>
    </row>
    <row r="48986">
      <c r="BB48986" s="122"/>
      <c r="BC48986" s="141"/>
    </row>
    <row r="48987">
      <c r="BB48987" s="122"/>
      <c r="BC48987" s="141"/>
    </row>
    <row r="48988">
      <c r="BB48988" s="122"/>
      <c r="BC48988" s="141"/>
    </row>
    <row r="48989">
      <c r="BB48989" s="122"/>
      <c r="BC48989" s="141"/>
    </row>
    <row r="48990">
      <c r="BB48990" s="122"/>
      <c r="BC48990" s="141"/>
    </row>
    <row r="48991">
      <c r="BB48991" s="122"/>
      <c r="BC48991" s="141"/>
    </row>
    <row r="48992">
      <c r="BB48992" s="122"/>
      <c r="BC48992" s="141"/>
    </row>
    <row r="48993">
      <c r="BB48993" s="122"/>
      <c r="BC48993" s="141"/>
    </row>
    <row r="48994">
      <c r="BB48994" s="122"/>
      <c r="BC48994" s="141"/>
    </row>
    <row r="48995">
      <c r="BB48995" s="122"/>
      <c r="BC48995" s="141"/>
    </row>
    <row r="48996">
      <c r="BB48996" s="122"/>
      <c r="BC48996" s="141"/>
    </row>
    <row r="48997">
      <c r="BB48997" s="122"/>
      <c r="BC48997" s="141"/>
    </row>
    <row r="48998">
      <c r="BB48998" s="122"/>
      <c r="BC48998" s="141"/>
    </row>
    <row r="48999">
      <c r="BB48999" s="122"/>
      <c r="BC48999" s="141"/>
    </row>
    <row r="49000">
      <c r="BB49000" s="122"/>
      <c r="BC49000" s="141"/>
    </row>
    <row r="49001">
      <c r="BB49001" s="122"/>
      <c r="BC49001" s="141"/>
    </row>
    <row r="49002">
      <c r="BB49002" s="122"/>
      <c r="BC49002" s="141"/>
    </row>
    <row r="49003">
      <c r="BB49003" s="122"/>
      <c r="BC49003" s="141"/>
    </row>
    <row r="49004">
      <c r="BB49004" s="122"/>
      <c r="BC49004" s="141"/>
    </row>
    <row r="49005">
      <c r="BB49005" s="122"/>
      <c r="BC49005" s="141"/>
    </row>
    <row r="49006">
      <c r="BB49006" s="122"/>
      <c r="BC49006" s="141"/>
    </row>
    <row r="49007">
      <c r="BB49007" s="122"/>
      <c r="BC49007" s="141"/>
    </row>
    <row r="49008">
      <c r="BB49008" s="122"/>
      <c r="BC49008" s="141"/>
    </row>
    <row r="49009">
      <c r="BB49009" s="122"/>
      <c r="BC49009" s="141"/>
    </row>
    <row r="49010">
      <c r="BB49010" s="122"/>
      <c r="BC49010" s="141"/>
    </row>
    <row r="49011">
      <c r="BB49011" s="122"/>
      <c r="BC49011" s="141"/>
    </row>
    <row r="49012">
      <c r="BB49012" s="122"/>
      <c r="BC49012" s="141"/>
    </row>
    <row r="49013">
      <c r="BB49013" s="122"/>
      <c r="BC49013" s="141"/>
    </row>
    <row r="49014">
      <c r="BB49014" s="122"/>
      <c r="BC49014" s="141"/>
    </row>
    <row r="49015">
      <c r="BB49015" s="122"/>
      <c r="BC49015" s="141"/>
    </row>
    <row r="49016">
      <c r="BB49016" s="122"/>
      <c r="BC49016" s="141"/>
    </row>
    <row r="49017">
      <c r="BB49017" s="122"/>
      <c r="BC49017" s="141"/>
    </row>
    <row r="49018">
      <c r="BB49018" s="122"/>
      <c r="BC49018" s="141"/>
    </row>
    <row r="49019">
      <c r="BB49019" s="122"/>
      <c r="BC49019" s="141"/>
    </row>
    <row r="49020">
      <c r="BB49020" s="122"/>
      <c r="BC49020" s="141"/>
    </row>
    <row r="49021">
      <c r="BB49021" s="122"/>
      <c r="BC49021" s="141"/>
    </row>
    <row r="49022">
      <c r="BB49022" s="122"/>
      <c r="BC49022" s="141"/>
    </row>
    <row r="49023">
      <c r="BB49023" s="122"/>
      <c r="BC49023" s="141"/>
    </row>
    <row r="49024">
      <c r="BB49024" s="122"/>
      <c r="BC49024" s="141"/>
    </row>
    <row r="49025">
      <c r="BB49025" s="122"/>
      <c r="BC49025" s="141"/>
    </row>
    <row r="49026">
      <c r="BB49026" s="122"/>
      <c r="BC49026" s="141"/>
    </row>
    <row r="49027">
      <c r="BB49027" s="122"/>
      <c r="BC49027" s="141"/>
    </row>
    <row r="49028">
      <c r="BB49028" s="122"/>
      <c r="BC49028" s="141"/>
    </row>
    <row r="49029">
      <c r="BB49029" s="122"/>
      <c r="BC49029" s="141"/>
    </row>
    <row r="49030">
      <c r="BB49030" s="122"/>
      <c r="BC49030" s="141"/>
    </row>
    <row r="49031">
      <c r="BB49031" s="122"/>
      <c r="BC49031" s="141"/>
    </row>
    <row r="49032">
      <c r="BB49032" s="122"/>
      <c r="BC49032" s="141"/>
    </row>
    <row r="49033">
      <c r="BB49033" s="122"/>
      <c r="BC49033" s="141"/>
    </row>
    <row r="49034">
      <c r="BB49034" s="122"/>
      <c r="BC49034" s="141"/>
    </row>
    <row r="49035">
      <c r="BB49035" s="122"/>
      <c r="BC49035" s="141"/>
    </row>
    <row r="49036">
      <c r="BB49036" s="122"/>
      <c r="BC49036" s="141"/>
    </row>
    <row r="49037">
      <c r="BB49037" s="122"/>
      <c r="BC49037" s="141"/>
    </row>
    <row r="49038">
      <c r="BB49038" s="122"/>
      <c r="BC49038" s="141"/>
    </row>
    <row r="49039">
      <c r="BB49039" s="122"/>
      <c r="BC49039" s="141"/>
    </row>
    <row r="49040">
      <c r="BB49040" s="122"/>
      <c r="BC49040" s="141"/>
    </row>
    <row r="49041">
      <c r="BB49041" s="122"/>
      <c r="BC49041" s="141"/>
    </row>
    <row r="49042">
      <c r="BB49042" s="122"/>
      <c r="BC49042" s="141"/>
    </row>
    <row r="49043">
      <c r="BB49043" s="122"/>
      <c r="BC49043" s="141"/>
    </row>
    <row r="49044">
      <c r="BB49044" s="122"/>
      <c r="BC49044" s="141"/>
    </row>
    <row r="49045">
      <c r="BB49045" s="122"/>
      <c r="BC49045" s="141"/>
    </row>
    <row r="49046">
      <c r="BB49046" s="122"/>
      <c r="BC49046" s="141"/>
    </row>
    <row r="49047">
      <c r="BB49047" s="122"/>
      <c r="BC49047" s="141"/>
    </row>
    <row r="49048">
      <c r="BB49048" s="122"/>
      <c r="BC49048" s="141"/>
    </row>
    <row r="49049">
      <c r="BB49049" s="122"/>
      <c r="BC49049" s="141"/>
    </row>
    <row r="49050">
      <c r="BB49050" s="122"/>
      <c r="BC49050" s="141"/>
    </row>
    <row r="49051">
      <c r="BB49051" s="122"/>
      <c r="BC49051" s="141"/>
    </row>
    <row r="49052">
      <c r="BB49052" s="122"/>
      <c r="BC49052" s="141"/>
    </row>
    <row r="49053">
      <c r="BB49053" s="122"/>
      <c r="BC49053" s="141"/>
    </row>
    <row r="49054">
      <c r="BB49054" s="122"/>
      <c r="BC49054" s="141"/>
    </row>
    <row r="49055">
      <c r="BB49055" s="122"/>
      <c r="BC49055" s="141"/>
    </row>
    <row r="49056">
      <c r="BB49056" s="122"/>
      <c r="BC49056" s="141"/>
    </row>
    <row r="49057">
      <c r="BB49057" s="122"/>
      <c r="BC49057" s="141"/>
    </row>
    <row r="49058">
      <c r="BB49058" s="122"/>
      <c r="BC49058" s="141"/>
    </row>
    <row r="49059">
      <c r="BB49059" s="122"/>
      <c r="BC49059" s="141"/>
    </row>
    <row r="49060">
      <c r="BB49060" s="122"/>
      <c r="BC49060" s="141"/>
    </row>
    <row r="49061">
      <c r="BB49061" s="122"/>
      <c r="BC49061" s="141"/>
    </row>
    <row r="49062">
      <c r="BB49062" s="122"/>
      <c r="BC49062" s="141"/>
    </row>
    <row r="49063">
      <c r="BB49063" s="122"/>
      <c r="BC49063" s="141"/>
    </row>
    <row r="49064">
      <c r="BB49064" s="122"/>
      <c r="BC49064" s="141"/>
    </row>
    <row r="49065">
      <c r="BB49065" s="122"/>
      <c r="BC49065" s="141"/>
    </row>
    <row r="49066">
      <c r="BB49066" s="122"/>
      <c r="BC49066" s="141"/>
    </row>
    <row r="49067">
      <c r="BB49067" s="122"/>
      <c r="BC49067" s="141"/>
    </row>
    <row r="49068">
      <c r="BB49068" s="122"/>
      <c r="BC49068" s="141"/>
    </row>
    <row r="49069">
      <c r="BB49069" s="122"/>
      <c r="BC49069" s="141"/>
    </row>
    <row r="49070">
      <c r="BB49070" s="122"/>
      <c r="BC49070" s="141"/>
    </row>
    <row r="49071">
      <c r="BB49071" s="122"/>
      <c r="BC49071" s="141"/>
    </row>
    <row r="49072">
      <c r="BB49072" s="122"/>
      <c r="BC49072" s="141"/>
    </row>
    <row r="49073">
      <c r="BB49073" s="122"/>
      <c r="BC49073" s="141"/>
    </row>
    <row r="49074">
      <c r="BB49074" s="122"/>
      <c r="BC49074" s="141"/>
    </row>
    <row r="49075">
      <c r="BB49075" s="122"/>
      <c r="BC49075" s="141"/>
    </row>
    <row r="49076">
      <c r="BB49076" s="122"/>
      <c r="BC49076" s="141"/>
    </row>
    <row r="49077">
      <c r="BB49077" s="122"/>
      <c r="BC49077" s="141"/>
    </row>
    <row r="49078">
      <c r="BB49078" s="122"/>
      <c r="BC49078" s="141"/>
    </row>
    <row r="49079">
      <c r="BB49079" s="122"/>
      <c r="BC49079" s="141"/>
    </row>
    <row r="49080">
      <c r="BB49080" s="122"/>
      <c r="BC49080" s="141"/>
    </row>
    <row r="49081">
      <c r="BB49081" s="122"/>
      <c r="BC49081" s="141"/>
    </row>
    <row r="49082">
      <c r="BB49082" s="122"/>
      <c r="BC49082" s="141"/>
    </row>
    <row r="49083">
      <c r="BB49083" s="122"/>
      <c r="BC49083" s="141"/>
    </row>
    <row r="49084">
      <c r="BB49084" s="122"/>
      <c r="BC49084" s="141"/>
    </row>
    <row r="49085">
      <c r="BB49085" s="122"/>
      <c r="BC49085" s="141"/>
    </row>
    <row r="49086">
      <c r="BB49086" s="122"/>
      <c r="BC49086" s="141"/>
    </row>
    <row r="49087">
      <c r="BB49087" s="122"/>
      <c r="BC49087" s="141"/>
    </row>
    <row r="49088">
      <c r="BB49088" s="122"/>
      <c r="BC49088" s="141"/>
    </row>
    <row r="49089">
      <c r="BB49089" s="122"/>
      <c r="BC49089" s="141"/>
    </row>
    <row r="49090">
      <c r="BB49090" s="122"/>
      <c r="BC49090" s="141"/>
    </row>
    <row r="49091">
      <c r="BB49091" s="122"/>
      <c r="BC49091" s="141"/>
    </row>
    <row r="49092">
      <c r="BB49092" s="122"/>
      <c r="BC49092" s="141"/>
    </row>
    <row r="49093">
      <c r="BB49093" s="122"/>
      <c r="BC49093" s="141"/>
    </row>
    <row r="49094">
      <c r="BB49094" s="122"/>
      <c r="BC49094" s="141"/>
    </row>
    <row r="49095">
      <c r="BB49095" s="122"/>
      <c r="BC49095" s="141"/>
    </row>
    <row r="49096">
      <c r="BB49096" s="122"/>
      <c r="BC49096" s="141"/>
    </row>
    <row r="49097">
      <c r="BB49097" s="122"/>
      <c r="BC49097" s="141"/>
    </row>
    <row r="49098">
      <c r="BB49098" s="122"/>
      <c r="BC49098" s="141"/>
    </row>
    <row r="49099">
      <c r="BB49099" s="122"/>
      <c r="BC49099" s="141"/>
    </row>
    <row r="49100">
      <c r="BB49100" s="122"/>
      <c r="BC49100" s="141"/>
    </row>
    <row r="49101">
      <c r="BB49101" s="122"/>
      <c r="BC49101" s="141"/>
    </row>
    <row r="49102">
      <c r="BB49102" s="122"/>
      <c r="BC49102" s="141"/>
    </row>
    <row r="49103">
      <c r="BB49103" s="122"/>
      <c r="BC49103" s="141"/>
    </row>
    <row r="49104">
      <c r="BB49104" s="122"/>
      <c r="BC49104" s="141"/>
    </row>
    <row r="49105">
      <c r="BB49105" s="122"/>
      <c r="BC49105" s="141"/>
    </row>
    <row r="49106">
      <c r="BB49106" s="122"/>
      <c r="BC49106" s="141"/>
    </row>
    <row r="49107">
      <c r="BB49107" s="122"/>
      <c r="BC49107" s="141"/>
    </row>
    <row r="49108">
      <c r="BB49108" s="122"/>
      <c r="BC49108" s="141"/>
    </row>
    <row r="49109">
      <c r="BB49109" s="122"/>
      <c r="BC49109" s="141"/>
    </row>
    <row r="49110">
      <c r="BB49110" s="122"/>
      <c r="BC49110" s="141"/>
    </row>
    <row r="49111">
      <c r="BB49111" s="122"/>
      <c r="BC49111" s="141"/>
    </row>
    <row r="49112">
      <c r="BB49112" s="122"/>
      <c r="BC49112" s="141"/>
    </row>
    <row r="49113">
      <c r="BB49113" s="122"/>
      <c r="BC49113" s="141"/>
    </row>
    <row r="49114">
      <c r="BB49114" s="122"/>
      <c r="BC49114" s="141"/>
    </row>
    <row r="49115">
      <c r="BB49115" s="122"/>
      <c r="BC49115" s="141"/>
    </row>
    <row r="49116">
      <c r="BB49116" s="122"/>
      <c r="BC49116" s="141"/>
    </row>
    <row r="49117">
      <c r="BB49117" s="122"/>
      <c r="BC49117" s="141"/>
    </row>
    <row r="49118">
      <c r="BB49118" s="122"/>
      <c r="BC49118" s="141"/>
    </row>
    <row r="49119">
      <c r="BB49119" s="122"/>
      <c r="BC49119" s="141"/>
    </row>
    <row r="49120">
      <c r="BB49120" s="122"/>
      <c r="BC49120" s="141"/>
    </row>
    <row r="49121">
      <c r="BB49121" s="122"/>
      <c r="BC49121" s="141"/>
    </row>
    <row r="49122">
      <c r="BB49122" s="122"/>
      <c r="BC49122" s="141"/>
    </row>
    <row r="49123">
      <c r="BB49123" s="122"/>
      <c r="BC49123" s="141"/>
    </row>
    <row r="49124">
      <c r="BB49124" s="122"/>
      <c r="BC49124" s="141"/>
    </row>
    <row r="49125">
      <c r="BB49125" s="122"/>
      <c r="BC49125" s="141"/>
    </row>
    <row r="49126">
      <c r="BB49126" s="122"/>
      <c r="BC49126" s="141"/>
    </row>
    <row r="49127">
      <c r="BB49127" s="122"/>
      <c r="BC49127" s="141"/>
    </row>
    <row r="49128">
      <c r="BB49128" s="122"/>
      <c r="BC49128" s="141"/>
    </row>
    <row r="49129">
      <c r="BB49129" s="122"/>
      <c r="BC49129" s="141"/>
    </row>
    <row r="49130">
      <c r="BB49130" s="122"/>
      <c r="BC49130" s="141"/>
    </row>
    <row r="49131">
      <c r="BB49131" s="122"/>
      <c r="BC49131" s="141"/>
    </row>
    <row r="49132">
      <c r="BB49132" s="122"/>
      <c r="BC49132" s="141"/>
    </row>
    <row r="49133">
      <c r="BB49133" s="122"/>
      <c r="BC49133" s="141"/>
    </row>
    <row r="49134">
      <c r="BB49134" s="122"/>
      <c r="BC49134" s="141"/>
    </row>
    <row r="49135">
      <c r="BB49135" s="122"/>
      <c r="BC49135" s="141"/>
    </row>
    <row r="49136">
      <c r="BB49136" s="122"/>
      <c r="BC49136" s="141"/>
    </row>
    <row r="49137">
      <c r="BB49137" s="122"/>
      <c r="BC49137" s="141"/>
    </row>
    <row r="49138">
      <c r="BB49138" s="122"/>
      <c r="BC49138" s="141"/>
    </row>
    <row r="49139">
      <c r="BB49139" s="122"/>
      <c r="BC49139" s="141"/>
    </row>
    <row r="49140">
      <c r="BB49140" s="122"/>
      <c r="BC49140" s="141"/>
    </row>
    <row r="49141">
      <c r="BB49141" s="122"/>
      <c r="BC49141" s="141"/>
    </row>
    <row r="49142">
      <c r="BB49142" s="122"/>
      <c r="BC49142" s="141"/>
    </row>
    <row r="49143">
      <c r="BB49143" s="122"/>
      <c r="BC49143" s="141"/>
    </row>
    <row r="49144">
      <c r="BB49144" s="122"/>
      <c r="BC49144" s="141"/>
    </row>
    <row r="49145">
      <c r="BB49145" s="122"/>
      <c r="BC49145" s="141"/>
    </row>
    <row r="49146">
      <c r="BB49146" s="122"/>
      <c r="BC49146" s="141"/>
    </row>
    <row r="49147">
      <c r="BB49147" s="122"/>
      <c r="BC49147" s="141"/>
    </row>
    <row r="49148">
      <c r="BB49148" s="122"/>
      <c r="BC49148" s="141"/>
    </row>
    <row r="49149">
      <c r="BB49149" s="122"/>
      <c r="BC49149" s="141"/>
    </row>
    <row r="49150">
      <c r="BB49150" s="122"/>
      <c r="BC49150" s="141"/>
    </row>
    <row r="49151">
      <c r="BB49151" s="122"/>
      <c r="BC49151" s="141"/>
    </row>
    <row r="49152">
      <c r="BB49152" s="122"/>
      <c r="BC49152" s="141"/>
    </row>
    <row r="49153">
      <c r="BB49153" s="122"/>
      <c r="BC49153" s="141"/>
    </row>
    <row r="49154">
      <c r="BB49154" s="122"/>
      <c r="BC49154" s="141"/>
    </row>
    <row r="49155">
      <c r="BB49155" s="122"/>
      <c r="BC49155" s="141"/>
    </row>
    <row r="49156">
      <c r="BB49156" s="122"/>
      <c r="BC49156" s="141"/>
    </row>
    <row r="49157">
      <c r="BB49157" s="122"/>
      <c r="BC49157" s="141"/>
    </row>
    <row r="49158">
      <c r="BB49158" s="122"/>
      <c r="BC49158" s="141"/>
    </row>
    <row r="49159">
      <c r="BB49159" s="122"/>
      <c r="BC49159" s="141"/>
    </row>
    <row r="49160">
      <c r="BB49160" s="122"/>
      <c r="BC49160" s="141"/>
    </row>
    <row r="49161">
      <c r="BB49161" s="122"/>
      <c r="BC49161" s="141"/>
    </row>
    <row r="49162">
      <c r="BB49162" s="122"/>
      <c r="BC49162" s="141"/>
    </row>
    <row r="49163">
      <c r="BB49163" s="122"/>
      <c r="BC49163" s="141"/>
    </row>
    <row r="49164">
      <c r="BB49164" s="122"/>
      <c r="BC49164" s="141"/>
    </row>
    <row r="49165">
      <c r="BB49165" s="122"/>
      <c r="BC49165" s="141"/>
    </row>
    <row r="49166">
      <c r="BB49166" s="122"/>
      <c r="BC49166" s="141"/>
    </row>
    <row r="49167">
      <c r="BB49167" s="122"/>
      <c r="BC49167" s="141"/>
    </row>
    <row r="49168">
      <c r="BB49168" s="122"/>
      <c r="BC49168" s="141"/>
    </row>
    <row r="49169">
      <c r="BB49169" s="122"/>
      <c r="BC49169" s="141"/>
    </row>
    <row r="49170">
      <c r="BB49170" s="122"/>
      <c r="BC49170" s="141"/>
    </row>
    <row r="49171">
      <c r="BB49171" s="122"/>
      <c r="BC49171" s="141"/>
    </row>
    <row r="49172">
      <c r="BB49172" s="122"/>
      <c r="BC49172" s="141"/>
    </row>
    <row r="49173">
      <c r="BB49173" s="122"/>
      <c r="BC49173" s="141"/>
    </row>
    <row r="49174">
      <c r="BB49174" s="122"/>
      <c r="BC49174" s="141"/>
    </row>
    <row r="49175">
      <c r="BB49175" s="122"/>
      <c r="BC49175" s="141"/>
    </row>
    <row r="49176">
      <c r="BB49176" s="122"/>
      <c r="BC49176" s="141"/>
    </row>
    <row r="49177">
      <c r="BB49177" s="122"/>
      <c r="BC49177" s="141"/>
    </row>
    <row r="49178">
      <c r="BB49178" s="122"/>
      <c r="BC49178" s="141"/>
    </row>
    <row r="49179">
      <c r="BB49179" s="122"/>
      <c r="BC49179" s="141"/>
    </row>
    <row r="49180">
      <c r="BB49180" s="122"/>
      <c r="BC49180" s="141"/>
    </row>
    <row r="49181">
      <c r="BB49181" s="122"/>
      <c r="BC49181" s="141"/>
    </row>
    <row r="49182">
      <c r="BB49182" s="122"/>
      <c r="BC49182" s="141"/>
    </row>
    <row r="49183">
      <c r="BB49183" s="122"/>
      <c r="BC49183" s="141"/>
    </row>
    <row r="49184">
      <c r="BB49184" s="122"/>
      <c r="BC49184" s="141"/>
    </row>
    <row r="49185">
      <c r="BB49185" s="122"/>
      <c r="BC49185" s="141"/>
    </row>
    <row r="49186">
      <c r="BB49186" s="122"/>
      <c r="BC49186" s="141"/>
    </row>
    <row r="49187">
      <c r="BB49187" s="122"/>
      <c r="BC49187" s="141"/>
    </row>
    <row r="49188">
      <c r="BB49188" s="122"/>
      <c r="BC49188" s="141"/>
    </row>
    <row r="49189">
      <c r="BB49189" s="122"/>
      <c r="BC49189" s="141"/>
    </row>
    <row r="49190">
      <c r="BB49190" s="122"/>
      <c r="BC49190" s="141"/>
    </row>
    <row r="49191">
      <c r="BB49191" s="122"/>
      <c r="BC49191" s="141"/>
    </row>
    <row r="49192">
      <c r="BB49192" s="122"/>
      <c r="BC49192" s="141"/>
    </row>
    <row r="49193">
      <c r="BB49193" s="122"/>
      <c r="BC49193" s="141"/>
    </row>
    <row r="49194">
      <c r="BB49194" s="122"/>
      <c r="BC49194" s="141"/>
    </row>
    <row r="49195">
      <c r="BB49195" s="122"/>
      <c r="BC49195" s="141"/>
    </row>
    <row r="49196">
      <c r="BB49196" s="122"/>
      <c r="BC49196" s="141"/>
    </row>
    <row r="49197">
      <c r="BB49197" s="122"/>
      <c r="BC49197" s="141"/>
    </row>
    <row r="49198">
      <c r="BB49198" s="122"/>
      <c r="BC49198" s="141"/>
    </row>
    <row r="49199">
      <c r="BB49199" s="122"/>
      <c r="BC49199" s="141"/>
    </row>
    <row r="49200">
      <c r="BB49200" s="122"/>
      <c r="BC49200" s="141"/>
    </row>
    <row r="49201">
      <c r="BB49201" s="122"/>
      <c r="BC49201" s="141"/>
    </row>
    <row r="49202">
      <c r="BB49202" s="122"/>
      <c r="BC49202" s="141"/>
    </row>
    <row r="49203">
      <c r="BB49203" s="122"/>
      <c r="BC49203" s="141"/>
    </row>
    <row r="49204">
      <c r="BB49204" s="122"/>
      <c r="BC49204" s="141"/>
    </row>
    <row r="49205">
      <c r="BB49205" s="122"/>
      <c r="BC49205" s="141"/>
    </row>
    <row r="49206">
      <c r="BB49206" s="122"/>
      <c r="BC49206" s="141"/>
    </row>
    <row r="49207">
      <c r="BB49207" s="122"/>
      <c r="BC49207" s="141"/>
    </row>
    <row r="49208">
      <c r="BB49208" s="122"/>
      <c r="BC49208" s="141"/>
    </row>
    <row r="49209">
      <c r="BB49209" s="122"/>
      <c r="BC49209" s="141"/>
    </row>
    <row r="49210">
      <c r="BB49210" s="122"/>
      <c r="BC49210" s="141"/>
    </row>
    <row r="49211">
      <c r="BB49211" s="122"/>
      <c r="BC49211" s="141"/>
    </row>
    <row r="49212">
      <c r="BB49212" s="122"/>
      <c r="BC49212" s="141"/>
    </row>
    <row r="49213">
      <c r="BB49213" s="122"/>
      <c r="BC49213" s="141"/>
    </row>
    <row r="49214">
      <c r="BB49214" s="122"/>
      <c r="BC49214" s="141"/>
    </row>
    <row r="49215">
      <c r="BB49215" s="122"/>
      <c r="BC49215" s="141"/>
    </row>
    <row r="49216">
      <c r="BB49216" s="122"/>
      <c r="BC49216" s="141"/>
    </row>
    <row r="49217">
      <c r="BB49217" s="122"/>
      <c r="BC49217" s="141"/>
    </row>
    <row r="49218">
      <c r="BB49218" s="122"/>
      <c r="BC49218" s="141"/>
    </row>
    <row r="49219">
      <c r="BB49219" s="122"/>
      <c r="BC49219" s="141"/>
    </row>
    <row r="49220">
      <c r="BB49220" s="122"/>
      <c r="BC49220" s="141"/>
    </row>
    <row r="49221">
      <c r="BB49221" s="122"/>
      <c r="BC49221" s="141"/>
    </row>
    <row r="49222">
      <c r="BB49222" s="122"/>
      <c r="BC49222" s="141"/>
    </row>
    <row r="49223">
      <c r="BB49223" s="122"/>
      <c r="BC49223" s="141"/>
    </row>
    <row r="49224">
      <c r="BB49224" s="122"/>
      <c r="BC49224" s="141"/>
    </row>
    <row r="49225">
      <c r="BB49225" s="122"/>
      <c r="BC49225" s="141"/>
    </row>
    <row r="49226">
      <c r="BB49226" s="122"/>
      <c r="BC49226" s="141"/>
    </row>
    <row r="49227">
      <c r="BB49227" s="122"/>
      <c r="BC49227" s="141"/>
    </row>
    <row r="49228">
      <c r="BB49228" s="122"/>
      <c r="BC49228" s="141"/>
    </row>
    <row r="49229">
      <c r="BB49229" s="122"/>
      <c r="BC49229" s="141"/>
    </row>
    <row r="49230">
      <c r="BB49230" s="122"/>
      <c r="BC49230" s="141"/>
    </row>
    <row r="49231">
      <c r="BB49231" s="122"/>
      <c r="BC49231" s="141"/>
    </row>
    <row r="49232">
      <c r="BB49232" s="122"/>
      <c r="BC49232" s="141"/>
    </row>
    <row r="49233">
      <c r="BB49233" s="122"/>
      <c r="BC49233" s="141"/>
    </row>
    <row r="49234">
      <c r="BB49234" s="122"/>
      <c r="BC49234" s="141"/>
    </row>
    <row r="49235">
      <c r="BB49235" s="122"/>
      <c r="BC49235" s="141"/>
    </row>
    <row r="49236">
      <c r="BB49236" s="122"/>
      <c r="BC49236" s="141"/>
    </row>
    <row r="49237">
      <c r="BB49237" s="122"/>
      <c r="BC49237" s="141"/>
    </row>
    <row r="49238">
      <c r="BB49238" s="122"/>
      <c r="BC49238" s="141"/>
    </row>
    <row r="49239">
      <c r="BB49239" s="122"/>
      <c r="BC49239" s="141"/>
    </row>
    <row r="49240">
      <c r="BB49240" s="122"/>
      <c r="BC49240" s="141"/>
    </row>
    <row r="49241">
      <c r="BB49241" s="122"/>
      <c r="BC49241" s="141"/>
    </row>
    <row r="49242">
      <c r="BB49242" s="122"/>
      <c r="BC49242" s="141"/>
    </row>
    <row r="49243">
      <c r="BB49243" s="122"/>
      <c r="BC49243" s="141"/>
    </row>
    <row r="49244">
      <c r="BB49244" s="122"/>
      <c r="BC49244" s="141"/>
    </row>
    <row r="49245">
      <c r="BB49245" s="122"/>
      <c r="BC49245" s="141"/>
    </row>
    <row r="49246">
      <c r="BB49246" s="122"/>
      <c r="BC49246" s="141"/>
    </row>
    <row r="49247">
      <c r="BB49247" s="122"/>
      <c r="BC49247" s="141"/>
    </row>
    <row r="49248">
      <c r="BB49248" s="122"/>
      <c r="BC49248" s="141"/>
    </row>
    <row r="49249">
      <c r="BB49249" s="122"/>
      <c r="BC49249" s="141"/>
    </row>
    <row r="49250">
      <c r="BB49250" s="122"/>
      <c r="BC49250" s="141"/>
    </row>
    <row r="49251">
      <c r="BB49251" s="122"/>
      <c r="BC49251" s="141"/>
    </row>
    <row r="49252">
      <c r="BB49252" s="122"/>
      <c r="BC49252" s="141"/>
    </row>
    <row r="49253">
      <c r="BB49253" s="122"/>
      <c r="BC49253" s="141"/>
    </row>
    <row r="49254">
      <c r="BB49254" s="122"/>
      <c r="BC49254" s="141"/>
    </row>
    <row r="49255">
      <c r="BB49255" s="122"/>
      <c r="BC49255" s="141"/>
    </row>
    <row r="49256">
      <c r="BB49256" s="122"/>
      <c r="BC49256" s="141"/>
    </row>
    <row r="49257">
      <c r="BB49257" s="122"/>
      <c r="BC49257" s="141"/>
    </row>
    <row r="49258">
      <c r="BB49258" s="122"/>
      <c r="BC49258" s="141"/>
    </row>
    <row r="49259">
      <c r="BB49259" s="122"/>
      <c r="BC49259" s="141"/>
    </row>
    <row r="49260">
      <c r="BB49260" s="122"/>
      <c r="BC49260" s="141"/>
    </row>
    <row r="49261">
      <c r="BB49261" s="122"/>
      <c r="BC49261" s="141"/>
    </row>
    <row r="49262">
      <c r="BB49262" s="122"/>
      <c r="BC49262" s="141"/>
    </row>
    <row r="49263">
      <c r="BB49263" s="122"/>
      <c r="BC49263" s="141"/>
    </row>
    <row r="49264">
      <c r="BB49264" s="122"/>
      <c r="BC49264" s="141"/>
    </row>
    <row r="49265">
      <c r="BB49265" s="122"/>
      <c r="BC49265" s="141"/>
    </row>
    <row r="49266">
      <c r="BB49266" s="122"/>
      <c r="BC49266" s="141"/>
    </row>
    <row r="49267">
      <c r="BB49267" s="122"/>
      <c r="BC49267" s="141"/>
    </row>
    <row r="49268">
      <c r="BB49268" s="122"/>
      <c r="BC49268" s="141"/>
    </row>
    <row r="49269">
      <c r="BB49269" s="122"/>
      <c r="BC49269" s="141"/>
    </row>
    <row r="49270">
      <c r="BB49270" s="122"/>
      <c r="BC49270" s="141"/>
    </row>
    <row r="49271">
      <c r="BB49271" s="122"/>
      <c r="BC49271" s="141"/>
    </row>
    <row r="49272">
      <c r="BB49272" s="122"/>
      <c r="BC49272" s="141"/>
    </row>
    <row r="49273">
      <c r="BB49273" s="122"/>
      <c r="BC49273" s="141"/>
    </row>
    <row r="49274">
      <c r="BB49274" s="122"/>
      <c r="BC49274" s="141"/>
    </row>
    <row r="49275">
      <c r="BB49275" s="122"/>
      <c r="BC49275" s="141"/>
    </row>
    <row r="49276">
      <c r="BB49276" s="122"/>
      <c r="BC49276" s="141"/>
    </row>
    <row r="49277">
      <c r="BB49277" s="122"/>
      <c r="BC49277" s="141"/>
    </row>
    <row r="49278">
      <c r="BB49278" s="122"/>
      <c r="BC49278" s="141"/>
    </row>
    <row r="49279">
      <c r="BB49279" s="122"/>
      <c r="BC49279" s="141"/>
    </row>
    <row r="49280">
      <c r="BB49280" s="122"/>
      <c r="BC49280" s="141"/>
    </row>
    <row r="49281">
      <c r="BB49281" s="122"/>
      <c r="BC49281" s="141"/>
    </row>
    <row r="49282">
      <c r="BB49282" s="122"/>
      <c r="BC49282" s="141"/>
    </row>
    <row r="49283">
      <c r="BB49283" s="122"/>
      <c r="BC49283" s="141"/>
    </row>
    <row r="49284">
      <c r="BB49284" s="122"/>
      <c r="BC49284" s="141"/>
    </row>
    <row r="49285">
      <c r="BB49285" s="122"/>
      <c r="BC49285" s="141"/>
    </row>
    <row r="49286">
      <c r="BB49286" s="122"/>
      <c r="BC49286" s="141"/>
    </row>
    <row r="49287">
      <c r="BB49287" s="122"/>
      <c r="BC49287" s="141"/>
    </row>
    <row r="49288">
      <c r="BB49288" s="122"/>
      <c r="BC49288" s="141"/>
    </row>
    <row r="49289">
      <c r="BB49289" s="122"/>
      <c r="BC49289" s="141"/>
    </row>
    <row r="49290">
      <c r="BB49290" s="122"/>
      <c r="BC49290" s="141"/>
    </row>
    <row r="49291">
      <c r="BB49291" s="122"/>
      <c r="BC49291" s="141"/>
    </row>
    <row r="49292">
      <c r="BB49292" s="122"/>
      <c r="BC49292" s="141"/>
    </row>
    <row r="49293">
      <c r="BB49293" s="122"/>
      <c r="BC49293" s="141"/>
    </row>
    <row r="49294">
      <c r="BB49294" s="122"/>
      <c r="BC49294" s="141"/>
    </row>
    <row r="49295">
      <c r="BB49295" s="122"/>
      <c r="BC49295" s="141"/>
    </row>
    <row r="49296">
      <c r="BB49296" s="122"/>
      <c r="BC49296" s="141"/>
    </row>
    <row r="49297">
      <c r="BB49297" s="122"/>
      <c r="BC49297" s="141"/>
    </row>
    <row r="49298">
      <c r="BB49298" s="122"/>
      <c r="BC49298" s="141"/>
    </row>
    <row r="49299">
      <c r="BB49299" s="122"/>
      <c r="BC49299" s="141"/>
    </row>
    <row r="49300">
      <c r="BB49300" s="122"/>
      <c r="BC49300" s="141"/>
    </row>
    <row r="49301">
      <c r="BB49301" s="122"/>
      <c r="BC49301" s="141"/>
    </row>
    <row r="49302">
      <c r="BB49302" s="122"/>
      <c r="BC49302" s="141"/>
    </row>
    <row r="49303">
      <c r="BB49303" s="122"/>
      <c r="BC49303" s="141"/>
    </row>
    <row r="49304">
      <c r="BB49304" s="122"/>
      <c r="BC49304" s="141"/>
    </row>
    <row r="49305">
      <c r="BB49305" s="122"/>
      <c r="BC49305" s="141"/>
    </row>
    <row r="49306">
      <c r="BB49306" s="122"/>
      <c r="BC49306" s="141"/>
    </row>
    <row r="49307">
      <c r="BB49307" s="122"/>
      <c r="BC49307" s="141"/>
    </row>
    <row r="49308">
      <c r="BB49308" s="122"/>
      <c r="BC49308" s="141"/>
    </row>
    <row r="49309">
      <c r="BB49309" s="122"/>
      <c r="BC49309" s="141"/>
    </row>
    <row r="49310">
      <c r="BB49310" s="122"/>
      <c r="BC49310" s="141"/>
    </row>
    <row r="49311">
      <c r="BB49311" s="122"/>
      <c r="BC49311" s="141"/>
    </row>
    <row r="49312">
      <c r="BB49312" s="122"/>
      <c r="BC49312" s="141"/>
    </row>
    <row r="49313">
      <c r="BB49313" s="122"/>
      <c r="BC49313" s="141"/>
    </row>
    <row r="49314">
      <c r="BB49314" s="122"/>
      <c r="BC49314" s="141"/>
    </row>
    <row r="49315">
      <c r="BB49315" s="122"/>
      <c r="BC49315" s="141"/>
    </row>
    <row r="49316">
      <c r="BB49316" s="122"/>
      <c r="BC49316" s="141"/>
    </row>
    <row r="49317">
      <c r="BB49317" s="122"/>
      <c r="BC49317" s="141"/>
    </row>
    <row r="49318">
      <c r="BB49318" s="122"/>
      <c r="BC49318" s="141"/>
    </row>
    <row r="49319">
      <c r="BB49319" s="122"/>
      <c r="BC49319" s="141"/>
    </row>
    <row r="49320">
      <c r="BB49320" s="122"/>
      <c r="BC49320" s="141"/>
    </row>
    <row r="49321">
      <c r="BB49321" s="122"/>
      <c r="BC49321" s="141"/>
    </row>
    <row r="49322">
      <c r="BB49322" s="122"/>
      <c r="BC49322" s="141"/>
    </row>
    <row r="49323">
      <c r="BB49323" s="122"/>
      <c r="BC49323" s="141"/>
    </row>
    <row r="49324">
      <c r="BB49324" s="122"/>
      <c r="BC49324" s="141"/>
    </row>
    <row r="49325">
      <c r="BB49325" s="122"/>
      <c r="BC49325" s="141"/>
    </row>
    <row r="49326">
      <c r="BB49326" s="122"/>
      <c r="BC49326" s="141"/>
    </row>
    <row r="49327">
      <c r="BB49327" s="122"/>
      <c r="BC49327" s="141"/>
    </row>
    <row r="49328">
      <c r="BB49328" s="122"/>
      <c r="BC49328" s="141"/>
    </row>
    <row r="49329">
      <c r="BB49329" s="122"/>
      <c r="BC49329" s="141"/>
    </row>
    <row r="49330">
      <c r="BB49330" s="122"/>
      <c r="BC49330" s="141"/>
    </row>
    <row r="49331">
      <c r="BB49331" s="122"/>
      <c r="BC49331" s="141"/>
    </row>
    <row r="49332">
      <c r="BB49332" s="122"/>
      <c r="BC49332" s="141"/>
    </row>
    <row r="49333">
      <c r="BB49333" s="122"/>
      <c r="BC49333" s="141"/>
    </row>
    <row r="49334">
      <c r="BB49334" s="122"/>
      <c r="BC49334" s="141"/>
    </row>
    <row r="49335">
      <c r="BB49335" s="122"/>
      <c r="BC49335" s="141"/>
    </row>
    <row r="49336">
      <c r="BB49336" s="122"/>
      <c r="BC49336" s="141"/>
    </row>
    <row r="49337">
      <c r="BB49337" s="122"/>
      <c r="BC49337" s="141"/>
    </row>
    <row r="49338">
      <c r="BB49338" s="122"/>
      <c r="BC49338" s="141"/>
    </row>
    <row r="49339">
      <c r="BB49339" s="122"/>
      <c r="BC49339" s="141"/>
    </row>
    <row r="49340">
      <c r="BB49340" s="122"/>
      <c r="BC49340" s="141"/>
    </row>
    <row r="49341">
      <c r="BB49341" s="122"/>
      <c r="BC49341" s="141"/>
    </row>
    <row r="49342">
      <c r="BB49342" s="122"/>
      <c r="BC49342" s="141"/>
    </row>
    <row r="49343">
      <c r="BB49343" s="122"/>
      <c r="BC49343" s="141"/>
    </row>
    <row r="49344">
      <c r="BB49344" s="122"/>
      <c r="BC49344" s="141"/>
    </row>
    <row r="49345">
      <c r="BB49345" s="122"/>
      <c r="BC49345" s="141"/>
    </row>
    <row r="49346">
      <c r="BB49346" s="122"/>
      <c r="BC49346" s="141"/>
    </row>
    <row r="49347">
      <c r="BB49347" s="122"/>
      <c r="BC49347" s="141"/>
    </row>
    <row r="49348">
      <c r="BB49348" s="122"/>
      <c r="BC49348" s="141"/>
    </row>
    <row r="49349">
      <c r="BB49349" s="122"/>
      <c r="BC49349" s="141"/>
    </row>
    <row r="49350">
      <c r="BB49350" s="122"/>
      <c r="BC49350" s="141"/>
    </row>
    <row r="49351">
      <c r="BB49351" s="122"/>
      <c r="BC49351" s="141"/>
    </row>
    <row r="49352">
      <c r="BB49352" s="122"/>
      <c r="BC49352" s="141"/>
    </row>
    <row r="49353">
      <c r="BB49353" s="122"/>
      <c r="BC49353" s="141"/>
    </row>
    <row r="49354">
      <c r="BB49354" s="122"/>
      <c r="BC49354" s="141"/>
    </row>
    <row r="49355">
      <c r="BB49355" s="122"/>
      <c r="BC49355" s="141"/>
    </row>
    <row r="49356">
      <c r="BB49356" s="122"/>
      <c r="BC49356" s="141"/>
    </row>
    <row r="49357">
      <c r="BB49357" s="122"/>
      <c r="BC49357" s="141"/>
    </row>
    <row r="49358">
      <c r="BB49358" s="122"/>
      <c r="BC49358" s="141"/>
    </row>
    <row r="49359">
      <c r="BB49359" s="122"/>
      <c r="BC49359" s="141"/>
    </row>
    <row r="49360">
      <c r="BB49360" s="122"/>
      <c r="BC49360" s="141"/>
    </row>
    <row r="49361">
      <c r="BB49361" s="122"/>
      <c r="BC49361" s="141"/>
    </row>
    <row r="49362">
      <c r="BB49362" s="122"/>
      <c r="BC49362" s="141"/>
    </row>
    <row r="49363">
      <c r="BB49363" s="122"/>
      <c r="BC49363" s="141"/>
    </row>
    <row r="49364">
      <c r="BB49364" s="122"/>
      <c r="BC49364" s="141"/>
    </row>
    <row r="49365">
      <c r="BB49365" s="122"/>
      <c r="BC49365" s="141"/>
    </row>
    <row r="49366">
      <c r="BB49366" s="122"/>
      <c r="BC49366" s="141"/>
    </row>
    <row r="49367">
      <c r="BB49367" s="122"/>
      <c r="BC49367" s="141"/>
    </row>
    <row r="49368">
      <c r="BB49368" s="122"/>
      <c r="BC49368" s="141"/>
    </row>
    <row r="49369">
      <c r="BB49369" s="122"/>
      <c r="BC49369" s="141"/>
    </row>
    <row r="49370">
      <c r="BB49370" s="122"/>
      <c r="BC49370" s="141"/>
    </row>
    <row r="49371">
      <c r="BB49371" s="122"/>
      <c r="BC49371" s="141"/>
    </row>
    <row r="49372">
      <c r="BB49372" s="122"/>
      <c r="BC49372" s="141"/>
    </row>
    <row r="49373">
      <c r="BB49373" s="122"/>
      <c r="BC49373" s="141"/>
    </row>
    <row r="49374">
      <c r="BB49374" s="122"/>
      <c r="BC49374" s="141"/>
    </row>
    <row r="49375">
      <c r="BB49375" s="122"/>
      <c r="BC49375" s="141"/>
    </row>
    <row r="49376">
      <c r="BB49376" s="122"/>
      <c r="BC49376" s="141"/>
    </row>
    <row r="49377">
      <c r="BB49377" s="122"/>
      <c r="BC49377" s="141"/>
    </row>
    <row r="49378">
      <c r="BB49378" s="122"/>
      <c r="BC49378" s="141"/>
    </row>
    <row r="49379">
      <c r="BB49379" s="122"/>
      <c r="BC49379" s="141"/>
    </row>
    <row r="49380">
      <c r="BB49380" s="122"/>
      <c r="BC49380" s="141"/>
    </row>
    <row r="49381">
      <c r="BB49381" s="122"/>
      <c r="BC49381" s="141"/>
    </row>
    <row r="49382">
      <c r="BB49382" s="122"/>
      <c r="BC49382" s="141"/>
    </row>
    <row r="49383">
      <c r="BB49383" s="122"/>
      <c r="BC49383" s="141"/>
    </row>
    <row r="49384">
      <c r="BB49384" s="122"/>
      <c r="BC49384" s="141"/>
    </row>
    <row r="49385">
      <c r="BB49385" s="122"/>
      <c r="BC49385" s="141"/>
    </row>
    <row r="49386">
      <c r="BB49386" s="122"/>
      <c r="BC49386" s="141"/>
    </row>
    <row r="49387">
      <c r="BB49387" s="122"/>
      <c r="BC49387" s="141"/>
    </row>
    <row r="49388">
      <c r="BB49388" s="122"/>
      <c r="BC49388" s="141"/>
    </row>
    <row r="49389">
      <c r="BB49389" s="122"/>
      <c r="BC49389" s="141"/>
    </row>
    <row r="49390">
      <c r="BB49390" s="122"/>
      <c r="BC49390" s="141"/>
    </row>
    <row r="49391">
      <c r="BB49391" s="122"/>
      <c r="BC49391" s="141"/>
    </row>
    <row r="49392">
      <c r="BB49392" s="122"/>
      <c r="BC49392" s="141"/>
    </row>
    <row r="49393">
      <c r="BB49393" s="122"/>
      <c r="BC49393" s="141"/>
    </row>
    <row r="49394">
      <c r="BB49394" s="122"/>
      <c r="BC49394" s="141"/>
    </row>
    <row r="49395">
      <c r="BB49395" s="122"/>
      <c r="BC49395" s="141"/>
    </row>
    <row r="49396">
      <c r="BB49396" s="122"/>
      <c r="BC49396" s="141"/>
    </row>
    <row r="49397">
      <c r="BB49397" s="122"/>
      <c r="BC49397" s="141"/>
    </row>
    <row r="49398">
      <c r="BB49398" s="122"/>
      <c r="BC49398" s="141"/>
    </row>
    <row r="49399">
      <c r="BB49399" s="122"/>
      <c r="BC49399" s="141"/>
    </row>
    <row r="49400">
      <c r="BB49400" s="122"/>
      <c r="BC49400" s="141"/>
    </row>
    <row r="49401">
      <c r="BB49401" s="122"/>
      <c r="BC49401" s="141"/>
    </row>
    <row r="49402">
      <c r="BB49402" s="122"/>
      <c r="BC49402" s="141"/>
    </row>
    <row r="49403">
      <c r="BB49403" s="122"/>
      <c r="BC49403" s="141"/>
    </row>
    <row r="49404">
      <c r="BB49404" s="122"/>
      <c r="BC49404" s="141"/>
    </row>
    <row r="49405">
      <c r="BB49405" s="122"/>
      <c r="BC49405" s="141"/>
    </row>
    <row r="49406">
      <c r="BB49406" s="122"/>
      <c r="BC49406" s="141"/>
    </row>
    <row r="49407">
      <c r="BB49407" s="122"/>
      <c r="BC49407" s="141"/>
    </row>
    <row r="49408">
      <c r="BB49408" s="122"/>
      <c r="BC49408" s="141"/>
    </row>
    <row r="49409">
      <c r="BB49409" s="122"/>
      <c r="BC49409" s="141"/>
    </row>
    <row r="49410">
      <c r="BB49410" s="122"/>
      <c r="BC49410" s="141"/>
    </row>
    <row r="49411">
      <c r="BB49411" s="122"/>
      <c r="BC49411" s="141"/>
    </row>
    <row r="49412">
      <c r="BB49412" s="122"/>
      <c r="BC49412" s="141"/>
    </row>
    <row r="49413">
      <c r="BB49413" s="122"/>
      <c r="BC49413" s="141"/>
    </row>
    <row r="49414">
      <c r="BB49414" s="122"/>
      <c r="BC49414" s="141"/>
    </row>
    <row r="49415">
      <c r="BB49415" s="122"/>
      <c r="BC49415" s="141"/>
    </row>
    <row r="49416">
      <c r="BB49416" s="122"/>
      <c r="BC49416" s="141"/>
    </row>
    <row r="49417">
      <c r="BB49417" s="122"/>
      <c r="BC49417" s="141"/>
    </row>
    <row r="49418">
      <c r="BB49418" s="122"/>
      <c r="BC49418" s="141"/>
    </row>
    <row r="49419">
      <c r="BB49419" s="122"/>
      <c r="BC49419" s="141"/>
    </row>
    <row r="49420">
      <c r="BB49420" s="122"/>
      <c r="BC49420" s="141"/>
    </row>
    <row r="49421">
      <c r="BB49421" s="122"/>
      <c r="BC49421" s="141"/>
    </row>
    <row r="49422">
      <c r="BB49422" s="122"/>
      <c r="BC49422" s="141"/>
    </row>
    <row r="49423">
      <c r="BB49423" s="122"/>
      <c r="BC49423" s="141"/>
    </row>
    <row r="49424">
      <c r="BB49424" s="122"/>
      <c r="BC49424" s="141"/>
    </row>
    <row r="49425">
      <c r="BB49425" s="122"/>
      <c r="BC49425" s="141"/>
    </row>
    <row r="49426">
      <c r="BB49426" s="122"/>
      <c r="BC49426" s="141"/>
    </row>
    <row r="49427">
      <c r="BB49427" s="122"/>
      <c r="BC49427" s="141"/>
    </row>
    <row r="49428">
      <c r="BB49428" s="122"/>
      <c r="BC49428" s="141"/>
    </row>
    <row r="49429">
      <c r="BB49429" s="122"/>
      <c r="BC49429" s="141"/>
    </row>
    <row r="49430">
      <c r="BB49430" s="122"/>
      <c r="BC49430" s="141"/>
    </row>
    <row r="49431">
      <c r="BB49431" s="122"/>
      <c r="BC49431" s="141"/>
    </row>
    <row r="49432">
      <c r="BB49432" s="122"/>
      <c r="BC49432" s="141"/>
    </row>
    <row r="49433">
      <c r="BB49433" s="122"/>
      <c r="BC49433" s="141"/>
    </row>
    <row r="49434">
      <c r="BB49434" s="122"/>
      <c r="BC49434" s="141"/>
    </row>
    <row r="49435">
      <c r="BB49435" s="122"/>
      <c r="BC49435" s="141"/>
    </row>
    <row r="49436">
      <c r="BB49436" s="122"/>
      <c r="BC49436" s="141"/>
    </row>
    <row r="49437">
      <c r="BB49437" s="122"/>
      <c r="BC49437" s="141"/>
    </row>
    <row r="49438">
      <c r="BB49438" s="122"/>
      <c r="BC49438" s="141"/>
    </row>
    <row r="49439">
      <c r="BB49439" s="122"/>
      <c r="BC49439" s="141"/>
    </row>
    <row r="49440">
      <c r="BB49440" s="122"/>
      <c r="BC49440" s="141"/>
    </row>
    <row r="49441">
      <c r="BB49441" s="122"/>
      <c r="BC49441" s="141"/>
    </row>
    <row r="49442">
      <c r="BB49442" s="122"/>
      <c r="BC49442" s="141"/>
    </row>
    <row r="49443">
      <c r="BB49443" s="122"/>
      <c r="BC49443" s="141"/>
    </row>
    <row r="49444">
      <c r="BB49444" s="122"/>
      <c r="BC49444" s="141"/>
    </row>
    <row r="49445">
      <c r="BB49445" s="122"/>
      <c r="BC49445" s="141"/>
    </row>
    <row r="49446">
      <c r="BB49446" s="122"/>
      <c r="BC49446" s="141"/>
    </row>
    <row r="49447">
      <c r="BB49447" s="122"/>
      <c r="BC49447" s="141"/>
    </row>
    <row r="49448">
      <c r="BB49448" s="122"/>
      <c r="BC49448" s="141"/>
    </row>
    <row r="49449">
      <c r="BB49449" s="122"/>
      <c r="BC49449" s="141"/>
    </row>
    <row r="49450">
      <c r="BB49450" s="122"/>
      <c r="BC49450" s="141"/>
    </row>
    <row r="49451">
      <c r="BB49451" s="122"/>
      <c r="BC49451" s="141"/>
    </row>
    <row r="49452">
      <c r="BB49452" s="122"/>
      <c r="BC49452" s="141"/>
    </row>
    <row r="49453">
      <c r="BB49453" s="122"/>
      <c r="BC49453" s="141"/>
    </row>
    <row r="49454">
      <c r="BB49454" s="122"/>
      <c r="BC49454" s="141"/>
    </row>
    <row r="49455">
      <c r="BB49455" s="122"/>
      <c r="BC49455" s="141"/>
    </row>
    <row r="49456">
      <c r="BB49456" s="122"/>
      <c r="BC49456" s="141"/>
    </row>
    <row r="49457">
      <c r="BB49457" s="122"/>
      <c r="BC49457" s="141"/>
    </row>
    <row r="49458">
      <c r="BB49458" s="122"/>
      <c r="BC49458" s="141"/>
    </row>
    <row r="49459">
      <c r="BB49459" s="122"/>
      <c r="BC49459" s="141"/>
    </row>
    <row r="49460">
      <c r="BB49460" s="122"/>
      <c r="BC49460" s="141"/>
    </row>
    <row r="49461">
      <c r="BB49461" s="122"/>
      <c r="BC49461" s="141"/>
    </row>
    <row r="49462">
      <c r="BB49462" s="122"/>
      <c r="BC49462" s="141"/>
    </row>
    <row r="49463">
      <c r="BB49463" s="122"/>
      <c r="BC49463" s="141"/>
    </row>
    <row r="49464">
      <c r="BB49464" s="122"/>
      <c r="BC49464" s="141"/>
    </row>
    <row r="49465">
      <c r="BB49465" s="122"/>
      <c r="BC49465" s="141"/>
    </row>
    <row r="49466">
      <c r="BB49466" s="122"/>
      <c r="BC49466" s="141"/>
    </row>
    <row r="49467">
      <c r="BB49467" s="122"/>
      <c r="BC49467" s="141"/>
    </row>
    <row r="49468">
      <c r="BB49468" s="122"/>
      <c r="BC49468" s="141"/>
    </row>
    <row r="49469">
      <c r="BB49469" s="122"/>
      <c r="BC49469" s="141"/>
    </row>
    <row r="49470">
      <c r="BB49470" s="122"/>
      <c r="BC49470" s="141"/>
    </row>
    <row r="49471">
      <c r="BB49471" s="122"/>
      <c r="BC49471" s="141"/>
    </row>
    <row r="49472">
      <c r="BB49472" s="122"/>
      <c r="BC49472" s="141"/>
    </row>
    <row r="49473">
      <c r="BB49473" s="122"/>
      <c r="BC49473" s="141"/>
    </row>
    <row r="49474">
      <c r="BB49474" s="122"/>
      <c r="BC49474" s="141"/>
    </row>
    <row r="49475">
      <c r="BB49475" s="122"/>
      <c r="BC49475" s="141"/>
    </row>
    <row r="49476">
      <c r="BB49476" s="122"/>
      <c r="BC49476" s="141"/>
    </row>
    <row r="49477">
      <c r="BB49477" s="122"/>
      <c r="BC49477" s="141"/>
    </row>
    <row r="49478">
      <c r="BB49478" s="122"/>
      <c r="BC49478" s="141"/>
    </row>
    <row r="49479">
      <c r="BB49479" s="122"/>
      <c r="BC49479" s="141"/>
    </row>
    <row r="49480">
      <c r="BB49480" s="122"/>
      <c r="BC49480" s="141"/>
    </row>
    <row r="49481">
      <c r="BB49481" s="122"/>
      <c r="BC49481" s="141"/>
    </row>
    <row r="49482">
      <c r="BB49482" s="122"/>
      <c r="BC49482" s="141"/>
    </row>
    <row r="49483">
      <c r="BB49483" s="122"/>
      <c r="BC49483" s="141"/>
    </row>
    <row r="49484">
      <c r="BB49484" s="122"/>
      <c r="BC49484" s="141"/>
    </row>
    <row r="49485">
      <c r="BB49485" s="122"/>
      <c r="BC49485" s="141"/>
    </row>
    <row r="49486">
      <c r="BB49486" s="122"/>
      <c r="BC49486" s="141"/>
    </row>
    <row r="49487">
      <c r="BB49487" s="122"/>
      <c r="BC49487" s="141"/>
    </row>
    <row r="49488">
      <c r="BB49488" s="122"/>
      <c r="BC49488" s="141"/>
    </row>
    <row r="49489">
      <c r="BB49489" s="122"/>
      <c r="BC49489" s="141"/>
    </row>
    <row r="49490">
      <c r="BB49490" s="122"/>
      <c r="BC49490" s="141"/>
    </row>
    <row r="49491">
      <c r="BB49491" s="122"/>
      <c r="BC49491" s="141"/>
    </row>
    <row r="49492">
      <c r="BB49492" s="122"/>
      <c r="BC49492" s="141"/>
    </row>
    <row r="49493">
      <c r="BB49493" s="122"/>
      <c r="BC49493" s="141"/>
    </row>
    <row r="49494">
      <c r="BB49494" s="122"/>
      <c r="BC49494" s="141"/>
    </row>
    <row r="49495">
      <c r="BB49495" s="122"/>
      <c r="BC49495" s="141"/>
    </row>
    <row r="49496">
      <c r="BB49496" s="122"/>
      <c r="BC49496" s="141"/>
    </row>
    <row r="49497">
      <c r="BB49497" s="122"/>
      <c r="BC49497" s="141"/>
    </row>
    <row r="49498">
      <c r="BB49498" s="122"/>
      <c r="BC49498" s="141"/>
    </row>
    <row r="49499">
      <c r="BB49499" s="122"/>
      <c r="BC49499" s="141"/>
    </row>
    <row r="49500">
      <c r="BB49500" s="122"/>
      <c r="BC49500" s="141"/>
    </row>
    <row r="49501">
      <c r="BB49501" s="122"/>
      <c r="BC49501" s="141"/>
    </row>
    <row r="49502">
      <c r="BB49502" s="122"/>
      <c r="BC49502" s="141"/>
    </row>
    <row r="49503">
      <c r="BB49503" s="122"/>
      <c r="BC49503" s="141"/>
    </row>
    <row r="49504">
      <c r="BB49504" s="122"/>
      <c r="BC49504" s="141"/>
    </row>
    <row r="49505">
      <c r="BB49505" s="122"/>
      <c r="BC49505" s="141"/>
    </row>
    <row r="49506">
      <c r="BB49506" s="122"/>
      <c r="BC49506" s="141"/>
    </row>
    <row r="49507">
      <c r="BB49507" s="122"/>
      <c r="BC49507" s="141"/>
    </row>
    <row r="49508">
      <c r="BB49508" s="122"/>
      <c r="BC49508" s="141"/>
    </row>
    <row r="49509">
      <c r="BB49509" s="122"/>
      <c r="BC49509" s="141"/>
    </row>
    <row r="49510">
      <c r="BB49510" s="122"/>
      <c r="BC49510" s="141"/>
    </row>
    <row r="49511">
      <c r="BB49511" s="122"/>
      <c r="BC49511" s="141"/>
    </row>
    <row r="49512">
      <c r="BB49512" s="122"/>
      <c r="BC49512" s="141"/>
    </row>
    <row r="49513">
      <c r="BB49513" s="122"/>
      <c r="BC49513" s="141"/>
    </row>
    <row r="49514">
      <c r="BB49514" s="122"/>
      <c r="BC49514" s="141"/>
    </row>
    <row r="49515">
      <c r="BB49515" s="122"/>
      <c r="BC49515" s="141"/>
    </row>
    <row r="49516">
      <c r="BB49516" s="122"/>
      <c r="BC49516" s="141"/>
    </row>
    <row r="49517">
      <c r="BB49517" s="122"/>
      <c r="BC49517" s="141"/>
    </row>
    <row r="49518">
      <c r="BB49518" s="122"/>
      <c r="BC49518" s="141"/>
    </row>
    <row r="49519">
      <c r="BB49519" s="122"/>
      <c r="BC49519" s="141"/>
    </row>
    <row r="49520">
      <c r="BB49520" s="122"/>
      <c r="BC49520" s="141"/>
    </row>
    <row r="49521">
      <c r="BB49521" s="122"/>
      <c r="BC49521" s="141"/>
    </row>
    <row r="49522">
      <c r="BB49522" s="122"/>
      <c r="BC49522" s="141"/>
    </row>
    <row r="49523">
      <c r="BB49523" s="122"/>
      <c r="BC49523" s="141"/>
    </row>
    <row r="49524">
      <c r="BB49524" s="122"/>
      <c r="BC49524" s="141"/>
    </row>
    <row r="49525">
      <c r="BB49525" s="122"/>
      <c r="BC49525" s="141"/>
    </row>
    <row r="49526">
      <c r="BB49526" s="122"/>
      <c r="BC49526" s="141"/>
    </row>
    <row r="49527">
      <c r="BB49527" s="122"/>
      <c r="BC49527" s="141"/>
    </row>
    <row r="49528">
      <c r="BB49528" s="122"/>
      <c r="BC49528" s="141"/>
    </row>
    <row r="49529">
      <c r="BB49529" s="122"/>
      <c r="BC49529" s="141"/>
    </row>
    <row r="49530">
      <c r="BB49530" s="122"/>
      <c r="BC49530" s="141"/>
    </row>
    <row r="49531">
      <c r="BB49531" s="122"/>
      <c r="BC49531" s="141"/>
    </row>
    <row r="49532">
      <c r="BB49532" s="122"/>
      <c r="BC49532" s="141"/>
    </row>
    <row r="49533">
      <c r="BB49533" s="122"/>
      <c r="BC49533" s="141"/>
    </row>
    <row r="49534">
      <c r="BB49534" s="122"/>
      <c r="BC49534" s="141"/>
    </row>
    <row r="49535">
      <c r="BB49535" s="122"/>
      <c r="BC49535" s="141"/>
    </row>
    <row r="49536">
      <c r="BB49536" s="122"/>
      <c r="BC49536" s="141"/>
    </row>
    <row r="49537">
      <c r="BB49537" s="122"/>
      <c r="BC49537" s="141"/>
    </row>
    <row r="49538">
      <c r="BB49538" s="122"/>
      <c r="BC49538" s="141"/>
    </row>
    <row r="49539">
      <c r="BB49539" s="122"/>
      <c r="BC49539" s="141"/>
    </row>
    <row r="49540">
      <c r="BB49540" s="122"/>
      <c r="BC49540" s="141"/>
    </row>
    <row r="49541">
      <c r="BB49541" s="122"/>
      <c r="BC49541" s="141"/>
    </row>
    <row r="49542">
      <c r="BB49542" s="122"/>
      <c r="BC49542" s="141"/>
    </row>
    <row r="49543">
      <c r="BB49543" s="122"/>
      <c r="BC49543" s="141"/>
    </row>
    <row r="49544">
      <c r="BB49544" s="122"/>
      <c r="BC49544" s="141"/>
    </row>
    <row r="49545">
      <c r="BB49545" s="122"/>
      <c r="BC49545" s="141"/>
    </row>
    <row r="49546">
      <c r="BB49546" s="122"/>
      <c r="BC49546" s="141"/>
    </row>
    <row r="49547">
      <c r="BB49547" s="122"/>
      <c r="BC49547" s="141"/>
    </row>
    <row r="49548">
      <c r="BB49548" s="122"/>
      <c r="BC49548" s="141"/>
    </row>
    <row r="49549">
      <c r="BB49549" s="122"/>
      <c r="BC49549" s="141"/>
    </row>
    <row r="49550">
      <c r="BB49550" s="122"/>
      <c r="BC49550" s="141"/>
    </row>
    <row r="49551">
      <c r="BB49551" s="122"/>
      <c r="BC49551" s="141"/>
    </row>
    <row r="49552">
      <c r="BB49552" s="122"/>
      <c r="BC49552" s="141"/>
    </row>
    <row r="49553">
      <c r="BB49553" s="122"/>
      <c r="BC49553" s="141"/>
    </row>
    <row r="49554">
      <c r="BB49554" s="122"/>
      <c r="BC49554" s="141"/>
    </row>
    <row r="49555">
      <c r="BB49555" s="122"/>
      <c r="BC49555" s="141"/>
    </row>
    <row r="49556">
      <c r="BB49556" s="122"/>
      <c r="BC49556" s="141"/>
    </row>
    <row r="49557">
      <c r="BB49557" s="122"/>
      <c r="BC49557" s="141"/>
    </row>
    <row r="49558">
      <c r="BB49558" s="122"/>
      <c r="BC49558" s="141"/>
    </row>
    <row r="49559">
      <c r="BB49559" s="122"/>
      <c r="BC49559" s="141"/>
    </row>
    <row r="49560">
      <c r="BB49560" s="122"/>
      <c r="BC49560" s="141"/>
    </row>
    <row r="49561">
      <c r="BB49561" s="122"/>
      <c r="BC49561" s="141"/>
    </row>
    <row r="49562">
      <c r="BB49562" s="122"/>
      <c r="BC49562" s="141"/>
    </row>
    <row r="49563">
      <c r="BB49563" s="122"/>
      <c r="BC49563" s="141"/>
    </row>
    <row r="49564">
      <c r="BB49564" s="122"/>
      <c r="BC49564" s="141"/>
    </row>
    <row r="49565">
      <c r="BB49565" s="122"/>
      <c r="BC49565" s="141"/>
    </row>
    <row r="49566">
      <c r="BB49566" s="122"/>
      <c r="BC49566" s="141"/>
    </row>
    <row r="49567">
      <c r="BB49567" s="122"/>
      <c r="BC49567" s="141"/>
    </row>
    <row r="49568">
      <c r="BB49568" s="122"/>
      <c r="BC49568" s="141"/>
    </row>
    <row r="49569">
      <c r="BB49569" s="122"/>
      <c r="BC49569" s="141"/>
    </row>
    <row r="49570">
      <c r="BB49570" s="122"/>
      <c r="BC49570" s="141"/>
    </row>
    <row r="49571">
      <c r="BB49571" s="122"/>
      <c r="BC49571" s="141"/>
    </row>
    <row r="49572">
      <c r="BB49572" s="122"/>
      <c r="BC49572" s="141"/>
    </row>
    <row r="49573">
      <c r="BB49573" s="122"/>
      <c r="BC49573" s="141"/>
    </row>
    <row r="49574">
      <c r="BB49574" s="122"/>
      <c r="BC49574" s="141"/>
    </row>
    <row r="49575">
      <c r="BB49575" s="122"/>
      <c r="BC49575" s="141"/>
    </row>
    <row r="49576">
      <c r="BB49576" s="122"/>
      <c r="BC49576" s="141"/>
    </row>
    <row r="49577">
      <c r="BB49577" s="122"/>
      <c r="BC49577" s="141"/>
    </row>
    <row r="49578">
      <c r="BB49578" s="122"/>
      <c r="BC49578" s="141"/>
    </row>
    <row r="49579">
      <c r="BB49579" s="122"/>
      <c r="BC49579" s="141"/>
    </row>
    <row r="49580">
      <c r="BB49580" s="122"/>
      <c r="BC49580" s="141"/>
    </row>
    <row r="49581">
      <c r="BB49581" s="122"/>
      <c r="BC49581" s="141"/>
    </row>
    <row r="49582">
      <c r="BB49582" s="122"/>
      <c r="BC49582" s="141"/>
    </row>
    <row r="49583">
      <c r="BB49583" s="122"/>
      <c r="BC49583" s="141"/>
    </row>
    <row r="49584">
      <c r="BB49584" s="122"/>
      <c r="BC49584" s="141"/>
    </row>
    <row r="49585">
      <c r="BB49585" s="122"/>
      <c r="BC49585" s="141"/>
    </row>
    <row r="49586">
      <c r="BB49586" s="122"/>
      <c r="BC49586" s="141"/>
    </row>
    <row r="49587">
      <c r="BB49587" s="122"/>
      <c r="BC49587" s="141"/>
    </row>
    <row r="49588">
      <c r="BB49588" s="122"/>
      <c r="BC49588" s="141"/>
    </row>
    <row r="49589">
      <c r="BB49589" s="122"/>
      <c r="BC49589" s="141"/>
    </row>
    <row r="49590">
      <c r="BB49590" s="122"/>
      <c r="BC49590" s="141"/>
    </row>
    <row r="49591">
      <c r="BB49591" s="122"/>
      <c r="BC49591" s="141"/>
    </row>
    <row r="49592">
      <c r="BB49592" s="122"/>
      <c r="BC49592" s="141"/>
    </row>
    <row r="49593">
      <c r="BB49593" s="122"/>
      <c r="BC49593" s="141"/>
    </row>
    <row r="49594">
      <c r="BB49594" s="122"/>
      <c r="BC49594" s="141"/>
    </row>
    <row r="49595">
      <c r="BB49595" s="122"/>
      <c r="BC49595" s="141"/>
    </row>
    <row r="49596">
      <c r="BB49596" s="122"/>
      <c r="BC49596" s="141"/>
    </row>
    <row r="49597">
      <c r="BB49597" s="122"/>
      <c r="BC49597" s="141"/>
    </row>
    <row r="49598">
      <c r="BB49598" s="122"/>
      <c r="BC49598" s="141"/>
    </row>
    <row r="49599">
      <c r="BB49599" s="122"/>
      <c r="BC49599" s="141"/>
    </row>
    <row r="49600">
      <c r="BB49600" s="122"/>
      <c r="BC49600" s="141"/>
    </row>
    <row r="49601">
      <c r="BB49601" s="122"/>
      <c r="BC49601" s="141"/>
    </row>
    <row r="49602">
      <c r="BB49602" s="122"/>
      <c r="BC49602" s="141"/>
    </row>
    <row r="49603">
      <c r="BB49603" s="122"/>
      <c r="BC49603" s="141"/>
    </row>
    <row r="49604">
      <c r="BB49604" s="122"/>
      <c r="BC49604" s="141"/>
    </row>
    <row r="49605">
      <c r="BB49605" s="122"/>
      <c r="BC49605" s="141"/>
    </row>
    <row r="49606">
      <c r="BB49606" s="122"/>
      <c r="BC49606" s="141"/>
    </row>
    <row r="49607">
      <c r="BB49607" s="122"/>
      <c r="BC49607" s="141"/>
    </row>
    <row r="49608">
      <c r="BB49608" s="122"/>
      <c r="BC49608" s="141"/>
    </row>
    <row r="49609">
      <c r="BB49609" s="122"/>
      <c r="BC49609" s="141"/>
    </row>
    <row r="49610">
      <c r="BB49610" s="122"/>
      <c r="BC49610" s="141"/>
    </row>
    <row r="49611">
      <c r="BB49611" s="122"/>
      <c r="BC49611" s="141"/>
    </row>
    <row r="49612">
      <c r="BB49612" s="122"/>
      <c r="BC49612" s="141"/>
    </row>
    <row r="49613">
      <c r="BB49613" s="122"/>
      <c r="BC49613" s="141"/>
    </row>
    <row r="49614">
      <c r="BB49614" s="122"/>
      <c r="BC49614" s="141"/>
    </row>
    <row r="49615">
      <c r="BB49615" s="122"/>
      <c r="BC49615" s="141"/>
    </row>
    <row r="49616">
      <c r="BB49616" s="122"/>
      <c r="BC49616" s="141"/>
    </row>
    <row r="49617">
      <c r="BB49617" s="122"/>
      <c r="BC49617" s="141"/>
    </row>
    <row r="49618">
      <c r="BB49618" s="122"/>
      <c r="BC49618" s="141"/>
    </row>
    <row r="49619">
      <c r="BB49619" s="122"/>
      <c r="BC49619" s="141"/>
    </row>
    <row r="49620">
      <c r="BB49620" s="122"/>
      <c r="BC49620" s="141"/>
    </row>
    <row r="49621">
      <c r="BB49621" s="122"/>
      <c r="BC49621" s="141"/>
    </row>
    <row r="49622">
      <c r="BB49622" s="122"/>
      <c r="BC49622" s="141"/>
    </row>
    <row r="49623">
      <c r="BB49623" s="122"/>
      <c r="BC49623" s="141"/>
    </row>
    <row r="49624">
      <c r="BB49624" s="122"/>
      <c r="BC49624" s="141"/>
    </row>
    <row r="49625">
      <c r="BB49625" s="122"/>
      <c r="BC49625" s="141"/>
    </row>
    <row r="49626">
      <c r="BB49626" s="122"/>
      <c r="BC49626" s="141"/>
    </row>
    <row r="49627">
      <c r="BB49627" s="122"/>
      <c r="BC49627" s="141"/>
    </row>
    <row r="49628">
      <c r="BB49628" s="122"/>
      <c r="BC49628" s="141"/>
    </row>
    <row r="49629">
      <c r="BB49629" s="122"/>
      <c r="BC49629" s="141"/>
    </row>
    <row r="49630">
      <c r="BB49630" s="122"/>
      <c r="BC49630" s="141"/>
    </row>
    <row r="49631">
      <c r="BB49631" s="122"/>
      <c r="BC49631" s="141"/>
    </row>
    <row r="49632">
      <c r="BB49632" s="122"/>
      <c r="BC49632" s="141"/>
    </row>
    <row r="49633">
      <c r="BB49633" s="122"/>
      <c r="BC49633" s="141"/>
    </row>
    <row r="49634">
      <c r="BB49634" s="122"/>
      <c r="BC49634" s="141"/>
    </row>
    <row r="49635">
      <c r="BB49635" s="122"/>
      <c r="BC49635" s="141"/>
    </row>
    <row r="49636">
      <c r="BB49636" s="122"/>
      <c r="BC49636" s="141"/>
    </row>
    <row r="49637">
      <c r="BB49637" s="122"/>
      <c r="BC49637" s="141"/>
    </row>
    <row r="49638">
      <c r="BB49638" s="122"/>
      <c r="BC49638" s="141"/>
    </row>
    <row r="49639">
      <c r="BB49639" s="122"/>
      <c r="BC49639" s="141"/>
    </row>
    <row r="49640">
      <c r="BB49640" s="122"/>
      <c r="BC49640" s="141"/>
    </row>
    <row r="49641">
      <c r="BB49641" s="122"/>
      <c r="BC49641" s="141"/>
    </row>
    <row r="49642">
      <c r="BB49642" s="122"/>
      <c r="BC49642" s="141"/>
    </row>
    <row r="49643">
      <c r="BB49643" s="122"/>
      <c r="BC49643" s="141"/>
    </row>
    <row r="49644">
      <c r="BB49644" s="122"/>
      <c r="BC49644" s="141"/>
    </row>
    <row r="49645">
      <c r="BB49645" s="122"/>
      <c r="BC49645" s="141"/>
    </row>
    <row r="49646">
      <c r="BB49646" s="122"/>
      <c r="BC49646" s="141"/>
    </row>
    <row r="49647">
      <c r="BB49647" s="122"/>
      <c r="BC49647" s="141"/>
    </row>
    <row r="49648">
      <c r="BB49648" s="122"/>
      <c r="BC49648" s="141"/>
    </row>
    <row r="49649">
      <c r="BB49649" s="122"/>
      <c r="BC49649" s="141"/>
    </row>
    <row r="49650">
      <c r="BB49650" s="122"/>
      <c r="BC49650" s="141"/>
    </row>
    <row r="49651">
      <c r="BB49651" s="122"/>
      <c r="BC49651" s="141"/>
    </row>
    <row r="49652">
      <c r="BB49652" s="122"/>
      <c r="BC49652" s="141"/>
    </row>
    <row r="49653">
      <c r="BB49653" s="122"/>
      <c r="BC49653" s="141"/>
    </row>
    <row r="49654">
      <c r="BB49654" s="122"/>
      <c r="BC49654" s="141"/>
    </row>
    <row r="49655">
      <c r="BB49655" s="122"/>
      <c r="BC49655" s="141"/>
    </row>
    <row r="49656">
      <c r="BB49656" s="122"/>
      <c r="BC49656" s="141"/>
    </row>
    <row r="49657">
      <c r="BB49657" s="122"/>
      <c r="BC49657" s="141"/>
    </row>
    <row r="49658">
      <c r="BB49658" s="122"/>
      <c r="BC49658" s="141"/>
    </row>
    <row r="49659">
      <c r="BB49659" s="122"/>
      <c r="BC49659" s="141"/>
    </row>
    <row r="49660">
      <c r="BB49660" s="122"/>
      <c r="BC49660" s="141"/>
    </row>
    <row r="49661">
      <c r="BB49661" s="122"/>
      <c r="BC49661" s="141"/>
    </row>
    <row r="49662">
      <c r="BB49662" s="122"/>
      <c r="BC49662" s="141"/>
    </row>
    <row r="49663">
      <c r="BB49663" s="122"/>
      <c r="BC49663" s="141"/>
    </row>
    <row r="49664">
      <c r="BB49664" s="122"/>
      <c r="BC49664" s="141"/>
    </row>
    <row r="49665">
      <c r="BB49665" s="122"/>
      <c r="BC49665" s="141"/>
    </row>
    <row r="49666">
      <c r="BB49666" s="122"/>
      <c r="BC49666" s="141"/>
    </row>
    <row r="49667">
      <c r="BB49667" s="122"/>
      <c r="BC49667" s="141"/>
    </row>
    <row r="49668">
      <c r="BB49668" s="122"/>
      <c r="BC49668" s="141"/>
    </row>
    <row r="49669">
      <c r="BB49669" s="122"/>
      <c r="BC49669" s="141"/>
    </row>
    <row r="49670">
      <c r="BB49670" s="122"/>
      <c r="BC49670" s="141"/>
    </row>
    <row r="49671">
      <c r="BB49671" s="122"/>
      <c r="BC49671" s="141"/>
    </row>
    <row r="49672">
      <c r="BB49672" s="122"/>
      <c r="BC49672" s="141"/>
    </row>
    <row r="49673">
      <c r="BB49673" s="122"/>
      <c r="BC49673" s="141"/>
    </row>
    <row r="49674">
      <c r="BB49674" s="122"/>
      <c r="BC49674" s="141"/>
    </row>
    <row r="49675">
      <c r="BB49675" s="122"/>
      <c r="BC49675" s="141"/>
    </row>
    <row r="49676">
      <c r="BB49676" s="122"/>
      <c r="BC49676" s="141"/>
    </row>
    <row r="49677">
      <c r="BB49677" s="122"/>
      <c r="BC49677" s="141"/>
    </row>
    <row r="49678">
      <c r="BB49678" s="122"/>
      <c r="BC49678" s="141"/>
    </row>
    <row r="49679">
      <c r="BB49679" s="122"/>
      <c r="BC49679" s="141"/>
    </row>
    <row r="49680">
      <c r="BB49680" s="122"/>
      <c r="BC49680" s="141"/>
    </row>
    <row r="49681">
      <c r="BB49681" s="122"/>
      <c r="BC49681" s="141"/>
    </row>
    <row r="49682">
      <c r="BB49682" s="122"/>
      <c r="BC49682" s="141"/>
    </row>
    <row r="49683">
      <c r="BB49683" s="122"/>
      <c r="BC49683" s="141"/>
    </row>
    <row r="49684">
      <c r="BB49684" s="122"/>
      <c r="BC49684" s="141"/>
    </row>
    <row r="49685">
      <c r="BB49685" s="122"/>
      <c r="BC49685" s="141"/>
    </row>
    <row r="49686">
      <c r="BB49686" s="122"/>
      <c r="BC49686" s="141"/>
    </row>
    <row r="49687">
      <c r="BB49687" s="122"/>
      <c r="BC49687" s="141"/>
    </row>
    <row r="49688">
      <c r="BB49688" s="122"/>
      <c r="BC49688" s="141"/>
    </row>
    <row r="49689">
      <c r="BB49689" s="122"/>
      <c r="BC49689" s="141"/>
    </row>
    <row r="49690">
      <c r="BB49690" s="122"/>
      <c r="BC49690" s="141"/>
    </row>
    <row r="49691">
      <c r="BB49691" s="122"/>
      <c r="BC49691" s="141"/>
    </row>
    <row r="49692">
      <c r="BB49692" s="122"/>
      <c r="BC49692" s="141"/>
    </row>
    <row r="49693">
      <c r="BB49693" s="122"/>
      <c r="BC49693" s="141"/>
    </row>
    <row r="49694">
      <c r="BB49694" s="122"/>
      <c r="BC49694" s="141"/>
    </row>
    <row r="49695">
      <c r="BB49695" s="122"/>
      <c r="BC49695" s="141"/>
    </row>
    <row r="49696">
      <c r="BB49696" s="122"/>
      <c r="BC49696" s="141"/>
    </row>
    <row r="49697">
      <c r="BB49697" s="122"/>
      <c r="BC49697" s="141"/>
    </row>
    <row r="49698">
      <c r="BB49698" s="122"/>
      <c r="BC49698" s="141"/>
    </row>
    <row r="49699">
      <c r="BB49699" s="122"/>
      <c r="BC49699" s="141"/>
    </row>
    <row r="49700">
      <c r="BB49700" s="122"/>
      <c r="BC49700" s="141"/>
    </row>
    <row r="49701">
      <c r="BB49701" s="122"/>
      <c r="BC49701" s="141"/>
    </row>
    <row r="49702">
      <c r="BB49702" s="122"/>
      <c r="BC49702" s="141"/>
    </row>
    <row r="49703">
      <c r="BB49703" s="122"/>
      <c r="BC49703" s="141"/>
    </row>
    <row r="49704">
      <c r="BB49704" s="122"/>
      <c r="BC49704" s="141"/>
    </row>
    <row r="49705">
      <c r="BB49705" s="122"/>
      <c r="BC49705" s="141"/>
    </row>
    <row r="49706">
      <c r="BB49706" s="122"/>
      <c r="BC49706" s="141"/>
    </row>
    <row r="49707">
      <c r="BB49707" s="122"/>
      <c r="BC49707" s="141"/>
    </row>
    <row r="49708">
      <c r="BB49708" s="122"/>
      <c r="BC49708" s="141"/>
    </row>
    <row r="49709">
      <c r="BB49709" s="122"/>
      <c r="BC49709" s="141"/>
    </row>
    <row r="49710">
      <c r="BB49710" s="122"/>
      <c r="BC49710" s="141"/>
    </row>
    <row r="49711">
      <c r="BB49711" s="122"/>
      <c r="BC49711" s="141"/>
    </row>
    <row r="49712">
      <c r="BB49712" s="122"/>
      <c r="BC49712" s="141"/>
    </row>
    <row r="49713">
      <c r="BB49713" s="122"/>
      <c r="BC49713" s="141"/>
    </row>
    <row r="49714">
      <c r="BB49714" s="122"/>
      <c r="BC49714" s="141"/>
    </row>
    <row r="49715">
      <c r="BB49715" s="122"/>
      <c r="BC49715" s="141"/>
    </row>
    <row r="49716">
      <c r="BB49716" s="122"/>
      <c r="BC49716" s="141"/>
    </row>
    <row r="49717">
      <c r="BB49717" s="122"/>
      <c r="BC49717" s="141"/>
    </row>
    <row r="49718">
      <c r="BB49718" s="122"/>
      <c r="BC49718" s="141"/>
    </row>
    <row r="49719">
      <c r="BB49719" s="122"/>
      <c r="BC49719" s="141"/>
    </row>
    <row r="49720">
      <c r="BB49720" s="122"/>
      <c r="BC49720" s="141"/>
    </row>
    <row r="49721">
      <c r="BB49721" s="122"/>
      <c r="BC49721" s="141"/>
    </row>
    <row r="49722">
      <c r="BB49722" s="122"/>
      <c r="BC49722" s="141"/>
    </row>
    <row r="49723">
      <c r="BB49723" s="122"/>
      <c r="BC49723" s="141"/>
    </row>
    <row r="49724">
      <c r="BB49724" s="122"/>
      <c r="BC49724" s="141"/>
    </row>
    <row r="49725">
      <c r="BB49725" s="122"/>
      <c r="BC49725" s="141"/>
    </row>
    <row r="49726">
      <c r="BB49726" s="122"/>
      <c r="BC49726" s="141"/>
    </row>
    <row r="49727">
      <c r="BB49727" s="122"/>
      <c r="BC49727" s="141"/>
    </row>
    <row r="49728">
      <c r="BB49728" s="122"/>
      <c r="BC49728" s="141"/>
    </row>
    <row r="49729">
      <c r="BB49729" s="122"/>
      <c r="BC49729" s="141"/>
    </row>
    <row r="49730">
      <c r="BB49730" s="122"/>
      <c r="BC49730" s="141"/>
    </row>
    <row r="49731">
      <c r="BB49731" s="122"/>
      <c r="BC49731" s="141"/>
    </row>
    <row r="49732">
      <c r="BB49732" s="122"/>
      <c r="BC49732" s="141"/>
    </row>
    <row r="49733">
      <c r="BB49733" s="122"/>
      <c r="BC49733" s="141"/>
    </row>
    <row r="49734">
      <c r="BB49734" s="122"/>
      <c r="BC49734" s="141"/>
    </row>
    <row r="49735">
      <c r="BB49735" s="122"/>
      <c r="BC49735" s="141"/>
    </row>
    <row r="49736">
      <c r="BB49736" s="122"/>
      <c r="BC49736" s="141"/>
    </row>
    <row r="49737">
      <c r="BB49737" s="122"/>
      <c r="BC49737" s="141"/>
    </row>
    <row r="49738">
      <c r="BB49738" s="122"/>
      <c r="BC49738" s="141"/>
    </row>
    <row r="49739">
      <c r="BB49739" s="122"/>
      <c r="BC49739" s="141"/>
    </row>
    <row r="49740">
      <c r="BB49740" s="122"/>
      <c r="BC49740" s="141"/>
    </row>
    <row r="49741">
      <c r="BB49741" s="122"/>
      <c r="BC49741" s="141"/>
    </row>
    <row r="49742">
      <c r="BB49742" s="122"/>
      <c r="BC49742" s="141"/>
    </row>
    <row r="49743">
      <c r="BB49743" s="122"/>
      <c r="BC49743" s="141"/>
    </row>
    <row r="49744">
      <c r="BB49744" s="122"/>
      <c r="BC49744" s="141"/>
    </row>
    <row r="49745">
      <c r="BB49745" s="122"/>
      <c r="BC49745" s="141"/>
    </row>
    <row r="49746">
      <c r="BB49746" s="122"/>
      <c r="BC49746" s="141"/>
    </row>
    <row r="49747">
      <c r="BB49747" s="122"/>
      <c r="BC49747" s="141"/>
    </row>
    <row r="49748">
      <c r="BB49748" s="122"/>
      <c r="BC49748" s="141"/>
    </row>
    <row r="49749">
      <c r="BB49749" s="122"/>
      <c r="BC49749" s="141"/>
    </row>
    <row r="49750">
      <c r="BB49750" s="122"/>
      <c r="BC49750" s="141"/>
    </row>
    <row r="49751">
      <c r="BB49751" s="122"/>
      <c r="BC49751" s="141"/>
    </row>
    <row r="49752">
      <c r="BB49752" s="122"/>
      <c r="BC49752" s="141"/>
    </row>
    <row r="49753">
      <c r="BB49753" s="122"/>
      <c r="BC49753" s="141"/>
    </row>
    <row r="49754">
      <c r="BB49754" s="122"/>
      <c r="BC49754" s="141"/>
    </row>
    <row r="49755">
      <c r="BB49755" s="122"/>
      <c r="BC49755" s="141"/>
    </row>
    <row r="49756">
      <c r="BB49756" s="122"/>
      <c r="BC49756" s="141"/>
    </row>
    <row r="49757">
      <c r="BB49757" s="122"/>
      <c r="BC49757" s="141"/>
    </row>
    <row r="49758">
      <c r="BB49758" s="122"/>
      <c r="BC49758" s="141"/>
    </row>
    <row r="49759">
      <c r="BB49759" s="122"/>
      <c r="BC49759" s="141"/>
    </row>
    <row r="49760">
      <c r="BB49760" s="122"/>
      <c r="BC49760" s="141"/>
    </row>
    <row r="49761">
      <c r="BB49761" s="122"/>
      <c r="BC49761" s="141"/>
    </row>
    <row r="49762">
      <c r="BB49762" s="122"/>
      <c r="BC49762" s="141"/>
    </row>
    <row r="49763">
      <c r="BB49763" s="122"/>
      <c r="BC49763" s="141"/>
    </row>
    <row r="49764">
      <c r="BB49764" s="122"/>
      <c r="BC49764" s="141"/>
    </row>
    <row r="49765">
      <c r="BB49765" s="122"/>
      <c r="BC49765" s="141"/>
    </row>
    <row r="49766">
      <c r="BB49766" s="122"/>
      <c r="BC49766" s="141"/>
    </row>
    <row r="49767">
      <c r="BB49767" s="122"/>
      <c r="BC49767" s="141"/>
    </row>
    <row r="49768">
      <c r="BB49768" s="122"/>
      <c r="BC49768" s="141"/>
    </row>
    <row r="49769">
      <c r="BB49769" s="122"/>
      <c r="BC49769" s="141"/>
    </row>
    <row r="49770">
      <c r="BB49770" s="122"/>
      <c r="BC49770" s="141"/>
    </row>
    <row r="49771">
      <c r="BB49771" s="122"/>
      <c r="BC49771" s="141"/>
    </row>
    <row r="49772">
      <c r="BB49772" s="122"/>
      <c r="BC49772" s="141"/>
    </row>
    <row r="49773">
      <c r="BB49773" s="122"/>
      <c r="BC49773" s="141"/>
    </row>
    <row r="49774">
      <c r="BB49774" s="122"/>
      <c r="BC49774" s="141"/>
    </row>
    <row r="49775">
      <c r="BB49775" s="122"/>
      <c r="BC49775" s="141"/>
    </row>
    <row r="49776">
      <c r="BB49776" s="122"/>
      <c r="BC49776" s="141"/>
    </row>
    <row r="49777">
      <c r="BB49777" s="122"/>
      <c r="BC49777" s="141"/>
    </row>
    <row r="49778">
      <c r="BB49778" s="122"/>
      <c r="BC49778" s="141"/>
    </row>
    <row r="49779">
      <c r="BB49779" s="122"/>
      <c r="BC49779" s="141"/>
    </row>
    <row r="49780">
      <c r="BB49780" s="122"/>
      <c r="BC49780" s="141"/>
    </row>
    <row r="49781">
      <c r="BB49781" s="122"/>
      <c r="BC49781" s="141"/>
    </row>
    <row r="49782">
      <c r="BB49782" s="122"/>
      <c r="BC49782" s="141"/>
    </row>
    <row r="49783">
      <c r="BB49783" s="122"/>
      <c r="BC49783" s="141"/>
    </row>
    <row r="49784">
      <c r="BB49784" s="122"/>
      <c r="BC49784" s="141"/>
    </row>
    <row r="49785">
      <c r="BB49785" s="122"/>
      <c r="BC49785" s="141"/>
    </row>
    <row r="49786">
      <c r="BB49786" s="122"/>
      <c r="BC49786" s="141"/>
    </row>
    <row r="49787">
      <c r="BB49787" s="122"/>
      <c r="BC49787" s="141"/>
    </row>
    <row r="49788">
      <c r="BB49788" s="122"/>
      <c r="BC49788" s="141"/>
    </row>
    <row r="49789">
      <c r="BB49789" s="122"/>
      <c r="BC49789" s="141"/>
    </row>
    <row r="49790">
      <c r="BB49790" s="122"/>
      <c r="BC49790" s="141"/>
    </row>
    <row r="49791">
      <c r="BB49791" s="122"/>
      <c r="BC49791" s="141"/>
    </row>
    <row r="49792">
      <c r="BB49792" s="122"/>
      <c r="BC49792" s="141"/>
    </row>
    <row r="49793">
      <c r="BB49793" s="122"/>
      <c r="BC49793" s="141"/>
    </row>
    <row r="49794">
      <c r="BB49794" s="122"/>
      <c r="BC49794" s="141"/>
    </row>
    <row r="49795">
      <c r="BB49795" s="122"/>
      <c r="BC49795" s="141"/>
    </row>
    <row r="49796">
      <c r="BB49796" s="122"/>
      <c r="BC49796" s="141"/>
    </row>
    <row r="49797">
      <c r="BB49797" s="122"/>
      <c r="BC49797" s="141"/>
    </row>
    <row r="49798">
      <c r="BB49798" s="122"/>
      <c r="BC49798" s="141"/>
    </row>
    <row r="49799">
      <c r="BB49799" s="122"/>
      <c r="BC49799" s="141"/>
    </row>
    <row r="49800">
      <c r="BB49800" s="122"/>
      <c r="BC49800" s="141"/>
    </row>
    <row r="49801">
      <c r="BB49801" s="122"/>
      <c r="BC49801" s="141"/>
    </row>
    <row r="49802">
      <c r="BB49802" s="122"/>
      <c r="BC49802" s="141"/>
    </row>
    <row r="49803">
      <c r="BB49803" s="122"/>
      <c r="BC49803" s="141"/>
    </row>
    <row r="49804">
      <c r="BB49804" s="122"/>
      <c r="BC49804" s="141"/>
    </row>
    <row r="49805">
      <c r="BB49805" s="122"/>
      <c r="BC49805" s="141"/>
    </row>
    <row r="49806">
      <c r="BB49806" s="122"/>
      <c r="BC49806" s="141"/>
    </row>
    <row r="49807">
      <c r="BB49807" s="122"/>
      <c r="BC49807" s="141"/>
    </row>
    <row r="49808">
      <c r="BB49808" s="122"/>
      <c r="BC49808" s="141"/>
    </row>
    <row r="49809">
      <c r="BB49809" s="122"/>
      <c r="BC49809" s="141"/>
    </row>
    <row r="49810">
      <c r="BB49810" s="122"/>
      <c r="BC49810" s="141"/>
    </row>
    <row r="49811">
      <c r="BB49811" s="122"/>
      <c r="BC49811" s="141"/>
    </row>
    <row r="49812">
      <c r="BB49812" s="122"/>
      <c r="BC49812" s="141"/>
    </row>
    <row r="49813">
      <c r="BB49813" s="122"/>
      <c r="BC49813" s="141"/>
    </row>
    <row r="49814">
      <c r="BB49814" s="122"/>
      <c r="BC49814" s="141"/>
    </row>
    <row r="49815">
      <c r="BB49815" s="122"/>
      <c r="BC49815" s="141"/>
    </row>
    <row r="49816">
      <c r="BB49816" s="122"/>
      <c r="BC49816" s="141"/>
    </row>
    <row r="49817">
      <c r="BB49817" s="122"/>
      <c r="BC49817" s="141"/>
    </row>
    <row r="49818">
      <c r="BB49818" s="122"/>
      <c r="BC49818" s="141"/>
    </row>
    <row r="49819">
      <c r="BB49819" s="122"/>
      <c r="BC49819" s="141"/>
    </row>
    <row r="49820">
      <c r="BB49820" s="122"/>
      <c r="BC49820" s="141"/>
    </row>
    <row r="49821">
      <c r="BB49821" s="122"/>
      <c r="BC49821" s="141"/>
    </row>
    <row r="49822">
      <c r="BB49822" s="122"/>
      <c r="BC49822" s="141"/>
    </row>
    <row r="49823">
      <c r="BB49823" s="122"/>
      <c r="BC49823" s="141"/>
    </row>
    <row r="49824">
      <c r="BB49824" s="122"/>
      <c r="BC49824" s="141"/>
    </row>
    <row r="49825">
      <c r="BB49825" s="122"/>
      <c r="BC49825" s="141"/>
    </row>
    <row r="49826">
      <c r="BB49826" s="122"/>
      <c r="BC49826" s="141"/>
    </row>
    <row r="49827">
      <c r="BB49827" s="122"/>
      <c r="BC49827" s="141"/>
    </row>
    <row r="49828">
      <c r="BB49828" s="122"/>
      <c r="BC49828" s="141"/>
    </row>
    <row r="49829">
      <c r="BB49829" s="122"/>
      <c r="BC49829" s="141"/>
    </row>
    <row r="49830">
      <c r="BB49830" s="122"/>
      <c r="BC49830" s="141"/>
    </row>
    <row r="49831">
      <c r="BB49831" s="122"/>
      <c r="BC49831" s="141"/>
    </row>
    <row r="49832">
      <c r="BB49832" s="122"/>
      <c r="BC49832" s="141"/>
    </row>
    <row r="49833">
      <c r="BB49833" s="122"/>
      <c r="BC49833" s="141"/>
    </row>
    <row r="49834">
      <c r="BB49834" s="122"/>
      <c r="BC49834" s="141"/>
    </row>
    <row r="49835">
      <c r="BB49835" s="122"/>
      <c r="BC49835" s="141"/>
    </row>
    <row r="49836">
      <c r="BB49836" s="122"/>
      <c r="BC49836" s="141"/>
    </row>
    <row r="49837">
      <c r="BB49837" s="122"/>
      <c r="BC49837" s="141"/>
    </row>
    <row r="49838">
      <c r="BB49838" s="122"/>
      <c r="BC49838" s="141"/>
    </row>
    <row r="49839">
      <c r="BB49839" s="122"/>
      <c r="BC49839" s="141"/>
    </row>
    <row r="49840">
      <c r="BB49840" s="122"/>
      <c r="BC49840" s="141"/>
    </row>
    <row r="49841">
      <c r="BB49841" s="122"/>
      <c r="BC49841" s="141"/>
    </row>
    <row r="49842">
      <c r="BB49842" s="122"/>
      <c r="BC49842" s="141"/>
    </row>
    <row r="49843">
      <c r="BB49843" s="122"/>
      <c r="BC49843" s="141"/>
    </row>
    <row r="49844">
      <c r="BB49844" s="122"/>
      <c r="BC49844" s="141"/>
    </row>
    <row r="49845">
      <c r="BB49845" s="122"/>
      <c r="BC49845" s="141"/>
    </row>
    <row r="49846">
      <c r="BB49846" s="122"/>
      <c r="BC49846" s="141"/>
    </row>
    <row r="49847">
      <c r="BB49847" s="122"/>
      <c r="BC49847" s="141"/>
    </row>
    <row r="49848">
      <c r="BB49848" s="122"/>
      <c r="BC49848" s="141"/>
    </row>
    <row r="49849">
      <c r="BB49849" s="122"/>
      <c r="BC49849" s="141"/>
    </row>
    <row r="49850">
      <c r="BB49850" s="122"/>
      <c r="BC49850" s="141"/>
    </row>
    <row r="49851">
      <c r="BB49851" s="122"/>
      <c r="BC49851" s="141"/>
    </row>
    <row r="49852">
      <c r="BB49852" s="122"/>
      <c r="BC49852" s="141"/>
    </row>
    <row r="49853">
      <c r="BB49853" s="122"/>
      <c r="BC49853" s="141"/>
    </row>
    <row r="49854">
      <c r="BB49854" s="122"/>
      <c r="BC49854" s="141"/>
    </row>
    <row r="49855">
      <c r="BB49855" s="122"/>
      <c r="BC49855" s="141"/>
    </row>
    <row r="49856">
      <c r="BB49856" s="122"/>
      <c r="BC49856" s="141"/>
    </row>
    <row r="49857">
      <c r="BB49857" s="122"/>
      <c r="BC49857" s="141"/>
    </row>
    <row r="49858">
      <c r="BB49858" s="122"/>
      <c r="BC49858" s="141"/>
    </row>
    <row r="49859">
      <c r="BB49859" s="122"/>
      <c r="BC49859" s="141"/>
    </row>
    <row r="49860">
      <c r="BB49860" s="122"/>
      <c r="BC49860" s="141"/>
    </row>
    <row r="49861">
      <c r="BB49861" s="122"/>
      <c r="BC49861" s="141"/>
    </row>
    <row r="49862">
      <c r="BB49862" s="122"/>
      <c r="BC49862" s="141"/>
    </row>
    <row r="49863">
      <c r="BB49863" s="122"/>
      <c r="BC49863" s="141"/>
    </row>
    <row r="49864">
      <c r="BB49864" s="122"/>
      <c r="BC49864" s="141"/>
    </row>
    <row r="49865">
      <c r="BB49865" s="122"/>
      <c r="BC49865" s="141"/>
    </row>
    <row r="49866">
      <c r="BB49866" s="122"/>
      <c r="BC49866" s="141"/>
    </row>
    <row r="49867">
      <c r="BB49867" s="122"/>
      <c r="BC49867" s="141"/>
    </row>
    <row r="49868">
      <c r="BB49868" s="122"/>
      <c r="BC49868" s="141"/>
    </row>
    <row r="49869">
      <c r="BB49869" s="122"/>
      <c r="BC49869" s="141"/>
    </row>
    <row r="49870">
      <c r="BB49870" s="122"/>
      <c r="BC49870" s="141"/>
    </row>
    <row r="49871">
      <c r="BB49871" s="122"/>
      <c r="BC49871" s="141"/>
    </row>
    <row r="49872">
      <c r="BB49872" s="122"/>
      <c r="BC49872" s="141"/>
    </row>
    <row r="49873">
      <c r="BB49873" s="122"/>
      <c r="BC49873" s="141"/>
    </row>
    <row r="49874">
      <c r="BB49874" s="122"/>
      <c r="BC49874" s="141"/>
    </row>
    <row r="49875">
      <c r="BB49875" s="122"/>
      <c r="BC49875" s="141"/>
    </row>
    <row r="49876">
      <c r="BB49876" s="122"/>
      <c r="BC49876" s="141"/>
    </row>
    <row r="49877">
      <c r="BB49877" s="122"/>
      <c r="BC49877" s="141"/>
    </row>
    <row r="49878">
      <c r="BB49878" s="122"/>
      <c r="BC49878" s="141"/>
    </row>
    <row r="49879">
      <c r="BB49879" s="122"/>
      <c r="BC49879" s="141"/>
    </row>
    <row r="49880">
      <c r="BB49880" s="122"/>
      <c r="BC49880" s="141"/>
    </row>
    <row r="49881">
      <c r="BB49881" s="122"/>
      <c r="BC49881" s="141"/>
    </row>
    <row r="49882">
      <c r="BB49882" s="122"/>
      <c r="BC49882" s="141"/>
    </row>
    <row r="49883">
      <c r="BB49883" s="122"/>
      <c r="BC49883" s="141"/>
    </row>
    <row r="49884">
      <c r="BB49884" s="122"/>
      <c r="BC49884" s="141"/>
    </row>
    <row r="49885">
      <c r="BB49885" s="122"/>
      <c r="BC49885" s="141"/>
    </row>
    <row r="49886">
      <c r="BB49886" s="122"/>
      <c r="BC49886" s="141"/>
    </row>
    <row r="49887">
      <c r="BB49887" s="122"/>
      <c r="BC49887" s="141"/>
    </row>
    <row r="49888">
      <c r="BB49888" s="122"/>
      <c r="BC49888" s="141"/>
    </row>
    <row r="49889">
      <c r="BB49889" s="122"/>
      <c r="BC49889" s="141"/>
    </row>
    <row r="49890">
      <c r="BB49890" s="122"/>
      <c r="BC49890" s="141"/>
    </row>
    <row r="49891">
      <c r="BB49891" s="122"/>
      <c r="BC49891" s="141"/>
    </row>
    <row r="49892">
      <c r="BB49892" s="122"/>
      <c r="BC49892" s="141"/>
    </row>
    <row r="49893">
      <c r="BB49893" s="122"/>
      <c r="BC49893" s="141"/>
    </row>
    <row r="49894">
      <c r="BB49894" s="122"/>
      <c r="BC49894" s="141"/>
    </row>
    <row r="49895">
      <c r="BB49895" s="122"/>
      <c r="BC49895" s="141"/>
    </row>
    <row r="49896">
      <c r="BB49896" s="122"/>
      <c r="BC49896" s="141"/>
    </row>
    <row r="49897">
      <c r="BB49897" s="122"/>
      <c r="BC49897" s="141"/>
    </row>
    <row r="49898">
      <c r="BB49898" s="122"/>
      <c r="BC49898" s="141"/>
    </row>
    <row r="49899">
      <c r="BB49899" s="122"/>
      <c r="BC49899" s="141"/>
    </row>
    <row r="49900">
      <c r="BB49900" s="122"/>
      <c r="BC49900" s="141"/>
    </row>
    <row r="49901">
      <c r="BB49901" s="122"/>
      <c r="BC49901" s="141"/>
    </row>
    <row r="49902">
      <c r="BB49902" s="122"/>
      <c r="BC49902" s="141"/>
    </row>
    <row r="49903">
      <c r="BB49903" s="122"/>
      <c r="BC49903" s="141"/>
    </row>
    <row r="49904">
      <c r="BB49904" s="122"/>
      <c r="BC49904" s="141"/>
    </row>
    <row r="49905">
      <c r="BB49905" s="122"/>
      <c r="BC49905" s="141"/>
    </row>
    <row r="49906">
      <c r="BB49906" s="122"/>
      <c r="BC49906" s="141"/>
    </row>
    <row r="49907">
      <c r="BB49907" s="122"/>
      <c r="BC49907" s="141"/>
    </row>
    <row r="49908">
      <c r="BB49908" s="122"/>
      <c r="BC49908" s="141"/>
    </row>
    <row r="49909">
      <c r="BB49909" s="122"/>
      <c r="BC49909" s="141"/>
    </row>
    <row r="49910">
      <c r="BB49910" s="122"/>
      <c r="BC49910" s="141"/>
    </row>
    <row r="49911">
      <c r="BB49911" s="122"/>
      <c r="BC49911" s="141"/>
    </row>
    <row r="49912">
      <c r="BB49912" s="122"/>
      <c r="BC49912" s="141"/>
    </row>
    <row r="49913">
      <c r="BB49913" s="122"/>
      <c r="BC49913" s="141"/>
    </row>
    <row r="49914">
      <c r="BB49914" s="122"/>
      <c r="BC49914" s="141"/>
    </row>
    <row r="49915">
      <c r="BB49915" s="122"/>
      <c r="BC49915" s="141"/>
    </row>
    <row r="49916">
      <c r="BB49916" s="122"/>
      <c r="BC49916" s="141"/>
    </row>
    <row r="49917">
      <c r="BB49917" s="122"/>
      <c r="BC49917" s="141"/>
    </row>
    <row r="49918">
      <c r="BB49918" s="122"/>
      <c r="BC49918" s="141"/>
    </row>
    <row r="49919">
      <c r="BB49919" s="122"/>
      <c r="BC49919" s="141"/>
    </row>
    <row r="49920">
      <c r="BB49920" s="122"/>
      <c r="BC49920" s="141"/>
    </row>
    <row r="49921">
      <c r="BB49921" s="122"/>
      <c r="BC49921" s="141"/>
    </row>
    <row r="49922">
      <c r="BB49922" s="122"/>
      <c r="BC49922" s="141"/>
    </row>
    <row r="49923">
      <c r="BB49923" s="122"/>
      <c r="BC49923" s="141"/>
    </row>
    <row r="49924">
      <c r="BB49924" s="122"/>
      <c r="BC49924" s="141"/>
    </row>
    <row r="49925">
      <c r="BB49925" s="122"/>
      <c r="BC49925" s="141"/>
    </row>
    <row r="49926">
      <c r="BB49926" s="122"/>
      <c r="BC49926" s="141"/>
    </row>
    <row r="49927">
      <c r="BB49927" s="122"/>
      <c r="BC49927" s="141"/>
    </row>
    <row r="49928">
      <c r="BB49928" s="122"/>
      <c r="BC49928" s="141"/>
    </row>
    <row r="49929">
      <c r="BB49929" s="122"/>
      <c r="BC49929" s="141"/>
    </row>
    <row r="49930">
      <c r="BB49930" s="122"/>
      <c r="BC49930" s="141"/>
    </row>
    <row r="49931">
      <c r="BB49931" s="122"/>
      <c r="BC49931" s="141"/>
    </row>
    <row r="49932">
      <c r="BB49932" s="122"/>
      <c r="BC49932" s="141"/>
    </row>
    <row r="49933">
      <c r="BB49933" s="122"/>
      <c r="BC49933" s="141"/>
    </row>
    <row r="49934">
      <c r="BB49934" s="122"/>
      <c r="BC49934" s="141"/>
    </row>
    <row r="49935">
      <c r="BB49935" s="122"/>
      <c r="BC49935" s="141"/>
    </row>
    <row r="49936">
      <c r="BB49936" s="122"/>
      <c r="BC49936" s="141"/>
    </row>
    <row r="49937">
      <c r="BB49937" s="122"/>
      <c r="BC49937" s="141"/>
    </row>
    <row r="49938">
      <c r="BB49938" s="122"/>
      <c r="BC49938" s="141"/>
    </row>
    <row r="49939">
      <c r="BB49939" s="122"/>
      <c r="BC49939" s="141"/>
    </row>
    <row r="49940">
      <c r="BB49940" s="122"/>
      <c r="BC49940" s="141"/>
    </row>
    <row r="49941">
      <c r="BB49941" s="122"/>
      <c r="BC49941" s="141"/>
    </row>
    <row r="49942">
      <c r="BB49942" s="122"/>
      <c r="BC49942" s="141"/>
    </row>
    <row r="49943">
      <c r="BB49943" s="122"/>
      <c r="BC49943" s="141"/>
    </row>
    <row r="49944">
      <c r="BB49944" s="122"/>
      <c r="BC49944" s="141"/>
    </row>
    <row r="49945">
      <c r="BB49945" s="122"/>
      <c r="BC49945" s="141"/>
    </row>
    <row r="49946">
      <c r="BB49946" s="122"/>
      <c r="BC49946" s="141"/>
    </row>
    <row r="49947">
      <c r="BB49947" s="122"/>
      <c r="BC49947" s="141"/>
    </row>
    <row r="49948">
      <c r="BB49948" s="122"/>
      <c r="BC49948" s="141"/>
    </row>
    <row r="49949">
      <c r="BB49949" s="122"/>
      <c r="BC49949" s="141"/>
    </row>
    <row r="49950">
      <c r="BB49950" s="122"/>
      <c r="BC49950" s="141"/>
    </row>
    <row r="49951">
      <c r="BB49951" s="122"/>
      <c r="BC49951" s="141"/>
    </row>
    <row r="49952">
      <c r="BB49952" s="122"/>
      <c r="BC49952" s="141"/>
    </row>
    <row r="49953">
      <c r="BB49953" s="122"/>
      <c r="BC49953" s="141"/>
    </row>
    <row r="49954">
      <c r="BB49954" s="122"/>
      <c r="BC49954" s="141"/>
    </row>
    <row r="49955">
      <c r="BB49955" s="122"/>
      <c r="BC49955" s="141"/>
    </row>
    <row r="49956">
      <c r="BB49956" s="122"/>
      <c r="BC49956" s="141"/>
    </row>
    <row r="49957">
      <c r="BB49957" s="122"/>
      <c r="BC49957" s="141"/>
    </row>
    <row r="49958">
      <c r="BB49958" s="122"/>
      <c r="BC49958" s="141"/>
    </row>
    <row r="49959">
      <c r="BB49959" s="122"/>
      <c r="BC49959" s="141"/>
    </row>
    <row r="49960">
      <c r="BB49960" s="122"/>
      <c r="BC49960" s="141"/>
    </row>
    <row r="49961">
      <c r="BB49961" s="122"/>
      <c r="BC49961" s="141"/>
    </row>
    <row r="49962">
      <c r="BB49962" s="122"/>
      <c r="BC49962" s="141"/>
    </row>
    <row r="49963">
      <c r="BB49963" s="122"/>
      <c r="BC49963" s="141"/>
    </row>
    <row r="49964">
      <c r="BB49964" s="122"/>
      <c r="BC49964" s="141"/>
    </row>
    <row r="49965">
      <c r="BB49965" s="122"/>
      <c r="BC49965" s="141"/>
    </row>
    <row r="49966">
      <c r="BB49966" s="122"/>
      <c r="BC49966" s="141"/>
    </row>
    <row r="49967">
      <c r="BB49967" s="122"/>
      <c r="BC49967" s="141"/>
    </row>
    <row r="49968">
      <c r="BB49968" s="122"/>
      <c r="BC49968" s="141"/>
    </row>
    <row r="49969">
      <c r="BB49969" s="122"/>
      <c r="BC49969" s="141"/>
    </row>
    <row r="49970">
      <c r="BB49970" s="122"/>
      <c r="BC49970" s="141"/>
    </row>
    <row r="49971">
      <c r="BB49971" s="122"/>
      <c r="BC49971" s="141"/>
    </row>
    <row r="49972">
      <c r="BB49972" s="122"/>
      <c r="BC49972" s="141"/>
    </row>
    <row r="49973">
      <c r="BB49973" s="122"/>
      <c r="BC49973" s="141"/>
    </row>
    <row r="49974">
      <c r="BB49974" s="122"/>
      <c r="BC49974" s="141"/>
    </row>
    <row r="49975">
      <c r="BB49975" s="122"/>
      <c r="BC49975" s="141"/>
    </row>
    <row r="49976">
      <c r="BB49976" s="122"/>
      <c r="BC49976" s="141"/>
    </row>
    <row r="49977">
      <c r="BB49977" s="122"/>
      <c r="BC49977" s="141"/>
    </row>
    <row r="49978">
      <c r="BB49978" s="122"/>
      <c r="BC49978" s="141"/>
    </row>
    <row r="49979">
      <c r="BB49979" s="122"/>
      <c r="BC49979" s="141"/>
    </row>
    <row r="49980">
      <c r="BB49980" s="122"/>
      <c r="BC49980" s="141"/>
    </row>
    <row r="49981">
      <c r="BB49981" s="122"/>
      <c r="BC49981" s="141"/>
    </row>
    <row r="49982">
      <c r="BB49982" s="122"/>
      <c r="BC49982" s="141"/>
    </row>
    <row r="49983">
      <c r="BB49983" s="122"/>
      <c r="BC49983" s="141"/>
    </row>
    <row r="49984">
      <c r="BB49984" s="122"/>
      <c r="BC49984" s="141"/>
    </row>
    <row r="49985">
      <c r="BB49985" s="122"/>
      <c r="BC49985" s="141"/>
    </row>
    <row r="49986">
      <c r="BB49986" s="122"/>
      <c r="BC49986" s="141"/>
    </row>
    <row r="49987">
      <c r="BB49987" s="122"/>
      <c r="BC49987" s="141"/>
    </row>
    <row r="49988">
      <c r="BB49988" s="122"/>
      <c r="BC49988" s="141"/>
    </row>
    <row r="49989">
      <c r="BB49989" s="122"/>
      <c r="BC49989" s="141"/>
    </row>
    <row r="49990">
      <c r="BB49990" s="122"/>
      <c r="BC49990" s="141"/>
    </row>
    <row r="49991">
      <c r="BB49991" s="122"/>
      <c r="BC49991" s="141"/>
    </row>
    <row r="49992">
      <c r="BB49992" s="122"/>
      <c r="BC49992" s="141"/>
    </row>
    <row r="49993">
      <c r="BB49993" s="122"/>
      <c r="BC49993" s="141"/>
    </row>
    <row r="49994">
      <c r="BB49994" s="122"/>
      <c r="BC49994" s="141"/>
    </row>
    <row r="49995">
      <c r="BB49995" s="122"/>
      <c r="BC49995" s="141"/>
    </row>
    <row r="49996">
      <c r="BB49996" s="122"/>
      <c r="BC49996" s="141"/>
    </row>
    <row r="49997">
      <c r="BB49997" s="122"/>
      <c r="BC49997" s="141"/>
    </row>
    <row r="49998">
      <c r="BB49998" s="122"/>
      <c r="BC49998" s="141"/>
    </row>
    <row r="49999">
      <c r="BB49999" s="122"/>
      <c r="BC49999" s="141"/>
    </row>
    <row r="50000">
      <c r="BB50000" s="122"/>
      <c r="BC50000" s="141"/>
    </row>
    <row r="50001">
      <c r="BB50001" s="122"/>
      <c r="BC50001" s="141"/>
    </row>
    <row r="50002">
      <c r="BB50002" s="122"/>
      <c r="BC50002" s="141"/>
    </row>
    <row r="50003">
      <c r="BB50003" s="122"/>
      <c r="BC50003" s="141"/>
    </row>
    <row r="50004">
      <c r="BB50004" s="122"/>
      <c r="BC50004" s="141"/>
    </row>
    <row r="50005">
      <c r="BB50005" s="122"/>
      <c r="BC50005" s="141"/>
    </row>
    <row r="50006">
      <c r="BB50006" s="122"/>
      <c r="BC50006" s="141"/>
    </row>
    <row r="50007">
      <c r="BB50007" s="122"/>
      <c r="BC50007" s="141"/>
    </row>
    <row r="50008">
      <c r="BB50008" s="122"/>
      <c r="BC50008" s="141"/>
    </row>
    <row r="50009">
      <c r="BB50009" s="122"/>
      <c r="BC50009" s="141"/>
    </row>
    <row r="50010">
      <c r="BB50010" s="122"/>
      <c r="BC50010" s="141"/>
    </row>
    <row r="50011">
      <c r="BB50011" s="122"/>
      <c r="BC50011" s="141"/>
    </row>
    <row r="50012">
      <c r="BB50012" s="122"/>
      <c r="BC50012" s="141"/>
    </row>
    <row r="50013">
      <c r="BB50013" s="122"/>
      <c r="BC50013" s="141"/>
    </row>
    <row r="50014">
      <c r="BB50014" s="122"/>
      <c r="BC50014" s="141"/>
    </row>
    <row r="50015">
      <c r="BB50015" s="122"/>
      <c r="BC50015" s="141"/>
    </row>
    <row r="50016">
      <c r="BB50016" s="122"/>
      <c r="BC50016" s="141"/>
    </row>
    <row r="50017">
      <c r="BB50017" s="122"/>
      <c r="BC50017" s="141"/>
    </row>
    <row r="50018">
      <c r="BB50018" s="122"/>
      <c r="BC50018" s="141"/>
    </row>
    <row r="50019">
      <c r="BB50019" s="122"/>
      <c r="BC50019" s="141"/>
    </row>
    <row r="50020">
      <c r="BB50020" s="122"/>
      <c r="BC50020" s="141"/>
    </row>
    <row r="50021">
      <c r="BB50021" s="122"/>
      <c r="BC50021" s="141"/>
    </row>
    <row r="50022">
      <c r="BB50022" s="122"/>
      <c r="BC50022" s="141"/>
    </row>
    <row r="50023">
      <c r="BB50023" s="122"/>
      <c r="BC50023" s="141"/>
    </row>
    <row r="50024">
      <c r="BB50024" s="122"/>
      <c r="BC50024" s="141"/>
    </row>
    <row r="50025">
      <c r="BB50025" s="122"/>
      <c r="BC50025" s="141"/>
    </row>
    <row r="50026">
      <c r="BB50026" s="122"/>
      <c r="BC50026" s="141"/>
    </row>
    <row r="50027">
      <c r="BB50027" s="122"/>
      <c r="BC50027" s="141"/>
    </row>
    <row r="50028">
      <c r="BB50028" s="122"/>
      <c r="BC50028" s="141"/>
    </row>
    <row r="50029">
      <c r="BB50029" s="122"/>
      <c r="BC50029" s="141"/>
    </row>
    <row r="50030">
      <c r="BB50030" s="122"/>
      <c r="BC50030" s="141"/>
    </row>
    <row r="50031">
      <c r="BB50031" s="122"/>
      <c r="BC50031" s="141"/>
    </row>
    <row r="50032">
      <c r="BB50032" s="122"/>
      <c r="BC50032" s="141"/>
    </row>
    <row r="50033">
      <c r="BB50033" s="122"/>
      <c r="BC50033" s="141"/>
    </row>
    <row r="50034">
      <c r="BB50034" s="122"/>
      <c r="BC50034" s="141"/>
    </row>
    <row r="50035">
      <c r="BB50035" s="122"/>
      <c r="BC50035" s="141"/>
    </row>
    <row r="50036">
      <c r="BB50036" s="122"/>
      <c r="BC50036" s="141"/>
    </row>
    <row r="50037">
      <c r="BB50037" s="122"/>
      <c r="BC50037" s="141"/>
    </row>
    <row r="50038">
      <c r="BB50038" s="122"/>
      <c r="BC50038" s="141"/>
    </row>
    <row r="50039">
      <c r="BB50039" s="122"/>
      <c r="BC50039" s="141"/>
    </row>
    <row r="50040">
      <c r="BB50040" s="122"/>
      <c r="BC50040" s="141"/>
    </row>
    <row r="50041">
      <c r="BB50041" s="122"/>
      <c r="BC50041" s="141"/>
    </row>
    <row r="50042">
      <c r="BB50042" s="122"/>
      <c r="BC50042" s="141"/>
    </row>
    <row r="50043">
      <c r="BB50043" s="122"/>
      <c r="BC50043" s="141"/>
    </row>
    <row r="50044">
      <c r="BB50044" s="122"/>
      <c r="BC50044" s="141"/>
    </row>
    <row r="50045">
      <c r="BB50045" s="122"/>
      <c r="BC50045" s="141"/>
    </row>
    <row r="50046">
      <c r="BB50046" s="122"/>
      <c r="BC50046" s="141"/>
    </row>
    <row r="50047">
      <c r="BB50047" s="122"/>
      <c r="BC50047" s="141"/>
    </row>
    <row r="50048">
      <c r="BB50048" s="122"/>
      <c r="BC50048" s="141"/>
    </row>
    <row r="50049">
      <c r="BB50049" s="122"/>
      <c r="BC50049" s="141"/>
    </row>
    <row r="50050">
      <c r="BB50050" s="122"/>
      <c r="BC50050" s="141"/>
    </row>
    <row r="50051">
      <c r="BB50051" s="122"/>
      <c r="BC50051" s="141"/>
    </row>
    <row r="50052">
      <c r="BB50052" s="122"/>
      <c r="BC50052" s="141"/>
    </row>
    <row r="50053">
      <c r="BB50053" s="122"/>
      <c r="BC50053" s="141"/>
    </row>
    <row r="50054">
      <c r="BB50054" s="122"/>
      <c r="BC50054" s="141"/>
    </row>
    <row r="50055">
      <c r="BB50055" s="122"/>
      <c r="BC50055" s="141"/>
    </row>
    <row r="50056">
      <c r="BB50056" s="122"/>
      <c r="BC50056" s="141"/>
    </row>
    <row r="50057">
      <c r="BB50057" s="122"/>
      <c r="BC50057" s="141"/>
    </row>
    <row r="50058">
      <c r="BB50058" s="122"/>
      <c r="BC50058" s="141"/>
    </row>
    <row r="50059">
      <c r="BB50059" s="122"/>
      <c r="BC50059" s="141"/>
    </row>
    <row r="50060">
      <c r="BB50060" s="122"/>
      <c r="BC50060" s="141"/>
    </row>
    <row r="50061">
      <c r="BB50061" s="122"/>
      <c r="BC50061" s="141"/>
    </row>
    <row r="50062">
      <c r="BB50062" s="122"/>
      <c r="BC50062" s="141"/>
    </row>
    <row r="50063">
      <c r="BB50063" s="122"/>
      <c r="BC50063" s="141"/>
    </row>
    <row r="50064">
      <c r="BB50064" s="122"/>
      <c r="BC50064" s="141"/>
    </row>
    <row r="50065">
      <c r="BB50065" s="122"/>
      <c r="BC50065" s="141"/>
    </row>
    <row r="50066">
      <c r="BB50066" s="122"/>
      <c r="BC50066" s="141"/>
    </row>
    <row r="50067">
      <c r="BB50067" s="122"/>
      <c r="BC50067" s="141"/>
    </row>
    <row r="50068">
      <c r="BB50068" s="122"/>
      <c r="BC50068" s="141"/>
    </row>
    <row r="50069">
      <c r="BB50069" s="122"/>
      <c r="BC50069" s="141"/>
    </row>
    <row r="50070">
      <c r="BB50070" s="122"/>
      <c r="BC50070" s="141"/>
    </row>
    <row r="50071">
      <c r="BB50071" s="122"/>
      <c r="BC50071" s="141"/>
    </row>
    <row r="50072">
      <c r="BB50072" s="122"/>
      <c r="BC50072" s="141"/>
    </row>
    <row r="50073">
      <c r="BB50073" s="122"/>
      <c r="BC50073" s="141"/>
    </row>
    <row r="50074">
      <c r="BB50074" s="122"/>
      <c r="BC50074" s="141"/>
    </row>
    <row r="50075">
      <c r="BB50075" s="122"/>
      <c r="BC50075" s="141"/>
    </row>
    <row r="50076">
      <c r="BB50076" s="122"/>
      <c r="BC50076" s="141"/>
    </row>
    <row r="50077">
      <c r="BB50077" s="122"/>
      <c r="BC50077" s="141"/>
    </row>
    <row r="50078">
      <c r="BB50078" s="122"/>
      <c r="BC50078" s="141"/>
    </row>
    <row r="50079">
      <c r="BB50079" s="122"/>
      <c r="BC50079" s="141"/>
    </row>
    <row r="50080">
      <c r="BB50080" s="122"/>
      <c r="BC50080" s="141"/>
    </row>
    <row r="50081">
      <c r="BB50081" s="122"/>
      <c r="BC50081" s="141"/>
    </row>
    <row r="50082">
      <c r="BB50082" s="122"/>
      <c r="BC50082" s="141"/>
    </row>
    <row r="50083">
      <c r="BB50083" s="122"/>
      <c r="BC50083" s="141"/>
    </row>
    <row r="50084">
      <c r="BB50084" s="122"/>
      <c r="BC50084" s="141"/>
    </row>
    <row r="50085">
      <c r="BB50085" s="122"/>
      <c r="BC50085" s="141"/>
    </row>
    <row r="50086">
      <c r="BB50086" s="122"/>
      <c r="BC50086" s="141"/>
    </row>
    <row r="50087">
      <c r="BB50087" s="122"/>
      <c r="BC50087" s="141"/>
    </row>
    <row r="50088">
      <c r="BB50088" s="122"/>
      <c r="BC50088" s="141"/>
    </row>
    <row r="50089">
      <c r="BB50089" s="122"/>
      <c r="BC50089" s="141"/>
    </row>
    <row r="50090">
      <c r="BB50090" s="122"/>
      <c r="BC50090" s="141"/>
    </row>
    <row r="50091">
      <c r="BB50091" s="122"/>
      <c r="BC50091" s="141"/>
    </row>
    <row r="50092">
      <c r="BB50092" s="122"/>
      <c r="BC50092" s="141"/>
    </row>
    <row r="50093">
      <c r="BB50093" s="122"/>
      <c r="BC50093" s="141"/>
    </row>
    <row r="50094">
      <c r="BB50094" s="122"/>
      <c r="BC50094" s="141"/>
    </row>
    <row r="50095">
      <c r="BB50095" s="122"/>
      <c r="BC50095" s="141"/>
    </row>
    <row r="50096">
      <c r="BB50096" s="122"/>
      <c r="BC50096" s="141"/>
    </row>
    <row r="50097">
      <c r="BB50097" s="122"/>
      <c r="BC50097" s="141"/>
    </row>
    <row r="50098">
      <c r="BB50098" s="122"/>
      <c r="BC50098" s="141"/>
    </row>
    <row r="50099">
      <c r="BB50099" s="122"/>
      <c r="BC50099" s="141"/>
    </row>
    <row r="50100">
      <c r="BB50100" s="122"/>
      <c r="BC50100" s="141"/>
    </row>
    <row r="50101">
      <c r="BB50101" s="122"/>
      <c r="BC50101" s="141"/>
    </row>
    <row r="50102">
      <c r="BB50102" s="122"/>
      <c r="BC50102" s="141"/>
    </row>
    <row r="50103">
      <c r="BB50103" s="122"/>
      <c r="BC50103" s="141"/>
    </row>
    <row r="50104">
      <c r="BB50104" s="122"/>
      <c r="BC50104" s="141"/>
    </row>
    <row r="50105">
      <c r="BB50105" s="122"/>
      <c r="BC50105" s="141"/>
    </row>
    <row r="50106">
      <c r="BB50106" s="122"/>
      <c r="BC50106" s="141"/>
    </row>
    <row r="50107">
      <c r="BB50107" s="122"/>
      <c r="BC50107" s="141"/>
    </row>
    <row r="50108">
      <c r="BB50108" s="122"/>
      <c r="BC50108" s="141"/>
    </row>
    <row r="50109">
      <c r="BB50109" s="122"/>
      <c r="BC50109" s="141"/>
    </row>
    <row r="50110">
      <c r="BB50110" s="122"/>
      <c r="BC50110" s="141"/>
    </row>
    <row r="50111">
      <c r="BB50111" s="122"/>
      <c r="BC50111" s="141"/>
    </row>
    <row r="50112">
      <c r="BB50112" s="122"/>
      <c r="BC50112" s="141"/>
    </row>
    <row r="50113">
      <c r="BB50113" s="122"/>
      <c r="BC50113" s="141"/>
    </row>
    <row r="50114">
      <c r="BB50114" s="122"/>
      <c r="BC50114" s="141"/>
    </row>
    <row r="50115">
      <c r="BB50115" s="122"/>
      <c r="BC50115" s="141"/>
    </row>
    <row r="50116">
      <c r="BB50116" s="122"/>
      <c r="BC50116" s="141"/>
    </row>
    <row r="50117">
      <c r="BB50117" s="122"/>
      <c r="BC50117" s="141"/>
    </row>
    <row r="50118">
      <c r="BB50118" s="122"/>
      <c r="BC50118" s="141"/>
    </row>
    <row r="50119">
      <c r="BB50119" s="122"/>
      <c r="BC50119" s="141"/>
    </row>
    <row r="50120">
      <c r="BB50120" s="122"/>
      <c r="BC50120" s="141"/>
    </row>
    <row r="50121">
      <c r="BB50121" s="122"/>
      <c r="BC50121" s="141"/>
    </row>
    <row r="50122">
      <c r="BB50122" s="122"/>
      <c r="BC50122" s="141"/>
    </row>
    <row r="50123">
      <c r="BB50123" s="122"/>
      <c r="BC50123" s="141"/>
    </row>
    <row r="50124">
      <c r="BB50124" s="122"/>
      <c r="BC50124" s="141"/>
    </row>
    <row r="50125">
      <c r="BB50125" s="122"/>
      <c r="BC50125" s="141"/>
    </row>
    <row r="50126">
      <c r="BB50126" s="122"/>
      <c r="BC50126" s="141"/>
    </row>
    <row r="50127">
      <c r="BB50127" s="122"/>
      <c r="BC50127" s="141"/>
    </row>
    <row r="50128">
      <c r="BB50128" s="122"/>
      <c r="BC50128" s="141"/>
    </row>
    <row r="50129">
      <c r="BB50129" s="122"/>
      <c r="BC50129" s="141"/>
    </row>
    <row r="50130">
      <c r="BB50130" s="122"/>
      <c r="BC50130" s="141"/>
    </row>
    <row r="50131">
      <c r="BB50131" s="122"/>
      <c r="BC50131" s="141"/>
    </row>
    <row r="50132">
      <c r="BB50132" s="122"/>
      <c r="BC50132" s="141"/>
    </row>
    <row r="50133">
      <c r="BB50133" s="122"/>
      <c r="BC50133" s="141"/>
    </row>
    <row r="50134">
      <c r="BB50134" s="122"/>
      <c r="BC50134" s="141"/>
    </row>
    <row r="50135">
      <c r="BB50135" s="122"/>
      <c r="BC50135" s="141"/>
    </row>
    <row r="50136">
      <c r="BB50136" s="122"/>
      <c r="BC50136" s="141"/>
    </row>
    <row r="50137">
      <c r="BB50137" s="122"/>
      <c r="BC50137" s="141"/>
    </row>
    <row r="50138">
      <c r="BB50138" s="122"/>
      <c r="BC50138" s="141"/>
    </row>
    <row r="50139">
      <c r="BB50139" s="122"/>
      <c r="BC50139" s="141"/>
    </row>
    <row r="50140">
      <c r="BB50140" s="122"/>
      <c r="BC50140" s="141"/>
    </row>
    <row r="50141">
      <c r="BB50141" s="122"/>
      <c r="BC50141" s="141"/>
    </row>
    <row r="50142">
      <c r="BB50142" s="122"/>
      <c r="BC50142" s="141"/>
    </row>
    <row r="50143">
      <c r="BB50143" s="122"/>
      <c r="BC50143" s="141"/>
    </row>
    <row r="50144">
      <c r="BB50144" s="122"/>
      <c r="BC50144" s="141"/>
    </row>
    <row r="50145">
      <c r="BB50145" s="122"/>
      <c r="BC50145" s="141"/>
    </row>
    <row r="50146">
      <c r="BB50146" s="122"/>
      <c r="BC50146" s="141"/>
    </row>
    <row r="50147">
      <c r="BB50147" s="122"/>
      <c r="BC50147" s="141"/>
    </row>
    <row r="50148">
      <c r="BB50148" s="122"/>
      <c r="BC50148" s="141"/>
    </row>
    <row r="50149">
      <c r="BB50149" s="122"/>
      <c r="BC50149" s="141"/>
    </row>
    <row r="50150">
      <c r="BB50150" s="122"/>
      <c r="BC50150" s="141"/>
    </row>
    <row r="50151">
      <c r="BB50151" s="122"/>
      <c r="BC50151" s="141"/>
    </row>
    <row r="50152">
      <c r="BB50152" s="122"/>
      <c r="BC50152" s="141"/>
    </row>
    <row r="50153">
      <c r="BB50153" s="122"/>
      <c r="BC50153" s="141"/>
    </row>
    <row r="50154">
      <c r="BB50154" s="122"/>
      <c r="BC50154" s="141"/>
    </row>
    <row r="50155">
      <c r="BB50155" s="122"/>
      <c r="BC50155" s="141"/>
    </row>
    <row r="50156">
      <c r="BB50156" s="122"/>
      <c r="BC50156" s="141"/>
    </row>
    <row r="50157">
      <c r="BB50157" s="122"/>
      <c r="BC50157" s="141"/>
    </row>
    <row r="50158">
      <c r="BB50158" s="122"/>
      <c r="BC50158" s="141"/>
    </row>
    <row r="50159">
      <c r="BB50159" s="122"/>
      <c r="BC50159" s="141"/>
    </row>
    <row r="50160">
      <c r="BB50160" s="122"/>
      <c r="BC50160" s="141"/>
    </row>
    <row r="50161">
      <c r="BB50161" s="122"/>
      <c r="BC50161" s="141"/>
    </row>
    <row r="50162">
      <c r="BB50162" s="122"/>
      <c r="BC50162" s="141"/>
    </row>
    <row r="50163">
      <c r="BB50163" s="122"/>
      <c r="BC50163" s="141"/>
    </row>
    <row r="50164">
      <c r="BB50164" s="122"/>
      <c r="BC50164" s="141"/>
    </row>
    <row r="50165">
      <c r="BB50165" s="122"/>
      <c r="BC50165" s="141"/>
    </row>
    <row r="50166">
      <c r="BB50166" s="122"/>
      <c r="BC50166" s="141"/>
    </row>
    <row r="50167">
      <c r="BB50167" s="122"/>
      <c r="BC50167" s="141"/>
    </row>
    <row r="50168">
      <c r="BB50168" s="122"/>
      <c r="BC50168" s="141"/>
    </row>
    <row r="50169">
      <c r="BB50169" s="122"/>
      <c r="BC50169" s="141"/>
    </row>
    <row r="50170">
      <c r="BB50170" s="122"/>
      <c r="BC50170" s="141"/>
    </row>
    <row r="50171">
      <c r="BB50171" s="122"/>
      <c r="BC50171" s="141"/>
    </row>
    <row r="50172">
      <c r="BB50172" s="122"/>
      <c r="BC50172" s="141"/>
    </row>
    <row r="50173">
      <c r="BB50173" s="122"/>
      <c r="BC50173" s="141"/>
    </row>
    <row r="50174">
      <c r="BB50174" s="122"/>
      <c r="BC50174" s="141"/>
    </row>
    <row r="50175">
      <c r="BB50175" s="122"/>
      <c r="BC50175" s="141"/>
    </row>
    <row r="50176">
      <c r="BB50176" s="122"/>
      <c r="BC50176" s="141"/>
    </row>
    <row r="50177">
      <c r="BB50177" s="122"/>
      <c r="BC50177" s="141"/>
    </row>
    <row r="50178">
      <c r="BB50178" s="122"/>
      <c r="BC50178" s="141"/>
    </row>
    <row r="50179">
      <c r="BB50179" s="122"/>
      <c r="BC50179" s="141"/>
    </row>
    <row r="50180">
      <c r="BB50180" s="122"/>
      <c r="BC50180" s="141"/>
    </row>
    <row r="50181">
      <c r="BB50181" s="122"/>
      <c r="BC50181" s="141"/>
    </row>
    <row r="50182">
      <c r="BB50182" s="122"/>
      <c r="BC50182" s="141"/>
    </row>
    <row r="50183">
      <c r="BB50183" s="122"/>
      <c r="BC50183" s="141"/>
    </row>
    <row r="50184">
      <c r="BB50184" s="122"/>
      <c r="BC50184" s="141"/>
    </row>
    <row r="50185">
      <c r="BB50185" s="122"/>
      <c r="BC50185" s="141"/>
    </row>
    <row r="50186">
      <c r="BB50186" s="122"/>
      <c r="BC50186" s="141"/>
    </row>
    <row r="50187">
      <c r="BB50187" s="122"/>
      <c r="BC50187" s="141"/>
    </row>
    <row r="50188">
      <c r="BB50188" s="122"/>
      <c r="BC50188" s="141"/>
    </row>
    <row r="50189">
      <c r="BB50189" s="122"/>
      <c r="BC50189" s="141"/>
    </row>
    <row r="50190">
      <c r="BB50190" s="122"/>
      <c r="BC50190" s="141"/>
    </row>
    <row r="50191">
      <c r="BB50191" s="122"/>
      <c r="BC50191" s="141"/>
    </row>
    <row r="50192">
      <c r="BB50192" s="122"/>
      <c r="BC50192" s="141"/>
    </row>
    <row r="50193">
      <c r="BB50193" s="122"/>
      <c r="BC50193" s="141"/>
    </row>
    <row r="50194">
      <c r="BB50194" s="122"/>
      <c r="BC50194" s="141"/>
    </row>
    <row r="50195">
      <c r="BB50195" s="122"/>
      <c r="BC50195" s="141"/>
    </row>
    <row r="50196">
      <c r="BB50196" s="122"/>
      <c r="BC50196" s="141"/>
    </row>
    <row r="50197">
      <c r="BB50197" s="122"/>
      <c r="BC50197" s="141"/>
    </row>
    <row r="50198">
      <c r="BB50198" s="122"/>
      <c r="BC50198" s="141"/>
    </row>
    <row r="50199">
      <c r="BB50199" s="122"/>
      <c r="BC50199" s="141"/>
    </row>
    <row r="50200">
      <c r="BB50200" s="122"/>
      <c r="BC50200" s="141"/>
    </row>
    <row r="50201">
      <c r="BB50201" s="122"/>
      <c r="BC50201" s="141"/>
    </row>
    <row r="50202">
      <c r="BB50202" s="122"/>
      <c r="BC50202" s="141"/>
    </row>
    <row r="50203">
      <c r="BB50203" s="122"/>
      <c r="BC50203" s="141"/>
    </row>
    <row r="50204">
      <c r="BB50204" s="122"/>
      <c r="BC50204" s="141"/>
    </row>
    <row r="50205">
      <c r="BB50205" s="122"/>
      <c r="BC50205" s="141"/>
    </row>
    <row r="50206">
      <c r="BB50206" s="122"/>
      <c r="BC50206" s="141"/>
    </row>
    <row r="50207">
      <c r="BB50207" s="122"/>
      <c r="BC50207" s="141"/>
    </row>
    <row r="50208">
      <c r="BB50208" s="122"/>
      <c r="BC50208" s="141"/>
    </row>
    <row r="50209">
      <c r="BB50209" s="122"/>
      <c r="BC50209" s="141"/>
    </row>
    <row r="50210">
      <c r="BB50210" s="122"/>
      <c r="BC50210" s="141"/>
    </row>
    <row r="50211">
      <c r="BB50211" s="122"/>
      <c r="BC50211" s="141"/>
    </row>
    <row r="50212">
      <c r="BB50212" s="122"/>
      <c r="BC50212" s="141"/>
    </row>
    <row r="50213">
      <c r="BB50213" s="122"/>
      <c r="BC50213" s="141"/>
    </row>
    <row r="50214">
      <c r="BB50214" s="122"/>
      <c r="BC50214" s="141"/>
    </row>
    <row r="50215">
      <c r="BB50215" s="122"/>
      <c r="BC50215" s="141"/>
    </row>
    <row r="50216">
      <c r="BB50216" s="122"/>
      <c r="BC50216" s="141"/>
    </row>
    <row r="50217">
      <c r="BB50217" s="122"/>
      <c r="BC50217" s="141"/>
    </row>
    <row r="50218">
      <c r="BB50218" s="122"/>
      <c r="BC50218" s="141"/>
    </row>
    <row r="50219">
      <c r="BB50219" s="122"/>
      <c r="BC50219" s="141"/>
    </row>
    <row r="50220">
      <c r="BB50220" s="122"/>
      <c r="BC50220" s="141"/>
    </row>
    <row r="50221">
      <c r="BB50221" s="122"/>
      <c r="BC50221" s="141"/>
    </row>
    <row r="50222">
      <c r="BB50222" s="122"/>
      <c r="BC50222" s="141"/>
    </row>
    <row r="50223">
      <c r="BB50223" s="122"/>
      <c r="BC50223" s="141"/>
    </row>
    <row r="50224">
      <c r="BB50224" s="122"/>
      <c r="BC50224" s="141"/>
    </row>
    <row r="50225">
      <c r="BB50225" s="122"/>
      <c r="BC50225" s="141"/>
    </row>
    <row r="50226">
      <c r="BB50226" s="122"/>
      <c r="BC50226" s="141"/>
    </row>
    <row r="50227">
      <c r="BB50227" s="122"/>
      <c r="BC50227" s="141"/>
    </row>
    <row r="50228">
      <c r="BB50228" s="122"/>
      <c r="BC50228" s="141"/>
    </row>
    <row r="50229">
      <c r="BB50229" s="122"/>
      <c r="BC50229" s="141"/>
    </row>
    <row r="50230">
      <c r="BB50230" s="122"/>
      <c r="BC50230" s="141"/>
    </row>
    <row r="50231">
      <c r="BB50231" s="122"/>
      <c r="BC50231" s="141"/>
    </row>
    <row r="50232">
      <c r="BB50232" s="122"/>
      <c r="BC50232" s="141"/>
    </row>
    <row r="50233">
      <c r="BB50233" s="122"/>
      <c r="BC50233" s="141"/>
    </row>
    <row r="50234">
      <c r="BB50234" s="122"/>
      <c r="BC50234" s="141"/>
    </row>
    <row r="50235">
      <c r="BB50235" s="122"/>
      <c r="BC50235" s="141"/>
    </row>
    <row r="50236">
      <c r="BB50236" s="122"/>
      <c r="BC50236" s="141"/>
    </row>
    <row r="50237">
      <c r="BB50237" s="122"/>
      <c r="BC50237" s="141"/>
    </row>
    <row r="50238">
      <c r="BB50238" s="122"/>
      <c r="BC50238" s="141"/>
    </row>
    <row r="50239">
      <c r="BB50239" s="122"/>
      <c r="BC50239" s="141"/>
    </row>
    <row r="50240">
      <c r="BB50240" s="122"/>
      <c r="BC50240" s="141"/>
    </row>
    <row r="50241">
      <c r="BB50241" s="122"/>
      <c r="BC50241" s="141"/>
    </row>
    <row r="50242">
      <c r="BB50242" s="122"/>
      <c r="BC50242" s="141"/>
    </row>
    <row r="50243">
      <c r="BB50243" s="122"/>
      <c r="BC50243" s="141"/>
    </row>
    <row r="50244">
      <c r="BB50244" s="122"/>
      <c r="BC50244" s="141"/>
    </row>
    <row r="50245">
      <c r="BB50245" s="122"/>
      <c r="BC50245" s="141"/>
    </row>
    <row r="50246">
      <c r="BB50246" s="122"/>
      <c r="BC50246" s="141"/>
    </row>
    <row r="50247">
      <c r="BB50247" s="122"/>
      <c r="BC50247" s="141"/>
    </row>
    <row r="50248">
      <c r="BB50248" s="122"/>
      <c r="BC50248" s="141"/>
    </row>
    <row r="50249">
      <c r="BB50249" s="122"/>
      <c r="BC50249" s="141"/>
    </row>
    <row r="50250">
      <c r="BB50250" s="122"/>
      <c r="BC50250" s="141"/>
    </row>
    <row r="50251">
      <c r="BB50251" s="122"/>
      <c r="BC50251" s="141"/>
    </row>
    <row r="50252">
      <c r="BB50252" s="122"/>
      <c r="BC50252" s="141"/>
    </row>
    <row r="50253">
      <c r="BB50253" s="122"/>
      <c r="BC50253" s="141"/>
    </row>
    <row r="50254">
      <c r="BB50254" s="122"/>
      <c r="BC50254" s="141"/>
    </row>
    <row r="50255">
      <c r="BB50255" s="122"/>
      <c r="BC50255" s="141"/>
    </row>
    <row r="50256">
      <c r="BB50256" s="122"/>
      <c r="BC50256" s="141"/>
    </row>
    <row r="50257">
      <c r="BB50257" s="122"/>
      <c r="BC50257" s="141"/>
    </row>
    <row r="50258">
      <c r="BB50258" s="122"/>
      <c r="BC50258" s="141"/>
    </row>
    <row r="50259">
      <c r="BB50259" s="122"/>
      <c r="BC50259" s="141"/>
    </row>
    <row r="50260">
      <c r="BB50260" s="122"/>
      <c r="BC50260" s="141"/>
    </row>
    <row r="50261">
      <c r="BB50261" s="122"/>
      <c r="BC50261" s="141"/>
    </row>
    <row r="50262">
      <c r="BB50262" s="122"/>
      <c r="BC50262" s="141"/>
    </row>
    <row r="50263">
      <c r="BB50263" s="122"/>
      <c r="BC50263" s="141"/>
    </row>
    <row r="50264">
      <c r="BB50264" s="122"/>
      <c r="BC50264" s="141"/>
    </row>
    <row r="50265">
      <c r="BB50265" s="122"/>
      <c r="BC50265" s="141"/>
    </row>
    <row r="50266">
      <c r="BB50266" s="122"/>
      <c r="BC50266" s="141"/>
    </row>
    <row r="50267">
      <c r="BB50267" s="122"/>
      <c r="BC50267" s="141"/>
    </row>
    <row r="50268">
      <c r="BB50268" s="122"/>
      <c r="BC50268" s="141"/>
    </row>
    <row r="50269">
      <c r="BB50269" s="122"/>
      <c r="BC50269" s="141"/>
    </row>
    <row r="50270">
      <c r="BB50270" s="122"/>
      <c r="BC50270" s="141"/>
    </row>
    <row r="50271">
      <c r="BB50271" s="122"/>
      <c r="BC50271" s="141"/>
    </row>
    <row r="50272">
      <c r="BB50272" s="122"/>
      <c r="BC50272" s="141"/>
    </row>
    <row r="50273">
      <c r="BB50273" s="122"/>
      <c r="BC50273" s="141"/>
    </row>
    <row r="50274">
      <c r="BB50274" s="122"/>
      <c r="BC50274" s="141"/>
    </row>
    <row r="50275">
      <c r="BB50275" s="122"/>
      <c r="BC50275" s="141"/>
    </row>
    <row r="50276">
      <c r="BB50276" s="122"/>
      <c r="BC50276" s="141"/>
    </row>
    <row r="50277">
      <c r="BB50277" s="122"/>
      <c r="BC50277" s="141"/>
    </row>
    <row r="50278">
      <c r="BB50278" s="122"/>
      <c r="BC50278" s="141"/>
    </row>
    <row r="50279">
      <c r="BB50279" s="122"/>
      <c r="BC50279" s="141"/>
    </row>
    <row r="50280">
      <c r="BB50280" s="122"/>
      <c r="BC50280" s="141"/>
    </row>
    <row r="50281">
      <c r="BB50281" s="122"/>
      <c r="BC50281" s="141"/>
    </row>
    <row r="50282">
      <c r="BB50282" s="122"/>
      <c r="BC50282" s="141"/>
    </row>
    <row r="50283">
      <c r="BB50283" s="122"/>
      <c r="BC50283" s="141"/>
    </row>
    <row r="50284">
      <c r="BB50284" s="122"/>
      <c r="BC50284" s="141"/>
    </row>
    <row r="50285">
      <c r="BB50285" s="122"/>
      <c r="BC50285" s="141"/>
    </row>
    <row r="50286">
      <c r="BB50286" s="122"/>
      <c r="BC50286" s="141"/>
    </row>
    <row r="50287">
      <c r="BB50287" s="122"/>
      <c r="BC50287" s="141"/>
    </row>
    <row r="50288">
      <c r="BB50288" s="122"/>
      <c r="BC50288" s="141"/>
    </row>
    <row r="50289">
      <c r="BB50289" s="122"/>
      <c r="BC50289" s="141"/>
    </row>
    <row r="50290">
      <c r="BB50290" s="122"/>
      <c r="BC50290" s="141"/>
    </row>
    <row r="50291">
      <c r="BB50291" s="122"/>
      <c r="BC50291" s="141"/>
    </row>
    <row r="50292">
      <c r="BB50292" s="122"/>
      <c r="BC50292" s="141"/>
    </row>
    <row r="50293">
      <c r="BB50293" s="122"/>
      <c r="BC50293" s="141"/>
    </row>
    <row r="50294">
      <c r="BB50294" s="122"/>
      <c r="BC50294" s="141"/>
    </row>
    <row r="50295">
      <c r="BB50295" s="122"/>
      <c r="BC50295" s="141"/>
    </row>
    <row r="50296">
      <c r="BB50296" s="122"/>
      <c r="BC50296" s="141"/>
    </row>
    <row r="50297">
      <c r="BB50297" s="122"/>
      <c r="BC50297" s="141"/>
    </row>
    <row r="50298">
      <c r="BB50298" s="122"/>
      <c r="BC50298" s="141"/>
    </row>
    <row r="50299">
      <c r="BB50299" s="122"/>
      <c r="BC50299" s="141"/>
    </row>
    <row r="50300">
      <c r="BB50300" s="122"/>
      <c r="BC50300" s="141"/>
    </row>
    <row r="50301">
      <c r="BB50301" s="122"/>
      <c r="BC50301" s="141"/>
    </row>
    <row r="50302">
      <c r="BB50302" s="122"/>
      <c r="BC50302" s="141"/>
    </row>
    <row r="50303">
      <c r="BB50303" s="122"/>
      <c r="BC50303" s="141"/>
    </row>
    <row r="50304">
      <c r="BB50304" s="122"/>
      <c r="BC50304" s="141"/>
    </row>
    <row r="50305">
      <c r="BB50305" s="122"/>
      <c r="BC50305" s="141"/>
    </row>
    <row r="50306">
      <c r="BB50306" s="122"/>
      <c r="BC50306" s="141"/>
    </row>
    <row r="50307">
      <c r="BB50307" s="122"/>
      <c r="BC50307" s="141"/>
    </row>
    <row r="50308">
      <c r="BB50308" s="122"/>
      <c r="BC50308" s="141"/>
    </row>
    <row r="50309">
      <c r="BB50309" s="122"/>
      <c r="BC50309" s="141"/>
    </row>
    <row r="50310">
      <c r="BB50310" s="122"/>
      <c r="BC50310" s="141"/>
    </row>
    <row r="50311">
      <c r="BB50311" s="122"/>
      <c r="BC50311" s="141"/>
    </row>
    <row r="50312">
      <c r="BB50312" s="122"/>
      <c r="BC50312" s="141"/>
    </row>
    <row r="50313">
      <c r="BB50313" s="122"/>
      <c r="BC50313" s="141"/>
    </row>
    <row r="50314">
      <c r="BB50314" s="122"/>
      <c r="BC50314" s="141"/>
    </row>
    <row r="50315">
      <c r="BB50315" s="122"/>
      <c r="BC50315" s="141"/>
    </row>
    <row r="50316">
      <c r="BB50316" s="122"/>
      <c r="BC50316" s="141"/>
    </row>
    <row r="50317">
      <c r="BB50317" s="122"/>
      <c r="BC50317" s="141"/>
    </row>
    <row r="50318">
      <c r="BB50318" s="122"/>
      <c r="BC50318" s="141"/>
    </row>
    <row r="50319">
      <c r="BB50319" s="122"/>
      <c r="BC50319" s="141"/>
    </row>
    <row r="50320">
      <c r="BB50320" s="122"/>
      <c r="BC50320" s="141"/>
    </row>
    <row r="50321">
      <c r="BB50321" s="122"/>
      <c r="BC50321" s="141"/>
    </row>
    <row r="50322">
      <c r="BB50322" s="122"/>
      <c r="BC50322" s="141"/>
    </row>
    <row r="50323">
      <c r="BB50323" s="122"/>
      <c r="BC50323" s="141"/>
    </row>
    <row r="50324">
      <c r="BB50324" s="122"/>
      <c r="BC50324" s="141"/>
    </row>
    <row r="50325">
      <c r="BB50325" s="122"/>
      <c r="BC50325" s="141"/>
    </row>
    <row r="50326">
      <c r="BB50326" s="122"/>
      <c r="BC50326" s="141"/>
    </row>
    <row r="50327">
      <c r="BB50327" s="122"/>
      <c r="BC50327" s="141"/>
    </row>
    <row r="50328">
      <c r="BB50328" s="122"/>
      <c r="BC50328" s="141"/>
    </row>
    <row r="50329">
      <c r="BB50329" s="122"/>
      <c r="BC50329" s="141"/>
    </row>
    <row r="50330">
      <c r="BB50330" s="122"/>
      <c r="BC50330" s="141"/>
    </row>
    <row r="50331">
      <c r="BB50331" s="122"/>
      <c r="BC50331" s="141"/>
    </row>
    <row r="50332">
      <c r="BB50332" s="122"/>
      <c r="BC50332" s="141"/>
    </row>
    <row r="50333">
      <c r="BB50333" s="122"/>
      <c r="BC50333" s="141"/>
    </row>
    <row r="50334">
      <c r="BB50334" s="122"/>
      <c r="BC50334" s="141"/>
    </row>
    <row r="50335">
      <c r="BB50335" s="122"/>
      <c r="BC50335" s="141"/>
    </row>
    <row r="50336">
      <c r="BB50336" s="122"/>
      <c r="BC50336" s="141"/>
    </row>
    <row r="50337">
      <c r="BB50337" s="122"/>
      <c r="BC50337" s="141"/>
    </row>
    <row r="50338">
      <c r="BB50338" s="122"/>
      <c r="BC50338" s="141"/>
    </row>
    <row r="50339">
      <c r="BB50339" s="122"/>
      <c r="BC50339" s="141"/>
    </row>
    <row r="50340">
      <c r="BB50340" s="122"/>
      <c r="BC50340" s="141"/>
    </row>
    <row r="50341">
      <c r="BB50341" s="122"/>
      <c r="BC50341" s="141"/>
    </row>
    <row r="50342">
      <c r="BB50342" s="122"/>
      <c r="BC50342" s="141"/>
    </row>
    <row r="50343">
      <c r="BB50343" s="122"/>
      <c r="BC50343" s="141"/>
    </row>
    <row r="50344">
      <c r="BB50344" s="122"/>
      <c r="BC50344" s="141"/>
    </row>
    <row r="50345">
      <c r="BB50345" s="122"/>
      <c r="BC50345" s="141"/>
    </row>
    <row r="50346">
      <c r="BB50346" s="122"/>
      <c r="BC50346" s="141"/>
    </row>
    <row r="50347">
      <c r="BB50347" s="122"/>
      <c r="BC50347" s="141"/>
    </row>
    <row r="50348">
      <c r="BB50348" s="122"/>
      <c r="BC50348" s="141"/>
    </row>
    <row r="50349">
      <c r="BB50349" s="122"/>
      <c r="BC50349" s="141"/>
    </row>
    <row r="50350">
      <c r="BB50350" s="122"/>
      <c r="BC50350" s="141"/>
    </row>
    <row r="50351">
      <c r="BB50351" s="122"/>
      <c r="BC50351" s="141"/>
    </row>
    <row r="50352">
      <c r="BB50352" s="122"/>
      <c r="BC50352" s="141"/>
    </row>
    <row r="50353">
      <c r="BB50353" s="122"/>
      <c r="BC50353" s="141"/>
    </row>
    <row r="50354">
      <c r="BB50354" s="122"/>
      <c r="BC50354" s="141"/>
    </row>
    <row r="50355">
      <c r="BB50355" s="122"/>
      <c r="BC50355" s="141"/>
    </row>
    <row r="50356">
      <c r="BB50356" s="122"/>
      <c r="BC50356" s="141"/>
    </row>
    <row r="50357">
      <c r="BB50357" s="122"/>
      <c r="BC50357" s="141"/>
    </row>
    <row r="50358">
      <c r="BB50358" s="122"/>
      <c r="BC50358" s="141"/>
    </row>
    <row r="50359">
      <c r="BB50359" s="122"/>
      <c r="BC50359" s="141"/>
    </row>
    <row r="50360">
      <c r="BB50360" s="122"/>
      <c r="BC50360" s="141"/>
    </row>
    <row r="50361">
      <c r="BB50361" s="122"/>
      <c r="BC50361" s="141"/>
    </row>
    <row r="50362">
      <c r="BB50362" s="122"/>
      <c r="BC50362" s="141"/>
    </row>
    <row r="50363">
      <c r="BB50363" s="122"/>
      <c r="BC50363" s="141"/>
    </row>
    <row r="50364">
      <c r="BB50364" s="122"/>
      <c r="BC50364" s="141"/>
    </row>
    <row r="50365">
      <c r="BB50365" s="122"/>
      <c r="BC50365" s="141"/>
    </row>
    <row r="50366">
      <c r="BB50366" s="122"/>
      <c r="BC50366" s="141"/>
    </row>
    <row r="50367">
      <c r="BB50367" s="122"/>
      <c r="BC50367" s="141"/>
    </row>
    <row r="50368">
      <c r="BB50368" s="122"/>
      <c r="BC50368" s="141"/>
    </row>
    <row r="50369">
      <c r="BB50369" s="122"/>
      <c r="BC50369" s="141"/>
    </row>
    <row r="50370">
      <c r="BB50370" s="122"/>
      <c r="BC50370" s="141"/>
    </row>
    <row r="50371">
      <c r="BB50371" s="122"/>
      <c r="BC50371" s="141"/>
    </row>
    <row r="50372">
      <c r="BB50372" s="122"/>
      <c r="BC50372" s="141"/>
    </row>
    <row r="50373">
      <c r="BB50373" s="122"/>
      <c r="BC50373" s="141"/>
    </row>
    <row r="50374">
      <c r="BB50374" s="122"/>
      <c r="BC50374" s="141"/>
    </row>
    <row r="50375">
      <c r="BB50375" s="122"/>
      <c r="BC50375" s="141"/>
    </row>
    <row r="50376">
      <c r="BB50376" s="122"/>
      <c r="BC50376" s="141"/>
    </row>
    <row r="50377">
      <c r="BB50377" s="122"/>
      <c r="BC50377" s="141"/>
    </row>
    <row r="50378">
      <c r="BB50378" s="122"/>
      <c r="BC50378" s="141"/>
    </row>
    <row r="50379">
      <c r="BB50379" s="122"/>
      <c r="BC50379" s="141"/>
    </row>
    <row r="50380">
      <c r="BB50380" s="122"/>
      <c r="BC50380" s="141"/>
    </row>
    <row r="50381">
      <c r="BB50381" s="122"/>
      <c r="BC50381" s="141"/>
    </row>
    <row r="50382">
      <c r="BB50382" s="122"/>
      <c r="BC50382" s="141"/>
    </row>
    <row r="50383">
      <c r="BB50383" s="122"/>
      <c r="BC50383" s="141"/>
    </row>
    <row r="50384">
      <c r="BB50384" s="122"/>
      <c r="BC50384" s="141"/>
    </row>
    <row r="50385">
      <c r="BB50385" s="122"/>
      <c r="BC50385" s="141"/>
    </row>
    <row r="50386">
      <c r="BB50386" s="122"/>
      <c r="BC50386" s="141"/>
    </row>
    <row r="50387">
      <c r="BB50387" s="122"/>
      <c r="BC50387" s="141"/>
    </row>
    <row r="50388">
      <c r="BB50388" s="122"/>
      <c r="BC50388" s="141"/>
    </row>
    <row r="50389">
      <c r="BB50389" s="122"/>
      <c r="BC50389" s="141"/>
    </row>
    <row r="50390">
      <c r="BB50390" s="122"/>
      <c r="BC50390" s="141"/>
    </row>
    <row r="50391">
      <c r="BB50391" s="122"/>
      <c r="BC50391" s="141"/>
    </row>
    <row r="50392">
      <c r="BB50392" s="122"/>
      <c r="BC50392" s="141"/>
    </row>
    <row r="50393">
      <c r="BB50393" s="122"/>
      <c r="BC50393" s="141"/>
    </row>
    <row r="50394">
      <c r="BB50394" s="122"/>
      <c r="BC50394" s="141"/>
    </row>
    <row r="50395">
      <c r="BB50395" s="122"/>
      <c r="BC50395" s="141"/>
    </row>
    <row r="50396">
      <c r="BB50396" s="122"/>
      <c r="BC50396" s="141"/>
    </row>
    <row r="50397">
      <c r="BB50397" s="122"/>
      <c r="BC50397" s="141"/>
    </row>
    <row r="50398">
      <c r="BB50398" s="122"/>
      <c r="BC50398" s="141"/>
    </row>
    <row r="50399">
      <c r="BB50399" s="122"/>
      <c r="BC50399" s="141"/>
    </row>
    <row r="50400">
      <c r="BB50400" s="122"/>
      <c r="BC50400" s="141"/>
    </row>
    <row r="50401">
      <c r="BB50401" s="122"/>
      <c r="BC50401" s="141"/>
    </row>
    <row r="50402">
      <c r="BB50402" s="122"/>
      <c r="BC50402" s="141"/>
    </row>
    <row r="50403">
      <c r="BB50403" s="122"/>
      <c r="BC50403" s="141"/>
    </row>
    <row r="50404">
      <c r="BB50404" s="122"/>
      <c r="BC50404" s="141"/>
    </row>
    <row r="50405">
      <c r="BB50405" s="122"/>
      <c r="BC50405" s="141"/>
    </row>
    <row r="50406">
      <c r="BB50406" s="122"/>
      <c r="BC50406" s="141"/>
    </row>
    <row r="50407">
      <c r="BB50407" s="122"/>
      <c r="BC50407" s="141"/>
    </row>
    <row r="50408">
      <c r="BB50408" s="122"/>
      <c r="BC50408" s="141"/>
    </row>
    <row r="50409">
      <c r="BB50409" s="122"/>
      <c r="BC50409" s="141"/>
    </row>
    <row r="50410">
      <c r="BB50410" s="122"/>
      <c r="BC50410" s="141"/>
    </row>
    <row r="50411">
      <c r="BB50411" s="122"/>
      <c r="BC50411" s="141"/>
    </row>
    <row r="50412">
      <c r="BB50412" s="122"/>
      <c r="BC50412" s="141"/>
    </row>
    <row r="50413">
      <c r="BB50413" s="122"/>
      <c r="BC50413" s="141"/>
    </row>
    <row r="50414">
      <c r="BB50414" s="122"/>
      <c r="BC50414" s="141"/>
    </row>
    <row r="50415">
      <c r="BB50415" s="122"/>
      <c r="BC50415" s="141"/>
    </row>
    <row r="50416">
      <c r="BB50416" s="122"/>
      <c r="BC50416" s="141"/>
    </row>
    <row r="50417">
      <c r="BB50417" s="122"/>
      <c r="BC50417" s="141"/>
    </row>
    <row r="50418">
      <c r="BB50418" s="122"/>
      <c r="BC50418" s="141"/>
    </row>
    <row r="50419">
      <c r="BB50419" s="122"/>
      <c r="BC50419" s="141"/>
    </row>
    <row r="50420">
      <c r="BB50420" s="122"/>
      <c r="BC50420" s="141"/>
    </row>
    <row r="50421">
      <c r="BB50421" s="122"/>
      <c r="BC50421" s="141"/>
    </row>
    <row r="50422">
      <c r="BB50422" s="122"/>
      <c r="BC50422" s="141"/>
    </row>
    <row r="50423">
      <c r="BB50423" s="122"/>
      <c r="BC50423" s="141"/>
    </row>
    <row r="50424">
      <c r="BB50424" s="122"/>
      <c r="BC50424" s="141"/>
    </row>
    <row r="50425">
      <c r="BB50425" s="122"/>
      <c r="BC50425" s="141"/>
    </row>
    <row r="50426">
      <c r="BB50426" s="122"/>
      <c r="BC50426" s="141"/>
    </row>
    <row r="50427">
      <c r="BB50427" s="122"/>
      <c r="BC50427" s="141"/>
    </row>
    <row r="50428">
      <c r="BB50428" s="122"/>
      <c r="BC50428" s="141"/>
    </row>
    <row r="50429">
      <c r="BB50429" s="122"/>
      <c r="BC50429" s="141"/>
    </row>
    <row r="50430">
      <c r="BB50430" s="122"/>
      <c r="BC50430" s="141"/>
    </row>
    <row r="50431">
      <c r="BB50431" s="122"/>
      <c r="BC50431" s="141"/>
    </row>
    <row r="50432">
      <c r="BB50432" s="122"/>
      <c r="BC50432" s="141"/>
    </row>
    <row r="50433">
      <c r="BB50433" s="122"/>
      <c r="BC50433" s="141"/>
    </row>
    <row r="50434">
      <c r="BB50434" s="122"/>
      <c r="BC50434" s="141"/>
    </row>
    <row r="50435">
      <c r="BB50435" s="122"/>
      <c r="BC50435" s="141"/>
    </row>
    <row r="50436">
      <c r="BB50436" s="122"/>
      <c r="BC50436" s="141"/>
    </row>
    <row r="50437">
      <c r="BB50437" s="122"/>
      <c r="BC50437" s="141"/>
    </row>
    <row r="50438">
      <c r="BB50438" s="122"/>
      <c r="BC50438" s="141"/>
    </row>
    <row r="50439">
      <c r="BB50439" s="122"/>
      <c r="BC50439" s="141"/>
    </row>
    <row r="50440">
      <c r="BB50440" s="122"/>
      <c r="BC50440" s="141"/>
    </row>
    <row r="50441">
      <c r="BB50441" s="122"/>
      <c r="BC50441" s="141"/>
    </row>
    <row r="50442">
      <c r="BB50442" s="122"/>
      <c r="BC50442" s="141"/>
    </row>
    <row r="50443">
      <c r="BB50443" s="122"/>
      <c r="BC50443" s="141"/>
    </row>
    <row r="50444">
      <c r="BB50444" s="122"/>
      <c r="BC50444" s="141"/>
    </row>
    <row r="50445">
      <c r="BB50445" s="122"/>
      <c r="BC50445" s="141"/>
    </row>
    <row r="50446">
      <c r="BB50446" s="122"/>
      <c r="BC50446" s="141"/>
    </row>
    <row r="50447">
      <c r="BB50447" s="122"/>
      <c r="BC50447" s="141"/>
    </row>
    <row r="50448">
      <c r="BB50448" s="122"/>
      <c r="BC50448" s="141"/>
    </row>
    <row r="50449">
      <c r="BB50449" s="122"/>
      <c r="BC50449" s="141"/>
    </row>
    <row r="50450">
      <c r="BB50450" s="122"/>
      <c r="BC50450" s="141"/>
    </row>
    <row r="50451">
      <c r="BB50451" s="122"/>
      <c r="BC50451" s="141"/>
    </row>
    <row r="50452">
      <c r="BB50452" s="122"/>
      <c r="BC50452" s="141"/>
    </row>
    <row r="50453">
      <c r="BB50453" s="122"/>
      <c r="BC50453" s="141"/>
    </row>
    <row r="50454">
      <c r="BB50454" s="122"/>
      <c r="BC50454" s="141"/>
    </row>
    <row r="50455">
      <c r="BB50455" s="122"/>
      <c r="BC50455" s="141"/>
    </row>
    <row r="50456">
      <c r="BB50456" s="122"/>
      <c r="BC50456" s="141"/>
    </row>
    <row r="50457">
      <c r="BB50457" s="122"/>
      <c r="BC50457" s="141"/>
    </row>
    <row r="50458">
      <c r="BB50458" s="122"/>
      <c r="BC50458" s="141"/>
    </row>
    <row r="50459">
      <c r="BB50459" s="122"/>
      <c r="BC50459" s="141"/>
    </row>
    <row r="50460">
      <c r="BB50460" s="122"/>
      <c r="BC50460" s="141"/>
    </row>
    <row r="50461">
      <c r="BB50461" s="122"/>
      <c r="BC50461" s="141"/>
    </row>
    <row r="50462">
      <c r="BB50462" s="122"/>
      <c r="BC50462" s="141"/>
    </row>
    <row r="50463">
      <c r="BB50463" s="122"/>
      <c r="BC50463" s="141"/>
    </row>
    <row r="50464">
      <c r="BB50464" s="122"/>
      <c r="BC50464" s="141"/>
    </row>
    <row r="50465">
      <c r="BB50465" s="122"/>
      <c r="BC50465" s="141"/>
    </row>
    <row r="50466">
      <c r="BB50466" s="122"/>
      <c r="BC50466" s="141"/>
    </row>
    <row r="50467">
      <c r="BB50467" s="122"/>
      <c r="BC50467" s="141"/>
    </row>
    <row r="50468">
      <c r="BB50468" s="122"/>
      <c r="BC50468" s="141"/>
    </row>
    <row r="50469">
      <c r="BB50469" s="122"/>
      <c r="BC50469" s="141"/>
    </row>
    <row r="50470">
      <c r="BB50470" s="122"/>
      <c r="BC50470" s="141"/>
    </row>
    <row r="50471">
      <c r="BB50471" s="122"/>
      <c r="BC50471" s="141"/>
    </row>
    <row r="50472">
      <c r="BB50472" s="122"/>
      <c r="BC50472" s="141"/>
    </row>
    <row r="50473">
      <c r="BB50473" s="122"/>
      <c r="BC50473" s="141"/>
    </row>
    <row r="50474">
      <c r="BB50474" s="122"/>
      <c r="BC50474" s="141"/>
    </row>
    <row r="50475">
      <c r="BB50475" s="122"/>
      <c r="BC50475" s="141"/>
    </row>
    <row r="50476">
      <c r="BB50476" s="122"/>
      <c r="BC50476" s="141"/>
    </row>
    <row r="50477">
      <c r="BB50477" s="122"/>
      <c r="BC50477" s="141"/>
    </row>
    <row r="50478">
      <c r="BB50478" s="122"/>
      <c r="BC50478" s="141"/>
    </row>
    <row r="50479">
      <c r="BB50479" s="122"/>
      <c r="BC50479" s="141"/>
    </row>
    <row r="50480">
      <c r="BB50480" s="122"/>
      <c r="BC50480" s="141"/>
    </row>
    <row r="50481">
      <c r="BB50481" s="122"/>
      <c r="BC50481" s="141"/>
    </row>
    <row r="50482">
      <c r="BB50482" s="122"/>
      <c r="BC50482" s="141"/>
    </row>
    <row r="50483">
      <c r="BB50483" s="122"/>
      <c r="BC50483" s="141"/>
    </row>
    <row r="50484">
      <c r="BB50484" s="122"/>
      <c r="BC50484" s="141"/>
    </row>
    <row r="50485">
      <c r="BB50485" s="122"/>
      <c r="BC50485" s="141"/>
    </row>
    <row r="50486">
      <c r="BB50486" s="122"/>
      <c r="BC50486" s="141"/>
    </row>
    <row r="50487">
      <c r="BB50487" s="122"/>
      <c r="BC50487" s="141"/>
    </row>
    <row r="50488">
      <c r="BB50488" s="122"/>
      <c r="BC50488" s="141"/>
    </row>
    <row r="50489">
      <c r="BB50489" s="122"/>
      <c r="BC50489" s="141"/>
    </row>
    <row r="50490">
      <c r="BB50490" s="122"/>
      <c r="BC50490" s="141"/>
    </row>
    <row r="50491">
      <c r="BB50491" s="122"/>
      <c r="BC50491" s="141"/>
    </row>
    <row r="50492">
      <c r="BB50492" s="122"/>
      <c r="BC50492" s="141"/>
    </row>
    <row r="50493">
      <c r="BB50493" s="122"/>
      <c r="BC50493" s="141"/>
    </row>
    <row r="50494">
      <c r="BB50494" s="122"/>
      <c r="BC50494" s="141"/>
    </row>
    <row r="50495">
      <c r="BB50495" s="122"/>
      <c r="BC50495" s="141"/>
    </row>
    <row r="50496">
      <c r="BB50496" s="122"/>
      <c r="BC50496" s="141"/>
    </row>
    <row r="50497">
      <c r="BB50497" s="122"/>
      <c r="BC50497" s="141"/>
    </row>
    <row r="50498">
      <c r="BB50498" s="122"/>
      <c r="BC50498" s="141"/>
    </row>
    <row r="50499">
      <c r="BB50499" s="122"/>
      <c r="BC50499" s="141"/>
    </row>
    <row r="50500">
      <c r="BB50500" s="122"/>
      <c r="BC50500" s="141"/>
    </row>
    <row r="50501">
      <c r="BB50501" s="122"/>
      <c r="BC50501" s="141"/>
    </row>
  </sheetData>
  <mergeCells count="17">
    <mergeCell ref="AL2:AN2"/>
    <mergeCell ref="AP2:AQ2"/>
    <mergeCell ref="AS2:AV2"/>
    <mergeCell ref="AX2:BA2"/>
    <mergeCell ref="AD2:AF2"/>
    <mergeCell ref="Y3:AB3"/>
    <mergeCell ref="J4:M4"/>
    <mergeCell ref="A6:C6"/>
    <mergeCell ref="A10:D10"/>
    <mergeCell ref="J15:M15"/>
    <mergeCell ref="A1:H1"/>
    <mergeCell ref="J1:M1"/>
    <mergeCell ref="O1:AB1"/>
    <mergeCell ref="AD1:AQ1"/>
    <mergeCell ref="AS1:BA1"/>
    <mergeCell ref="AH2:AJ2"/>
    <mergeCell ref="J3:M3"/>
  </mergeCell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6" t="s">
        <v>3</v>
      </c>
      <c r="B1" s="167" t="s">
        <v>5</v>
      </c>
      <c r="C1" s="168" t="s">
        <v>18</v>
      </c>
      <c r="D1" s="168" t="s">
        <v>6</v>
      </c>
      <c r="E1" s="168" t="s">
        <v>7</v>
      </c>
      <c r="F1" s="168" t="s">
        <v>8</v>
      </c>
      <c r="G1" s="168" t="s">
        <v>9</v>
      </c>
      <c r="H1" s="168" t="s">
        <v>10</v>
      </c>
      <c r="I1" s="167" t="s">
        <v>11</v>
      </c>
      <c r="J1" s="169" t="s">
        <v>235</v>
      </c>
      <c r="K1" s="168" t="s">
        <v>236</v>
      </c>
      <c r="L1" s="168" t="s">
        <v>16</v>
      </c>
      <c r="M1" s="168" t="s">
        <v>237</v>
      </c>
      <c r="N1" s="168" t="s">
        <v>238</v>
      </c>
      <c r="O1" s="168" t="s">
        <v>14</v>
      </c>
      <c r="P1" s="167" t="s">
        <v>239</v>
      </c>
      <c r="Q1" s="167" t="s">
        <v>12</v>
      </c>
      <c r="R1" s="167" t="s">
        <v>17</v>
      </c>
      <c r="S1" s="167" t="s">
        <v>240</v>
      </c>
      <c r="T1" s="167" t="s">
        <v>241</v>
      </c>
      <c r="U1" s="167" t="s">
        <v>19</v>
      </c>
      <c r="V1" s="168" t="s">
        <v>242</v>
      </c>
      <c r="W1" s="168" t="s">
        <v>20</v>
      </c>
      <c r="X1" s="168" t="s">
        <v>21</v>
      </c>
      <c r="Y1" s="168" t="s">
        <v>243</v>
      </c>
      <c r="Z1" s="168" t="s">
        <v>22</v>
      </c>
      <c r="AA1" s="168" t="s">
        <v>244</v>
      </c>
      <c r="AB1" s="170" t="s">
        <v>24</v>
      </c>
      <c r="AC1" s="168" t="s">
        <v>245</v>
      </c>
      <c r="AD1" s="168" t="s">
        <v>25</v>
      </c>
      <c r="AE1" s="171" t="s">
        <v>246</v>
      </c>
    </row>
    <row r="2">
      <c r="A2" s="172">
        <v>9.0</v>
      </c>
      <c r="B2" s="173" t="s">
        <v>37</v>
      </c>
      <c r="C2" s="173" t="s">
        <v>73</v>
      </c>
      <c r="D2" s="173" t="s">
        <v>247</v>
      </c>
      <c r="E2" s="173" t="s">
        <v>248</v>
      </c>
      <c r="F2" s="173" t="s">
        <v>40</v>
      </c>
      <c r="G2" s="173" t="s">
        <v>41</v>
      </c>
      <c r="H2" s="173">
        <v>79938.0</v>
      </c>
      <c r="I2" s="173" t="s">
        <v>42</v>
      </c>
      <c r="J2" s="174">
        <v>274950.0</v>
      </c>
      <c r="K2" s="175">
        <v>45889.0</v>
      </c>
      <c r="L2" s="175">
        <v>45894.0</v>
      </c>
      <c r="M2" s="173" t="s">
        <v>249</v>
      </c>
      <c r="N2" s="176"/>
      <c r="O2" s="175">
        <v>45930.0</v>
      </c>
      <c r="P2" s="176"/>
      <c r="Q2" s="176"/>
      <c r="R2" s="173" t="s">
        <v>176</v>
      </c>
      <c r="S2" s="175">
        <v>45923.0</v>
      </c>
      <c r="T2" s="173" t="s">
        <v>134</v>
      </c>
      <c r="U2" s="173" t="s">
        <v>46</v>
      </c>
      <c r="V2" s="174">
        <v>265326.0</v>
      </c>
      <c r="W2" s="173" t="s">
        <v>135</v>
      </c>
      <c r="X2" s="173" t="s">
        <v>250</v>
      </c>
      <c r="Y2" s="173" t="s">
        <v>251</v>
      </c>
      <c r="Z2" s="173" t="s">
        <v>136</v>
      </c>
      <c r="AA2" s="173" t="s">
        <v>73</v>
      </c>
      <c r="AB2" s="173">
        <v>9.153552887E9</v>
      </c>
      <c r="AC2" s="173" t="s">
        <v>252</v>
      </c>
      <c r="AD2" s="173" t="s">
        <v>75</v>
      </c>
      <c r="AE2" s="177"/>
    </row>
    <row r="3">
      <c r="A3" s="172">
        <v>13.0</v>
      </c>
      <c r="B3" s="173" t="s">
        <v>37</v>
      </c>
      <c r="C3" s="173" t="s">
        <v>73</v>
      </c>
      <c r="D3" s="173" t="s">
        <v>253</v>
      </c>
      <c r="E3" s="173" t="s">
        <v>254</v>
      </c>
      <c r="F3" s="173" t="s">
        <v>40</v>
      </c>
      <c r="G3" s="173" t="s">
        <v>41</v>
      </c>
      <c r="H3" s="173">
        <v>79938.0</v>
      </c>
      <c r="I3" s="173" t="s">
        <v>42</v>
      </c>
      <c r="J3" s="174">
        <v>274950.0</v>
      </c>
      <c r="K3" s="175">
        <v>45827.0</v>
      </c>
      <c r="L3" s="175">
        <v>45835.0</v>
      </c>
      <c r="M3" s="173" t="s">
        <v>249</v>
      </c>
      <c r="N3" s="176"/>
      <c r="O3" s="175">
        <v>45894.0</v>
      </c>
      <c r="P3" s="175">
        <v>45915.0</v>
      </c>
      <c r="Q3" s="173" t="s">
        <v>255</v>
      </c>
      <c r="R3" s="173" t="s">
        <v>59</v>
      </c>
      <c r="S3" s="175">
        <v>45916.0</v>
      </c>
      <c r="T3" s="173" t="s">
        <v>134</v>
      </c>
      <c r="U3" s="173" t="s">
        <v>46</v>
      </c>
      <c r="V3" s="174">
        <v>265326.0</v>
      </c>
      <c r="W3" s="173" t="s">
        <v>155</v>
      </c>
      <c r="X3" s="173" t="s">
        <v>256</v>
      </c>
      <c r="Y3" s="173" t="s">
        <v>257</v>
      </c>
      <c r="Z3" s="173" t="s">
        <v>136</v>
      </c>
      <c r="AA3" s="173" t="s">
        <v>73</v>
      </c>
      <c r="AB3" s="178" t="s">
        <v>74</v>
      </c>
      <c r="AC3" s="173" t="s">
        <v>252</v>
      </c>
      <c r="AD3" s="173" t="s">
        <v>75</v>
      </c>
      <c r="AE3" s="177"/>
    </row>
    <row r="4">
      <c r="A4" s="172">
        <v>16.0</v>
      </c>
      <c r="B4" s="173" t="s">
        <v>76</v>
      </c>
      <c r="C4" s="173" t="s">
        <v>258</v>
      </c>
      <c r="D4" s="173" t="s">
        <v>259</v>
      </c>
      <c r="E4" s="173" t="s">
        <v>260</v>
      </c>
      <c r="F4" s="173" t="s">
        <v>40</v>
      </c>
      <c r="G4" s="173" t="s">
        <v>41</v>
      </c>
      <c r="H4" s="173">
        <v>79938.0</v>
      </c>
      <c r="I4" s="173" t="s">
        <v>42</v>
      </c>
      <c r="J4" s="174">
        <v>274950.0</v>
      </c>
      <c r="K4" s="175">
        <v>45840.0</v>
      </c>
      <c r="L4" s="175">
        <v>45848.0</v>
      </c>
      <c r="M4" s="173" t="s">
        <v>249</v>
      </c>
      <c r="N4" s="176"/>
      <c r="O4" s="175">
        <v>45880.0</v>
      </c>
      <c r="P4" s="175">
        <v>45910.0</v>
      </c>
      <c r="Q4" s="173" t="s">
        <v>255</v>
      </c>
      <c r="R4" s="173" t="s">
        <v>59</v>
      </c>
      <c r="S4" s="175">
        <v>45910.0</v>
      </c>
      <c r="T4" s="176"/>
      <c r="U4" s="173" t="s">
        <v>46</v>
      </c>
      <c r="V4" s="174">
        <v>274950.0</v>
      </c>
      <c r="W4" s="173" t="s">
        <v>228</v>
      </c>
      <c r="X4" s="173">
        <v>5.7377817185E10</v>
      </c>
      <c r="Y4" s="173" t="s">
        <v>261</v>
      </c>
      <c r="Z4" s="173" t="s">
        <v>162</v>
      </c>
      <c r="AA4" s="173" t="s">
        <v>262</v>
      </c>
      <c r="AB4" s="179" t="s">
        <v>263</v>
      </c>
      <c r="AC4" s="173" t="s">
        <v>264</v>
      </c>
      <c r="AD4" s="173" t="s">
        <v>86</v>
      </c>
      <c r="AE4" s="177"/>
    </row>
    <row r="5">
      <c r="A5" s="172">
        <v>18.0</v>
      </c>
      <c r="B5" s="173" t="s">
        <v>76</v>
      </c>
      <c r="C5" s="173" t="s">
        <v>73</v>
      </c>
      <c r="D5" s="173" t="s">
        <v>265</v>
      </c>
      <c r="E5" s="173" t="s">
        <v>266</v>
      </c>
      <c r="F5" s="173" t="s">
        <v>40</v>
      </c>
      <c r="G5" s="173" t="s">
        <v>41</v>
      </c>
      <c r="H5" s="173">
        <v>79934.0</v>
      </c>
      <c r="I5" s="173" t="s">
        <v>42</v>
      </c>
      <c r="J5" s="174">
        <v>328950.0</v>
      </c>
      <c r="K5" s="175">
        <v>45836.0</v>
      </c>
      <c r="L5" s="175">
        <v>45839.0</v>
      </c>
      <c r="M5" s="173" t="s">
        <v>249</v>
      </c>
      <c r="N5" s="176"/>
      <c r="O5" s="175">
        <v>45866.0</v>
      </c>
      <c r="P5" s="176"/>
      <c r="Q5" s="176"/>
      <c r="R5" s="173" t="s">
        <v>143</v>
      </c>
      <c r="S5" s="175">
        <v>45861.0</v>
      </c>
      <c r="T5" s="173" t="s">
        <v>134</v>
      </c>
      <c r="U5" s="173" t="s">
        <v>46</v>
      </c>
      <c r="V5" s="174">
        <v>317436.0</v>
      </c>
      <c r="W5" s="173" t="s">
        <v>135</v>
      </c>
      <c r="X5" s="173" t="s">
        <v>72</v>
      </c>
      <c r="Y5" s="173" t="s">
        <v>251</v>
      </c>
      <c r="Z5" s="173" t="s">
        <v>136</v>
      </c>
      <c r="AA5" s="173" t="s">
        <v>73</v>
      </c>
      <c r="AB5" s="178" t="s">
        <v>74</v>
      </c>
      <c r="AC5" s="173" t="s">
        <v>252</v>
      </c>
      <c r="AD5" s="173" t="s">
        <v>75</v>
      </c>
      <c r="AE5" s="177"/>
    </row>
    <row r="6">
      <c r="A6" s="172">
        <v>20.0</v>
      </c>
      <c r="B6" s="173" t="s">
        <v>76</v>
      </c>
      <c r="C6" s="173" t="s">
        <v>267</v>
      </c>
      <c r="D6" s="173" t="s">
        <v>268</v>
      </c>
      <c r="E6" s="173" t="s">
        <v>269</v>
      </c>
      <c r="F6" s="173" t="s">
        <v>40</v>
      </c>
      <c r="G6" s="173" t="s">
        <v>41</v>
      </c>
      <c r="H6" s="173">
        <v>79938.0</v>
      </c>
      <c r="I6" s="173" t="s">
        <v>42</v>
      </c>
      <c r="J6" s="174">
        <v>264950.0</v>
      </c>
      <c r="K6" s="175">
        <v>45830.0</v>
      </c>
      <c r="L6" s="176"/>
      <c r="M6" s="173" t="s">
        <v>249</v>
      </c>
      <c r="N6" s="176"/>
      <c r="O6" s="175">
        <v>45856.0</v>
      </c>
      <c r="P6" s="176"/>
      <c r="Q6" s="176"/>
      <c r="R6" s="173" t="s">
        <v>153</v>
      </c>
      <c r="S6" s="176"/>
      <c r="T6" s="173" t="s">
        <v>140</v>
      </c>
      <c r="U6" s="173" t="s">
        <v>46</v>
      </c>
      <c r="V6" s="176"/>
      <c r="W6" s="173" t="s">
        <v>217</v>
      </c>
      <c r="X6" s="173" t="s">
        <v>270</v>
      </c>
      <c r="Y6" s="173" t="s">
        <v>271</v>
      </c>
      <c r="Z6" s="173" t="s">
        <v>156</v>
      </c>
      <c r="AA6" s="173" t="s">
        <v>272</v>
      </c>
      <c r="AB6" s="178" t="s">
        <v>273</v>
      </c>
      <c r="AC6" s="173" t="s">
        <v>274</v>
      </c>
      <c r="AD6" s="173" t="s">
        <v>86</v>
      </c>
      <c r="AE6" s="177"/>
    </row>
    <row r="7">
      <c r="A7" s="172">
        <v>21.0</v>
      </c>
      <c r="B7" s="173" t="s">
        <v>37</v>
      </c>
      <c r="C7" s="173" t="s">
        <v>73</v>
      </c>
      <c r="D7" s="173" t="s">
        <v>53</v>
      </c>
      <c r="E7" s="173" t="s">
        <v>275</v>
      </c>
      <c r="F7" s="173" t="s">
        <v>40</v>
      </c>
      <c r="G7" s="173" t="s">
        <v>41</v>
      </c>
      <c r="H7" s="173">
        <v>79938.0</v>
      </c>
      <c r="I7" s="173" t="s">
        <v>42</v>
      </c>
      <c r="J7" s="174">
        <v>264950.0</v>
      </c>
      <c r="K7" s="175">
        <v>45800.0</v>
      </c>
      <c r="L7" s="175">
        <v>45845.0</v>
      </c>
      <c r="M7" s="173" t="s">
        <v>276</v>
      </c>
      <c r="N7" s="173">
        <v>2025.0</v>
      </c>
      <c r="O7" s="175">
        <v>45845.0</v>
      </c>
      <c r="P7" s="176"/>
      <c r="Q7" s="176"/>
      <c r="R7" s="173" t="s">
        <v>201</v>
      </c>
      <c r="S7" s="176"/>
      <c r="T7" s="173" t="s">
        <v>140</v>
      </c>
      <c r="U7" s="173" t="s">
        <v>46</v>
      </c>
      <c r="V7" s="176"/>
      <c r="W7" s="173" t="s">
        <v>135</v>
      </c>
      <c r="X7" s="173" t="s">
        <v>72</v>
      </c>
      <c r="Y7" s="173" t="s">
        <v>277</v>
      </c>
      <c r="Z7" s="173" t="s">
        <v>136</v>
      </c>
      <c r="AA7" s="173" t="s">
        <v>73</v>
      </c>
      <c r="AB7" s="178" t="s">
        <v>74</v>
      </c>
      <c r="AC7" s="173" t="s">
        <v>252</v>
      </c>
      <c r="AD7" s="173" t="s">
        <v>75</v>
      </c>
      <c r="AE7" s="177"/>
    </row>
    <row r="8">
      <c r="A8" s="172">
        <v>26.0</v>
      </c>
      <c r="B8" s="173" t="s">
        <v>76</v>
      </c>
      <c r="C8" s="173" t="s">
        <v>73</v>
      </c>
      <c r="D8" s="173" t="s">
        <v>278</v>
      </c>
      <c r="E8" s="173" t="s">
        <v>279</v>
      </c>
      <c r="F8" s="173" t="s">
        <v>40</v>
      </c>
      <c r="G8" s="173" t="s">
        <v>41</v>
      </c>
      <c r="H8" s="173">
        <v>79934.0</v>
      </c>
      <c r="I8" s="173" t="s">
        <v>42</v>
      </c>
      <c r="J8" s="174">
        <v>332950.0</v>
      </c>
      <c r="K8" s="175">
        <v>45787.0</v>
      </c>
      <c r="L8" s="175">
        <v>45790.0</v>
      </c>
      <c r="M8" s="173" t="s">
        <v>280</v>
      </c>
      <c r="N8" s="173">
        <v>2025.0</v>
      </c>
      <c r="O8" s="175">
        <v>45818.0</v>
      </c>
      <c r="P8" s="175">
        <v>45826.0</v>
      </c>
      <c r="Q8" s="176"/>
      <c r="R8" s="173" t="s">
        <v>197</v>
      </c>
      <c r="S8" s="175">
        <v>45826.0</v>
      </c>
      <c r="T8" s="173" t="s">
        <v>140</v>
      </c>
      <c r="U8" s="173" t="s">
        <v>46</v>
      </c>
      <c r="V8" s="176"/>
      <c r="W8" s="173" t="s">
        <v>213</v>
      </c>
      <c r="X8" s="173" t="s">
        <v>281</v>
      </c>
      <c r="Y8" s="173" t="s">
        <v>282</v>
      </c>
      <c r="Z8" s="173" t="s">
        <v>190</v>
      </c>
      <c r="AA8" s="173" t="s">
        <v>283</v>
      </c>
      <c r="AB8" s="178" t="s">
        <v>284</v>
      </c>
      <c r="AC8" s="173" t="s">
        <v>285</v>
      </c>
      <c r="AD8" s="173" t="s">
        <v>186</v>
      </c>
      <c r="AE8" s="177"/>
    </row>
    <row r="9">
      <c r="A9" s="172">
        <v>27.0</v>
      </c>
      <c r="B9" s="173" t="s">
        <v>37</v>
      </c>
      <c r="C9" s="173" t="s">
        <v>286</v>
      </c>
      <c r="D9" s="173" t="s">
        <v>287</v>
      </c>
      <c r="E9" s="173" t="s">
        <v>288</v>
      </c>
      <c r="F9" s="173" t="s">
        <v>40</v>
      </c>
      <c r="G9" s="173" t="s">
        <v>41</v>
      </c>
      <c r="H9" s="173">
        <v>79934.0</v>
      </c>
      <c r="I9" s="173" t="s">
        <v>42</v>
      </c>
      <c r="J9" s="174">
        <v>331950.0</v>
      </c>
      <c r="K9" s="175">
        <v>45782.0</v>
      </c>
      <c r="L9" s="175">
        <v>45784.0</v>
      </c>
      <c r="M9" s="173" t="s">
        <v>280</v>
      </c>
      <c r="N9" s="173">
        <v>2025.0</v>
      </c>
      <c r="O9" s="175">
        <v>45813.0</v>
      </c>
      <c r="P9" s="176"/>
      <c r="Q9" s="176"/>
      <c r="R9" s="173" t="s">
        <v>143</v>
      </c>
      <c r="S9" s="176"/>
      <c r="T9" s="173" t="s">
        <v>134</v>
      </c>
      <c r="U9" s="173" t="s">
        <v>46</v>
      </c>
      <c r="V9" s="176"/>
      <c r="W9" s="173" t="s">
        <v>221</v>
      </c>
      <c r="X9" s="173" t="s">
        <v>289</v>
      </c>
      <c r="Y9" s="173" t="s">
        <v>290</v>
      </c>
      <c r="Z9" s="173" t="s">
        <v>156</v>
      </c>
      <c r="AA9" s="173" t="s">
        <v>286</v>
      </c>
      <c r="AB9" s="173" t="s">
        <v>291</v>
      </c>
      <c r="AC9" s="173" t="s">
        <v>292</v>
      </c>
      <c r="AD9" s="173" t="s">
        <v>75</v>
      </c>
      <c r="AE9" s="17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6" t="s">
        <v>3</v>
      </c>
      <c r="B1" s="167" t="s">
        <v>5</v>
      </c>
      <c r="C1" s="168" t="s">
        <v>18</v>
      </c>
      <c r="D1" s="168" t="s">
        <v>6</v>
      </c>
      <c r="E1" s="168" t="s">
        <v>7</v>
      </c>
      <c r="F1" s="168" t="s">
        <v>8</v>
      </c>
      <c r="G1" s="168" t="s">
        <v>9</v>
      </c>
      <c r="H1" s="168" t="s">
        <v>10</v>
      </c>
      <c r="I1" s="167" t="s">
        <v>11</v>
      </c>
      <c r="J1" s="169" t="s">
        <v>235</v>
      </c>
      <c r="K1" s="168" t="s">
        <v>236</v>
      </c>
      <c r="L1" s="168" t="s">
        <v>16</v>
      </c>
      <c r="M1" s="168" t="s">
        <v>237</v>
      </c>
      <c r="N1" s="168" t="s">
        <v>238</v>
      </c>
      <c r="O1" s="168" t="s">
        <v>14</v>
      </c>
      <c r="P1" s="167" t="s">
        <v>239</v>
      </c>
      <c r="Q1" s="167" t="s">
        <v>12</v>
      </c>
      <c r="R1" s="167" t="s">
        <v>17</v>
      </c>
      <c r="S1" s="167" t="s">
        <v>240</v>
      </c>
      <c r="T1" s="167" t="s">
        <v>241</v>
      </c>
      <c r="U1" s="167" t="s">
        <v>19</v>
      </c>
      <c r="V1" s="168" t="s">
        <v>242</v>
      </c>
      <c r="W1" s="168" t="s">
        <v>20</v>
      </c>
      <c r="X1" s="168" t="s">
        <v>21</v>
      </c>
      <c r="Y1" s="168" t="s">
        <v>243</v>
      </c>
      <c r="Z1" s="168" t="s">
        <v>22</v>
      </c>
      <c r="AA1" s="168" t="s">
        <v>244</v>
      </c>
      <c r="AB1" s="170" t="s">
        <v>24</v>
      </c>
      <c r="AC1" s="168" t="s">
        <v>245</v>
      </c>
      <c r="AD1" s="168" t="s">
        <v>25</v>
      </c>
      <c r="AE1" s="171" t="s">
        <v>246</v>
      </c>
    </row>
    <row r="2">
      <c r="A2" s="172">
        <v>3.0</v>
      </c>
      <c r="B2" s="173" t="s">
        <v>76</v>
      </c>
      <c r="C2" s="173" t="s">
        <v>73</v>
      </c>
      <c r="D2" s="173" t="s">
        <v>293</v>
      </c>
      <c r="E2" s="173" t="s">
        <v>294</v>
      </c>
      <c r="F2" s="173" t="s">
        <v>40</v>
      </c>
      <c r="G2" s="173" t="s">
        <v>41</v>
      </c>
      <c r="H2" s="173">
        <v>79934.0</v>
      </c>
      <c r="I2" s="173" t="s">
        <v>42</v>
      </c>
      <c r="J2" s="174">
        <v>269950.0</v>
      </c>
      <c r="K2" s="175">
        <v>45908.0</v>
      </c>
      <c r="L2" s="175">
        <v>45912.0</v>
      </c>
      <c r="M2" s="176"/>
      <c r="N2" s="176"/>
      <c r="O2" s="175">
        <v>46037.0</v>
      </c>
      <c r="P2" s="176"/>
      <c r="Q2" s="176"/>
      <c r="R2" s="173" t="s">
        <v>222</v>
      </c>
      <c r="S2" s="176"/>
      <c r="T2" s="176"/>
      <c r="U2" s="173" t="s">
        <v>220</v>
      </c>
      <c r="V2" s="174">
        <v>269950.0</v>
      </c>
      <c r="W2" s="173" t="s">
        <v>141</v>
      </c>
      <c r="X2" s="173">
        <v>9.156378571E9</v>
      </c>
      <c r="Y2" s="173" t="s">
        <v>295</v>
      </c>
      <c r="Z2" s="173" t="s">
        <v>136</v>
      </c>
      <c r="AA2" s="173" t="s">
        <v>296</v>
      </c>
      <c r="AB2" s="173">
        <v>9.153307305E9</v>
      </c>
      <c r="AC2" s="173" t="s">
        <v>297</v>
      </c>
      <c r="AD2" s="173" t="s">
        <v>86</v>
      </c>
      <c r="AE2" s="177"/>
    </row>
    <row r="3">
      <c r="A3" s="172">
        <v>4.0</v>
      </c>
      <c r="B3" s="173" t="s">
        <v>76</v>
      </c>
      <c r="C3" s="173" t="s">
        <v>73</v>
      </c>
      <c r="D3" s="173" t="s">
        <v>293</v>
      </c>
      <c r="E3" s="173" t="s">
        <v>298</v>
      </c>
      <c r="F3" s="173" t="s">
        <v>40</v>
      </c>
      <c r="G3" s="173" t="s">
        <v>41</v>
      </c>
      <c r="H3" s="173">
        <v>79934.0</v>
      </c>
      <c r="I3" s="173" t="s">
        <v>42</v>
      </c>
      <c r="J3" s="174">
        <v>269950.0</v>
      </c>
      <c r="K3" s="175">
        <v>45898.0</v>
      </c>
      <c r="L3" s="175">
        <v>45904.0</v>
      </c>
      <c r="M3" s="176"/>
      <c r="N3" s="176"/>
      <c r="O3" s="175">
        <v>46005.875</v>
      </c>
      <c r="P3" s="176"/>
      <c r="Q3" s="173" t="s">
        <v>299</v>
      </c>
      <c r="R3" s="173" t="s">
        <v>222</v>
      </c>
      <c r="S3" s="176"/>
      <c r="T3" s="173" t="s">
        <v>140</v>
      </c>
      <c r="U3" s="173" t="s">
        <v>189</v>
      </c>
      <c r="V3" s="174">
        <v>269950.0</v>
      </c>
      <c r="W3" s="173" t="s">
        <v>141</v>
      </c>
      <c r="X3" s="173" t="s">
        <v>300</v>
      </c>
      <c r="Y3" s="173" t="s">
        <v>295</v>
      </c>
      <c r="Z3" s="173" t="s">
        <v>136</v>
      </c>
      <c r="AA3" s="173" t="s">
        <v>296</v>
      </c>
      <c r="AB3" s="178" t="s">
        <v>301</v>
      </c>
      <c r="AC3" s="173" t="s">
        <v>297</v>
      </c>
      <c r="AD3" s="173" t="s">
        <v>86</v>
      </c>
      <c r="AE3" s="180" t="s">
        <v>302</v>
      </c>
    </row>
    <row r="4">
      <c r="A4" s="172">
        <v>5.0</v>
      </c>
      <c r="B4" s="173" t="s">
        <v>37</v>
      </c>
      <c r="C4" s="173" t="s">
        <v>73</v>
      </c>
      <c r="D4" s="173" t="s">
        <v>303</v>
      </c>
      <c r="E4" s="173" t="s">
        <v>304</v>
      </c>
      <c r="F4" s="173" t="s">
        <v>187</v>
      </c>
      <c r="G4" s="173" t="s">
        <v>41</v>
      </c>
      <c r="H4" s="173">
        <v>79928.0</v>
      </c>
      <c r="I4" s="173" t="s">
        <v>42</v>
      </c>
      <c r="J4" s="174">
        <v>279950.0</v>
      </c>
      <c r="K4" s="175">
        <v>45898.0</v>
      </c>
      <c r="L4" s="175">
        <v>45904.0</v>
      </c>
      <c r="M4" s="176"/>
      <c r="N4" s="176"/>
      <c r="O4" s="175">
        <v>45945.0</v>
      </c>
      <c r="P4" s="176"/>
      <c r="Q4" s="176"/>
      <c r="R4" s="173" t="s">
        <v>305</v>
      </c>
      <c r="S4" s="176"/>
      <c r="T4" s="173" t="s">
        <v>140</v>
      </c>
      <c r="U4" s="176"/>
      <c r="V4" s="174">
        <v>279950.0</v>
      </c>
      <c r="W4" s="173" t="s">
        <v>161</v>
      </c>
      <c r="X4" s="173" t="s">
        <v>306</v>
      </c>
      <c r="Y4" s="173" t="s">
        <v>307</v>
      </c>
      <c r="Z4" s="173" t="s">
        <v>148</v>
      </c>
      <c r="AA4" s="173" t="s">
        <v>73</v>
      </c>
      <c r="AB4" s="178" t="s">
        <v>74</v>
      </c>
      <c r="AC4" s="173" t="s">
        <v>252</v>
      </c>
      <c r="AD4" s="173" t="s">
        <v>75</v>
      </c>
      <c r="AE4" s="177"/>
    </row>
    <row r="5">
      <c r="A5" s="172">
        <v>6.0</v>
      </c>
      <c r="B5" s="173" t="s">
        <v>37</v>
      </c>
      <c r="C5" s="173" t="s">
        <v>308</v>
      </c>
      <c r="D5" s="173" t="s">
        <v>309</v>
      </c>
      <c r="E5" s="173" t="s">
        <v>310</v>
      </c>
      <c r="F5" s="173" t="s">
        <v>40</v>
      </c>
      <c r="G5" s="173" t="s">
        <v>41</v>
      </c>
      <c r="H5" s="173">
        <v>79934.0</v>
      </c>
      <c r="I5" s="173" t="s">
        <v>42</v>
      </c>
      <c r="J5" s="174">
        <v>269950.0</v>
      </c>
      <c r="K5" s="175">
        <v>45915.0</v>
      </c>
      <c r="L5" s="175">
        <v>45916.0</v>
      </c>
      <c r="M5" s="176"/>
      <c r="N5" s="176"/>
      <c r="O5" s="175">
        <v>45943.0</v>
      </c>
      <c r="P5" s="176"/>
      <c r="Q5" s="176"/>
      <c r="R5" s="173" t="s">
        <v>311</v>
      </c>
      <c r="S5" s="176"/>
      <c r="T5" s="173" t="s">
        <v>134</v>
      </c>
      <c r="U5" s="176"/>
      <c r="V5" s="174">
        <v>260501.0</v>
      </c>
      <c r="W5" s="173" t="s">
        <v>199</v>
      </c>
      <c r="X5" s="173" t="s">
        <v>250</v>
      </c>
      <c r="Y5" s="173" t="s">
        <v>312</v>
      </c>
      <c r="Z5" s="173" t="s">
        <v>136</v>
      </c>
      <c r="AA5" s="173" t="s">
        <v>313</v>
      </c>
      <c r="AB5" s="173" t="s">
        <v>314</v>
      </c>
      <c r="AC5" s="173" t="s">
        <v>315</v>
      </c>
      <c r="AD5" s="173" t="s">
        <v>75</v>
      </c>
      <c r="AE5" s="177"/>
    </row>
    <row r="6">
      <c r="A6" s="172">
        <v>7.0</v>
      </c>
      <c r="B6" s="173" t="s">
        <v>76</v>
      </c>
      <c r="C6" s="173" t="s">
        <v>73</v>
      </c>
      <c r="D6" s="173" t="s">
        <v>316</v>
      </c>
      <c r="E6" s="173" t="s">
        <v>317</v>
      </c>
      <c r="F6" s="173" t="s">
        <v>40</v>
      </c>
      <c r="G6" s="173" t="s">
        <v>41</v>
      </c>
      <c r="H6" s="173">
        <v>79938.0</v>
      </c>
      <c r="I6" s="173" t="s">
        <v>42</v>
      </c>
      <c r="J6" s="174">
        <v>274950.0</v>
      </c>
      <c r="K6" s="175">
        <v>45899.0</v>
      </c>
      <c r="L6" s="175">
        <v>45905.0</v>
      </c>
      <c r="M6" s="176"/>
      <c r="N6" s="176"/>
      <c r="O6" s="175">
        <v>45933.0</v>
      </c>
      <c r="P6" s="176"/>
      <c r="Q6" s="176"/>
      <c r="R6" s="173" t="s">
        <v>176</v>
      </c>
      <c r="S6" s="176"/>
      <c r="T6" s="173" t="s">
        <v>134</v>
      </c>
      <c r="U6" s="176"/>
      <c r="V6" s="174">
        <v>265326.0</v>
      </c>
      <c r="W6" s="173" t="s">
        <v>155</v>
      </c>
      <c r="X6" s="173" t="s">
        <v>318</v>
      </c>
      <c r="Y6" s="173" t="s">
        <v>319</v>
      </c>
      <c r="Z6" s="173" t="s">
        <v>136</v>
      </c>
      <c r="AA6" s="173" t="s">
        <v>320</v>
      </c>
      <c r="AB6" s="178" t="s">
        <v>321</v>
      </c>
      <c r="AC6" s="173" t="s">
        <v>322</v>
      </c>
      <c r="AD6" s="173" t="s">
        <v>86</v>
      </c>
      <c r="AE6" s="177"/>
    </row>
    <row r="7">
      <c r="A7" s="172">
        <v>8.0</v>
      </c>
      <c r="B7" s="173" t="s">
        <v>76</v>
      </c>
      <c r="C7" s="173" t="s">
        <v>267</v>
      </c>
      <c r="D7" s="173" t="s">
        <v>323</v>
      </c>
      <c r="E7" s="173" t="s">
        <v>324</v>
      </c>
      <c r="F7" s="173" t="s">
        <v>187</v>
      </c>
      <c r="G7" s="173" t="s">
        <v>41</v>
      </c>
      <c r="H7" s="173">
        <v>79928.0</v>
      </c>
      <c r="I7" s="173" t="s">
        <v>42</v>
      </c>
      <c r="J7" s="174">
        <v>279950.0</v>
      </c>
      <c r="K7" s="175">
        <v>45901.0</v>
      </c>
      <c r="L7" s="175">
        <v>45903.0</v>
      </c>
      <c r="M7" s="176"/>
      <c r="N7" s="176"/>
      <c r="O7" s="175">
        <v>45933.0</v>
      </c>
      <c r="P7" s="176"/>
      <c r="Q7" s="176"/>
      <c r="R7" s="173" t="s">
        <v>59</v>
      </c>
      <c r="S7" s="176"/>
      <c r="T7" s="173" t="s">
        <v>134</v>
      </c>
      <c r="U7" s="176"/>
      <c r="V7" s="174">
        <v>270151.0</v>
      </c>
      <c r="W7" s="173" t="s">
        <v>325</v>
      </c>
      <c r="X7" s="173" t="s">
        <v>326</v>
      </c>
      <c r="Y7" s="173" t="s">
        <v>327</v>
      </c>
      <c r="Z7" s="173" t="s">
        <v>148</v>
      </c>
      <c r="AA7" s="173" t="s">
        <v>328</v>
      </c>
      <c r="AB7" s="178" t="s">
        <v>329</v>
      </c>
      <c r="AC7" s="173" t="s">
        <v>330</v>
      </c>
      <c r="AD7" s="173" t="s">
        <v>158</v>
      </c>
      <c r="AE7" s="177"/>
    </row>
    <row r="8">
      <c r="A8" s="172">
        <v>9.0</v>
      </c>
      <c r="B8" s="173" t="s">
        <v>37</v>
      </c>
      <c r="C8" s="173" t="s">
        <v>73</v>
      </c>
      <c r="D8" s="173" t="s">
        <v>247</v>
      </c>
      <c r="E8" s="173" t="s">
        <v>248</v>
      </c>
      <c r="F8" s="173" t="s">
        <v>40</v>
      </c>
      <c r="G8" s="173" t="s">
        <v>41</v>
      </c>
      <c r="H8" s="173">
        <v>79938.0</v>
      </c>
      <c r="I8" s="173" t="s">
        <v>42</v>
      </c>
      <c r="J8" s="174">
        <v>274950.0</v>
      </c>
      <c r="K8" s="175">
        <v>45889.0</v>
      </c>
      <c r="L8" s="175">
        <v>45894.0</v>
      </c>
      <c r="M8" s="173" t="s">
        <v>249</v>
      </c>
      <c r="N8" s="176"/>
      <c r="O8" s="175">
        <v>45930.0</v>
      </c>
      <c r="P8" s="176"/>
      <c r="Q8" s="176"/>
      <c r="R8" s="173" t="s">
        <v>176</v>
      </c>
      <c r="S8" s="175">
        <v>45923.0</v>
      </c>
      <c r="T8" s="173" t="s">
        <v>134</v>
      </c>
      <c r="U8" s="173" t="s">
        <v>46</v>
      </c>
      <c r="V8" s="174">
        <v>265326.0</v>
      </c>
      <c r="W8" s="173" t="s">
        <v>135</v>
      </c>
      <c r="X8" s="173" t="s">
        <v>250</v>
      </c>
      <c r="Y8" s="173" t="s">
        <v>251</v>
      </c>
      <c r="Z8" s="173" t="s">
        <v>136</v>
      </c>
      <c r="AA8" s="173" t="s">
        <v>73</v>
      </c>
      <c r="AB8" s="173">
        <v>9.153552887E9</v>
      </c>
      <c r="AC8" s="173" t="s">
        <v>252</v>
      </c>
      <c r="AD8" s="173" t="s">
        <v>75</v>
      </c>
      <c r="AE8" s="177"/>
    </row>
    <row r="9">
      <c r="A9" s="172">
        <v>10.0</v>
      </c>
      <c r="B9" s="173" t="s">
        <v>37</v>
      </c>
      <c r="C9" s="173" t="s">
        <v>73</v>
      </c>
      <c r="D9" s="173" t="s">
        <v>331</v>
      </c>
      <c r="E9" s="173" t="s">
        <v>332</v>
      </c>
      <c r="F9" s="173" t="s">
        <v>187</v>
      </c>
      <c r="G9" s="173" t="s">
        <v>41</v>
      </c>
      <c r="H9" s="173">
        <v>79928.0</v>
      </c>
      <c r="I9" s="173" t="s">
        <v>42</v>
      </c>
      <c r="J9" s="174">
        <v>274950.0</v>
      </c>
      <c r="K9" s="175">
        <v>45865.0</v>
      </c>
      <c r="L9" s="175">
        <v>45869.0</v>
      </c>
      <c r="M9" s="173" t="s">
        <v>249</v>
      </c>
      <c r="N9" s="176"/>
      <c r="O9" s="175">
        <v>45922.0</v>
      </c>
      <c r="P9" s="176"/>
      <c r="Q9" s="173" t="s">
        <v>333</v>
      </c>
      <c r="R9" s="173" t="s">
        <v>229</v>
      </c>
      <c r="S9" s="176"/>
      <c r="T9" s="173" t="s">
        <v>134</v>
      </c>
      <c r="U9" s="173" t="s">
        <v>189</v>
      </c>
      <c r="V9" s="174">
        <v>265326.0</v>
      </c>
      <c r="W9" s="173" t="s">
        <v>135</v>
      </c>
      <c r="X9" s="173" t="s">
        <v>250</v>
      </c>
      <c r="Y9" s="173" t="s">
        <v>251</v>
      </c>
      <c r="Z9" s="173" t="s">
        <v>136</v>
      </c>
      <c r="AA9" s="173" t="s">
        <v>73</v>
      </c>
      <c r="AB9" s="173" t="s">
        <v>74</v>
      </c>
      <c r="AC9" s="173" t="s">
        <v>252</v>
      </c>
      <c r="AD9" s="173" t="s">
        <v>75</v>
      </c>
      <c r="AE9" s="180" t="s">
        <v>334</v>
      </c>
    </row>
    <row r="10">
      <c r="A10" s="172">
        <v>11.0</v>
      </c>
      <c r="B10" s="173" t="s">
        <v>76</v>
      </c>
      <c r="C10" s="173" t="s">
        <v>267</v>
      </c>
      <c r="D10" s="173" t="s">
        <v>335</v>
      </c>
      <c r="E10" s="173" t="s">
        <v>336</v>
      </c>
      <c r="F10" s="173" t="s">
        <v>192</v>
      </c>
      <c r="G10" s="173" t="s">
        <v>41</v>
      </c>
      <c r="H10" s="173">
        <v>79927.0</v>
      </c>
      <c r="I10" s="173" t="s">
        <v>42</v>
      </c>
      <c r="J10" s="174">
        <v>304950.0</v>
      </c>
      <c r="K10" s="175">
        <v>45883.0</v>
      </c>
      <c r="L10" s="175">
        <v>45887.0</v>
      </c>
      <c r="M10" s="173" t="s">
        <v>249</v>
      </c>
      <c r="N10" s="176"/>
      <c r="O10" s="175">
        <v>45901.0</v>
      </c>
      <c r="P10" s="175">
        <v>45904.0</v>
      </c>
      <c r="Q10" s="173" t="s">
        <v>337</v>
      </c>
      <c r="R10" s="173" t="s">
        <v>193</v>
      </c>
      <c r="S10" s="175">
        <v>45904.0</v>
      </c>
      <c r="T10" s="173" t="s">
        <v>134</v>
      </c>
      <c r="U10" s="173" t="s">
        <v>46</v>
      </c>
      <c r="V10" s="174">
        <v>294276.0</v>
      </c>
      <c r="W10" s="173" t="s">
        <v>207</v>
      </c>
      <c r="X10" s="173" t="s">
        <v>338</v>
      </c>
      <c r="Y10" s="173" t="s">
        <v>339</v>
      </c>
      <c r="Z10" s="173" t="s">
        <v>208</v>
      </c>
      <c r="AA10" s="173" t="s">
        <v>340</v>
      </c>
      <c r="AB10" s="173" t="s">
        <v>341</v>
      </c>
      <c r="AC10" s="173" t="s">
        <v>342</v>
      </c>
      <c r="AD10" s="173" t="s">
        <v>343</v>
      </c>
      <c r="AE10" s="177"/>
    </row>
    <row r="11">
      <c r="A11" s="172">
        <v>12.0</v>
      </c>
      <c r="B11" s="173" t="s">
        <v>76</v>
      </c>
      <c r="C11" s="173" t="s">
        <v>267</v>
      </c>
      <c r="D11" s="173" t="s">
        <v>344</v>
      </c>
      <c r="E11" s="173" t="s">
        <v>345</v>
      </c>
      <c r="F11" s="173" t="s">
        <v>187</v>
      </c>
      <c r="G11" s="173" t="s">
        <v>41</v>
      </c>
      <c r="H11" s="173">
        <v>79928.0</v>
      </c>
      <c r="I11" s="173" t="s">
        <v>42</v>
      </c>
      <c r="J11" s="174">
        <v>282950.0</v>
      </c>
      <c r="K11" s="175">
        <v>45873.0</v>
      </c>
      <c r="L11" s="175">
        <v>45880.0</v>
      </c>
      <c r="M11" s="173" t="s">
        <v>249</v>
      </c>
      <c r="N11" s="176"/>
      <c r="O11" s="175">
        <v>45898.0</v>
      </c>
      <c r="P11" s="176"/>
      <c r="Q11" s="173" t="s">
        <v>333</v>
      </c>
      <c r="R11" s="173" t="s">
        <v>173</v>
      </c>
      <c r="S11" s="176"/>
      <c r="T11" s="173" t="s">
        <v>134</v>
      </c>
      <c r="U11" s="173" t="s">
        <v>189</v>
      </c>
      <c r="V11" s="174">
        <v>273046.0</v>
      </c>
      <c r="W11" s="173" t="s">
        <v>157</v>
      </c>
      <c r="X11" s="173" t="s">
        <v>346</v>
      </c>
      <c r="Y11" s="173" t="s">
        <v>347</v>
      </c>
      <c r="Z11" s="173" t="s">
        <v>156</v>
      </c>
      <c r="AA11" s="173" t="s">
        <v>348</v>
      </c>
      <c r="AB11" s="173" t="s">
        <v>349</v>
      </c>
      <c r="AC11" s="173" t="s">
        <v>350</v>
      </c>
      <c r="AD11" s="173" t="s">
        <v>158</v>
      </c>
      <c r="AE11" s="180" t="s">
        <v>351</v>
      </c>
    </row>
    <row r="12">
      <c r="A12" s="172">
        <v>13.0</v>
      </c>
      <c r="B12" s="173" t="s">
        <v>37</v>
      </c>
      <c r="C12" s="173" t="s">
        <v>73</v>
      </c>
      <c r="D12" s="173" t="s">
        <v>253</v>
      </c>
      <c r="E12" s="173" t="s">
        <v>254</v>
      </c>
      <c r="F12" s="173" t="s">
        <v>40</v>
      </c>
      <c r="G12" s="173" t="s">
        <v>41</v>
      </c>
      <c r="H12" s="173">
        <v>79938.0</v>
      </c>
      <c r="I12" s="173" t="s">
        <v>42</v>
      </c>
      <c r="J12" s="174">
        <v>274950.0</v>
      </c>
      <c r="K12" s="175">
        <v>45827.0</v>
      </c>
      <c r="L12" s="175">
        <v>45835.0</v>
      </c>
      <c r="M12" s="173" t="s">
        <v>249</v>
      </c>
      <c r="N12" s="176"/>
      <c r="O12" s="175">
        <v>45894.0</v>
      </c>
      <c r="P12" s="175">
        <v>45915.0</v>
      </c>
      <c r="Q12" s="173" t="s">
        <v>255</v>
      </c>
      <c r="R12" s="173" t="s">
        <v>59</v>
      </c>
      <c r="S12" s="175">
        <v>45916.0</v>
      </c>
      <c r="T12" s="173" t="s">
        <v>134</v>
      </c>
      <c r="U12" s="173" t="s">
        <v>46</v>
      </c>
      <c r="V12" s="174">
        <v>265326.0</v>
      </c>
      <c r="W12" s="173" t="s">
        <v>155</v>
      </c>
      <c r="X12" s="173" t="s">
        <v>256</v>
      </c>
      <c r="Y12" s="173" t="s">
        <v>257</v>
      </c>
      <c r="Z12" s="173" t="s">
        <v>136</v>
      </c>
      <c r="AA12" s="173" t="s">
        <v>73</v>
      </c>
      <c r="AB12" s="178" t="s">
        <v>74</v>
      </c>
      <c r="AC12" s="173" t="s">
        <v>252</v>
      </c>
      <c r="AD12" s="173" t="s">
        <v>75</v>
      </c>
      <c r="AE12" s="177"/>
    </row>
    <row r="13">
      <c r="A13" s="172">
        <v>14.0</v>
      </c>
      <c r="B13" s="173" t="s">
        <v>76</v>
      </c>
      <c r="C13" s="173" t="s">
        <v>267</v>
      </c>
      <c r="D13" s="173" t="s">
        <v>352</v>
      </c>
      <c r="E13" s="173" t="s">
        <v>353</v>
      </c>
      <c r="F13" s="173" t="s">
        <v>187</v>
      </c>
      <c r="G13" s="173" t="s">
        <v>41</v>
      </c>
      <c r="H13" s="173">
        <v>79928.0</v>
      </c>
      <c r="I13" s="173" t="s">
        <v>42</v>
      </c>
      <c r="J13" s="174">
        <v>346950.0</v>
      </c>
      <c r="K13" s="175">
        <v>45874.0</v>
      </c>
      <c r="L13" s="175">
        <v>45876.0</v>
      </c>
      <c r="M13" s="173" t="s">
        <v>249</v>
      </c>
      <c r="N13" s="176"/>
      <c r="O13" s="175">
        <v>45891.0</v>
      </c>
      <c r="P13" s="175">
        <v>45917.0</v>
      </c>
      <c r="Q13" s="173" t="s">
        <v>255</v>
      </c>
      <c r="R13" s="173" t="s">
        <v>79</v>
      </c>
      <c r="S13" s="175">
        <v>45918.0</v>
      </c>
      <c r="T13" s="173" t="s">
        <v>154</v>
      </c>
      <c r="U13" s="173" t="s">
        <v>46</v>
      </c>
      <c r="V13" s="174">
        <v>294907.0</v>
      </c>
      <c r="W13" s="173" t="s">
        <v>184</v>
      </c>
      <c r="X13" s="173" t="s">
        <v>354</v>
      </c>
      <c r="Y13" s="173" t="s">
        <v>355</v>
      </c>
      <c r="Z13" s="173" t="s">
        <v>210</v>
      </c>
      <c r="AA13" s="173" t="s">
        <v>356</v>
      </c>
      <c r="AB13" s="173">
        <v>9.1525276E9</v>
      </c>
      <c r="AC13" s="173" t="s">
        <v>357</v>
      </c>
      <c r="AD13" s="173" t="s">
        <v>163</v>
      </c>
      <c r="AE13" s="177"/>
    </row>
    <row r="14">
      <c r="A14" s="172">
        <v>15.0</v>
      </c>
      <c r="B14" s="173" t="s">
        <v>37</v>
      </c>
      <c r="C14" s="173" t="s">
        <v>73</v>
      </c>
      <c r="D14" s="173" t="s">
        <v>358</v>
      </c>
      <c r="E14" s="173" t="s">
        <v>359</v>
      </c>
      <c r="F14" s="173" t="s">
        <v>187</v>
      </c>
      <c r="G14" s="173" t="s">
        <v>41</v>
      </c>
      <c r="H14" s="173">
        <v>79928.0</v>
      </c>
      <c r="I14" s="173" t="s">
        <v>42</v>
      </c>
      <c r="J14" s="174">
        <v>274950.0</v>
      </c>
      <c r="K14" s="175">
        <v>45856.0</v>
      </c>
      <c r="L14" s="175">
        <v>45861.0</v>
      </c>
      <c r="M14" s="173" t="s">
        <v>249</v>
      </c>
      <c r="N14" s="176"/>
      <c r="O14" s="175">
        <v>45887.0</v>
      </c>
      <c r="P14" s="175">
        <v>45880.0</v>
      </c>
      <c r="Q14" s="176"/>
      <c r="R14" s="173" t="s">
        <v>231</v>
      </c>
      <c r="S14" s="175">
        <v>45880.0</v>
      </c>
      <c r="T14" s="173" t="s">
        <v>134</v>
      </c>
      <c r="U14" s="173" t="s">
        <v>46</v>
      </c>
      <c r="V14" s="174">
        <v>265326.0</v>
      </c>
      <c r="W14" s="173" t="s">
        <v>161</v>
      </c>
      <c r="X14" s="173" t="s">
        <v>326</v>
      </c>
      <c r="Y14" s="173" t="s">
        <v>327</v>
      </c>
      <c r="Z14" s="173" t="s">
        <v>148</v>
      </c>
      <c r="AA14" s="173" t="s">
        <v>73</v>
      </c>
      <c r="AB14" s="173" t="s">
        <v>74</v>
      </c>
      <c r="AC14" s="173" t="s">
        <v>252</v>
      </c>
      <c r="AD14" s="173" t="s">
        <v>75</v>
      </c>
      <c r="AE14" s="177"/>
    </row>
    <row r="15">
      <c r="A15" s="172">
        <v>16.0</v>
      </c>
      <c r="B15" s="173" t="s">
        <v>76</v>
      </c>
      <c r="C15" s="173" t="s">
        <v>258</v>
      </c>
      <c r="D15" s="173" t="s">
        <v>259</v>
      </c>
      <c r="E15" s="173" t="s">
        <v>260</v>
      </c>
      <c r="F15" s="173" t="s">
        <v>40</v>
      </c>
      <c r="G15" s="173" t="s">
        <v>41</v>
      </c>
      <c r="H15" s="173">
        <v>79938.0</v>
      </c>
      <c r="I15" s="173" t="s">
        <v>42</v>
      </c>
      <c r="J15" s="174">
        <v>274950.0</v>
      </c>
      <c r="K15" s="175">
        <v>45840.0</v>
      </c>
      <c r="L15" s="175">
        <v>45848.0</v>
      </c>
      <c r="M15" s="173" t="s">
        <v>249</v>
      </c>
      <c r="N15" s="176"/>
      <c r="O15" s="175">
        <v>45880.0</v>
      </c>
      <c r="P15" s="175">
        <v>45910.0</v>
      </c>
      <c r="Q15" s="173" t="s">
        <v>255</v>
      </c>
      <c r="R15" s="173" t="s">
        <v>59</v>
      </c>
      <c r="S15" s="175">
        <v>45910.0</v>
      </c>
      <c r="T15" s="176"/>
      <c r="U15" s="173" t="s">
        <v>46</v>
      </c>
      <c r="V15" s="174">
        <v>274950.0</v>
      </c>
      <c r="W15" s="173" t="s">
        <v>228</v>
      </c>
      <c r="X15" s="173">
        <v>5.7377817185E10</v>
      </c>
      <c r="Y15" s="173" t="s">
        <v>261</v>
      </c>
      <c r="Z15" s="173" t="s">
        <v>162</v>
      </c>
      <c r="AA15" s="173" t="s">
        <v>262</v>
      </c>
      <c r="AB15" s="179" t="s">
        <v>263</v>
      </c>
      <c r="AC15" s="173" t="s">
        <v>264</v>
      </c>
      <c r="AD15" s="173" t="s">
        <v>86</v>
      </c>
      <c r="AE15" s="177"/>
    </row>
    <row r="16">
      <c r="A16" s="172">
        <v>17.0</v>
      </c>
      <c r="B16" s="173" t="s">
        <v>76</v>
      </c>
      <c r="C16" s="173" t="s">
        <v>360</v>
      </c>
      <c r="D16" s="173" t="s">
        <v>361</v>
      </c>
      <c r="E16" s="173" t="s">
        <v>362</v>
      </c>
      <c r="F16" s="173" t="s">
        <v>187</v>
      </c>
      <c r="G16" s="173" t="s">
        <v>41</v>
      </c>
      <c r="H16" s="173">
        <v>79928.0</v>
      </c>
      <c r="I16" s="173" t="s">
        <v>42</v>
      </c>
      <c r="J16" s="174">
        <v>346950.0</v>
      </c>
      <c r="K16" s="176"/>
      <c r="L16" s="175">
        <v>45831.0</v>
      </c>
      <c r="M16" s="173" t="s">
        <v>363</v>
      </c>
      <c r="N16" s="173">
        <v>2025.0</v>
      </c>
      <c r="O16" s="175">
        <v>45877.0</v>
      </c>
      <c r="P16" s="175">
        <v>45888.0</v>
      </c>
      <c r="Q16" s="176"/>
      <c r="R16" s="173" t="s">
        <v>79</v>
      </c>
      <c r="S16" s="175">
        <v>45888.0</v>
      </c>
      <c r="T16" s="176"/>
      <c r="U16" s="173" t="s">
        <v>46</v>
      </c>
      <c r="V16" s="176"/>
      <c r="W16" s="173" t="s">
        <v>81</v>
      </c>
      <c r="X16" s="173" t="s">
        <v>82</v>
      </c>
      <c r="Y16" s="173" t="s">
        <v>364</v>
      </c>
      <c r="Z16" s="173" t="s">
        <v>83</v>
      </c>
      <c r="AA16" s="173" t="s">
        <v>84</v>
      </c>
      <c r="AB16" s="178">
        <v>9.154939551E9</v>
      </c>
      <c r="AC16" s="173" t="s">
        <v>365</v>
      </c>
      <c r="AD16" s="173" t="s">
        <v>86</v>
      </c>
      <c r="AE16" s="177"/>
    </row>
    <row r="17">
      <c r="A17" s="172">
        <v>18.0</v>
      </c>
      <c r="B17" s="173" t="s">
        <v>76</v>
      </c>
      <c r="C17" s="173" t="s">
        <v>73</v>
      </c>
      <c r="D17" s="173" t="s">
        <v>265</v>
      </c>
      <c r="E17" s="173" t="s">
        <v>266</v>
      </c>
      <c r="F17" s="173" t="s">
        <v>40</v>
      </c>
      <c r="G17" s="173" t="s">
        <v>41</v>
      </c>
      <c r="H17" s="173">
        <v>79934.0</v>
      </c>
      <c r="I17" s="173" t="s">
        <v>42</v>
      </c>
      <c r="J17" s="174">
        <v>328950.0</v>
      </c>
      <c r="K17" s="175">
        <v>45836.0</v>
      </c>
      <c r="L17" s="175">
        <v>45839.0</v>
      </c>
      <c r="M17" s="173" t="s">
        <v>249</v>
      </c>
      <c r="N17" s="176"/>
      <c r="O17" s="175">
        <v>45866.0</v>
      </c>
      <c r="P17" s="176"/>
      <c r="Q17" s="176"/>
      <c r="R17" s="173" t="s">
        <v>143</v>
      </c>
      <c r="S17" s="175">
        <v>45861.0</v>
      </c>
      <c r="T17" s="173" t="s">
        <v>134</v>
      </c>
      <c r="U17" s="173" t="s">
        <v>46</v>
      </c>
      <c r="V17" s="174">
        <v>317436.0</v>
      </c>
      <c r="W17" s="173" t="s">
        <v>135</v>
      </c>
      <c r="X17" s="173" t="s">
        <v>72</v>
      </c>
      <c r="Y17" s="173" t="s">
        <v>251</v>
      </c>
      <c r="Z17" s="173" t="s">
        <v>136</v>
      </c>
      <c r="AA17" s="173" t="s">
        <v>73</v>
      </c>
      <c r="AB17" s="178" t="s">
        <v>74</v>
      </c>
      <c r="AC17" s="173" t="s">
        <v>252</v>
      </c>
      <c r="AD17" s="173" t="s">
        <v>75</v>
      </c>
      <c r="AE17" s="177"/>
    </row>
    <row r="18">
      <c r="A18" s="172">
        <v>19.0</v>
      </c>
      <c r="B18" s="173" t="s">
        <v>76</v>
      </c>
      <c r="C18" s="173" t="s">
        <v>73</v>
      </c>
      <c r="D18" s="173" t="s">
        <v>366</v>
      </c>
      <c r="E18" s="173" t="s">
        <v>367</v>
      </c>
      <c r="F18" s="173" t="s">
        <v>40</v>
      </c>
      <c r="G18" s="173" t="s">
        <v>41</v>
      </c>
      <c r="H18" s="173">
        <v>79934.0</v>
      </c>
      <c r="I18" s="173" t="s">
        <v>42</v>
      </c>
      <c r="J18" s="174">
        <v>332950.0</v>
      </c>
      <c r="K18" s="175">
        <v>45833.0</v>
      </c>
      <c r="L18" s="175">
        <v>45834.0</v>
      </c>
      <c r="M18" s="173" t="s">
        <v>363</v>
      </c>
      <c r="N18" s="173">
        <v>2025.0</v>
      </c>
      <c r="O18" s="175">
        <v>45856.0</v>
      </c>
      <c r="P18" s="176"/>
      <c r="Q18" s="176"/>
      <c r="R18" s="173" t="s">
        <v>219</v>
      </c>
      <c r="S18" s="176"/>
      <c r="T18" s="173" t="s">
        <v>140</v>
      </c>
      <c r="U18" s="176"/>
      <c r="V18" s="176"/>
      <c r="W18" s="173" t="s">
        <v>234</v>
      </c>
      <c r="X18" s="173" t="s">
        <v>368</v>
      </c>
      <c r="Y18" s="173" t="s">
        <v>369</v>
      </c>
      <c r="Z18" s="173" t="s">
        <v>195</v>
      </c>
      <c r="AA18" s="173" t="s">
        <v>370</v>
      </c>
      <c r="AB18" s="178" t="s">
        <v>371</v>
      </c>
      <c r="AC18" s="173" t="s">
        <v>372</v>
      </c>
      <c r="AD18" s="173" t="s">
        <v>158</v>
      </c>
      <c r="AE18" s="177"/>
    </row>
    <row r="19">
      <c r="A19" s="172">
        <v>20.0</v>
      </c>
      <c r="B19" s="173" t="s">
        <v>76</v>
      </c>
      <c r="C19" s="173" t="s">
        <v>267</v>
      </c>
      <c r="D19" s="173" t="s">
        <v>268</v>
      </c>
      <c r="E19" s="173" t="s">
        <v>269</v>
      </c>
      <c r="F19" s="173" t="s">
        <v>40</v>
      </c>
      <c r="G19" s="173" t="s">
        <v>41</v>
      </c>
      <c r="H19" s="173">
        <v>79938.0</v>
      </c>
      <c r="I19" s="173" t="s">
        <v>42</v>
      </c>
      <c r="J19" s="174">
        <v>264950.0</v>
      </c>
      <c r="K19" s="175">
        <v>45830.0</v>
      </c>
      <c r="L19" s="176"/>
      <c r="M19" s="173" t="s">
        <v>249</v>
      </c>
      <c r="N19" s="176"/>
      <c r="O19" s="175">
        <v>45856.0</v>
      </c>
      <c r="P19" s="176"/>
      <c r="Q19" s="176"/>
      <c r="R19" s="173" t="s">
        <v>153</v>
      </c>
      <c r="S19" s="176"/>
      <c r="T19" s="173" t="s">
        <v>140</v>
      </c>
      <c r="U19" s="173" t="s">
        <v>46</v>
      </c>
      <c r="V19" s="176"/>
      <c r="W19" s="173" t="s">
        <v>217</v>
      </c>
      <c r="X19" s="173" t="s">
        <v>270</v>
      </c>
      <c r="Y19" s="173" t="s">
        <v>271</v>
      </c>
      <c r="Z19" s="173" t="s">
        <v>156</v>
      </c>
      <c r="AA19" s="173" t="s">
        <v>272</v>
      </c>
      <c r="AB19" s="178" t="s">
        <v>273</v>
      </c>
      <c r="AC19" s="173" t="s">
        <v>274</v>
      </c>
      <c r="AD19" s="173" t="s">
        <v>86</v>
      </c>
      <c r="AE19" s="177"/>
    </row>
    <row r="20">
      <c r="A20" s="172">
        <v>21.0</v>
      </c>
      <c r="B20" s="173" t="s">
        <v>37</v>
      </c>
      <c r="C20" s="173" t="s">
        <v>73</v>
      </c>
      <c r="D20" s="173" t="s">
        <v>53</v>
      </c>
      <c r="E20" s="173" t="s">
        <v>275</v>
      </c>
      <c r="F20" s="173" t="s">
        <v>40</v>
      </c>
      <c r="G20" s="173" t="s">
        <v>41</v>
      </c>
      <c r="H20" s="173">
        <v>79938.0</v>
      </c>
      <c r="I20" s="173" t="s">
        <v>42</v>
      </c>
      <c r="J20" s="174">
        <v>264950.0</v>
      </c>
      <c r="K20" s="175">
        <v>45800.0</v>
      </c>
      <c r="L20" s="175">
        <v>45845.0</v>
      </c>
      <c r="M20" s="173" t="s">
        <v>276</v>
      </c>
      <c r="N20" s="173">
        <v>2025.0</v>
      </c>
      <c r="O20" s="175">
        <v>45845.0</v>
      </c>
      <c r="P20" s="176"/>
      <c r="Q20" s="176"/>
      <c r="R20" s="173" t="s">
        <v>201</v>
      </c>
      <c r="S20" s="176"/>
      <c r="T20" s="173" t="s">
        <v>140</v>
      </c>
      <c r="U20" s="173" t="s">
        <v>46</v>
      </c>
      <c r="V20" s="176"/>
      <c r="W20" s="173" t="s">
        <v>135</v>
      </c>
      <c r="X20" s="173" t="s">
        <v>72</v>
      </c>
      <c r="Y20" s="173" t="s">
        <v>277</v>
      </c>
      <c r="Z20" s="173" t="s">
        <v>136</v>
      </c>
      <c r="AA20" s="173" t="s">
        <v>73</v>
      </c>
      <c r="AB20" s="178" t="s">
        <v>74</v>
      </c>
      <c r="AC20" s="173" t="s">
        <v>252</v>
      </c>
      <c r="AD20" s="173" t="s">
        <v>75</v>
      </c>
      <c r="AE20" s="177"/>
    </row>
    <row r="21">
      <c r="A21" s="172">
        <v>22.0</v>
      </c>
      <c r="B21" s="173" t="s">
        <v>37</v>
      </c>
      <c r="C21" s="173" t="s">
        <v>73</v>
      </c>
      <c r="D21" s="173" t="s">
        <v>373</v>
      </c>
      <c r="E21" s="173" t="s">
        <v>374</v>
      </c>
      <c r="F21" s="173" t="s">
        <v>40</v>
      </c>
      <c r="G21" s="173" t="s">
        <v>41</v>
      </c>
      <c r="H21" s="173">
        <v>79934.0</v>
      </c>
      <c r="I21" s="173" t="s">
        <v>42</v>
      </c>
      <c r="J21" s="174">
        <v>259950.0</v>
      </c>
      <c r="K21" s="175">
        <v>45812.0</v>
      </c>
      <c r="L21" s="175">
        <v>45818.0</v>
      </c>
      <c r="M21" s="173" t="s">
        <v>363</v>
      </c>
      <c r="N21" s="173">
        <v>2025.0</v>
      </c>
      <c r="O21" s="175">
        <v>45838.0</v>
      </c>
      <c r="P21" s="175">
        <v>45838.0</v>
      </c>
      <c r="Q21" s="176"/>
      <c r="R21" s="173" t="s">
        <v>227</v>
      </c>
      <c r="S21" s="175">
        <v>45838.0</v>
      </c>
      <c r="T21" s="173" t="s">
        <v>134</v>
      </c>
      <c r="U21" s="176"/>
      <c r="V21" s="176"/>
      <c r="W21" s="173" t="s">
        <v>135</v>
      </c>
      <c r="X21" s="173" t="s">
        <v>72</v>
      </c>
      <c r="Y21" s="173" t="s">
        <v>375</v>
      </c>
      <c r="Z21" s="173" t="s">
        <v>136</v>
      </c>
      <c r="AA21" s="173" t="s">
        <v>73</v>
      </c>
      <c r="AB21" s="178" t="s">
        <v>74</v>
      </c>
      <c r="AC21" s="173" t="s">
        <v>252</v>
      </c>
      <c r="AD21" s="173" t="s">
        <v>75</v>
      </c>
      <c r="AE21" s="177"/>
    </row>
    <row r="22">
      <c r="A22" s="172">
        <v>23.0</v>
      </c>
      <c r="B22" s="173" t="s">
        <v>76</v>
      </c>
      <c r="C22" s="173" t="s">
        <v>267</v>
      </c>
      <c r="D22" s="173" t="s">
        <v>376</v>
      </c>
      <c r="E22" s="173" t="s">
        <v>377</v>
      </c>
      <c r="F22" s="173" t="s">
        <v>192</v>
      </c>
      <c r="G22" s="173" t="s">
        <v>41</v>
      </c>
      <c r="H22" s="173">
        <v>79927.0</v>
      </c>
      <c r="I22" s="173" t="s">
        <v>42</v>
      </c>
      <c r="J22" s="174">
        <v>304950.0</v>
      </c>
      <c r="K22" s="175">
        <v>45797.0</v>
      </c>
      <c r="L22" s="176"/>
      <c r="M22" s="173" t="s">
        <v>249</v>
      </c>
      <c r="N22" s="176"/>
      <c r="O22" s="175">
        <v>45828.0</v>
      </c>
      <c r="P22" s="176"/>
      <c r="Q22" s="176"/>
      <c r="R22" s="173" t="s">
        <v>179</v>
      </c>
      <c r="S22" s="176"/>
      <c r="T22" s="173" t="s">
        <v>134</v>
      </c>
      <c r="U22" s="173" t="s">
        <v>46</v>
      </c>
      <c r="V22" s="176"/>
      <c r="W22" s="173" t="s">
        <v>232</v>
      </c>
      <c r="X22" s="173" t="s">
        <v>378</v>
      </c>
      <c r="Y22" s="173" t="s">
        <v>379</v>
      </c>
      <c r="Z22" s="173" t="s">
        <v>218</v>
      </c>
      <c r="AA22" s="173" t="s">
        <v>380</v>
      </c>
      <c r="AB22" s="173" t="s">
        <v>381</v>
      </c>
      <c r="AC22" s="173" t="s">
        <v>382</v>
      </c>
      <c r="AD22" s="173" t="s">
        <v>163</v>
      </c>
      <c r="AE22" s="177"/>
    </row>
    <row r="23">
      <c r="A23" s="172">
        <v>24.0</v>
      </c>
      <c r="B23" s="173" t="s">
        <v>76</v>
      </c>
      <c r="C23" s="173" t="s">
        <v>267</v>
      </c>
      <c r="D23" s="173" t="s">
        <v>383</v>
      </c>
      <c r="E23" s="173" t="s">
        <v>58</v>
      </c>
      <c r="F23" s="173" t="s">
        <v>187</v>
      </c>
      <c r="G23" s="173" t="s">
        <v>41</v>
      </c>
      <c r="H23" s="173">
        <v>79928.0</v>
      </c>
      <c r="I23" s="173" t="s">
        <v>42</v>
      </c>
      <c r="J23" s="174">
        <v>282950.0</v>
      </c>
      <c r="K23" s="175">
        <v>45793.0</v>
      </c>
      <c r="L23" s="175">
        <v>45799.0</v>
      </c>
      <c r="M23" s="173" t="s">
        <v>280</v>
      </c>
      <c r="N23" s="173">
        <v>2025.0</v>
      </c>
      <c r="O23" s="175">
        <v>45826.0</v>
      </c>
      <c r="P23" s="175">
        <v>45831.0</v>
      </c>
      <c r="Q23" s="176"/>
      <c r="R23" s="173" t="s">
        <v>59</v>
      </c>
      <c r="S23" s="175">
        <v>45831.0</v>
      </c>
      <c r="T23" s="173" t="s">
        <v>134</v>
      </c>
      <c r="U23" s="173" t="s">
        <v>46</v>
      </c>
      <c r="V23" s="176"/>
      <c r="W23" s="173" t="s">
        <v>60</v>
      </c>
      <c r="X23" s="173" t="s">
        <v>61</v>
      </c>
      <c r="Y23" s="173" t="s">
        <v>384</v>
      </c>
      <c r="Z23" s="173" t="s">
        <v>136</v>
      </c>
      <c r="AA23" s="173" t="s">
        <v>62</v>
      </c>
      <c r="AB23" s="178" t="s">
        <v>63</v>
      </c>
      <c r="AC23" s="173" t="s">
        <v>385</v>
      </c>
      <c r="AD23" s="173" t="s">
        <v>158</v>
      </c>
      <c r="AE23" s="177"/>
    </row>
    <row r="24">
      <c r="A24" s="172">
        <v>25.0</v>
      </c>
      <c r="B24" s="173" t="s">
        <v>76</v>
      </c>
      <c r="C24" s="173" t="s">
        <v>386</v>
      </c>
      <c r="D24" s="173" t="s">
        <v>387</v>
      </c>
      <c r="E24" s="173" t="s">
        <v>388</v>
      </c>
      <c r="F24" s="173" t="s">
        <v>187</v>
      </c>
      <c r="G24" s="173" t="s">
        <v>41</v>
      </c>
      <c r="H24" s="173">
        <v>79928.0</v>
      </c>
      <c r="I24" s="173" t="s">
        <v>42</v>
      </c>
      <c r="J24" s="174">
        <v>282950.0</v>
      </c>
      <c r="K24" s="175">
        <v>45792.0</v>
      </c>
      <c r="L24" s="176"/>
      <c r="M24" s="173" t="s">
        <v>249</v>
      </c>
      <c r="N24" s="176"/>
      <c r="O24" s="175">
        <v>45824.0</v>
      </c>
      <c r="P24" s="176"/>
      <c r="Q24" s="176"/>
      <c r="R24" s="173" t="s">
        <v>153</v>
      </c>
      <c r="S24" s="176"/>
      <c r="T24" s="173" t="s">
        <v>134</v>
      </c>
      <c r="U24" s="173" t="s">
        <v>46</v>
      </c>
      <c r="V24" s="176"/>
      <c r="W24" s="173" t="s">
        <v>135</v>
      </c>
      <c r="X24" s="173" t="s">
        <v>72</v>
      </c>
      <c r="Y24" s="173" t="s">
        <v>251</v>
      </c>
      <c r="Z24" s="173" t="s">
        <v>136</v>
      </c>
      <c r="AA24" s="173" t="s">
        <v>272</v>
      </c>
      <c r="AB24" s="178" t="s">
        <v>273</v>
      </c>
      <c r="AC24" s="173" t="s">
        <v>274</v>
      </c>
      <c r="AD24" s="173" t="s">
        <v>86</v>
      </c>
      <c r="AE24" s="177"/>
    </row>
    <row r="25">
      <c r="A25" s="172">
        <v>26.0</v>
      </c>
      <c r="B25" s="173" t="s">
        <v>76</v>
      </c>
      <c r="C25" s="173" t="s">
        <v>73</v>
      </c>
      <c r="D25" s="173" t="s">
        <v>278</v>
      </c>
      <c r="E25" s="173" t="s">
        <v>279</v>
      </c>
      <c r="F25" s="173" t="s">
        <v>40</v>
      </c>
      <c r="G25" s="173" t="s">
        <v>41</v>
      </c>
      <c r="H25" s="173">
        <v>79934.0</v>
      </c>
      <c r="I25" s="173" t="s">
        <v>42</v>
      </c>
      <c r="J25" s="174">
        <v>332950.0</v>
      </c>
      <c r="K25" s="175">
        <v>45787.0</v>
      </c>
      <c r="L25" s="175">
        <v>45790.0</v>
      </c>
      <c r="M25" s="173" t="s">
        <v>280</v>
      </c>
      <c r="N25" s="173">
        <v>2025.0</v>
      </c>
      <c r="O25" s="175">
        <v>45818.0</v>
      </c>
      <c r="P25" s="175">
        <v>45826.0</v>
      </c>
      <c r="Q25" s="176"/>
      <c r="R25" s="173" t="s">
        <v>197</v>
      </c>
      <c r="S25" s="175">
        <v>45826.0</v>
      </c>
      <c r="T25" s="173" t="s">
        <v>140</v>
      </c>
      <c r="U25" s="173" t="s">
        <v>46</v>
      </c>
      <c r="V25" s="176"/>
      <c r="W25" s="173" t="s">
        <v>213</v>
      </c>
      <c r="X25" s="173" t="s">
        <v>281</v>
      </c>
      <c r="Y25" s="173" t="s">
        <v>282</v>
      </c>
      <c r="Z25" s="173" t="s">
        <v>190</v>
      </c>
      <c r="AA25" s="173" t="s">
        <v>283</v>
      </c>
      <c r="AB25" s="178" t="s">
        <v>284</v>
      </c>
      <c r="AC25" s="173" t="s">
        <v>285</v>
      </c>
      <c r="AD25" s="173" t="s">
        <v>186</v>
      </c>
      <c r="AE25" s="177"/>
    </row>
    <row r="26">
      <c r="A26" s="172">
        <v>27.0</v>
      </c>
      <c r="B26" s="173" t="s">
        <v>37</v>
      </c>
      <c r="C26" s="173" t="s">
        <v>286</v>
      </c>
      <c r="D26" s="173" t="s">
        <v>287</v>
      </c>
      <c r="E26" s="173" t="s">
        <v>288</v>
      </c>
      <c r="F26" s="173" t="s">
        <v>40</v>
      </c>
      <c r="G26" s="173" t="s">
        <v>41</v>
      </c>
      <c r="H26" s="173">
        <v>79934.0</v>
      </c>
      <c r="I26" s="173" t="s">
        <v>42</v>
      </c>
      <c r="J26" s="174">
        <v>331950.0</v>
      </c>
      <c r="K26" s="175">
        <v>45782.0</v>
      </c>
      <c r="L26" s="175">
        <v>45784.0</v>
      </c>
      <c r="M26" s="173" t="s">
        <v>280</v>
      </c>
      <c r="N26" s="173">
        <v>2025.0</v>
      </c>
      <c r="O26" s="175">
        <v>45813.0</v>
      </c>
      <c r="P26" s="176"/>
      <c r="Q26" s="176"/>
      <c r="R26" s="173" t="s">
        <v>143</v>
      </c>
      <c r="S26" s="176"/>
      <c r="T26" s="173" t="s">
        <v>134</v>
      </c>
      <c r="U26" s="173" t="s">
        <v>46</v>
      </c>
      <c r="V26" s="176"/>
      <c r="W26" s="173" t="s">
        <v>221</v>
      </c>
      <c r="X26" s="173" t="s">
        <v>289</v>
      </c>
      <c r="Y26" s="173" t="s">
        <v>290</v>
      </c>
      <c r="Z26" s="173" t="s">
        <v>156</v>
      </c>
      <c r="AA26" s="173" t="s">
        <v>286</v>
      </c>
      <c r="AB26" s="173" t="s">
        <v>291</v>
      </c>
      <c r="AC26" s="173" t="s">
        <v>292</v>
      </c>
      <c r="AD26" s="173" t="s">
        <v>75</v>
      </c>
      <c r="AE26" s="177"/>
    </row>
    <row r="27">
      <c r="A27" s="172">
        <v>28.0</v>
      </c>
      <c r="B27" s="173" t="s">
        <v>76</v>
      </c>
      <c r="C27" s="173" t="s">
        <v>73</v>
      </c>
      <c r="D27" s="173" t="s">
        <v>389</v>
      </c>
      <c r="E27" s="173" t="s">
        <v>390</v>
      </c>
      <c r="F27" s="173" t="s">
        <v>187</v>
      </c>
      <c r="G27" s="173" t="s">
        <v>41</v>
      </c>
      <c r="H27" s="173">
        <v>79928.0</v>
      </c>
      <c r="I27" s="173" t="s">
        <v>42</v>
      </c>
      <c r="J27" s="174">
        <v>274950.0</v>
      </c>
      <c r="K27" s="175">
        <v>45771.0</v>
      </c>
      <c r="L27" s="176"/>
      <c r="M27" s="173" t="s">
        <v>249</v>
      </c>
      <c r="N27" s="176"/>
      <c r="O27" s="175">
        <v>45792.0</v>
      </c>
      <c r="P27" s="176"/>
      <c r="Q27" s="176"/>
      <c r="R27" s="173" t="s">
        <v>391</v>
      </c>
      <c r="S27" s="176"/>
      <c r="T27" s="173" t="s">
        <v>134</v>
      </c>
      <c r="U27" s="176"/>
      <c r="V27" s="176"/>
      <c r="W27" s="173" t="s">
        <v>47</v>
      </c>
      <c r="X27" s="173" t="s">
        <v>48</v>
      </c>
      <c r="Y27" s="173" t="s">
        <v>392</v>
      </c>
      <c r="Z27" s="173" t="s">
        <v>136</v>
      </c>
      <c r="AA27" s="173" t="s">
        <v>393</v>
      </c>
      <c r="AB27" s="178" t="s">
        <v>394</v>
      </c>
      <c r="AC27" s="173" t="s">
        <v>395</v>
      </c>
      <c r="AD27" s="173" t="s">
        <v>163</v>
      </c>
      <c r="AE27" s="177"/>
    </row>
    <row r="28">
      <c r="A28" s="172">
        <v>29.0</v>
      </c>
      <c r="B28" s="173" t="s">
        <v>37</v>
      </c>
      <c r="C28" s="173" t="s">
        <v>286</v>
      </c>
      <c r="D28" s="173" t="s">
        <v>396</v>
      </c>
      <c r="E28" s="173" t="s">
        <v>397</v>
      </c>
      <c r="F28" s="173" t="s">
        <v>187</v>
      </c>
      <c r="G28" s="173" t="s">
        <v>41</v>
      </c>
      <c r="H28" s="173">
        <v>79928.0</v>
      </c>
      <c r="I28" s="173" t="s">
        <v>42</v>
      </c>
      <c r="J28" s="174">
        <v>360950.0</v>
      </c>
      <c r="K28" s="175">
        <v>45761.0</v>
      </c>
      <c r="L28" s="176"/>
      <c r="M28" s="173" t="s">
        <v>249</v>
      </c>
      <c r="N28" s="176"/>
      <c r="O28" s="175">
        <v>45791.0</v>
      </c>
      <c r="P28" s="176"/>
      <c r="Q28" s="176"/>
      <c r="R28" s="173" t="s">
        <v>215</v>
      </c>
      <c r="S28" s="176"/>
      <c r="T28" s="173" t="s">
        <v>134</v>
      </c>
      <c r="U28" s="176"/>
      <c r="V28" s="176"/>
      <c r="W28" s="173" t="s">
        <v>47</v>
      </c>
      <c r="X28" s="173" t="s">
        <v>398</v>
      </c>
      <c r="Y28" s="173" t="s">
        <v>392</v>
      </c>
      <c r="Z28" s="173" t="s">
        <v>136</v>
      </c>
      <c r="AA28" s="173" t="s">
        <v>286</v>
      </c>
      <c r="AB28" s="178" t="s">
        <v>399</v>
      </c>
      <c r="AC28" s="173" t="s">
        <v>292</v>
      </c>
      <c r="AD28" s="173" t="s">
        <v>171</v>
      </c>
      <c r="AE28" s="177"/>
    </row>
    <row r="29">
      <c r="A29" s="172">
        <v>30.0</v>
      </c>
      <c r="B29" s="173" t="s">
        <v>76</v>
      </c>
      <c r="C29" s="173" t="s">
        <v>50</v>
      </c>
      <c r="D29" s="173" t="s">
        <v>400</v>
      </c>
      <c r="E29" s="173" t="s">
        <v>401</v>
      </c>
      <c r="F29" s="173" t="s">
        <v>187</v>
      </c>
      <c r="G29" s="173" t="s">
        <v>41</v>
      </c>
      <c r="H29" s="173">
        <v>79928.0</v>
      </c>
      <c r="I29" s="173" t="s">
        <v>42</v>
      </c>
      <c r="J29" s="174">
        <v>277950.0</v>
      </c>
      <c r="K29" s="175">
        <v>45752.0</v>
      </c>
      <c r="L29" s="175">
        <v>45758.0</v>
      </c>
      <c r="M29" s="173" t="s">
        <v>402</v>
      </c>
      <c r="N29" s="173">
        <v>2025.0</v>
      </c>
      <c r="O29" s="175">
        <v>45782.0</v>
      </c>
      <c r="P29" s="175">
        <v>45835.0</v>
      </c>
      <c r="Q29" s="176"/>
      <c r="R29" s="173" t="s">
        <v>391</v>
      </c>
      <c r="S29" s="175">
        <v>45835.0</v>
      </c>
      <c r="T29" s="173" t="s">
        <v>134</v>
      </c>
      <c r="U29" s="173" t="s">
        <v>46</v>
      </c>
      <c r="V29" s="176"/>
      <c r="W29" s="173" t="s">
        <v>47</v>
      </c>
      <c r="X29" s="173">
        <v>9.157998249E9</v>
      </c>
      <c r="Y29" s="173" t="s">
        <v>392</v>
      </c>
      <c r="Z29" s="173" t="s">
        <v>136</v>
      </c>
      <c r="AA29" s="173" t="s">
        <v>50</v>
      </c>
      <c r="AB29" s="178">
        <v>9.152828346E9</v>
      </c>
      <c r="AC29" s="173" t="s">
        <v>403</v>
      </c>
      <c r="AD29" s="173" t="s">
        <v>171</v>
      </c>
      <c r="AE29" s="177"/>
    </row>
    <row r="30">
      <c r="A30" s="172">
        <v>31.0</v>
      </c>
      <c r="B30" s="173" t="s">
        <v>76</v>
      </c>
      <c r="C30" s="173" t="s">
        <v>267</v>
      </c>
      <c r="D30" s="173" t="s">
        <v>404</v>
      </c>
      <c r="E30" s="173" t="s">
        <v>90</v>
      </c>
      <c r="F30" s="173" t="s">
        <v>187</v>
      </c>
      <c r="G30" s="173" t="s">
        <v>41</v>
      </c>
      <c r="H30" s="173">
        <v>79928.0</v>
      </c>
      <c r="I30" s="173" t="s">
        <v>42</v>
      </c>
      <c r="J30" s="174">
        <v>274950.0</v>
      </c>
      <c r="K30" s="175">
        <v>45750.0</v>
      </c>
      <c r="L30" s="176"/>
      <c r="M30" s="173" t="s">
        <v>249</v>
      </c>
      <c r="N30" s="176"/>
      <c r="O30" s="175">
        <v>45778.0</v>
      </c>
      <c r="P30" s="176"/>
      <c r="Q30" s="176"/>
      <c r="R30" s="173" t="s">
        <v>159</v>
      </c>
      <c r="S30" s="176"/>
      <c r="T30" s="173" t="s">
        <v>134</v>
      </c>
      <c r="U30" s="173" t="s">
        <v>46</v>
      </c>
      <c r="V30" s="176"/>
      <c r="W30" s="173" t="s">
        <v>155</v>
      </c>
      <c r="X30" s="173" t="s">
        <v>405</v>
      </c>
      <c r="Y30" s="173" t="s">
        <v>257</v>
      </c>
      <c r="Z30" s="173" t="s">
        <v>136</v>
      </c>
      <c r="AA30" s="173" t="s">
        <v>406</v>
      </c>
      <c r="AB30" s="178" t="s">
        <v>407</v>
      </c>
      <c r="AC30" s="173" t="s">
        <v>408</v>
      </c>
      <c r="AD30" s="173" t="s">
        <v>163</v>
      </c>
      <c r="AE30" s="177"/>
    </row>
    <row r="31">
      <c r="A31" s="172">
        <v>32.0</v>
      </c>
      <c r="B31" s="173" t="s">
        <v>76</v>
      </c>
      <c r="C31" s="173" t="s">
        <v>73</v>
      </c>
      <c r="D31" s="173" t="s">
        <v>409</v>
      </c>
      <c r="E31" s="173" t="s">
        <v>410</v>
      </c>
      <c r="F31" s="173" t="s">
        <v>40</v>
      </c>
      <c r="G31" s="173" t="s">
        <v>41</v>
      </c>
      <c r="H31" s="173">
        <v>79934.0</v>
      </c>
      <c r="I31" s="173" t="s">
        <v>42</v>
      </c>
      <c r="J31" s="174">
        <v>259950.0</v>
      </c>
      <c r="K31" s="175">
        <v>45752.0</v>
      </c>
      <c r="L31" s="176"/>
      <c r="M31" s="173" t="s">
        <v>249</v>
      </c>
      <c r="N31" s="176"/>
      <c r="O31" s="175">
        <v>45777.0</v>
      </c>
      <c r="P31" s="176"/>
      <c r="Q31" s="176"/>
      <c r="R31" s="173" t="s">
        <v>153</v>
      </c>
      <c r="S31" s="176"/>
      <c r="T31" s="173" t="s">
        <v>134</v>
      </c>
      <c r="U31" s="176"/>
      <c r="V31" s="176"/>
      <c r="W31" s="173" t="s">
        <v>155</v>
      </c>
      <c r="X31" s="173" t="s">
        <v>405</v>
      </c>
      <c r="Y31" s="173" t="s">
        <v>257</v>
      </c>
      <c r="Z31" s="173" t="s">
        <v>136</v>
      </c>
      <c r="AA31" s="173" t="s">
        <v>73</v>
      </c>
      <c r="AB31" s="178" t="s">
        <v>74</v>
      </c>
      <c r="AC31" s="173" t="s">
        <v>252</v>
      </c>
      <c r="AD31" s="173" t="s">
        <v>171</v>
      </c>
      <c r="AE31" s="177"/>
    </row>
    <row r="32">
      <c r="A32" s="172">
        <v>33.0</v>
      </c>
      <c r="B32" s="173" t="s">
        <v>37</v>
      </c>
      <c r="C32" s="173" t="s">
        <v>286</v>
      </c>
      <c r="D32" s="173" t="s">
        <v>411</v>
      </c>
      <c r="E32" s="173" t="s">
        <v>412</v>
      </c>
      <c r="F32" s="173" t="s">
        <v>40</v>
      </c>
      <c r="G32" s="173" t="s">
        <v>41</v>
      </c>
      <c r="H32" s="173">
        <v>79938.0</v>
      </c>
      <c r="I32" s="173" t="s">
        <v>42</v>
      </c>
      <c r="J32" s="174">
        <v>264950.0</v>
      </c>
      <c r="K32" s="176"/>
      <c r="L32" s="175">
        <v>45730.0</v>
      </c>
      <c r="M32" s="173" t="s">
        <v>249</v>
      </c>
      <c r="N32" s="176"/>
      <c r="O32" s="175">
        <v>45777.0</v>
      </c>
      <c r="P32" s="176"/>
      <c r="Q32" s="176"/>
      <c r="R32" s="173" t="s">
        <v>201</v>
      </c>
      <c r="S32" s="176"/>
      <c r="T32" s="176"/>
      <c r="U32" s="176"/>
      <c r="V32" s="176"/>
      <c r="W32" s="173" t="s">
        <v>47</v>
      </c>
      <c r="X32" s="173">
        <v>9.157998249E9</v>
      </c>
      <c r="Y32" s="173" t="s">
        <v>392</v>
      </c>
      <c r="Z32" s="173" t="s">
        <v>136</v>
      </c>
      <c r="AA32" s="173" t="s">
        <v>286</v>
      </c>
      <c r="AB32" s="173">
        <v>9.157600808E9</v>
      </c>
      <c r="AC32" s="173" t="s">
        <v>292</v>
      </c>
      <c r="AD32" s="173" t="s">
        <v>171</v>
      </c>
      <c r="AE32" s="17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5.38"/>
    <col customWidth="1" min="2" max="2" width="5.38"/>
    <col customWidth="1" min="3" max="3" width="11.0"/>
    <col customWidth="1" min="4" max="4" width="11.13"/>
    <col customWidth="1" min="5" max="5" width="15.38"/>
    <col customWidth="1" min="6" max="6" width="19.0"/>
    <col customWidth="1" min="7" max="7" width="11.88"/>
    <col customWidth="1" min="8" max="8" width="23.63"/>
    <col customWidth="1" min="9" max="9" width="15.63"/>
    <col customWidth="1" hidden="1" min="10" max="11" width="15.63"/>
    <col customWidth="1" min="12" max="12" width="17.0"/>
    <col customWidth="1" min="13" max="13" width="13.0"/>
    <col customWidth="1" min="14" max="14" width="26.5"/>
    <col customWidth="1" min="15" max="15" width="21.63"/>
    <col customWidth="1" min="16" max="16" width="17.0"/>
    <col customWidth="1" min="17" max="17" width="16.75"/>
    <col customWidth="1" min="18" max="21" width="35.63"/>
    <col customWidth="1" min="25" max="25" width="21.25"/>
    <col customWidth="1" min="26" max="26" width="14.38"/>
    <col customWidth="1" min="27" max="30" width="17.38"/>
    <col customWidth="1" min="31" max="31" width="17.25"/>
    <col customWidth="1" min="32" max="33" width="16.0"/>
    <col customWidth="1" min="34" max="35" width="30.38"/>
  </cols>
  <sheetData>
    <row r="1" ht="87.75" customHeight="1">
      <c r="A1" s="181"/>
      <c r="B1" s="182"/>
      <c r="C1" s="183"/>
      <c r="D1" s="182"/>
      <c r="E1" s="184"/>
      <c r="F1" s="182"/>
      <c r="G1" s="184"/>
      <c r="H1" s="182"/>
      <c r="I1" s="184"/>
      <c r="J1" s="183"/>
      <c r="K1" s="183"/>
      <c r="L1" s="184"/>
      <c r="M1" s="184"/>
      <c r="N1" s="185"/>
      <c r="O1" s="184"/>
      <c r="P1" s="184"/>
      <c r="Q1" s="184"/>
      <c r="R1" s="182"/>
      <c r="S1" s="182"/>
      <c r="T1" s="182"/>
      <c r="U1" s="182"/>
      <c r="V1" s="186"/>
      <c r="W1" s="184"/>
      <c r="X1" s="184"/>
      <c r="Y1" s="187"/>
      <c r="Z1" s="184"/>
      <c r="AA1" s="184"/>
      <c r="AB1" s="184"/>
      <c r="AC1" s="184"/>
      <c r="AD1" s="184"/>
      <c r="AE1" s="184"/>
      <c r="AF1" s="184"/>
      <c r="AG1" s="184"/>
      <c r="AH1" s="184"/>
      <c r="AI1" s="183"/>
    </row>
    <row r="2" ht="22.5" customHeight="1">
      <c r="A2" s="188" t="s">
        <v>3</v>
      </c>
      <c r="B2" s="189" t="s">
        <v>128</v>
      </c>
      <c r="C2" s="190" t="s">
        <v>236</v>
      </c>
      <c r="D2" s="189" t="s">
        <v>5</v>
      </c>
      <c r="E2" s="189" t="s">
        <v>11</v>
      </c>
      <c r="F2" s="190" t="s">
        <v>18</v>
      </c>
      <c r="G2" s="191" t="s">
        <v>235</v>
      </c>
      <c r="H2" s="190" t="s">
        <v>7</v>
      </c>
      <c r="I2" s="190" t="s">
        <v>16</v>
      </c>
      <c r="J2" s="190" t="s">
        <v>237</v>
      </c>
      <c r="K2" s="190" t="s">
        <v>238</v>
      </c>
      <c r="L2" s="190" t="s">
        <v>14</v>
      </c>
      <c r="M2" s="192" t="s">
        <v>240</v>
      </c>
      <c r="N2" s="193" t="s">
        <v>19</v>
      </c>
      <c r="O2" s="192" t="s">
        <v>12</v>
      </c>
      <c r="P2" s="189" t="s">
        <v>239</v>
      </c>
      <c r="Q2" s="189" t="s">
        <v>17</v>
      </c>
      <c r="R2" s="190" t="s">
        <v>6</v>
      </c>
      <c r="S2" s="190" t="s">
        <v>413</v>
      </c>
      <c r="T2" s="190" t="s">
        <v>414</v>
      </c>
      <c r="U2" s="190" t="s">
        <v>7</v>
      </c>
      <c r="V2" s="190" t="s">
        <v>8</v>
      </c>
      <c r="W2" s="190" t="s">
        <v>9</v>
      </c>
      <c r="X2" s="190" t="s">
        <v>10</v>
      </c>
      <c r="Y2" s="194" t="s">
        <v>241</v>
      </c>
      <c r="Z2" s="190" t="s">
        <v>242</v>
      </c>
      <c r="AA2" s="190" t="s">
        <v>20</v>
      </c>
      <c r="AB2" s="190" t="s">
        <v>21</v>
      </c>
      <c r="AC2" s="190" t="s">
        <v>243</v>
      </c>
      <c r="AD2" s="190" t="s">
        <v>22</v>
      </c>
      <c r="AE2" s="190" t="s">
        <v>244</v>
      </c>
      <c r="AF2" s="195" t="s">
        <v>24</v>
      </c>
      <c r="AG2" s="190" t="s">
        <v>245</v>
      </c>
      <c r="AH2" s="190" t="s">
        <v>25</v>
      </c>
      <c r="AI2" s="190" t="s">
        <v>246</v>
      </c>
    </row>
    <row r="3" ht="22.5" hidden="1" customHeight="1">
      <c r="A3" s="196">
        <v>1.0</v>
      </c>
      <c r="B3" s="197">
        <v>1.0</v>
      </c>
      <c r="C3" s="198">
        <v>45903.0</v>
      </c>
      <c r="D3" s="199" t="s">
        <v>37</v>
      </c>
      <c r="E3" s="199" t="s">
        <v>415</v>
      </c>
      <c r="F3" s="23" t="s">
        <v>73</v>
      </c>
      <c r="G3" s="200">
        <v>294950.0</v>
      </c>
      <c r="H3" s="201" t="s">
        <v>416</v>
      </c>
      <c r="I3" s="202"/>
      <c r="J3" s="201"/>
      <c r="K3" s="201"/>
      <c r="L3" s="198">
        <v>46083.875</v>
      </c>
      <c r="M3" s="202"/>
      <c r="N3" s="203" t="s">
        <v>189</v>
      </c>
      <c r="O3" s="199" t="s">
        <v>299</v>
      </c>
      <c r="P3" s="204"/>
      <c r="Q3" s="201" t="s">
        <v>176</v>
      </c>
      <c r="R3" s="201" t="s">
        <v>417</v>
      </c>
      <c r="S3" s="197"/>
      <c r="T3" s="197"/>
      <c r="U3" s="197"/>
      <c r="V3" s="199" t="s">
        <v>40</v>
      </c>
      <c r="W3" s="199" t="s">
        <v>41</v>
      </c>
      <c r="X3" s="199">
        <v>79938.0</v>
      </c>
      <c r="Y3" s="205" t="s">
        <v>140</v>
      </c>
      <c r="Z3" s="200"/>
      <c r="AA3" s="201" t="s">
        <v>170</v>
      </c>
      <c r="AB3" s="201"/>
      <c r="AC3" s="201" t="s">
        <v>418</v>
      </c>
      <c r="AD3" s="22" t="s">
        <v>169</v>
      </c>
      <c r="AE3" s="201"/>
      <c r="AF3" s="206"/>
      <c r="AG3" s="201" t="s">
        <v>315</v>
      </c>
      <c r="AH3" s="22" t="s">
        <v>75</v>
      </c>
      <c r="AI3" s="201" t="s">
        <v>419</v>
      </c>
    </row>
    <row r="4" ht="22.5" hidden="1" customHeight="1">
      <c r="A4" s="196">
        <v>2.0</v>
      </c>
      <c r="B4" s="197">
        <f>SUBTOTAL(103, $A$3:A4)</f>
        <v>0</v>
      </c>
      <c r="C4" s="207">
        <v>45894.0</v>
      </c>
      <c r="D4" s="208" t="s">
        <v>76</v>
      </c>
      <c r="E4" s="209" t="s">
        <v>415</v>
      </c>
      <c r="F4" s="210" t="s">
        <v>73</v>
      </c>
      <c r="G4" s="211">
        <v>272950.0</v>
      </c>
      <c r="H4" s="212" t="s">
        <v>420</v>
      </c>
      <c r="I4" s="213"/>
      <c r="J4" s="212" t="s">
        <v>249</v>
      </c>
      <c r="K4" s="212"/>
      <c r="L4" s="207">
        <v>46078.0</v>
      </c>
      <c r="M4" s="213"/>
      <c r="N4" s="214" t="s">
        <v>189</v>
      </c>
      <c r="O4" s="209" t="s">
        <v>299</v>
      </c>
      <c r="P4" s="215"/>
      <c r="Q4" s="212" t="s">
        <v>222</v>
      </c>
      <c r="R4" s="212" t="s">
        <v>421</v>
      </c>
      <c r="S4" s="216"/>
      <c r="T4" s="216"/>
      <c r="U4" s="216"/>
      <c r="V4" s="209" t="s">
        <v>40</v>
      </c>
      <c r="W4" s="209" t="s">
        <v>41</v>
      </c>
      <c r="X4" s="209">
        <v>79934.0</v>
      </c>
      <c r="Y4" s="217" t="s">
        <v>140</v>
      </c>
      <c r="Z4" s="211"/>
      <c r="AA4" s="212" t="s">
        <v>141</v>
      </c>
      <c r="AB4" s="212" t="s">
        <v>422</v>
      </c>
      <c r="AC4" s="212" t="s">
        <v>423</v>
      </c>
      <c r="AD4" s="218" t="s">
        <v>136</v>
      </c>
      <c r="AE4" s="212" t="s">
        <v>296</v>
      </c>
      <c r="AF4" s="212" t="s">
        <v>424</v>
      </c>
      <c r="AG4" s="212" t="s">
        <v>425</v>
      </c>
      <c r="AH4" s="218" t="s">
        <v>86</v>
      </c>
      <c r="AI4" s="212" t="s">
        <v>426</v>
      </c>
    </row>
    <row r="5" ht="22.5" customHeight="1">
      <c r="A5" s="196">
        <v>3.0</v>
      </c>
      <c r="B5" s="201">
        <v>1.0</v>
      </c>
      <c r="C5" s="202">
        <v>45908.0</v>
      </c>
      <c r="D5" s="199" t="s">
        <v>76</v>
      </c>
      <c r="E5" s="199" t="s">
        <v>42</v>
      </c>
      <c r="F5" s="219" t="s">
        <v>73</v>
      </c>
      <c r="G5" s="200">
        <v>269950.0</v>
      </c>
      <c r="H5" s="220" t="s">
        <v>294</v>
      </c>
      <c r="I5" s="202">
        <v>45912.0</v>
      </c>
      <c r="J5" s="201"/>
      <c r="K5" s="221"/>
      <c r="L5" s="202">
        <v>46037.0</v>
      </c>
      <c r="M5" s="222"/>
      <c r="N5" s="203" t="s">
        <v>209</v>
      </c>
      <c r="O5" s="223"/>
      <c r="P5" s="222"/>
      <c r="Q5" s="201" t="s">
        <v>222</v>
      </c>
      <c r="R5" s="201" t="s">
        <v>293</v>
      </c>
      <c r="S5" s="197"/>
      <c r="T5" s="197"/>
      <c r="U5" s="197"/>
      <c r="V5" s="199" t="s">
        <v>40</v>
      </c>
      <c r="W5" s="199" t="s">
        <v>41</v>
      </c>
      <c r="X5" s="199">
        <v>79934.0</v>
      </c>
      <c r="Y5" s="205" t="s">
        <v>140</v>
      </c>
      <c r="Z5" s="200">
        <v>269950.0</v>
      </c>
      <c r="AA5" s="201" t="s">
        <v>141</v>
      </c>
      <c r="AB5" s="201" t="s">
        <v>422</v>
      </c>
      <c r="AC5" s="201" t="s">
        <v>295</v>
      </c>
      <c r="AD5" s="22" t="s">
        <v>136</v>
      </c>
      <c r="AE5" s="201" t="s">
        <v>296</v>
      </c>
      <c r="AF5" s="201" t="s">
        <v>424</v>
      </c>
      <c r="AG5" s="201" t="s">
        <v>297</v>
      </c>
      <c r="AH5" s="22" t="s">
        <v>86</v>
      </c>
      <c r="AI5" s="201"/>
    </row>
    <row r="6" ht="22.5" customHeight="1">
      <c r="A6" s="196">
        <v>34.0</v>
      </c>
      <c r="B6" s="201">
        <v>2.0</v>
      </c>
      <c r="C6" s="202">
        <v>45922.0</v>
      </c>
      <c r="D6" s="199" t="s">
        <v>76</v>
      </c>
      <c r="E6" s="199" t="s">
        <v>42</v>
      </c>
      <c r="F6" s="219" t="s">
        <v>427</v>
      </c>
      <c r="G6" s="200">
        <v>301950.0</v>
      </c>
      <c r="H6" s="220" t="s">
        <v>428</v>
      </c>
      <c r="I6" s="202"/>
      <c r="J6" s="201"/>
      <c r="K6" s="221"/>
      <c r="L6" s="202">
        <v>46036.875</v>
      </c>
      <c r="M6" s="222"/>
      <c r="N6" s="203" t="s">
        <v>209</v>
      </c>
      <c r="O6" s="223"/>
      <c r="P6" s="222"/>
      <c r="Q6" s="201"/>
      <c r="R6" s="201" t="s">
        <v>429</v>
      </c>
      <c r="S6" s="197"/>
      <c r="T6" s="197"/>
      <c r="U6" s="197"/>
      <c r="V6" s="199" t="s">
        <v>187</v>
      </c>
      <c r="W6" s="199" t="s">
        <v>41</v>
      </c>
      <c r="X6" s="199">
        <v>79927.0</v>
      </c>
      <c r="Y6" s="205" t="s">
        <v>154</v>
      </c>
      <c r="Z6" s="200">
        <v>256657.0</v>
      </c>
      <c r="AA6" s="201" t="s">
        <v>230</v>
      </c>
      <c r="AB6" s="201" t="s">
        <v>430</v>
      </c>
      <c r="AC6" s="201" t="s">
        <v>431</v>
      </c>
      <c r="AD6" s="22" t="s">
        <v>200</v>
      </c>
      <c r="AE6" s="201" t="s">
        <v>432</v>
      </c>
      <c r="AF6" s="201" t="s">
        <v>433</v>
      </c>
      <c r="AG6" s="201" t="s">
        <v>434</v>
      </c>
      <c r="AH6" s="22" t="s">
        <v>196</v>
      </c>
      <c r="AI6" s="201"/>
    </row>
    <row r="7" ht="22.5" hidden="1" customHeight="1">
      <c r="A7" s="196">
        <v>4.0</v>
      </c>
      <c r="B7" s="197">
        <v>4.0</v>
      </c>
      <c r="C7" s="198">
        <v>45898.0</v>
      </c>
      <c r="D7" s="199" t="s">
        <v>76</v>
      </c>
      <c r="E7" s="199" t="s">
        <v>42</v>
      </c>
      <c r="F7" s="23" t="s">
        <v>73</v>
      </c>
      <c r="G7" s="200">
        <v>269950.0</v>
      </c>
      <c r="H7" s="201" t="s">
        <v>298</v>
      </c>
      <c r="I7" s="202">
        <v>45904.0</v>
      </c>
      <c r="J7" s="201"/>
      <c r="K7" s="201"/>
      <c r="L7" s="198">
        <v>46005.875</v>
      </c>
      <c r="M7" s="202"/>
      <c r="N7" s="203" t="s">
        <v>189</v>
      </c>
      <c r="O7" s="199" t="s">
        <v>299</v>
      </c>
      <c r="P7" s="204"/>
      <c r="Q7" s="201" t="s">
        <v>222</v>
      </c>
      <c r="R7" s="201" t="s">
        <v>293</v>
      </c>
      <c r="S7" s="197"/>
      <c r="T7" s="197"/>
      <c r="U7" s="197"/>
      <c r="V7" s="199" t="s">
        <v>40</v>
      </c>
      <c r="W7" s="199" t="s">
        <v>41</v>
      </c>
      <c r="X7" s="199">
        <v>79934.0</v>
      </c>
      <c r="Y7" s="205" t="s">
        <v>140</v>
      </c>
      <c r="Z7" s="200"/>
      <c r="AA7" s="201" t="s">
        <v>141</v>
      </c>
      <c r="AB7" s="201"/>
      <c r="AC7" s="201" t="s">
        <v>295</v>
      </c>
      <c r="AD7" s="22" t="s">
        <v>136</v>
      </c>
      <c r="AE7" s="201" t="s">
        <v>286</v>
      </c>
      <c r="AF7" s="206" t="s">
        <v>435</v>
      </c>
      <c r="AG7" s="201" t="s">
        <v>297</v>
      </c>
      <c r="AH7" s="22" t="s">
        <v>86</v>
      </c>
      <c r="AI7" s="201" t="s">
        <v>302</v>
      </c>
    </row>
    <row r="8" ht="22.5" customHeight="1">
      <c r="A8" s="196"/>
      <c r="B8" s="201">
        <v>3.0</v>
      </c>
      <c r="C8" s="202">
        <v>45957.0</v>
      </c>
      <c r="D8" s="199" t="s">
        <v>37</v>
      </c>
      <c r="E8" s="199" t="s">
        <v>42</v>
      </c>
      <c r="F8" s="219" t="s">
        <v>73</v>
      </c>
      <c r="G8" s="200">
        <v>269950.0</v>
      </c>
      <c r="H8" s="220" t="s">
        <v>436</v>
      </c>
      <c r="I8" s="202">
        <v>45960.0</v>
      </c>
      <c r="J8" s="201"/>
      <c r="K8" s="221"/>
      <c r="L8" s="202">
        <v>46007.0</v>
      </c>
      <c r="M8" s="222"/>
      <c r="N8" s="203" t="s">
        <v>206</v>
      </c>
      <c r="O8" s="199" t="s">
        <v>437</v>
      </c>
      <c r="P8" s="222"/>
      <c r="Q8" s="201" t="s">
        <v>188</v>
      </c>
      <c r="R8" s="201" t="s">
        <v>438</v>
      </c>
      <c r="S8" s="197"/>
      <c r="T8" s="197"/>
      <c r="U8" s="197"/>
      <c r="V8" s="199" t="s">
        <v>40</v>
      </c>
      <c r="W8" s="199" t="s">
        <v>41</v>
      </c>
      <c r="X8" s="199">
        <v>79934.0</v>
      </c>
      <c r="Y8" s="205" t="s">
        <v>140</v>
      </c>
      <c r="Z8" s="224"/>
      <c r="AA8" s="201" t="s">
        <v>226</v>
      </c>
      <c r="AB8" s="201">
        <v>5.7587626E9</v>
      </c>
      <c r="AC8" s="201" t="s">
        <v>439</v>
      </c>
      <c r="AD8" s="22" t="s">
        <v>162</v>
      </c>
      <c r="AE8" s="201" t="s">
        <v>73</v>
      </c>
      <c r="AF8" s="201" t="s">
        <v>74</v>
      </c>
      <c r="AG8" s="201" t="s">
        <v>252</v>
      </c>
      <c r="AH8" s="22" t="s">
        <v>75</v>
      </c>
      <c r="AI8" s="201"/>
    </row>
    <row r="9" ht="22.5" customHeight="1">
      <c r="A9" s="196">
        <v>38.0</v>
      </c>
      <c r="B9" s="201">
        <v>4.0</v>
      </c>
      <c r="C9" s="202">
        <v>45971.0</v>
      </c>
      <c r="D9" s="199" t="s">
        <v>37</v>
      </c>
      <c r="E9" s="199" t="s">
        <v>42</v>
      </c>
      <c r="F9" s="219" t="s">
        <v>286</v>
      </c>
      <c r="G9" s="200">
        <v>269950.0</v>
      </c>
      <c r="H9" s="220" t="s">
        <v>440</v>
      </c>
      <c r="I9" s="202">
        <v>45964.0</v>
      </c>
      <c r="J9" s="201"/>
      <c r="K9" s="221"/>
      <c r="L9" s="202">
        <v>46001.0</v>
      </c>
      <c r="M9" s="222"/>
      <c r="N9" s="203" t="s">
        <v>212</v>
      </c>
      <c r="O9" s="199"/>
      <c r="P9" s="222"/>
      <c r="Q9" s="201" t="s">
        <v>222</v>
      </c>
      <c r="R9" s="201" t="s">
        <v>441</v>
      </c>
      <c r="S9" s="197"/>
      <c r="T9" s="197"/>
      <c r="U9" s="197"/>
      <c r="V9" s="199" t="s">
        <v>40</v>
      </c>
      <c r="W9" s="199" t="s">
        <v>41</v>
      </c>
      <c r="X9" s="199">
        <v>79934.0</v>
      </c>
      <c r="Y9" s="205" t="s">
        <v>154</v>
      </c>
      <c r="Z9" s="200">
        <v>215966.0</v>
      </c>
      <c r="AA9" s="201" t="s">
        <v>47</v>
      </c>
      <c r="AB9" s="201" t="s">
        <v>442</v>
      </c>
      <c r="AC9" s="201" t="s">
        <v>443</v>
      </c>
      <c r="AD9" s="22" t="s">
        <v>136</v>
      </c>
      <c r="AE9" s="201" t="s">
        <v>286</v>
      </c>
      <c r="AF9" s="201" t="s">
        <v>291</v>
      </c>
      <c r="AG9" s="201" t="s">
        <v>444</v>
      </c>
      <c r="AH9" s="22" t="s">
        <v>75</v>
      </c>
      <c r="AI9" s="201"/>
    </row>
    <row r="10" ht="22.5" customHeight="1">
      <c r="A10" s="196"/>
      <c r="B10" s="201">
        <v>5.0</v>
      </c>
      <c r="C10" s="202">
        <v>45966.0</v>
      </c>
      <c r="D10" s="199" t="s">
        <v>37</v>
      </c>
      <c r="E10" s="199" t="s">
        <v>42</v>
      </c>
      <c r="F10" s="219" t="s">
        <v>73</v>
      </c>
      <c r="G10" s="200">
        <v>269950.0</v>
      </c>
      <c r="H10" s="220" t="s">
        <v>445</v>
      </c>
      <c r="I10" s="202">
        <v>45974.0</v>
      </c>
      <c r="J10" s="201"/>
      <c r="K10" s="221"/>
      <c r="L10" s="202">
        <v>45987.0</v>
      </c>
      <c r="M10" s="222"/>
      <c r="N10" s="203" t="s">
        <v>194</v>
      </c>
      <c r="O10" s="223"/>
      <c r="P10" s="222"/>
      <c r="Q10" s="201" t="s">
        <v>188</v>
      </c>
      <c r="R10" s="201" t="s">
        <v>446</v>
      </c>
      <c r="S10" s="201" t="s">
        <v>447</v>
      </c>
      <c r="T10" s="201" t="s">
        <v>448</v>
      </c>
      <c r="U10" s="201" t="s">
        <v>449</v>
      </c>
      <c r="V10" s="199" t="s">
        <v>40</v>
      </c>
      <c r="W10" s="199" t="s">
        <v>41</v>
      </c>
      <c r="X10" s="199">
        <v>79934.0</v>
      </c>
      <c r="Y10" s="205" t="s">
        <v>160</v>
      </c>
      <c r="Z10" s="200">
        <v>0.0</v>
      </c>
      <c r="AA10" s="201" t="s">
        <v>174</v>
      </c>
      <c r="AB10" s="201" t="s">
        <v>174</v>
      </c>
      <c r="AC10" s="201" t="s">
        <v>174</v>
      </c>
      <c r="AD10" s="22" t="s">
        <v>174</v>
      </c>
      <c r="AE10" s="201" t="s">
        <v>73</v>
      </c>
      <c r="AF10" s="201" t="s">
        <v>74</v>
      </c>
      <c r="AG10" s="201" t="s">
        <v>315</v>
      </c>
      <c r="AH10" s="22" t="s">
        <v>75</v>
      </c>
      <c r="AI10" s="201"/>
    </row>
    <row r="11" ht="22.5" hidden="1" customHeight="1">
      <c r="A11" s="196">
        <v>37.0</v>
      </c>
      <c r="B11" s="197">
        <v>6.0</v>
      </c>
      <c r="C11" s="202">
        <v>45963.0</v>
      </c>
      <c r="D11" s="199" t="s">
        <v>76</v>
      </c>
      <c r="E11" s="199" t="s">
        <v>415</v>
      </c>
      <c r="F11" s="219" t="s">
        <v>286</v>
      </c>
      <c r="G11" s="200">
        <v>274950.0</v>
      </c>
      <c r="H11" s="225" t="s">
        <v>450</v>
      </c>
      <c r="I11" s="202"/>
      <c r="J11" s="201"/>
      <c r="K11" s="221"/>
      <c r="L11" s="202">
        <v>45998.875</v>
      </c>
      <c r="M11" s="222"/>
      <c r="N11" s="203" t="s">
        <v>189</v>
      </c>
      <c r="O11" s="199" t="s">
        <v>255</v>
      </c>
      <c r="P11" s="222"/>
      <c r="Q11" s="201" t="s">
        <v>44</v>
      </c>
      <c r="R11" s="201" t="s">
        <v>451</v>
      </c>
      <c r="S11" s="197"/>
      <c r="T11" s="197"/>
      <c r="U11" s="197"/>
      <c r="V11" s="199" t="s">
        <v>452</v>
      </c>
      <c r="W11" s="199" t="s">
        <v>41</v>
      </c>
      <c r="X11" s="199">
        <v>79928.0</v>
      </c>
      <c r="Y11" s="205" t="s">
        <v>134</v>
      </c>
      <c r="Z11" s="200">
        <v>0.035</v>
      </c>
      <c r="AA11" s="201" t="s">
        <v>149</v>
      </c>
      <c r="AB11" s="201"/>
      <c r="AC11" s="201" t="s">
        <v>174</v>
      </c>
      <c r="AD11" s="22" t="s">
        <v>451</v>
      </c>
      <c r="AE11" s="201"/>
      <c r="AF11" s="201"/>
      <c r="AG11" s="201" t="s">
        <v>444</v>
      </c>
      <c r="AH11" s="22" t="s">
        <v>75</v>
      </c>
      <c r="AI11" s="201" t="s">
        <v>453</v>
      </c>
    </row>
    <row r="12" ht="22.5" customHeight="1">
      <c r="A12" s="196"/>
      <c r="B12" s="201">
        <v>6.0</v>
      </c>
      <c r="C12" s="202">
        <v>45965.0</v>
      </c>
      <c r="D12" s="199" t="s">
        <v>37</v>
      </c>
      <c r="E12" s="199" t="s">
        <v>415</v>
      </c>
      <c r="F12" s="219" t="s">
        <v>73</v>
      </c>
      <c r="G12" s="200">
        <v>273950.0</v>
      </c>
      <c r="H12" s="220" t="s">
        <v>454</v>
      </c>
      <c r="I12" s="202"/>
      <c r="J12" s="201"/>
      <c r="K12" s="221"/>
      <c r="L12" s="202">
        <v>45999.0</v>
      </c>
      <c r="M12" s="222"/>
      <c r="N12" s="203" t="s">
        <v>220</v>
      </c>
      <c r="O12" s="223"/>
      <c r="P12" s="222"/>
      <c r="Q12" s="201" t="s">
        <v>233</v>
      </c>
      <c r="R12" s="201" t="s">
        <v>455</v>
      </c>
      <c r="S12" s="197"/>
      <c r="T12" s="197"/>
      <c r="U12" s="197"/>
      <c r="V12" s="199" t="s">
        <v>40</v>
      </c>
      <c r="W12" s="199" t="s">
        <v>41</v>
      </c>
      <c r="X12" s="199">
        <v>79938.0</v>
      </c>
      <c r="Y12" s="205" t="s">
        <v>140</v>
      </c>
      <c r="Z12" s="224"/>
      <c r="AA12" s="201"/>
      <c r="AB12" s="201"/>
      <c r="AC12" s="201"/>
      <c r="AD12" s="22"/>
      <c r="AE12" s="201"/>
      <c r="AF12" s="201"/>
      <c r="AG12" s="201"/>
      <c r="AH12" s="22"/>
      <c r="AI12" s="201"/>
    </row>
    <row r="13" ht="22.5" customHeight="1">
      <c r="A13" s="196">
        <v>36.0</v>
      </c>
      <c r="B13" s="201">
        <v>7.0</v>
      </c>
      <c r="C13" s="202">
        <v>45956.0</v>
      </c>
      <c r="D13" s="199" t="s">
        <v>76</v>
      </c>
      <c r="E13" s="199" t="s">
        <v>42</v>
      </c>
      <c r="F13" s="219" t="s">
        <v>456</v>
      </c>
      <c r="G13" s="200">
        <v>369950.0</v>
      </c>
      <c r="H13" s="220" t="s">
        <v>457</v>
      </c>
      <c r="I13" s="202"/>
      <c r="J13" s="201"/>
      <c r="K13" s="221"/>
      <c r="L13" s="202">
        <v>45988.875</v>
      </c>
      <c r="M13" s="222"/>
      <c r="N13" s="226"/>
      <c r="O13" s="199" t="s">
        <v>458</v>
      </c>
      <c r="P13" s="222"/>
      <c r="Q13" s="201" t="s">
        <v>139</v>
      </c>
      <c r="R13" s="201" t="s">
        <v>459</v>
      </c>
      <c r="S13" s="197"/>
      <c r="T13" s="197"/>
      <c r="U13" s="197"/>
      <c r="V13" s="199" t="s">
        <v>40</v>
      </c>
      <c r="W13" s="199"/>
      <c r="X13" s="199">
        <v>79938.0</v>
      </c>
      <c r="Y13" s="205" t="s">
        <v>140</v>
      </c>
      <c r="Z13" s="200">
        <v>369950.0</v>
      </c>
      <c r="AA13" s="201" t="s">
        <v>225</v>
      </c>
      <c r="AB13" s="201"/>
      <c r="AC13" s="201" t="s">
        <v>460</v>
      </c>
      <c r="AD13" s="22" t="s">
        <v>185</v>
      </c>
      <c r="AE13" s="201"/>
      <c r="AF13" s="201"/>
      <c r="AG13" s="201" t="s">
        <v>461</v>
      </c>
      <c r="AH13" s="22" t="s">
        <v>178</v>
      </c>
      <c r="AI13" s="201"/>
    </row>
    <row r="14" ht="22.5" customHeight="1">
      <c r="A14" s="196"/>
      <c r="B14" s="201">
        <v>8.0</v>
      </c>
      <c r="C14" s="202">
        <v>45957.0</v>
      </c>
      <c r="D14" s="199" t="s">
        <v>37</v>
      </c>
      <c r="E14" s="199" t="s">
        <v>42</v>
      </c>
      <c r="F14" s="219" t="s">
        <v>73</v>
      </c>
      <c r="G14" s="200">
        <v>269950.0</v>
      </c>
      <c r="H14" s="220" t="s">
        <v>462</v>
      </c>
      <c r="I14" s="202">
        <v>45960.0</v>
      </c>
      <c r="J14" s="201"/>
      <c r="K14" s="221"/>
      <c r="L14" s="202">
        <v>45985.0</v>
      </c>
      <c r="M14" s="222"/>
      <c r="N14" s="203" t="s">
        <v>46</v>
      </c>
      <c r="O14" s="199"/>
      <c r="P14" s="222"/>
      <c r="Q14" s="201" t="s">
        <v>188</v>
      </c>
      <c r="R14" s="201" t="s">
        <v>463</v>
      </c>
      <c r="S14" s="197"/>
      <c r="T14" s="197"/>
      <c r="U14" s="197"/>
      <c r="V14" s="199" t="s">
        <v>40</v>
      </c>
      <c r="W14" s="199" t="s">
        <v>41</v>
      </c>
      <c r="X14" s="199">
        <v>79934.0</v>
      </c>
      <c r="Y14" s="205" t="s">
        <v>140</v>
      </c>
      <c r="Z14" s="224"/>
      <c r="AA14" s="201"/>
      <c r="AB14" s="201"/>
      <c r="AC14" s="201"/>
      <c r="AD14" s="22"/>
      <c r="AE14" s="201"/>
      <c r="AF14" s="201"/>
      <c r="AG14" s="201"/>
      <c r="AH14" s="22"/>
      <c r="AI14" s="201"/>
    </row>
    <row r="15" ht="22.5" customHeight="1">
      <c r="A15" s="196"/>
      <c r="B15" s="201">
        <v>9.0</v>
      </c>
      <c r="C15" s="202">
        <v>45957.0</v>
      </c>
      <c r="D15" s="199" t="s">
        <v>37</v>
      </c>
      <c r="E15" s="199" t="s">
        <v>415</v>
      </c>
      <c r="F15" s="219" t="s">
        <v>73</v>
      </c>
      <c r="G15" s="200">
        <v>269950.0</v>
      </c>
      <c r="H15" s="220" t="s">
        <v>464</v>
      </c>
      <c r="I15" s="202"/>
      <c r="J15" s="201"/>
      <c r="K15" s="221"/>
      <c r="L15" s="202">
        <v>45985.0</v>
      </c>
      <c r="M15" s="222"/>
      <c r="N15" s="203" t="s">
        <v>220</v>
      </c>
      <c r="O15" s="199"/>
      <c r="P15" s="222"/>
      <c r="Q15" s="201"/>
      <c r="R15" s="201"/>
      <c r="S15" s="197"/>
      <c r="T15" s="197"/>
      <c r="U15" s="197"/>
      <c r="V15" s="199"/>
      <c r="W15" s="199"/>
      <c r="X15" s="199"/>
      <c r="Y15" s="205"/>
      <c r="Z15" s="224"/>
      <c r="AA15" s="201"/>
      <c r="AB15" s="201"/>
      <c r="AC15" s="201"/>
      <c r="AD15" s="22"/>
      <c r="AE15" s="201"/>
      <c r="AF15" s="201"/>
      <c r="AG15" s="201"/>
      <c r="AH15" s="22"/>
      <c r="AI15" s="201"/>
    </row>
    <row r="16" ht="22.5" hidden="1" customHeight="1">
      <c r="A16" s="196">
        <v>35.0</v>
      </c>
      <c r="B16" s="201">
        <v>9.0</v>
      </c>
      <c r="C16" s="202">
        <v>45951.0</v>
      </c>
      <c r="D16" s="199" t="s">
        <v>76</v>
      </c>
      <c r="E16" s="199" t="s">
        <v>415</v>
      </c>
      <c r="F16" s="219" t="s">
        <v>465</v>
      </c>
      <c r="G16" s="200">
        <v>369950.0</v>
      </c>
      <c r="H16" s="201" t="s">
        <v>466</v>
      </c>
      <c r="I16" s="202"/>
      <c r="J16" s="201"/>
      <c r="K16" s="221"/>
      <c r="L16" s="202">
        <v>45951.916666666664</v>
      </c>
      <c r="M16" s="222"/>
      <c r="N16" s="203" t="s">
        <v>189</v>
      </c>
      <c r="O16" s="223"/>
      <c r="P16" s="222"/>
      <c r="Q16" s="201"/>
      <c r="R16" s="201" t="s">
        <v>467</v>
      </c>
      <c r="S16" s="197"/>
      <c r="T16" s="197"/>
      <c r="U16" s="197"/>
      <c r="V16" s="199"/>
      <c r="W16" s="199"/>
      <c r="X16" s="199"/>
      <c r="Y16" s="205" t="s">
        <v>134</v>
      </c>
      <c r="Z16" s="200">
        <v>357001.0</v>
      </c>
      <c r="AA16" s="201" t="s">
        <v>135</v>
      </c>
      <c r="AB16" s="201" t="s">
        <v>468</v>
      </c>
      <c r="AC16" s="201" t="s">
        <v>312</v>
      </c>
      <c r="AD16" s="22" t="s">
        <v>136</v>
      </c>
      <c r="AE16" s="201" t="s">
        <v>469</v>
      </c>
      <c r="AF16" s="201" t="s">
        <v>470</v>
      </c>
      <c r="AG16" s="201" t="s">
        <v>471</v>
      </c>
      <c r="AH16" s="22" t="s">
        <v>175</v>
      </c>
      <c r="AI16" s="201"/>
    </row>
    <row r="17" ht="22.5" customHeight="1">
      <c r="A17" s="196"/>
      <c r="B17" s="201">
        <v>10.0</v>
      </c>
      <c r="C17" s="202">
        <v>45951.0</v>
      </c>
      <c r="D17" s="199" t="s">
        <v>76</v>
      </c>
      <c r="E17" s="199" t="s">
        <v>42</v>
      </c>
      <c r="F17" s="219" t="s">
        <v>465</v>
      </c>
      <c r="G17" s="200">
        <v>439950.0</v>
      </c>
      <c r="H17" s="220" t="s">
        <v>472</v>
      </c>
      <c r="I17" s="202"/>
      <c r="J17" s="201"/>
      <c r="K17" s="221"/>
      <c r="L17" s="202">
        <v>45981.0</v>
      </c>
      <c r="M17" s="222"/>
      <c r="N17" s="227"/>
      <c r="O17" s="223"/>
      <c r="P17" s="222"/>
      <c r="Q17" s="201" t="s">
        <v>224</v>
      </c>
      <c r="R17" s="201"/>
      <c r="S17" s="197"/>
      <c r="T17" s="197"/>
      <c r="U17" s="197"/>
      <c r="V17" s="199"/>
      <c r="W17" s="199"/>
      <c r="X17" s="199"/>
      <c r="Y17" s="205"/>
      <c r="Z17" s="224"/>
      <c r="AA17" s="201"/>
      <c r="AB17" s="201"/>
      <c r="AC17" s="201"/>
      <c r="AD17" s="22"/>
      <c r="AE17" s="201"/>
      <c r="AF17" s="201"/>
      <c r="AG17" s="201"/>
      <c r="AH17" s="22"/>
      <c r="AI17" s="201"/>
    </row>
    <row r="18" ht="22.5" customHeight="1">
      <c r="A18" s="196"/>
      <c r="B18" s="201">
        <v>11.0</v>
      </c>
      <c r="C18" s="202">
        <v>45200.0</v>
      </c>
      <c r="D18" s="199" t="s">
        <v>76</v>
      </c>
      <c r="E18" s="199" t="s">
        <v>42</v>
      </c>
      <c r="F18" s="219" t="s">
        <v>267</v>
      </c>
      <c r="G18" s="200">
        <v>279950.0</v>
      </c>
      <c r="H18" s="220" t="s">
        <v>473</v>
      </c>
      <c r="I18" s="202">
        <v>45933.0</v>
      </c>
      <c r="J18" s="201"/>
      <c r="K18" s="221"/>
      <c r="L18" s="202">
        <v>45966.0</v>
      </c>
      <c r="M18" s="202">
        <v>45964.0</v>
      </c>
      <c r="N18" s="203" t="s">
        <v>216</v>
      </c>
      <c r="O18" s="223"/>
      <c r="P18" s="222"/>
      <c r="Q18" s="201" t="s">
        <v>176</v>
      </c>
      <c r="R18" s="201" t="s">
        <v>474</v>
      </c>
      <c r="S18" s="197"/>
      <c r="T18" s="197"/>
      <c r="U18" s="197"/>
      <c r="V18" s="199" t="s">
        <v>40</v>
      </c>
      <c r="W18" s="199" t="s">
        <v>41</v>
      </c>
      <c r="X18" s="199">
        <v>79928.0</v>
      </c>
      <c r="Y18" s="205" t="s">
        <v>134</v>
      </c>
      <c r="Z18" s="224"/>
      <c r="AA18" s="201" t="s">
        <v>161</v>
      </c>
      <c r="AB18" s="201">
        <v>5.189212058E9</v>
      </c>
      <c r="AC18" s="201" t="s">
        <v>327</v>
      </c>
      <c r="AD18" s="22" t="s">
        <v>148</v>
      </c>
      <c r="AE18" s="201" t="s">
        <v>475</v>
      </c>
      <c r="AF18" s="201">
        <v>9.15216147E9</v>
      </c>
      <c r="AG18" s="201" t="s">
        <v>476</v>
      </c>
      <c r="AH18" s="22" t="s">
        <v>158</v>
      </c>
      <c r="AI18" s="201"/>
    </row>
    <row r="19" ht="22.5" hidden="1" customHeight="1">
      <c r="A19" s="196">
        <v>10.0</v>
      </c>
      <c r="B19" s="197">
        <f>SUBTOTAL(103, $A$3:A19)</f>
        <v>4</v>
      </c>
      <c r="C19" s="207">
        <v>45865.0</v>
      </c>
      <c r="D19" s="208" t="s">
        <v>37</v>
      </c>
      <c r="E19" s="209" t="s">
        <v>42</v>
      </c>
      <c r="F19" s="210" t="s">
        <v>73</v>
      </c>
      <c r="G19" s="211">
        <v>274950.0</v>
      </c>
      <c r="H19" s="212" t="s">
        <v>332</v>
      </c>
      <c r="I19" s="213">
        <v>45869.0</v>
      </c>
      <c r="J19" s="212" t="s">
        <v>249</v>
      </c>
      <c r="K19" s="212"/>
      <c r="L19" s="207">
        <v>45922.0</v>
      </c>
      <c r="M19" s="213"/>
      <c r="N19" s="214" t="s">
        <v>189</v>
      </c>
      <c r="O19" s="209" t="s">
        <v>333</v>
      </c>
      <c r="P19" s="215"/>
      <c r="Q19" s="212" t="s">
        <v>229</v>
      </c>
      <c r="R19" s="212" t="s">
        <v>331</v>
      </c>
      <c r="S19" s="216"/>
      <c r="T19" s="216"/>
      <c r="U19" s="216"/>
      <c r="V19" s="209" t="s">
        <v>187</v>
      </c>
      <c r="W19" s="209" t="s">
        <v>41</v>
      </c>
      <c r="X19" s="209">
        <v>79928.0</v>
      </c>
      <c r="Y19" s="217" t="s">
        <v>134</v>
      </c>
      <c r="Z19" s="211">
        <v>265326.0</v>
      </c>
      <c r="AA19" s="212" t="s">
        <v>135</v>
      </c>
      <c r="AB19" s="212" t="s">
        <v>477</v>
      </c>
      <c r="AC19" s="212" t="s">
        <v>251</v>
      </c>
      <c r="AD19" s="218" t="s">
        <v>136</v>
      </c>
      <c r="AE19" s="212" t="s">
        <v>73</v>
      </c>
      <c r="AF19" s="212" t="s">
        <v>478</v>
      </c>
      <c r="AG19" s="212" t="s">
        <v>252</v>
      </c>
      <c r="AH19" s="218" t="s">
        <v>75</v>
      </c>
      <c r="AI19" s="212" t="s">
        <v>334</v>
      </c>
    </row>
    <row r="20" ht="22.5" customHeight="1">
      <c r="A20" s="196"/>
      <c r="B20" s="201">
        <v>12.0</v>
      </c>
      <c r="C20" s="202">
        <v>45901.0</v>
      </c>
      <c r="D20" s="199" t="s">
        <v>76</v>
      </c>
      <c r="E20" s="199" t="s">
        <v>42</v>
      </c>
      <c r="F20" s="219" t="s">
        <v>267</v>
      </c>
      <c r="G20" s="200">
        <v>274950.0</v>
      </c>
      <c r="H20" s="220" t="s">
        <v>479</v>
      </c>
      <c r="I20" s="202">
        <v>45902.0</v>
      </c>
      <c r="J20" s="201"/>
      <c r="K20" s="221"/>
      <c r="L20" s="202">
        <v>45954.0</v>
      </c>
      <c r="M20" s="202">
        <v>45227.0</v>
      </c>
      <c r="N20" s="203" t="s">
        <v>216</v>
      </c>
      <c r="O20" s="223"/>
      <c r="P20" s="202">
        <v>45958.0</v>
      </c>
      <c r="Q20" s="201" t="s">
        <v>211</v>
      </c>
      <c r="R20" s="201" t="s">
        <v>480</v>
      </c>
      <c r="S20" s="197"/>
      <c r="T20" s="197"/>
      <c r="U20" s="197"/>
      <c r="V20" s="199" t="s">
        <v>40</v>
      </c>
      <c r="W20" s="199" t="s">
        <v>41</v>
      </c>
      <c r="X20" s="199">
        <v>79938.0</v>
      </c>
      <c r="Y20" s="205" t="s">
        <v>134</v>
      </c>
      <c r="Z20" s="224"/>
      <c r="AA20" s="201" t="s">
        <v>223</v>
      </c>
      <c r="AB20" s="201">
        <v>9.159297769E9</v>
      </c>
      <c r="AC20" s="201" t="s">
        <v>481</v>
      </c>
      <c r="AD20" s="22" t="s">
        <v>136</v>
      </c>
      <c r="AE20" s="201" t="s">
        <v>482</v>
      </c>
      <c r="AF20" s="201">
        <v>5.755289962E9</v>
      </c>
      <c r="AG20" s="201" t="s">
        <v>483</v>
      </c>
      <c r="AH20" s="22"/>
      <c r="AI20" s="201"/>
    </row>
    <row r="21" ht="22.5" customHeight="1">
      <c r="A21" s="196"/>
      <c r="B21" s="201">
        <v>13.0</v>
      </c>
      <c r="C21" s="202">
        <v>45951.0</v>
      </c>
      <c r="D21" s="199" t="s">
        <v>76</v>
      </c>
      <c r="E21" s="199" t="s">
        <v>42</v>
      </c>
      <c r="F21" s="219" t="s">
        <v>465</v>
      </c>
      <c r="G21" s="200">
        <v>369950.0</v>
      </c>
      <c r="H21" s="220" t="s">
        <v>484</v>
      </c>
      <c r="I21" s="202"/>
      <c r="J21" s="201"/>
      <c r="K21" s="221"/>
      <c r="L21" s="202">
        <v>45951.0</v>
      </c>
      <c r="M21" s="222"/>
      <c r="N21" s="227"/>
      <c r="O21" s="223"/>
      <c r="P21" s="222"/>
      <c r="Q21" s="201"/>
      <c r="R21" s="201"/>
      <c r="S21" s="197"/>
      <c r="T21" s="197"/>
      <c r="U21" s="197"/>
      <c r="V21" s="199"/>
      <c r="W21" s="199"/>
      <c r="X21" s="199"/>
      <c r="Y21" s="205"/>
      <c r="Z21" s="224"/>
      <c r="AA21" s="201"/>
      <c r="AB21" s="201"/>
      <c r="AC21" s="201"/>
      <c r="AD21" s="22"/>
      <c r="AE21" s="201"/>
      <c r="AF21" s="201"/>
      <c r="AG21" s="201"/>
      <c r="AH21" s="22"/>
      <c r="AI21" s="201"/>
    </row>
    <row r="22" ht="22.5" hidden="1" customHeight="1">
      <c r="A22" s="196">
        <v>12.0</v>
      </c>
      <c r="B22" s="197">
        <f>SUBTOTAL(103, $A$3:A22)</f>
        <v>4</v>
      </c>
      <c r="C22" s="207">
        <v>45873.0</v>
      </c>
      <c r="D22" s="208" t="s">
        <v>76</v>
      </c>
      <c r="E22" s="209" t="s">
        <v>42</v>
      </c>
      <c r="F22" s="210" t="s">
        <v>267</v>
      </c>
      <c r="G22" s="211">
        <v>282950.0</v>
      </c>
      <c r="H22" s="212" t="s">
        <v>345</v>
      </c>
      <c r="I22" s="213">
        <v>45880.0</v>
      </c>
      <c r="J22" s="212" t="s">
        <v>249</v>
      </c>
      <c r="K22" s="212"/>
      <c r="L22" s="207">
        <v>45898.0</v>
      </c>
      <c r="M22" s="213"/>
      <c r="N22" s="214" t="s">
        <v>189</v>
      </c>
      <c r="O22" s="209" t="s">
        <v>333</v>
      </c>
      <c r="P22" s="215"/>
      <c r="Q22" s="212" t="s">
        <v>173</v>
      </c>
      <c r="R22" s="212" t="s">
        <v>344</v>
      </c>
      <c r="S22" s="216"/>
      <c r="T22" s="216"/>
      <c r="U22" s="216"/>
      <c r="V22" s="209" t="s">
        <v>187</v>
      </c>
      <c r="W22" s="209" t="s">
        <v>41</v>
      </c>
      <c r="X22" s="209">
        <v>79928.0</v>
      </c>
      <c r="Y22" s="217" t="s">
        <v>134</v>
      </c>
      <c r="Z22" s="211">
        <v>273046.0</v>
      </c>
      <c r="AA22" s="212" t="s">
        <v>157</v>
      </c>
      <c r="AB22" s="212" t="s">
        <v>485</v>
      </c>
      <c r="AC22" s="212" t="s">
        <v>347</v>
      </c>
      <c r="AD22" s="218" t="s">
        <v>156</v>
      </c>
      <c r="AE22" s="212" t="s">
        <v>348</v>
      </c>
      <c r="AF22" s="212" t="s">
        <v>486</v>
      </c>
      <c r="AG22" s="212" t="s">
        <v>350</v>
      </c>
      <c r="AH22" s="218" t="s">
        <v>158</v>
      </c>
      <c r="AI22" s="212" t="s">
        <v>351</v>
      </c>
    </row>
    <row r="23" ht="22.5" customHeight="1">
      <c r="A23" s="196">
        <v>6.0</v>
      </c>
      <c r="B23" s="201">
        <v>14.0</v>
      </c>
      <c r="C23" s="198">
        <v>45915.0</v>
      </c>
      <c r="D23" s="199" t="s">
        <v>37</v>
      </c>
      <c r="E23" s="199" t="s">
        <v>42</v>
      </c>
      <c r="F23" s="23" t="s">
        <v>73</v>
      </c>
      <c r="G23" s="200">
        <v>269950.0</v>
      </c>
      <c r="H23" s="220" t="s">
        <v>310</v>
      </c>
      <c r="I23" s="202">
        <v>45916.0</v>
      </c>
      <c r="J23" s="201"/>
      <c r="K23" s="201"/>
      <c r="L23" s="198">
        <v>45942.91666666667</v>
      </c>
      <c r="M23" s="202">
        <v>45958.0</v>
      </c>
      <c r="N23" s="203" t="s">
        <v>216</v>
      </c>
      <c r="O23" s="199"/>
      <c r="P23" s="204"/>
      <c r="Q23" s="201"/>
      <c r="R23" s="201" t="s">
        <v>487</v>
      </c>
      <c r="S23" s="197"/>
      <c r="T23" s="197"/>
      <c r="U23" s="197"/>
      <c r="V23" s="199" t="s">
        <v>40</v>
      </c>
      <c r="W23" s="199" t="s">
        <v>41</v>
      </c>
      <c r="X23" s="199">
        <v>79934.0</v>
      </c>
      <c r="Y23" s="205" t="s">
        <v>134</v>
      </c>
      <c r="Z23" s="200"/>
      <c r="AA23" s="201" t="s">
        <v>199</v>
      </c>
      <c r="AB23" s="201"/>
      <c r="AC23" s="201" t="s">
        <v>312</v>
      </c>
      <c r="AD23" s="22" t="s">
        <v>136</v>
      </c>
      <c r="AE23" s="201"/>
      <c r="AF23" s="201"/>
      <c r="AG23" s="201"/>
      <c r="AH23" s="22" t="s">
        <v>75</v>
      </c>
      <c r="AI23" s="201"/>
    </row>
    <row r="24" ht="22.5" customHeight="1">
      <c r="A24" s="196">
        <v>7.0</v>
      </c>
      <c r="B24" s="201">
        <v>15.0</v>
      </c>
      <c r="C24" s="198">
        <v>45899.0</v>
      </c>
      <c r="D24" s="199" t="s">
        <v>76</v>
      </c>
      <c r="E24" s="199" t="s">
        <v>42</v>
      </c>
      <c r="F24" s="23" t="s">
        <v>73</v>
      </c>
      <c r="G24" s="200">
        <v>274950.0</v>
      </c>
      <c r="H24" s="220" t="s">
        <v>317</v>
      </c>
      <c r="I24" s="202">
        <v>45905.0</v>
      </c>
      <c r="J24" s="201"/>
      <c r="K24" s="201"/>
      <c r="L24" s="198">
        <v>45932.91666666667</v>
      </c>
      <c r="M24" s="202">
        <v>45933.0</v>
      </c>
      <c r="N24" s="203" t="s">
        <v>216</v>
      </c>
      <c r="O24" s="199"/>
      <c r="P24" s="204"/>
      <c r="Q24" s="201" t="s">
        <v>176</v>
      </c>
      <c r="R24" s="201" t="s">
        <v>316</v>
      </c>
      <c r="S24" s="197"/>
      <c r="T24" s="197"/>
      <c r="U24" s="197"/>
      <c r="V24" s="199" t="s">
        <v>40</v>
      </c>
      <c r="W24" s="199" t="s">
        <v>41</v>
      </c>
      <c r="X24" s="199">
        <v>79938.0</v>
      </c>
      <c r="Y24" s="205" t="s">
        <v>134</v>
      </c>
      <c r="Z24" s="200"/>
      <c r="AA24" s="201" t="s">
        <v>155</v>
      </c>
      <c r="AB24" s="201"/>
      <c r="AC24" s="201" t="s">
        <v>319</v>
      </c>
      <c r="AD24" s="22" t="s">
        <v>49</v>
      </c>
      <c r="AE24" s="201"/>
      <c r="AF24" s="206"/>
      <c r="AG24" s="201" t="s">
        <v>322</v>
      </c>
      <c r="AH24" s="22" t="s">
        <v>86</v>
      </c>
      <c r="AI24" s="201"/>
    </row>
    <row r="25" ht="22.5" customHeight="1">
      <c r="A25" s="196">
        <v>8.0</v>
      </c>
      <c r="B25" s="201">
        <v>16.0</v>
      </c>
      <c r="C25" s="198">
        <v>45901.0</v>
      </c>
      <c r="D25" s="199" t="s">
        <v>76</v>
      </c>
      <c r="E25" s="199" t="s">
        <v>42</v>
      </c>
      <c r="F25" s="23" t="s">
        <v>267</v>
      </c>
      <c r="G25" s="200">
        <v>279950.0</v>
      </c>
      <c r="H25" s="220" t="s">
        <v>324</v>
      </c>
      <c r="I25" s="202">
        <v>45903.0</v>
      </c>
      <c r="J25" s="201"/>
      <c r="K25" s="201"/>
      <c r="L25" s="198">
        <v>45932.91666666667</v>
      </c>
      <c r="M25" s="202">
        <v>45933.0</v>
      </c>
      <c r="N25" s="203" t="s">
        <v>216</v>
      </c>
      <c r="O25" s="199"/>
      <c r="P25" s="204"/>
      <c r="Q25" s="201" t="s">
        <v>59</v>
      </c>
      <c r="R25" s="201" t="s">
        <v>323</v>
      </c>
      <c r="S25" s="197"/>
      <c r="T25" s="197"/>
      <c r="U25" s="197"/>
      <c r="V25" s="199" t="s">
        <v>40</v>
      </c>
      <c r="W25" s="199" t="s">
        <v>41</v>
      </c>
      <c r="X25" s="199">
        <v>79928.0</v>
      </c>
      <c r="Y25" s="205" t="s">
        <v>134</v>
      </c>
      <c r="Z25" s="200"/>
      <c r="AA25" s="201" t="s">
        <v>161</v>
      </c>
      <c r="AB25" s="201"/>
      <c r="AC25" s="201" t="s">
        <v>307</v>
      </c>
      <c r="AD25" s="22" t="s">
        <v>177</v>
      </c>
      <c r="AE25" s="201"/>
      <c r="AF25" s="206"/>
      <c r="AG25" s="201" t="s">
        <v>476</v>
      </c>
      <c r="AH25" s="22" t="s">
        <v>158</v>
      </c>
      <c r="AI25" s="201"/>
    </row>
    <row r="26" ht="22.5" customHeight="1">
      <c r="A26" s="196">
        <v>9.0</v>
      </c>
      <c r="B26" s="201">
        <v>17.0</v>
      </c>
      <c r="C26" s="207">
        <v>45889.0</v>
      </c>
      <c r="D26" s="208" t="s">
        <v>37</v>
      </c>
      <c r="E26" s="209" t="s">
        <v>42</v>
      </c>
      <c r="F26" s="210" t="s">
        <v>73</v>
      </c>
      <c r="G26" s="211">
        <v>274950.0</v>
      </c>
      <c r="H26" s="196" t="s">
        <v>248</v>
      </c>
      <c r="I26" s="213">
        <v>45894.0</v>
      </c>
      <c r="J26" s="212" t="s">
        <v>249</v>
      </c>
      <c r="K26" s="212"/>
      <c r="L26" s="207">
        <v>45930.0</v>
      </c>
      <c r="M26" s="213">
        <v>45923.0</v>
      </c>
      <c r="N26" s="214" t="s">
        <v>216</v>
      </c>
      <c r="O26" s="228"/>
      <c r="P26" s="215"/>
      <c r="Q26" s="212" t="s">
        <v>176</v>
      </c>
      <c r="R26" s="212" t="s">
        <v>247</v>
      </c>
      <c r="S26" s="216"/>
      <c r="T26" s="216"/>
      <c r="U26" s="216"/>
      <c r="V26" s="209" t="s">
        <v>40</v>
      </c>
      <c r="W26" s="209" t="s">
        <v>41</v>
      </c>
      <c r="X26" s="209">
        <v>79938.0</v>
      </c>
      <c r="Y26" s="217" t="s">
        <v>134</v>
      </c>
      <c r="Z26" s="211">
        <v>265326.0</v>
      </c>
      <c r="AA26" s="212" t="s">
        <v>135</v>
      </c>
      <c r="AB26" s="212" t="s">
        <v>477</v>
      </c>
      <c r="AC26" s="212" t="s">
        <v>251</v>
      </c>
      <c r="AD26" s="218" t="s">
        <v>136</v>
      </c>
      <c r="AE26" s="212" t="s">
        <v>73</v>
      </c>
      <c r="AF26" s="212" t="s">
        <v>478</v>
      </c>
      <c r="AG26" s="212" t="s">
        <v>252</v>
      </c>
      <c r="AH26" s="218" t="s">
        <v>75</v>
      </c>
      <c r="AI26" s="212"/>
    </row>
    <row r="27" ht="22.5" customHeight="1">
      <c r="A27" s="196">
        <v>5.0</v>
      </c>
      <c r="B27" s="201">
        <v>18.0</v>
      </c>
      <c r="C27" s="198">
        <v>45898.0</v>
      </c>
      <c r="D27" s="199" t="s">
        <v>37</v>
      </c>
      <c r="E27" s="199" t="s">
        <v>42</v>
      </c>
      <c r="F27" s="23" t="s">
        <v>73</v>
      </c>
      <c r="G27" s="200">
        <v>279950.0</v>
      </c>
      <c r="H27" s="220" t="s">
        <v>304</v>
      </c>
      <c r="I27" s="202">
        <v>45904.0</v>
      </c>
      <c r="J27" s="201"/>
      <c r="K27" s="201"/>
      <c r="L27" s="198">
        <v>45914.91666666667</v>
      </c>
      <c r="M27" s="202">
        <v>45945.0</v>
      </c>
      <c r="N27" s="203" t="s">
        <v>216</v>
      </c>
      <c r="O27" s="199"/>
      <c r="P27" s="204"/>
      <c r="Q27" s="201" t="s">
        <v>176</v>
      </c>
      <c r="R27" s="201" t="s">
        <v>303</v>
      </c>
      <c r="S27" s="197"/>
      <c r="T27" s="197"/>
      <c r="U27" s="197"/>
      <c r="V27" s="199" t="s">
        <v>40</v>
      </c>
      <c r="W27" s="199" t="s">
        <v>41</v>
      </c>
      <c r="X27" s="199">
        <v>79928.0</v>
      </c>
      <c r="Y27" s="205" t="s">
        <v>140</v>
      </c>
      <c r="Z27" s="200">
        <v>279950.0</v>
      </c>
      <c r="AA27" s="201" t="s">
        <v>161</v>
      </c>
      <c r="AB27" s="201" t="s">
        <v>306</v>
      </c>
      <c r="AC27" s="201" t="s">
        <v>307</v>
      </c>
      <c r="AD27" s="22" t="s">
        <v>148</v>
      </c>
      <c r="AE27" s="212" t="s">
        <v>73</v>
      </c>
      <c r="AF27" s="212" t="s">
        <v>478</v>
      </c>
      <c r="AG27" s="201" t="s">
        <v>315</v>
      </c>
      <c r="AH27" s="22" t="s">
        <v>75</v>
      </c>
      <c r="AI27" s="201"/>
    </row>
    <row r="28" ht="22.5" customHeight="1">
      <c r="A28" s="196">
        <v>11.0</v>
      </c>
      <c r="B28" s="201">
        <v>19.0</v>
      </c>
      <c r="C28" s="207">
        <v>45883.0</v>
      </c>
      <c r="D28" s="208" t="s">
        <v>76</v>
      </c>
      <c r="E28" s="209" t="s">
        <v>42</v>
      </c>
      <c r="F28" s="210" t="s">
        <v>267</v>
      </c>
      <c r="G28" s="211">
        <v>304950.0</v>
      </c>
      <c r="H28" s="196" t="s">
        <v>336</v>
      </c>
      <c r="I28" s="213">
        <v>45887.0</v>
      </c>
      <c r="J28" s="229" t="s">
        <v>249</v>
      </c>
      <c r="K28" s="229"/>
      <c r="L28" s="207">
        <v>45901.0</v>
      </c>
      <c r="M28" s="213">
        <v>45904.0</v>
      </c>
      <c r="N28" s="214" t="s">
        <v>46</v>
      </c>
      <c r="O28" s="209" t="s">
        <v>337</v>
      </c>
      <c r="P28" s="207">
        <v>45904.0</v>
      </c>
      <c r="Q28" s="212" t="s">
        <v>193</v>
      </c>
      <c r="R28" s="212" t="s">
        <v>335</v>
      </c>
      <c r="S28" s="216"/>
      <c r="T28" s="216"/>
      <c r="U28" s="216"/>
      <c r="V28" s="209" t="s">
        <v>192</v>
      </c>
      <c r="W28" s="209" t="s">
        <v>41</v>
      </c>
      <c r="X28" s="209">
        <v>79927.0</v>
      </c>
      <c r="Y28" s="217" t="s">
        <v>134</v>
      </c>
      <c r="Z28" s="211">
        <v>294276.0</v>
      </c>
      <c r="AA28" s="212" t="s">
        <v>207</v>
      </c>
      <c r="AB28" s="212" t="s">
        <v>488</v>
      </c>
      <c r="AC28" s="212" t="s">
        <v>339</v>
      </c>
      <c r="AD28" s="218" t="s">
        <v>208</v>
      </c>
      <c r="AE28" s="212" t="s">
        <v>340</v>
      </c>
      <c r="AF28" s="212" t="s">
        <v>489</v>
      </c>
      <c r="AG28" s="212" t="s">
        <v>342</v>
      </c>
      <c r="AH28" s="218" t="s">
        <v>191</v>
      </c>
      <c r="AI28" s="229"/>
    </row>
    <row r="29" ht="22.5" customHeight="1">
      <c r="A29" s="196">
        <v>13.0</v>
      </c>
      <c r="B29" s="201">
        <v>20.0</v>
      </c>
      <c r="C29" s="207">
        <v>45827.0</v>
      </c>
      <c r="D29" s="208" t="s">
        <v>37</v>
      </c>
      <c r="E29" s="209" t="s">
        <v>42</v>
      </c>
      <c r="F29" s="210" t="s">
        <v>73</v>
      </c>
      <c r="G29" s="211">
        <v>274950.0</v>
      </c>
      <c r="H29" s="196" t="s">
        <v>254</v>
      </c>
      <c r="I29" s="213">
        <v>45835.0</v>
      </c>
      <c r="J29" s="212" t="s">
        <v>249</v>
      </c>
      <c r="K29" s="212"/>
      <c r="L29" s="207">
        <v>45894.0</v>
      </c>
      <c r="M29" s="207">
        <v>45916.0</v>
      </c>
      <c r="N29" s="214" t="s">
        <v>46</v>
      </c>
      <c r="O29" s="209" t="s">
        <v>255</v>
      </c>
      <c r="P29" s="207">
        <v>45915.0</v>
      </c>
      <c r="Q29" s="212" t="s">
        <v>59</v>
      </c>
      <c r="R29" s="212" t="s">
        <v>253</v>
      </c>
      <c r="S29" s="216"/>
      <c r="T29" s="216"/>
      <c r="U29" s="216"/>
      <c r="V29" s="209" t="s">
        <v>40</v>
      </c>
      <c r="W29" s="209" t="s">
        <v>41</v>
      </c>
      <c r="X29" s="209">
        <v>79938.0</v>
      </c>
      <c r="Y29" s="217" t="s">
        <v>134</v>
      </c>
      <c r="Z29" s="211">
        <v>265326.0</v>
      </c>
      <c r="AA29" s="212" t="s">
        <v>155</v>
      </c>
      <c r="AB29" s="212" t="s">
        <v>490</v>
      </c>
      <c r="AC29" s="212" t="s">
        <v>257</v>
      </c>
      <c r="AD29" s="218" t="s">
        <v>136</v>
      </c>
      <c r="AE29" s="212" t="s">
        <v>73</v>
      </c>
      <c r="AF29" s="230" t="s">
        <v>478</v>
      </c>
      <c r="AG29" s="212" t="s">
        <v>252</v>
      </c>
      <c r="AH29" s="218" t="s">
        <v>75</v>
      </c>
      <c r="AI29" s="212"/>
    </row>
    <row r="30" ht="22.5" customHeight="1">
      <c r="A30" s="196">
        <v>14.0</v>
      </c>
      <c r="B30" s="201">
        <v>21.0</v>
      </c>
      <c r="C30" s="207">
        <v>45874.0</v>
      </c>
      <c r="D30" s="208" t="s">
        <v>76</v>
      </c>
      <c r="E30" s="209" t="s">
        <v>42</v>
      </c>
      <c r="F30" s="210" t="s">
        <v>267</v>
      </c>
      <c r="G30" s="211">
        <v>346950.0</v>
      </c>
      <c r="H30" s="196" t="s">
        <v>353</v>
      </c>
      <c r="I30" s="213">
        <v>45876.0</v>
      </c>
      <c r="J30" s="212" t="s">
        <v>249</v>
      </c>
      <c r="K30" s="212"/>
      <c r="L30" s="207">
        <v>45891.0</v>
      </c>
      <c r="M30" s="207">
        <v>45918.0</v>
      </c>
      <c r="N30" s="214" t="s">
        <v>46</v>
      </c>
      <c r="O30" s="209" t="s">
        <v>255</v>
      </c>
      <c r="P30" s="207">
        <v>45917.0</v>
      </c>
      <c r="Q30" s="212" t="s">
        <v>79</v>
      </c>
      <c r="R30" s="212" t="s">
        <v>352</v>
      </c>
      <c r="S30" s="216"/>
      <c r="T30" s="216"/>
      <c r="U30" s="216"/>
      <c r="V30" s="209" t="s">
        <v>187</v>
      </c>
      <c r="W30" s="209" t="s">
        <v>41</v>
      </c>
      <c r="X30" s="209">
        <v>79928.0</v>
      </c>
      <c r="Y30" s="217" t="s">
        <v>154</v>
      </c>
      <c r="Z30" s="211">
        <v>294907.0</v>
      </c>
      <c r="AA30" s="212" t="s">
        <v>184</v>
      </c>
      <c r="AB30" s="212" t="s">
        <v>491</v>
      </c>
      <c r="AC30" s="212" t="s">
        <v>355</v>
      </c>
      <c r="AD30" s="218" t="s">
        <v>210</v>
      </c>
      <c r="AE30" s="212" t="s">
        <v>356</v>
      </c>
      <c r="AF30" s="212" t="s">
        <v>492</v>
      </c>
      <c r="AG30" s="212" t="s">
        <v>357</v>
      </c>
      <c r="AH30" s="218" t="s">
        <v>163</v>
      </c>
      <c r="AI30" s="212"/>
    </row>
    <row r="31" ht="22.5" customHeight="1">
      <c r="A31" s="196">
        <v>15.0</v>
      </c>
      <c r="B31" s="201">
        <v>22.0</v>
      </c>
      <c r="C31" s="207">
        <v>45856.0</v>
      </c>
      <c r="D31" s="208" t="s">
        <v>37</v>
      </c>
      <c r="E31" s="209" t="s">
        <v>42</v>
      </c>
      <c r="F31" s="210" t="s">
        <v>73</v>
      </c>
      <c r="G31" s="211">
        <v>274950.0</v>
      </c>
      <c r="H31" s="196" t="s">
        <v>359</v>
      </c>
      <c r="I31" s="213">
        <v>45861.0</v>
      </c>
      <c r="J31" s="212" t="s">
        <v>249</v>
      </c>
      <c r="K31" s="212"/>
      <c r="L31" s="207">
        <v>45887.0</v>
      </c>
      <c r="M31" s="213">
        <v>45880.0</v>
      </c>
      <c r="N31" s="214" t="s">
        <v>46</v>
      </c>
      <c r="O31" s="228"/>
      <c r="P31" s="207">
        <v>45880.0</v>
      </c>
      <c r="Q31" s="212" t="s">
        <v>231</v>
      </c>
      <c r="R31" s="212" t="s">
        <v>358</v>
      </c>
      <c r="S31" s="216"/>
      <c r="T31" s="216"/>
      <c r="U31" s="216"/>
      <c r="V31" s="209" t="s">
        <v>187</v>
      </c>
      <c r="W31" s="209" t="s">
        <v>41</v>
      </c>
      <c r="X31" s="209">
        <v>79928.0</v>
      </c>
      <c r="Y31" s="217" t="s">
        <v>134</v>
      </c>
      <c r="Z31" s="211">
        <v>265326.0</v>
      </c>
      <c r="AA31" s="212" t="s">
        <v>161</v>
      </c>
      <c r="AB31" s="212" t="s">
        <v>493</v>
      </c>
      <c r="AC31" s="212" t="s">
        <v>327</v>
      </c>
      <c r="AD31" s="218" t="s">
        <v>148</v>
      </c>
      <c r="AE31" s="212" t="s">
        <v>73</v>
      </c>
      <c r="AF31" s="212" t="s">
        <v>478</v>
      </c>
      <c r="AG31" s="212" t="s">
        <v>252</v>
      </c>
      <c r="AH31" s="218" t="s">
        <v>75</v>
      </c>
      <c r="AI31" s="212"/>
    </row>
    <row r="32" ht="22.5" customHeight="1">
      <c r="A32" s="196">
        <v>16.0</v>
      </c>
      <c r="B32" s="201">
        <v>23.0</v>
      </c>
      <c r="C32" s="207">
        <v>45840.0</v>
      </c>
      <c r="D32" s="208" t="s">
        <v>76</v>
      </c>
      <c r="E32" s="209" t="s">
        <v>42</v>
      </c>
      <c r="F32" s="210" t="s">
        <v>258</v>
      </c>
      <c r="G32" s="211">
        <v>274950.0</v>
      </c>
      <c r="H32" s="196" t="s">
        <v>260</v>
      </c>
      <c r="I32" s="213">
        <v>45848.0</v>
      </c>
      <c r="J32" s="212" t="s">
        <v>249</v>
      </c>
      <c r="K32" s="212"/>
      <c r="L32" s="207">
        <v>45880.0</v>
      </c>
      <c r="M32" s="213">
        <v>45910.0</v>
      </c>
      <c r="N32" s="214" t="s">
        <v>46</v>
      </c>
      <c r="O32" s="209" t="s">
        <v>255</v>
      </c>
      <c r="P32" s="207">
        <v>45910.0</v>
      </c>
      <c r="Q32" s="212" t="s">
        <v>59</v>
      </c>
      <c r="R32" s="212" t="s">
        <v>259</v>
      </c>
      <c r="S32" s="216"/>
      <c r="T32" s="216"/>
      <c r="U32" s="216"/>
      <c r="V32" s="209" t="s">
        <v>40</v>
      </c>
      <c r="W32" s="209" t="s">
        <v>41</v>
      </c>
      <c r="X32" s="209">
        <v>79938.0</v>
      </c>
      <c r="Y32" s="231"/>
      <c r="Z32" s="211">
        <v>274950.0</v>
      </c>
      <c r="AA32" s="212" t="s">
        <v>228</v>
      </c>
      <c r="AB32" s="212" t="s">
        <v>494</v>
      </c>
      <c r="AC32" s="212" t="s">
        <v>261</v>
      </c>
      <c r="AD32" s="218" t="s">
        <v>162</v>
      </c>
      <c r="AE32" s="212" t="s">
        <v>262</v>
      </c>
      <c r="AF32" s="212" t="s">
        <v>495</v>
      </c>
      <c r="AG32" s="212" t="s">
        <v>264</v>
      </c>
      <c r="AH32" s="218" t="s">
        <v>86</v>
      </c>
      <c r="AI32" s="212"/>
    </row>
    <row r="33" ht="22.5" customHeight="1">
      <c r="A33" s="196">
        <v>17.0</v>
      </c>
      <c r="B33" s="201">
        <v>24.0</v>
      </c>
      <c r="C33" s="198"/>
      <c r="D33" s="199" t="s">
        <v>76</v>
      </c>
      <c r="E33" s="199" t="s">
        <v>42</v>
      </c>
      <c r="F33" s="23" t="s">
        <v>360</v>
      </c>
      <c r="G33" s="200">
        <v>346950.0</v>
      </c>
      <c r="H33" s="220" t="s">
        <v>362</v>
      </c>
      <c r="I33" s="202">
        <v>45831.0</v>
      </c>
      <c r="J33" s="201" t="s">
        <v>363</v>
      </c>
      <c r="K33" s="201">
        <v>2025.0</v>
      </c>
      <c r="L33" s="198">
        <v>45877.0</v>
      </c>
      <c r="M33" s="202">
        <v>45888.0</v>
      </c>
      <c r="N33" s="203" t="s">
        <v>46</v>
      </c>
      <c r="O33" s="199"/>
      <c r="P33" s="198">
        <v>45888.0</v>
      </c>
      <c r="Q33" s="201" t="s">
        <v>79</v>
      </c>
      <c r="R33" s="201" t="s">
        <v>361</v>
      </c>
      <c r="S33" s="197"/>
      <c r="T33" s="197"/>
      <c r="U33" s="197"/>
      <c r="V33" s="199" t="s">
        <v>187</v>
      </c>
      <c r="W33" s="199" t="s">
        <v>41</v>
      </c>
      <c r="X33" s="199">
        <v>79928.0</v>
      </c>
      <c r="Y33" s="232"/>
      <c r="Z33" s="200"/>
      <c r="AA33" s="201" t="s">
        <v>81</v>
      </c>
      <c r="AB33" s="201" t="s">
        <v>496</v>
      </c>
      <c r="AC33" s="201" t="s">
        <v>364</v>
      </c>
      <c r="AD33" s="22" t="s">
        <v>214</v>
      </c>
      <c r="AE33" s="201" t="s">
        <v>84</v>
      </c>
      <c r="AF33" s="206" t="s">
        <v>497</v>
      </c>
      <c r="AG33" s="201" t="s">
        <v>365</v>
      </c>
      <c r="AH33" s="22" t="s">
        <v>86</v>
      </c>
      <c r="AI33" s="201"/>
    </row>
    <row r="34" ht="22.5" customHeight="1">
      <c r="A34" s="196">
        <v>18.0</v>
      </c>
      <c r="B34" s="201">
        <v>25.0</v>
      </c>
      <c r="C34" s="207">
        <v>45836.0</v>
      </c>
      <c r="D34" s="208" t="s">
        <v>76</v>
      </c>
      <c r="E34" s="209" t="s">
        <v>42</v>
      </c>
      <c r="F34" s="210" t="s">
        <v>73</v>
      </c>
      <c r="G34" s="211">
        <v>328950.0</v>
      </c>
      <c r="H34" s="196" t="s">
        <v>266</v>
      </c>
      <c r="I34" s="213">
        <v>45839.0</v>
      </c>
      <c r="J34" s="212" t="s">
        <v>249</v>
      </c>
      <c r="K34" s="212"/>
      <c r="L34" s="207">
        <v>45866.0</v>
      </c>
      <c r="M34" s="213">
        <v>45861.0</v>
      </c>
      <c r="N34" s="214" t="s">
        <v>46</v>
      </c>
      <c r="O34" s="228"/>
      <c r="P34" s="215"/>
      <c r="Q34" s="212" t="s">
        <v>143</v>
      </c>
      <c r="R34" s="212" t="s">
        <v>265</v>
      </c>
      <c r="S34" s="216"/>
      <c r="T34" s="216"/>
      <c r="U34" s="216"/>
      <c r="V34" s="209" t="s">
        <v>40</v>
      </c>
      <c r="W34" s="209" t="s">
        <v>41</v>
      </c>
      <c r="X34" s="209">
        <v>79934.0</v>
      </c>
      <c r="Y34" s="217" t="s">
        <v>134</v>
      </c>
      <c r="Z34" s="211">
        <v>317436.0</v>
      </c>
      <c r="AA34" s="212" t="s">
        <v>135</v>
      </c>
      <c r="AB34" s="212" t="s">
        <v>468</v>
      </c>
      <c r="AC34" s="212" t="s">
        <v>251</v>
      </c>
      <c r="AD34" s="218" t="s">
        <v>136</v>
      </c>
      <c r="AE34" s="212" t="s">
        <v>73</v>
      </c>
      <c r="AF34" s="230" t="s">
        <v>478</v>
      </c>
      <c r="AG34" s="212" t="s">
        <v>252</v>
      </c>
      <c r="AH34" s="218" t="s">
        <v>75</v>
      </c>
      <c r="AI34" s="212"/>
    </row>
    <row r="35" ht="22.5" customHeight="1">
      <c r="A35" s="196">
        <v>19.0</v>
      </c>
      <c r="B35" s="201">
        <v>26.0</v>
      </c>
      <c r="C35" s="198">
        <v>45833.0</v>
      </c>
      <c r="D35" s="199" t="s">
        <v>76</v>
      </c>
      <c r="E35" s="199" t="s">
        <v>42</v>
      </c>
      <c r="F35" s="219" t="s">
        <v>73</v>
      </c>
      <c r="G35" s="200">
        <v>332950.0</v>
      </c>
      <c r="H35" s="220" t="s">
        <v>367</v>
      </c>
      <c r="I35" s="198">
        <v>45834.0</v>
      </c>
      <c r="J35" s="201" t="s">
        <v>363</v>
      </c>
      <c r="K35" s="201">
        <v>2025.0</v>
      </c>
      <c r="L35" s="198">
        <v>45856.0</v>
      </c>
      <c r="M35" s="222"/>
      <c r="N35" s="227"/>
      <c r="O35" s="223"/>
      <c r="P35" s="204"/>
      <c r="Q35" s="201" t="s">
        <v>219</v>
      </c>
      <c r="R35" s="201" t="s">
        <v>366</v>
      </c>
      <c r="S35" s="197"/>
      <c r="T35" s="197"/>
      <c r="U35" s="197"/>
      <c r="V35" s="199" t="s">
        <v>40</v>
      </c>
      <c r="W35" s="199" t="s">
        <v>41</v>
      </c>
      <c r="X35" s="199">
        <v>79934.0</v>
      </c>
      <c r="Y35" s="205" t="s">
        <v>140</v>
      </c>
      <c r="Z35" s="200"/>
      <c r="AA35" s="201" t="s">
        <v>234</v>
      </c>
      <c r="AB35" s="201" t="s">
        <v>498</v>
      </c>
      <c r="AC35" s="201" t="s">
        <v>369</v>
      </c>
      <c r="AD35" s="22" t="s">
        <v>195</v>
      </c>
      <c r="AE35" s="201" t="s">
        <v>370</v>
      </c>
      <c r="AF35" s="206" t="s">
        <v>499</v>
      </c>
      <c r="AG35" s="201" t="s">
        <v>372</v>
      </c>
      <c r="AH35" s="22" t="s">
        <v>158</v>
      </c>
      <c r="AI35" s="201"/>
    </row>
    <row r="36" ht="22.5" customHeight="1">
      <c r="A36" s="196">
        <v>20.0</v>
      </c>
      <c r="B36" s="201">
        <v>27.0</v>
      </c>
      <c r="C36" s="198">
        <v>45830.0</v>
      </c>
      <c r="D36" s="199" t="s">
        <v>76</v>
      </c>
      <c r="E36" s="199" t="s">
        <v>42</v>
      </c>
      <c r="F36" s="219" t="s">
        <v>267</v>
      </c>
      <c r="G36" s="200">
        <v>264950.0</v>
      </c>
      <c r="H36" s="220" t="s">
        <v>269</v>
      </c>
      <c r="I36" s="222"/>
      <c r="J36" s="201" t="s">
        <v>249</v>
      </c>
      <c r="K36" s="201"/>
      <c r="L36" s="198">
        <v>45856.0</v>
      </c>
      <c r="M36" s="202"/>
      <c r="N36" s="203" t="s">
        <v>46</v>
      </c>
      <c r="O36" s="223"/>
      <c r="P36" s="204"/>
      <c r="Q36" s="201" t="s">
        <v>153</v>
      </c>
      <c r="R36" s="201" t="s">
        <v>268</v>
      </c>
      <c r="S36" s="197"/>
      <c r="T36" s="197"/>
      <c r="U36" s="197"/>
      <c r="V36" s="199" t="s">
        <v>40</v>
      </c>
      <c r="W36" s="199" t="s">
        <v>41</v>
      </c>
      <c r="X36" s="199">
        <v>79938.0</v>
      </c>
      <c r="Y36" s="205" t="s">
        <v>140</v>
      </c>
      <c r="Z36" s="200"/>
      <c r="AA36" s="201" t="s">
        <v>217</v>
      </c>
      <c r="AB36" s="201" t="s">
        <v>500</v>
      </c>
      <c r="AC36" s="201" t="s">
        <v>271</v>
      </c>
      <c r="AD36" s="22" t="s">
        <v>156</v>
      </c>
      <c r="AE36" s="201" t="s">
        <v>272</v>
      </c>
      <c r="AF36" s="206" t="s">
        <v>501</v>
      </c>
      <c r="AG36" s="201" t="s">
        <v>274</v>
      </c>
      <c r="AH36" s="22" t="s">
        <v>86</v>
      </c>
      <c r="AI36" s="201"/>
    </row>
    <row r="37" ht="22.5" customHeight="1">
      <c r="A37" s="196">
        <v>21.0</v>
      </c>
      <c r="B37" s="201">
        <v>28.0</v>
      </c>
      <c r="C37" s="198">
        <v>45800.0</v>
      </c>
      <c r="D37" s="199" t="s">
        <v>37</v>
      </c>
      <c r="E37" s="199" t="s">
        <v>42</v>
      </c>
      <c r="F37" s="219" t="s">
        <v>73</v>
      </c>
      <c r="G37" s="200">
        <v>264950.0</v>
      </c>
      <c r="H37" s="220" t="s">
        <v>275</v>
      </c>
      <c r="I37" s="198">
        <v>45845.0</v>
      </c>
      <c r="J37" s="201" t="s">
        <v>276</v>
      </c>
      <c r="K37" s="201">
        <v>2025.0</v>
      </c>
      <c r="L37" s="198">
        <v>45845.0</v>
      </c>
      <c r="M37" s="202"/>
      <c r="N37" s="203" t="s">
        <v>46</v>
      </c>
      <c r="O37" s="223"/>
      <c r="P37" s="204"/>
      <c r="Q37" s="201" t="s">
        <v>201</v>
      </c>
      <c r="R37" s="201" t="s">
        <v>53</v>
      </c>
      <c r="S37" s="197"/>
      <c r="T37" s="197"/>
      <c r="U37" s="197"/>
      <c r="V37" s="199" t="s">
        <v>40</v>
      </c>
      <c r="W37" s="199" t="s">
        <v>41</v>
      </c>
      <c r="X37" s="199">
        <v>79938.0</v>
      </c>
      <c r="Y37" s="205" t="s">
        <v>140</v>
      </c>
      <c r="Z37" s="200"/>
      <c r="AA37" s="201" t="s">
        <v>135</v>
      </c>
      <c r="AB37" s="201" t="s">
        <v>468</v>
      </c>
      <c r="AC37" s="201" t="s">
        <v>277</v>
      </c>
      <c r="AD37" s="22" t="s">
        <v>136</v>
      </c>
      <c r="AE37" s="201" t="s">
        <v>73</v>
      </c>
      <c r="AF37" s="206" t="s">
        <v>478</v>
      </c>
      <c r="AG37" s="201" t="s">
        <v>252</v>
      </c>
      <c r="AH37" s="22" t="s">
        <v>75</v>
      </c>
      <c r="AI37" s="201"/>
    </row>
    <row r="38" ht="22.5" customHeight="1">
      <c r="A38" s="196">
        <v>22.0</v>
      </c>
      <c r="B38" s="201">
        <v>29.0</v>
      </c>
      <c r="C38" s="198">
        <v>45812.0</v>
      </c>
      <c r="D38" s="199" t="s">
        <v>37</v>
      </c>
      <c r="E38" s="199" t="s">
        <v>42</v>
      </c>
      <c r="F38" s="219" t="s">
        <v>73</v>
      </c>
      <c r="G38" s="200">
        <v>259950.0</v>
      </c>
      <c r="H38" s="220" t="s">
        <v>374</v>
      </c>
      <c r="I38" s="198">
        <v>45818.0</v>
      </c>
      <c r="J38" s="201" t="s">
        <v>363</v>
      </c>
      <c r="K38" s="201">
        <v>2025.0</v>
      </c>
      <c r="L38" s="198">
        <v>45838.0</v>
      </c>
      <c r="M38" s="198">
        <v>45838.0</v>
      </c>
      <c r="N38" s="226"/>
      <c r="O38" s="233"/>
      <c r="P38" s="198">
        <v>45838.0</v>
      </c>
      <c r="Q38" s="201" t="s">
        <v>227</v>
      </c>
      <c r="R38" s="201" t="s">
        <v>373</v>
      </c>
      <c r="S38" s="197"/>
      <c r="T38" s="197"/>
      <c r="U38" s="197"/>
      <c r="V38" s="199" t="s">
        <v>40</v>
      </c>
      <c r="W38" s="199" t="s">
        <v>41</v>
      </c>
      <c r="X38" s="199">
        <v>79934.0</v>
      </c>
      <c r="Y38" s="205" t="s">
        <v>134</v>
      </c>
      <c r="Z38" s="200"/>
      <c r="AA38" s="201" t="s">
        <v>135</v>
      </c>
      <c r="AB38" s="201" t="s">
        <v>468</v>
      </c>
      <c r="AC38" s="201" t="s">
        <v>375</v>
      </c>
      <c r="AD38" s="22" t="s">
        <v>136</v>
      </c>
      <c r="AE38" s="201" t="s">
        <v>73</v>
      </c>
      <c r="AF38" s="206" t="s">
        <v>478</v>
      </c>
      <c r="AG38" s="201" t="s">
        <v>252</v>
      </c>
      <c r="AH38" s="22" t="s">
        <v>75</v>
      </c>
      <c r="AI38" s="201"/>
    </row>
    <row r="39" ht="22.5" customHeight="1">
      <c r="A39" s="196">
        <v>23.0</v>
      </c>
      <c r="B39" s="201">
        <v>30.0</v>
      </c>
      <c r="C39" s="202">
        <v>45797.0</v>
      </c>
      <c r="D39" s="199" t="s">
        <v>76</v>
      </c>
      <c r="E39" s="199" t="s">
        <v>42</v>
      </c>
      <c r="F39" s="219" t="s">
        <v>267</v>
      </c>
      <c r="G39" s="200">
        <v>304950.0</v>
      </c>
      <c r="H39" s="220" t="s">
        <v>377</v>
      </c>
      <c r="I39" s="222"/>
      <c r="J39" s="201" t="s">
        <v>249</v>
      </c>
      <c r="K39" s="201"/>
      <c r="L39" s="202">
        <v>45828.0</v>
      </c>
      <c r="M39" s="202"/>
      <c r="N39" s="203" t="s">
        <v>46</v>
      </c>
      <c r="O39" s="223"/>
      <c r="P39" s="222"/>
      <c r="Q39" s="201" t="s">
        <v>179</v>
      </c>
      <c r="R39" s="201" t="s">
        <v>376</v>
      </c>
      <c r="S39" s="197"/>
      <c r="T39" s="197"/>
      <c r="U39" s="197"/>
      <c r="V39" s="199" t="s">
        <v>192</v>
      </c>
      <c r="W39" s="199" t="s">
        <v>41</v>
      </c>
      <c r="X39" s="199">
        <v>79927.0</v>
      </c>
      <c r="Y39" s="205" t="s">
        <v>134</v>
      </c>
      <c r="Z39" s="200"/>
      <c r="AA39" s="201" t="s">
        <v>232</v>
      </c>
      <c r="AB39" s="201" t="s">
        <v>502</v>
      </c>
      <c r="AC39" s="201" t="s">
        <v>379</v>
      </c>
      <c r="AD39" s="22" t="s">
        <v>218</v>
      </c>
      <c r="AE39" s="201" t="s">
        <v>380</v>
      </c>
      <c r="AF39" s="201" t="s">
        <v>503</v>
      </c>
      <c r="AG39" s="201" t="s">
        <v>382</v>
      </c>
      <c r="AH39" s="22" t="s">
        <v>163</v>
      </c>
      <c r="AI39" s="201"/>
    </row>
    <row r="40" ht="22.5" customHeight="1">
      <c r="A40" s="196">
        <v>24.0</v>
      </c>
      <c r="B40" s="201">
        <v>31.0</v>
      </c>
      <c r="C40" s="234">
        <v>45793.0</v>
      </c>
      <c r="D40" s="235" t="s">
        <v>76</v>
      </c>
      <c r="E40" s="235" t="s">
        <v>42</v>
      </c>
      <c r="F40" s="236" t="s">
        <v>267</v>
      </c>
      <c r="G40" s="237">
        <v>282950.0</v>
      </c>
      <c r="H40" s="238" t="s">
        <v>58</v>
      </c>
      <c r="I40" s="234">
        <v>45799.0</v>
      </c>
      <c r="J40" s="239" t="s">
        <v>280</v>
      </c>
      <c r="K40" s="239">
        <v>2025.0</v>
      </c>
      <c r="L40" s="234">
        <v>45826.0</v>
      </c>
      <c r="M40" s="240">
        <v>45831.0</v>
      </c>
      <c r="N40" s="241" t="s">
        <v>46</v>
      </c>
      <c r="O40" s="242"/>
      <c r="P40" s="240">
        <v>45831.0</v>
      </c>
      <c r="Q40" s="239" t="s">
        <v>59</v>
      </c>
      <c r="R40" s="239" t="s">
        <v>383</v>
      </c>
      <c r="S40" s="243"/>
      <c r="T40" s="243"/>
      <c r="U40" s="243"/>
      <c r="V40" s="235" t="s">
        <v>187</v>
      </c>
      <c r="W40" s="235" t="s">
        <v>41</v>
      </c>
      <c r="X40" s="235">
        <v>79928.0</v>
      </c>
      <c r="Y40" s="244" t="s">
        <v>134</v>
      </c>
      <c r="Z40" s="237"/>
      <c r="AA40" s="239" t="s">
        <v>60</v>
      </c>
      <c r="AB40" s="239" t="s">
        <v>504</v>
      </c>
      <c r="AC40" s="239" t="s">
        <v>384</v>
      </c>
      <c r="AD40" s="44" t="s">
        <v>136</v>
      </c>
      <c r="AE40" s="239" t="s">
        <v>62</v>
      </c>
      <c r="AF40" s="245" t="s">
        <v>505</v>
      </c>
      <c r="AG40" s="239" t="s">
        <v>385</v>
      </c>
      <c r="AH40" s="44" t="s">
        <v>158</v>
      </c>
      <c r="AI40" s="239"/>
    </row>
    <row r="41" ht="22.5" customHeight="1">
      <c r="A41" s="196">
        <v>25.0</v>
      </c>
      <c r="B41" s="201">
        <v>32.0</v>
      </c>
      <c r="C41" s="198">
        <v>45792.0</v>
      </c>
      <c r="D41" s="199" t="s">
        <v>76</v>
      </c>
      <c r="E41" s="199" t="s">
        <v>42</v>
      </c>
      <c r="F41" s="219" t="s">
        <v>386</v>
      </c>
      <c r="G41" s="200">
        <v>282950.0</v>
      </c>
      <c r="H41" s="220" t="s">
        <v>388</v>
      </c>
      <c r="I41" s="204"/>
      <c r="J41" s="201" t="s">
        <v>249</v>
      </c>
      <c r="K41" s="201"/>
      <c r="L41" s="198">
        <v>45824.0</v>
      </c>
      <c r="M41" s="202"/>
      <c r="N41" s="203" t="s">
        <v>46</v>
      </c>
      <c r="O41" s="223"/>
      <c r="P41" s="204"/>
      <c r="Q41" s="201" t="s">
        <v>153</v>
      </c>
      <c r="R41" s="201" t="s">
        <v>387</v>
      </c>
      <c r="S41" s="197"/>
      <c r="T41" s="197"/>
      <c r="U41" s="197"/>
      <c r="V41" s="199" t="s">
        <v>187</v>
      </c>
      <c r="W41" s="199" t="s">
        <v>41</v>
      </c>
      <c r="X41" s="199">
        <v>79928.0</v>
      </c>
      <c r="Y41" s="205" t="s">
        <v>134</v>
      </c>
      <c r="Z41" s="200"/>
      <c r="AA41" s="201" t="s">
        <v>135</v>
      </c>
      <c r="AB41" s="201" t="s">
        <v>468</v>
      </c>
      <c r="AC41" s="201" t="s">
        <v>251</v>
      </c>
      <c r="AD41" s="22" t="s">
        <v>136</v>
      </c>
      <c r="AE41" s="201" t="s">
        <v>272</v>
      </c>
      <c r="AF41" s="206" t="s">
        <v>501</v>
      </c>
      <c r="AG41" s="201" t="s">
        <v>274</v>
      </c>
      <c r="AH41" s="22" t="s">
        <v>86</v>
      </c>
      <c r="AI41" s="201"/>
    </row>
    <row r="42" ht="22.5" customHeight="1">
      <c r="A42" s="196">
        <v>26.0</v>
      </c>
      <c r="B42" s="201">
        <v>33.0</v>
      </c>
      <c r="C42" s="198">
        <v>45787.0</v>
      </c>
      <c r="D42" s="199" t="s">
        <v>76</v>
      </c>
      <c r="E42" s="199" t="s">
        <v>42</v>
      </c>
      <c r="F42" s="219" t="s">
        <v>73</v>
      </c>
      <c r="G42" s="200">
        <v>332950.0</v>
      </c>
      <c r="H42" s="220" t="s">
        <v>279</v>
      </c>
      <c r="I42" s="198">
        <v>45790.0</v>
      </c>
      <c r="J42" s="201" t="s">
        <v>280</v>
      </c>
      <c r="K42" s="201">
        <v>2025.0</v>
      </c>
      <c r="L42" s="198">
        <v>45818.0</v>
      </c>
      <c r="M42" s="198">
        <v>45826.0</v>
      </c>
      <c r="N42" s="203" t="s">
        <v>46</v>
      </c>
      <c r="O42" s="223"/>
      <c r="P42" s="198">
        <v>45826.0</v>
      </c>
      <c r="Q42" s="201" t="s">
        <v>197</v>
      </c>
      <c r="R42" s="201" t="s">
        <v>278</v>
      </c>
      <c r="S42" s="197"/>
      <c r="T42" s="197"/>
      <c r="U42" s="197"/>
      <c r="V42" s="199" t="s">
        <v>40</v>
      </c>
      <c r="W42" s="199" t="s">
        <v>41</v>
      </c>
      <c r="X42" s="199">
        <v>79934.0</v>
      </c>
      <c r="Y42" s="205" t="s">
        <v>140</v>
      </c>
      <c r="Z42" s="200"/>
      <c r="AA42" s="201" t="s">
        <v>213</v>
      </c>
      <c r="AB42" s="201" t="s">
        <v>506</v>
      </c>
      <c r="AC42" s="201" t="s">
        <v>282</v>
      </c>
      <c r="AD42" s="22" t="s">
        <v>190</v>
      </c>
      <c r="AE42" s="201" t="s">
        <v>283</v>
      </c>
      <c r="AF42" s="206" t="s">
        <v>507</v>
      </c>
      <c r="AG42" s="201" t="s">
        <v>285</v>
      </c>
      <c r="AH42" s="22" t="s">
        <v>186</v>
      </c>
      <c r="AI42" s="201"/>
    </row>
    <row r="43" ht="22.5" customHeight="1">
      <c r="A43" s="196">
        <v>27.0</v>
      </c>
      <c r="B43" s="201">
        <v>34.0</v>
      </c>
      <c r="C43" s="202">
        <v>45782.0</v>
      </c>
      <c r="D43" s="199" t="s">
        <v>37</v>
      </c>
      <c r="E43" s="199" t="s">
        <v>42</v>
      </c>
      <c r="F43" s="246" t="s">
        <v>286</v>
      </c>
      <c r="G43" s="200">
        <v>331950.0</v>
      </c>
      <c r="H43" s="220" t="s">
        <v>288</v>
      </c>
      <c r="I43" s="202">
        <v>45784.0</v>
      </c>
      <c r="J43" s="201" t="s">
        <v>280</v>
      </c>
      <c r="K43" s="201">
        <v>2025.0</v>
      </c>
      <c r="L43" s="202">
        <v>45813.0</v>
      </c>
      <c r="M43" s="202"/>
      <c r="N43" s="203" t="s">
        <v>46</v>
      </c>
      <c r="O43" s="223"/>
      <c r="P43" s="222"/>
      <c r="Q43" s="201" t="s">
        <v>143</v>
      </c>
      <c r="R43" s="201" t="s">
        <v>287</v>
      </c>
      <c r="S43" s="197"/>
      <c r="T43" s="197"/>
      <c r="U43" s="197"/>
      <c r="V43" s="199" t="s">
        <v>40</v>
      </c>
      <c r="W43" s="199" t="s">
        <v>41</v>
      </c>
      <c r="X43" s="199">
        <v>79934.0</v>
      </c>
      <c r="Y43" s="205" t="s">
        <v>134</v>
      </c>
      <c r="Z43" s="200"/>
      <c r="AA43" s="201" t="s">
        <v>221</v>
      </c>
      <c r="AB43" s="201" t="s">
        <v>508</v>
      </c>
      <c r="AC43" s="201" t="s">
        <v>290</v>
      </c>
      <c r="AD43" s="22" t="s">
        <v>156</v>
      </c>
      <c r="AE43" s="201" t="s">
        <v>286</v>
      </c>
      <c r="AF43" s="201" t="s">
        <v>435</v>
      </c>
      <c r="AG43" s="201" t="s">
        <v>292</v>
      </c>
      <c r="AH43" s="22" t="s">
        <v>75</v>
      </c>
      <c r="AI43" s="201"/>
    </row>
    <row r="44" ht="22.5" customHeight="1">
      <c r="A44" s="196">
        <v>28.0</v>
      </c>
      <c r="B44" s="201">
        <v>35.0</v>
      </c>
      <c r="C44" s="198">
        <v>45771.0</v>
      </c>
      <c r="D44" s="199" t="s">
        <v>76</v>
      </c>
      <c r="E44" s="199" t="s">
        <v>42</v>
      </c>
      <c r="F44" s="219" t="s">
        <v>73</v>
      </c>
      <c r="G44" s="200">
        <v>274950.0</v>
      </c>
      <c r="H44" s="220" t="s">
        <v>390</v>
      </c>
      <c r="I44" s="222"/>
      <c r="J44" s="201" t="s">
        <v>249</v>
      </c>
      <c r="K44" s="201"/>
      <c r="L44" s="198">
        <v>45792.0</v>
      </c>
      <c r="M44" s="222"/>
      <c r="N44" s="227"/>
      <c r="O44" s="223"/>
      <c r="P44" s="204"/>
      <c r="Q44" s="201" t="s">
        <v>391</v>
      </c>
      <c r="R44" s="201" t="s">
        <v>389</v>
      </c>
      <c r="S44" s="197"/>
      <c r="T44" s="197"/>
      <c r="U44" s="197"/>
      <c r="V44" s="199" t="s">
        <v>187</v>
      </c>
      <c r="W44" s="199" t="s">
        <v>41</v>
      </c>
      <c r="X44" s="199">
        <v>79928.0</v>
      </c>
      <c r="Y44" s="205" t="s">
        <v>134</v>
      </c>
      <c r="Z44" s="200"/>
      <c r="AA44" s="201" t="s">
        <v>47</v>
      </c>
      <c r="AB44" s="201" t="s">
        <v>509</v>
      </c>
      <c r="AC44" s="201" t="s">
        <v>392</v>
      </c>
      <c r="AD44" s="22" t="s">
        <v>136</v>
      </c>
      <c r="AE44" s="201" t="s">
        <v>393</v>
      </c>
      <c r="AF44" s="206" t="s">
        <v>510</v>
      </c>
      <c r="AG44" s="201" t="s">
        <v>395</v>
      </c>
      <c r="AH44" s="22" t="s">
        <v>163</v>
      </c>
      <c r="AI44" s="201"/>
    </row>
    <row r="45" ht="22.5" customHeight="1">
      <c r="A45" s="196">
        <v>29.0</v>
      </c>
      <c r="B45" s="201">
        <v>36.0</v>
      </c>
      <c r="C45" s="198">
        <v>45761.0</v>
      </c>
      <c r="D45" s="199" t="s">
        <v>37</v>
      </c>
      <c r="E45" s="199" t="s">
        <v>42</v>
      </c>
      <c r="F45" s="246" t="s">
        <v>286</v>
      </c>
      <c r="G45" s="200">
        <v>360950.0</v>
      </c>
      <c r="H45" s="220" t="s">
        <v>397</v>
      </c>
      <c r="I45" s="204"/>
      <c r="J45" s="201" t="s">
        <v>249</v>
      </c>
      <c r="K45" s="201"/>
      <c r="L45" s="198">
        <v>45791.0</v>
      </c>
      <c r="M45" s="222"/>
      <c r="N45" s="227"/>
      <c r="O45" s="223"/>
      <c r="P45" s="222"/>
      <c r="Q45" s="201" t="s">
        <v>215</v>
      </c>
      <c r="R45" s="201" t="s">
        <v>396</v>
      </c>
      <c r="S45" s="197"/>
      <c r="T45" s="197"/>
      <c r="U45" s="197"/>
      <c r="V45" s="199" t="s">
        <v>187</v>
      </c>
      <c r="W45" s="199" t="s">
        <v>41</v>
      </c>
      <c r="X45" s="199">
        <v>79928.0</v>
      </c>
      <c r="Y45" s="205" t="s">
        <v>134</v>
      </c>
      <c r="Z45" s="200"/>
      <c r="AA45" s="201" t="s">
        <v>47</v>
      </c>
      <c r="AB45" s="201" t="s">
        <v>509</v>
      </c>
      <c r="AC45" s="201" t="s">
        <v>392</v>
      </c>
      <c r="AD45" s="22" t="s">
        <v>136</v>
      </c>
      <c r="AE45" s="201" t="s">
        <v>286</v>
      </c>
      <c r="AF45" s="206" t="s">
        <v>435</v>
      </c>
      <c r="AG45" s="201" t="s">
        <v>292</v>
      </c>
      <c r="AH45" s="22" t="s">
        <v>171</v>
      </c>
      <c r="AI45" s="201"/>
    </row>
    <row r="46" ht="22.5" customHeight="1">
      <c r="A46" s="196">
        <v>30.0</v>
      </c>
      <c r="B46" s="201">
        <v>37.0</v>
      </c>
      <c r="C46" s="198">
        <v>45752.0</v>
      </c>
      <c r="D46" s="199" t="s">
        <v>76</v>
      </c>
      <c r="E46" s="199" t="s">
        <v>42</v>
      </c>
      <c r="F46" s="23" t="s">
        <v>50</v>
      </c>
      <c r="G46" s="200">
        <v>277950.0</v>
      </c>
      <c r="H46" s="220" t="s">
        <v>401</v>
      </c>
      <c r="I46" s="198">
        <v>45758.0</v>
      </c>
      <c r="J46" s="201" t="s">
        <v>402</v>
      </c>
      <c r="K46" s="201">
        <v>2025.0</v>
      </c>
      <c r="L46" s="198">
        <v>45782.0</v>
      </c>
      <c r="M46" s="198">
        <v>45835.0</v>
      </c>
      <c r="N46" s="203" t="s">
        <v>46</v>
      </c>
      <c r="O46" s="233"/>
      <c r="P46" s="198">
        <v>45835.0</v>
      </c>
      <c r="Q46" s="201" t="s">
        <v>391</v>
      </c>
      <c r="R46" s="201" t="s">
        <v>400</v>
      </c>
      <c r="S46" s="197"/>
      <c r="T46" s="197"/>
      <c r="U46" s="197"/>
      <c r="V46" s="199" t="s">
        <v>187</v>
      </c>
      <c r="W46" s="199" t="s">
        <v>41</v>
      </c>
      <c r="X46" s="199">
        <v>79928.0</v>
      </c>
      <c r="Y46" s="205" t="s">
        <v>134</v>
      </c>
      <c r="Z46" s="200"/>
      <c r="AA46" s="201" t="s">
        <v>47</v>
      </c>
      <c r="AB46" s="201" t="s">
        <v>509</v>
      </c>
      <c r="AC46" s="201" t="s">
        <v>392</v>
      </c>
      <c r="AD46" s="22" t="s">
        <v>136</v>
      </c>
      <c r="AE46" s="201" t="s">
        <v>50</v>
      </c>
      <c r="AF46" s="206" t="s">
        <v>511</v>
      </c>
      <c r="AG46" s="201" t="s">
        <v>403</v>
      </c>
      <c r="AH46" s="22" t="s">
        <v>171</v>
      </c>
      <c r="AI46" s="201"/>
    </row>
    <row r="47" ht="22.5" customHeight="1">
      <c r="A47" s="196">
        <v>31.0</v>
      </c>
      <c r="B47" s="201">
        <v>38.0</v>
      </c>
      <c r="C47" s="198">
        <v>45750.0</v>
      </c>
      <c r="D47" s="199" t="s">
        <v>76</v>
      </c>
      <c r="E47" s="199" t="s">
        <v>42</v>
      </c>
      <c r="F47" s="219" t="s">
        <v>267</v>
      </c>
      <c r="G47" s="200">
        <v>274950.0</v>
      </c>
      <c r="H47" s="220" t="s">
        <v>90</v>
      </c>
      <c r="I47" s="204"/>
      <c r="J47" s="201" t="s">
        <v>249</v>
      </c>
      <c r="K47" s="201"/>
      <c r="L47" s="198">
        <v>45778.0</v>
      </c>
      <c r="M47" s="202"/>
      <c r="N47" s="203" t="s">
        <v>46</v>
      </c>
      <c r="O47" s="223"/>
      <c r="P47" s="204"/>
      <c r="Q47" s="201" t="s">
        <v>159</v>
      </c>
      <c r="R47" s="201" t="s">
        <v>404</v>
      </c>
      <c r="S47" s="197"/>
      <c r="T47" s="197"/>
      <c r="U47" s="197"/>
      <c r="V47" s="199" t="s">
        <v>187</v>
      </c>
      <c r="W47" s="199" t="s">
        <v>41</v>
      </c>
      <c r="X47" s="199">
        <v>79928.0</v>
      </c>
      <c r="Y47" s="205" t="s">
        <v>134</v>
      </c>
      <c r="Z47" s="200"/>
      <c r="AA47" s="201" t="s">
        <v>155</v>
      </c>
      <c r="AB47" s="201" t="s">
        <v>512</v>
      </c>
      <c r="AC47" s="201" t="s">
        <v>257</v>
      </c>
      <c r="AD47" s="22" t="s">
        <v>136</v>
      </c>
      <c r="AE47" s="201" t="s">
        <v>406</v>
      </c>
      <c r="AF47" s="206" t="s">
        <v>513</v>
      </c>
      <c r="AG47" s="201" t="s">
        <v>408</v>
      </c>
      <c r="AH47" s="22" t="s">
        <v>163</v>
      </c>
      <c r="AI47" s="201"/>
    </row>
    <row r="48" ht="22.5" customHeight="1">
      <c r="A48" s="196">
        <v>32.0</v>
      </c>
      <c r="B48" s="201">
        <v>39.0</v>
      </c>
      <c r="C48" s="198">
        <v>45752.0</v>
      </c>
      <c r="D48" s="199" t="s">
        <v>76</v>
      </c>
      <c r="E48" s="199" t="s">
        <v>42</v>
      </c>
      <c r="F48" s="219" t="s">
        <v>73</v>
      </c>
      <c r="G48" s="200">
        <v>259950.0</v>
      </c>
      <c r="H48" s="220" t="s">
        <v>410</v>
      </c>
      <c r="I48" s="204"/>
      <c r="J48" s="201" t="s">
        <v>249</v>
      </c>
      <c r="K48" s="201"/>
      <c r="L48" s="198">
        <v>45777.0</v>
      </c>
      <c r="M48" s="222"/>
      <c r="N48" s="227"/>
      <c r="O48" s="223"/>
      <c r="P48" s="222"/>
      <c r="Q48" s="201" t="s">
        <v>153</v>
      </c>
      <c r="R48" s="201" t="s">
        <v>409</v>
      </c>
      <c r="S48" s="197"/>
      <c r="T48" s="197"/>
      <c r="U48" s="197"/>
      <c r="V48" s="199" t="s">
        <v>40</v>
      </c>
      <c r="W48" s="199" t="s">
        <v>41</v>
      </c>
      <c r="X48" s="199">
        <v>79934.0</v>
      </c>
      <c r="Y48" s="205" t="s">
        <v>134</v>
      </c>
      <c r="Z48" s="200"/>
      <c r="AA48" s="201" t="s">
        <v>155</v>
      </c>
      <c r="AB48" s="201" t="s">
        <v>512</v>
      </c>
      <c r="AC48" s="201" t="s">
        <v>257</v>
      </c>
      <c r="AD48" s="22" t="s">
        <v>136</v>
      </c>
      <c r="AE48" s="201" t="s">
        <v>73</v>
      </c>
      <c r="AF48" s="206" t="s">
        <v>478</v>
      </c>
      <c r="AG48" s="201" t="s">
        <v>252</v>
      </c>
      <c r="AH48" s="22" t="s">
        <v>171</v>
      </c>
      <c r="AI48" s="201"/>
    </row>
    <row r="49" ht="22.5" customHeight="1">
      <c r="A49" s="196">
        <v>33.0</v>
      </c>
      <c r="B49" s="201">
        <v>40.0</v>
      </c>
      <c r="C49" s="247"/>
      <c r="D49" s="248" t="s">
        <v>37</v>
      </c>
      <c r="E49" s="248" t="s">
        <v>42</v>
      </c>
      <c r="F49" s="246" t="s">
        <v>286</v>
      </c>
      <c r="G49" s="249">
        <v>264950.0</v>
      </c>
      <c r="H49" s="250" t="s">
        <v>412</v>
      </c>
      <c r="I49" s="251">
        <v>45730.0</v>
      </c>
      <c r="J49" s="110" t="s">
        <v>249</v>
      </c>
      <c r="K49" s="252"/>
      <c r="L49" s="251">
        <v>45777.0</v>
      </c>
      <c r="M49" s="247"/>
      <c r="N49" s="253"/>
      <c r="O49" s="254"/>
      <c r="P49" s="247"/>
      <c r="Q49" s="110" t="s">
        <v>201</v>
      </c>
      <c r="R49" s="110" t="s">
        <v>411</v>
      </c>
      <c r="S49" s="255"/>
      <c r="T49" s="255"/>
      <c r="U49" s="255"/>
      <c r="V49" s="248" t="s">
        <v>40</v>
      </c>
      <c r="W49" s="248" t="s">
        <v>41</v>
      </c>
      <c r="X49" s="248">
        <v>79938.0</v>
      </c>
      <c r="Y49" s="256" t="s">
        <v>134</v>
      </c>
      <c r="Z49" s="257"/>
      <c r="AA49" s="110" t="s">
        <v>47</v>
      </c>
      <c r="AB49" s="110" t="s">
        <v>509</v>
      </c>
      <c r="AC49" s="110" t="s">
        <v>392</v>
      </c>
      <c r="AD49" s="258" t="s">
        <v>136</v>
      </c>
      <c r="AE49" s="110" t="s">
        <v>286</v>
      </c>
      <c r="AF49" s="110" t="s">
        <v>435</v>
      </c>
      <c r="AG49" s="110" t="s">
        <v>292</v>
      </c>
      <c r="AH49" s="258" t="s">
        <v>171</v>
      </c>
      <c r="AI49" s="110"/>
    </row>
    <row r="50" ht="22.5" customHeight="1">
      <c r="A50" s="196"/>
      <c r="B50" s="201"/>
      <c r="C50" s="222"/>
      <c r="D50" s="199"/>
      <c r="E50" s="199"/>
      <c r="F50" s="219"/>
      <c r="G50" s="200"/>
      <c r="H50" s="220" t="s">
        <v>514</v>
      </c>
      <c r="I50" s="202"/>
      <c r="J50" s="201"/>
      <c r="K50" s="221"/>
      <c r="L50" s="202"/>
      <c r="M50" s="222"/>
      <c r="N50" s="227"/>
      <c r="O50" s="223"/>
      <c r="P50" s="222"/>
      <c r="Q50" s="201"/>
      <c r="R50" s="201"/>
      <c r="S50" s="197"/>
      <c r="T50" s="197"/>
      <c r="U50" s="197"/>
      <c r="V50" s="199"/>
      <c r="W50" s="199"/>
      <c r="X50" s="199"/>
      <c r="Y50" s="205"/>
      <c r="Z50" s="224"/>
      <c r="AA50" s="201"/>
      <c r="AB50" s="201"/>
      <c r="AC50" s="201"/>
      <c r="AD50" s="22"/>
      <c r="AE50" s="201"/>
      <c r="AF50" s="201"/>
      <c r="AG50" s="201"/>
      <c r="AH50" s="22"/>
      <c r="AI50" s="201"/>
    </row>
    <row r="51">
      <c r="A51" s="259"/>
      <c r="B51" s="260"/>
      <c r="C51" s="260"/>
      <c r="D51" s="260"/>
      <c r="E51" s="260"/>
      <c r="F51" s="260"/>
      <c r="G51" s="261"/>
      <c r="H51" s="259"/>
      <c r="I51" s="260"/>
      <c r="J51" s="260"/>
      <c r="K51" s="260"/>
      <c r="L51" s="260"/>
      <c r="M51" s="260"/>
      <c r="N51" s="262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3"/>
      <c r="Z51" s="260"/>
      <c r="AA51" s="260"/>
      <c r="AB51" s="260"/>
      <c r="AC51" s="260"/>
      <c r="AD51" s="260"/>
      <c r="AE51" s="260"/>
      <c r="AF51" s="264"/>
      <c r="AG51" s="260"/>
      <c r="AH51" s="260"/>
      <c r="AI51" s="260"/>
    </row>
    <row r="52">
      <c r="A52" s="259"/>
      <c r="B52" s="260"/>
      <c r="C52" s="260"/>
      <c r="D52" s="260"/>
      <c r="E52" s="260"/>
      <c r="F52" s="260"/>
      <c r="G52" s="261"/>
      <c r="H52" s="259"/>
      <c r="I52" s="260"/>
      <c r="J52" s="260"/>
      <c r="K52" s="260"/>
      <c r="L52" s="260"/>
      <c r="M52" s="260"/>
      <c r="N52" s="262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3"/>
      <c r="Z52" s="260"/>
      <c r="AA52" s="260"/>
      <c r="AB52" s="260"/>
      <c r="AC52" s="260"/>
      <c r="AD52" s="260"/>
      <c r="AE52" s="260"/>
      <c r="AF52" s="264"/>
      <c r="AG52" s="260"/>
      <c r="AH52" s="260"/>
      <c r="AI52" s="260"/>
    </row>
    <row r="53">
      <c r="A53" s="259"/>
      <c r="B53" s="260"/>
      <c r="C53" s="260"/>
      <c r="D53" s="260"/>
      <c r="E53" s="260"/>
      <c r="F53" s="260"/>
      <c r="G53" s="261"/>
      <c r="H53" s="259"/>
      <c r="I53" s="260"/>
      <c r="J53" s="260"/>
      <c r="K53" s="260"/>
      <c r="L53" s="260"/>
      <c r="M53" s="260"/>
      <c r="N53" s="262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3"/>
      <c r="Z53" s="260"/>
      <c r="AA53" s="260"/>
      <c r="AB53" s="260"/>
      <c r="AC53" s="260"/>
      <c r="AD53" s="260"/>
      <c r="AE53" s="260"/>
      <c r="AF53" s="264"/>
      <c r="AG53" s="260"/>
      <c r="AH53" s="260"/>
      <c r="AI53" s="260"/>
    </row>
    <row r="54">
      <c r="A54" s="259"/>
      <c r="B54" s="260"/>
      <c r="C54" s="260"/>
      <c r="D54" s="260"/>
      <c r="E54" s="260"/>
      <c r="F54" s="260"/>
      <c r="G54" s="261"/>
      <c r="H54" s="259"/>
      <c r="I54" s="260"/>
      <c r="J54" s="260"/>
      <c r="K54" s="260"/>
      <c r="L54" s="260"/>
      <c r="M54" s="260"/>
      <c r="N54" s="262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3"/>
      <c r="Z54" s="260"/>
      <c r="AA54" s="260"/>
      <c r="AB54" s="260"/>
      <c r="AC54" s="260"/>
      <c r="AD54" s="260"/>
      <c r="AE54" s="260"/>
      <c r="AF54" s="264"/>
      <c r="AG54" s="260"/>
      <c r="AH54" s="260"/>
      <c r="AI54" s="260"/>
    </row>
    <row r="55">
      <c r="A55" s="259"/>
      <c r="B55" s="260"/>
      <c r="C55" s="260"/>
      <c r="D55" s="260"/>
      <c r="E55" s="260"/>
      <c r="F55" s="260"/>
      <c r="G55" s="261"/>
      <c r="H55" s="259"/>
      <c r="I55" s="260"/>
      <c r="J55" s="260"/>
      <c r="K55" s="260"/>
      <c r="L55" s="260"/>
      <c r="M55" s="260"/>
      <c r="N55" s="262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3"/>
      <c r="Z55" s="260"/>
      <c r="AA55" s="260"/>
      <c r="AB55" s="260"/>
      <c r="AC55" s="260"/>
      <c r="AD55" s="260"/>
      <c r="AE55" s="260"/>
      <c r="AF55" s="264"/>
      <c r="AG55" s="260"/>
      <c r="AH55" s="260"/>
      <c r="AI55" s="260"/>
    </row>
    <row r="56">
      <c r="A56" s="259"/>
      <c r="B56" s="260"/>
      <c r="C56" s="260"/>
      <c r="D56" s="260"/>
      <c r="E56" s="260"/>
      <c r="F56" s="260"/>
      <c r="G56" s="261"/>
      <c r="H56" s="259"/>
      <c r="I56" s="260"/>
      <c r="J56" s="260"/>
      <c r="K56" s="260"/>
      <c r="L56" s="260"/>
      <c r="M56" s="260"/>
      <c r="N56" s="262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3"/>
      <c r="Z56" s="260"/>
      <c r="AA56" s="260"/>
      <c r="AB56" s="260"/>
      <c r="AC56" s="260"/>
      <c r="AD56" s="260"/>
      <c r="AE56" s="260"/>
      <c r="AF56" s="264"/>
      <c r="AG56" s="260"/>
      <c r="AH56" s="260"/>
      <c r="AI56" s="260"/>
    </row>
    <row r="57">
      <c r="A57" s="259"/>
      <c r="B57" s="260"/>
      <c r="C57" s="260"/>
      <c r="D57" s="260"/>
      <c r="E57" s="260"/>
      <c r="F57" s="260"/>
      <c r="G57" s="261"/>
      <c r="H57" s="259"/>
      <c r="I57" s="260"/>
      <c r="J57" s="260"/>
      <c r="K57" s="260"/>
      <c r="L57" s="260"/>
      <c r="M57" s="260"/>
      <c r="N57" s="262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3"/>
      <c r="Z57" s="260"/>
      <c r="AA57" s="260"/>
      <c r="AB57" s="260"/>
      <c r="AC57" s="260"/>
      <c r="AD57" s="260"/>
      <c r="AE57" s="260"/>
      <c r="AF57" s="264"/>
      <c r="AG57" s="260"/>
      <c r="AH57" s="260"/>
      <c r="AI57" s="260"/>
    </row>
    <row r="58">
      <c r="A58" s="259"/>
      <c r="B58" s="260"/>
      <c r="C58" s="260"/>
      <c r="D58" s="260"/>
      <c r="E58" s="260"/>
      <c r="F58" s="260"/>
      <c r="G58" s="261"/>
      <c r="H58" s="259"/>
      <c r="I58" s="260"/>
      <c r="J58" s="260"/>
      <c r="K58" s="260"/>
      <c r="L58" s="260"/>
      <c r="M58" s="260"/>
      <c r="N58" s="262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3"/>
      <c r="Z58" s="260"/>
      <c r="AA58" s="260"/>
      <c r="AB58" s="260"/>
      <c r="AC58" s="260"/>
      <c r="AD58" s="260"/>
      <c r="AE58" s="260"/>
      <c r="AF58" s="264"/>
      <c r="AG58" s="260"/>
      <c r="AH58" s="260"/>
      <c r="AI58" s="260"/>
    </row>
    <row r="59">
      <c r="A59" s="259"/>
      <c r="B59" s="260"/>
      <c r="C59" s="260"/>
      <c r="D59" s="260"/>
      <c r="E59" s="260"/>
      <c r="F59" s="260"/>
      <c r="G59" s="261"/>
      <c r="H59" s="259"/>
      <c r="I59" s="260"/>
      <c r="J59" s="260"/>
      <c r="K59" s="260"/>
      <c r="L59" s="260"/>
      <c r="M59" s="260"/>
      <c r="N59" s="262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3"/>
      <c r="Z59" s="260"/>
      <c r="AA59" s="260"/>
      <c r="AB59" s="260"/>
      <c r="AC59" s="260"/>
      <c r="AD59" s="260"/>
      <c r="AE59" s="260"/>
      <c r="AF59" s="264"/>
      <c r="AG59" s="260"/>
      <c r="AH59" s="260"/>
      <c r="AI59" s="260"/>
    </row>
    <row r="60">
      <c r="A60" s="259"/>
      <c r="B60" s="260"/>
      <c r="C60" s="260"/>
      <c r="D60" s="260"/>
      <c r="E60" s="260"/>
      <c r="F60" s="260"/>
      <c r="G60" s="261"/>
      <c r="H60" s="259"/>
      <c r="I60" s="260"/>
      <c r="J60" s="260"/>
      <c r="K60" s="260"/>
      <c r="L60" s="260"/>
      <c r="M60" s="260"/>
      <c r="N60" s="262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3"/>
      <c r="Z60" s="260"/>
      <c r="AA60" s="260"/>
      <c r="AB60" s="260"/>
      <c r="AC60" s="260"/>
      <c r="AD60" s="260"/>
      <c r="AE60" s="260"/>
      <c r="AF60" s="264"/>
      <c r="AG60" s="260"/>
      <c r="AH60" s="260"/>
      <c r="AI60" s="260"/>
    </row>
    <row r="61">
      <c r="A61" s="259"/>
      <c r="B61" s="260"/>
      <c r="C61" s="260"/>
      <c r="D61" s="260"/>
      <c r="E61" s="260"/>
      <c r="F61" s="260"/>
      <c r="G61" s="261"/>
      <c r="H61" s="259"/>
      <c r="I61" s="260"/>
      <c r="J61" s="260"/>
      <c r="K61" s="260"/>
      <c r="L61" s="260"/>
      <c r="M61" s="260"/>
      <c r="N61" s="262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3"/>
      <c r="Z61" s="260"/>
      <c r="AA61" s="260"/>
      <c r="AB61" s="260"/>
      <c r="AC61" s="260"/>
      <c r="AD61" s="260"/>
      <c r="AE61" s="260"/>
      <c r="AF61" s="264"/>
      <c r="AG61" s="260"/>
      <c r="AH61" s="260"/>
      <c r="AI61" s="260"/>
    </row>
    <row r="62">
      <c r="A62" s="259"/>
      <c r="B62" s="260"/>
      <c r="C62" s="260"/>
      <c r="D62" s="260"/>
      <c r="E62" s="260"/>
      <c r="F62" s="260"/>
      <c r="G62" s="261"/>
      <c r="H62" s="259"/>
      <c r="I62" s="260"/>
      <c r="J62" s="260"/>
      <c r="K62" s="260"/>
      <c r="L62" s="260"/>
      <c r="M62" s="260"/>
      <c r="N62" s="262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3"/>
      <c r="Z62" s="260"/>
      <c r="AA62" s="260"/>
      <c r="AB62" s="260"/>
      <c r="AC62" s="260"/>
      <c r="AD62" s="260"/>
      <c r="AE62" s="260"/>
      <c r="AF62" s="264"/>
      <c r="AG62" s="260"/>
      <c r="AH62" s="260"/>
      <c r="AI62" s="260"/>
    </row>
    <row r="63">
      <c r="A63" s="259"/>
      <c r="B63" s="260"/>
      <c r="C63" s="260"/>
      <c r="D63" s="260"/>
      <c r="E63" s="260"/>
      <c r="F63" s="260"/>
      <c r="G63" s="261"/>
      <c r="H63" s="259"/>
      <c r="I63" s="260"/>
      <c r="J63" s="260"/>
      <c r="K63" s="260"/>
      <c r="L63" s="260"/>
      <c r="M63" s="260"/>
      <c r="N63" s="262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3"/>
      <c r="Z63" s="260"/>
      <c r="AA63" s="260"/>
      <c r="AB63" s="260"/>
      <c r="AC63" s="260"/>
      <c r="AD63" s="260"/>
      <c r="AE63" s="260"/>
      <c r="AF63" s="264"/>
      <c r="AG63" s="260"/>
      <c r="AH63" s="260"/>
      <c r="AI63" s="260"/>
    </row>
    <row r="64">
      <c r="A64" s="259"/>
      <c r="B64" s="260"/>
      <c r="C64" s="260"/>
      <c r="D64" s="260"/>
      <c r="E64" s="260"/>
      <c r="F64" s="260"/>
      <c r="G64" s="261"/>
      <c r="H64" s="259"/>
      <c r="I64" s="260"/>
      <c r="J64" s="260"/>
      <c r="K64" s="260"/>
      <c r="L64" s="260"/>
      <c r="M64" s="260"/>
      <c r="N64" s="262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3"/>
      <c r="Z64" s="260"/>
      <c r="AA64" s="260"/>
      <c r="AB64" s="260"/>
      <c r="AC64" s="260"/>
      <c r="AD64" s="260"/>
      <c r="AE64" s="260"/>
      <c r="AF64" s="264"/>
      <c r="AG64" s="260"/>
      <c r="AH64" s="260"/>
      <c r="AI64" s="260"/>
    </row>
    <row r="65">
      <c r="A65" s="259"/>
      <c r="B65" s="260"/>
      <c r="C65" s="260"/>
      <c r="D65" s="260"/>
      <c r="E65" s="260"/>
      <c r="F65" s="260"/>
      <c r="G65" s="261"/>
      <c r="H65" s="259"/>
      <c r="I65" s="260"/>
      <c r="J65" s="260"/>
      <c r="K65" s="260"/>
      <c r="L65" s="260"/>
      <c r="M65" s="260"/>
      <c r="N65" s="262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3"/>
      <c r="Z65" s="260"/>
      <c r="AA65" s="260"/>
      <c r="AB65" s="260"/>
      <c r="AC65" s="260"/>
      <c r="AD65" s="260"/>
      <c r="AE65" s="260"/>
      <c r="AF65" s="264"/>
      <c r="AG65" s="260"/>
      <c r="AH65" s="260"/>
      <c r="AI65" s="260"/>
    </row>
    <row r="66">
      <c r="A66" s="259"/>
      <c r="B66" s="260"/>
      <c r="C66" s="260"/>
      <c r="D66" s="260"/>
      <c r="E66" s="260"/>
      <c r="F66" s="260"/>
      <c r="G66" s="261"/>
      <c r="H66" s="259"/>
      <c r="I66" s="260"/>
      <c r="J66" s="260"/>
      <c r="K66" s="260"/>
      <c r="L66" s="260"/>
      <c r="M66" s="260"/>
      <c r="N66" s="262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3"/>
      <c r="Z66" s="260"/>
      <c r="AA66" s="260"/>
      <c r="AB66" s="260"/>
      <c r="AC66" s="260"/>
      <c r="AD66" s="260"/>
      <c r="AE66" s="260"/>
      <c r="AF66" s="264"/>
      <c r="AG66" s="260"/>
      <c r="AH66" s="260"/>
      <c r="AI66" s="260"/>
    </row>
    <row r="67">
      <c r="A67" s="259"/>
      <c r="B67" s="260"/>
      <c r="C67" s="260"/>
      <c r="D67" s="260"/>
      <c r="E67" s="260"/>
      <c r="F67" s="260"/>
      <c r="G67" s="261"/>
      <c r="H67" s="259"/>
      <c r="I67" s="260"/>
      <c r="J67" s="260"/>
      <c r="K67" s="260"/>
      <c r="L67" s="260"/>
      <c r="M67" s="260"/>
      <c r="N67" s="262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3"/>
      <c r="Z67" s="260"/>
      <c r="AA67" s="260"/>
      <c r="AB67" s="260"/>
      <c r="AC67" s="260"/>
      <c r="AD67" s="260"/>
      <c r="AE67" s="260"/>
      <c r="AF67" s="264"/>
      <c r="AG67" s="260"/>
      <c r="AH67" s="260"/>
      <c r="AI67" s="260"/>
    </row>
    <row r="68">
      <c r="A68" s="259"/>
      <c r="B68" s="260"/>
      <c r="C68" s="260"/>
      <c r="D68" s="260"/>
      <c r="E68" s="260"/>
      <c r="F68" s="260"/>
      <c r="G68" s="261"/>
      <c r="H68" s="259"/>
      <c r="I68" s="260"/>
      <c r="J68" s="260"/>
      <c r="K68" s="260"/>
      <c r="L68" s="260"/>
      <c r="M68" s="260"/>
      <c r="N68" s="262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3"/>
      <c r="Z68" s="260"/>
      <c r="AA68" s="260"/>
      <c r="AB68" s="260"/>
      <c r="AC68" s="260"/>
      <c r="AD68" s="260"/>
      <c r="AE68" s="260"/>
      <c r="AF68" s="264"/>
      <c r="AG68" s="260"/>
      <c r="AH68" s="260"/>
      <c r="AI68" s="260"/>
    </row>
    <row r="69">
      <c r="A69" s="259"/>
      <c r="B69" s="260"/>
      <c r="C69" s="260"/>
      <c r="D69" s="260"/>
      <c r="E69" s="260"/>
      <c r="F69" s="260"/>
      <c r="G69" s="261"/>
      <c r="H69" s="259"/>
      <c r="I69" s="260"/>
      <c r="J69" s="260"/>
      <c r="K69" s="260"/>
      <c r="L69" s="260"/>
      <c r="M69" s="260"/>
      <c r="N69" s="262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3"/>
      <c r="Z69" s="260"/>
      <c r="AA69" s="260"/>
      <c r="AB69" s="260"/>
      <c r="AC69" s="260"/>
      <c r="AD69" s="260"/>
      <c r="AE69" s="260"/>
      <c r="AF69" s="264"/>
      <c r="AG69" s="260"/>
      <c r="AH69" s="260"/>
      <c r="AI69" s="260"/>
    </row>
    <row r="70">
      <c r="A70" s="259"/>
      <c r="B70" s="260"/>
      <c r="C70" s="260"/>
      <c r="D70" s="260"/>
      <c r="E70" s="260"/>
      <c r="F70" s="260"/>
      <c r="G70" s="261"/>
      <c r="H70" s="259"/>
      <c r="I70" s="260"/>
      <c r="J70" s="260"/>
      <c r="K70" s="260"/>
      <c r="L70" s="260"/>
      <c r="M70" s="260"/>
      <c r="N70" s="262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3"/>
      <c r="Z70" s="260"/>
      <c r="AA70" s="260"/>
      <c r="AB70" s="260"/>
      <c r="AC70" s="260"/>
      <c r="AD70" s="260"/>
      <c r="AE70" s="260"/>
      <c r="AF70" s="264"/>
      <c r="AG70" s="260"/>
      <c r="AH70" s="260"/>
      <c r="AI70" s="260"/>
    </row>
    <row r="71">
      <c r="A71" s="259"/>
      <c r="B71" s="260"/>
      <c r="C71" s="260"/>
      <c r="D71" s="260"/>
      <c r="E71" s="260"/>
      <c r="F71" s="260"/>
      <c r="G71" s="261"/>
      <c r="H71" s="259"/>
      <c r="I71" s="260"/>
      <c r="J71" s="260"/>
      <c r="K71" s="260"/>
      <c r="L71" s="260"/>
      <c r="M71" s="260"/>
      <c r="N71" s="262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3"/>
      <c r="Z71" s="260"/>
      <c r="AA71" s="260"/>
      <c r="AB71" s="260"/>
      <c r="AC71" s="260"/>
      <c r="AD71" s="260"/>
      <c r="AE71" s="260"/>
      <c r="AF71" s="264"/>
      <c r="AG71" s="260"/>
      <c r="AH71" s="260"/>
      <c r="AI71" s="260"/>
    </row>
    <row r="72">
      <c r="A72" s="259"/>
      <c r="B72" s="260"/>
      <c r="C72" s="260"/>
      <c r="D72" s="260"/>
      <c r="E72" s="260"/>
      <c r="F72" s="260"/>
      <c r="G72" s="261"/>
      <c r="H72" s="259"/>
      <c r="I72" s="260"/>
      <c r="J72" s="260"/>
      <c r="K72" s="260"/>
      <c r="L72" s="260"/>
      <c r="M72" s="260"/>
      <c r="N72" s="262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3"/>
      <c r="Z72" s="260"/>
      <c r="AA72" s="260"/>
      <c r="AB72" s="260"/>
      <c r="AC72" s="260"/>
      <c r="AD72" s="260"/>
      <c r="AE72" s="260"/>
      <c r="AF72" s="264"/>
      <c r="AG72" s="260"/>
      <c r="AH72" s="260"/>
      <c r="AI72" s="260"/>
    </row>
    <row r="73">
      <c r="A73" s="259"/>
      <c r="B73" s="260"/>
      <c r="C73" s="260"/>
      <c r="D73" s="260"/>
      <c r="E73" s="260"/>
      <c r="F73" s="260"/>
      <c r="G73" s="261"/>
      <c r="H73" s="259"/>
      <c r="I73" s="260"/>
      <c r="J73" s="260"/>
      <c r="K73" s="260"/>
      <c r="L73" s="260"/>
      <c r="M73" s="260"/>
      <c r="N73" s="262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3"/>
      <c r="Z73" s="260"/>
      <c r="AA73" s="260"/>
      <c r="AB73" s="260"/>
      <c r="AC73" s="260"/>
      <c r="AD73" s="260"/>
      <c r="AE73" s="260"/>
      <c r="AF73" s="264"/>
      <c r="AG73" s="260"/>
      <c r="AH73" s="260"/>
      <c r="AI73" s="260"/>
    </row>
    <row r="74">
      <c r="A74" s="259"/>
      <c r="B74" s="260"/>
      <c r="C74" s="260"/>
      <c r="D74" s="260"/>
      <c r="E74" s="260"/>
      <c r="F74" s="260"/>
      <c r="G74" s="261"/>
      <c r="H74" s="259"/>
      <c r="I74" s="260"/>
      <c r="J74" s="260"/>
      <c r="K74" s="260"/>
      <c r="L74" s="260"/>
      <c r="M74" s="260"/>
      <c r="N74" s="262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3"/>
      <c r="Z74" s="260"/>
      <c r="AA74" s="260"/>
      <c r="AB74" s="260"/>
      <c r="AC74" s="260"/>
      <c r="AD74" s="260"/>
      <c r="AE74" s="260"/>
      <c r="AF74" s="264"/>
      <c r="AG74" s="260"/>
      <c r="AH74" s="260"/>
      <c r="AI74" s="260"/>
    </row>
    <row r="75">
      <c r="A75" s="259"/>
      <c r="B75" s="260"/>
      <c r="C75" s="260"/>
      <c r="D75" s="260"/>
      <c r="E75" s="260"/>
      <c r="F75" s="260"/>
      <c r="G75" s="261"/>
      <c r="H75" s="259"/>
      <c r="I75" s="260"/>
      <c r="J75" s="260"/>
      <c r="K75" s="260"/>
      <c r="L75" s="260"/>
      <c r="M75" s="260"/>
      <c r="N75" s="262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3"/>
      <c r="Z75" s="260"/>
      <c r="AA75" s="260"/>
      <c r="AB75" s="260"/>
      <c r="AC75" s="260"/>
      <c r="AD75" s="260"/>
      <c r="AE75" s="260"/>
      <c r="AF75" s="264"/>
      <c r="AG75" s="260"/>
      <c r="AH75" s="260"/>
      <c r="AI75" s="260"/>
    </row>
    <row r="76">
      <c r="A76" s="259"/>
      <c r="B76" s="260"/>
      <c r="C76" s="260"/>
      <c r="D76" s="260"/>
      <c r="E76" s="260"/>
      <c r="F76" s="260"/>
      <c r="G76" s="261"/>
      <c r="H76" s="259"/>
      <c r="I76" s="260"/>
      <c r="J76" s="260"/>
      <c r="K76" s="260"/>
      <c r="L76" s="260"/>
      <c r="M76" s="260"/>
      <c r="N76" s="262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3"/>
      <c r="Z76" s="260"/>
      <c r="AA76" s="260"/>
      <c r="AB76" s="260"/>
      <c r="AC76" s="260"/>
      <c r="AD76" s="260"/>
      <c r="AE76" s="260"/>
      <c r="AF76" s="264"/>
      <c r="AG76" s="260"/>
      <c r="AH76" s="260"/>
      <c r="AI76" s="260"/>
    </row>
    <row r="77">
      <c r="A77" s="259"/>
      <c r="B77" s="260"/>
      <c r="C77" s="260"/>
      <c r="D77" s="260"/>
      <c r="E77" s="260"/>
      <c r="F77" s="260"/>
      <c r="G77" s="261"/>
      <c r="H77" s="259"/>
      <c r="I77" s="260"/>
      <c r="J77" s="260"/>
      <c r="K77" s="260"/>
      <c r="L77" s="260"/>
      <c r="M77" s="260"/>
      <c r="N77" s="262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3"/>
      <c r="Z77" s="260"/>
      <c r="AA77" s="260"/>
      <c r="AB77" s="260"/>
      <c r="AC77" s="260"/>
      <c r="AD77" s="260"/>
      <c r="AE77" s="260"/>
      <c r="AF77" s="264"/>
      <c r="AG77" s="260"/>
      <c r="AH77" s="260"/>
      <c r="AI77" s="260"/>
    </row>
    <row r="78">
      <c r="A78" s="259"/>
      <c r="B78" s="260"/>
      <c r="C78" s="260"/>
      <c r="D78" s="260"/>
      <c r="E78" s="260"/>
      <c r="F78" s="260"/>
      <c r="G78" s="261"/>
      <c r="H78" s="259"/>
      <c r="I78" s="260"/>
      <c r="J78" s="260"/>
      <c r="K78" s="260"/>
      <c r="L78" s="260"/>
      <c r="M78" s="260"/>
      <c r="N78" s="262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3"/>
      <c r="Z78" s="260"/>
      <c r="AA78" s="260"/>
      <c r="AB78" s="260"/>
      <c r="AC78" s="260"/>
      <c r="AD78" s="260"/>
      <c r="AE78" s="260"/>
      <c r="AF78" s="264"/>
      <c r="AG78" s="260"/>
      <c r="AH78" s="260"/>
      <c r="AI78" s="260"/>
    </row>
    <row r="79">
      <c r="A79" s="259"/>
      <c r="B79" s="260"/>
      <c r="C79" s="260"/>
      <c r="D79" s="260"/>
      <c r="E79" s="260"/>
      <c r="F79" s="260"/>
      <c r="G79" s="261"/>
      <c r="H79" s="259"/>
      <c r="I79" s="260"/>
      <c r="J79" s="260"/>
      <c r="K79" s="260"/>
      <c r="L79" s="260"/>
      <c r="M79" s="260"/>
      <c r="N79" s="262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3"/>
      <c r="Z79" s="260"/>
      <c r="AA79" s="260"/>
      <c r="AB79" s="260"/>
      <c r="AC79" s="260"/>
      <c r="AD79" s="260"/>
      <c r="AE79" s="260"/>
      <c r="AF79" s="264"/>
      <c r="AG79" s="260"/>
      <c r="AH79" s="260"/>
      <c r="AI79" s="260"/>
    </row>
    <row r="80">
      <c r="A80" s="259"/>
      <c r="B80" s="260"/>
      <c r="C80" s="260"/>
      <c r="D80" s="260"/>
      <c r="E80" s="260"/>
      <c r="F80" s="260"/>
      <c r="G80" s="261"/>
      <c r="H80" s="259"/>
      <c r="I80" s="260"/>
      <c r="J80" s="260"/>
      <c r="K80" s="260"/>
      <c r="L80" s="260"/>
      <c r="M80" s="260"/>
      <c r="N80" s="262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3"/>
      <c r="Z80" s="260"/>
      <c r="AA80" s="260"/>
      <c r="AB80" s="260"/>
      <c r="AC80" s="260"/>
      <c r="AD80" s="260"/>
      <c r="AE80" s="260"/>
      <c r="AF80" s="264"/>
      <c r="AG80" s="260"/>
      <c r="AH80" s="260"/>
      <c r="AI80" s="260"/>
    </row>
    <row r="81">
      <c r="A81" s="259"/>
      <c r="B81" s="260"/>
      <c r="C81" s="260"/>
      <c r="D81" s="260"/>
      <c r="E81" s="260"/>
      <c r="F81" s="260"/>
      <c r="G81" s="261"/>
      <c r="H81" s="259"/>
      <c r="I81" s="260"/>
      <c r="J81" s="260"/>
      <c r="K81" s="260"/>
      <c r="L81" s="260"/>
      <c r="M81" s="260"/>
      <c r="N81" s="262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3"/>
      <c r="Z81" s="260"/>
      <c r="AA81" s="260"/>
      <c r="AB81" s="260"/>
      <c r="AC81" s="260"/>
      <c r="AD81" s="260"/>
      <c r="AE81" s="260"/>
      <c r="AF81" s="264"/>
      <c r="AG81" s="260"/>
      <c r="AH81" s="260"/>
      <c r="AI81" s="260"/>
    </row>
    <row r="82">
      <c r="A82" s="259"/>
      <c r="B82" s="260"/>
      <c r="C82" s="260"/>
      <c r="D82" s="260"/>
      <c r="E82" s="260"/>
      <c r="F82" s="260"/>
      <c r="G82" s="261"/>
      <c r="H82" s="259"/>
      <c r="I82" s="260"/>
      <c r="J82" s="260"/>
      <c r="K82" s="260"/>
      <c r="L82" s="260"/>
      <c r="M82" s="260"/>
      <c r="N82" s="262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3"/>
      <c r="Z82" s="260"/>
      <c r="AA82" s="260"/>
      <c r="AB82" s="260"/>
      <c r="AC82" s="260"/>
      <c r="AD82" s="260"/>
      <c r="AE82" s="260"/>
      <c r="AF82" s="264"/>
      <c r="AG82" s="260"/>
      <c r="AH82" s="260"/>
      <c r="AI82" s="260"/>
    </row>
    <row r="83">
      <c r="A83" s="259"/>
      <c r="B83" s="260"/>
      <c r="C83" s="260"/>
      <c r="D83" s="260"/>
      <c r="E83" s="260"/>
      <c r="F83" s="260"/>
      <c r="G83" s="261"/>
      <c r="H83" s="259"/>
      <c r="I83" s="260"/>
      <c r="J83" s="260"/>
      <c r="K83" s="260"/>
      <c r="L83" s="260"/>
      <c r="M83" s="260"/>
      <c r="N83" s="262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3"/>
      <c r="Z83" s="260"/>
      <c r="AA83" s="260"/>
      <c r="AB83" s="260"/>
      <c r="AC83" s="260"/>
      <c r="AD83" s="260"/>
      <c r="AE83" s="260"/>
      <c r="AF83" s="264"/>
      <c r="AG83" s="260"/>
      <c r="AH83" s="260"/>
      <c r="AI83" s="260"/>
    </row>
    <row r="84">
      <c r="A84" s="259"/>
      <c r="B84" s="260"/>
      <c r="C84" s="260"/>
      <c r="D84" s="260"/>
      <c r="E84" s="260"/>
      <c r="F84" s="260"/>
      <c r="G84" s="261"/>
      <c r="H84" s="259"/>
      <c r="I84" s="260"/>
      <c r="J84" s="260"/>
      <c r="K84" s="260"/>
      <c r="L84" s="260"/>
      <c r="M84" s="260"/>
      <c r="N84" s="262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3"/>
      <c r="Z84" s="260"/>
      <c r="AA84" s="260"/>
      <c r="AB84" s="260"/>
      <c r="AC84" s="260"/>
      <c r="AD84" s="260"/>
      <c r="AE84" s="260"/>
      <c r="AF84" s="264"/>
      <c r="AG84" s="260"/>
      <c r="AH84" s="260"/>
      <c r="AI84" s="260"/>
    </row>
    <row r="85">
      <c r="A85" s="259"/>
      <c r="B85" s="260"/>
      <c r="C85" s="260"/>
      <c r="D85" s="260"/>
      <c r="E85" s="260"/>
      <c r="F85" s="260"/>
      <c r="G85" s="261"/>
      <c r="H85" s="259"/>
      <c r="I85" s="260"/>
      <c r="J85" s="260"/>
      <c r="K85" s="260"/>
      <c r="L85" s="260"/>
      <c r="M85" s="260"/>
      <c r="N85" s="262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3"/>
      <c r="Z85" s="260"/>
      <c r="AA85" s="260"/>
      <c r="AB85" s="260"/>
      <c r="AC85" s="260"/>
      <c r="AD85" s="260"/>
      <c r="AE85" s="260"/>
      <c r="AF85" s="264"/>
      <c r="AG85" s="260"/>
      <c r="AH85" s="260"/>
      <c r="AI85" s="260"/>
    </row>
    <row r="86">
      <c r="A86" s="259"/>
      <c r="B86" s="260"/>
      <c r="C86" s="260"/>
      <c r="D86" s="260"/>
      <c r="E86" s="260"/>
      <c r="F86" s="260"/>
      <c r="G86" s="261"/>
      <c r="H86" s="259"/>
      <c r="I86" s="260"/>
      <c r="J86" s="260"/>
      <c r="K86" s="260"/>
      <c r="L86" s="260"/>
      <c r="M86" s="260"/>
      <c r="N86" s="262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3"/>
      <c r="Z86" s="260"/>
      <c r="AA86" s="260"/>
      <c r="AB86" s="260"/>
      <c r="AC86" s="260"/>
      <c r="AD86" s="260"/>
      <c r="AE86" s="260"/>
      <c r="AF86" s="264"/>
      <c r="AG86" s="260"/>
      <c r="AH86" s="260"/>
      <c r="AI86" s="260"/>
    </row>
    <row r="87">
      <c r="A87" s="259"/>
      <c r="B87" s="260"/>
      <c r="C87" s="260"/>
      <c r="D87" s="260"/>
      <c r="E87" s="260"/>
      <c r="F87" s="260"/>
      <c r="G87" s="261"/>
      <c r="H87" s="259"/>
      <c r="I87" s="260"/>
      <c r="J87" s="260"/>
      <c r="K87" s="260"/>
      <c r="L87" s="260"/>
      <c r="M87" s="260"/>
      <c r="N87" s="262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3"/>
      <c r="Z87" s="260"/>
      <c r="AA87" s="260"/>
      <c r="AB87" s="260"/>
      <c r="AC87" s="260"/>
      <c r="AD87" s="260"/>
      <c r="AE87" s="260"/>
      <c r="AF87" s="264"/>
      <c r="AG87" s="260"/>
      <c r="AH87" s="260"/>
      <c r="AI87" s="260"/>
    </row>
    <row r="88">
      <c r="A88" s="259"/>
      <c r="B88" s="260"/>
      <c r="C88" s="260"/>
      <c r="D88" s="260"/>
      <c r="E88" s="260"/>
      <c r="F88" s="260"/>
      <c r="G88" s="261"/>
      <c r="H88" s="259"/>
      <c r="I88" s="260"/>
      <c r="J88" s="260"/>
      <c r="K88" s="260"/>
      <c r="L88" s="260"/>
      <c r="M88" s="260"/>
      <c r="N88" s="262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3"/>
      <c r="Z88" s="260"/>
      <c r="AA88" s="260"/>
      <c r="AB88" s="260"/>
      <c r="AC88" s="260"/>
      <c r="AD88" s="260"/>
      <c r="AE88" s="260"/>
      <c r="AF88" s="264"/>
      <c r="AG88" s="260"/>
      <c r="AH88" s="260"/>
      <c r="AI88" s="260"/>
    </row>
    <row r="89">
      <c r="A89" s="259"/>
      <c r="B89" s="260"/>
      <c r="C89" s="260"/>
      <c r="D89" s="260"/>
      <c r="E89" s="260"/>
      <c r="F89" s="260"/>
      <c r="G89" s="261"/>
      <c r="H89" s="259"/>
      <c r="I89" s="260"/>
      <c r="J89" s="260"/>
      <c r="K89" s="260"/>
      <c r="L89" s="260"/>
      <c r="M89" s="260"/>
      <c r="N89" s="262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3"/>
      <c r="Z89" s="260"/>
      <c r="AA89" s="260"/>
      <c r="AB89" s="260"/>
      <c r="AC89" s="260"/>
      <c r="AD89" s="260"/>
      <c r="AE89" s="260"/>
      <c r="AF89" s="264"/>
      <c r="AG89" s="260"/>
      <c r="AH89" s="260"/>
      <c r="AI89" s="260"/>
    </row>
    <row r="90">
      <c r="A90" s="259"/>
      <c r="B90" s="260"/>
      <c r="C90" s="260"/>
      <c r="D90" s="260"/>
      <c r="E90" s="260"/>
      <c r="F90" s="260"/>
      <c r="G90" s="261"/>
      <c r="H90" s="259"/>
      <c r="I90" s="260"/>
      <c r="J90" s="260"/>
      <c r="K90" s="260"/>
      <c r="L90" s="260"/>
      <c r="M90" s="260"/>
      <c r="N90" s="262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3"/>
      <c r="Z90" s="260"/>
      <c r="AA90" s="260"/>
      <c r="AB90" s="260"/>
      <c r="AC90" s="260"/>
      <c r="AD90" s="260"/>
      <c r="AE90" s="260"/>
      <c r="AF90" s="264"/>
      <c r="AG90" s="260"/>
      <c r="AH90" s="260"/>
      <c r="AI90" s="260"/>
    </row>
    <row r="91">
      <c r="A91" s="259"/>
      <c r="B91" s="260"/>
      <c r="C91" s="260"/>
      <c r="D91" s="260"/>
      <c r="E91" s="260"/>
      <c r="F91" s="260"/>
      <c r="G91" s="261"/>
      <c r="H91" s="259"/>
      <c r="I91" s="260"/>
      <c r="J91" s="260"/>
      <c r="K91" s="260"/>
      <c r="L91" s="260"/>
      <c r="M91" s="260"/>
      <c r="N91" s="262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3"/>
      <c r="Z91" s="260"/>
      <c r="AA91" s="260"/>
      <c r="AB91" s="260"/>
      <c r="AC91" s="260"/>
      <c r="AD91" s="260"/>
      <c r="AE91" s="260"/>
      <c r="AF91" s="264"/>
      <c r="AG91" s="260"/>
      <c r="AH91" s="260"/>
      <c r="AI91" s="260"/>
    </row>
    <row r="92">
      <c r="A92" s="259"/>
      <c r="B92" s="260"/>
      <c r="C92" s="260"/>
      <c r="D92" s="260"/>
      <c r="E92" s="260"/>
      <c r="F92" s="260"/>
      <c r="G92" s="261"/>
      <c r="H92" s="259"/>
      <c r="I92" s="260"/>
      <c r="J92" s="260"/>
      <c r="K92" s="260"/>
      <c r="L92" s="260"/>
      <c r="M92" s="260"/>
      <c r="N92" s="262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3"/>
      <c r="Z92" s="260"/>
      <c r="AA92" s="260"/>
      <c r="AB92" s="260"/>
      <c r="AC92" s="260"/>
      <c r="AD92" s="260"/>
      <c r="AE92" s="260"/>
      <c r="AF92" s="264"/>
      <c r="AG92" s="260"/>
      <c r="AH92" s="260"/>
      <c r="AI92" s="260"/>
    </row>
    <row r="93">
      <c r="A93" s="259"/>
      <c r="B93" s="260"/>
      <c r="C93" s="260"/>
      <c r="D93" s="260"/>
      <c r="E93" s="260"/>
      <c r="F93" s="260"/>
      <c r="G93" s="261"/>
      <c r="H93" s="259"/>
      <c r="I93" s="260"/>
      <c r="J93" s="260"/>
      <c r="K93" s="260"/>
      <c r="L93" s="260"/>
      <c r="M93" s="260"/>
      <c r="N93" s="262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3"/>
      <c r="Z93" s="260"/>
      <c r="AA93" s="260"/>
      <c r="AB93" s="260"/>
      <c r="AC93" s="260"/>
      <c r="AD93" s="260"/>
      <c r="AE93" s="260"/>
      <c r="AF93" s="264"/>
      <c r="AG93" s="260"/>
      <c r="AH93" s="260"/>
      <c r="AI93" s="260"/>
    </row>
    <row r="94">
      <c r="A94" s="259"/>
      <c r="B94" s="260"/>
      <c r="C94" s="260"/>
      <c r="D94" s="260"/>
      <c r="E94" s="260"/>
      <c r="F94" s="260"/>
      <c r="G94" s="261"/>
      <c r="H94" s="259"/>
      <c r="I94" s="260"/>
      <c r="J94" s="260"/>
      <c r="K94" s="260"/>
      <c r="L94" s="260"/>
      <c r="M94" s="260"/>
      <c r="N94" s="262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3"/>
      <c r="Z94" s="260"/>
      <c r="AA94" s="260"/>
      <c r="AB94" s="260"/>
      <c r="AC94" s="260"/>
      <c r="AD94" s="260"/>
      <c r="AE94" s="260"/>
      <c r="AF94" s="264"/>
      <c r="AG94" s="260"/>
      <c r="AH94" s="260"/>
      <c r="AI94" s="260"/>
    </row>
    <row r="95">
      <c r="A95" s="259"/>
      <c r="B95" s="260"/>
      <c r="C95" s="260"/>
      <c r="D95" s="260"/>
      <c r="E95" s="260"/>
      <c r="F95" s="260"/>
      <c r="G95" s="261"/>
      <c r="H95" s="259"/>
      <c r="I95" s="260"/>
      <c r="J95" s="260"/>
      <c r="K95" s="260"/>
      <c r="L95" s="260"/>
      <c r="M95" s="260"/>
      <c r="N95" s="262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3"/>
      <c r="Z95" s="260"/>
      <c r="AA95" s="260"/>
      <c r="AB95" s="260"/>
      <c r="AC95" s="260"/>
      <c r="AD95" s="260"/>
      <c r="AE95" s="260"/>
      <c r="AF95" s="264"/>
      <c r="AG95" s="260"/>
      <c r="AH95" s="260"/>
      <c r="AI95" s="260"/>
    </row>
    <row r="96">
      <c r="A96" s="259"/>
      <c r="B96" s="260"/>
      <c r="C96" s="260"/>
      <c r="D96" s="260"/>
      <c r="E96" s="260"/>
      <c r="F96" s="260"/>
      <c r="G96" s="261"/>
      <c r="H96" s="259"/>
      <c r="I96" s="260"/>
      <c r="J96" s="260"/>
      <c r="K96" s="260"/>
      <c r="L96" s="260"/>
      <c r="M96" s="260"/>
      <c r="N96" s="262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3"/>
      <c r="Z96" s="260"/>
      <c r="AA96" s="260"/>
      <c r="AB96" s="260"/>
      <c r="AC96" s="260"/>
      <c r="AD96" s="260"/>
      <c r="AE96" s="260"/>
      <c r="AF96" s="264"/>
      <c r="AG96" s="260"/>
      <c r="AH96" s="260"/>
      <c r="AI96" s="260"/>
    </row>
    <row r="97">
      <c r="A97" s="259"/>
      <c r="B97" s="260"/>
      <c r="C97" s="260"/>
      <c r="D97" s="260"/>
      <c r="E97" s="260"/>
      <c r="F97" s="260"/>
      <c r="G97" s="261"/>
      <c r="H97" s="259"/>
      <c r="I97" s="260"/>
      <c r="J97" s="260"/>
      <c r="K97" s="260"/>
      <c r="L97" s="260"/>
      <c r="M97" s="260"/>
      <c r="N97" s="262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3"/>
      <c r="Z97" s="260"/>
      <c r="AA97" s="260"/>
      <c r="AB97" s="260"/>
      <c r="AC97" s="260"/>
      <c r="AD97" s="260"/>
      <c r="AE97" s="260"/>
      <c r="AF97" s="264"/>
      <c r="AG97" s="260"/>
      <c r="AH97" s="260"/>
      <c r="AI97" s="260"/>
    </row>
    <row r="98">
      <c r="A98" s="259"/>
      <c r="B98" s="260"/>
      <c r="C98" s="260"/>
      <c r="D98" s="260"/>
      <c r="E98" s="260"/>
      <c r="F98" s="260"/>
      <c r="G98" s="261"/>
      <c r="H98" s="259"/>
      <c r="I98" s="260"/>
      <c r="J98" s="260"/>
      <c r="K98" s="260"/>
      <c r="L98" s="260"/>
      <c r="M98" s="260"/>
      <c r="N98" s="262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3"/>
      <c r="Z98" s="260"/>
      <c r="AA98" s="260"/>
      <c r="AB98" s="260"/>
      <c r="AC98" s="260"/>
      <c r="AD98" s="260"/>
      <c r="AE98" s="260"/>
      <c r="AF98" s="264"/>
      <c r="AG98" s="260"/>
      <c r="AH98" s="260"/>
      <c r="AI98" s="260"/>
    </row>
    <row r="99">
      <c r="A99" s="259"/>
      <c r="B99" s="260"/>
      <c r="C99" s="260"/>
      <c r="D99" s="260"/>
      <c r="E99" s="260"/>
      <c r="F99" s="260"/>
      <c r="G99" s="261"/>
      <c r="H99" s="259"/>
      <c r="I99" s="260"/>
      <c r="J99" s="260"/>
      <c r="K99" s="260"/>
      <c r="L99" s="260"/>
      <c r="M99" s="260"/>
      <c r="N99" s="262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3"/>
      <c r="Z99" s="260"/>
      <c r="AA99" s="260"/>
      <c r="AB99" s="260"/>
      <c r="AC99" s="260"/>
      <c r="AD99" s="260"/>
      <c r="AE99" s="260"/>
      <c r="AF99" s="264"/>
      <c r="AG99" s="260"/>
      <c r="AH99" s="260"/>
      <c r="AI99" s="260"/>
    </row>
    <row r="100">
      <c r="A100" s="259"/>
      <c r="B100" s="260"/>
      <c r="C100" s="260"/>
      <c r="D100" s="260"/>
      <c r="E100" s="260"/>
      <c r="F100" s="260"/>
      <c r="G100" s="261"/>
      <c r="H100" s="259"/>
      <c r="I100" s="260"/>
      <c r="J100" s="260"/>
      <c r="K100" s="260"/>
      <c r="L100" s="260"/>
      <c r="M100" s="260"/>
      <c r="N100" s="262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3"/>
      <c r="Z100" s="260"/>
      <c r="AA100" s="260"/>
      <c r="AB100" s="260"/>
      <c r="AC100" s="260"/>
      <c r="AD100" s="260"/>
      <c r="AE100" s="260"/>
      <c r="AF100" s="264"/>
      <c r="AG100" s="260"/>
      <c r="AH100" s="260"/>
      <c r="AI100" s="260"/>
    </row>
    <row r="101">
      <c r="A101" s="259"/>
      <c r="B101" s="260"/>
      <c r="C101" s="260"/>
      <c r="D101" s="260"/>
      <c r="E101" s="260"/>
      <c r="F101" s="260"/>
      <c r="G101" s="261"/>
      <c r="H101" s="259"/>
      <c r="I101" s="260"/>
      <c r="J101" s="260"/>
      <c r="K101" s="260"/>
      <c r="L101" s="260"/>
      <c r="M101" s="260"/>
      <c r="N101" s="262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3"/>
      <c r="Z101" s="260"/>
      <c r="AA101" s="260"/>
      <c r="AB101" s="260"/>
      <c r="AC101" s="260"/>
      <c r="AD101" s="260"/>
      <c r="AE101" s="260"/>
      <c r="AF101" s="264"/>
      <c r="AG101" s="260"/>
      <c r="AH101" s="260"/>
      <c r="AI101" s="260"/>
    </row>
    <row r="102">
      <c r="A102" s="259"/>
      <c r="B102" s="260"/>
      <c r="C102" s="260"/>
      <c r="D102" s="260"/>
      <c r="E102" s="260"/>
      <c r="F102" s="260"/>
      <c r="G102" s="261"/>
      <c r="H102" s="259"/>
      <c r="I102" s="260"/>
      <c r="J102" s="260"/>
      <c r="K102" s="260"/>
      <c r="L102" s="260"/>
      <c r="M102" s="260"/>
      <c r="N102" s="262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3"/>
      <c r="Z102" s="260"/>
      <c r="AA102" s="260"/>
      <c r="AB102" s="260"/>
      <c r="AC102" s="260"/>
      <c r="AD102" s="260"/>
      <c r="AE102" s="260"/>
      <c r="AF102" s="264"/>
      <c r="AG102" s="260"/>
      <c r="AH102" s="260"/>
      <c r="AI102" s="260"/>
    </row>
    <row r="103">
      <c r="A103" s="259"/>
      <c r="B103" s="260"/>
      <c r="C103" s="260"/>
      <c r="D103" s="260"/>
      <c r="E103" s="260"/>
      <c r="F103" s="260"/>
      <c r="G103" s="261"/>
      <c r="H103" s="259"/>
      <c r="I103" s="260"/>
      <c r="J103" s="260"/>
      <c r="K103" s="260"/>
      <c r="L103" s="260"/>
      <c r="M103" s="260"/>
      <c r="N103" s="262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3"/>
      <c r="Z103" s="260"/>
      <c r="AA103" s="260"/>
      <c r="AB103" s="260"/>
      <c r="AC103" s="260"/>
      <c r="AD103" s="260"/>
      <c r="AE103" s="260"/>
      <c r="AF103" s="264"/>
      <c r="AG103" s="260"/>
      <c r="AH103" s="260"/>
      <c r="AI103" s="260"/>
    </row>
    <row r="104">
      <c r="A104" s="259"/>
      <c r="B104" s="260"/>
      <c r="C104" s="260"/>
      <c r="D104" s="260"/>
      <c r="E104" s="260"/>
      <c r="F104" s="260"/>
      <c r="G104" s="261"/>
      <c r="H104" s="259"/>
      <c r="I104" s="260"/>
      <c r="J104" s="260"/>
      <c r="K104" s="260"/>
      <c r="L104" s="260"/>
      <c r="M104" s="260"/>
      <c r="N104" s="262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3"/>
      <c r="Z104" s="260"/>
      <c r="AA104" s="260"/>
      <c r="AB104" s="260"/>
      <c r="AC104" s="260"/>
      <c r="AD104" s="260"/>
      <c r="AE104" s="260"/>
      <c r="AF104" s="264"/>
      <c r="AG104" s="260"/>
      <c r="AH104" s="260"/>
      <c r="AI104" s="260"/>
    </row>
    <row r="105">
      <c r="A105" s="259"/>
      <c r="B105" s="260"/>
      <c r="C105" s="260"/>
      <c r="D105" s="260"/>
      <c r="E105" s="260"/>
      <c r="F105" s="260"/>
      <c r="G105" s="261"/>
      <c r="H105" s="259"/>
      <c r="I105" s="260"/>
      <c r="J105" s="260"/>
      <c r="K105" s="260"/>
      <c r="L105" s="260"/>
      <c r="M105" s="260"/>
      <c r="N105" s="262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3"/>
      <c r="Z105" s="260"/>
      <c r="AA105" s="260"/>
      <c r="AB105" s="260"/>
      <c r="AC105" s="260"/>
      <c r="AD105" s="260"/>
      <c r="AE105" s="260"/>
      <c r="AF105" s="264"/>
      <c r="AG105" s="260"/>
      <c r="AH105" s="260"/>
      <c r="AI105" s="260"/>
    </row>
    <row r="106">
      <c r="A106" s="259"/>
      <c r="B106" s="260"/>
      <c r="C106" s="260"/>
      <c r="D106" s="260"/>
      <c r="E106" s="260"/>
      <c r="F106" s="260"/>
      <c r="G106" s="261"/>
      <c r="H106" s="259"/>
      <c r="I106" s="260"/>
      <c r="J106" s="260"/>
      <c r="K106" s="260"/>
      <c r="L106" s="260"/>
      <c r="M106" s="260"/>
      <c r="N106" s="262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3"/>
      <c r="Z106" s="260"/>
      <c r="AA106" s="260"/>
      <c r="AB106" s="260"/>
      <c r="AC106" s="260"/>
      <c r="AD106" s="260"/>
      <c r="AE106" s="260"/>
      <c r="AF106" s="264"/>
      <c r="AG106" s="260"/>
      <c r="AH106" s="260"/>
      <c r="AI106" s="260"/>
    </row>
    <row r="107">
      <c r="A107" s="259"/>
      <c r="B107" s="260"/>
      <c r="C107" s="260"/>
      <c r="D107" s="260"/>
      <c r="E107" s="260"/>
      <c r="F107" s="260"/>
      <c r="G107" s="261"/>
      <c r="H107" s="259"/>
      <c r="I107" s="260"/>
      <c r="J107" s="260"/>
      <c r="K107" s="260"/>
      <c r="L107" s="260"/>
      <c r="M107" s="260"/>
      <c r="N107" s="262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3"/>
      <c r="Z107" s="260"/>
      <c r="AA107" s="260"/>
      <c r="AB107" s="260"/>
      <c r="AC107" s="260"/>
      <c r="AD107" s="260"/>
      <c r="AE107" s="260"/>
      <c r="AF107" s="264"/>
      <c r="AG107" s="260"/>
      <c r="AH107" s="260"/>
      <c r="AI107" s="260"/>
    </row>
    <row r="108">
      <c r="A108" s="259"/>
      <c r="B108" s="260"/>
      <c r="C108" s="260"/>
      <c r="D108" s="260"/>
      <c r="E108" s="260"/>
      <c r="F108" s="260"/>
      <c r="G108" s="261"/>
      <c r="H108" s="259"/>
      <c r="I108" s="260"/>
      <c r="J108" s="260"/>
      <c r="K108" s="260"/>
      <c r="L108" s="260"/>
      <c r="M108" s="260"/>
      <c r="N108" s="262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3"/>
      <c r="Z108" s="260"/>
      <c r="AA108" s="260"/>
      <c r="AB108" s="260"/>
      <c r="AC108" s="260"/>
      <c r="AD108" s="260"/>
      <c r="AE108" s="260"/>
      <c r="AF108" s="264"/>
      <c r="AG108" s="260"/>
      <c r="AH108" s="260"/>
      <c r="AI108" s="260"/>
    </row>
    <row r="109">
      <c r="A109" s="259"/>
      <c r="B109" s="260"/>
      <c r="C109" s="260"/>
      <c r="D109" s="260"/>
      <c r="E109" s="260"/>
      <c r="F109" s="260"/>
      <c r="G109" s="261"/>
      <c r="H109" s="259"/>
      <c r="I109" s="260"/>
      <c r="J109" s="260"/>
      <c r="K109" s="260"/>
      <c r="L109" s="260"/>
      <c r="M109" s="260"/>
      <c r="N109" s="262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3"/>
      <c r="Z109" s="260"/>
      <c r="AA109" s="260"/>
      <c r="AB109" s="260"/>
      <c r="AC109" s="260"/>
      <c r="AD109" s="260"/>
      <c r="AE109" s="260"/>
      <c r="AF109" s="264"/>
      <c r="AG109" s="260"/>
      <c r="AH109" s="260"/>
      <c r="AI109" s="260"/>
    </row>
    <row r="110">
      <c r="A110" s="259"/>
      <c r="B110" s="260"/>
      <c r="C110" s="260"/>
      <c r="D110" s="260"/>
      <c r="E110" s="260"/>
      <c r="F110" s="260"/>
      <c r="G110" s="261"/>
      <c r="H110" s="259"/>
      <c r="I110" s="260"/>
      <c r="J110" s="260"/>
      <c r="K110" s="260"/>
      <c r="L110" s="260"/>
      <c r="M110" s="260"/>
      <c r="N110" s="262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3"/>
      <c r="Z110" s="260"/>
      <c r="AA110" s="260"/>
      <c r="AB110" s="260"/>
      <c r="AC110" s="260"/>
      <c r="AD110" s="260"/>
      <c r="AE110" s="260"/>
      <c r="AF110" s="264"/>
      <c r="AG110" s="260"/>
      <c r="AH110" s="260"/>
      <c r="AI110" s="260"/>
    </row>
    <row r="111">
      <c r="A111" s="259"/>
      <c r="B111" s="260"/>
      <c r="C111" s="260"/>
      <c r="D111" s="260"/>
      <c r="E111" s="260"/>
      <c r="F111" s="260"/>
      <c r="G111" s="261"/>
      <c r="H111" s="259"/>
      <c r="I111" s="260"/>
      <c r="J111" s="260"/>
      <c r="K111" s="260"/>
      <c r="L111" s="260"/>
      <c r="M111" s="260"/>
      <c r="N111" s="262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3"/>
      <c r="Z111" s="260"/>
      <c r="AA111" s="260"/>
      <c r="AB111" s="260"/>
      <c r="AC111" s="260"/>
      <c r="AD111" s="260"/>
      <c r="AE111" s="260"/>
      <c r="AF111" s="264"/>
      <c r="AG111" s="260"/>
      <c r="AH111" s="260"/>
      <c r="AI111" s="260"/>
    </row>
    <row r="112">
      <c r="A112" s="259"/>
      <c r="B112" s="260"/>
      <c r="C112" s="260"/>
      <c r="D112" s="260"/>
      <c r="E112" s="260"/>
      <c r="F112" s="260"/>
      <c r="G112" s="261"/>
      <c r="H112" s="259"/>
      <c r="I112" s="260"/>
      <c r="J112" s="260"/>
      <c r="K112" s="260"/>
      <c r="L112" s="260"/>
      <c r="M112" s="260"/>
      <c r="N112" s="262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3"/>
      <c r="Z112" s="260"/>
      <c r="AA112" s="260"/>
      <c r="AB112" s="260"/>
      <c r="AC112" s="260"/>
      <c r="AD112" s="260"/>
      <c r="AE112" s="260"/>
      <c r="AF112" s="264"/>
      <c r="AG112" s="260"/>
      <c r="AH112" s="260"/>
      <c r="AI112" s="260"/>
    </row>
    <row r="113">
      <c r="A113" s="259"/>
      <c r="B113" s="260"/>
      <c r="C113" s="260"/>
      <c r="D113" s="260"/>
      <c r="E113" s="260"/>
      <c r="F113" s="260"/>
      <c r="G113" s="261"/>
      <c r="H113" s="259"/>
      <c r="I113" s="260"/>
      <c r="J113" s="260"/>
      <c r="K113" s="260"/>
      <c r="L113" s="260"/>
      <c r="M113" s="260"/>
      <c r="N113" s="262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3"/>
      <c r="Z113" s="260"/>
      <c r="AA113" s="260"/>
      <c r="AB113" s="260"/>
      <c r="AC113" s="260"/>
      <c r="AD113" s="260"/>
      <c r="AE113" s="260"/>
      <c r="AF113" s="264"/>
      <c r="AG113" s="260"/>
      <c r="AH113" s="260"/>
      <c r="AI113" s="260"/>
    </row>
    <row r="114">
      <c r="A114" s="259"/>
      <c r="B114" s="260"/>
      <c r="C114" s="260"/>
      <c r="D114" s="260"/>
      <c r="E114" s="260"/>
      <c r="F114" s="260"/>
      <c r="G114" s="261"/>
      <c r="H114" s="259"/>
      <c r="I114" s="260"/>
      <c r="J114" s="260"/>
      <c r="K114" s="260"/>
      <c r="L114" s="260"/>
      <c r="M114" s="260"/>
      <c r="N114" s="262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3"/>
      <c r="Z114" s="260"/>
      <c r="AA114" s="260"/>
      <c r="AB114" s="260"/>
      <c r="AC114" s="260"/>
      <c r="AD114" s="260"/>
      <c r="AE114" s="260"/>
      <c r="AF114" s="264"/>
      <c r="AG114" s="260"/>
      <c r="AH114" s="260"/>
      <c r="AI114" s="260"/>
    </row>
    <row r="115">
      <c r="A115" s="259"/>
      <c r="B115" s="260"/>
      <c r="C115" s="260"/>
      <c r="D115" s="260"/>
      <c r="E115" s="260"/>
      <c r="F115" s="260"/>
      <c r="G115" s="261"/>
      <c r="H115" s="259"/>
      <c r="I115" s="260"/>
      <c r="J115" s="260"/>
      <c r="K115" s="260"/>
      <c r="L115" s="260"/>
      <c r="M115" s="260"/>
      <c r="N115" s="262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3"/>
      <c r="Z115" s="260"/>
      <c r="AA115" s="260"/>
      <c r="AB115" s="260"/>
      <c r="AC115" s="260"/>
      <c r="AD115" s="260"/>
      <c r="AE115" s="260"/>
      <c r="AF115" s="264"/>
      <c r="AG115" s="260"/>
      <c r="AH115" s="260"/>
      <c r="AI115" s="260"/>
    </row>
    <row r="116">
      <c r="A116" s="259"/>
      <c r="B116" s="260"/>
      <c r="C116" s="260"/>
      <c r="D116" s="260"/>
      <c r="E116" s="260"/>
      <c r="F116" s="260"/>
      <c r="G116" s="261"/>
      <c r="H116" s="259"/>
      <c r="I116" s="260"/>
      <c r="J116" s="260"/>
      <c r="K116" s="260"/>
      <c r="L116" s="260"/>
      <c r="M116" s="260"/>
      <c r="N116" s="262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3"/>
      <c r="Z116" s="260"/>
      <c r="AA116" s="260"/>
      <c r="AB116" s="260"/>
      <c r="AC116" s="260"/>
      <c r="AD116" s="260"/>
      <c r="AE116" s="260"/>
      <c r="AF116" s="264"/>
      <c r="AG116" s="260"/>
      <c r="AH116" s="260"/>
      <c r="AI116" s="260"/>
    </row>
    <row r="117">
      <c r="A117" s="259"/>
      <c r="B117" s="260"/>
      <c r="C117" s="260"/>
      <c r="D117" s="260"/>
      <c r="E117" s="260"/>
      <c r="F117" s="260"/>
      <c r="G117" s="261"/>
      <c r="H117" s="259"/>
      <c r="I117" s="260"/>
      <c r="J117" s="260"/>
      <c r="K117" s="260"/>
      <c r="L117" s="260"/>
      <c r="M117" s="260"/>
      <c r="N117" s="262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3"/>
      <c r="Z117" s="260"/>
      <c r="AA117" s="260"/>
      <c r="AB117" s="260"/>
      <c r="AC117" s="260"/>
      <c r="AD117" s="260"/>
      <c r="AE117" s="260"/>
      <c r="AF117" s="264"/>
      <c r="AG117" s="260"/>
      <c r="AH117" s="260"/>
      <c r="AI117" s="260"/>
    </row>
    <row r="118">
      <c r="A118" s="259"/>
      <c r="B118" s="260"/>
      <c r="C118" s="260"/>
      <c r="D118" s="260"/>
      <c r="E118" s="260"/>
      <c r="F118" s="260"/>
      <c r="G118" s="261"/>
      <c r="H118" s="259"/>
      <c r="I118" s="260"/>
      <c r="J118" s="260"/>
      <c r="K118" s="260"/>
      <c r="L118" s="260"/>
      <c r="M118" s="260"/>
      <c r="N118" s="262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3"/>
      <c r="Z118" s="260"/>
      <c r="AA118" s="260"/>
      <c r="AB118" s="260"/>
      <c r="AC118" s="260"/>
      <c r="AD118" s="260"/>
      <c r="AE118" s="260"/>
      <c r="AF118" s="264"/>
      <c r="AG118" s="260"/>
      <c r="AH118" s="260"/>
      <c r="AI118" s="260"/>
    </row>
    <row r="119">
      <c r="A119" s="259"/>
      <c r="B119" s="260"/>
      <c r="C119" s="260"/>
      <c r="D119" s="260"/>
      <c r="E119" s="260"/>
      <c r="F119" s="260"/>
      <c r="G119" s="261"/>
      <c r="H119" s="259"/>
      <c r="I119" s="260"/>
      <c r="J119" s="260"/>
      <c r="K119" s="260"/>
      <c r="L119" s="260"/>
      <c r="M119" s="260"/>
      <c r="N119" s="262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3"/>
      <c r="Z119" s="260"/>
      <c r="AA119" s="260"/>
      <c r="AB119" s="260"/>
      <c r="AC119" s="260"/>
      <c r="AD119" s="260"/>
      <c r="AE119" s="260"/>
      <c r="AF119" s="264"/>
      <c r="AG119" s="260"/>
      <c r="AH119" s="260"/>
      <c r="AI119" s="260"/>
    </row>
    <row r="120">
      <c r="A120" s="259"/>
      <c r="B120" s="260"/>
      <c r="C120" s="260"/>
      <c r="D120" s="260"/>
      <c r="E120" s="260"/>
      <c r="F120" s="260"/>
      <c r="G120" s="261"/>
      <c r="H120" s="259"/>
      <c r="I120" s="260"/>
      <c r="J120" s="260"/>
      <c r="K120" s="260"/>
      <c r="L120" s="260"/>
      <c r="M120" s="260"/>
      <c r="N120" s="262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3"/>
      <c r="Z120" s="260"/>
      <c r="AA120" s="260"/>
      <c r="AB120" s="260"/>
      <c r="AC120" s="260"/>
      <c r="AD120" s="260"/>
      <c r="AE120" s="260"/>
      <c r="AF120" s="264"/>
      <c r="AG120" s="260"/>
      <c r="AH120" s="260"/>
      <c r="AI120" s="260"/>
    </row>
    <row r="121">
      <c r="A121" s="259"/>
      <c r="B121" s="260"/>
      <c r="C121" s="260"/>
      <c r="D121" s="260"/>
      <c r="E121" s="260"/>
      <c r="F121" s="260"/>
      <c r="G121" s="261"/>
      <c r="H121" s="259"/>
      <c r="I121" s="260"/>
      <c r="J121" s="260"/>
      <c r="K121" s="260"/>
      <c r="L121" s="260"/>
      <c r="M121" s="260"/>
      <c r="N121" s="262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3"/>
      <c r="Z121" s="260"/>
      <c r="AA121" s="260"/>
      <c r="AB121" s="260"/>
      <c r="AC121" s="260"/>
      <c r="AD121" s="260"/>
      <c r="AE121" s="260"/>
      <c r="AF121" s="264"/>
      <c r="AG121" s="260"/>
      <c r="AH121" s="260"/>
      <c r="AI121" s="260"/>
    </row>
    <row r="122">
      <c r="A122" s="259"/>
      <c r="B122" s="260"/>
      <c r="C122" s="260"/>
      <c r="D122" s="260"/>
      <c r="E122" s="260"/>
      <c r="F122" s="260"/>
      <c r="G122" s="261"/>
      <c r="H122" s="259"/>
      <c r="I122" s="260"/>
      <c r="J122" s="260"/>
      <c r="K122" s="260"/>
      <c r="L122" s="260"/>
      <c r="M122" s="260"/>
      <c r="N122" s="262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3"/>
      <c r="Z122" s="260"/>
      <c r="AA122" s="260"/>
      <c r="AB122" s="260"/>
      <c r="AC122" s="260"/>
      <c r="AD122" s="260"/>
      <c r="AE122" s="260"/>
      <c r="AF122" s="264"/>
      <c r="AG122" s="260"/>
      <c r="AH122" s="260"/>
      <c r="AI122" s="260"/>
    </row>
    <row r="123">
      <c r="A123" s="259"/>
      <c r="B123" s="260"/>
      <c r="C123" s="260"/>
      <c r="D123" s="260"/>
      <c r="E123" s="260"/>
      <c r="F123" s="260"/>
      <c r="G123" s="261"/>
      <c r="H123" s="259"/>
      <c r="I123" s="260"/>
      <c r="J123" s="260"/>
      <c r="K123" s="260"/>
      <c r="L123" s="260"/>
      <c r="M123" s="260"/>
      <c r="N123" s="262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3"/>
      <c r="Z123" s="260"/>
      <c r="AA123" s="260"/>
      <c r="AB123" s="260"/>
      <c r="AC123" s="260"/>
      <c r="AD123" s="260"/>
      <c r="AE123" s="260"/>
      <c r="AF123" s="264"/>
      <c r="AG123" s="260"/>
      <c r="AH123" s="260"/>
      <c r="AI123" s="260"/>
    </row>
    <row r="124">
      <c r="A124" s="259"/>
      <c r="B124" s="260"/>
      <c r="C124" s="260"/>
      <c r="D124" s="260"/>
      <c r="E124" s="260"/>
      <c r="F124" s="260"/>
      <c r="G124" s="261"/>
      <c r="H124" s="259"/>
      <c r="I124" s="260"/>
      <c r="J124" s="260"/>
      <c r="K124" s="260"/>
      <c r="L124" s="260"/>
      <c r="M124" s="260"/>
      <c r="N124" s="262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3"/>
      <c r="Z124" s="260"/>
      <c r="AA124" s="260"/>
      <c r="AB124" s="260"/>
      <c r="AC124" s="260"/>
      <c r="AD124" s="260"/>
      <c r="AE124" s="260"/>
      <c r="AF124" s="264"/>
      <c r="AG124" s="260"/>
      <c r="AH124" s="260"/>
      <c r="AI124" s="260"/>
    </row>
    <row r="125">
      <c r="A125" s="259"/>
      <c r="B125" s="260"/>
      <c r="C125" s="260"/>
      <c r="D125" s="260"/>
      <c r="E125" s="260"/>
      <c r="F125" s="260"/>
      <c r="G125" s="261"/>
      <c r="H125" s="259"/>
      <c r="I125" s="260"/>
      <c r="J125" s="260"/>
      <c r="K125" s="260"/>
      <c r="L125" s="260"/>
      <c r="M125" s="260"/>
      <c r="N125" s="262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3"/>
      <c r="Z125" s="260"/>
      <c r="AA125" s="260"/>
      <c r="AB125" s="260"/>
      <c r="AC125" s="260"/>
      <c r="AD125" s="260"/>
      <c r="AE125" s="260"/>
      <c r="AF125" s="264"/>
      <c r="AG125" s="260"/>
      <c r="AH125" s="260"/>
      <c r="AI125" s="260"/>
    </row>
    <row r="126">
      <c r="A126" s="259"/>
      <c r="B126" s="260"/>
      <c r="C126" s="260"/>
      <c r="D126" s="260"/>
      <c r="E126" s="260"/>
      <c r="F126" s="260"/>
      <c r="G126" s="261"/>
      <c r="H126" s="259"/>
      <c r="I126" s="260"/>
      <c r="J126" s="260"/>
      <c r="K126" s="260"/>
      <c r="L126" s="260"/>
      <c r="M126" s="260"/>
      <c r="N126" s="262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3"/>
      <c r="Z126" s="260"/>
      <c r="AA126" s="260"/>
      <c r="AB126" s="260"/>
      <c r="AC126" s="260"/>
      <c r="AD126" s="260"/>
      <c r="AE126" s="260"/>
      <c r="AF126" s="264"/>
      <c r="AG126" s="260"/>
      <c r="AH126" s="260"/>
      <c r="AI126" s="260"/>
    </row>
    <row r="127">
      <c r="A127" s="259"/>
      <c r="B127" s="260"/>
      <c r="C127" s="260"/>
      <c r="D127" s="260"/>
      <c r="E127" s="260"/>
      <c r="F127" s="260"/>
      <c r="G127" s="261"/>
      <c r="H127" s="259"/>
      <c r="I127" s="260"/>
      <c r="J127" s="260"/>
      <c r="K127" s="260"/>
      <c r="L127" s="260"/>
      <c r="M127" s="260"/>
      <c r="N127" s="262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3"/>
      <c r="Z127" s="260"/>
      <c r="AA127" s="260"/>
      <c r="AB127" s="260"/>
      <c r="AC127" s="260"/>
      <c r="AD127" s="260"/>
      <c r="AE127" s="260"/>
      <c r="AF127" s="264"/>
      <c r="AG127" s="260"/>
      <c r="AH127" s="260"/>
      <c r="AI127" s="260"/>
    </row>
    <row r="128">
      <c r="A128" s="259"/>
      <c r="B128" s="260"/>
      <c r="C128" s="260"/>
      <c r="D128" s="260"/>
      <c r="E128" s="260"/>
      <c r="F128" s="260"/>
      <c r="G128" s="261"/>
      <c r="H128" s="259"/>
      <c r="I128" s="260"/>
      <c r="J128" s="260"/>
      <c r="K128" s="260"/>
      <c r="L128" s="260"/>
      <c r="M128" s="260"/>
      <c r="N128" s="262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3"/>
      <c r="Z128" s="260"/>
      <c r="AA128" s="260"/>
      <c r="AB128" s="260"/>
      <c r="AC128" s="260"/>
      <c r="AD128" s="260"/>
      <c r="AE128" s="260"/>
      <c r="AF128" s="264"/>
      <c r="AG128" s="260"/>
      <c r="AH128" s="260"/>
      <c r="AI128" s="260"/>
    </row>
    <row r="129">
      <c r="A129" s="259"/>
      <c r="B129" s="260"/>
      <c r="C129" s="260"/>
      <c r="D129" s="260"/>
      <c r="E129" s="260"/>
      <c r="F129" s="260"/>
      <c r="G129" s="261"/>
      <c r="H129" s="259"/>
      <c r="I129" s="260"/>
      <c r="J129" s="260"/>
      <c r="K129" s="260"/>
      <c r="L129" s="260"/>
      <c r="M129" s="260"/>
      <c r="N129" s="262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3"/>
      <c r="Z129" s="260"/>
      <c r="AA129" s="260"/>
      <c r="AB129" s="260"/>
      <c r="AC129" s="260"/>
      <c r="AD129" s="260"/>
      <c r="AE129" s="260"/>
      <c r="AF129" s="264"/>
      <c r="AG129" s="260"/>
      <c r="AH129" s="260"/>
      <c r="AI129" s="260"/>
    </row>
    <row r="130">
      <c r="A130" s="259"/>
      <c r="B130" s="260"/>
      <c r="C130" s="260"/>
      <c r="D130" s="260"/>
      <c r="E130" s="260"/>
      <c r="F130" s="260"/>
      <c r="G130" s="261"/>
      <c r="H130" s="259"/>
      <c r="I130" s="260"/>
      <c r="J130" s="260"/>
      <c r="K130" s="260"/>
      <c r="L130" s="260"/>
      <c r="M130" s="260"/>
      <c r="N130" s="262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3"/>
      <c r="Z130" s="260"/>
      <c r="AA130" s="260"/>
      <c r="AB130" s="260"/>
      <c r="AC130" s="260"/>
      <c r="AD130" s="260"/>
      <c r="AE130" s="260"/>
      <c r="AF130" s="264"/>
      <c r="AG130" s="260"/>
      <c r="AH130" s="260"/>
      <c r="AI130" s="260"/>
    </row>
    <row r="131">
      <c r="A131" s="259"/>
      <c r="B131" s="260"/>
      <c r="C131" s="260"/>
      <c r="D131" s="260"/>
      <c r="E131" s="260"/>
      <c r="F131" s="260"/>
      <c r="G131" s="261"/>
      <c r="H131" s="259"/>
      <c r="I131" s="260"/>
      <c r="J131" s="260"/>
      <c r="K131" s="260"/>
      <c r="L131" s="260"/>
      <c r="M131" s="260"/>
      <c r="N131" s="262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3"/>
      <c r="Z131" s="260"/>
      <c r="AA131" s="260"/>
      <c r="AB131" s="260"/>
      <c r="AC131" s="260"/>
      <c r="AD131" s="260"/>
      <c r="AE131" s="260"/>
      <c r="AF131" s="264"/>
      <c r="AG131" s="260"/>
      <c r="AH131" s="260"/>
      <c r="AI131" s="260"/>
    </row>
    <row r="132">
      <c r="A132" s="259"/>
      <c r="B132" s="260"/>
      <c r="C132" s="260"/>
      <c r="D132" s="260"/>
      <c r="E132" s="260"/>
      <c r="F132" s="260"/>
      <c r="G132" s="261"/>
      <c r="H132" s="259"/>
      <c r="I132" s="260"/>
      <c r="J132" s="260"/>
      <c r="K132" s="260"/>
      <c r="L132" s="260"/>
      <c r="M132" s="260"/>
      <c r="N132" s="262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3"/>
      <c r="Z132" s="260"/>
      <c r="AA132" s="260"/>
      <c r="AB132" s="260"/>
      <c r="AC132" s="260"/>
      <c r="AD132" s="260"/>
      <c r="AE132" s="260"/>
      <c r="AF132" s="264"/>
      <c r="AG132" s="260"/>
      <c r="AH132" s="260"/>
      <c r="AI132" s="260"/>
    </row>
    <row r="133">
      <c r="A133" s="259"/>
      <c r="B133" s="260"/>
      <c r="C133" s="260"/>
      <c r="D133" s="260"/>
      <c r="E133" s="260"/>
      <c r="F133" s="260"/>
      <c r="G133" s="261"/>
      <c r="H133" s="259"/>
      <c r="I133" s="260"/>
      <c r="J133" s="260"/>
      <c r="K133" s="260"/>
      <c r="L133" s="260"/>
      <c r="M133" s="260"/>
      <c r="N133" s="262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3"/>
      <c r="Z133" s="260"/>
      <c r="AA133" s="260"/>
      <c r="AB133" s="260"/>
      <c r="AC133" s="260"/>
      <c r="AD133" s="260"/>
      <c r="AE133" s="260"/>
      <c r="AF133" s="264"/>
      <c r="AG133" s="260"/>
      <c r="AH133" s="260"/>
      <c r="AI133" s="260"/>
    </row>
    <row r="134">
      <c r="A134" s="259"/>
      <c r="B134" s="260"/>
      <c r="C134" s="260"/>
      <c r="D134" s="260"/>
      <c r="E134" s="260"/>
      <c r="F134" s="260"/>
      <c r="G134" s="261"/>
      <c r="H134" s="259"/>
      <c r="I134" s="260"/>
      <c r="J134" s="260"/>
      <c r="K134" s="260"/>
      <c r="L134" s="260"/>
      <c r="M134" s="260"/>
      <c r="N134" s="262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3"/>
      <c r="Z134" s="260"/>
      <c r="AA134" s="260"/>
      <c r="AB134" s="260"/>
      <c r="AC134" s="260"/>
      <c r="AD134" s="260"/>
      <c r="AE134" s="260"/>
      <c r="AF134" s="264"/>
      <c r="AG134" s="260"/>
      <c r="AH134" s="260"/>
      <c r="AI134" s="260"/>
    </row>
    <row r="135">
      <c r="A135" s="259"/>
      <c r="B135" s="260"/>
      <c r="C135" s="260"/>
      <c r="D135" s="260"/>
      <c r="E135" s="260"/>
      <c r="F135" s="260"/>
      <c r="G135" s="261"/>
      <c r="H135" s="259"/>
      <c r="I135" s="260"/>
      <c r="J135" s="260"/>
      <c r="K135" s="260"/>
      <c r="L135" s="260"/>
      <c r="M135" s="260"/>
      <c r="N135" s="262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3"/>
      <c r="Z135" s="260"/>
      <c r="AA135" s="260"/>
      <c r="AB135" s="260"/>
      <c r="AC135" s="260"/>
      <c r="AD135" s="260"/>
      <c r="AE135" s="260"/>
      <c r="AF135" s="264"/>
      <c r="AG135" s="260"/>
      <c r="AH135" s="260"/>
      <c r="AI135" s="260"/>
    </row>
    <row r="136">
      <c r="A136" s="259"/>
      <c r="B136" s="260"/>
      <c r="C136" s="260"/>
      <c r="D136" s="260"/>
      <c r="E136" s="260"/>
      <c r="F136" s="260"/>
      <c r="G136" s="261"/>
      <c r="H136" s="259"/>
      <c r="I136" s="260"/>
      <c r="J136" s="260"/>
      <c r="K136" s="260"/>
      <c r="L136" s="260"/>
      <c r="M136" s="260"/>
      <c r="N136" s="262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3"/>
      <c r="Z136" s="260"/>
      <c r="AA136" s="260"/>
      <c r="AB136" s="260"/>
      <c r="AC136" s="260"/>
      <c r="AD136" s="260"/>
      <c r="AE136" s="260"/>
      <c r="AF136" s="264"/>
      <c r="AG136" s="260"/>
      <c r="AH136" s="260"/>
      <c r="AI136" s="260"/>
    </row>
    <row r="137">
      <c r="A137" s="259"/>
      <c r="B137" s="260"/>
      <c r="C137" s="260"/>
      <c r="D137" s="260"/>
      <c r="E137" s="260"/>
      <c r="F137" s="260"/>
      <c r="G137" s="261"/>
      <c r="H137" s="259"/>
      <c r="I137" s="260"/>
      <c r="J137" s="260"/>
      <c r="K137" s="260"/>
      <c r="L137" s="260"/>
      <c r="M137" s="260"/>
      <c r="N137" s="262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3"/>
      <c r="Z137" s="260"/>
      <c r="AA137" s="260"/>
      <c r="AB137" s="260"/>
      <c r="AC137" s="260"/>
      <c r="AD137" s="260"/>
      <c r="AE137" s="260"/>
      <c r="AF137" s="264"/>
      <c r="AG137" s="260"/>
      <c r="AH137" s="260"/>
      <c r="AI137" s="260"/>
    </row>
    <row r="138">
      <c r="A138" s="259"/>
      <c r="B138" s="260"/>
      <c r="C138" s="260"/>
      <c r="D138" s="260"/>
      <c r="E138" s="260"/>
      <c r="F138" s="260"/>
      <c r="G138" s="261"/>
      <c r="H138" s="259"/>
      <c r="I138" s="260"/>
      <c r="J138" s="260"/>
      <c r="K138" s="260"/>
      <c r="L138" s="260"/>
      <c r="M138" s="260"/>
      <c r="N138" s="262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3"/>
      <c r="Z138" s="260"/>
      <c r="AA138" s="260"/>
      <c r="AB138" s="260"/>
      <c r="AC138" s="260"/>
      <c r="AD138" s="260"/>
      <c r="AE138" s="260"/>
      <c r="AF138" s="264"/>
      <c r="AG138" s="260"/>
      <c r="AH138" s="260"/>
      <c r="AI138" s="260"/>
    </row>
    <row r="139">
      <c r="A139" s="259"/>
      <c r="B139" s="260"/>
      <c r="C139" s="260"/>
      <c r="D139" s="260"/>
      <c r="E139" s="260"/>
      <c r="F139" s="260"/>
      <c r="G139" s="261"/>
      <c r="H139" s="259"/>
      <c r="I139" s="260"/>
      <c r="J139" s="260"/>
      <c r="K139" s="260"/>
      <c r="L139" s="260"/>
      <c r="M139" s="260"/>
      <c r="N139" s="262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3"/>
      <c r="Z139" s="260"/>
      <c r="AA139" s="260"/>
      <c r="AB139" s="260"/>
      <c r="AC139" s="260"/>
      <c r="AD139" s="260"/>
      <c r="AE139" s="260"/>
      <c r="AF139" s="264"/>
      <c r="AG139" s="260"/>
      <c r="AH139" s="260"/>
      <c r="AI139" s="260"/>
    </row>
    <row r="140">
      <c r="A140" s="259"/>
      <c r="B140" s="260"/>
      <c r="C140" s="260"/>
      <c r="D140" s="260"/>
      <c r="E140" s="260"/>
      <c r="F140" s="260"/>
      <c r="G140" s="261"/>
      <c r="H140" s="259"/>
      <c r="I140" s="260"/>
      <c r="J140" s="260"/>
      <c r="K140" s="260"/>
      <c r="L140" s="260"/>
      <c r="M140" s="260"/>
      <c r="N140" s="262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3"/>
      <c r="Z140" s="260"/>
      <c r="AA140" s="260"/>
      <c r="AB140" s="260"/>
      <c r="AC140" s="260"/>
      <c r="AD140" s="260"/>
      <c r="AE140" s="260"/>
      <c r="AF140" s="264"/>
      <c r="AG140" s="260"/>
      <c r="AH140" s="260"/>
      <c r="AI140" s="260"/>
    </row>
    <row r="141">
      <c r="A141" s="259"/>
      <c r="B141" s="260"/>
      <c r="C141" s="260"/>
      <c r="D141" s="260"/>
      <c r="E141" s="260"/>
      <c r="F141" s="260"/>
      <c r="G141" s="261"/>
      <c r="H141" s="259"/>
      <c r="I141" s="260"/>
      <c r="J141" s="260"/>
      <c r="K141" s="260"/>
      <c r="L141" s="260"/>
      <c r="M141" s="260"/>
      <c r="N141" s="262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3"/>
      <c r="Z141" s="260"/>
      <c r="AA141" s="260"/>
      <c r="AB141" s="260"/>
      <c r="AC141" s="260"/>
      <c r="AD141" s="260"/>
      <c r="AE141" s="260"/>
      <c r="AF141" s="264"/>
      <c r="AG141" s="260"/>
      <c r="AH141" s="260"/>
      <c r="AI141" s="260"/>
    </row>
    <row r="142">
      <c r="A142" s="259"/>
      <c r="B142" s="260"/>
      <c r="C142" s="260"/>
      <c r="D142" s="260"/>
      <c r="E142" s="260"/>
      <c r="F142" s="260"/>
      <c r="G142" s="261"/>
      <c r="H142" s="259"/>
      <c r="I142" s="260"/>
      <c r="J142" s="260"/>
      <c r="K142" s="260"/>
      <c r="L142" s="260"/>
      <c r="M142" s="260"/>
      <c r="N142" s="262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3"/>
      <c r="Z142" s="260"/>
      <c r="AA142" s="260"/>
      <c r="AB142" s="260"/>
      <c r="AC142" s="260"/>
      <c r="AD142" s="260"/>
      <c r="AE142" s="260"/>
      <c r="AF142" s="264"/>
      <c r="AG142" s="260"/>
      <c r="AH142" s="260"/>
      <c r="AI142" s="260"/>
    </row>
    <row r="143">
      <c r="A143" s="259"/>
      <c r="B143" s="260"/>
      <c r="C143" s="260"/>
      <c r="D143" s="260"/>
      <c r="E143" s="260"/>
      <c r="F143" s="260"/>
      <c r="G143" s="261"/>
      <c r="H143" s="259"/>
      <c r="I143" s="260"/>
      <c r="J143" s="260"/>
      <c r="K143" s="260"/>
      <c r="L143" s="260"/>
      <c r="M143" s="260"/>
      <c r="N143" s="262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3"/>
      <c r="Z143" s="260"/>
      <c r="AA143" s="260"/>
      <c r="AB143" s="260"/>
      <c r="AC143" s="260"/>
      <c r="AD143" s="260"/>
      <c r="AE143" s="260"/>
      <c r="AF143" s="264"/>
      <c r="AG143" s="260"/>
      <c r="AH143" s="260"/>
      <c r="AI143" s="260"/>
    </row>
    <row r="144">
      <c r="A144" s="259"/>
      <c r="B144" s="260"/>
      <c r="C144" s="260"/>
      <c r="D144" s="260"/>
      <c r="E144" s="260"/>
      <c r="F144" s="260"/>
      <c r="G144" s="261"/>
      <c r="H144" s="259"/>
      <c r="I144" s="260"/>
      <c r="J144" s="260"/>
      <c r="K144" s="260"/>
      <c r="L144" s="260"/>
      <c r="M144" s="260"/>
      <c r="N144" s="262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3"/>
      <c r="Z144" s="260"/>
      <c r="AA144" s="260"/>
      <c r="AB144" s="260"/>
      <c r="AC144" s="260"/>
      <c r="AD144" s="260"/>
      <c r="AE144" s="260"/>
      <c r="AF144" s="264"/>
      <c r="AG144" s="260"/>
      <c r="AH144" s="260"/>
      <c r="AI144" s="260"/>
    </row>
    <row r="145">
      <c r="A145" s="259"/>
      <c r="B145" s="260"/>
      <c r="C145" s="260"/>
      <c r="D145" s="260"/>
      <c r="E145" s="260"/>
      <c r="F145" s="260"/>
      <c r="G145" s="261"/>
      <c r="H145" s="259"/>
      <c r="I145" s="260"/>
      <c r="J145" s="260"/>
      <c r="K145" s="260"/>
      <c r="L145" s="260"/>
      <c r="M145" s="260"/>
      <c r="N145" s="262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3"/>
      <c r="Z145" s="260"/>
      <c r="AA145" s="260"/>
      <c r="AB145" s="260"/>
      <c r="AC145" s="260"/>
      <c r="AD145" s="260"/>
      <c r="AE145" s="260"/>
      <c r="AF145" s="264"/>
      <c r="AG145" s="260"/>
      <c r="AH145" s="260"/>
      <c r="AI145" s="260"/>
    </row>
    <row r="146">
      <c r="A146" s="259"/>
      <c r="B146" s="260"/>
      <c r="C146" s="260"/>
      <c r="D146" s="260"/>
      <c r="E146" s="260"/>
      <c r="F146" s="260"/>
      <c r="G146" s="261"/>
      <c r="H146" s="259"/>
      <c r="I146" s="260"/>
      <c r="J146" s="260"/>
      <c r="K146" s="260"/>
      <c r="L146" s="260"/>
      <c r="M146" s="260"/>
      <c r="N146" s="262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3"/>
      <c r="Z146" s="260"/>
      <c r="AA146" s="260"/>
      <c r="AB146" s="260"/>
      <c r="AC146" s="260"/>
      <c r="AD146" s="260"/>
      <c r="AE146" s="260"/>
      <c r="AF146" s="264"/>
      <c r="AG146" s="260"/>
      <c r="AH146" s="260"/>
      <c r="AI146" s="260"/>
    </row>
    <row r="147">
      <c r="A147" s="259"/>
      <c r="B147" s="260"/>
      <c r="C147" s="260"/>
      <c r="D147" s="260"/>
      <c r="E147" s="260"/>
      <c r="F147" s="260"/>
      <c r="G147" s="261"/>
      <c r="H147" s="259"/>
      <c r="I147" s="260"/>
      <c r="J147" s="260"/>
      <c r="K147" s="260"/>
      <c r="L147" s="260"/>
      <c r="M147" s="260"/>
      <c r="N147" s="262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3"/>
      <c r="Z147" s="260"/>
      <c r="AA147" s="260"/>
      <c r="AB147" s="260"/>
      <c r="AC147" s="260"/>
      <c r="AD147" s="260"/>
      <c r="AE147" s="260"/>
      <c r="AF147" s="264"/>
      <c r="AG147" s="260"/>
      <c r="AH147" s="260"/>
      <c r="AI147" s="260"/>
    </row>
    <row r="148">
      <c r="A148" s="259"/>
      <c r="B148" s="260"/>
      <c r="C148" s="260"/>
      <c r="D148" s="260"/>
      <c r="E148" s="260"/>
      <c r="F148" s="260"/>
      <c r="G148" s="261"/>
      <c r="H148" s="259"/>
      <c r="I148" s="260"/>
      <c r="J148" s="260"/>
      <c r="K148" s="260"/>
      <c r="L148" s="260"/>
      <c r="M148" s="260"/>
      <c r="N148" s="262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3"/>
      <c r="Z148" s="260"/>
      <c r="AA148" s="260"/>
      <c r="AB148" s="260"/>
      <c r="AC148" s="260"/>
      <c r="AD148" s="260"/>
      <c r="AE148" s="260"/>
      <c r="AF148" s="264"/>
      <c r="AG148" s="260"/>
      <c r="AH148" s="260"/>
      <c r="AI148" s="260"/>
    </row>
    <row r="149">
      <c r="A149" s="259"/>
      <c r="B149" s="260"/>
      <c r="C149" s="260"/>
      <c r="D149" s="260"/>
      <c r="E149" s="260"/>
      <c r="F149" s="260"/>
      <c r="G149" s="261"/>
      <c r="H149" s="259"/>
      <c r="I149" s="260"/>
      <c r="J149" s="260"/>
      <c r="K149" s="260"/>
      <c r="L149" s="260"/>
      <c r="M149" s="260"/>
      <c r="N149" s="262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3"/>
      <c r="Z149" s="260"/>
      <c r="AA149" s="260"/>
      <c r="AB149" s="260"/>
      <c r="AC149" s="260"/>
      <c r="AD149" s="260"/>
      <c r="AE149" s="260"/>
      <c r="AF149" s="264"/>
      <c r="AG149" s="260"/>
      <c r="AH149" s="260"/>
      <c r="AI149" s="260"/>
    </row>
    <row r="150">
      <c r="A150" s="259"/>
      <c r="B150" s="260"/>
      <c r="C150" s="260"/>
      <c r="D150" s="260"/>
      <c r="E150" s="260"/>
      <c r="F150" s="260"/>
      <c r="G150" s="261"/>
      <c r="H150" s="259"/>
      <c r="I150" s="260"/>
      <c r="J150" s="260"/>
      <c r="K150" s="260"/>
      <c r="L150" s="260"/>
      <c r="M150" s="260"/>
      <c r="N150" s="262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3"/>
      <c r="Z150" s="260"/>
      <c r="AA150" s="260"/>
      <c r="AB150" s="260"/>
      <c r="AC150" s="260"/>
      <c r="AD150" s="260"/>
      <c r="AE150" s="260"/>
      <c r="AF150" s="264"/>
      <c r="AG150" s="260"/>
      <c r="AH150" s="260"/>
      <c r="AI150" s="260"/>
    </row>
    <row r="151">
      <c r="A151" s="259"/>
      <c r="B151" s="260"/>
      <c r="C151" s="260"/>
      <c r="D151" s="260"/>
      <c r="E151" s="260"/>
      <c r="F151" s="260"/>
      <c r="G151" s="261"/>
      <c r="H151" s="259"/>
      <c r="I151" s="260"/>
      <c r="J151" s="260"/>
      <c r="K151" s="260"/>
      <c r="L151" s="260"/>
      <c r="M151" s="260"/>
      <c r="N151" s="262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3"/>
      <c r="Z151" s="260"/>
      <c r="AA151" s="260"/>
      <c r="AB151" s="260"/>
      <c r="AC151" s="260"/>
      <c r="AD151" s="260"/>
      <c r="AE151" s="260"/>
      <c r="AF151" s="264"/>
      <c r="AG151" s="260"/>
      <c r="AH151" s="260"/>
      <c r="AI151" s="260"/>
    </row>
    <row r="152">
      <c r="A152" s="259"/>
      <c r="B152" s="260"/>
      <c r="C152" s="260"/>
      <c r="D152" s="260"/>
      <c r="E152" s="260"/>
      <c r="F152" s="260"/>
      <c r="G152" s="261"/>
      <c r="H152" s="259"/>
      <c r="I152" s="260"/>
      <c r="J152" s="260"/>
      <c r="K152" s="260"/>
      <c r="L152" s="260"/>
      <c r="M152" s="260"/>
      <c r="N152" s="262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3"/>
      <c r="Z152" s="260"/>
      <c r="AA152" s="260"/>
      <c r="AB152" s="260"/>
      <c r="AC152" s="260"/>
      <c r="AD152" s="260"/>
      <c r="AE152" s="260"/>
      <c r="AF152" s="264"/>
      <c r="AG152" s="260"/>
      <c r="AH152" s="260"/>
      <c r="AI152" s="260"/>
    </row>
    <row r="153">
      <c r="A153" s="259"/>
      <c r="B153" s="260"/>
      <c r="C153" s="260"/>
      <c r="D153" s="260"/>
      <c r="E153" s="260"/>
      <c r="F153" s="260"/>
      <c r="G153" s="261"/>
      <c r="H153" s="259"/>
      <c r="I153" s="260"/>
      <c r="J153" s="260"/>
      <c r="K153" s="260"/>
      <c r="L153" s="260"/>
      <c r="M153" s="260"/>
      <c r="N153" s="262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3"/>
      <c r="Z153" s="260"/>
      <c r="AA153" s="260"/>
      <c r="AB153" s="260"/>
      <c r="AC153" s="260"/>
      <c r="AD153" s="260"/>
      <c r="AE153" s="260"/>
      <c r="AF153" s="264"/>
      <c r="AG153" s="260"/>
      <c r="AH153" s="260"/>
      <c r="AI153" s="260"/>
    </row>
    <row r="154">
      <c r="A154" s="259"/>
      <c r="B154" s="260"/>
      <c r="C154" s="260"/>
      <c r="D154" s="260"/>
      <c r="E154" s="260"/>
      <c r="F154" s="260"/>
      <c r="G154" s="261"/>
      <c r="H154" s="259"/>
      <c r="I154" s="260"/>
      <c r="J154" s="260"/>
      <c r="K154" s="260"/>
      <c r="L154" s="260"/>
      <c r="M154" s="260"/>
      <c r="N154" s="262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3"/>
      <c r="Z154" s="260"/>
      <c r="AA154" s="260"/>
      <c r="AB154" s="260"/>
      <c r="AC154" s="260"/>
      <c r="AD154" s="260"/>
      <c r="AE154" s="260"/>
      <c r="AF154" s="264"/>
      <c r="AG154" s="260"/>
      <c r="AH154" s="260"/>
      <c r="AI154" s="260"/>
    </row>
    <row r="155">
      <c r="A155" s="259"/>
      <c r="B155" s="260"/>
      <c r="C155" s="260"/>
      <c r="D155" s="260"/>
      <c r="E155" s="260"/>
      <c r="F155" s="260"/>
      <c r="G155" s="261"/>
      <c r="H155" s="259"/>
      <c r="I155" s="260"/>
      <c r="J155" s="260"/>
      <c r="K155" s="260"/>
      <c r="L155" s="260"/>
      <c r="M155" s="260"/>
      <c r="N155" s="262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3"/>
      <c r="Z155" s="260"/>
      <c r="AA155" s="260"/>
      <c r="AB155" s="260"/>
      <c r="AC155" s="260"/>
      <c r="AD155" s="260"/>
      <c r="AE155" s="260"/>
      <c r="AF155" s="264"/>
      <c r="AG155" s="260"/>
      <c r="AH155" s="260"/>
      <c r="AI155" s="260"/>
    </row>
    <row r="156">
      <c r="A156" s="259"/>
      <c r="B156" s="260"/>
      <c r="C156" s="260"/>
      <c r="D156" s="260"/>
      <c r="E156" s="260"/>
      <c r="F156" s="260"/>
      <c r="G156" s="261"/>
      <c r="H156" s="259"/>
      <c r="I156" s="260"/>
      <c r="J156" s="260"/>
      <c r="K156" s="260"/>
      <c r="L156" s="260"/>
      <c r="M156" s="260"/>
      <c r="N156" s="262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3"/>
      <c r="Z156" s="260"/>
      <c r="AA156" s="260"/>
      <c r="AB156" s="260"/>
      <c r="AC156" s="260"/>
      <c r="AD156" s="260"/>
      <c r="AE156" s="260"/>
      <c r="AF156" s="264"/>
      <c r="AG156" s="260"/>
      <c r="AH156" s="260"/>
      <c r="AI156" s="260"/>
    </row>
    <row r="157">
      <c r="A157" s="259"/>
      <c r="B157" s="260"/>
      <c r="C157" s="260"/>
      <c r="D157" s="260"/>
      <c r="E157" s="260"/>
      <c r="F157" s="260"/>
      <c r="G157" s="261"/>
      <c r="H157" s="259"/>
      <c r="I157" s="260"/>
      <c r="J157" s="260"/>
      <c r="K157" s="260"/>
      <c r="L157" s="260"/>
      <c r="M157" s="260"/>
      <c r="N157" s="262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3"/>
      <c r="Z157" s="260"/>
      <c r="AA157" s="260"/>
      <c r="AB157" s="260"/>
      <c r="AC157" s="260"/>
      <c r="AD157" s="260"/>
      <c r="AE157" s="260"/>
      <c r="AF157" s="264"/>
      <c r="AG157" s="260"/>
      <c r="AH157" s="260"/>
      <c r="AI157" s="260"/>
    </row>
    <row r="158">
      <c r="A158" s="259"/>
      <c r="B158" s="260"/>
      <c r="C158" s="260"/>
      <c r="D158" s="260"/>
      <c r="E158" s="260"/>
      <c r="F158" s="260"/>
      <c r="G158" s="261"/>
      <c r="H158" s="259"/>
      <c r="I158" s="260"/>
      <c r="J158" s="260"/>
      <c r="K158" s="260"/>
      <c r="L158" s="260"/>
      <c r="M158" s="260"/>
      <c r="N158" s="262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3"/>
      <c r="Z158" s="260"/>
      <c r="AA158" s="260"/>
      <c r="AB158" s="260"/>
      <c r="AC158" s="260"/>
      <c r="AD158" s="260"/>
      <c r="AE158" s="260"/>
      <c r="AF158" s="264"/>
      <c r="AG158" s="260"/>
      <c r="AH158" s="260"/>
      <c r="AI158" s="260"/>
    </row>
    <row r="159">
      <c r="A159" s="259"/>
      <c r="B159" s="260"/>
      <c r="C159" s="260"/>
      <c r="D159" s="260"/>
      <c r="E159" s="260"/>
      <c r="F159" s="260"/>
      <c r="G159" s="261"/>
      <c r="H159" s="259"/>
      <c r="I159" s="260"/>
      <c r="J159" s="260"/>
      <c r="K159" s="260"/>
      <c r="L159" s="260"/>
      <c r="M159" s="260"/>
      <c r="N159" s="262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3"/>
      <c r="Z159" s="260"/>
      <c r="AA159" s="260"/>
      <c r="AB159" s="260"/>
      <c r="AC159" s="260"/>
      <c r="AD159" s="260"/>
      <c r="AE159" s="260"/>
      <c r="AF159" s="264"/>
      <c r="AG159" s="260"/>
      <c r="AH159" s="260"/>
      <c r="AI159" s="260"/>
    </row>
    <row r="160">
      <c r="A160" s="259"/>
      <c r="B160" s="260"/>
      <c r="C160" s="260"/>
      <c r="D160" s="260"/>
      <c r="E160" s="260"/>
      <c r="F160" s="260"/>
      <c r="G160" s="261"/>
      <c r="H160" s="259"/>
      <c r="I160" s="260"/>
      <c r="J160" s="260"/>
      <c r="K160" s="260"/>
      <c r="L160" s="260"/>
      <c r="M160" s="260"/>
      <c r="N160" s="262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3"/>
      <c r="Z160" s="260"/>
      <c r="AA160" s="260"/>
      <c r="AB160" s="260"/>
      <c r="AC160" s="260"/>
      <c r="AD160" s="260"/>
      <c r="AE160" s="260"/>
      <c r="AF160" s="264"/>
      <c r="AG160" s="260"/>
      <c r="AH160" s="260"/>
      <c r="AI160" s="260"/>
    </row>
    <row r="161">
      <c r="A161" s="259"/>
      <c r="B161" s="260"/>
      <c r="C161" s="260"/>
      <c r="D161" s="260"/>
      <c r="E161" s="260"/>
      <c r="F161" s="260"/>
      <c r="G161" s="261"/>
      <c r="H161" s="259"/>
      <c r="I161" s="260"/>
      <c r="J161" s="260"/>
      <c r="K161" s="260"/>
      <c r="L161" s="260"/>
      <c r="M161" s="260"/>
      <c r="N161" s="262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3"/>
      <c r="Z161" s="260"/>
      <c r="AA161" s="260"/>
      <c r="AB161" s="260"/>
      <c r="AC161" s="260"/>
      <c r="AD161" s="260"/>
      <c r="AE161" s="260"/>
      <c r="AF161" s="264"/>
      <c r="AG161" s="260"/>
      <c r="AH161" s="260"/>
      <c r="AI161" s="260"/>
    </row>
    <row r="162">
      <c r="A162" s="259"/>
      <c r="B162" s="260"/>
      <c r="C162" s="260"/>
      <c r="D162" s="260"/>
      <c r="E162" s="260"/>
      <c r="F162" s="260"/>
      <c r="G162" s="261"/>
      <c r="H162" s="259"/>
      <c r="I162" s="260"/>
      <c r="J162" s="260"/>
      <c r="K162" s="260"/>
      <c r="L162" s="260"/>
      <c r="M162" s="260"/>
      <c r="N162" s="262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3"/>
      <c r="Z162" s="260"/>
      <c r="AA162" s="260"/>
      <c r="AB162" s="260"/>
      <c r="AC162" s="260"/>
      <c r="AD162" s="260"/>
      <c r="AE162" s="260"/>
      <c r="AF162" s="264"/>
      <c r="AG162" s="260"/>
      <c r="AH162" s="260"/>
      <c r="AI162" s="260"/>
    </row>
    <row r="163">
      <c r="A163" s="259"/>
      <c r="B163" s="260"/>
      <c r="C163" s="260"/>
      <c r="D163" s="260"/>
      <c r="E163" s="260"/>
      <c r="F163" s="260"/>
      <c r="G163" s="261"/>
      <c r="H163" s="259"/>
      <c r="I163" s="260"/>
      <c r="J163" s="260"/>
      <c r="K163" s="260"/>
      <c r="L163" s="260"/>
      <c r="M163" s="260"/>
      <c r="N163" s="262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3"/>
      <c r="Z163" s="260"/>
      <c r="AA163" s="260"/>
      <c r="AB163" s="260"/>
      <c r="AC163" s="260"/>
      <c r="AD163" s="260"/>
      <c r="AE163" s="260"/>
      <c r="AF163" s="264"/>
      <c r="AG163" s="260"/>
      <c r="AH163" s="260"/>
      <c r="AI163" s="260"/>
    </row>
    <row r="164">
      <c r="A164" s="259"/>
      <c r="B164" s="260"/>
      <c r="C164" s="260"/>
      <c r="D164" s="260"/>
      <c r="E164" s="260"/>
      <c r="F164" s="260"/>
      <c r="G164" s="261"/>
      <c r="H164" s="259"/>
      <c r="I164" s="260"/>
      <c r="J164" s="260"/>
      <c r="K164" s="260"/>
      <c r="L164" s="260"/>
      <c r="M164" s="260"/>
      <c r="N164" s="262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3"/>
      <c r="Z164" s="260"/>
      <c r="AA164" s="260"/>
      <c r="AB164" s="260"/>
      <c r="AC164" s="260"/>
      <c r="AD164" s="260"/>
      <c r="AE164" s="260"/>
      <c r="AF164" s="264"/>
      <c r="AG164" s="260"/>
      <c r="AH164" s="260"/>
      <c r="AI164" s="260"/>
    </row>
    <row r="165">
      <c r="A165" s="259"/>
      <c r="B165" s="260"/>
      <c r="C165" s="260"/>
      <c r="D165" s="260"/>
      <c r="E165" s="260"/>
      <c r="F165" s="260"/>
      <c r="G165" s="261"/>
      <c r="H165" s="259"/>
      <c r="I165" s="260"/>
      <c r="J165" s="260"/>
      <c r="K165" s="260"/>
      <c r="L165" s="260"/>
      <c r="M165" s="260"/>
      <c r="N165" s="262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3"/>
      <c r="Z165" s="260"/>
      <c r="AA165" s="260"/>
      <c r="AB165" s="260"/>
      <c r="AC165" s="260"/>
      <c r="AD165" s="260"/>
      <c r="AE165" s="260"/>
      <c r="AF165" s="264"/>
      <c r="AG165" s="260"/>
      <c r="AH165" s="260"/>
      <c r="AI165" s="260"/>
    </row>
    <row r="166">
      <c r="A166" s="259"/>
      <c r="B166" s="260"/>
      <c r="C166" s="260"/>
      <c r="D166" s="260"/>
      <c r="E166" s="260"/>
      <c r="F166" s="260"/>
      <c r="G166" s="261"/>
      <c r="H166" s="259"/>
      <c r="I166" s="260"/>
      <c r="J166" s="260"/>
      <c r="K166" s="260"/>
      <c r="L166" s="260"/>
      <c r="M166" s="260"/>
      <c r="N166" s="262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3"/>
      <c r="Z166" s="260"/>
      <c r="AA166" s="260"/>
      <c r="AB166" s="260"/>
      <c r="AC166" s="260"/>
      <c r="AD166" s="260"/>
      <c r="AE166" s="260"/>
      <c r="AF166" s="264"/>
      <c r="AG166" s="260"/>
      <c r="AH166" s="260"/>
      <c r="AI166" s="260"/>
    </row>
    <row r="167">
      <c r="A167" s="259"/>
      <c r="B167" s="260"/>
      <c r="C167" s="260"/>
      <c r="D167" s="260"/>
      <c r="E167" s="260"/>
      <c r="F167" s="260"/>
      <c r="G167" s="261"/>
      <c r="H167" s="259"/>
      <c r="I167" s="260"/>
      <c r="J167" s="260"/>
      <c r="K167" s="260"/>
      <c r="L167" s="260"/>
      <c r="M167" s="260"/>
      <c r="N167" s="262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3"/>
      <c r="Z167" s="260"/>
      <c r="AA167" s="260"/>
      <c r="AB167" s="260"/>
      <c r="AC167" s="260"/>
      <c r="AD167" s="260"/>
      <c r="AE167" s="260"/>
      <c r="AF167" s="264"/>
      <c r="AG167" s="260"/>
      <c r="AH167" s="260"/>
      <c r="AI167" s="260"/>
    </row>
    <row r="168">
      <c r="A168" s="259"/>
      <c r="B168" s="260"/>
      <c r="C168" s="260"/>
      <c r="D168" s="260"/>
      <c r="E168" s="260"/>
      <c r="F168" s="260"/>
      <c r="G168" s="261"/>
      <c r="H168" s="259"/>
      <c r="I168" s="260"/>
      <c r="J168" s="260"/>
      <c r="K168" s="260"/>
      <c r="L168" s="260"/>
      <c r="M168" s="260"/>
      <c r="N168" s="262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3"/>
      <c r="Z168" s="260"/>
      <c r="AA168" s="260"/>
      <c r="AB168" s="260"/>
      <c r="AC168" s="260"/>
      <c r="AD168" s="260"/>
      <c r="AE168" s="260"/>
      <c r="AF168" s="264"/>
      <c r="AG168" s="260"/>
      <c r="AH168" s="260"/>
      <c r="AI168" s="260"/>
    </row>
    <row r="169">
      <c r="A169" s="259"/>
      <c r="B169" s="260"/>
      <c r="C169" s="260"/>
      <c r="D169" s="260"/>
      <c r="E169" s="260"/>
      <c r="F169" s="260"/>
      <c r="G169" s="261"/>
      <c r="H169" s="259"/>
      <c r="I169" s="260"/>
      <c r="J169" s="260"/>
      <c r="K169" s="260"/>
      <c r="L169" s="260"/>
      <c r="M169" s="260"/>
      <c r="N169" s="262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3"/>
      <c r="Z169" s="260"/>
      <c r="AA169" s="260"/>
      <c r="AB169" s="260"/>
      <c r="AC169" s="260"/>
      <c r="AD169" s="260"/>
      <c r="AE169" s="260"/>
      <c r="AF169" s="264"/>
      <c r="AG169" s="260"/>
      <c r="AH169" s="260"/>
      <c r="AI169" s="260"/>
    </row>
    <row r="170">
      <c r="A170" s="259"/>
      <c r="B170" s="260"/>
      <c r="C170" s="260"/>
      <c r="D170" s="260"/>
      <c r="E170" s="260"/>
      <c r="F170" s="260"/>
      <c r="G170" s="261"/>
      <c r="H170" s="259"/>
      <c r="I170" s="260"/>
      <c r="J170" s="260"/>
      <c r="K170" s="260"/>
      <c r="L170" s="260"/>
      <c r="M170" s="260"/>
      <c r="N170" s="262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3"/>
      <c r="Z170" s="260"/>
      <c r="AA170" s="260"/>
      <c r="AB170" s="260"/>
      <c r="AC170" s="260"/>
      <c r="AD170" s="260"/>
      <c r="AE170" s="260"/>
      <c r="AF170" s="264"/>
      <c r="AG170" s="260"/>
      <c r="AH170" s="260"/>
      <c r="AI170" s="260"/>
    </row>
    <row r="171">
      <c r="A171" s="259"/>
      <c r="B171" s="260"/>
      <c r="C171" s="260"/>
      <c r="D171" s="260"/>
      <c r="E171" s="260"/>
      <c r="F171" s="260"/>
      <c r="G171" s="261"/>
      <c r="H171" s="259"/>
      <c r="I171" s="260"/>
      <c r="J171" s="260"/>
      <c r="K171" s="260"/>
      <c r="L171" s="260"/>
      <c r="M171" s="260"/>
      <c r="N171" s="262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3"/>
      <c r="Z171" s="260"/>
      <c r="AA171" s="260"/>
      <c r="AB171" s="260"/>
      <c r="AC171" s="260"/>
      <c r="AD171" s="260"/>
      <c r="AE171" s="260"/>
      <c r="AF171" s="264"/>
      <c r="AG171" s="260"/>
      <c r="AH171" s="260"/>
      <c r="AI171" s="260"/>
    </row>
    <row r="172">
      <c r="A172" s="259"/>
      <c r="B172" s="260"/>
      <c r="C172" s="260"/>
      <c r="D172" s="260"/>
      <c r="E172" s="260"/>
      <c r="F172" s="260"/>
      <c r="G172" s="261"/>
      <c r="H172" s="259"/>
      <c r="I172" s="260"/>
      <c r="J172" s="260"/>
      <c r="K172" s="260"/>
      <c r="L172" s="260"/>
      <c r="M172" s="260"/>
      <c r="N172" s="262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3"/>
      <c r="Z172" s="260"/>
      <c r="AA172" s="260"/>
      <c r="AB172" s="260"/>
      <c r="AC172" s="260"/>
      <c r="AD172" s="260"/>
      <c r="AE172" s="260"/>
      <c r="AF172" s="264"/>
      <c r="AG172" s="260"/>
      <c r="AH172" s="260"/>
      <c r="AI172" s="260"/>
    </row>
    <row r="173">
      <c r="A173" s="259"/>
      <c r="B173" s="260"/>
      <c r="C173" s="260"/>
      <c r="D173" s="260"/>
      <c r="E173" s="260"/>
      <c r="F173" s="260"/>
      <c r="G173" s="261"/>
      <c r="H173" s="259"/>
      <c r="I173" s="260"/>
      <c r="J173" s="260"/>
      <c r="K173" s="260"/>
      <c r="L173" s="260"/>
      <c r="M173" s="260"/>
      <c r="N173" s="262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3"/>
      <c r="Z173" s="260"/>
      <c r="AA173" s="260"/>
      <c r="AB173" s="260"/>
      <c r="AC173" s="260"/>
      <c r="AD173" s="260"/>
      <c r="AE173" s="260"/>
      <c r="AF173" s="264"/>
      <c r="AG173" s="260"/>
      <c r="AH173" s="260"/>
      <c r="AI173" s="260"/>
    </row>
    <row r="174">
      <c r="A174" s="259"/>
      <c r="B174" s="260"/>
      <c r="C174" s="260"/>
      <c r="D174" s="260"/>
      <c r="E174" s="260"/>
      <c r="F174" s="260"/>
      <c r="G174" s="261"/>
      <c r="H174" s="259"/>
      <c r="I174" s="260"/>
      <c r="J174" s="260"/>
      <c r="K174" s="260"/>
      <c r="L174" s="260"/>
      <c r="M174" s="260"/>
      <c r="N174" s="262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3"/>
      <c r="Z174" s="260"/>
      <c r="AA174" s="260"/>
      <c r="AB174" s="260"/>
      <c r="AC174" s="260"/>
      <c r="AD174" s="260"/>
      <c r="AE174" s="260"/>
      <c r="AF174" s="264"/>
      <c r="AG174" s="260"/>
      <c r="AH174" s="260"/>
      <c r="AI174" s="260"/>
    </row>
    <row r="175">
      <c r="A175" s="259"/>
      <c r="B175" s="260"/>
      <c r="C175" s="260"/>
      <c r="D175" s="260"/>
      <c r="E175" s="260"/>
      <c r="F175" s="260"/>
      <c r="G175" s="261"/>
      <c r="H175" s="259"/>
      <c r="I175" s="260"/>
      <c r="J175" s="260"/>
      <c r="K175" s="260"/>
      <c r="L175" s="260"/>
      <c r="M175" s="260"/>
      <c r="N175" s="262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3"/>
      <c r="Z175" s="260"/>
      <c r="AA175" s="260"/>
      <c r="AB175" s="260"/>
      <c r="AC175" s="260"/>
      <c r="AD175" s="260"/>
      <c r="AE175" s="260"/>
      <c r="AF175" s="264"/>
      <c r="AG175" s="260"/>
      <c r="AH175" s="260"/>
      <c r="AI175" s="260"/>
    </row>
    <row r="176">
      <c r="A176" s="259"/>
      <c r="B176" s="260"/>
      <c r="C176" s="260"/>
      <c r="D176" s="260"/>
      <c r="E176" s="260"/>
      <c r="F176" s="260"/>
      <c r="G176" s="261"/>
      <c r="H176" s="259"/>
      <c r="I176" s="260"/>
      <c r="J176" s="260"/>
      <c r="K176" s="260"/>
      <c r="L176" s="260"/>
      <c r="M176" s="260"/>
      <c r="N176" s="262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3"/>
      <c r="Z176" s="260"/>
      <c r="AA176" s="260"/>
      <c r="AB176" s="260"/>
      <c r="AC176" s="260"/>
      <c r="AD176" s="260"/>
      <c r="AE176" s="260"/>
      <c r="AF176" s="264"/>
      <c r="AG176" s="260"/>
      <c r="AH176" s="260"/>
      <c r="AI176" s="260"/>
    </row>
    <row r="177">
      <c r="A177" s="259"/>
      <c r="B177" s="260"/>
      <c r="C177" s="260"/>
      <c r="D177" s="260"/>
      <c r="E177" s="260"/>
      <c r="F177" s="260"/>
      <c r="G177" s="261"/>
      <c r="H177" s="259"/>
      <c r="I177" s="260"/>
      <c r="J177" s="260"/>
      <c r="K177" s="260"/>
      <c r="L177" s="260"/>
      <c r="M177" s="260"/>
      <c r="N177" s="262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3"/>
      <c r="Z177" s="260"/>
      <c r="AA177" s="260"/>
      <c r="AB177" s="260"/>
      <c r="AC177" s="260"/>
      <c r="AD177" s="260"/>
      <c r="AE177" s="260"/>
      <c r="AF177" s="264"/>
      <c r="AG177" s="260"/>
      <c r="AH177" s="260"/>
      <c r="AI177" s="260"/>
    </row>
    <row r="178">
      <c r="A178" s="259"/>
      <c r="B178" s="260"/>
      <c r="C178" s="260"/>
      <c r="D178" s="260"/>
      <c r="E178" s="260"/>
      <c r="F178" s="260"/>
      <c r="G178" s="261"/>
      <c r="H178" s="259"/>
      <c r="I178" s="260"/>
      <c r="J178" s="260"/>
      <c r="K178" s="260"/>
      <c r="L178" s="260"/>
      <c r="M178" s="260"/>
      <c r="N178" s="262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3"/>
      <c r="Z178" s="260"/>
      <c r="AA178" s="260"/>
      <c r="AB178" s="260"/>
      <c r="AC178" s="260"/>
      <c r="AD178" s="260"/>
      <c r="AE178" s="260"/>
      <c r="AF178" s="264"/>
      <c r="AG178" s="260"/>
      <c r="AH178" s="260"/>
      <c r="AI178" s="260"/>
    </row>
    <row r="179">
      <c r="A179" s="259"/>
      <c r="B179" s="260"/>
      <c r="C179" s="260"/>
      <c r="D179" s="260"/>
      <c r="E179" s="260"/>
      <c r="F179" s="260"/>
      <c r="G179" s="261"/>
      <c r="H179" s="259"/>
      <c r="I179" s="260"/>
      <c r="J179" s="260"/>
      <c r="K179" s="260"/>
      <c r="L179" s="260"/>
      <c r="M179" s="260"/>
      <c r="N179" s="262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3"/>
      <c r="Z179" s="260"/>
      <c r="AA179" s="260"/>
      <c r="AB179" s="260"/>
      <c r="AC179" s="260"/>
      <c r="AD179" s="260"/>
      <c r="AE179" s="260"/>
      <c r="AF179" s="264"/>
      <c r="AG179" s="260"/>
      <c r="AH179" s="260"/>
      <c r="AI179" s="260"/>
    </row>
    <row r="180">
      <c r="A180" s="259"/>
      <c r="B180" s="260"/>
      <c r="C180" s="260"/>
      <c r="D180" s="260"/>
      <c r="E180" s="260"/>
      <c r="F180" s="260"/>
      <c r="G180" s="261"/>
      <c r="H180" s="259"/>
      <c r="I180" s="260"/>
      <c r="J180" s="260"/>
      <c r="K180" s="260"/>
      <c r="L180" s="260"/>
      <c r="M180" s="260"/>
      <c r="N180" s="262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3"/>
      <c r="Z180" s="260"/>
      <c r="AA180" s="260"/>
      <c r="AB180" s="260"/>
      <c r="AC180" s="260"/>
      <c r="AD180" s="260"/>
      <c r="AE180" s="260"/>
      <c r="AF180" s="264"/>
      <c r="AG180" s="260"/>
      <c r="AH180" s="260"/>
      <c r="AI180" s="260"/>
    </row>
    <row r="181">
      <c r="A181" s="259"/>
      <c r="B181" s="260"/>
      <c r="C181" s="260"/>
      <c r="D181" s="260"/>
      <c r="E181" s="260"/>
      <c r="F181" s="260"/>
      <c r="G181" s="261"/>
      <c r="H181" s="259"/>
      <c r="I181" s="260"/>
      <c r="J181" s="260"/>
      <c r="K181" s="260"/>
      <c r="L181" s="260"/>
      <c r="M181" s="260"/>
      <c r="N181" s="262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3"/>
      <c r="Z181" s="260"/>
      <c r="AA181" s="260"/>
      <c r="AB181" s="260"/>
      <c r="AC181" s="260"/>
      <c r="AD181" s="260"/>
      <c r="AE181" s="260"/>
      <c r="AF181" s="264"/>
      <c r="AG181" s="260"/>
      <c r="AH181" s="260"/>
      <c r="AI181" s="260"/>
    </row>
    <row r="182">
      <c r="A182" s="259"/>
      <c r="B182" s="260"/>
      <c r="C182" s="260"/>
      <c r="D182" s="260"/>
      <c r="E182" s="260"/>
      <c r="F182" s="260"/>
      <c r="G182" s="261"/>
      <c r="H182" s="259"/>
      <c r="I182" s="260"/>
      <c r="J182" s="260"/>
      <c r="K182" s="260"/>
      <c r="L182" s="260"/>
      <c r="M182" s="260"/>
      <c r="N182" s="262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3"/>
      <c r="Z182" s="260"/>
      <c r="AA182" s="260"/>
      <c r="AB182" s="260"/>
      <c r="AC182" s="260"/>
      <c r="AD182" s="260"/>
      <c r="AE182" s="260"/>
      <c r="AF182" s="264"/>
      <c r="AG182" s="260"/>
      <c r="AH182" s="260"/>
      <c r="AI182" s="260"/>
    </row>
    <row r="183">
      <c r="A183" s="259"/>
      <c r="B183" s="260"/>
      <c r="C183" s="260"/>
      <c r="D183" s="260"/>
      <c r="E183" s="260"/>
      <c r="F183" s="260"/>
      <c r="G183" s="261"/>
      <c r="H183" s="259"/>
      <c r="I183" s="260"/>
      <c r="J183" s="260"/>
      <c r="K183" s="260"/>
      <c r="L183" s="260"/>
      <c r="M183" s="260"/>
      <c r="N183" s="262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3"/>
      <c r="Z183" s="260"/>
      <c r="AA183" s="260"/>
      <c r="AB183" s="260"/>
      <c r="AC183" s="260"/>
      <c r="AD183" s="260"/>
      <c r="AE183" s="260"/>
      <c r="AF183" s="264"/>
      <c r="AG183" s="260"/>
      <c r="AH183" s="260"/>
      <c r="AI183" s="260"/>
    </row>
    <row r="184">
      <c r="A184" s="259"/>
      <c r="B184" s="260"/>
      <c r="C184" s="260"/>
      <c r="D184" s="260"/>
      <c r="E184" s="260"/>
      <c r="F184" s="260"/>
      <c r="G184" s="261"/>
      <c r="H184" s="259"/>
      <c r="I184" s="260"/>
      <c r="J184" s="260"/>
      <c r="K184" s="260"/>
      <c r="L184" s="260"/>
      <c r="M184" s="260"/>
      <c r="N184" s="262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3"/>
      <c r="Z184" s="260"/>
      <c r="AA184" s="260"/>
      <c r="AB184" s="260"/>
      <c r="AC184" s="260"/>
      <c r="AD184" s="260"/>
      <c r="AE184" s="260"/>
      <c r="AF184" s="264"/>
      <c r="AG184" s="260"/>
      <c r="AH184" s="260"/>
      <c r="AI184" s="260"/>
    </row>
    <row r="185">
      <c r="A185" s="259"/>
      <c r="B185" s="260"/>
      <c r="C185" s="260"/>
      <c r="D185" s="260"/>
      <c r="E185" s="260"/>
      <c r="F185" s="260"/>
      <c r="G185" s="261"/>
      <c r="H185" s="259"/>
      <c r="I185" s="260"/>
      <c r="J185" s="260"/>
      <c r="K185" s="260"/>
      <c r="L185" s="260"/>
      <c r="M185" s="260"/>
      <c r="N185" s="262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3"/>
      <c r="Z185" s="260"/>
      <c r="AA185" s="260"/>
      <c r="AB185" s="260"/>
      <c r="AC185" s="260"/>
      <c r="AD185" s="260"/>
      <c r="AE185" s="260"/>
      <c r="AF185" s="264"/>
      <c r="AG185" s="260"/>
      <c r="AH185" s="260"/>
      <c r="AI185" s="260"/>
    </row>
    <row r="186">
      <c r="A186" s="259"/>
      <c r="B186" s="260"/>
      <c r="C186" s="260"/>
      <c r="D186" s="260"/>
      <c r="E186" s="260"/>
      <c r="F186" s="260"/>
      <c r="G186" s="261"/>
      <c r="H186" s="259"/>
      <c r="I186" s="260"/>
      <c r="J186" s="260"/>
      <c r="K186" s="260"/>
      <c r="L186" s="260"/>
      <c r="M186" s="260"/>
      <c r="N186" s="262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3"/>
      <c r="Z186" s="260"/>
      <c r="AA186" s="260"/>
      <c r="AB186" s="260"/>
      <c r="AC186" s="260"/>
      <c r="AD186" s="260"/>
      <c r="AE186" s="260"/>
      <c r="AF186" s="264"/>
      <c r="AG186" s="260"/>
      <c r="AH186" s="260"/>
      <c r="AI186" s="260"/>
    </row>
    <row r="187">
      <c r="A187" s="259"/>
      <c r="B187" s="260"/>
      <c r="C187" s="260"/>
      <c r="D187" s="260"/>
      <c r="E187" s="260"/>
      <c r="F187" s="260"/>
      <c r="G187" s="261"/>
      <c r="H187" s="259"/>
      <c r="I187" s="260"/>
      <c r="J187" s="260"/>
      <c r="K187" s="260"/>
      <c r="L187" s="260"/>
      <c r="M187" s="260"/>
      <c r="N187" s="262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3"/>
      <c r="Z187" s="260"/>
      <c r="AA187" s="260"/>
      <c r="AB187" s="260"/>
      <c r="AC187" s="260"/>
      <c r="AD187" s="260"/>
      <c r="AE187" s="260"/>
      <c r="AF187" s="264"/>
      <c r="AG187" s="260"/>
      <c r="AH187" s="260"/>
      <c r="AI187" s="260"/>
    </row>
    <row r="188">
      <c r="A188" s="259"/>
      <c r="B188" s="260"/>
      <c r="C188" s="260"/>
      <c r="D188" s="260"/>
      <c r="E188" s="260"/>
      <c r="F188" s="260"/>
      <c r="G188" s="261"/>
      <c r="H188" s="259"/>
      <c r="I188" s="260"/>
      <c r="J188" s="260"/>
      <c r="K188" s="260"/>
      <c r="L188" s="260"/>
      <c r="M188" s="260"/>
      <c r="N188" s="262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3"/>
      <c r="Z188" s="260"/>
      <c r="AA188" s="260"/>
      <c r="AB188" s="260"/>
      <c r="AC188" s="260"/>
      <c r="AD188" s="260"/>
      <c r="AE188" s="260"/>
      <c r="AF188" s="264"/>
      <c r="AG188" s="260"/>
      <c r="AH188" s="260"/>
      <c r="AI188" s="260"/>
    </row>
    <row r="189">
      <c r="A189" s="259"/>
      <c r="B189" s="260"/>
      <c r="C189" s="260"/>
      <c r="D189" s="260"/>
      <c r="E189" s="260"/>
      <c r="F189" s="260"/>
      <c r="G189" s="261"/>
      <c r="H189" s="259"/>
      <c r="I189" s="260"/>
      <c r="J189" s="260"/>
      <c r="K189" s="260"/>
      <c r="L189" s="260"/>
      <c r="M189" s="260"/>
      <c r="N189" s="262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3"/>
      <c r="Z189" s="260"/>
      <c r="AA189" s="260"/>
      <c r="AB189" s="260"/>
      <c r="AC189" s="260"/>
      <c r="AD189" s="260"/>
      <c r="AE189" s="260"/>
      <c r="AF189" s="264"/>
      <c r="AG189" s="260"/>
      <c r="AH189" s="260"/>
      <c r="AI189" s="260"/>
    </row>
    <row r="190">
      <c r="A190" s="259"/>
      <c r="B190" s="260"/>
      <c r="C190" s="260"/>
      <c r="D190" s="260"/>
      <c r="E190" s="260"/>
      <c r="F190" s="260"/>
      <c r="G190" s="261"/>
      <c r="H190" s="259"/>
      <c r="I190" s="260"/>
      <c r="J190" s="260"/>
      <c r="K190" s="260"/>
      <c r="L190" s="260"/>
      <c r="M190" s="260"/>
      <c r="N190" s="262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3"/>
      <c r="Z190" s="260"/>
      <c r="AA190" s="260"/>
      <c r="AB190" s="260"/>
      <c r="AC190" s="260"/>
      <c r="AD190" s="260"/>
      <c r="AE190" s="260"/>
      <c r="AF190" s="264"/>
      <c r="AG190" s="260"/>
      <c r="AH190" s="260"/>
      <c r="AI190" s="260"/>
    </row>
    <row r="191">
      <c r="A191" s="259"/>
      <c r="B191" s="260"/>
      <c r="C191" s="260"/>
      <c r="D191" s="260"/>
      <c r="E191" s="260"/>
      <c r="F191" s="260"/>
      <c r="G191" s="261"/>
      <c r="H191" s="259"/>
      <c r="I191" s="260"/>
      <c r="J191" s="260"/>
      <c r="K191" s="260"/>
      <c r="L191" s="260"/>
      <c r="M191" s="260"/>
      <c r="N191" s="262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3"/>
      <c r="Z191" s="260"/>
      <c r="AA191" s="260"/>
      <c r="AB191" s="260"/>
      <c r="AC191" s="260"/>
      <c r="AD191" s="260"/>
      <c r="AE191" s="260"/>
      <c r="AF191" s="264"/>
      <c r="AG191" s="260"/>
      <c r="AH191" s="260"/>
      <c r="AI191" s="260"/>
    </row>
    <row r="192">
      <c r="A192" s="259"/>
      <c r="B192" s="260"/>
      <c r="C192" s="260"/>
      <c r="D192" s="260"/>
      <c r="E192" s="260"/>
      <c r="F192" s="260"/>
      <c r="G192" s="261"/>
      <c r="H192" s="259"/>
      <c r="I192" s="260"/>
      <c r="J192" s="260"/>
      <c r="K192" s="260"/>
      <c r="L192" s="260"/>
      <c r="M192" s="260"/>
      <c r="N192" s="262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3"/>
      <c r="Z192" s="260"/>
      <c r="AA192" s="260"/>
      <c r="AB192" s="260"/>
      <c r="AC192" s="260"/>
      <c r="AD192" s="260"/>
      <c r="AE192" s="260"/>
      <c r="AF192" s="264"/>
      <c r="AG192" s="260"/>
      <c r="AH192" s="260"/>
      <c r="AI192" s="260"/>
    </row>
    <row r="193">
      <c r="A193" s="259"/>
      <c r="B193" s="260"/>
      <c r="C193" s="260"/>
      <c r="D193" s="260"/>
      <c r="E193" s="260"/>
      <c r="F193" s="260"/>
      <c r="G193" s="261"/>
      <c r="H193" s="259"/>
      <c r="I193" s="260"/>
      <c r="J193" s="260"/>
      <c r="K193" s="260"/>
      <c r="L193" s="260"/>
      <c r="M193" s="260"/>
      <c r="N193" s="262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3"/>
      <c r="Z193" s="260"/>
      <c r="AA193" s="260"/>
      <c r="AB193" s="260"/>
      <c r="AC193" s="260"/>
      <c r="AD193" s="260"/>
      <c r="AE193" s="260"/>
      <c r="AF193" s="264"/>
      <c r="AG193" s="260"/>
      <c r="AH193" s="260"/>
      <c r="AI193" s="260"/>
    </row>
    <row r="194">
      <c r="A194" s="259"/>
      <c r="B194" s="260"/>
      <c r="C194" s="260"/>
      <c r="D194" s="260"/>
      <c r="E194" s="260"/>
      <c r="F194" s="260"/>
      <c r="G194" s="261"/>
      <c r="H194" s="259"/>
      <c r="I194" s="260"/>
      <c r="J194" s="260"/>
      <c r="K194" s="260"/>
      <c r="L194" s="260"/>
      <c r="M194" s="260"/>
      <c r="N194" s="262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3"/>
      <c r="Z194" s="260"/>
      <c r="AA194" s="260"/>
      <c r="AB194" s="260"/>
      <c r="AC194" s="260"/>
      <c r="AD194" s="260"/>
      <c r="AE194" s="260"/>
      <c r="AF194" s="264"/>
      <c r="AG194" s="260"/>
      <c r="AH194" s="260"/>
      <c r="AI194" s="260"/>
    </row>
    <row r="195">
      <c r="A195" s="259"/>
      <c r="B195" s="260"/>
      <c r="C195" s="260"/>
      <c r="D195" s="260"/>
      <c r="E195" s="260"/>
      <c r="F195" s="260"/>
      <c r="G195" s="261"/>
      <c r="H195" s="259"/>
      <c r="I195" s="260"/>
      <c r="J195" s="260"/>
      <c r="K195" s="260"/>
      <c r="L195" s="260"/>
      <c r="M195" s="260"/>
      <c r="N195" s="262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3"/>
      <c r="Z195" s="260"/>
      <c r="AA195" s="260"/>
      <c r="AB195" s="260"/>
      <c r="AC195" s="260"/>
      <c r="AD195" s="260"/>
      <c r="AE195" s="260"/>
      <c r="AF195" s="264"/>
      <c r="AG195" s="260"/>
      <c r="AH195" s="260"/>
      <c r="AI195" s="260"/>
    </row>
    <row r="196">
      <c r="A196" s="259"/>
      <c r="B196" s="260"/>
      <c r="C196" s="260"/>
      <c r="D196" s="260"/>
      <c r="E196" s="260"/>
      <c r="F196" s="260"/>
      <c r="G196" s="261"/>
      <c r="H196" s="259"/>
      <c r="I196" s="260"/>
      <c r="J196" s="260"/>
      <c r="K196" s="260"/>
      <c r="L196" s="260"/>
      <c r="M196" s="260"/>
      <c r="N196" s="262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3"/>
      <c r="Z196" s="260"/>
      <c r="AA196" s="260"/>
      <c r="AB196" s="260"/>
      <c r="AC196" s="260"/>
      <c r="AD196" s="260"/>
      <c r="AE196" s="260"/>
      <c r="AF196" s="264"/>
      <c r="AG196" s="260"/>
      <c r="AH196" s="260"/>
      <c r="AI196" s="260"/>
    </row>
    <row r="197">
      <c r="A197" s="259"/>
      <c r="B197" s="260"/>
      <c r="C197" s="260"/>
      <c r="D197" s="260"/>
      <c r="E197" s="260"/>
      <c r="F197" s="260"/>
      <c r="G197" s="261"/>
      <c r="H197" s="259"/>
      <c r="I197" s="260"/>
      <c r="J197" s="260"/>
      <c r="K197" s="260"/>
      <c r="L197" s="260"/>
      <c r="M197" s="260"/>
      <c r="N197" s="262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3"/>
      <c r="Z197" s="260"/>
      <c r="AA197" s="260"/>
      <c r="AB197" s="260"/>
      <c r="AC197" s="260"/>
      <c r="AD197" s="260"/>
      <c r="AE197" s="260"/>
      <c r="AF197" s="264"/>
      <c r="AG197" s="260"/>
      <c r="AH197" s="260"/>
      <c r="AI197" s="260"/>
    </row>
    <row r="198">
      <c r="A198" s="259"/>
      <c r="B198" s="260"/>
      <c r="C198" s="260"/>
      <c r="D198" s="260"/>
      <c r="E198" s="260"/>
      <c r="F198" s="260"/>
      <c r="G198" s="261"/>
      <c r="H198" s="259"/>
      <c r="I198" s="260"/>
      <c r="J198" s="260"/>
      <c r="K198" s="260"/>
      <c r="L198" s="260"/>
      <c r="M198" s="260"/>
      <c r="N198" s="262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3"/>
      <c r="Z198" s="260"/>
      <c r="AA198" s="260"/>
      <c r="AB198" s="260"/>
      <c r="AC198" s="260"/>
      <c r="AD198" s="260"/>
      <c r="AE198" s="260"/>
      <c r="AF198" s="264"/>
      <c r="AG198" s="260"/>
      <c r="AH198" s="260"/>
      <c r="AI198" s="260"/>
    </row>
    <row r="199">
      <c r="A199" s="259"/>
      <c r="B199" s="260"/>
      <c r="C199" s="260"/>
      <c r="D199" s="260"/>
      <c r="E199" s="260"/>
      <c r="F199" s="260"/>
      <c r="G199" s="261"/>
      <c r="H199" s="259"/>
      <c r="I199" s="260"/>
      <c r="J199" s="260"/>
      <c r="K199" s="260"/>
      <c r="L199" s="260"/>
      <c r="M199" s="260"/>
      <c r="N199" s="262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3"/>
      <c r="Z199" s="260"/>
      <c r="AA199" s="260"/>
      <c r="AB199" s="260"/>
      <c r="AC199" s="260"/>
      <c r="AD199" s="260"/>
      <c r="AE199" s="260"/>
      <c r="AF199" s="264"/>
      <c r="AG199" s="260"/>
      <c r="AH199" s="260"/>
      <c r="AI199" s="260"/>
    </row>
    <row r="200">
      <c r="A200" s="259"/>
      <c r="B200" s="260"/>
      <c r="C200" s="260"/>
      <c r="D200" s="260"/>
      <c r="E200" s="260"/>
      <c r="F200" s="260"/>
      <c r="G200" s="261"/>
      <c r="H200" s="259"/>
      <c r="I200" s="260"/>
      <c r="J200" s="260"/>
      <c r="K200" s="260"/>
      <c r="L200" s="260"/>
      <c r="M200" s="260"/>
      <c r="N200" s="262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3"/>
      <c r="Z200" s="260"/>
      <c r="AA200" s="260"/>
      <c r="AB200" s="260"/>
      <c r="AC200" s="260"/>
      <c r="AD200" s="260"/>
      <c r="AE200" s="260"/>
      <c r="AF200" s="264"/>
      <c r="AG200" s="260"/>
      <c r="AH200" s="260"/>
      <c r="AI200" s="260"/>
    </row>
    <row r="201">
      <c r="A201" s="259"/>
      <c r="B201" s="260"/>
      <c r="C201" s="260"/>
      <c r="D201" s="260"/>
      <c r="E201" s="260"/>
      <c r="F201" s="260"/>
      <c r="G201" s="261"/>
      <c r="H201" s="259"/>
      <c r="I201" s="260"/>
      <c r="J201" s="260"/>
      <c r="K201" s="260"/>
      <c r="L201" s="260"/>
      <c r="M201" s="260"/>
      <c r="N201" s="262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3"/>
      <c r="Z201" s="260"/>
      <c r="AA201" s="260"/>
      <c r="AB201" s="260"/>
      <c r="AC201" s="260"/>
      <c r="AD201" s="260"/>
      <c r="AE201" s="260"/>
      <c r="AF201" s="264"/>
      <c r="AG201" s="260"/>
      <c r="AH201" s="260"/>
      <c r="AI201" s="260"/>
    </row>
    <row r="202">
      <c r="A202" s="259"/>
      <c r="B202" s="260"/>
      <c r="C202" s="260"/>
      <c r="D202" s="260"/>
      <c r="E202" s="260"/>
      <c r="F202" s="260"/>
      <c r="G202" s="261"/>
      <c r="H202" s="259"/>
      <c r="I202" s="260"/>
      <c r="J202" s="260"/>
      <c r="K202" s="260"/>
      <c r="L202" s="260"/>
      <c r="M202" s="260"/>
      <c r="N202" s="262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3"/>
      <c r="Z202" s="260"/>
      <c r="AA202" s="260"/>
      <c r="AB202" s="260"/>
      <c r="AC202" s="260"/>
      <c r="AD202" s="260"/>
      <c r="AE202" s="260"/>
      <c r="AF202" s="264"/>
      <c r="AG202" s="260"/>
      <c r="AH202" s="260"/>
      <c r="AI202" s="260"/>
    </row>
    <row r="203">
      <c r="A203" s="259"/>
      <c r="B203" s="260"/>
      <c r="C203" s="260"/>
      <c r="D203" s="260"/>
      <c r="E203" s="260"/>
      <c r="F203" s="260"/>
      <c r="G203" s="261"/>
      <c r="H203" s="259"/>
      <c r="I203" s="260"/>
      <c r="J203" s="260"/>
      <c r="K203" s="260"/>
      <c r="L203" s="260"/>
      <c r="M203" s="260"/>
      <c r="N203" s="262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3"/>
      <c r="Z203" s="260"/>
      <c r="AA203" s="260"/>
      <c r="AB203" s="260"/>
      <c r="AC203" s="260"/>
      <c r="AD203" s="260"/>
      <c r="AE203" s="260"/>
      <c r="AF203" s="264"/>
      <c r="AG203" s="260"/>
      <c r="AH203" s="260"/>
      <c r="AI203" s="260"/>
    </row>
    <row r="204">
      <c r="A204" s="259"/>
      <c r="B204" s="260"/>
      <c r="C204" s="260"/>
      <c r="D204" s="260"/>
      <c r="E204" s="260"/>
      <c r="F204" s="260"/>
      <c r="G204" s="261"/>
      <c r="H204" s="259"/>
      <c r="I204" s="260"/>
      <c r="J204" s="260"/>
      <c r="K204" s="260"/>
      <c r="L204" s="260"/>
      <c r="M204" s="260"/>
      <c r="N204" s="262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3"/>
      <c r="Z204" s="260"/>
      <c r="AA204" s="260"/>
      <c r="AB204" s="260"/>
      <c r="AC204" s="260"/>
      <c r="AD204" s="260"/>
      <c r="AE204" s="260"/>
      <c r="AF204" s="264"/>
      <c r="AG204" s="260"/>
      <c r="AH204" s="260"/>
      <c r="AI204" s="260"/>
    </row>
    <row r="205">
      <c r="A205" s="259"/>
      <c r="B205" s="260"/>
      <c r="C205" s="260"/>
      <c r="D205" s="260"/>
      <c r="E205" s="260"/>
      <c r="F205" s="260"/>
      <c r="G205" s="261"/>
      <c r="H205" s="259"/>
      <c r="I205" s="260"/>
      <c r="J205" s="260"/>
      <c r="K205" s="260"/>
      <c r="L205" s="260"/>
      <c r="M205" s="260"/>
      <c r="N205" s="262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3"/>
      <c r="Z205" s="260"/>
      <c r="AA205" s="260"/>
      <c r="AB205" s="260"/>
      <c r="AC205" s="260"/>
      <c r="AD205" s="260"/>
      <c r="AE205" s="260"/>
      <c r="AF205" s="264"/>
      <c r="AG205" s="260"/>
      <c r="AH205" s="260"/>
      <c r="AI205" s="260"/>
    </row>
    <row r="206">
      <c r="A206" s="259"/>
      <c r="B206" s="260"/>
      <c r="C206" s="260"/>
      <c r="D206" s="260"/>
      <c r="E206" s="260"/>
      <c r="F206" s="260"/>
      <c r="G206" s="261"/>
      <c r="H206" s="259"/>
      <c r="I206" s="260"/>
      <c r="J206" s="260"/>
      <c r="K206" s="260"/>
      <c r="L206" s="260"/>
      <c r="M206" s="260"/>
      <c r="N206" s="262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3"/>
      <c r="Z206" s="260"/>
      <c r="AA206" s="260"/>
      <c r="AB206" s="260"/>
      <c r="AC206" s="260"/>
      <c r="AD206" s="260"/>
      <c r="AE206" s="260"/>
      <c r="AF206" s="264"/>
      <c r="AG206" s="260"/>
      <c r="AH206" s="260"/>
      <c r="AI206" s="260"/>
    </row>
    <row r="207">
      <c r="A207" s="259"/>
      <c r="B207" s="260"/>
      <c r="C207" s="260"/>
      <c r="D207" s="260"/>
      <c r="E207" s="260"/>
      <c r="F207" s="260"/>
      <c r="G207" s="261"/>
      <c r="H207" s="259"/>
      <c r="I207" s="260"/>
      <c r="J207" s="260"/>
      <c r="K207" s="260"/>
      <c r="L207" s="260"/>
      <c r="M207" s="260"/>
      <c r="N207" s="262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3"/>
      <c r="Z207" s="260"/>
      <c r="AA207" s="260"/>
      <c r="AB207" s="260"/>
      <c r="AC207" s="260"/>
      <c r="AD207" s="260"/>
      <c r="AE207" s="260"/>
      <c r="AF207" s="264"/>
      <c r="AG207" s="260"/>
      <c r="AH207" s="260"/>
      <c r="AI207" s="260"/>
    </row>
    <row r="208">
      <c r="A208" s="259"/>
      <c r="B208" s="260"/>
      <c r="C208" s="260"/>
      <c r="D208" s="260"/>
      <c r="E208" s="260"/>
      <c r="F208" s="260"/>
      <c r="G208" s="261"/>
      <c r="H208" s="259"/>
      <c r="I208" s="260"/>
      <c r="J208" s="260"/>
      <c r="K208" s="260"/>
      <c r="L208" s="260"/>
      <c r="M208" s="260"/>
      <c r="N208" s="262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3"/>
      <c r="Z208" s="260"/>
      <c r="AA208" s="260"/>
      <c r="AB208" s="260"/>
      <c r="AC208" s="260"/>
      <c r="AD208" s="260"/>
      <c r="AE208" s="260"/>
      <c r="AF208" s="264"/>
      <c r="AG208" s="260"/>
      <c r="AH208" s="260"/>
      <c r="AI208" s="260"/>
    </row>
    <row r="209">
      <c r="A209" s="259"/>
      <c r="B209" s="260"/>
      <c r="C209" s="260"/>
      <c r="D209" s="260"/>
      <c r="E209" s="260"/>
      <c r="F209" s="260"/>
      <c r="G209" s="261"/>
      <c r="H209" s="259"/>
      <c r="I209" s="260"/>
      <c r="J209" s="260"/>
      <c r="K209" s="260"/>
      <c r="L209" s="260"/>
      <c r="M209" s="260"/>
      <c r="N209" s="262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3"/>
      <c r="Z209" s="260"/>
      <c r="AA209" s="260"/>
      <c r="AB209" s="260"/>
      <c r="AC209" s="260"/>
      <c r="AD209" s="260"/>
      <c r="AE209" s="260"/>
      <c r="AF209" s="264"/>
      <c r="AG209" s="260"/>
      <c r="AH209" s="260"/>
      <c r="AI209" s="260"/>
    </row>
    <row r="210">
      <c r="A210" s="259"/>
      <c r="B210" s="260"/>
      <c r="C210" s="260"/>
      <c r="D210" s="260"/>
      <c r="E210" s="260"/>
      <c r="F210" s="260"/>
      <c r="G210" s="261"/>
      <c r="H210" s="259"/>
      <c r="I210" s="260"/>
      <c r="J210" s="260"/>
      <c r="K210" s="260"/>
      <c r="L210" s="260"/>
      <c r="M210" s="260"/>
      <c r="N210" s="262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3"/>
      <c r="Z210" s="260"/>
      <c r="AA210" s="260"/>
      <c r="AB210" s="260"/>
      <c r="AC210" s="260"/>
      <c r="AD210" s="260"/>
      <c r="AE210" s="260"/>
      <c r="AF210" s="264"/>
      <c r="AG210" s="260"/>
      <c r="AH210" s="260"/>
      <c r="AI210" s="260"/>
    </row>
    <row r="211">
      <c r="A211" s="259"/>
      <c r="B211" s="260"/>
      <c r="C211" s="260"/>
      <c r="D211" s="260"/>
      <c r="E211" s="260"/>
      <c r="F211" s="260"/>
      <c r="G211" s="261"/>
      <c r="H211" s="259"/>
      <c r="I211" s="260"/>
      <c r="J211" s="260"/>
      <c r="K211" s="260"/>
      <c r="L211" s="260"/>
      <c r="M211" s="260"/>
      <c r="N211" s="262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3"/>
      <c r="Z211" s="260"/>
      <c r="AA211" s="260"/>
      <c r="AB211" s="260"/>
      <c r="AC211" s="260"/>
      <c r="AD211" s="260"/>
      <c r="AE211" s="260"/>
      <c r="AF211" s="264"/>
      <c r="AG211" s="260"/>
      <c r="AH211" s="260"/>
      <c r="AI211" s="260"/>
    </row>
    <row r="212">
      <c r="A212" s="259"/>
      <c r="B212" s="260"/>
      <c r="C212" s="260"/>
      <c r="D212" s="260"/>
      <c r="E212" s="260"/>
      <c r="F212" s="260"/>
      <c r="G212" s="261"/>
      <c r="H212" s="259"/>
      <c r="I212" s="260"/>
      <c r="J212" s="260"/>
      <c r="K212" s="260"/>
      <c r="L212" s="260"/>
      <c r="M212" s="260"/>
      <c r="N212" s="262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3"/>
      <c r="Z212" s="260"/>
      <c r="AA212" s="260"/>
      <c r="AB212" s="260"/>
      <c r="AC212" s="260"/>
      <c r="AD212" s="260"/>
      <c r="AE212" s="260"/>
      <c r="AF212" s="264"/>
      <c r="AG212" s="260"/>
      <c r="AH212" s="260"/>
      <c r="AI212" s="260"/>
    </row>
    <row r="213">
      <c r="A213" s="259"/>
      <c r="B213" s="260"/>
      <c r="C213" s="260"/>
      <c r="D213" s="260"/>
      <c r="E213" s="260"/>
      <c r="F213" s="260"/>
      <c r="G213" s="261"/>
      <c r="H213" s="259"/>
      <c r="I213" s="260"/>
      <c r="J213" s="260"/>
      <c r="K213" s="260"/>
      <c r="L213" s="260"/>
      <c r="M213" s="260"/>
      <c r="N213" s="262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3"/>
      <c r="Z213" s="260"/>
      <c r="AA213" s="260"/>
      <c r="AB213" s="260"/>
      <c r="AC213" s="260"/>
      <c r="AD213" s="260"/>
      <c r="AE213" s="260"/>
      <c r="AF213" s="264"/>
      <c r="AG213" s="260"/>
      <c r="AH213" s="260"/>
      <c r="AI213" s="260"/>
    </row>
    <row r="214">
      <c r="A214" s="259"/>
      <c r="B214" s="260"/>
      <c r="C214" s="260"/>
      <c r="D214" s="260"/>
      <c r="E214" s="260"/>
      <c r="F214" s="260"/>
      <c r="G214" s="261"/>
      <c r="H214" s="259"/>
      <c r="I214" s="260"/>
      <c r="J214" s="260"/>
      <c r="K214" s="260"/>
      <c r="L214" s="260"/>
      <c r="M214" s="260"/>
      <c r="N214" s="262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3"/>
      <c r="Z214" s="260"/>
      <c r="AA214" s="260"/>
      <c r="AB214" s="260"/>
      <c r="AC214" s="260"/>
      <c r="AD214" s="260"/>
      <c r="AE214" s="260"/>
      <c r="AF214" s="264"/>
      <c r="AG214" s="260"/>
      <c r="AH214" s="260"/>
      <c r="AI214" s="260"/>
    </row>
    <row r="215">
      <c r="A215" s="259"/>
      <c r="B215" s="260"/>
      <c r="C215" s="260"/>
      <c r="D215" s="260"/>
      <c r="E215" s="260"/>
      <c r="F215" s="260"/>
      <c r="G215" s="261"/>
      <c r="H215" s="259"/>
      <c r="I215" s="260"/>
      <c r="J215" s="260"/>
      <c r="K215" s="260"/>
      <c r="L215" s="260"/>
      <c r="M215" s="260"/>
      <c r="N215" s="262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3"/>
      <c r="Z215" s="260"/>
      <c r="AA215" s="260"/>
      <c r="AB215" s="260"/>
      <c r="AC215" s="260"/>
      <c r="AD215" s="260"/>
      <c r="AE215" s="260"/>
      <c r="AF215" s="264"/>
      <c r="AG215" s="260"/>
      <c r="AH215" s="260"/>
      <c r="AI215" s="260"/>
    </row>
    <row r="216">
      <c r="A216" s="259"/>
      <c r="B216" s="260"/>
      <c r="C216" s="260"/>
      <c r="D216" s="260"/>
      <c r="E216" s="260"/>
      <c r="F216" s="260"/>
      <c r="G216" s="261"/>
      <c r="H216" s="259"/>
      <c r="I216" s="260"/>
      <c r="J216" s="260"/>
      <c r="K216" s="260"/>
      <c r="L216" s="260"/>
      <c r="M216" s="260"/>
      <c r="N216" s="262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3"/>
      <c r="Z216" s="260"/>
      <c r="AA216" s="260"/>
      <c r="AB216" s="260"/>
      <c r="AC216" s="260"/>
      <c r="AD216" s="260"/>
      <c r="AE216" s="260"/>
      <c r="AF216" s="264"/>
      <c r="AG216" s="260"/>
      <c r="AH216" s="260"/>
      <c r="AI216" s="260"/>
    </row>
    <row r="217">
      <c r="A217" s="259"/>
      <c r="B217" s="260"/>
      <c r="C217" s="260"/>
      <c r="D217" s="260"/>
      <c r="E217" s="260"/>
      <c r="F217" s="260"/>
      <c r="G217" s="261"/>
      <c r="H217" s="259"/>
      <c r="I217" s="260"/>
      <c r="J217" s="260"/>
      <c r="K217" s="260"/>
      <c r="L217" s="260"/>
      <c r="M217" s="260"/>
      <c r="N217" s="262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3"/>
      <c r="Z217" s="260"/>
      <c r="AA217" s="260"/>
      <c r="AB217" s="260"/>
      <c r="AC217" s="260"/>
      <c r="AD217" s="260"/>
      <c r="AE217" s="260"/>
      <c r="AF217" s="264"/>
      <c r="AG217" s="260"/>
      <c r="AH217" s="260"/>
      <c r="AI217" s="260"/>
    </row>
    <row r="218">
      <c r="A218" s="259"/>
      <c r="B218" s="260"/>
      <c r="C218" s="260"/>
      <c r="D218" s="260"/>
      <c r="E218" s="260"/>
      <c r="F218" s="260"/>
      <c r="G218" s="261"/>
      <c r="H218" s="259"/>
      <c r="I218" s="260"/>
      <c r="J218" s="260"/>
      <c r="K218" s="260"/>
      <c r="L218" s="260"/>
      <c r="M218" s="260"/>
      <c r="N218" s="262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3"/>
      <c r="Z218" s="260"/>
      <c r="AA218" s="260"/>
      <c r="AB218" s="260"/>
      <c r="AC218" s="260"/>
      <c r="AD218" s="260"/>
      <c r="AE218" s="260"/>
      <c r="AF218" s="264"/>
      <c r="AG218" s="260"/>
      <c r="AH218" s="260"/>
      <c r="AI218" s="260"/>
    </row>
    <row r="219">
      <c r="A219" s="259"/>
      <c r="B219" s="260"/>
      <c r="C219" s="260"/>
      <c r="D219" s="260"/>
      <c r="E219" s="260"/>
      <c r="F219" s="260"/>
      <c r="G219" s="261"/>
      <c r="H219" s="259"/>
      <c r="I219" s="260"/>
      <c r="J219" s="260"/>
      <c r="K219" s="260"/>
      <c r="L219" s="260"/>
      <c r="M219" s="260"/>
      <c r="N219" s="262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3"/>
      <c r="Z219" s="260"/>
      <c r="AA219" s="260"/>
      <c r="AB219" s="260"/>
      <c r="AC219" s="260"/>
      <c r="AD219" s="260"/>
      <c r="AE219" s="260"/>
      <c r="AF219" s="264"/>
      <c r="AG219" s="260"/>
      <c r="AH219" s="260"/>
      <c r="AI219" s="260"/>
    </row>
    <row r="220">
      <c r="A220" s="259"/>
      <c r="B220" s="260"/>
      <c r="C220" s="260"/>
      <c r="D220" s="260"/>
      <c r="E220" s="260"/>
      <c r="F220" s="260"/>
      <c r="G220" s="261"/>
      <c r="H220" s="259"/>
      <c r="I220" s="260"/>
      <c r="J220" s="260"/>
      <c r="K220" s="260"/>
      <c r="L220" s="260"/>
      <c r="M220" s="260"/>
      <c r="N220" s="262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3"/>
      <c r="Z220" s="260"/>
      <c r="AA220" s="260"/>
      <c r="AB220" s="260"/>
      <c r="AC220" s="260"/>
      <c r="AD220" s="260"/>
      <c r="AE220" s="260"/>
      <c r="AF220" s="264"/>
      <c r="AG220" s="260"/>
      <c r="AH220" s="260"/>
      <c r="AI220" s="260"/>
    </row>
    <row r="221">
      <c r="A221" s="259"/>
      <c r="B221" s="260"/>
      <c r="C221" s="260"/>
      <c r="D221" s="260"/>
      <c r="E221" s="260"/>
      <c r="F221" s="260"/>
      <c r="G221" s="261"/>
      <c r="H221" s="259"/>
      <c r="I221" s="260"/>
      <c r="J221" s="260"/>
      <c r="K221" s="260"/>
      <c r="L221" s="260"/>
      <c r="M221" s="260"/>
      <c r="N221" s="262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3"/>
      <c r="Z221" s="260"/>
      <c r="AA221" s="260"/>
      <c r="AB221" s="260"/>
      <c r="AC221" s="260"/>
      <c r="AD221" s="260"/>
      <c r="AE221" s="260"/>
      <c r="AF221" s="264"/>
      <c r="AG221" s="260"/>
      <c r="AH221" s="260"/>
      <c r="AI221" s="260"/>
    </row>
    <row r="222">
      <c r="A222" s="259"/>
      <c r="B222" s="260"/>
      <c r="C222" s="260"/>
      <c r="D222" s="260"/>
      <c r="E222" s="260"/>
      <c r="F222" s="260"/>
      <c r="G222" s="261"/>
      <c r="H222" s="259"/>
      <c r="I222" s="260"/>
      <c r="J222" s="260"/>
      <c r="K222" s="260"/>
      <c r="L222" s="260"/>
      <c r="M222" s="260"/>
      <c r="N222" s="262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3"/>
      <c r="Z222" s="260"/>
      <c r="AA222" s="260"/>
      <c r="AB222" s="260"/>
      <c r="AC222" s="260"/>
      <c r="AD222" s="260"/>
      <c r="AE222" s="260"/>
      <c r="AF222" s="264"/>
      <c r="AG222" s="260"/>
      <c r="AH222" s="260"/>
      <c r="AI222" s="260"/>
    </row>
    <row r="223">
      <c r="A223" s="259"/>
      <c r="B223" s="260"/>
      <c r="C223" s="260"/>
      <c r="D223" s="260"/>
      <c r="E223" s="260"/>
      <c r="F223" s="260"/>
      <c r="G223" s="261"/>
      <c r="H223" s="259"/>
      <c r="I223" s="260"/>
      <c r="J223" s="260"/>
      <c r="K223" s="260"/>
      <c r="L223" s="260"/>
      <c r="M223" s="260"/>
      <c r="N223" s="262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3"/>
      <c r="Z223" s="260"/>
      <c r="AA223" s="260"/>
      <c r="AB223" s="260"/>
      <c r="AC223" s="260"/>
      <c r="AD223" s="260"/>
      <c r="AE223" s="260"/>
      <c r="AF223" s="264"/>
      <c r="AG223" s="260"/>
      <c r="AH223" s="260"/>
      <c r="AI223" s="260"/>
    </row>
    <row r="224">
      <c r="A224" s="259"/>
      <c r="B224" s="260"/>
      <c r="C224" s="260"/>
      <c r="D224" s="260"/>
      <c r="E224" s="260"/>
      <c r="F224" s="260"/>
      <c r="G224" s="261"/>
      <c r="H224" s="259"/>
      <c r="I224" s="260"/>
      <c r="J224" s="260"/>
      <c r="K224" s="260"/>
      <c r="L224" s="260"/>
      <c r="M224" s="260"/>
      <c r="N224" s="262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3"/>
      <c r="Z224" s="260"/>
      <c r="AA224" s="260"/>
      <c r="AB224" s="260"/>
      <c r="AC224" s="260"/>
      <c r="AD224" s="260"/>
      <c r="AE224" s="260"/>
      <c r="AF224" s="264"/>
      <c r="AG224" s="260"/>
      <c r="AH224" s="260"/>
      <c r="AI224" s="260"/>
    </row>
    <row r="225">
      <c r="A225" s="259"/>
      <c r="B225" s="260"/>
      <c r="C225" s="260"/>
      <c r="D225" s="260"/>
      <c r="E225" s="260"/>
      <c r="F225" s="260"/>
      <c r="G225" s="261"/>
      <c r="H225" s="259"/>
      <c r="I225" s="260"/>
      <c r="J225" s="260"/>
      <c r="K225" s="260"/>
      <c r="L225" s="260"/>
      <c r="M225" s="260"/>
      <c r="N225" s="262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3"/>
      <c r="Z225" s="260"/>
      <c r="AA225" s="260"/>
      <c r="AB225" s="260"/>
      <c r="AC225" s="260"/>
      <c r="AD225" s="260"/>
      <c r="AE225" s="260"/>
      <c r="AF225" s="264"/>
      <c r="AG225" s="260"/>
      <c r="AH225" s="260"/>
      <c r="AI225" s="260"/>
    </row>
    <row r="226">
      <c r="A226" s="259"/>
      <c r="B226" s="260"/>
      <c r="C226" s="260"/>
      <c r="D226" s="260"/>
      <c r="E226" s="260"/>
      <c r="F226" s="260"/>
      <c r="G226" s="261"/>
      <c r="H226" s="259"/>
      <c r="I226" s="260"/>
      <c r="J226" s="260"/>
      <c r="K226" s="260"/>
      <c r="L226" s="260"/>
      <c r="M226" s="260"/>
      <c r="N226" s="262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3"/>
      <c r="Z226" s="260"/>
      <c r="AA226" s="260"/>
      <c r="AB226" s="260"/>
      <c r="AC226" s="260"/>
      <c r="AD226" s="260"/>
      <c r="AE226" s="260"/>
      <c r="AF226" s="264"/>
      <c r="AG226" s="260"/>
      <c r="AH226" s="260"/>
      <c r="AI226" s="260"/>
    </row>
    <row r="227">
      <c r="A227" s="259"/>
      <c r="B227" s="260"/>
      <c r="C227" s="260"/>
      <c r="D227" s="260"/>
      <c r="E227" s="260"/>
      <c r="F227" s="260"/>
      <c r="G227" s="261"/>
      <c r="H227" s="259"/>
      <c r="I227" s="260"/>
      <c r="J227" s="260"/>
      <c r="K227" s="260"/>
      <c r="L227" s="260"/>
      <c r="M227" s="260"/>
      <c r="N227" s="262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3"/>
      <c r="Z227" s="260"/>
      <c r="AA227" s="260"/>
      <c r="AB227" s="260"/>
      <c r="AC227" s="260"/>
      <c r="AD227" s="260"/>
      <c r="AE227" s="260"/>
      <c r="AF227" s="264"/>
      <c r="AG227" s="260"/>
      <c r="AH227" s="260"/>
      <c r="AI227" s="260"/>
    </row>
    <row r="228">
      <c r="A228" s="259"/>
      <c r="B228" s="260"/>
      <c r="C228" s="260"/>
      <c r="D228" s="260"/>
      <c r="E228" s="260"/>
      <c r="F228" s="260"/>
      <c r="G228" s="261"/>
      <c r="H228" s="259"/>
      <c r="I228" s="260"/>
      <c r="J228" s="260"/>
      <c r="K228" s="260"/>
      <c r="L228" s="260"/>
      <c r="M228" s="260"/>
      <c r="N228" s="262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3"/>
      <c r="Z228" s="260"/>
      <c r="AA228" s="260"/>
      <c r="AB228" s="260"/>
      <c r="AC228" s="260"/>
      <c r="AD228" s="260"/>
      <c r="AE228" s="260"/>
      <c r="AF228" s="264"/>
      <c r="AG228" s="260"/>
      <c r="AH228" s="260"/>
      <c r="AI228" s="260"/>
    </row>
    <row r="229">
      <c r="A229" s="259"/>
      <c r="B229" s="260"/>
      <c r="C229" s="260"/>
      <c r="D229" s="260"/>
      <c r="E229" s="260"/>
      <c r="F229" s="260"/>
      <c r="G229" s="261"/>
      <c r="H229" s="259"/>
      <c r="I229" s="260"/>
      <c r="J229" s="260"/>
      <c r="K229" s="260"/>
      <c r="L229" s="260"/>
      <c r="M229" s="260"/>
      <c r="N229" s="262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3"/>
      <c r="Z229" s="260"/>
      <c r="AA229" s="260"/>
      <c r="AB229" s="260"/>
      <c r="AC229" s="260"/>
      <c r="AD229" s="260"/>
      <c r="AE229" s="260"/>
      <c r="AF229" s="264"/>
      <c r="AG229" s="260"/>
      <c r="AH229" s="260"/>
      <c r="AI229" s="260"/>
    </row>
    <row r="230">
      <c r="A230" s="259"/>
      <c r="B230" s="260"/>
      <c r="C230" s="260"/>
      <c r="D230" s="260"/>
      <c r="E230" s="260"/>
      <c r="F230" s="260"/>
      <c r="G230" s="261"/>
      <c r="H230" s="259"/>
      <c r="I230" s="260"/>
      <c r="J230" s="260"/>
      <c r="K230" s="260"/>
      <c r="L230" s="260"/>
      <c r="M230" s="260"/>
      <c r="N230" s="262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3"/>
      <c r="Z230" s="260"/>
      <c r="AA230" s="260"/>
      <c r="AB230" s="260"/>
      <c r="AC230" s="260"/>
      <c r="AD230" s="260"/>
      <c r="AE230" s="260"/>
      <c r="AF230" s="264"/>
      <c r="AG230" s="260"/>
      <c r="AH230" s="260"/>
      <c r="AI230" s="260"/>
    </row>
    <row r="231">
      <c r="A231" s="259"/>
      <c r="B231" s="260"/>
      <c r="C231" s="260"/>
      <c r="D231" s="260"/>
      <c r="E231" s="260"/>
      <c r="F231" s="260"/>
      <c r="G231" s="261"/>
      <c r="H231" s="259"/>
      <c r="I231" s="260"/>
      <c r="J231" s="260"/>
      <c r="K231" s="260"/>
      <c r="L231" s="260"/>
      <c r="M231" s="260"/>
      <c r="N231" s="262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3"/>
      <c r="Z231" s="260"/>
      <c r="AA231" s="260"/>
      <c r="AB231" s="260"/>
      <c r="AC231" s="260"/>
      <c r="AD231" s="260"/>
      <c r="AE231" s="260"/>
      <c r="AF231" s="264"/>
      <c r="AG231" s="260"/>
      <c r="AH231" s="260"/>
      <c r="AI231" s="260"/>
    </row>
    <row r="232">
      <c r="A232" s="259"/>
      <c r="B232" s="260"/>
      <c r="C232" s="260"/>
      <c r="D232" s="260"/>
      <c r="E232" s="260"/>
      <c r="F232" s="260"/>
      <c r="G232" s="261"/>
      <c r="H232" s="259"/>
      <c r="I232" s="260"/>
      <c r="J232" s="260"/>
      <c r="K232" s="260"/>
      <c r="L232" s="260"/>
      <c r="M232" s="260"/>
      <c r="N232" s="262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3"/>
      <c r="Z232" s="260"/>
      <c r="AA232" s="260"/>
      <c r="AB232" s="260"/>
      <c r="AC232" s="260"/>
      <c r="AD232" s="260"/>
      <c r="AE232" s="260"/>
      <c r="AF232" s="264"/>
      <c r="AG232" s="260"/>
      <c r="AH232" s="260"/>
      <c r="AI232" s="260"/>
    </row>
    <row r="233">
      <c r="A233" s="259"/>
      <c r="B233" s="260"/>
      <c r="C233" s="260"/>
      <c r="D233" s="260"/>
      <c r="E233" s="260"/>
      <c r="F233" s="260"/>
      <c r="G233" s="261"/>
      <c r="H233" s="259"/>
      <c r="I233" s="260"/>
      <c r="J233" s="260"/>
      <c r="K233" s="260"/>
      <c r="L233" s="260"/>
      <c r="M233" s="260"/>
      <c r="N233" s="262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3"/>
      <c r="Z233" s="260"/>
      <c r="AA233" s="260"/>
      <c r="AB233" s="260"/>
      <c r="AC233" s="260"/>
      <c r="AD233" s="260"/>
      <c r="AE233" s="260"/>
      <c r="AF233" s="264"/>
      <c r="AG233" s="260"/>
      <c r="AH233" s="260"/>
      <c r="AI233" s="260"/>
    </row>
    <row r="234">
      <c r="A234" s="259"/>
      <c r="B234" s="260"/>
      <c r="C234" s="260"/>
      <c r="D234" s="260"/>
      <c r="E234" s="260"/>
      <c r="F234" s="260"/>
      <c r="G234" s="261"/>
      <c r="H234" s="259"/>
      <c r="I234" s="260"/>
      <c r="J234" s="260"/>
      <c r="K234" s="260"/>
      <c r="L234" s="260"/>
      <c r="M234" s="260"/>
      <c r="N234" s="262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3"/>
      <c r="Z234" s="260"/>
      <c r="AA234" s="260"/>
      <c r="AB234" s="260"/>
      <c r="AC234" s="260"/>
      <c r="AD234" s="260"/>
      <c r="AE234" s="260"/>
      <c r="AF234" s="264"/>
      <c r="AG234" s="260"/>
      <c r="AH234" s="260"/>
      <c r="AI234" s="260"/>
    </row>
    <row r="235">
      <c r="A235" s="259"/>
      <c r="B235" s="260"/>
      <c r="C235" s="260"/>
      <c r="D235" s="260"/>
      <c r="E235" s="260"/>
      <c r="F235" s="260"/>
      <c r="G235" s="261"/>
      <c r="H235" s="259"/>
      <c r="I235" s="260"/>
      <c r="J235" s="260"/>
      <c r="K235" s="260"/>
      <c r="L235" s="260"/>
      <c r="M235" s="260"/>
      <c r="N235" s="262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3"/>
      <c r="Z235" s="260"/>
      <c r="AA235" s="260"/>
      <c r="AB235" s="260"/>
      <c r="AC235" s="260"/>
      <c r="AD235" s="260"/>
      <c r="AE235" s="260"/>
      <c r="AF235" s="264"/>
      <c r="AG235" s="260"/>
      <c r="AH235" s="260"/>
      <c r="AI235" s="260"/>
    </row>
    <row r="236">
      <c r="A236" s="259"/>
      <c r="B236" s="260"/>
      <c r="C236" s="260"/>
      <c r="D236" s="260"/>
      <c r="E236" s="260"/>
      <c r="F236" s="260"/>
      <c r="G236" s="261"/>
      <c r="H236" s="259"/>
      <c r="I236" s="260"/>
      <c r="J236" s="260"/>
      <c r="K236" s="260"/>
      <c r="L236" s="260"/>
      <c r="M236" s="260"/>
      <c r="N236" s="262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3"/>
      <c r="Z236" s="260"/>
      <c r="AA236" s="260"/>
      <c r="AB236" s="260"/>
      <c r="AC236" s="260"/>
      <c r="AD236" s="260"/>
      <c r="AE236" s="260"/>
      <c r="AF236" s="264"/>
      <c r="AG236" s="260"/>
      <c r="AH236" s="260"/>
      <c r="AI236" s="260"/>
    </row>
    <row r="237">
      <c r="A237" s="259"/>
      <c r="B237" s="260"/>
      <c r="C237" s="260"/>
      <c r="D237" s="260"/>
      <c r="E237" s="260"/>
      <c r="F237" s="260"/>
      <c r="G237" s="261"/>
      <c r="H237" s="259"/>
      <c r="I237" s="260"/>
      <c r="J237" s="260"/>
      <c r="K237" s="260"/>
      <c r="L237" s="260"/>
      <c r="M237" s="260"/>
      <c r="N237" s="262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3"/>
      <c r="Z237" s="260"/>
      <c r="AA237" s="260"/>
      <c r="AB237" s="260"/>
      <c r="AC237" s="260"/>
      <c r="AD237" s="260"/>
      <c r="AE237" s="260"/>
      <c r="AF237" s="264"/>
      <c r="AG237" s="260"/>
      <c r="AH237" s="260"/>
      <c r="AI237" s="260"/>
    </row>
    <row r="238">
      <c r="A238" s="259"/>
      <c r="B238" s="260"/>
      <c r="C238" s="260"/>
      <c r="D238" s="260"/>
      <c r="E238" s="260"/>
      <c r="F238" s="260"/>
      <c r="G238" s="261"/>
      <c r="H238" s="259"/>
      <c r="I238" s="260"/>
      <c r="J238" s="260"/>
      <c r="K238" s="260"/>
      <c r="L238" s="260"/>
      <c r="M238" s="260"/>
      <c r="N238" s="262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3"/>
      <c r="Z238" s="260"/>
      <c r="AA238" s="260"/>
      <c r="AB238" s="260"/>
      <c r="AC238" s="260"/>
      <c r="AD238" s="260"/>
      <c r="AE238" s="260"/>
      <c r="AF238" s="264"/>
      <c r="AG238" s="260"/>
      <c r="AH238" s="260"/>
      <c r="AI238" s="260"/>
    </row>
    <row r="239">
      <c r="A239" s="259"/>
      <c r="B239" s="260"/>
      <c r="C239" s="260"/>
      <c r="D239" s="260"/>
      <c r="E239" s="260"/>
      <c r="F239" s="260"/>
      <c r="G239" s="261"/>
      <c r="H239" s="259"/>
      <c r="I239" s="260"/>
      <c r="J239" s="260"/>
      <c r="K239" s="260"/>
      <c r="L239" s="260"/>
      <c r="M239" s="260"/>
      <c r="N239" s="262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3"/>
      <c r="Z239" s="260"/>
      <c r="AA239" s="260"/>
      <c r="AB239" s="260"/>
      <c r="AC239" s="260"/>
      <c r="AD239" s="260"/>
      <c r="AE239" s="260"/>
      <c r="AF239" s="264"/>
      <c r="AG239" s="260"/>
      <c r="AH239" s="260"/>
      <c r="AI239" s="260"/>
    </row>
    <row r="240">
      <c r="A240" s="259"/>
      <c r="B240" s="260"/>
      <c r="C240" s="260"/>
      <c r="D240" s="260"/>
      <c r="E240" s="260"/>
      <c r="F240" s="260"/>
      <c r="G240" s="261"/>
      <c r="H240" s="259"/>
      <c r="I240" s="260"/>
      <c r="J240" s="260"/>
      <c r="K240" s="260"/>
      <c r="L240" s="260"/>
      <c r="M240" s="260"/>
      <c r="N240" s="262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3"/>
      <c r="Z240" s="260"/>
      <c r="AA240" s="260"/>
      <c r="AB240" s="260"/>
      <c r="AC240" s="260"/>
      <c r="AD240" s="260"/>
      <c r="AE240" s="260"/>
      <c r="AF240" s="264"/>
      <c r="AG240" s="260"/>
      <c r="AH240" s="260"/>
      <c r="AI240" s="260"/>
    </row>
    <row r="241">
      <c r="A241" s="259"/>
      <c r="B241" s="260"/>
      <c r="C241" s="260"/>
      <c r="D241" s="260"/>
      <c r="E241" s="260"/>
      <c r="F241" s="260"/>
      <c r="G241" s="261"/>
      <c r="H241" s="259"/>
      <c r="I241" s="260"/>
      <c r="J241" s="260"/>
      <c r="K241" s="260"/>
      <c r="L241" s="260"/>
      <c r="M241" s="260"/>
      <c r="N241" s="262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3"/>
      <c r="Z241" s="260"/>
      <c r="AA241" s="260"/>
      <c r="AB241" s="260"/>
      <c r="AC241" s="260"/>
      <c r="AD241" s="260"/>
      <c r="AE241" s="260"/>
      <c r="AF241" s="264"/>
      <c r="AG241" s="260"/>
      <c r="AH241" s="260"/>
      <c r="AI241" s="260"/>
    </row>
    <row r="242">
      <c r="A242" s="259"/>
      <c r="B242" s="260"/>
      <c r="C242" s="260"/>
      <c r="D242" s="260"/>
      <c r="E242" s="260"/>
      <c r="F242" s="260"/>
      <c r="G242" s="261"/>
      <c r="H242" s="259"/>
      <c r="I242" s="260"/>
      <c r="J242" s="260"/>
      <c r="K242" s="260"/>
      <c r="L242" s="260"/>
      <c r="M242" s="260"/>
      <c r="N242" s="262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3"/>
      <c r="Z242" s="260"/>
      <c r="AA242" s="260"/>
      <c r="AB242" s="260"/>
      <c r="AC242" s="260"/>
      <c r="AD242" s="260"/>
      <c r="AE242" s="260"/>
      <c r="AF242" s="264"/>
      <c r="AG242" s="260"/>
      <c r="AH242" s="260"/>
      <c r="AI242" s="260"/>
    </row>
    <row r="243">
      <c r="A243" s="259"/>
      <c r="B243" s="260"/>
      <c r="C243" s="260"/>
      <c r="D243" s="260"/>
      <c r="E243" s="260"/>
      <c r="F243" s="260"/>
      <c r="G243" s="261"/>
      <c r="H243" s="259"/>
      <c r="I243" s="260"/>
      <c r="J243" s="260"/>
      <c r="K243" s="260"/>
      <c r="L243" s="260"/>
      <c r="M243" s="260"/>
      <c r="N243" s="262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3"/>
      <c r="Z243" s="260"/>
      <c r="AA243" s="260"/>
      <c r="AB243" s="260"/>
      <c r="AC243" s="260"/>
      <c r="AD243" s="260"/>
      <c r="AE243" s="260"/>
      <c r="AF243" s="264"/>
      <c r="AG243" s="260"/>
      <c r="AH243" s="260"/>
      <c r="AI243" s="260"/>
    </row>
    <row r="244">
      <c r="A244" s="259"/>
      <c r="B244" s="260"/>
      <c r="C244" s="260"/>
      <c r="D244" s="260"/>
      <c r="E244" s="260"/>
      <c r="F244" s="260"/>
      <c r="G244" s="261"/>
      <c r="H244" s="259"/>
      <c r="I244" s="260"/>
      <c r="J244" s="260"/>
      <c r="K244" s="260"/>
      <c r="L244" s="260"/>
      <c r="M244" s="260"/>
      <c r="N244" s="262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3"/>
      <c r="Z244" s="260"/>
      <c r="AA244" s="260"/>
      <c r="AB244" s="260"/>
      <c r="AC244" s="260"/>
      <c r="AD244" s="260"/>
      <c r="AE244" s="260"/>
      <c r="AF244" s="264"/>
      <c r="AG244" s="260"/>
      <c r="AH244" s="260"/>
      <c r="AI244" s="260"/>
    </row>
    <row r="245">
      <c r="A245" s="259"/>
      <c r="B245" s="260"/>
      <c r="C245" s="260"/>
      <c r="D245" s="260"/>
      <c r="E245" s="260"/>
      <c r="F245" s="260"/>
      <c r="G245" s="261"/>
      <c r="H245" s="259"/>
      <c r="I245" s="260"/>
      <c r="J245" s="260"/>
      <c r="K245" s="260"/>
      <c r="L245" s="260"/>
      <c r="M245" s="260"/>
      <c r="N245" s="262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3"/>
      <c r="Z245" s="260"/>
      <c r="AA245" s="260"/>
      <c r="AB245" s="260"/>
      <c r="AC245" s="260"/>
      <c r="AD245" s="260"/>
      <c r="AE245" s="260"/>
      <c r="AF245" s="264"/>
      <c r="AG245" s="260"/>
      <c r="AH245" s="260"/>
      <c r="AI245" s="260"/>
    </row>
    <row r="246">
      <c r="A246" s="259"/>
      <c r="B246" s="260"/>
      <c r="C246" s="260"/>
      <c r="D246" s="260"/>
      <c r="E246" s="260"/>
      <c r="F246" s="260"/>
      <c r="G246" s="261"/>
      <c r="H246" s="259"/>
      <c r="I246" s="260"/>
      <c r="J246" s="260"/>
      <c r="K246" s="260"/>
      <c r="L246" s="260"/>
      <c r="M246" s="260"/>
      <c r="N246" s="262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3"/>
      <c r="Z246" s="260"/>
      <c r="AA246" s="260"/>
      <c r="AB246" s="260"/>
      <c r="AC246" s="260"/>
      <c r="AD246" s="260"/>
      <c r="AE246" s="260"/>
      <c r="AF246" s="264"/>
      <c r="AG246" s="260"/>
      <c r="AH246" s="260"/>
      <c r="AI246" s="260"/>
    </row>
    <row r="247">
      <c r="A247" s="259"/>
      <c r="B247" s="260"/>
      <c r="C247" s="260"/>
      <c r="D247" s="260"/>
      <c r="E247" s="260"/>
      <c r="F247" s="260"/>
      <c r="G247" s="261"/>
      <c r="H247" s="259"/>
      <c r="I247" s="260"/>
      <c r="J247" s="260"/>
      <c r="K247" s="260"/>
      <c r="L247" s="260"/>
      <c r="M247" s="260"/>
      <c r="N247" s="262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3"/>
      <c r="Z247" s="260"/>
      <c r="AA247" s="260"/>
      <c r="AB247" s="260"/>
      <c r="AC247" s="260"/>
      <c r="AD247" s="260"/>
      <c r="AE247" s="260"/>
      <c r="AF247" s="264"/>
      <c r="AG247" s="260"/>
      <c r="AH247" s="260"/>
      <c r="AI247" s="260"/>
    </row>
    <row r="248">
      <c r="A248" s="259"/>
      <c r="B248" s="260"/>
      <c r="C248" s="260"/>
      <c r="D248" s="260"/>
      <c r="E248" s="260"/>
      <c r="F248" s="260"/>
      <c r="G248" s="261"/>
      <c r="H248" s="259"/>
      <c r="I248" s="260"/>
      <c r="J248" s="260"/>
      <c r="K248" s="260"/>
      <c r="L248" s="260"/>
      <c r="M248" s="260"/>
      <c r="N248" s="262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3"/>
      <c r="Z248" s="260"/>
      <c r="AA248" s="260"/>
      <c r="AB248" s="260"/>
      <c r="AC248" s="260"/>
      <c r="AD248" s="260"/>
      <c r="AE248" s="260"/>
      <c r="AF248" s="264"/>
      <c r="AG248" s="260"/>
      <c r="AH248" s="260"/>
      <c r="AI248" s="260"/>
    </row>
    <row r="249">
      <c r="A249" s="259"/>
      <c r="B249" s="260"/>
      <c r="C249" s="260"/>
      <c r="D249" s="260"/>
      <c r="E249" s="260"/>
      <c r="F249" s="260"/>
      <c r="G249" s="261"/>
      <c r="H249" s="259"/>
      <c r="I249" s="260"/>
      <c r="J249" s="260"/>
      <c r="K249" s="260"/>
      <c r="L249" s="260"/>
      <c r="M249" s="260"/>
      <c r="N249" s="262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3"/>
      <c r="Z249" s="260"/>
      <c r="AA249" s="260"/>
      <c r="AB249" s="260"/>
      <c r="AC249" s="260"/>
      <c r="AD249" s="260"/>
      <c r="AE249" s="260"/>
      <c r="AF249" s="264"/>
      <c r="AG249" s="260"/>
      <c r="AH249" s="260"/>
      <c r="AI249" s="260"/>
    </row>
    <row r="250">
      <c r="A250" s="259"/>
      <c r="B250" s="260"/>
      <c r="C250" s="260"/>
      <c r="D250" s="260"/>
      <c r="E250" s="260"/>
      <c r="F250" s="260"/>
      <c r="G250" s="261"/>
      <c r="H250" s="259"/>
      <c r="I250" s="260"/>
      <c r="J250" s="260"/>
      <c r="K250" s="260"/>
      <c r="L250" s="260"/>
      <c r="M250" s="260"/>
      <c r="N250" s="262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3"/>
      <c r="Z250" s="260"/>
      <c r="AA250" s="260"/>
      <c r="AB250" s="260"/>
      <c r="AC250" s="260"/>
      <c r="AD250" s="260"/>
      <c r="AE250" s="260"/>
      <c r="AF250" s="264"/>
      <c r="AG250" s="260"/>
      <c r="AH250" s="260"/>
      <c r="AI250" s="260"/>
    </row>
    <row r="251">
      <c r="A251" s="259"/>
      <c r="B251" s="260"/>
      <c r="C251" s="260"/>
      <c r="D251" s="260"/>
      <c r="E251" s="260"/>
      <c r="F251" s="260"/>
      <c r="G251" s="261"/>
      <c r="H251" s="259"/>
      <c r="I251" s="260"/>
      <c r="J251" s="260"/>
      <c r="K251" s="260"/>
      <c r="L251" s="260"/>
      <c r="M251" s="260"/>
      <c r="N251" s="262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3"/>
      <c r="Z251" s="260"/>
      <c r="AA251" s="260"/>
      <c r="AB251" s="260"/>
      <c r="AC251" s="260"/>
      <c r="AD251" s="260"/>
      <c r="AE251" s="260"/>
      <c r="AF251" s="264"/>
      <c r="AG251" s="260"/>
      <c r="AH251" s="260"/>
      <c r="AI251" s="260"/>
    </row>
    <row r="252">
      <c r="A252" s="259"/>
      <c r="B252" s="260"/>
      <c r="C252" s="260"/>
      <c r="D252" s="260"/>
      <c r="E252" s="260"/>
      <c r="F252" s="260"/>
      <c r="G252" s="261"/>
      <c r="H252" s="259"/>
      <c r="I252" s="260"/>
      <c r="J252" s="260"/>
      <c r="K252" s="260"/>
      <c r="L252" s="260"/>
      <c r="M252" s="260"/>
      <c r="N252" s="262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3"/>
      <c r="Z252" s="260"/>
      <c r="AA252" s="260"/>
      <c r="AB252" s="260"/>
      <c r="AC252" s="260"/>
      <c r="AD252" s="260"/>
      <c r="AE252" s="260"/>
      <c r="AF252" s="264"/>
      <c r="AG252" s="260"/>
      <c r="AH252" s="260"/>
      <c r="AI252" s="260"/>
    </row>
    <row r="253">
      <c r="A253" s="259"/>
      <c r="B253" s="260"/>
      <c r="C253" s="260"/>
      <c r="D253" s="260"/>
      <c r="E253" s="260"/>
      <c r="F253" s="260"/>
      <c r="G253" s="261"/>
      <c r="H253" s="259"/>
      <c r="I253" s="260"/>
      <c r="J253" s="260"/>
      <c r="K253" s="260"/>
      <c r="L253" s="260"/>
      <c r="M253" s="260"/>
      <c r="N253" s="262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3"/>
      <c r="Z253" s="260"/>
      <c r="AA253" s="260"/>
      <c r="AB253" s="260"/>
      <c r="AC253" s="260"/>
      <c r="AD253" s="260"/>
      <c r="AE253" s="260"/>
      <c r="AF253" s="264"/>
      <c r="AG253" s="260"/>
      <c r="AH253" s="260"/>
      <c r="AI253" s="260"/>
    </row>
    <row r="254">
      <c r="A254" s="259"/>
      <c r="B254" s="260"/>
      <c r="C254" s="260"/>
      <c r="D254" s="260"/>
      <c r="E254" s="260"/>
      <c r="F254" s="260"/>
      <c r="G254" s="261"/>
      <c r="H254" s="259"/>
      <c r="I254" s="260"/>
      <c r="J254" s="260"/>
      <c r="K254" s="260"/>
      <c r="L254" s="260"/>
      <c r="M254" s="260"/>
      <c r="N254" s="262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3"/>
      <c r="Z254" s="260"/>
      <c r="AA254" s="260"/>
      <c r="AB254" s="260"/>
      <c r="AC254" s="260"/>
      <c r="AD254" s="260"/>
      <c r="AE254" s="260"/>
      <c r="AF254" s="264"/>
      <c r="AG254" s="260"/>
      <c r="AH254" s="260"/>
      <c r="AI254" s="260"/>
    </row>
    <row r="255">
      <c r="A255" s="259"/>
      <c r="B255" s="260"/>
      <c r="C255" s="260"/>
      <c r="D255" s="260"/>
      <c r="E255" s="260"/>
      <c r="F255" s="260"/>
      <c r="G255" s="261"/>
      <c r="H255" s="259"/>
      <c r="I255" s="260"/>
      <c r="J255" s="260"/>
      <c r="K255" s="260"/>
      <c r="L255" s="260"/>
      <c r="M255" s="260"/>
      <c r="N255" s="262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3"/>
      <c r="Z255" s="260"/>
      <c r="AA255" s="260"/>
      <c r="AB255" s="260"/>
      <c r="AC255" s="260"/>
      <c r="AD255" s="260"/>
      <c r="AE255" s="260"/>
      <c r="AF255" s="264"/>
      <c r="AG255" s="260"/>
      <c r="AH255" s="260"/>
      <c r="AI255" s="260"/>
    </row>
    <row r="256">
      <c r="A256" s="259"/>
      <c r="B256" s="260"/>
      <c r="C256" s="260"/>
      <c r="D256" s="260"/>
      <c r="E256" s="260"/>
      <c r="F256" s="260"/>
      <c r="G256" s="261"/>
      <c r="H256" s="259"/>
      <c r="I256" s="260"/>
      <c r="J256" s="260"/>
      <c r="K256" s="260"/>
      <c r="L256" s="260"/>
      <c r="M256" s="260"/>
      <c r="N256" s="262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3"/>
      <c r="Z256" s="260"/>
      <c r="AA256" s="260"/>
      <c r="AB256" s="260"/>
      <c r="AC256" s="260"/>
      <c r="AD256" s="260"/>
      <c r="AE256" s="260"/>
      <c r="AF256" s="264"/>
      <c r="AG256" s="260"/>
      <c r="AH256" s="260"/>
      <c r="AI256" s="260"/>
    </row>
    <row r="257">
      <c r="A257" s="259"/>
      <c r="B257" s="260"/>
      <c r="C257" s="260"/>
      <c r="D257" s="260"/>
      <c r="E257" s="260"/>
      <c r="F257" s="260"/>
      <c r="G257" s="261"/>
      <c r="H257" s="259"/>
      <c r="I257" s="260"/>
      <c r="J257" s="260"/>
      <c r="K257" s="260"/>
      <c r="L257" s="260"/>
      <c r="M257" s="260"/>
      <c r="N257" s="262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3"/>
      <c r="Z257" s="260"/>
      <c r="AA257" s="260"/>
      <c r="AB257" s="260"/>
      <c r="AC257" s="260"/>
      <c r="AD257" s="260"/>
      <c r="AE257" s="260"/>
      <c r="AF257" s="264"/>
      <c r="AG257" s="260"/>
      <c r="AH257" s="260"/>
      <c r="AI257" s="260"/>
    </row>
    <row r="258">
      <c r="A258" s="259"/>
      <c r="B258" s="260"/>
      <c r="C258" s="260"/>
      <c r="D258" s="260"/>
      <c r="E258" s="260"/>
      <c r="F258" s="260"/>
      <c r="G258" s="261"/>
      <c r="H258" s="259"/>
      <c r="I258" s="260"/>
      <c r="J258" s="260"/>
      <c r="K258" s="260"/>
      <c r="L258" s="260"/>
      <c r="M258" s="260"/>
      <c r="N258" s="262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3"/>
      <c r="Z258" s="260"/>
      <c r="AA258" s="260"/>
      <c r="AB258" s="260"/>
      <c r="AC258" s="260"/>
      <c r="AD258" s="260"/>
      <c r="AE258" s="260"/>
      <c r="AF258" s="264"/>
      <c r="AG258" s="260"/>
      <c r="AH258" s="260"/>
      <c r="AI258" s="260"/>
    </row>
    <row r="259">
      <c r="A259" s="259"/>
      <c r="B259" s="260"/>
      <c r="C259" s="260"/>
      <c r="D259" s="260"/>
      <c r="E259" s="260"/>
      <c r="F259" s="260"/>
      <c r="G259" s="261"/>
      <c r="H259" s="259"/>
      <c r="I259" s="260"/>
      <c r="J259" s="260"/>
      <c r="K259" s="260"/>
      <c r="L259" s="260"/>
      <c r="M259" s="260"/>
      <c r="N259" s="262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3"/>
      <c r="Z259" s="260"/>
      <c r="AA259" s="260"/>
      <c r="AB259" s="260"/>
      <c r="AC259" s="260"/>
      <c r="AD259" s="260"/>
      <c r="AE259" s="260"/>
      <c r="AF259" s="264"/>
      <c r="AG259" s="260"/>
      <c r="AH259" s="260"/>
      <c r="AI259" s="260"/>
    </row>
    <row r="260">
      <c r="A260" s="259"/>
      <c r="B260" s="260"/>
      <c r="C260" s="260"/>
      <c r="D260" s="260"/>
      <c r="E260" s="260"/>
      <c r="F260" s="260"/>
      <c r="G260" s="261"/>
      <c r="H260" s="259"/>
      <c r="I260" s="260"/>
      <c r="J260" s="260"/>
      <c r="K260" s="260"/>
      <c r="L260" s="260"/>
      <c r="M260" s="260"/>
      <c r="N260" s="262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3"/>
      <c r="Z260" s="260"/>
      <c r="AA260" s="260"/>
      <c r="AB260" s="260"/>
      <c r="AC260" s="260"/>
      <c r="AD260" s="260"/>
      <c r="AE260" s="260"/>
      <c r="AF260" s="264"/>
      <c r="AG260" s="260"/>
      <c r="AH260" s="260"/>
      <c r="AI260" s="260"/>
    </row>
    <row r="261">
      <c r="A261" s="259"/>
      <c r="B261" s="260"/>
      <c r="C261" s="260"/>
      <c r="D261" s="260"/>
      <c r="E261" s="260"/>
      <c r="F261" s="260"/>
      <c r="G261" s="261"/>
      <c r="H261" s="259"/>
      <c r="I261" s="260"/>
      <c r="J261" s="260"/>
      <c r="K261" s="260"/>
      <c r="L261" s="260"/>
      <c r="M261" s="260"/>
      <c r="N261" s="262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3"/>
      <c r="Z261" s="260"/>
      <c r="AA261" s="260"/>
      <c r="AB261" s="260"/>
      <c r="AC261" s="260"/>
      <c r="AD261" s="260"/>
      <c r="AE261" s="260"/>
      <c r="AF261" s="264"/>
      <c r="AG261" s="260"/>
      <c r="AH261" s="260"/>
      <c r="AI261" s="260"/>
    </row>
    <row r="262">
      <c r="A262" s="259"/>
      <c r="B262" s="260"/>
      <c r="C262" s="260"/>
      <c r="D262" s="260"/>
      <c r="E262" s="260"/>
      <c r="F262" s="260"/>
      <c r="G262" s="261"/>
      <c r="H262" s="259"/>
      <c r="I262" s="260"/>
      <c r="J262" s="260"/>
      <c r="K262" s="260"/>
      <c r="L262" s="260"/>
      <c r="M262" s="260"/>
      <c r="N262" s="262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3"/>
      <c r="Z262" s="260"/>
      <c r="AA262" s="260"/>
      <c r="AB262" s="260"/>
      <c r="AC262" s="260"/>
      <c r="AD262" s="260"/>
      <c r="AE262" s="260"/>
      <c r="AF262" s="264"/>
      <c r="AG262" s="260"/>
      <c r="AH262" s="260"/>
      <c r="AI262" s="260"/>
    </row>
    <row r="263">
      <c r="A263" s="259"/>
      <c r="B263" s="260"/>
      <c r="C263" s="260"/>
      <c r="D263" s="260"/>
      <c r="E263" s="260"/>
      <c r="F263" s="260"/>
      <c r="G263" s="261"/>
      <c r="H263" s="259"/>
      <c r="I263" s="260"/>
      <c r="J263" s="260"/>
      <c r="K263" s="260"/>
      <c r="L263" s="260"/>
      <c r="M263" s="260"/>
      <c r="N263" s="262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3"/>
      <c r="Z263" s="260"/>
      <c r="AA263" s="260"/>
      <c r="AB263" s="260"/>
      <c r="AC263" s="260"/>
      <c r="AD263" s="260"/>
      <c r="AE263" s="260"/>
      <c r="AF263" s="264"/>
      <c r="AG263" s="260"/>
      <c r="AH263" s="260"/>
      <c r="AI263" s="260"/>
    </row>
    <row r="264">
      <c r="A264" s="259"/>
      <c r="B264" s="260"/>
      <c r="C264" s="260"/>
      <c r="D264" s="260"/>
      <c r="E264" s="260"/>
      <c r="F264" s="260"/>
      <c r="G264" s="261"/>
      <c r="H264" s="259"/>
      <c r="I264" s="260"/>
      <c r="J264" s="260"/>
      <c r="K264" s="260"/>
      <c r="L264" s="260"/>
      <c r="M264" s="260"/>
      <c r="N264" s="262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3"/>
      <c r="Z264" s="260"/>
      <c r="AA264" s="260"/>
      <c r="AB264" s="260"/>
      <c r="AC264" s="260"/>
      <c r="AD264" s="260"/>
      <c r="AE264" s="260"/>
      <c r="AF264" s="264"/>
      <c r="AG264" s="260"/>
      <c r="AH264" s="260"/>
      <c r="AI264" s="260"/>
    </row>
    <row r="265">
      <c r="A265" s="259"/>
      <c r="B265" s="260"/>
      <c r="C265" s="260"/>
      <c r="D265" s="260"/>
      <c r="E265" s="260"/>
      <c r="F265" s="260"/>
      <c r="G265" s="261"/>
      <c r="H265" s="259"/>
      <c r="I265" s="260"/>
      <c r="J265" s="260"/>
      <c r="K265" s="260"/>
      <c r="L265" s="260"/>
      <c r="M265" s="260"/>
      <c r="N265" s="262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3"/>
      <c r="Z265" s="260"/>
      <c r="AA265" s="260"/>
      <c r="AB265" s="260"/>
      <c r="AC265" s="260"/>
      <c r="AD265" s="260"/>
      <c r="AE265" s="260"/>
      <c r="AF265" s="264"/>
      <c r="AG265" s="260"/>
      <c r="AH265" s="260"/>
      <c r="AI265" s="260"/>
    </row>
    <row r="266">
      <c r="A266" s="259"/>
      <c r="B266" s="260"/>
      <c r="C266" s="260"/>
      <c r="D266" s="260"/>
      <c r="E266" s="260"/>
      <c r="F266" s="260"/>
      <c r="G266" s="261"/>
      <c r="H266" s="259"/>
      <c r="I266" s="260"/>
      <c r="J266" s="260"/>
      <c r="K266" s="260"/>
      <c r="L266" s="260"/>
      <c r="M266" s="260"/>
      <c r="N266" s="262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3"/>
      <c r="Z266" s="260"/>
      <c r="AA266" s="260"/>
      <c r="AB266" s="260"/>
      <c r="AC266" s="260"/>
      <c r="AD266" s="260"/>
      <c r="AE266" s="260"/>
      <c r="AF266" s="264"/>
      <c r="AG266" s="260"/>
      <c r="AH266" s="260"/>
      <c r="AI266" s="260"/>
    </row>
    <row r="267">
      <c r="A267" s="259"/>
      <c r="B267" s="260"/>
      <c r="C267" s="260"/>
      <c r="D267" s="260"/>
      <c r="E267" s="260"/>
      <c r="F267" s="260"/>
      <c r="G267" s="261"/>
      <c r="H267" s="259"/>
      <c r="I267" s="260"/>
      <c r="J267" s="260"/>
      <c r="K267" s="260"/>
      <c r="L267" s="260"/>
      <c r="M267" s="260"/>
      <c r="N267" s="262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3"/>
      <c r="Z267" s="260"/>
      <c r="AA267" s="260"/>
      <c r="AB267" s="260"/>
      <c r="AC267" s="260"/>
      <c r="AD267" s="260"/>
      <c r="AE267" s="260"/>
      <c r="AF267" s="264"/>
      <c r="AG267" s="260"/>
      <c r="AH267" s="260"/>
      <c r="AI267" s="260"/>
    </row>
    <row r="268">
      <c r="A268" s="259"/>
      <c r="B268" s="260"/>
      <c r="C268" s="260"/>
      <c r="D268" s="260"/>
      <c r="E268" s="260"/>
      <c r="F268" s="260"/>
      <c r="G268" s="261"/>
      <c r="H268" s="259"/>
      <c r="I268" s="260"/>
      <c r="J268" s="260"/>
      <c r="K268" s="260"/>
      <c r="L268" s="260"/>
      <c r="M268" s="260"/>
      <c r="N268" s="262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3"/>
      <c r="Z268" s="260"/>
      <c r="AA268" s="260"/>
      <c r="AB268" s="260"/>
      <c r="AC268" s="260"/>
      <c r="AD268" s="260"/>
      <c r="AE268" s="260"/>
      <c r="AF268" s="264"/>
      <c r="AG268" s="260"/>
      <c r="AH268" s="260"/>
      <c r="AI268" s="260"/>
    </row>
    <row r="269">
      <c r="A269" s="259"/>
      <c r="B269" s="260"/>
      <c r="C269" s="260"/>
      <c r="D269" s="260"/>
      <c r="E269" s="260"/>
      <c r="F269" s="260"/>
      <c r="G269" s="261"/>
      <c r="H269" s="259"/>
      <c r="I269" s="260"/>
      <c r="J269" s="260"/>
      <c r="K269" s="260"/>
      <c r="L269" s="260"/>
      <c r="M269" s="260"/>
      <c r="N269" s="262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3"/>
      <c r="Z269" s="260"/>
      <c r="AA269" s="260"/>
      <c r="AB269" s="260"/>
      <c r="AC269" s="260"/>
      <c r="AD269" s="260"/>
      <c r="AE269" s="260"/>
      <c r="AF269" s="264"/>
      <c r="AG269" s="260"/>
      <c r="AH269" s="260"/>
      <c r="AI269" s="260"/>
    </row>
    <row r="270">
      <c r="A270" s="259"/>
      <c r="B270" s="260"/>
      <c r="C270" s="260"/>
      <c r="D270" s="260"/>
      <c r="E270" s="260"/>
      <c r="F270" s="260"/>
      <c r="G270" s="261"/>
      <c r="H270" s="259"/>
      <c r="I270" s="260"/>
      <c r="J270" s="260"/>
      <c r="K270" s="260"/>
      <c r="L270" s="260"/>
      <c r="M270" s="260"/>
      <c r="N270" s="262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3"/>
      <c r="Z270" s="260"/>
      <c r="AA270" s="260"/>
      <c r="AB270" s="260"/>
      <c r="AC270" s="260"/>
      <c r="AD270" s="260"/>
      <c r="AE270" s="260"/>
      <c r="AF270" s="264"/>
      <c r="AG270" s="260"/>
      <c r="AH270" s="260"/>
      <c r="AI270" s="260"/>
    </row>
    <row r="271">
      <c r="A271" s="259"/>
      <c r="B271" s="260"/>
      <c r="C271" s="260"/>
      <c r="D271" s="260"/>
      <c r="E271" s="260"/>
      <c r="F271" s="260"/>
      <c r="G271" s="261"/>
      <c r="H271" s="259"/>
      <c r="I271" s="260"/>
      <c r="J271" s="260"/>
      <c r="K271" s="260"/>
      <c r="L271" s="260"/>
      <c r="M271" s="260"/>
      <c r="N271" s="262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3"/>
      <c r="Z271" s="260"/>
      <c r="AA271" s="260"/>
      <c r="AB271" s="260"/>
      <c r="AC271" s="260"/>
      <c r="AD271" s="260"/>
      <c r="AE271" s="260"/>
      <c r="AF271" s="264"/>
      <c r="AG271" s="260"/>
      <c r="AH271" s="260"/>
      <c r="AI271" s="260"/>
    </row>
    <row r="272">
      <c r="A272" s="259"/>
      <c r="B272" s="260"/>
      <c r="C272" s="260"/>
      <c r="D272" s="260"/>
      <c r="E272" s="260"/>
      <c r="F272" s="260"/>
      <c r="G272" s="261"/>
      <c r="H272" s="259"/>
      <c r="I272" s="260"/>
      <c r="J272" s="260"/>
      <c r="K272" s="260"/>
      <c r="L272" s="260"/>
      <c r="M272" s="260"/>
      <c r="N272" s="262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3"/>
      <c r="Z272" s="260"/>
      <c r="AA272" s="260"/>
      <c r="AB272" s="260"/>
      <c r="AC272" s="260"/>
      <c r="AD272" s="260"/>
      <c r="AE272" s="260"/>
      <c r="AF272" s="264"/>
      <c r="AG272" s="260"/>
      <c r="AH272" s="260"/>
      <c r="AI272" s="260"/>
    </row>
    <row r="273">
      <c r="A273" s="259"/>
      <c r="B273" s="260"/>
      <c r="C273" s="260"/>
      <c r="D273" s="260"/>
      <c r="E273" s="260"/>
      <c r="F273" s="260"/>
      <c r="G273" s="261"/>
      <c r="H273" s="259"/>
      <c r="I273" s="260"/>
      <c r="J273" s="260"/>
      <c r="K273" s="260"/>
      <c r="L273" s="260"/>
      <c r="M273" s="260"/>
      <c r="N273" s="262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3"/>
      <c r="Z273" s="260"/>
      <c r="AA273" s="260"/>
      <c r="AB273" s="260"/>
      <c r="AC273" s="260"/>
      <c r="AD273" s="260"/>
      <c r="AE273" s="260"/>
      <c r="AF273" s="264"/>
      <c r="AG273" s="260"/>
      <c r="AH273" s="260"/>
      <c r="AI273" s="260"/>
    </row>
    <row r="274">
      <c r="A274" s="259"/>
      <c r="B274" s="260"/>
      <c r="C274" s="260"/>
      <c r="D274" s="260"/>
      <c r="E274" s="260"/>
      <c r="F274" s="260"/>
      <c r="G274" s="261"/>
      <c r="H274" s="259"/>
      <c r="I274" s="260"/>
      <c r="J274" s="260"/>
      <c r="K274" s="260"/>
      <c r="L274" s="260"/>
      <c r="M274" s="260"/>
      <c r="N274" s="262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3"/>
      <c r="Z274" s="260"/>
      <c r="AA274" s="260"/>
      <c r="AB274" s="260"/>
      <c r="AC274" s="260"/>
      <c r="AD274" s="260"/>
      <c r="AE274" s="260"/>
      <c r="AF274" s="264"/>
      <c r="AG274" s="260"/>
      <c r="AH274" s="260"/>
      <c r="AI274" s="260"/>
    </row>
    <row r="275">
      <c r="A275" s="259"/>
      <c r="B275" s="260"/>
      <c r="C275" s="260"/>
      <c r="D275" s="260"/>
      <c r="E275" s="260"/>
      <c r="F275" s="260"/>
      <c r="G275" s="261"/>
      <c r="H275" s="259"/>
      <c r="I275" s="260"/>
      <c r="J275" s="260"/>
      <c r="K275" s="260"/>
      <c r="L275" s="260"/>
      <c r="M275" s="260"/>
      <c r="N275" s="262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3"/>
      <c r="Z275" s="260"/>
      <c r="AA275" s="260"/>
      <c r="AB275" s="260"/>
      <c r="AC275" s="260"/>
      <c r="AD275" s="260"/>
      <c r="AE275" s="260"/>
      <c r="AF275" s="264"/>
      <c r="AG275" s="260"/>
      <c r="AH275" s="260"/>
      <c r="AI275" s="260"/>
    </row>
    <row r="276">
      <c r="A276" s="259"/>
      <c r="B276" s="260"/>
      <c r="C276" s="260"/>
      <c r="D276" s="260"/>
      <c r="E276" s="260"/>
      <c r="F276" s="260"/>
      <c r="G276" s="261"/>
      <c r="H276" s="259"/>
      <c r="I276" s="260"/>
      <c r="J276" s="260"/>
      <c r="K276" s="260"/>
      <c r="L276" s="260"/>
      <c r="M276" s="260"/>
      <c r="N276" s="262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3"/>
      <c r="Z276" s="260"/>
      <c r="AA276" s="260"/>
      <c r="AB276" s="260"/>
      <c r="AC276" s="260"/>
      <c r="AD276" s="260"/>
      <c r="AE276" s="260"/>
      <c r="AF276" s="264"/>
      <c r="AG276" s="260"/>
      <c r="AH276" s="260"/>
      <c r="AI276" s="260"/>
    </row>
    <row r="277">
      <c r="A277" s="259"/>
      <c r="B277" s="260"/>
      <c r="C277" s="260"/>
      <c r="D277" s="260"/>
      <c r="E277" s="260"/>
      <c r="F277" s="260"/>
      <c r="G277" s="261"/>
      <c r="H277" s="259"/>
      <c r="I277" s="260"/>
      <c r="J277" s="260"/>
      <c r="K277" s="260"/>
      <c r="L277" s="260"/>
      <c r="M277" s="260"/>
      <c r="N277" s="262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3"/>
      <c r="Z277" s="260"/>
      <c r="AA277" s="260"/>
      <c r="AB277" s="260"/>
      <c r="AC277" s="260"/>
      <c r="AD277" s="260"/>
      <c r="AE277" s="260"/>
      <c r="AF277" s="264"/>
      <c r="AG277" s="260"/>
      <c r="AH277" s="260"/>
      <c r="AI277" s="260"/>
    </row>
    <row r="278">
      <c r="A278" s="259"/>
      <c r="B278" s="260"/>
      <c r="C278" s="260"/>
      <c r="D278" s="260"/>
      <c r="E278" s="260"/>
      <c r="F278" s="260"/>
      <c r="G278" s="261"/>
      <c r="H278" s="259"/>
      <c r="I278" s="260"/>
      <c r="J278" s="260"/>
      <c r="K278" s="260"/>
      <c r="L278" s="260"/>
      <c r="M278" s="260"/>
      <c r="N278" s="262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3"/>
      <c r="Z278" s="260"/>
      <c r="AA278" s="260"/>
      <c r="AB278" s="260"/>
      <c r="AC278" s="260"/>
      <c r="AD278" s="260"/>
      <c r="AE278" s="260"/>
      <c r="AF278" s="264"/>
      <c r="AG278" s="260"/>
      <c r="AH278" s="260"/>
      <c r="AI278" s="260"/>
    </row>
    <row r="279">
      <c r="A279" s="259"/>
      <c r="B279" s="260"/>
      <c r="C279" s="260"/>
      <c r="D279" s="260"/>
      <c r="E279" s="260"/>
      <c r="F279" s="260"/>
      <c r="G279" s="261"/>
      <c r="H279" s="259"/>
      <c r="I279" s="260"/>
      <c r="J279" s="260"/>
      <c r="K279" s="260"/>
      <c r="L279" s="260"/>
      <c r="M279" s="260"/>
      <c r="N279" s="262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3"/>
      <c r="Z279" s="260"/>
      <c r="AA279" s="260"/>
      <c r="AB279" s="260"/>
      <c r="AC279" s="260"/>
      <c r="AD279" s="260"/>
      <c r="AE279" s="260"/>
      <c r="AF279" s="264"/>
      <c r="AG279" s="260"/>
      <c r="AH279" s="260"/>
      <c r="AI279" s="260"/>
    </row>
    <row r="280">
      <c r="A280" s="259"/>
      <c r="B280" s="260"/>
      <c r="C280" s="260"/>
      <c r="D280" s="260"/>
      <c r="E280" s="260"/>
      <c r="F280" s="260"/>
      <c r="G280" s="261"/>
      <c r="H280" s="259"/>
      <c r="I280" s="260"/>
      <c r="J280" s="260"/>
      <c r="K280" s="260"/>
      <c r="L280" s="260"/>
      <c r="M280" s="260"/>
      <c r="N280" s="262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3"/>
      <c r="Z280" s="260"/>
      <c r="AA280" s="260"/>
      <c r="AB280" s="260"/>
      <c r="AC280" s="260"/>
      <c r="AD280" s="260"/>
      <c r="AE280" s="260"/>
      <c r="AF280" s="264"/>
      <c r="AG280" s="260"/>
      <c r="AH280" s="260"/>
      <c r="AI280" s="260"/>
    </row>
    <row r="281">
      <c r="A281" s="259"/>
      <c r="B281" s="260"/>
      <c r="C281" s="260"/>
      <c r="D281" s="260"/>
      <c r="E281" s="260"/>
      <c r="F281" s="260"/>
      <c r="G281" s="261"/>
      <c r="H281" s="259"/>
      <c r="I281" s="260"/>
      <c r="J281" s="260"/>
      <c r="K281" s="260"/>
      <c r="L281" s="260"/>
      <c r="M281" s="260"/>
      <c r="N281" s="262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3"/>
      <c r="Z281" s="260"/>
      <c r="AA281" s="260"/>
      <c r="AB281" s="260"/>
      <c r="AC281" s="260"/>
      <c r="AD281" s="260"/>
      <c r="AE281" s="260"/>
      <c r="AF281" s="264"/>
      <c r="AG281" s="260"/>
      <c r="AH281" s="260"/>
      <c r="AI281" s="260"/>
    </row>
    <row r="282">
      <c r="A282" s="259"/>
      <c r="B282" s="260"/>
      <c r="C282" s="260"/>
      <c r="D282" s="260"/>
      <c r="E282" s="260"/>
      <c r="F282" s="260"/>
      <c r="G282" s="261"/>
      <c r="H282" s="259"/>
      <c r="I282" s="260"/>
      <c r="J282" s="260"/>
      <c r="K282" s="260"/>
      <c r="L282" s="260"/>
      <c r="M282" s="260"/>
      <c r="N282" s="262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3"/>
      <c r="Z282" s="260"/>
      <c r="AA282" s="260"/>
      <c r="AB282" s="260"/>
      <c r="AC282" s="260"/>
      <c r="AD282" s="260"/>
      <c r="AE282" s="260"/>
      <c r="AF282" s="264"/>
      <c r="AG282" s="260"/>
      <c r="AH282" s="260"/>
      <c r="AI282" s="260"/>
    </row>
    <row r="283">
      <c r="A283" s="259"/>
      <c r="B283" s="260"/>
      <c r="C283" s="260"/>
      <c r="D283" s="260"/>
      <c r="E283" s="260"/>
      <c r="F283" s="260"/>
      <c r="G283" s="261"/>
      <c r="H283" s="259"/>
      <c r="I283" s="260"/>
      <c r="J283" s="260"/>
      <c r="K283" s="260"/>
      <c r="L283" s="260"/>
      <c r="M283" s="260"/>
      <c r="N283" s="262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3"/>
      <c r="Z283" s="260"/>
      <c r="AA283" s="260"/>
      <c r="AB283" s="260"/>
      <c r="AC283" s="260"/>
      <c r="AD283" s="260"/>
      <c r="AE283" s="260"/>
      <c r="AF283" s="264"/>
      <c r="AG283" s="260"/>
      <c r="AH283" s="260"/>
      <c r="AI283" s="260"/>
    </row>
    <row r="284">
      <c r="A284" s="259"/>
      <c r="B284" s="260"/>
      <c r="C284" s="260"/>
      <c r="D284" s="260"/>
      <c r="E284" s="260"/>
      <c r="F284" s="260"/>
      <c r="G284" s="261"/>
      <c r="H284" s="259"/>
      <c r="I284" s="260"/>
      <c r="J284" s="260"/>
      <c r="K284" s="260"/>
      <c r="L284" s="260"/>
      <c r="M284" s="260"/>
      <c r="N284" s="262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3"/>
      <c r="Z284" s="260"/>
      <c r="AA284" s="260"/>
      <c r="AB284" s="260"/>
      <c r="AC284" s="260"/>
      <c r="AD284" s="260"/>
      <c r="AE284" s="260"/>
      <c r="AF284" s="264"/>
      <c r="AG284" s="260"/>
      <c r="AH284" s="260"/>
      <c r="AI284" s="260"/>
    </row>
    <row r="285">
      <c r="A285" s="259"/>
      <c r="B285" s="260"/>
      <c r="C285" s="260"/>
      <c r="D285" s="260"/>
      <c r="E285" s="260"/>
      <c r="F285" s="260"/>
      <c r="G285" s="261"/>
      <c r="H285" s="259"/>
      <c r="I285" s="260"/>
      <c r="J285" s="260"/>
      <c r="K285" s="260"/>
      <c r="L285" s="260"/>
      <c r="M285" s="260"/>
      <c r="N285" s="262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3"/>
      <c r="Z285" s="260"/>
      <c r="AA285" s="260"/>
      <c r="AB285" s="260"/>
      <c r="AC285" s="260"/>
      <c r="AD285" s="260"/>
      <c r="AE285" s="260"/>
      <c r="AF285" s="264"/>
      <c r="AG285" s="260"/>
      <c r="AH285" s="260"/>
      <c r="AI285" s="260"/>
    </row>
    <row r="286">
      <c r="A286" s="259"/>
      <c r="B286" s="260"/>
      <c r="C286" s="260"/>
      <c r="D286" s="260"/>
      <c r="E286" s="260"/>
      <c r="F286" s="260"/>
      <c r="G286" s="261"/>
      <c r="H286" s="259"/>
      <c r="I286" s="260"/>
      <c r="J286" s="260"/>
      <c r="K286" s="260"/>
      <c r="L286" s="260"/>
      <c r="M286" s="260"/>
      <c r="N286" s="262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3"/>
      <c r="Z286" s="260"/>
      <c r="AA286" s="260"/>
      <c r="AB286" s="260"/>
      <c r="AC286" s="260"/>
      <c r="AD286" s="260"/>
      <c r="AE286" s="260"/>
      <c r="AF286" s="264"/>
      <c r="AG286" s="260"/>
      <c r="AH286" s="260"/>
      <c r="AI286" s="260"/>
    </row>
    <row r="287">
      <c r="A287" s="259"/>
      <c r="B287" s="260"/>
      <c r="C287" s="260"/>
      <c r="D287" s="260"/>
      <c r="E287" s="260"/>
      <c r="F287" s="260"/>
      <c r="G287" s="261"/>
      <c r="H287" s="259"/>
      <c r="I287" s="260"/>
      <c r="J287" s="260"/>
      <c r="K287" s="260"/>
      <c r="L287" s="260"/>
      <c r="M287" s="260"/>
      <c r="N287" s="262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3"/>
      <c r="Z287" s="260"/>
      <c r="AA287" s="260"/>
      <c r="AB287" s="260"/>
      <c r="AC287" s="260"/>
      <c r="AD287" s="260"/>
      <c r="AE287" s="260"/>
      <c r="AF287" s="264"/>
      <c r="AG287" s="260"/>
      <c r="AH287" s="260"/>
      <c r="AI287" s="260"/>
    </row>
    <row r="288">
      <c r="A288" s="259"/>
      <c r="B288" s="260"/>
      <c r="C288" s="260"/>
      <c r="D288" s="260"/>
      <c r="E288" s="260"/>
      <c r="F288" s="260"/>
      <c r="G288" s="261"/>
      <c r="H288" s="259"/>
      <c r="I288" s="260"/>
      <c r="J288" s="260"/>
      <c r="K288" s="260"/>
      <c r="L288" s="260"/>
      <c r="M288" s="260"/>
      <c r="N288" s="262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3"/>
      <c r="Z288" s="260"/>
      <c r="AA288" s="260"/>
      <c r="AB288" s="260"/>
      <c r="AC288" s="260"/>
      <c r="AD288" s="260"/>
      <c r="AE288" s="260"/>
      <c r="AF288" s="264"/>
      <c r="AG288" s="260"/>
      <c r="AH288" s="260"/>
      <c r="AI288" s="260"/>
    </row>
    <row r="289">
      <c r="A289" s="259"/>
      <c r="B289" s="260"/>
      <c r="C289" s="260"/>
      <c r="D289" s="260"/>
      <c r="E289" s="260"/>
      <c r="F289" s="260"/>
      <c r="G289" s="261"/>
      <c r="H289" s="259"/>
      <c r="I289" s="260"/>
      <c r="J289" s="260"/>
      <c r="K289" s="260"/>
      <c r="L289" s="260"/>
      <c r="M289" s="260"/>
      <c r="N289" s="262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3"/>
      <c r="Z289" s="260"/>
      <c r="AA289" s="260"/>
      <c r="AB289" s="260"/>
      <c r="AC289" s="260"/>
      <c r="AD289" s="260"/>
      <c r="AE289" s="260"/>
      <c r="AF289" s="264"/>
      <c r="AG289" s="260"/>
      <c r="AH289" s="260"/>
      <c r="AI289" s="260"/>
    </row>
    <row r="290">
      <c r="A290" s="259"/>
      <c r="B290" s="260"/>
      <c r="C290" s="260"/>
      <c r="D290" s="260"/>
      <c r="E290" s="260"/>
      <c r="F290" s="260"/>
      <c r="G290" s="261"/>
      <c r="H290" s="259"/>
      <c r="I290" s="260"/>
      <c r="J290" s="260"/>
      <c r="K290" s="260"/>
      <c r="L290" s="260"/>
      <c r="M290" s="260"/>
      <c r="N290" s="262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3"/>
      <c r="Z290" s="260"/>
      <c r="AA290" s="260"/>
      <c r="AB290" s="260"/>
      <c r="AC290" s="260"/>
      <c r="AD290" s="260"/>
      <c r="AE290" s="260"/>
      <c r="AF290" s="264"/>
      <c r="AG290" s="260"/>
      <c r="AH290" s="260"/>
      <c r="AI290" s="260"/>
    </row>
    <row r="291">
      <c r="A291" s="259"/>
      <c r="B291" s="260"/>
      <c r="C291" s="260"/>
      <c r="D291" s="260"/>
      <c r="E291" s="260"/>
      <c r="F291" s="260"/>
      <c r="G291" s="261"/>
      <c r="H291" s="259"/>
      <c r="I291" s="260"/>
      <c r="J291" s="260"/>
      <c r="K291" s="260"/>
      <c r="L291" s="260"/>
      <c r="M291" s="260"/>
      <c r="N291" s="262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3"/>
      <c r="Z291" s="260"/>
      <c r="AA291" s="260"/>
      <c r="AB291" s="260"/>
      <c r="AC291" s="260"/>
      <c r="AD291" s="260"/>
      <c r="AE291" s="260"/>
      <c r="AF291" s="264"/>
      <c r="AG291" s="260"/>
      <c r="AH291" s="260"/>
      <c r="AI291" s="260"/>
    </row>
    <row r="292">
      <c r="A292" s="259"/>
      <c r="B292" s="260"/>
      <c r="C292" s="260"/>
      <c r="D292" s="260"/>
      <c r="E292" s="260"/>
      <c r="F292" s="260"/>
      <c r="G292" s="261"/>
      <c r="H292" s="259"/>
      <c r="I292" s="260"/>
      <c r="J292" s="260"/>
      <c r="K292" s="260"/>
      <c r="L292" s="260"/>
      <c r="M292" s="260"/>
      <c r="N292" s="262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3"/>
      <c r="Z292" s="260"/>
      <c r="AA292" s="260"/>
      <c r="AB292" s="260"/>
      <c r="AC292" s="260"/>
      <c r="AD292" s="260"/>
      <c r="AE292" s="260"/>
      <c r="AF292" s="264"/>
      <c r="AG292" s="260"/>
      <c r="AH292" s="260"/>
      <c r="AI292" s="260"/>
    </row>
    <row r="293">
      <c r="A293" s="259"/>
      <c r="B293" s="260"/>
      <c r="C293" s="260"/>
      <c r="D293" s="260"/>
      <c r="E293" s="260"/>
      <c r="F293" s="260"/>
      <c r="G293" s="261"/>
      <c r="H293" s="259"/>
      <c r="I293" s="260"/>
      <c r="J293" s="260"/>
      <c r="K293" s="260"/>
      <c r="L293" s="260"/>
      <c r="M293" s="260"/>
      <c r="N293" s="262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3"/>
      <c r="Z293" s="260"/>
      <c r="AA293" s="260"/>
      <c r="AB293" s="260"/>
      <c r="AC293" s="260"/>
      <c r="AD293" s="260"/>
      <c r="AE293" s="260"/>
      <c r="AF293" s="264"/>
      <c r="AG293" s="260"/>
      <c r="AH293" s="260"/>
      <c r="AI293" s="260"/>
    </row>
    <row r="294">
      <c r="A294" s="259"/>
      <c r="B294" s="260"/>
      <c r="C294" s="260"/>
      <c r="D294" s="260"/>
      <c r="E294" s="260"/>
      <c r="F294" s="260"/>
      <c r="G294" s="261"/>
      <c r="H294" s="259"/>
      <c r="I294" s="260"/>
      <c r="J294" s="260"/>
      <c r="K294" s="260"/>
      <c r="L294" s="260"/>
      <c r="M294" s="260"/>
      <c r="N294" s="262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3"/>
      <c r="Z294" s="260"/>
      <c r="AA294" s="260"/>
      <c r="AB294" s="260"/>
      <c r="AC294" s="260"/>
      <c r="AD294" s="260"/>
      <c r="AE294" s="260"/>
      <c r="AF294" s="264"/>
      <c r="AG294" s="260"/>
      <c r="AH294" s="260"/>
      <c r="AI294" s="260"/>
    </row>
    <row r="295">
      <c r="A295" s="259"/>
      <c r="B295" s="260"/>
      <c r="C295" s="260"/>
      <c r="D295" s="260"/>
      <c r="E295" s="260"/>
      <c r="F295" s="260"/>
      <c r="G295" s="261"/>
      <c r="H295" s="259"/>
      <c r="I295" s="260"/>
      <c r="J295" s="260"/>
      <c r="K295" s="260"/>
      <c r="L295" s="260"/>
      <c r="M295" s="260"/>
      <c r="N295" s="262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3"/>
      <c r="Z295" s="260"/>
      <c r="AA295" s="260"/>
      <c r="AB295" s="260"/>
      <c r="AC295" s="260"/>
      <c r="AD295" s="260"/>
      <c r="AE295" s="260"/>
      <c r="AF295" s="264"/>
      <c r="AG295" s="260"/>
      <c r="AH295" s="260"/>
      <c r="AI295" s="260"/>
    </row>
    <row r="296">
      <c r="A296" s="259"/>
      <c r="B296" s="260"/>
      <c r="C296" s="260"/>
      <c r="D296" s="260"/>
      <c r="E296" s="260"/>
      <c r="F296" s="260"/>
      <c r="G296" s="261"/>
      <c r="H296" s="259"/>
      <c r="I296" s="260"/>
      <c r="J296" s="260"/>
      <c r="K296" s="260"/>
      <c r="L296" s="260"/>
      <c r="M296" s="260"/>
      <c r="N296" s="262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3"/>
      <c r="Z296" s="260"/>
      <c r="AA296" s="260"/>
      <c r="AB296" s="260"/>
      <c r="AC296" s="260"/>
      <c r="AD296" s="260"/>
      <c r="AE296" s="260"/>
      <c r="AF296" s="264"/>
      <c r="AG296" s="260"/>
      <c r="AH296" s="260"/>
      <c r="AI296" s="260"/>
    </row>
    <row r="297">
      <c r="A297" s="259"/>
      <c r="B297" s="260"/>
      <c r="C297" s="260"/>
      <c r="D297" s="260"/>
      <c r="E297" s="260"/>
      <c r="F297" s="260"/>
      <c r="G297" s="261"/>
      <c r="H297" s="259"/>
      <c r="I297" s="260"/>
      <c r="J297" s="260"/>
      <c r="K297" s="260"/>
      <c r="L297" s="260"/>
      <c r="M297" s="260"/>
      <c r="N297" s="262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3"/>
      <c r="Z297" s="260"/>
      <c r="AA297" s="260"/>
      <c r="AB297" s="260"/>
      <c r="AC297" s="260"/>
      <c r="AD297" s="260"/>
      <c r="AE297" s="260"/>
      <c r="AF297" s="264"/>
      <c r="AG297" s="260"/>
      <c r="AH297" s="260"/>
      <c r="AI297" s="260"/>
    </row>
    <row r="298">
      <c r="A298" s="259"/>
      <c r="B298" s="260"/>
      <c r="C298" s="260"/>
      <c r="D298" s="260"/>
      <c r="E298" s="260"/>
      <c r="F298" s="260"/>
      <c r="G298" s="261"/>
      <c r="H298" s="259"/>
      <c r="I298" s="260"/>
      <c r="J298" s="260"/>
      <c r="K298" s="260"/>
      <c r="L298" s="260"/>
      <c r="M298" s="260"/>
      <c r="N298" s="262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3"/>
      <c r="Z298" s="260"/>
      <c r="AA298" s="260"/>
      <c r="AB298" s="260"/>
      <c r="AC298" s="260"/>
      <c r="AD298" s="260"/>
      <c r="AE298" s="260"/>
      <c r="AF298" s="264"/>
      <c r="AG298" s="260"/>
      <c r="AH298" s="260"/>
      <c r="AI298" s="260"/>
    </row>
    <row r="299">
      <c r="A299" s="259"/>
      <c r="B299" s="260"/>
      <c r="C299" s="260"/>
      <c r="D299" s="260"/>
      <c r="E299" s="260"/>
      <c r="F299" s="260"/>
      <c r="G299" s="261"/>
      <c r="H299" s="259"/>
      <c r="I299" s="260"/>
      <c r="J299" s="260"/>
      <c r="K299" s="260"/>
      <c r="L299" s="260"/>
      <c r="M299" s="260"/>
      <c r="N299" s="262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3"/>
      <c r="Z299" s="260"/>
      <c r="AA299" s="260"/>
      <c r="AB299" s="260"/>
      <c r="AC299" s="260"/>
      <c r="AD299" s="260"/>
      <c r="AE299" s="260"/>
      <c r="AF299" s="264"/>
      <c r="AG299" s="260"/>
      <c r="AH299" s="260"/>
      <c r="AI299" s="260"/>
    </row>
    <row r="300">
      <c r="A300" s="259"/>
      <c r="B300" s="260"/>
      <c r="C300" s="260"/>
      <c r="D300" s="260"/>
      <c r="E300" s="260"/>
      <c r="F300" s="260"/>
      <c r="G300" s="261"/>
      <c r="H300" s="259"/>
      <c r="I300" s="260"/>
      <c r="J300" s="260"/>
      <c r="K300" s="260"/>
      <c r="L300" s="260"/>
      <c r="M300" s="260"/>
      <c r="N300" s="262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3"/>
      <c r="Z300" s="260"/>
      <c r="AA300" s="260"/>
      <c r="AB300" s="260"/>
      <c r="AC300" s="260"/>
      <c r="AD300" s="260"/>
      <c r="AE300" s="260"/>
      <c r="AF300" s="264"/>
      <c r="AG300" s="260"/>
      <c r="AH300" s="260"/>
      <c r="AI300" s="260"/>
    </row>
    <row r="301">
      <c r="A301" s="259"/>
      <c r="B301" s="260"/>
      <c r="C301" s="260"/>
      <c r="D301" s="260"/>
      <c r="E301" s="260"/>
      <c r="F301" s="260"/>
      <c r="G301" s="261"/>
      <c r="H301" s="259"/>
      <c r="I301" s="260"/>
      <c r="J301" s="260"/>
      <c r="K301" s="260"/>
      <c r="L301" s="260"/>
      <c r="M301" s="260"/>
      <c r="N301" s="262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3"/>
      <c r="Z301" s="260"/>
      <c r="AA301" s="260"/>
      <c r="AB301" s="260"/>
      <c r="AC301" s="260"/>
      <c r="AD301" s="260"/>
      <c r="AE301" s="260"/>
      <c r="AF301" s="264"/>
      <c r="AG301" s="260"/>
      <c r="AH301" s="260"/>
      <c r="AI301" s="260"/>
    </row>
    <row r="302">
      <c r="A302" s="259"/>
      <c r="B302" s="260"/>
      <c r="C302" s="260"/>
      <c r="D302" s="260"/>
      <c r="E302" s="260"/>
      <c r="F302" s="260"/>
      <c r="G302" s="261"/>
      <c r="H302" s="259"/>
      <c r="I302" s="260"/>
      <c r="J302" s="260"/>
      <c r="K302" s="260"/>
      <c r="L302" s="260"/>
      <c r="M302" s="260"/>
      <c r="N302" s="262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3"/>
      <c r="Z302" s="260"/>
      <c r="AA302" s="260"/>
      <c r="AB302" s="260"/>
      <c r="AC302" s="260"/>
      <c r="AD302" s="260"/>
      <c r="AE302" s="260"/>
      <c r="AF302" s="264"/>
      <c r="AG302" s="260"/>
      <c r="AH302" s="260"/>
      <c r="AI302" s="260"/>
    </row>
    <row r="303">
      <c r="A303" s="259"/>
      <c r="B303" s="260"/>
      <c r="C303" s="260"/>
      <c r="D303" s="260"/>
      <c r="E303" s="260"/>
      <c r="F303" s="260"/>
      <c r="G303" s="261"/>
      <c r="H303" s="259"/>
      <c r="I303" s="260"/>
      <c r="J303" s="260"/>
      <c r="K303" s="260"/>
      <c r="L303" s="260"/>
      <c r="M303" s="260"/>
      <c r="N303" s="262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3"/>
      <c r="Z303" s="260"/>
      <c r="AA303" s="260"/>
      <c r="AB303" s="260"/>
      <c r="AC303" s="260"/>
      <c r="AD303" s="260"/>
      <c r="AE303" s="260"/>
      <c r="AF303" s="264"/>
      <c r="AG303" s="260"/>
      <c r="AH303" s="260"/>
      <c r="AI303" s="260"/>
    </row>
    <row r="304">
      <c r="A304" s="259"/>
      <c r="B304" s="260"/>
      <c r="C304" s="260"/>
      <c r="D304" s="260"/>
      <c r="E304" s="260"/>
      <c r="F304" s="260"/>
      <c r="G304" s="261"/>
      <c r="H304" s="259"/>
      <c r="I304" s="260"/>
      <c r="J304" s="260"/>
      <c r="K304" s="260"/>
      <c r="L304" s="260"/>
      <c r="M304" s="260"/>
      <c r="N304" s="262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3"/>
      <c r="Z304" s="260"/>
      <c r="AA304" s="260"/>
      <c r="AB304" s="260"/>
      <c r="AC304" s="260"/>
      <c r="AD304" s="260"/>
      <c r="AE304" s="260"/>
      <c r="AF304" s="264"/>
      <c r="AG304" s="260"/>
      <c r="AH304" s="260"/>
      <c r="AI304" s="260"/>
    </row>
    <row r="305">
      <c r="A305" s="259"/>
      <c r="B305" s="260"/>
      <c r="C305" s="260"/>
      <c r="D305" s="260"/>
      <c r="E305" s="260"/>
      <c r="F305" s="260"/>
      <c r="G305" s="261"/>
      <c r="H305" s="259"/>
      <c r="I305" s="260"/>
      <c r="J305" s="260"/>
      <c r="K305" s="260"/>
      <c r="L305" s="260"/>
      <c r="M305" s="260"/>
      <c r="N305" s="262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3"/>
      <c r="Z305" s="260"/>
      <c r="AA305" s="260"/>
      <c r="AB305" s="260"/>
      <c r="AC305" s="260"/>
      <c r="AD305" s="260"/>
      <c r="AE305" s="260"/>
      <c r="AF305" s="264"/>
      <c r="AG305" s="260"/>
      <c r="AH305" s="260"/>
      <c r="AI305" s="260"/>
    </row>
    <row r="306">
      <c r="A306" s="259"/>
      <c r="B306" s="260"/>
      <c r="C306" s="260"/>
      <c r="D306" s="260"/>
      <c r="E306" s="260"/>
      <c r="F306" s="260"/>
      <c r="G306" s="261"/>
      <c r="H306" s="259"/>
      <c r="I306" s="260"/>
      <c r="J306" s="260"/>
      <c r="K306" s="260"/>
      <c r="L306" s="260"/>
      <c r="M306" s="260"/>
      <c r="N306" s="262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3"/>
      <c r="Z306" s="260"/>
      <c r="AA306" s="260"/>
      <c r="AB306" s="260"/>
      <c r="AC306" s="260"/>
      <c r="AD306" s="260"/>
      <c r="AE306" s="260"/>
      <c r="AF306" s="264"/>
      <c r="AG306" s="260"/>
      <c r="AH306" s="260"/>
      <c r="AI306" s="260"/>
    </row>
    <row r="307">
      <c r="A307" s="259"/>
      <c r="B307" s="260"/>
      <c r="C307" s="260"/>
      <c r="D307" s="260"/>
      <c r="E307" s="260"/>
      <c r="F307" s="260"/>
      <c r="G307" s="261"/>
      <c r="H307" s="259"/>
      <c r="I307" s="260"/>
      <c r="J307" s="260"/>
      <c r="K307" s="260"/>
      <c r="L307" s="260"/>
      <c r="M307" s="260"/>
      <c r="N307" s="262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3"/>
      <c r="Z307" s="260"/>
      <c r="AA307" s="260"/>
      <c r="AB307" s="260"/>
      <c r="AC307" s="260"/>
      <c r="AD307" s="260"/>
      <c r="AE307" s="260"/>
      <c r="AF307" s="264"/>
      <c r="AG307" s="260"/>
      <c r="AH307" s="260"/>
      <c r="AI307" s="260"/>
    </row>
    <row r="308">
      <c r="A308" s="259"/>
      <c r="B308" s="260"/>
      <c r="C308" s="260"/>
      <c r="D308" s="260"/>
      <c r="E308" s="260"/>
      <c r="F308" s="260"/>
      <c r="G308" s="261"/>
      <c r="H308" s="259"/>
      <c r="I308" s="260"/>
      <c r="J308" s="260"/>
      <c r="K308" s="260"/>
      <c r="L308" s="260"/>
      <c r="M308" s="260"/>
      <c r="N308" s="262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3"/>
      <c r="Z308" s="260"/>
      <c r="AA308" s="260"/>
      <c r="AB308" s="260"/>
      <c r="AC308" s="260"/>
      <c r="AD308" s="260"/>
      <c r="AE308" s="260"/>
      <c r="AF308" s="264"/>
      <c r="AG308" s="260"/>
      <c r="AH308" s="260"/>
      <c r="AI308" s="260"/>
    </row>
    <row r="309">
      <c r="A309" s="259"/>
      <c r="B309" s="260"/>
      <c r="C309" s="260"/>
      <c r="D309" s="260"/>
      <c r="E309" s="260"/>
      <c r="F309" s="260"/>
      <c r="G309" s="261"/>
      <c r="H309" s="259"/>
      <c r="I309" s="260"/>
      <c r="J309" s="260"/>
      <c r="K309" s="260"/>
      <c r="L309" s="260"/>
      <c r="M309" s="260"/>
      <c r="N309" s="262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3"/>
      <c r="Z309" s="260"/>
      <c r="AA309" s="260"/>
      <c r="AB309" s="260"/>
      <c r="AC309" s="260"/>
      <c r="AD309" s="260"/>
      <c r="AE309" s="260"/>
      <c r="AF309" s="264"/>
      <c r="AG309" s="260"/>
      <c r="AH309" s="260"/>
      <c r="AI309" s="260"/>
    </row>
    <row r="310">
      <c r="A310" s="259"/>
      <c r="B310" s="260"/>
      <c r="C310" s="260"/>
      <c r="D310" s="260"/>
      <c r="E310" s="260"/>
      <c r="F310" s="260"/>
      <c r="G310" s="261"/>
      <c r="H310" s="259"/>
      <c r="I310" s="260"/>
      <c r="J310" s="260"/>
      <c r="K310" s="260"/>
      <c r="L310" s="260"/>
      <c r="M310" s="260"/>
      <c r="N310" s="262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3"/>
      <c r="Z310" s="260"/>
      <c r="AA310" s="260"/>
      <c r="AB310" s="260"/>
      <c r="AC310" s="260"/>
      <c r="AD310" s="260"/>
      <c r="AE310" s="260"/>
      <c r="AF310" s="264"/>
      <c r="AG310" s="260"/>
      <c r="AH310" s="260"/>
      <c r="AI310" s="260"/>
    </row>
    <row r="311">
      <c r="A311" s="259"/>
      <c r="B311" s="260"/>
      <c r="C311" s="260"/>
      <c r="D311" s="260"/>
      <c r="E311" s="260"/>
      <c r="F311" s="260"/>
      <c r="G311" s="261"/>
      <c r="H311" s="259"/>
      <c r="I311" s="260"/>
      <c r="J311" s="260"/>
      <c r="K311" s="260"/>
      <c r="L311" s="260"/>
      <c r="M311" s="260"/>
      <c r="N311" s="262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3"/>
      <c r="Z311" s="260"/>
      <c r="AA311" s="260"/>
      <c r="AB311" s="260"/>
      <c r="AC311" s="260"/>
      <c r="AD311" s="260"/>
      <c r="AE311" s="260"/>
      <c r="AF311" s="264"/>
      <c r="AG311" s="260"/>
      <c r="AH311" s="260"/>
      <c r="AI311" s="260"/>
    </row>
    <row r="312">
      <c r="A312" s="259"/>
      <c r="B312" s="260"/>
      <c r="C312" s="260"/>
      <c r="D312" s="260"/>
      <c r="E312" s="260"/>
      <c r="F312" s="260"/>
      <c r="G312" s="261"/>
      <c r="H312" s="259"/>
      <c r="I312" s="260"/>
      <c r="J312" s="260"/>
      <c r="K312" s="260"/>
      <c r="L312" s="260"/>
      <c r="M312" s="260"/>
      <c r="N312" s="262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3"/>
      <c r="Z312" s="260"/>
      <c r="AA312" s="260"/>
      <c r="AB312" s="260"/>
      <c r="AC312" s="260"/>
      <c r="AD312" s="260"/>
      <c r="AE312" s="260"/>
      <c r="AF312" s="264"/>
      <c r="AG312" s="260"/>
      <c r="AH312" s="260"/>
      <c r="AI312" s="260"/>
    </row>
    <row r="313">
      <c r="A313" s="259"/>
      <c r="B313" s="260"/>
      <c r="C313" s="260"/>
      <c r="D313" s="260"/>
      <c r="E313" s="260"/>
      <c r="F313" s="260"/>
      <c r="G313" s="261"/>
      <c r="H313" s="259"/>
      <c r="I313" s="260"/>
      <c r="J313" s="260"/>
      <c r="K313" s="260"/>
      <c r="L313" s="260"/>
      <c r="M313" s="260"/>
      <c r="N313" s="262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3"/>
      <c r="Z313" s="260"/>
      <c r="AA313" s="260"/>
      <c r="AB313" s="260"/>
      <c r="AC313" s="260"/>
      <c r="AD313" s="260"/>
      <c r="AE313" s="260"/>
      <c r="AF313" s="264"/>
      <c r="AG313" s="260"/>
      <c r="AH313" s="260"/>
      <c r="AI313" s="260"/>
    </row>
    <row r="314">
      <c r="A314" s="259"/>
      <c r="B314" s="260"/>
      <c r="C314" s="260"/>
      <c r="D314" s="260"/>
      <c r="E314" s="260"/>
      <c r="F314" s="260"/>
      <c r="G314" s="261"/>
      <c r="H314" s="259"/>
      <c r="I314" s="260"/>
      <c r="J314" s="260"/>
      <c r="K314" s="260"/>
      <c r="L314" s="260"/>
      <c r="M314" s="260"/>
      <c r="N314" s="262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3"/>
      <c r="Z314" s="260"/>
      <c r="AA314" s="260"/>
      <c r="AB314" s="260"/>
      <c r="AC314" s="260"/>
      <c r="AD314" s="260"/>
      <c r="AE314" s="260"/>
      <c r="AF314" s="264"/>
      <c r="AG314" s="260"/>
      <c r="AH314" s="260"/>
      <c r="AI314" s="260"/>
    </row>
    <row r="315">
      <c r="A315" s="259"/>
      <c r="B315" s="260"/>
      <c r="C315" s="260"/>
      <c r="D315" s="260"/>
      <c r="E315" s="260"/>
      <c r="F315" s="260"/>
      <c r="G315" s="261"/>
      <c r="H315" s="259"/>
      <c r="I315" s="260"/>
      <c r="J315" s="260"/>
      <c r="K315" s="260"/>
      <c r="L315" s="260"/>
      <c r="M315" s="260"/>
      <c r="N315" s="262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3"/>
      <c r="Z315" s="260"/>
      <c r="AA315" s="260"/>
      <c r="AB315" s="260"/>
      <c r="AC315" s="260"/>
      <c r="AD315" s="260"/>
      <c r="AE315" s="260"/>
      <c r="AF315" s="264"/>
      <c r="AG315" s="260"/>
      <c r="AH315" s="260"/>
      <c r="AI315" s="260"/>
    </row>
    <row r="316">
      <c r="A316" s="259"/>
      <c r="B316" s="260"/>
      <c r="C316" s="260"/>
      <c r="D316" s="260"/>
      <c r="E316" s="260"/>
      <c r="F316" s="260"/>
      <c r="G316" s="261"/>
      <c r="H316" s="259"/>
      <c r="I316" s="260"/>
      <c r="J316" s="260"/>
      <c r="K316" s="260"/>
      <c r="L316" s="260"/>
      <c r="M316" s="260"/>
      <c r="N316" s="262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3"/>
      <c r="Z316" s="260"/>
      <c r="AA316" s="260"/>
      <c r="AB316" s="260"/>
      <c r="AC316" s="260"/>
      <c r="AD316" s="260"/>
      <c r="AE316" s="260"/>
      <c r="AF316" s="264"/>
      <c r="AG316" s="260"/>
      <c r="AH316" s="260"/>
      <c r="AI316" s="260"/>
    </row>
    <row r="317">
      <c r="A317" s="259"/>
      <c r="B317" s="260"/>
      <c r="C317" s="260"/>
      <c r="D317" s="260"/>
      <c r="E317" s="260"/>
      <c r="F317" s="260"/>
      <c r="G317" s="261"/>
      <c r="H317" s="259"/>
      <c r="I317" s="260"/>
      <c r="J317" s="260"/>
      <c r="K317" s="260"/>
      <c r="L317" s="260"/>
      <c r="M317" s="260"/>
      <c r="N317" s="262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3"/>
      <c r="Z317" s="260"/>
      <c r="AA317" s="260"/>
      <c r="AB317" s="260"/>
      <c r="AC317" s="260"/>
      <c r="AD317" s="260"/>
      <c r="AE317" s="260"/>
      <c r="AF317" s="264"/>
      <c r="AG317" s="260"/>
      <c r="AH317" s="260"/>
      <c r="AI317" s="260"/>
    </row>
    <row r="318">
      <c r="A318" s="259"/>
      <c r="B318" s="260"/>
      <c r="C318" s="260"/>
      <c r="D318" s="260"/>
      <c r="E318" s="260"/>
      <c r="F318" s="260"/>
      <c r="G318" s="261"/>
      <c r="H318" s="259"/>
      <c r="I318" s="260"/>
      <c r="J318" s="260"/>
      <c r="K318" s="260"/>
      <c r="L318" s="260"/>
      <c r="M318" s="260"/>
      <c r="N318" s="262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3"/>
      <c r="Z318" s="260"/>
      <c r="AA318" s="260"/>
      <c r="AB318" s="260"/>
      <c r="AC318" s="260"/>
      <c r="AD318" s="260"/>
      <c r="AE318" s="260"/>
      <c r="AF318" s="264"/>
      <c r="AG318" s="260"/>
      <c r="AH318" s="260"/>
      <c r="AI318" s="260"/>
    </row>
    <row r="319">
      <c r="A319" s="259"/>
      <c r="B319" s="260"/>
      <c r="C319" s="260"/>
      <c r="D319" s="260"/>
      <c r="E319" s="260"/>
      <c r="F319" s="260"/>
      <c r="G319" s="261"/>
      <c r="H319" s="259"/>
      <c r="I319" s="260"/>
      <c r="J319" s="260"/>
      <c r="K319" s="260"/>
      <c r="L319" s="260"/>
      <c r="M319" s="260"/>
      <c r="N319" s="262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3"/>
      <c r="Z319" s="260"/>
      <c r="AA319" s="260"/>
      <c r="AB319" s="260"/>
      <c r="AC319" s="260"/>
      <c r="AD319" s="260"/>
      <c r="AE319" s="260"/>
      <c r="AF319" s="264"/>
      <c r="AG319" s="260"/>
      <c r="AH319" s="260"/>
      <c r="AI319" s="260"/>
    </row>
    <row r="320">
      <c r="A320" s="259"/>
      <c r="B320" s="260"/>
      <c r="C320" s="260"/>
      <c r="D320" s="260"/>
      <c r="E320" s="260"/>
      <c r="F320" s="260"/>
      <c r="G320" s="261"/>
      <c r="H320" s="259"/>
      <c r="I320" s="260"/>
      <c r="J320" s="260"/>
      <c r="K320" s="260"/>
      <c r="L320" s="260"/>
      <c r="M320" s="260"/>
      <c r="N320" s="262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3"/>
      <c r="Z320" s="260"/>
      <c r="AA320" s="260"/>
      <c r="AB320" s="260"/>
      <c r="AC320" s="260"/>
      <c r="AD320" s="260"/>
      <c r="AE320" s="260"/>
      <c r="AF320" s="264"/>
      <c r="AG320" s="260"/>
      <c r="AH320" s="260"/>
      <c r="AI320" s="260"/>
    </row>
    <row r="321">
      <c r="A321" s="259"/>
      <c r="B321" s="260"/>
      <c r="C321" s="260"/>
      <c r="D321" s="260"/>
      <c r="E321" s="260"/>
      <c r="F321" s="260"/>
      <c r="G321" s="261"/>
      <c r="H321" s="259"/>
      <c r="I321" s="260"/>
      <c r="J321" s="260"/>
      <c r="K321" s="260"/>
      <c r="L321" s="260"/>
      <c r="M321" s="260"/>
      <c r="N321" s="262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3"/>
      <c r="Z321" s="260"/>
      <c r="AA321" s="260"/>
      <c r="AB321" s="260"/>
      <c r="AC321" s="260"/>
      <c r="AD321" s="260"/>
      <c r="AE321" s="260"/>
      <c r="AF321" s="264"/>
      <c r="AG321" s="260"/>
      <c r="AH321" s="260"/>
      <c r="AI321" s="260"/>
    </row>
    <row r="322">
      <c r="A322" s="259"/>
      <c r="B322" s="260"/>
      <c r="C322" s="260"/>
      <c r="D322" s="260"/>
      <c r="E322" s="260"/>
      <c r="F322" s="260"/>
      <c r="G322" s="261"/>
      <c r="H322" s="259"/>
      <c r="I322" s="260"/>
      <c r="J322" s="260"/>
      <c r="K322" s="260"/>
      <c r="L322" s="260"/>
      <c r="M322" s="260"/>
      <c r="N322" s="262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3"/>
      <c r="Z322" s="260"/>
      <c r="AA322" s="260"/>
      <c r="AB322" s="260"/>
      <c r="AC322" s="260"/>
      <c r="AD322" s="260"/>
      <c r="AE322" s="260"/>
      <c r="AF322" s="264"/>
      <c r="AG322" s="260"/>
      <c r="AH322" s="260"/>
      <c r="AI322" s="260"/>
    </row>
    <row r="323">
      <c r="A323" s="259"/>
      <c r="B323" s="260"/>
      <c r="C323" s="260"/>
      <c r="D323" s="260"/>
      <c r="E323" s="260"/>
      <c r="F323" s="260"/>
      <c r="G323" s="261"/>
      <c r="H323" s="259"/>
      <c r="I323" s="260"/>
      <c r="J323" s="260"/>
      <c r="K323" s="260"/>
      <c r="L323" s="260"/>
      <c r="M323" s="260"/>
      <c r="N323" s="262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3"/>
      <c r="Z323" s="260"/>
      <c r="AA323" s="260"/>
      <c r="AB323" s="260"/>
      <c r="AC323" s="260"/>
      <c r="AD323" s="260"/>
      <c r="AE323" s="260"/>
      <c r="AF323" s="264"/>
      <c r="AG323" s="260"/>
      <c r="AH323" s="260"/>
      <c r="AI323" s="260"/>
    </row>
    <row r="324">
      <c r="A324" s="259"/>
      <c r="B324" s="260"/>
      <c r="C324" s="260"/>
      <c r="D324" s="260"/>
      <c r="E324" s="260"/>
      <c r="F324" s="260"/>
      <c r="G324" s="261"/>
      <c r="H324" s="259"/>
      <c r="I324" s="260"/>
      <c r="J324" s="260"/>
      <c r="K324" s="260"/>
      <c r="L324" s="260"/>
      <c r="M324" s="260"/>
      <c r="N324" s="262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3"/>
      <c r="Z324" s="260"/>
      <c r="AA324" s="260"/>
      <c r="AB324" s="260"/>
      <c r="AC324" s="260"/>
      <c r="AD324" s="260"/>
      <c r="AE324" s="260"/>
      <c r="AF324" s="264"/>
      <c r="AG324" s="260"/>
      <c r="AH324" s="260"/>
      <c r="AI324" s="260"/>
    </row>
    <row r="325">
      <c r="A325" s="259"/>
      <c r="B325" s="260"/>
      <c r="C325" s="260"/>
      <c r="D325" s="260"/>
      <c r="E325" s="260"/>
      <c r="F325" s="260"/>
      <c r="G325" s="261"/>
      <c r="H325" s="259"/>
      <c r="I325" s="260"/>
      <c r="J325" s="260"/>
      <c r="K325" s="260"/>
      <c r="L325" s="260"/>
      <c r="M325" s="260"/>
      <c r="N325" s="262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3"/>
      <c r="Z325" s="260"/>
      <c r="AA325" s="260"/>
      <c r="AB325" s="260"/>
      <c r="AC325" s="260"/>
      <c r="AD325" s="260"/>
      <c r="AE325" s="260"/>
      <c r="AF325" s="264"/>
      <c r="AG325" s="260"/>
      <c r="AH325" s="260"/>
      <c r="AI325" s="260"/>
    </row>
    <row r="326">
      <c r="A326" s="259"/>
      <c r="B326" s="260"/>
      <c r="C326" s="260"/>
      <c r="D326" s="260"/>
      <c r="E326" s="260"/>
      <c r="F326" s="260"/>
      <c r="G326" s="261"/>
      <c r="H326" s="259"/>
      <c r="I326" s="260"/>
      <c r="J326" s="260"/>
      <c r="K326" s="260"/>
      <c r="L326" s="260"/>
      <c r="M326" s="260"/>
      <c r="N326" s="262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3"/>
      <c r="Z326" s="260"/>
      <c r="AA326" s="260"/>
      <c r="AB326" s="260"/>
      <c r="AC326" s="260"/>
      <c r="AD326" s="260"/>
      <c r="AE326" s="260"/>
      <c r="AF326" s="264"/>
      <c r="AG326" s="260"/>
      <c r="AH326" s="260"/>
      <c r="AI326" s="260"/>
    </row>
    <row r="327">
      <c r="A327" s="259"/>
      <c r="B327" s="260"/>
      <c r="C327" s="260"/>
      <c r="D327" s="260"/>
      <c r="E327" s="260"/>
      <c r="F327" s="260"/>
      <c r="G327" s="261"/>
      <c r="H327" s="259"/>
      <c r="I327" s="260"/>
      <c r="J327" s="260"/>
      <c r="K327" s="260"/>
      <c r="L327" s="260"/>
      <c r="M327" s="260"/>
      <c r="N327" s="262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3"/>
      <c r="Z327" s="260"/>
      <c r="AA327" s="260"/>
      <c r="AB327" s="260"/>
      <c r="AC327" s="260"/>
      <c r="AD327" s="260"/>
      <c r="AE327" s="260"/>
      <c r="AF327" s="264"/>
      <c r="AG327" s="260"/>
      <c r="AH327" s="260"/>
      <c r="AI327" s="260"/>
    </row>
    <row r="328">
      <c r="A328" s="259"/>
      <c r="B328" s="260"/>
      <c r="C328" s="260"/>
      <c r="D328" s="260"/>
      <c r="E328" s="260"/>
      <c r="F328" s="260"/>
      <c r="G328" s="261"/>
      <c r="H328" s="259"/>
      <c r="I328" s="260"/>
      <c r="J328" s="260"/>
      <c r="K328" s="260"/>
      <c r="L328" s="260"/>
      <c r="M328" s="260"/>
      <c r="N328" s="262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3"/>
      <c r="Z328" s="260"/>
      <c r="AA328" s="260"/>
      <c r="AB328" s="260"/>
      <c r="AC328" s="260"/>
      <c r="AD328" s="260"/>
      <c r="AE328" s="260"/>
      <c r="AF328" s="264"/>
      <c r="AG328" s="260"/>
      <c r="AH328" s="260"/>
      <c r="AI328" s="260"/>
    </row>
    <row r="329">
      <c r="A329" s="259"/>
      <c r="B329" s="260"/>
      <c r="C329" s="260"/>
      <c r="D329" s="260"/>
      <c r="E329" s="260"/>
      <c r="F329" s="260"/>
      <c r="G329" s="261"/>
      <c r="H329" s="259"/>
      <c r="I329" s="260"/>
      <c r="J329" s="260"/>
      <c r="K329" s="260"/>
      <c r="L329" s="260"/>
      <c r="M329" s="260"/>
      <c r="N329" s="262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3"/>
      <c r="Z329" s="260"/>
      <c r="AA329" s="260"/>
      <c r="AB329" s="260"/>
      <c r="AC329" s="260"/>
      <c r="AD329" s="260"/>
      <c r="AE329" s="260"/>
      <c r="AF329" s="264"/>
      <c r="AG329" s="260"/>
      <c r="AH329" s="260"/>
      <c r="AI329" s="260"/>
    </row>
    <row r="330">
      <c r="A330" s="259"/>
      <c r="B330" s="260"/>
      <c r="C330" s="260"/>
      <c r="D330" s="260"/>
      <c r="E330" s="260"/>
      <c r="F330" s="260"/>
      <c r="G330" s="261"/>
      <c r="H330" s="259"/>
      <c r="I330" s="260"/>
      <c r="J330" s="260"/>
      <c r="K330" s="260"/>
      <c r="L330" s="260"/>
      <c r="M330" s="260"/>
      <c r="N330" s="262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3"/>
      <c r="Z330" s="260"/>
      <c r="AA330" s="260"/>
      <c r="AB330" s="260"/>
      <c r="AC330" s="260"/>
      <c r="AD330" s="260"/>
      <c r="AE330" s="260"/>
      <c r="AF330" s="264"/>
      <c r="AG330" s="260"/>
      <c r="AH330" s="260"/>
      <c r="AI330" s="260"/>
    </row>
    <row r="331">
      <c r="A331" s="259"/>
      <c r="B331" s="260"/>
      <c r="C331" s="260"/>
      <c r="D331" s="260"/>
      <c r="E331" s="260"/>
      <c r="F331" s="260"/>
      <c r="G331" s="261"/>
      <c r="H331" s="259"/>
      <c r="I331" s="260"/>
      <c r="J331" s="260"/>
      <c r="K331" s="260"/>
      <c r="L331" s="260"/>
      <c r="M331" s="260"/>
      <c r="N331" s="262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3"/>
      <c r="Z331" s="260"/>
      <c r="AA331" s="260"/>
      <c r="AB331" s="260"/>
      <c r="AC331" s="260"/>
      <c r="AD331" s="260"/>
      <c r="AE331" s="260"/>
      <c r="AF331" s="264"/>
      <c r="AG331" s="260"/>
      <c r="AH331" s="260"/>
      <c r="AI331" s="260"/>
    </row>
    <row r="332">
      <c r="A332" s="259"/>
      <c r="B332" s="260"/>
      <c r="C332" s="260"/>
      <c r="D332" s="260"/>
      <c r="E332" s="260"/>
      <c r="F332" s="260"/>
      <c r="G332" s="261"/>
      <c r="H332" s="259"/>
      <c r="I332" s="260"/>
      <c r="J332" s="260"/>
      <c r="K332" s="260"/>
      <c r="L332" s="260"/>
      <c r="M332" s="260"/>
      <c r="N332" s="262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3"/>
      <c r="Z332" s="260"/>
      <c r="AA332" s="260"/>
      <c r="AB332" s="260"/>
      <c r="AC332" s="260"/>
      <c r="AD332" s="260"/>
      <c r="AE332" s="260"/>
      <c r="AF332" s="264"/>
      <c r="AG332" s="260"/>
      <c r="AH332" s="260"/>
      <c r="AI332" s="260"/>
    </row>
    <row r="333">
      <c r="A333" s="259"/>
      <c r="B333" s="260"/>
      <c r="C333" s="260"/>
      <c r="D333" s="260"/>
      <c r="E333" s="260"/>
      <c r="F333" s="260"/>
      <c r="G333" s="261"/>
      <c r="H333" s="259"/>
      <c r="I333" s="260"/>
      <c r="J333" s="260"/>
      <c r="K333" s="260"/>
      <c r="L333" s="260"/>
      <c r="M333" s="260"/>
      <c r="N333" s="262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3"/>
      <c r="Z333" s="260"/>
      <c r="AA333" s="260"/>
      <c r="AB333" s="260"/>
      <c r="AC333" s="260"/>
      <c r="AD333" s="260"/>
      <c r="AE333" s="260"/>
      <c r="AF333" s="264"/>
      <c r="AG333" s="260"/>
      <c r="AH333" s="260"/>
      <c r="AI333" s="260"/>
    </row>
    <row r="334">
      <c r="A334" s="259"/>
      <c r="B334" s="260"/>
      <c r="C334" s="260"/>
      <c r="D334" s="260"/>
      <c r="E334" s="260"/>
      <c r="F334" s="260"/>
      <c r="G334" s="261"/>
      <c r="H334" s="259"/>
      <c r="I334" s="260"/>
      <c r="J334" s="260"/>
      <c r="K334" s="260"/>
      <c r="L334" s="260"/>
      <c r="M334" s="260"/>
      <c r="N334" s="262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3"/>
      <c r="Z334" s="260"/>
      <c r="AA334" s="260"/>
      <c r="AB334" s="260"/>
      <c r="AC334" s="260"/>
      <c r="AD334" s="260"/>
      <c r="AE334" s="260"/>
      <c r="AF334" s="264"/>
      <c r="AG334" s="260"/>
      <c r="AH334" s="260"/>
      <c r="AI334" s="260"/>
    </row>
    <row r="335">
      <c r="A335" s="259"/>
      <c r="B335" s="260"/>
      <c r="C335" s="260"/>
      <c r="D335" s="260"/>
      <c r="E335" s="260"/>
      <c r="F335" s="260"/>
      <c r="G335" s="261"/>
      <c r="H335" s="259"/>
      <c r="I335" s="260"/>
      <c r="J335" s="260"/>
      <c r="K335" s="260"/>
      <c r="L335" s="260"/>
      <c r="M335" s="260"/>
      <c r="N335" s="262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3"/>
      <c r="Z335" s="260"/>
      <c r="AA335" s="260"/>
      <c r="AB335" s="260"/>
      <c r="AC335" s="260"/>
      <c r="AD335" s="260"/>
      <c r="AE335" s="260"/>
      <c r="AF335" s="264"/>
      <c r="AG335" s="260"/>
      <c r="AH335" s="260"/>
      <c r="AI335" s="260"/>
    </row>
    <row r="336">
      <c r="A336" s="259"/>
      <c r="B336" s="260"/>
      <c r="C336" s="260"/>
      <c r="D336" s="260"/>
      <c r="E336" s="260"/>
      <c r="F336" s="260"/>
      <c r="G336" s="261"/>
      <c r="H336" s="259"/>
      <c r="I336" s="260"/>
      <c r="J336" s="260"/>
      <c r="K336" s="260"/>
      <c r="L336" s="260"/>
      <c r="M336" s="260"/>
      <c r="N336" s="262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3"/>
      <c r="Z336" s="260"/>
      <c r="AA336" s="260"/>
      <c r="AB336" s="260"/>
      <c r="AC336" s="260"/>
      <c r="AD336" s="260"/>
      <c r="AE336" s="260"/>
      <c r="AF336" s="264"/>
      <c r="AG336" s="260"/>
      <c r="AH336" s="260"/>
      <c r="AI336" s="260"/>
    </row>
    <row r="337">
      <c r="A337" s="259"/>
      <c r="B337" s="260"/>
      <c r="C337" s="260"/>
      <c r="D337" s="260"/>
      <c r="E337" s="260"/>
      <c r="F337" s="260"/>
      <c r="G337" s="261"/>
      <c r="H337" s="259"/>
      <c r="I337" s="260"/>
      <c r="J337" s="260"/>
      <c r="K337" s="260"/>
      <c r="L337" s="260"/>
      <c r="M337" s="260"/>
      <c r="N337" s="262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3"/>
      <c r="Z337" s="260"/>
      <c r="AA337" s="260"/>
      <c r="AB337" s="260"/>
      <c r="AC337" s="260"/>
      <c r="AD337" s="260"/>
      <c r="AE337" s="260"/>
      <c r="AF337" s="264"/>
      <c r="AG337" s="260"/>
      <c r="AH337" s="260"/>
      <c r="AI337" s="260"/>
    </row>
    <row r="338">
      <c r="A338" s="259"/>
      <c r="B338" s="260"/>
      <c r="C338" s="260"/>
      <c r="D338" s="260"/>
      <c r="E338" s="260"/>
      <c r="F338" s="260"/>
      <c r="G338" s="261"/>
      <c r="H338" s="259"/>
      <c r="I338" s="260"/>
      <c r="J338" s="260"/>
      <c r="K338" s="260"/>
      <c r="L338" s="260"/>
      <c r="M338" s="260"/>
      <c r="N338" s="262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3"/>
      <c r="Z338" s="260"/>
      <c r="AA338" s="260"/>
      <c r="AB338" s="260"/>
      <c r="AC338" s="260"/>
      <c r="AD338" s="260"/>
      <c r="AE338" s="260"/>
      <c r="AF338" s="264"/>
      <c r="AG338" s="260"/>
      <c r="AH338" s="260"/>
      <c r="AI338" s="260"/>
    </row>
    <row r="339">
      <c r="A339" s="259"/>
      <c r="B339" s="260"/>
      <c r="C339" s="260"/>
      <c r="D339" s="260"/>
      <c r="E339" s="260"/>
      <c r="F339" s="260"/>
      <c r="G339" s="261"/>
      <c r="H339" s="259"/>
      <c r="I339" s="260"/>
      <c r="J339" s="260"/>
      <c r="K339" s="260"/>
      <c r="L339" s="260"/>
      <c r="M339" s="260"/>
      <c r="N339" s="262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3"/>
      <c r="Z339" s="260"/>
      <c r="AA339" s="260"/>
      <c r="AB339" s="260"/>
      <c r="AC339" s="260"/>
      <c r="AD339" s="260"/>
      <c r="AE339" s="260"/>
      <c r="AF339" s="264"/>
      <c r="AG339" s="260"/>
      <c r="AH339" s="260"/>
      <c r="AI339" s="260"/>
    </row>
    <row r="340">
      <c r="A340" s="259"/>
      <c r="B340" s="260"/>
      <c r="C340" s="260"/>
      <c r="D340" s="260"/>
      <c r="E340" s="260"/>
      <c r="F340" s="260"/>
      <c r="G340" s="261"/>
      <c r="H340" s="259"/>
      <c r="I340" s="260"/>
      <c r="J340" s="260"/>
      <c r="K340" s="260"/>
      <c r="L340" s="260"/>
      <c r="M340" s="260"/>
      <c r="N340" s="262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3"/>
      <c r="Z340" s="260"/>
      <c r="AA340" s="260"/>
      <c r="AB340" s="260"/>
      <c r="AC340" s="260"/>
      <c r="AD340" s="260"/>
      <c r="AE340" s="260"/>
      <c r="AF340" s="264"/>
      <c r="AG340" s="260"/>
      <c r="AH340" s="260"/>
      <c r="AI340" s="260"/>
    </row>
    <row r="341">
      <c r="A341" s="259"/>
      <c r="B341" s="260"/>
      <c r="C341" s="260"/>
      <c r="D341" s="260"/>
      <c r="E341" s="260"/>
      <c r="F341" s="260"/>
      <c r="G341" s="261"/>
      <c r="H341" s="259"/>
      <c r="I341" s="260"/>
      <c r="J341" s="260"/>
      <c r="K341" s="260"/>
      <c r="L341" s="260"/>
      <c r="M341" s="260"/>
      <c r="N341" s="262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3"/>
      <c r="Z341" s="260"/>
      <c r="AA341" s="260"/>
      <c r="AB341" s="260"/>
      <c r="AC341" s="260"/>
      <c r="AD341" s="260"/>
      <c r="AE341" s="260"/>
      <c r="AF341" s="264"/>
      <c r="AG341" s="260"/>
      <c r="AH341" s="260"/>
      <c r="AI341" s="260"/>
    </row>
    <row r="342">
      <c r="A342" s="259"/>
      <c r="B342" s="260"/>
      <c r="C342" s="260"/>
      <c r="D342" s="260"/>
      <c r="E342" s="260"/>
      <c r="F342" s="260"/>
      <c r="G342" s="261"/>
      <c r="H342" s="259"/>
      <c r="I342" s="260"/>
      <c r="J342" s="260"/>
      <c r="K342" s="260"/>
      <c r="L342" s="260"/>
      <c r="M342" s="260"/>
      <c r="N342" s="262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3"/>
      <c r="Z342" s="260"/>
      <c r="AA342" s="260"/>
      <c r="AB342" s="260"/>
      <c r="AC342" s="260"/>
      <c r="AD342" s="260"/>
      <c r="AE342" s="260"/>
      <c r="AF342" s="264"/>
      <c r="AG342" s="260"/>
      <c r="AH342" s="260"/>
      <c r="AI342" s="260"/>
    </row>
    <row r="343">
      <c r="A343" s="259"/>
      <c r="B343" s="260"/>
      <c r="C343" s="260"/>
      <c r="D343" s="260"/>
      <c r="E343" s="260"/>
      <c r="F343" s="260"/>
      <c r="G343" s="261"/>
      <c r="H343" s="259"/>
      <c r="I343" s="260"/>
      <c r="J343" s="260"/>
      <c r="K343" s="260"/>
      <c r="L343" s="260"/>
      <c r="M343" s="260"/>
      <c r="N343" s="262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3"/>
      <c r="Z343" s="260"/>
      <c r="AA343" s="260"/>
      <c r="AB343" s="260"/>
      <c r="AC343" s="260"/>
      <c r="AD343" s="260"/>
      <c r="AE343" s="260"/>
      <c r="AF343" s="264"/>
      <c r="AG343" s="260"/>
      <c r="AH343" s="260"/>
      <c r="AI343" s="260"/>
    </row>
    <row r="344">
      <c r="A344" s="259"/>
      <c r="B344" s="260"/>
      <c r="C344" s="260"/>
      <c r="D344" s="260"/>
      <c r="E344" s="260"/>
      <c r="F344" s="260"/>
      <c r="G344" s="261"/>
      <c r="H344" s="259"/>
      <c r="I344" s="260"/>
      <c r="J344" s="260"/>
      <c r="K344" s="260"/>
      <c r="L344" s="260"/>
      <c r="M344" s="260"/>
      <c r="N344" s="262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3"/>
      <c r="Z344" s="260"/>
      <c r="AA344" s="260"/>
      <c r="AB344" s="260"/>
      <c r="AC344" s="260"/>
      <c r="AD344" s="260"/>
      <c r="AE344" s="260"/>
      <c r="AF344" s="264"/>
      <c r="AG344" s="260"/>
      <c r="AH344" s="260"/>
      <c r="AI344" s="260"/>
    </row>
    <row r="345">
      <c r="A345" s="259"/>
      <c r="B345" s="260"/>
      <c r="C345" s="260"/>
      <c r="D345" s="260"/>
      <c r="E345" s="260"/>
      <c r="F345" s="260"/>
      <c r="G345" s="261"/>
      <c r="H345" s="259"/>
      <c r="I345" s="260"/>
      <c r="J345" s="260"/>
      <c r="K345" s="260"/>
      <c r="L345" s="260"/>
      <c r="M345" s="260"/>
      <c r="N345" s="262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3"/>
      <c r="Z345" s="260"/>
      <c r="AA345" s="260"/>
      <c r="AB345" s="260"/>
      <c r="AC345" s="260"/>
      <c r="AD345" s="260"/>
      <c r="AE345" s="260"/>
      <c r="AF345" s="264"/>
      <c r="AG345" s="260"/>
      <c r="AH345" s="260"/>
      <c r="AI345" s="260"/>
    </row>
    <row r="346">
      <c r="A346" s="259"/>
      <c r="B346" s="260"/>
      <c r="C346" s="260"/>
      <c r="D346" s="260"/>
      <c r="E346" s="260"/>
      <c r="F346" s="260"/>
      <c r="G346" s="261"/>
      <c r="H346" s="259"/>
      <c r="I346" s="260"/>
      <c r="J346" s="260"/>
      <c r="K346" s="260"/>
      <c r="L346" s="260"/>
      <c r="M346" s="260"/>
      <c r="N346" s="262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3"/>
      <c r="Z346" s="260"/>
      <c r="AA346" s="260"/>
      <c r="AB346" s="260"/>
      <c r="AC346" s="260"/>
      <c r="AD346" s="260"/>
      <c r="AE346" s="260"/>
      <c r="AF346" s="264"/>
      <c r="AG346" s="260"/>
      <c r="AH346" s="260"/>
      <c r="AI346" s="260"/>
    </row>
    <row r="347">
      <c r="A347" s="259"/>
      <c r="B347" s="260"/>
      <c r="C347" s="260"/>
      <c r="D347" s="260"/>
      <c r="E347" s="260"/>
      <c r="F347" s="260"/>
      <c r="G347" s="261"/>
      <c r="H347" s="259"/>
      <c r="I347" s="260"/>
      <c r="J347" s="260"/>
      <c r="K347" s="260"/>
      <c r="L347" s="260"/>
      <c r="M347" s="260"/>
      <c r="N347" s="262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3"/>
      <c r="Z347" s="260"/>
      <c r="AA347" s="260"/>
      <c r="AB347" s="260"/>
      <c r="AC347" s="260"/>
      <c r="AD347" s="260"/>
      <c r="AE347" s="260"/>
      <c r="AF347" s="264"/>
      <c r="AG347" s="260"/>
      <c r="AH347" s="260"/>
      <c r="AI347" s="260"/>
    </row>
    <row r="348">
      <c r="A348" s="259"/>
      <c r="B348" s="260"/>
      <c r="C348" s="260"/>
      <c r="D348" s="260"/>
      <c r="E348" s="260"/>
      <c r="F348" s="260"/>
      <c r="G348" s="261"/>
      <c r="H348" s="259"/>
      <c r="I348" s="260"/>
      <c r="J348" s="260"/>
      <c r="K348" s="260"/>
      <c r="L348" s="260"/>
      <c r="M348" s="260"/>
      <c r="N348" s="262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3"/>
      <c r="Z348" s="260"/>
      <c r="AA348" s="260"/>
      <c r="AB348" s="260"/>
      <c r="AC348" s="260"/>
      <c r="AD348" s="260"/>
      <c r="AE348" s="260"/>
      <c r="AF348" s="264"/>
      <c r="AG348" s="260"/>
      <c r="AH348" s="260"/>
      <c r="AI348" s="260"/>
    </row>
    <row r="349">
      <c r="A349" s="259"/>
      <c r="B349" s="260"/>
      <c r="C349" s="260"/>
      <c r="D349" s="260"/>
      <c r="E349" s="260"/>
      <c r="F349" s="260"/>
      <c r="G349" s="261"/>
      <c r="H349" s="259"/>
      <c r="I349" s="260"/>
      <c r="J349" s="260"/>
      <c r="K349" s="260"/>
      <c r="L349" s="260"/>
      <c r="M349" s="260"/>
      <c r="N349" s="262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3"/>
      <c r="Z349" s="260"/>
      <c r="AA349" s="260"/>
      <c r="AB349" s="260"/>
      <c r="AC349" s="260"/>
      <c r="AD349" s="260"/>
      <c r="AE349" s="260"/>
      <c r="AF349" s="264"/>
      <c r="AG349" s="260"/>
      <c r="AH349" s="260"/>
      <c r="AI349" s="260"/>
    </row>
    <row r="350">
      <c r="A350" s="259"/>
      <c r="B350" s="260"/>
      <c r="C350" s="260"/>
      <c r="D350" s="260"/>
      <c r="E350" s="260"/>
      <c r="F350" s="260"/>
      <c r="G350" s="261"/>
      <c r="H350" s="259"/>
      <c r="I350" s="260"/>
      <c r="J350" s="260"/>
      <c r="K350" s="260"/>
      <c r="L350" s="260"/>
      <c r="M350" s="260"/>
      <c r="N350" s="262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3"/>
      <c r="Z350" s="260"/>
      <c r="AA350" s="260"/>
      <c r="AB350" s="260"/>
      <c r="AC350" s="260"/>
      <c r="AD350" s="260"/>
      <c r="AE350" s="260"/>
      <c r="AF350" s="264"/>
      <c r="AG350" s="260"/>
      <c r="AH350" s="260"/>
      <c r="AI350" s="260"/>
    </row>
    <row r="351">
      <c r="A351" s="259"/>
      <c r="B351" s="260"/>
      <c r="C351" s="260"/>
      <c r="D351" s="260"/>
      <c r="E351" s="260"/>
      <c r="F351" s="260"/>
      <c r="G351" s="261"/>
      <c r="H351" s="259"/>
      <c r="I351" s="260"/>
      <c r="J351" s="260"/>
      <c r="K351" s="260"/>
      <c r="L351" s="260"/>
      <c r="M351" s="260"/>
      <c r="N351" s="262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3"/>
      <c r="Z351" s="260"/>
      <c r="AA351" s="260"/>
      <c r="AB351" s="260"/>
      <c r="AC351" s="260"/>
      <c r="AD351" s="260"/>
      <c r="AE351" s="260"/>
      <c r="AF351" s="264"/>
      <c r="AG351" s="260"/>
      <c r="AH351" s="260"/>
      <c r="AI351" s="260"/>
    </row>
    <row r="352">
      <c r="A352" s="259"/>
      <c r="B352" s="260"/>
      <c r="C352" s="260"/>
      <c r="D352" s="260"/>
      <c r="E352" s="260"/>
      <c r="F352" s="260"/>
      <c r="G352" s="261"/>
      <c r="H352" s="259"/>
      <c r="I352" s="260"/>
      <c r="J352" s="260"/>
      <c r="K352" s="260"/>
      <c r="L352" s="260"/>
      <c r="M352" s="260"/>
      <c r="N352" s="262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3"/>
      <c r="Z352" s="260"/>
      <c r="AA352" s="260"/>
      <c r="AB352" s="260"/>
      <c r="AC352" s="260"/>
      <c r="AD352" s="260"/>
      <c r="AE352" s="260"/>
      <c r="AF352" s="264"/>
      <c r="AG352" s="260"/>
      <c r="AH352" s="260"/>
      <c r="AI352" s="260"/>
    </row>
    <row r="353">
      <c r="A353" s="259"/>
      <c r="B353" s="260"/>
      <c r="C353" s="260"/>
      <c r="D353" s="260"/>
      <c r="E353" s="260"/>
      <c r="F353" s="260"/>
      <c r="G353" s="261"/>
      <c r="H353" s="259"/>
      <c r="I353" s="260"/>
      <c r="J353" s="260"/>
      <c r="K353" s="260"/>
      <c r="L353" s="260"/>
      <c r="M353" s="260"/>
      <c r="N353" s="262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3"/>
      <c r="Z353" s="260"/>
      <c r="AA353" s="260"/>
      <c r="AB353" s="260"/>
      <c r="AC353" s="260"/>
      <c r="AD353" s="260"/>
      <c r="AE353" s="260"/>
      <c r="AF353" s="264"/>
      <c r="AG353" s="260"/>
      <c r="AH353" s="260"/>
      <c r="AI353" s="260"/>
    </row>
    <row r="354">
      <c r="A354" s="259"/>
      <c r="B354" s="260"/>
      <c r="C354" s="260"/>
      <c r="D354" s="260"/>
      <c r="E354" s="260"/>
      <c r="F354" s="260"/>
      <c r="G354" s="261"/>
      <c r="H354" s="259"/>
      <c r="I354" s="260"/>
      <c r="J354" s="260"/>
      <c r="K354" s="260"/>
      <c r="L354" s="260"/>
      <c r="M354" s="260"/>
      <c r="N354" s="262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3"/>
      <c r="Z354" s="260"/>
      <c r="AA354" s="260"/>
      <c r="AB354" s="260"/>
      <c r="AC354" s="260"/>
      <c r="AD354" s="260"/>
      <c r="AE354" s="260"/>
      <c r="AF354" s="264"/>
      <c r="AG354" s="260"/>
      <c r="AH354" s="260"/>
      <c r="AI354" s="260"/>
    </row>
    <row r="355">
      <c r="A355" s="259"/>
      <c r="B355" s="260"/>
      <c r="C355" s="260"/>
      <c r="D355" s="260"/>
      <c r="E355" s="260"/>
      <c r="F355" s="260"/>
      <c r="G355" s="261"/>
      <c r="H355" s="259"/>
      <c r="I355" s="260"/>
      <c r="J355" s="260"/>
      <c r="K355" s="260"/>
      <c r="L355" s="260"/>
      <c r="M355" s="260"/>
      <c r="N355" s="262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3"/>
      <c r="Z355" s="260"/>
      <c r="AA355" s="260"/>
      <c r="AB355" s="260"/>
      <c r="AC355" s="260"/>
      <c r="AD355" s="260"/>
      <c r="AE355" s="260"/>
      <c r="AF355" s="264"/>
      <c r="AG355" s="260"/>
      <c r="AH355" s="260"/>
      <c r="AI355" s="260"/>
    </row>
    <row r="356">
      <c r="A356" s="259"/>
      <c r="B356" s="260"/>
      <c r="C356" s="260"/>
      <c r="D356" s="260"/>
      <c r="E356" s="260"/>
      <c r="F356" s="260"/>
      <c r="G356" s="261"/>
      <c r="H356" s="259"/>
      <c r="I356" s="260"/>
      <c r="J356" s="260"/>
      <c r="K356" s="260"/>
      <c r="L356" s="260"/>
      <c r="M356" s="260"/>
      <c r="N356" s="262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3"/>
      <c r="Z356" s="260"/>
      <c r="AA356" s="260"/>
      <c r="AB356" s="260"/>
      <c r="AC356" s="260"/>
      <c r="AD356" s="260"/>
      <c r="AE356" s="260"/>
      <c r="AF356" s="264"/>
      <c r="AG356" s="260"/>
      <c r="AH356" s="260"/>
      <c r="AI356" s="260"/>
    </row>
    <row r="357">
      <c r="A357" s="259"/>
      <c r="B357" s="260"/>
      <c r="C357" s="260"/>
      <c r="D357" s="260"/>
      <c r="E357" s="260"/>
      <c r="F357" s="260"/>
      <c r="G357" s="261"/>
      <c r="H357" s="259"/>
      <c r="I357" s="260"/>
      <c r="J357" s="260"/>
      <c r="K357" s="260"/>
      <c r="L357" s="260"/>
      <c r="M357" s="260"/>
      <c r="N357" s="262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3"/>
      <c r="Z357" s="260"/>
      <c r="AA357" s="260"/>
      <c r="AB357" s="260"/>
      <c r="AC357" s="260"/>
      <c r="AD357" s="260"/>
      <c r="AE357" s="260"/>
      <c r="AF357" s="264"/>
      <c r="AG357" s="260"/>
      <c r="AH357" s="260"/>
      <c r="AI357" s="260"/>
    </row>
    <row r="358">
      <c r="A358" s="259"/>
      <c r="B358" s="260"/>
      <c r="C358" s="260"/>
      <c r="D358" s="260"/>
      <c r="E358" s="260"/>
      <c r="F358" s="260"/>
      <c r="G358" s="261"/>
      <c r="H358" s="259"/>
      <c r="I358" s="260"/>
      <c r="J358" s="260"/>
      <c r="K358" s="260"/>
      <c r="L358" s="260"/>
      <c r="M358" s="260"/>
      <c r="N358" s="262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3"/>
      <c r="Z358" s="260"/>
      <c r="AA358" s="260"/>
      <c r="AB358" s="260"/>
      <c r="AC358" s="260"/>
      <c r="AD358" s="260"/>
      <c r="AE358" s="260"/>
      <c r="AF358" s="264"/>
      <c r="AG358" s="260"/>
      <c r="AH358" s="260"/>
      <c r="AI358" s="260"/>
    </row>
    <row r="359">
      <c r="A359" s="259"/>
      <c r="B359" s="260"/>
      <c r="C359" s="260"/>
      <c r="D359" s="260"/>
      <c r="E359" s="260"/>
      <c r="F359" s="260"/>
      <c r="G359" s="261"/>
      <c r="H359" s="259"/>
      <c r="I359" s="260"/>
      <c r="J359" s="260"/>
      <c r="K359" s="260"/>
      <c r="L359" s="260"/>
      <c r="M359" s="260"/>
      <c r="N359" s="262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3"/>
      <c r="Z359" s="260"/>
      <c r="AA359" s="260"/>
      <c r="AB359" s="260"/>
      <c r="AC359" s="260"/>
      <c r="AD359" s="260"/>
      <c r="AE359" s="260"/>
      <c r="AF359" s="264"/>
      <c r="AG359" s="260"/>
      <c r="AH359" s="260"/>
      <c r="AI359" s="260"/>
    </row>
    <row r="360">
      <c r="A360" s="259"/>
      <c r="B360" s="260"/>
      <c r="C360" s="260"/>
      <c r="D360" s="260"/>
      <c r="E360" s="260"/>
      <c r="F360" s="260"/>
      <c r="G360" s="261"/>
      <c r="H360" s="259"/>
      <c r="I360" s="260"/>
      <c r="J360" s="260"/>
      <c r="K360" s="260"/>
      <c r="L360" s="260"/>
      <c r="M360" s="260"/>
      <c r="N360" s="262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3"/>
      <c r="Z360" s="260"/>
      <c r="AA360" s="260"/>
      <c r="AB360" s="260"/>
      <c r="AC360" s="260"/>
      <c r="AD360" s="260"/>
      <c r="AE360" s="260"/>
      <c r="AF360" s="264"/>
      <c r="AG360" s="260"/>
      <c r="AH360" s="260"/>
      <c r="AI360" s="260"/>
    </row>
    <row r="361">
      <c r="A361" s="259"/>
      <c r="B361" s="260"/>
      <c r="C361" s="260"/>
      <c r="D361" s="260"/>
      <c r="E361" s="260"/>
      <c r="F361" s="260"/>
      <c r="G361" s="261"/>
      <c r="H361" s="259"/>
      <c r="I361" s="260"/>
      <c r="J361" s="260"/>
      <c r="K361" s="260"/>
      <c r="L361" s="260"/>
      <c r="M361" s="260"/>
      <c r="N361" s="262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3"/>
      <c r="Z361" s="260"/>
      <c r="AA361" s="260"/>
      <c r="AB361" s="260"/>
      <c r="AC361" s="260"/>
      <c r="AD361" s="260"/>
      <c r="AE361" s="260"/>
      <c r="AF361" s="264"/>
      <c r="AG361" s="260"/>
      <c r="AH361" s="260"/>
      <c r="AI361" s="260"/>
    </row>
    <row r="362">
      <c r="A362" s="259"/>
      <c r="B362" s="260"/>
      <c r="C362" s="260"/>
      <c r="D362" s="260"/>
      <c r="E362" s="260"/>
      <c r="F362" s="260"/>
      <c r="G362" s="261"/>
      <c r="H362" s="259"/>
      <c r="I362" s="260"/>
      <c r="J362" s="260"/>
      <c r="K362" s="260"/>
      <c r="L362" s="260"/>
      <c r="M362" s="260"/>
      <c r="N362" s="262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3"/>
      <c r="Z362" s="260"/>
      <c r="AA362" s="260"/>
      <c r="AB362" s="260"/>
      <c r="AC362" s="260"/>
      <c r="AD362" s="260"/>
      <c r="AE362" s="260"/>
      <c r="AF362" s="264"/>
      <c r="AG362" s="260"/>
      <c r="AH362" s="260"/>
      <c r="AI362" s="260"/>
    </row>
    <row r="363">
      <c r="A363" s="259"/>
      <c r="B363" s="260"/>
      <c r="C363" s="260"/>
      <c r="D363" s="260"/>
      <c r="E363" s="260"/>
      <c r="F363" s="260"/>
      <c r="G363" s="261"/>
      <c r="H363" s="259"/>
      <c r="I363" s="260"/>
      <c r="J363" s="260"/>
      <c r="K363" s="260"/>
      <c r="L363" s="260"/>
      <c r="M363" s="260"/>
      <c r="N363" s="262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3"/>
      <c r="Z363" s="260"/>
      <c r="AA363" s="260"/>
      <c r="AB363" s="260"/>
      <c r="AC363" s="260"/>
      <c r="AD363" s="260"/>
      <c r="AE363" s="260"/>
      <c r="AF363" s="264"/>
      <c r="AG363" s="260"/>
      <c r="AH363" s="260"/>
      <c r="AI363" s="260"/>
    </row>
    <row r="364">
      <c r="A364" s="259"/>
      <c r="B364" s="260"/>
      <c r="C364" s="260"/>
      <c r="D364" s="260"/>
      <c r="E364" s="260"/>
      <c r="F364" s="260"/>
      <c r="G364" s="261"/>
      <c r="H364" s="259"/>
      <c r="I364" s="260"/>
      <c r="J364" s="260"/>
      <c r="K364" s="260"/>
      <c r="L364" s="260"/>
      <c r="M364" s="260"/>
      <c r="N364" s="262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3"/>
      <c r="Z364" s="260"/>
      <c r="AA364" s="260"/>
      <c r="AB364" s="260"/>
      <c r="AC364" s="260"/>
      <c r="AD364" s="260"/>
      <c r="AE364" s="260"/>
      <c r="AF364" s="264"/>
      <c r="AG364" s="260"/>
      <c r="AH364" s="260"/>
      <c r="AI364" s="260"/>
    </row>
    <row r="365">
      <c r="A365" s="259"/>
      <c r="B365" s="260"/>
      <c r="C365" s="260"/>
      <c r="D365" s="260"/>
      <c r="E365" s="260"/>
      <c r="F365" s="260"/>
      <c r="G365" s="261"/>
      <c r="H365" s="259"/>
      <c r="I365" s="260"/>
      <c r="J365" s="260"/>
      <c r="K365" s="260"/>
      <c r="L365" s="260"/>
      <c r="M365" s="260"/>
      <c r="N365" s="262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3"/>
      <c r="Z365" s="260"/>
      <c r="AA365" s="260"/>
      <c r="AB365" s="260"/>
      <c r="AC365" s="260"/>
      <c r="AD365" s="260"/>
      <c r="AE365" s="260"/>
      <c r="AF365" s="264"/>
      <c r="AG365" s="260"/>
      <c r="AH365" s="260"/>
      <c r="AI365" s="260"/>
    </row>
    <row r="366">
      <c r="A366" s="259"/>
      <c r="B366" s="260"/>
      <c r="C366" s="260"/>
      <c r="D366" s="260"/>
      <c r="E366" s="260"/>
      <c r="F366" s="260"/>
      <c r="G366" s="261"/>
      <c r="H366" s="259"/>
      <c r="I366" s="260"/>
      <c r="J366" s="260"/>
      <c r="K366" s="260"/>
      <c r="L366" s="260"/>
      <c r="M366" s="260"/>
      <c r="N366" s="262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3"/>
      <c r="Z366" s="260"/>
      <c r="AA366" s="260"/>
      <c r="AB366" s="260"/>
      <c r="AC366" s="260"/>
      <c r="AD366" s="260"/>
      <c r="AE366" s="260"/>
      <c r="AF366" s="264"/>
      <c r="AG366" s="260"/>
      <c r="AH366" s="260"/>
      <c r="AI366" s="260"/>
    </row>
    <row r="367">
      <c r="A367" s="259"/>
      <c r="B367" s="260"/>
      <c r="C367" s="260"/>
      <c r="D367" s="260"/>
      <c r="E367" s="260"/>
      <c r="F367" s="260"/>
      <c r="G367" s="261"/>
      <c r="H367" s="259"/>
      <c r="I367" s="260"/>
      <c r="J367" s="260"/>
      <c r="K367" s="260"/>
      <c r="L367" s="260"/>
      <c r="M367" s="260"/>
      <c r="N367" s="262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3"/>
      <c r="Z367" s="260"/>
      <c r="AA367" s="260"/>
      <c r="AB367" s="260"/>
      <c r="AC367" s="260"/>
      <c r="AD367" s="260"/>
      <c r="AE367" s="260"/>
      <c r="AF367" s="264"/>
      <c r="AG367" s="260"/>
      <c r="AH367" s="260"/>
      <c r="AI367" s="260"/>
    </row>
    <row r="368">
      <c r="A368" s="259"/>
      <c r="B368" s="260"/>
      <c r="C368" s="260"/>
      <c r="D368" s="260"/>
      <c r="E368" s="260"/>
      <c r="F368" s="260"/>
      <c r="G368" s="261"/>
      <c r="H368" s="259"/>
      <c r="I368" s="260"/>
      <c r="J368" s="260"/>
      <c r="K368" s="260"/>
      <c r="L368" s="260"/>
      <c r="M368" s="260"/>
      <c r="N368" s="262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3"/>
      <c r="Z368" s="260"/>
      <c r="AA368" s="260"/>
      <c r="AB368" s="260"/>
      <c r="AC368" s="260"/>
      <c r="AD368" s="260"/>
      <c r="AE368" s="260"/>
      <c r="AF368" s="264"/>
      <c r="AG368" s="260"/>
      <c r="AH368" s="260"/>
      <c r="AI368" s="260"/>
    </row>
    <row r="369">
      <c r="A369" s="259"/>
      <c r="B369" s="260"/>
      <c r="C369" s="260"/>
      <c r="D369" s="260"/>
      <c r="E369" s="260"/>
      <c r="F369" s="260"/>
      <c r="G369" s="261"/>
      <c r="H369" s="259"/>
      <c r="I369" s="260"/>
      <c r="J369" s="260"/>
      <c r="K369" s="260"/>
      <c r="L369" s="260"/>
      <c r="M369" s="260"/>
      <c r="N369" s="262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3"/>
      <c r="Z369" s="260"/>
      <c r="AA369" s="260"/>
      <c r="AB369" s="260"/>
      <c r="AC369" s="260"/>
      <c r="AD369" s="260"/>
      <c r="AE369" s="260"/>
      <c r="AF369" s="264"/>
      <c r="AG369" s="260"/>
      <c r="AH369" s="260"/>
      <c r="AI369" s="260"/>
    </row>
    <row r="370">
      <c r="A370" s="259"/>
      <c r="B370" s="260"/>
      <c r="C370" s="260"/>
      <c r="D370" s="260"/>
      <c r="E370" s="260"/>
      <c r="F370" s="260"/>
      <c r="G370" s="261"/>
      <c r="H370" s="259"/>
      <c r="I370" s="260"/>
      <c r="J370" s="260"/>
      <c r="K370" s="260"/>
      <c r="L370" s="260"/>
      <c r="M370" s="260"/>
      <c r="N370" s="262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3"/>
      <c r="Z370" s="260"/>
      <c r="AA370" s="260"/>
      <c r="AB370" s="260"/>
      <c r="AC370" s="260"/>
      <c r="AD370" s="260"/>
      <c r="AE370" s="260"/>
      <c r="AF370" s="264"/>
      <c r="AG370" s="260"/>
      <c r="AH370" s="260"/>
      <c r="AI370" s="260"/>
    </row>
    <row r="371">
      <c r="A371" s="259"/>
      <c r="B371" s="260"/>
      <c r="C371" s="260"/>
      <c r="D371" s="260"/>
      <c r="E371" s="260"/>
      <c r="F371" s="260"/>
      <c r="G371" s="261"/>
      <c r="H371" s="259"/>
      <c r="I371" s="260"/>
      <c r="J371" s="260"/>
      <c r="K371" s="260"/>
      <c r="L371" s="260"/>
      <c r="M371" s="260"/>
      <c r="N371" s="262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3"/>
      <c r="Z371" s="260"/>
      <c r="AA371" s="260"/>
      <c r="AB371" s="260"/>
      <c r="AC371" s="260"/>
      <c r="AD371" s="260"/>
      <c r="AE371" s="260"/>
      <c r="AF371" s="264"/>
      <c r="AG371" s="260"/>
      <c r="AH371" s="260"/>
      <c r="AI371" s="260"/>
    </row>
    <row r="372">
      <c r="A372" s="259"/>
      <c r="B372" s="260"/>
      <c r="C372" s="260"/>
      <c r="D372" s="260"/>
      <c r="E372" s="260"/>
      <c r="F372" s="260"/>
      <c r="G372" s="261"/>
      <c r="H372" s="259"/>
      <c r="I372" s="260"/>
      <c r="J372" s="260"/>
      <c r="K372" s="260"/>
      <c r="L372" s="260"/>
      <c r="M372" s="260"/>
      <c r="N372" s="262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3"/>
      <c r="Z372" s="260"/>
      <c r="AA372" s="260"/>
      <c r="AB372" s="260"/>
      <c r="AC372" s="260"/>
      <c r="AD372" s="260"/>
      <c r="AE372" s="260"/>
      <c r="AF372" s="264"/>
      <c r="AG372" s="260"/>
      <c r="AH372" s="260"/>
      <c r="AI372" s="260"/>
    </row>
    <row r="373">
      <c r="A373" s="259"/>
      <c r="B373" s="260"/>
      <c r="C373" s="260"/>
      <c r="D373" s="260"/>
      <c r="E373" s="260"/>
      <c r="F373" s="260"/>
      <c r="G373" s="261"/>
      <c r="H373" s="259"/>
      <c r="I373" s="260"/>
      <c r="J373" s="260"/>
      <c r="K373" s="260"/>
      <c r="L373" s="260"/>
      <c r="M373" s="260"/>
      <c r="N373" s="262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3"/>
      <c r="Z373" s="260"/>
      <c r="AA373" s="260"/>
      <c r="AB373" s="260"/>
      <c r="AC373" s="260"/>
      <c r="AD373" s="260"/>
      <c r="AE373" s="260"/>
      <c r="AF373" s="264"/>
      <c r="AG373" s="260"/>
      <c r="AH373" s="260"/>
      <c r="AI373" s="260"/>
    </row>
    <row r="374">
      <c r="A374" s="259"/>
      <c r="B374" s="260"/>
      <c r="C374" s="260"/>
      <c r="D374" s="260"/>
      <c r="E374" s="260"/>
      <c r="F374" s="260"/>
      <c r="G374" s="261"/>
      <c r="H374" s="259"/>
      <c r="I374" s="260"/>
      <c r="J374" s="260"/>
      <c r="K374" s="260"/>
      <c r="L374" s="260"/>
      <c r="M374" s="260"/>
      <c r="N374" s="262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3"/>
      <c r="Z374" s="260"/>
      <c r="AA374" s="260"/>
      <c r="AB374" s="260"/>
      <c r="AC374" s="260"/>
      <c r="AD374" s="260"/>
      <c r="AE374" s="260"/>
      <c r="AF374" s="264"/>
      <c r="AG374" s="260"/>
      <c r="AH374" s="260"/>
      <c r="AI374" s="260"/>
    </row>
    <row r="375">
      <c r="A375" s="259"/>
      <c r="B375" s="260"/>
      <c r="C375" s="260"/>
      <c r="D375" s="260"/>
      <c r="E375" s="260"/>
      <c r="F375" s="260"/>
      <c r="G375" s="261"/>
      <c r="H375" s="259"/>
      <c r="I375" s="260"/>
      <c r="J375" s="260"/>
      <c r="K375" s="260"/>
      <c r="L375" s="260"/>
      <c r="M375" s="260"/>
      <c r="N375" s="262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3"/>
      <c r="Z375" s="260"/>
      <c r="AA375" s="260"/>
      <c r="AB375" s="260"/>
      <c r="AC375" s="260"/>
      <c r="AD375" s="260"/>
      <c r="AE375" s="260"/>
      <c r="AF375" s="264"/>
      <c r="AG375" s="260"/>
      <c r="AH375" s="260"/>
      <c r="AI375" s="260"/>
    </row>
    <row r="376">
      <c r="A376" s="259"/>
      <c r="B376" s="260"/>
      <c r="C376" s="260"/>
      <c r="D376" s="260"/>
      <c r="E376" s="260"/>
      <c r="F376" s="260"/>
      <c r="G376" s="261"/>
      <c r="H376" s="259"/>
      <c r="I376" s="260"/>
      <c r="J376" s="260"/>
      <c r="K376" s="260"/>
      <c r="L376" s="260"/>
      <c r="M376" s="260"/>
      <c r="N376" s="262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3"/>
      <c r="Z376" s="260"/>
      <c r="AA376" s="260"/>
      <c r="AB376" s="260"/>
      <c r="AC376" s="260"/>
      <c r="AD376" s="260"/>
      <c r="AE376" s="260"/>
      <c r="AF376" s="264"/>
      <c r="AG376" s="260"/>
      <c r="AH376" s="260"/>
      <c r="AI376" s="260"/>
    </row>
    <row r="377">
      <c r="A377" s="259"/>
      <c r="B377" s="260"/>
      <c r="C377" s="260"/>
      <c r="D377" s="260"/>
      <c r="E377" s="260"/>
      <c r="F377" s="260"/>
      <c r="G377" s="261"/>
      <c r="H377" s="259"/>
      <c r="I377" s="260"/>
      <c r="J377" s="260"/>
      <c r="K377" s="260"/>
      <c r="L377" s="260"/>
      <c r="M377" s="260"/>
      <c r="N377" s="262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3"/>
      <c r="Z377" s="260"/>
      <c r="AA377" s="260"/>
      <c r="AB377" s="260"/>
      <c r="AC377" s="260"/>
      <c r="AD377" s="260"/>
      <c r="AE377" s="260"/>
      <c r="AF377" s="264"/>
      <c r="AG377" s="260"/>
      <c r="AH377" s="260"/>
      <c r="AI377" s="260"/>
    </row>
    <row r="378">
      <c r="A378" s="259"/>
      <c r="B378" s="260"/>
      <c r="C378" s="260"/>
      <c r="D378" s="260"/>
      <c r="E378" s="260"/>
      <c r="F378" s="260"/>
      <c r="G378" s="261"/>
      <c r="H378" s="259"/>
      <c r="I378" s="260"/>
      <c r="J378" s="260"/>
      <c r="K378" s="260"/>
      <c r="L378" s="260"/>
      <c r="M378" s="260"/>
      <c r="N378" s="262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3"/>
      <c r="Z378" s="260"/>
      <c r="AA378" s="260"/>
      <c r="AB378" s="260"/>
      <c r="AC378" s="260"/>
      <c r="AD378" s="260"/>
      <c r="AE378" s="260"/>
      <c r="AF378" s="264"/>
      <c r="AG378" s="260"/>
      <c r="AH378" s="260"/>
      <c r="AI378" s="260"/>
    </row>
    <row r="379">
      <c r="A379" s="259"/>
      <c r="B379" s="260"/>
      <c r="C379" s="260"/>
      <c r="D379" s="260"/>
      <c r="E379" s="260"/>
      <c r="F379" s="260"/>
      <c r="G379" s="261"/>
      <c r="H379" s="259"/>
      <c r="I379" s="260"/>
      <c r="J379" s="260"/>
      <c r="K379" s="260"/>
      <c r="L379" s="260"/>
      <c r="M379" s="260"/>
      <c r="N379" s="262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3"/>
      <c r="Z379" s="260"/>
      <c r="AA379" s="260"/>
      <c r="AB379" s="260"/>
      <c r="AC379" s="260"/>
      <c r="AD379" s="260"/>
      <c r="AE379" s="260"/>
      <c r="AF379" s="264"/>
      <c r="AG379" s="260"/>
      <c r="AH379" s="260"/>
      <c r="AI379" s="260"/>
    </row>
    <row r="380">
      <c r="A380" s="259"/>
      <c r="B380" s="260"/>
      <c r="C380" s="260"/>
      <c r="D380" s="260"/>
      <c r="E380" s="260"/>
      <c r="F380" s="260"/>
      <c r="G380" s="261"/>
      <c r="H380" s="259"/>
      <c r="I380" s="260"/>
      <c r="J380" s="260"/>
      <c r="K380" s="260"/>
      <c r="L380" s="260"/>
      <c r="M380" s="260"/>
      <c r="N380" s="262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3"/>
      <c r="Z380" s="260"/>
      <c r="AA380" s="260"/>
      <c r="AB380" s="260"/>
      <c r="AC380" s="260"/>
      <c r="AD380" s="260"/>
      <c r="AE380" s="260"/>
      <c r="AF380" s="264"/>
      <c r="AG380" s="260"/>
      <c r="AH380" s="260"/>
      <c r="AI380" s="260"/>
    </row>
    <row r="381">
      <c r="A381" s="259"/>
      <c r="B381" s="260"/>
      <c r="C381" s="260"/>
      <c r="D381" s="260"/>
      <c r="E381" s="260"/>
      <c r="F381" s="260"/>
      <c r="G381" s="261"/>
      <c r="H381" s="259"/>
      <c r="I381" s="260"/>
      <c r="J381" s="260"/>
      <c r="K381" s="260"/>
      <c r="L381" s="260"/>
      <c r="M381" s="260"/>
      <c r="N381" s="262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3"/>
      <c r="Z381" s="260"/>
      <c r="AA381" s="260"/>
      <c r="AB381" s="260"/>
      <c r="AC381" s="260"/>
      <c r="AD381" s="260"/>
      <c r="AE381" s="260"/>
      <c r="AF381" s="264"/>
      <c r="AG381" s="260"/>
      <c r="AH381" s="260"/>
      <c r="AI381" s="260"/>
    </row>
    <row r="382">
      <c r="A382" s="259"/>
      <c r="B382" s="260"/>
      <c r="C382" s="260"/>
      <c r="D382" s="260"/>
      <c r="E382" s="260"/>
      <c r="F382" s="260"/>
      <c r="G382" s="261"/>
      <c r="H382" s="259"/>
      <c r="I382" s="260"/>
      <c r="J382" s="260"/>
      <c r="K382" s="260"/>
      <c r="L382" s="260"/>
      <c r="M382" s="260"/>
      <c r="N382" s="262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3"/>
      <c r="Z382" s="260"/>
      <c r="AA382" s="260"/>
      <c r="AB382" s="260"/>
      <c r="AC382" s="260"/>
      <c r="AD382" s="260"/>
      <c r="AE382" s="260"/>
      <c r="AF382" s="264"/>
      <c r="AG382" s="260"/>
      <c r="AH382" s="260"/>
      <c r="AI382" s="260"/>
    </row>
    <row r="383">
      <c r="A383" s="259"/>
      <c r="B383" s="260"/>
      <c r="C383" s="260"/>
      <c r="D383" s="260"/>
      <c r="E383" s="260"/>
      <c r="F383" s="260"/>
      <c r="G383" s="261"/>
      <c r="H383" s="259"/>
      <c r="I383" s="260"/>
      <c r="J383" s="260"/>
      <c r="K383" s="260"/>
      <c r="L383" s="260"/>
      <c r="M383" s="260"/>
      <c r="N383" s="262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3"/>
      <c r="Z383" s="260"/>
      <c r="AA383" s="260"/>
      <c r="AB383" s="260"/>
      <c r="AC383" s="260"/>
      <c r="AD383" s="260"/>
      <c r="AE383" s="260"/>
      <c r="AF383" s="264"/>
      <c r="AG383" s="260"/>
      <c r="AH383" s="260"/>
      <c r="AI383" s="260"/>
    </row>
    <row r="384">
      <c r="A384" s="259"/>
      <c r="B384" s="260"/>
      <c r="C384" s="260"/>
      <c r="D384" s="260"/>
      <c r="E384" s="260"/>
      <c r="F384" s="260"/>
      <c r="G384" s="261"/>
      <c r="H384" s="259"/>
      <c r="I384" s="260"/>
      <c r="J384" s="260"/>
      <c r="K384" s="260"/>
      <c r="L384" s="260"/>
      <c r="M384" s="260"/>
      <c r="N384" s="262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3"/>
      <c r="Z384" s="260"/>
      <c r="AA384" s="260"/>
      <c r="AB384" s="260"/>
      <c r="AC384" s="260"/>
      <c r="AD384" s="260"/>
      <c r="AE384" s="260"/>
      <c r="AF384" s="264"/>
      <c r="AG384" s="260"/>
      <c r="AH384" s="260"/>
      <c r="AI384" s="260"/>
    </row>
    <row r="385">
      <c r="A385" s="259"/>
      <c r="B385" s="260"/>
      <c r="C385" s="260"/>
      <c r="D385" s="260"/>
      <c r="E385" s="260"/>
      <c r="F385" s="260"/>
      <c r="G385" s="261"/>
      <c r="H385" s="259"/>
      <c r="I385" s="260"/>
      <c r="J385" s="260"/>
      <c r="K385" s="260"/>
      <c r="L385" s="260"/>
      <c r="M385" s="260"/>
      <c r="N385" s="262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3"/>
      <c r="Z385" s="260"/>
      <c r="AA385" s="260"/>
      <c r="AB385" s="260"/>
      <c r="AC385" s="260"/>
      <c r="AD385" s="260"/>
      <c r="AE385" s="260"/>
      <c r="AF385" s="264"/>
      <c r="AG385" s="260"/>
      <c r="AH385" s="260"/>
      <c r="AI385" s="260"/>
    </row>
    <row r="386">
      <c r="A386" s="259"/>
      <c r="B386" s="260"/>
      <c r="C386" s="260"/>
      <c r="D386" s="260"/>
      <c r="E386" s="260"/>
      <c r="F386" s="260"/>
      <c r="G386" s="261"/>
      <c r="H386" s="259"/>
      <c r="I386" s="260"/>
      <c r="J386" s="260"/>
      <c r="K386" s="260"/>
      <c r="L386" s="260"/>
      <c r="M386" s="260"/>
      <c r="N386" s="262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3"/>
      <c r="Z386" s="260"/>
      <c r="AA386" s="260"/>
      <c r="AB386" s="260"/>
      <c r="AC386" s="260"/>
      <c r="AD386" s="260"/>
      <c r="AE386" s="260"/>
      <c r="AF386" s="264"/>
      <c r="AG386" s="260"/>
      <c r="AH386" s="260"/>
      <c r="AI386" s="260"/>
    </row>
    <row r="387">
      <c r="A387" s="259"/>
      <c r="B387" s="260"/>
      <c r="C387" s="260"/>
      <c r="D387" s="260"/>
      <c r="E387" s="260"/>
      <c r="F387" s="260"/>
      <c r="G387" s="261"/>
      <c r="H387" s="259"/>
      <c r="I387" s="260"/>
      <c r="J387" s="260"/>
      <c r="K387" s="260"/>
      <c r="L387" s="260"/>
      <c r="M387" s="260"/>
      <c r="N387" s="262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3"/>
      <c r="Z387" s="260"/>
      <c r="AA387" s="260"/>
      <c r="AB387" s="260"/>
      <c r="AC387" s="260"/>
      <c r="AD387" s="260"/>
      <c r="AE387" s="260"/>
      <c r="AF387" s="264"/>
      <c r="AG387" s="260"/>
      <c r="AH387" s="260"/>
      <c r="AI387" s="260"/>
    </row>
    <row r="388">
      <c r="A388" s="259"/>
      <c r="B388" s="260"/>
      <c r="C388" s="260"/>
      <c r="D388" s="260"/>
      <c r="E388" s="260"/>
      <c r="F388" s="260"/>
      <c r="G388" s="261"/>
      <c r="H388" s="259"/>
      <c r="I388" s="260"/>
      <c r="J388" s="260"/>
      <c r="K388" s="260"/>
      <c r="L388" s="260"/>
      <c r="M388" s="260"/>
      <c r="N388" s="262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3"/>
      <c r="Z388" s="260"/>
      <c r="AA388" s="260"/>
      <c r="AB388" s="260"/>
      <c r="AC388" s="260"/>
      <c r="AD388" s="260"/>
      <c r="AE388" s="260"/>
      <c r="AF388" s="264"/>
      <c r="AG388" s="260"/>
      <c r="AH388" s="260"/>
      <c r="AI388" s="260"/>
    </row>
    <row r="389">
      <c r="A389" s="259"/>
      <c r="B389" s="260"/>
      <c r="C389" s="260"/>
      <c r="D389" s="260"/>
      <c r="E389" s="260"/>
      <c r="F389" s="260"/>
      <c r="G389" s="261"/>
      <c r="H389" s="259"/>
      <c r="I389" s="260"/>
      <c r="J389" s="260"/>
      <c r="K389" s="260"/>
      <c r="L389" s="260"/>
      <c r="M389" s="260"/>
      <c r="N389" s="262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3"/>
      <c r="Z389" s="260"/>
      <c r="AA389" s="260"/>
      <c r="AB389" s="260"/>
      <c r="AC389" s="260"/>
      <c r="AD389" s="260"/>
      <c r="AE389" s="260"/>
      <c r="AF389" s="264"/>
      <c r="AG389" s="260"/>
      <c r="AH389" s="260"/>
      <c r="AI389" s="260"/>
    </row>
    <row r="390">
      <c r="A390" s="259"/>
      <c r="B390" s="260"/>
      <c r="C390" s="260"/>
      <c r="D390" s="260"/>
      <c r="E390" s="260"/>
      <c r="F390" s="260"/>
      <c r="G390" s="261"/>
      <c r="H390" s="259"/>
      <c r="I390" s="260"/>
      <c r="J390" s="260"/>
      <c r="K390" s="260"/>
      <c r="L390" s="260"/>
      <c r="M390" s="260"/>
      <c r="N390" s="262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3"/>
      <c r="Z390" s="260"/>
      <c r="AA390" s="260"/>
      <c r="AB390" s="260"/>
      <c r="AC390" s="260"/>
      <c r="AD390" s="260"/>
      <c r="AE390" s="260"/>
      <c r="AF390" s="264"/>
      <c r="AG390" s="260"/>
      <c r="AH390" s="260"/>
      <c r="AI390" s="260"/>
    </row>
    <row r="391">
      <c r="A391" s="259"/>
      <c r="B391" s="260"/>
      <c r="C391" s="260"/>
      <c r="D391" s="260"/>
      <c r="E391" s="260"/>
      <c r="F391" s="260"/>
      <c r="G391" s="261"/>
      <c r="H391" s="259"/>
      <c r="I391" s="260"/>
      <c r="J391" s="260"/>
      <c r="K391" s="260"/>
      <c r="L391" s="260"/>
      <c r="M391" s="260"/>
      <c r="N391" s="262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3"/>
      <c r="Z391" s="260"/>
      <c r="AA391" s="260"/>
      <c r="AB391" s="260"/>
      <c r="AC391" s="260"/>
      <c r="AD391" s="260"/>
      <c r="AE391" s="260"/>
      <c r="AF391" s="264"/>
      <c r="AG391" s="260"/>
      <c r="AH391" s="260"/>
      <c r="AI391" s="260"/>
    </row>
    <row r="392">
      <c r="A392" s="259"/>
      <c r="B392" s="260"/>
      <c r="C392" s="260"/>
      <c r="D392" s="260"/>
      <c r="E392" s="260"/>
      <c r="F392" s="260"/>
      <c r="G392" s="261"/>
      <c r="H392" s="259"/>
      <c r="I392" s="260"/>
      <c r="J392" s="260"/>
      <c r="K392" s="260"/>
      <c r="L392" s="260"/>
      <c r="M392" s="260"/>
      <c r="N392" s="262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3"/>
      <c r="Z392" s="260"/>
      <c r="AA392" s="260"/>
      <c r="AB392" s="260"/>
      <c r="AC392" s="260"/>
      <c r="AD392" s="260"/>
      <c r="AE392" s="260"/>
      <c r="AF392" s="264"/>
      <c r="AG392" s="260"/>
      <c r="AH392" s="260"/>
      <c r="AI392" s="260"/>
    </row>
    <row r="393">
      <c r="A393" s="259"/>
      <c r="B393" s="260"/>
      <c r="C393" s="260"/>
      <c r="D393" s="260"/>
      <c r="E393" s="260"/>
      <c r="F393" s="260"/>
      <c r="G393" s="261"/>
      <c r="H393" s="259"/>
      <c r="I393" s="260"/>
      <c r="J393" s="260"/>
      <c r="K393" s="260"/>
      <c r="L393" s="260"/>
      <c r="M393" s="260"/>
      <c r="N393" s="262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3"/>
      <c r="Z393" s="260"/>
      <c r="AA393" s="260"/>
      <c r="AB393" s="260"/>
      <c r="AC393" s="260"/>
      <c r="AD393" s="260"/>
      <c r="AE393" s="260"/>
      <c r="AF393" s="264"/>
      <c r="AG393" s="260"/>
      <c r="AH393" s="260"/>
      <c r="AI393" s="260"/>
    </row>
    <row r="394">
      <c r="A394" s="259"/>
      <c r="B394" s="260"/>
      <c r="C394" s="260"/>
      <c r="D394" s="260"/>
      <c r="E394" s="260"/>
      <c r="F394" s="260"/>
      <c r="G394" s="261"/>
      <c r="H394" s="259"/>
      <c r="I394" s="260"/>
      <c r="J394" s="260"/>
      <c r="K394" s="260"/>
      <c r="L394" s="260"/>
      <c r="M394" s="260"/>
      <c r="N394" s="262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3"/>
      <c r="Z394" s="260"/>
      <c r="AA394" s="260"/>
      <c r="AB394" s="260"/>
      <c r="AC394" s="260"/>
      <c r="AD394" s="260"/>
      <c r="AE394" s="260"/>
      <c r="AF394" s="264"/>
      <c r="AG394" s="260"/>
      <c r="AH394" s="260"/>
      <c r="AI394" s="260"/>
    </row>
    <row r="395">
      <c r="A395" s="259"/>
      <c r="B395" s="260"/>
      <c r="C395" s="260"/>
      <c r="D395" s="260"/>
      <c r="E395" s="260"/>
      <c r="F395" s="260"/>
      <c r="G395" s="261"/>
      <c r="H395" s="259"/>
      <c r="I395" s="260"/>
      <c r="J395" s="260"/>
      <c r="K395" s="260"/>
      <c r="L395" s="260"/>
      <c r="M395" s="260"/>
      <c r="N395" s="262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3"/>
      <c r="Z395" s="260"/>
      <c r="AA395" s="260"/>
      <c r="AB395" s="260"/>
      <c r="AC395" s="260"/>
      <c r="AD395" s="260"/>
      <c r="AE395" s="260"/>
      <c r="AF395" s="264"/>
      <c r="AG395" s="260"/>
      <c r="AH395" s="260"/>
      <c r="AI395" s="260"/>
    </row>
    <row r="396">
      <c r="A396" s="259"/>
      <c r="B396" s="260"/>
      <c r="C396" s="260"/>
      <c r="D396" s="260"/>
      <c r="E396" s="260"/>
      <c r="F396" s="260"/>
      <c r="G396" s="261"/>
      <c r="H396" s="259"/>
      <c r="I396" s="260"/>
      <c r="J396" s="260"/>
      <c r="K396" s="260"/>
      <c r="L396" s="260"/>
      <c r="M396" s="260"/>
      <c r="N396" s="262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3"/>
      <c r="Z396" s="260"/>
      <c r="AA396" s="260"/>
      <c r="AB396" s="260"/>
      <c r="AC396" s="260"/>
      <c r="AD396" s="260"/>
      <c r="AE396" s="260"/>
      <c r="AF396" s="264"/>
      <c r="AG396" s="260"/>
      <c r="AH396" s="260"/>
      <c r="AI396" s="260"/>
    </row>
    <row r="397">
      <c r="A397" s="259"/>
      <c r="B397" s="260"/>
      <c r="C397" s="260"/>
      <c r="D397" s="260"/>
      <c r="E397" s="260"/>
      <c r="F397" s="260"/>
      <c r="G397" s="261"/>
      <c r="H397" s="259"/>
      <c r="I397" s="260"/>
      <c r="J397" s="260"/>
      <c r="K397" s="260"/>
      <c r="L397" s="260"/>
      <c r="M397" s="260"/>
      <c r="N397" s="262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3"/>
      <c r="Z397" s="260"/>
      <c r="AA397" s="260"/>
      <c r="AB397" s="260"/>
      <c r="AC397" s="260"/>
      <c r="AD397" s="260"/>
      <c r="AE397" s="260"/>
      <c r="AF397" s="264"/>
      <c r="AG397" s="260"/>
      <c r="AH397" s="260"/>
      <c r="AI397" s="260"/>
    </row>
    <row r="398">
      <c r="A398" s="259"/>
      <c r="B398" s="260"/>
      <c r="C398" s="260"/>
      <c r="D398" s="260"/>
      <c r="E398" s="260"/>
      <c r="F398" s="260"/>
      <c r="G398" s="261"/>
      <c r="H398" s="259"/>
      <c r="I398" s="260"/>
      <c r="J398" s="260"/>
      <c r="K398" s="260"/>
      <c r="L398" s="260"/>
      <c r="M398" s="260"/>
      <c r="N398" s="262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3"/>
      <c r="Z398" s="260"/>
      <c r="AA398" s="260"/>
      <c r="AB398" s="260"/>
      <c r="AC398" s="260"/>
      <c r="AD398" s="260"/>
      <c r="AE398" s="260"/>
      <c r="AF398" s="264"/>
      <c r="AG398" s="260"/>
      <c r="AH398" s="260"/>
      <c r="AI398" s="260"/>
    </row>
    <row r="399">
      <c r="A399" s="259"/>
      <c r="B399" s="260"/>
      <c r="C399" s="260"/>
      <c r="D399" s="260"/>
      <c r="E399" s="260"/>
      <c r="F399" s="260"/>
      <c r="G399" s="261"/>
      <c r="H399" s="259"/>
      <c r="I399" s="260"/>
      <c r="J399" s="260"/>
      <c r="K399" s="260"/>
      <c r="L399" s="260"/>
      <c r="M399" s="260"/>
      <c r="N399" s="262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3"/>
      <c r="Z399" s="260"/>
      <c r="AA399" s="260"/>
      <c r="AB399" s="260"/>
      <c r="AC399" s="260"/>
      <c r="AD399" s="260"/>
      <c r="AE399" s="260"/>
      <c r="AF399" s="264"/>
      <c r="AG399" s="260"/>
      <c r="AH399" s="260"/>
      <c r="AI399" s="260"/>
    </row>
    <row r="400">
      <c r="A400" s="259"/>
      <c r="B400" s="260"/>
      <c r="C400" s="260"/>
      <c r="D400" s="260"/>
      <c r="E400" s="260"/>
      <c r="F400" s="260"/>
      <c r="G400" s="261"/>
      <c r="H400" s="259"/>
      <c r="I400" s="260"/>
      <c r="J400" s="260"/>
      <c r="K400" s="260"/>
      <c r="L400" s="260"/>
      <c r="M400" s="260"/>
      <c r="N400" s="262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3"/>
      <c r="Z400" s="260"/>
      <c r="AA400" s="260"/>
      <c r="AB400" s="260"/>
      <c r="AC400" s="260"/>
      <c r="AD400" s="260"/>
      <c r="AE400" s="260"/>
      <c r="AF400" s="264"/>
      <c r="AG400" s="260"/>
      <c r="AH400" s="260"/>
      <c r="AI400" s="260"/>
    </row>
    <row r="401">
      <c r="A401" s="259"/>
      <c r="B401" s="260"/>
      <c r="C401" s="260"/>
      <c r="D401" s="260"/>
      <c r="E401" s="260"/>
      <c r="F401" s="260"/>
      <c r="G401" s="261"/>
      <c r="H401" s="259"/>
      <c r="I401" s="260"/>
      <c r="J401" s="260"/>
      <c r="K401" s="260"/>
      <c r="L401" s="260"/>
      <c r="M401" s="260"/>
      <c r="N401" s="262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3"/>
      <c r="Z401" s="260"/>
      <c r="AA401" s="260"/>
      <c r="AB401" s="260"/>
      <c r="AC401" s="260"/>
      <c r="AD401" s="260"/>
      <c r="AE401" s="260"/>
      <c r="AF401" s="264"/>
      <c r="AG401" s="260"/>
      <c r="AH401" s="260"/>
      <c r="AI401" s="260"/>
    </row>
    <row r="402">
      <c r="A402" s="259"/>
      <c r="B402" s="260"/>
      <c r="C402" s="260"/>
      <c r="D402" s="260"/>
      <c r="E402" s="260"/>
      <c r="F402" s="260"/>
      <c r="G402" s="261"/>
      <c r="H402" s="259"/>
      <c r="I402" s="260"/>
      <c r="J402" s="260"/>
      <c r="K402" s="260"/>
      <c r="L402" s="260"/>
      <c r="M402" s="260"/>
      <c r="N402" s="262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3"/>
      <c r="Z402" s="260"/>
      <c r="AA402" s="260"/>
      <c r="AB402" s="260"/>
      <c r="AC402" s="260"/>
      <c r="AD402" s="260"/>
      <c r="AE402" s="260"/>
      <c r="AF402" s="264"/>
      <c r="AG402" s="260"/>
      <c r="AH402" s="260"/>
      <c r="AI402" s="260"/>
    </row>
    <row r="403">
      <c r="A403" s="259"/>
      <c r="B403" s="260"/>
      <c r="C403" s="260"/>
      <c r="D403" s="260"/>
      <c r="E403" s="260"/>
      <c r="F403" s="260"/>
      <c r="G403" s="261"/>
      <c r="H403" s="259"/>
      <c r="I403" s="260"/>
      <c r="J403" s="260"/>
      <c r="K403" s="260"/>
      <c r="L403" s="260"/>
      <c r="M403" s="260"/>
      <c r="N403" s="262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3"/>
      <c r="Z403" s="260"/>
      <c r="AA403" s="260"/>
      <c r="AB403" s="260"/>
      <c r="AC403" s="260"/>
      <c r="AD403" s="260"/>
      <c r="AE403" s="260"/>
      <c r="AF403" s="264"/>
      <c r="AG403" s="260"/>
      <c r="AH403" s="260"/>
      <c r="AI403" s="260"/>
    </row>
    <row r="404">
      <c r="A404" s="259"/>
      <c r="B404" s="260"/>
      <c r="C404" s="260"/>
      <c r="D404" s="260"/>
      <c r="E404" s="260"/>
      <c r="F404" s="260"/>
      <c r="G404" s="261"/>
      <c r="H404" s="259"/>
      <c r="I404" s="260"/>
      <c r="J404" s="260"/>
      <c r="K404" s="260"/>
      <c r="L404" s="260"/>
      <c r="M404" s="260"/>
      <c r="N404" s="262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3"/>
      <c r="Z404" s="260"/>
      <c r="AA404" s="260"/>
      <c r="AB404" s="260"/>
      <c r="AC404" s="260"/>
      <c r="AD404" s="260"/>
      <c r="AE404" s="260"/>
      <c r="AF404" s="264"/>
      <c r="AG404" s="260"/>
      <c r="AH404" s="260"/>
      <c r="AI404" s="260"/>
    </row>
    <row r="405">
      <c r="A405" s="259"/>
      <c r="B405" s="260"/>
      <c r="C405" s="260"/>
      <c r="D405" s="260"/>
      <c r="E405" s="260"/>
      <c r="F405" s="260"/>
      <c r="G405" s="261"/>
      <c r="H405" s="259"/>
      <c r="I405" s="260"/>
      <c r="J405" s="260"/>
      <c r="K405" s="260"/>
      <c r="L405" s="260"/>
      <c r="M405" s="260"/>
      <c r="N405" s="262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3"/>
      <c r="Z405" s="260"/>
      <c r="AA405" s="260"/>
      <c r="AB405" s="260"/>
      <c r="AC405" s="260"/>
      <c r="AD405" s="260"/>
      <c r="AE405" s="260"/>
      <c r="AF405" s="264"/>
      <c r="AG405" s="260"/>
      <c r="AH405" s="260"/>
      <c r="AI405" s="260"/>
    </row>
    <row r="406">
      <c r="A406" s="259"/>
      <c r="B406" s="260"/>
      <c r="C406" s="260"/>
      <c r="D406" s="260"/>
      <c r="E406" s="260"/>
      <c r="F406" s="260"/>
      <c r="G406" s="261"/>
      <c r="H406" s="259"/>
      <c r="I406" s="260"/>
      <c r="J406" s="260"/>
      <c r="K406" s="260"/>
      <c r="L406" s="260"/>
      <c r="M406" s="260"/>
      <c r="N406" s="262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3"/>
      <c r="Z406" s="260"/>
      <c r="AA406" s="260"/>
      <c r="AB406" s="260"/>
      <c r="AC406" s="260"/>
      <c r="AD406" s="260"/>
      <c r="AE406" s="260"/>
      <c r="AF406" s="264"/>
      <c r="AG406" s="260"/>
      <c r="AH406" s="260"/>
      <c r="AI406" s="260"/>
    </row>
    <row r="407">
      <c r="A407" s="259"/>
      <c r="B407" s="260"/>
      <c r="C407" s="260"/>
      <c r="D407" s="260"/>
      <c r="E407" s="260"/>
      <c r="F407" s="260"/>
      <c r="G407" s="261"/>
      <c r="H407" s="259"/>
      <c r="I407" s="260"/>
      <c r="J407" s="260"/>
      <c r="K407" s="260"/>
      <c r="L407" s="260"/>
      <c r="M407" s="260"/>
      <c r="N407" s="262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3"/>
      <c r="Z407" s="260"/>
      <c r="AA407" s="260"/>
      <c r="AB407" s="260"/>
      <c r="AC407" s="260"/>
      <c r="AD407" s="260"/>
      <c r="AE407" s="260"/>
      <c r="AF407" s="264"/>
      <c r="AG407" s="260"/>
      <c r="AH407" s="260"/>
      <c r="AI407" s="260"/>
    </row>
    <row r="408">
      <c r="A408" s="259"/>
      <c r="B408" s="260"/>
      <c r="C408" s="260"/>
      <c r="D408" s="260"/>
      <c r="E408" s="260"/>
      <c r="F408" s="260"/>
      <c r="G408" s="261"/>
      <c r="H408" s="259"/>
      <c r="I408" s="260"/>
      <c r="J408" s="260"/>
      <c r="K408" s="260"/>
      <c r="L408" s="260"/>
      <c r="M408" s="260"/>
      <c r="N408" s="262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3"/>
      <c r="Z408" s="260"/>
      <c r="AA408" s="260"/>
      <c r="AB408" s="260"/>
      <c r="AC408" s="260"/>
      <c r="AD408" s="260"/>
      <c r="AE408" s="260"/>
      <c r="AF408" s="264"/>
      <c r="AG408" s="260"/>
      <c r="AH408" s="260"/>
      <c r="AI408" s="260"/>
    </row>
    <row r="409">
      <c r="A409" s="259"/>
      <c r="B409" s="260"/>
      <c r="C409" s="260"/>
      <c r="D409" s="260"/>
      <c r="E409" s="260"/>
      <c r="F409" s="260"/>
      <c r="G409" s="261"/>
      <c r="H409" s="259"/>
      <c r="I409" s="260"/>
      <c r="J409" s="260"/>
      <c r="K409" s="260"/>
      <c r="L409" s="260"/>
      <c r="M409" s="260"/>
      <c r="N409" s="262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3"/>
      <c r="Z409" s="260"/>
      <c r="AA409" s="260"/>
      <c r="AB409" s="260"/>
      <c r="AC409" s="260"/>
      <c r="AD409" s="260"/>
      <c r="AE409" s="260"/>
      <c r="AF409" s="264"/>
      <c r="AG409" s="260"/>
      <c r="AH409" s="260"/>
      <c r="AI409" s="260"/>
    </row>
    <row r="410">
      <c r="A410" s="259"/>
      <c r="B410" s="260"/>
      <c r="C410" s="260"/>
      <c r="D410" s="260"/>
      <c r="E410" s="260"/>
      <c r="F410" s="260"/>
      <c r="G410" s="261"/>
      <c r="H410" s="259"/>
      <c r="I410" s="260"/>
      <c r="J410" s="260"/>
      <c r="K410" s="260"/>
      <c r="L410" s="260"/>
      <c r="M410" s="260"/>
      <c r="N410" s="262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3"/>
      <c r="Z410" s="260"/>
      <c r="AA410" s="260"/>
      <c r="AB410" s="260"/>
      <c r="AC410" s="260"/>
      <c r="AD410" s="260"/>
      <c r="AE410" s="260"/>
      <c r="AF410" s="264"/>
      <c r="AG410" s="260"/>
      <c r="AH410" s="260"/>
      <c r="AI410" s="260"/>
    </row>
    <row r="411">
      <c r="A411" s="259"/>
      <c r="B411" s="260"/>
      <c r="C411" s="260"/>
      <c r="D411" s="260"/>
      <c r="E411" s="260"/>
      <c r="F411" s="260"/>
      <c r="G411" s="261"/>
      <c r="H411" s="259"/>
      <c r="I411" s="260"/>
      <c r="J411" s="260"/>
      <c r="K411" s="260"/>
      <c r="L411" s="260"/>
      <c r="M411" s="260"/>
      <c r="N411" s="262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3"/>
      <c r="Z411" s="260"/>
      <c r="AA411" s="260"/>
      <c r="AB411" s="260"/>
      <c r="AC411" s="260"/>
      <c r="AD411" s="260"/>
      <c r="AE411" s="260"/>
      <c r="AF411" s="264"/>
      <c r="AG411" s="260"/>
      <c r="AH411" s="260"/>
      <c r="AI411" s="260"/>
    </row>
    <row r="412">
      <c r="A412" s="259"/>
      <c r="B412" s="260"/>
      <c r="C412" s="260"/>
      <c r="D412" s="260"/>
      <c r="E412" s="260"/>
      <c r="F412" s="260"/>
      <c r="G412" s="261"/>
      <c r="H412" s="259"/>
      <c r="I412" s="260"/>
      <c r="J412" s="260"/>
      <c r="K412" s="260"/>
      <c r="L412" s="260"/>
      <c r="M412" s="260"/>
      <c r="N412" s="262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3"/>
      <c r="Z412" s="260"/>
      <c r="AA412" s="260"/>
      <c r="AB412" s="260"/>
      <c r="AC412" s="260"/>
      <c r="AD412" s="260"/>
      <c r="AE412" s="260"/>
      <c r="AF412" s="264"/>
      <c r="AG412" s="260"/>
      <c r="AH412" s="260"/>
      <c r="AI412" s="260"/>
    </row>
    <row r="413">
      <c r="A413" s="259"/>
      <c r="B413" s="260"/>
      <c r="C413" s="260"/>
      <c r="D413" s="260"/>
      <c r="E413" s="260"/>
      <c r="F413" s="260"/>
      <c r="G413" s="261"/>
      <c r="H413" s="259"/>
      <c r="I413" s="260"/>
      <c r="J413" s="260"/>
      <c r="K413" s="260"/>
      <c r="L413" s="260"/>
      <c r="M413" s="260"/>
      <c r="N413" s="262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3"/>
      <c r="Z413" s="260"/>
      <c r="AA413" s="260"/>
      <c r="AB413" s="260"/>
      <c r="AC413" s="260"/>
      <c r="AD413" s="260"/>
      <c r="AE413" s="260"/>
      <c r="AF413" s="264"/>
      <c r="AG413" s="260"/>
      <c r="AH413" s="260"/>
      <c r="AI413" s="260"/>
    </row>
    <row r="414">
      <c r="A414" s="259"/>
      <c r="B414" s="260"/>
      <c r="C414" s="260"/>
      <c r="D414" s="260"/>
      <c r="E414" s="260"/>
      <c r="F414" s="260"/>
      <c r="G414" s="261"/>
      <c r="H414" s="259"/>
      <c r="I414" s="260"/>
      <c r="J414" s="260"/>
      <c r="K414" s="260"/>
      <c r="L414" s="260"/>
      <c r="M414" s="260"/>
      <c r="N414" s="262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3"/>
      <c r="Z414" s="260"/>
      <c r="AA414" s="260"/>
      <c r="AB414" s="260"/>
      <c r="AC414" s="260"/>
      <c r="AD414" s="260"/>
      <c r="AE414" s="260"/>
      <c r="AF414" s="264"/>
      <c r="AG414" s="260"/>
      <c r="AH414" s="260"/>
      <c r="AI414" s="260"/>
    </row>
    <row r="415">
      <c r="A415" s="259"/>
      <c r="B415" s="260"/>
      <c r="C415" s="260"/>
      <c r="D415" s="260"/>
      <c r="E415" s="260"/>
      <c r="F415" s="260"/>
      <c r="G415" s="261"/>
      <c r="H415" s="259"/>
      <c r="I415" s="260"/>
      <c r="J415" s="260"/>
      <c r="K415" s="260"/>
      <c r="L415" s="260"/>
      <c r="M415" s="260"/>
      <c r="N415" s="262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3"/>
      <c r="Z415" s="260"/>
      <c r="AA415" s="260"/>
      <c r="AB415" s="260"/>
      <c r="AC415" s="260"/>
      <c r="AD415" s="260"/>
      <c r="AE415" s="260"/>
      <c r="AF415" s="264"/>
      <c r="AG415" s="260"/>
      <c r="AH415" s="260"/>
      <c r="AI415" s="260"/>
    </row>
    <row r="416">
      <c r="A416" s="259"/>
      <c r="B416" s="260"/>
      <c r="C416" s="260"/>
      <c r="D416" s="260"/>
      <c r="E416" s="260"/>
      <c r="F416" s="260"/>
      <c r="G416" s="261"/>
      <c r="H416" s="259"/>
      <c r="I416" s="260"/>
      <c r="J416" s="260"/>
      <c r="K416" s="260"/>
      <c r="L416" s="260"/>
      <c r="M416" s="260"/>
      <c r="N416" s="262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3"/>
      <c r="Z416" s="260"/>
      <c r="AA416" s="260"/>
      <c r="AB416" s="260"/>
      <c r="AC416" s="260"/>
      <c r="AD416" s="260"/>
      <c r="AE416" s="260"/>
      <c r="AF416" s="264"/>
      <c r="AG416" s="260"/>
      <c r="AH416" s="260"/>
      <c r="AI416" s="260"/>
    </row>
    <row r="417">
      <c r="A417" s="259"/>
      <c r="B417" s="260"/>
      <c r="C417" s="260"/>
      <c r="D417" s="260"/>
      <c r="E417" s="260"/>
      <c r="F417" s="260"/>
      <c r="G417" s="261"/>
      <c r="H417" s="259"/>
      <c r="I417" s="260"/>
      <c r="J417" s="260"/>
      <c r="K417" s="260"/>
      <c r="L417" s="260"/>
      <c r="M417" s="260"/>
      <c r="N417" s="262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3"/>
      <c r="Z417" s="260"/>
      <c r="AA417" s="260"/>
      <c r="AB417" s="260"/>
      <c r="AC417" s="260"/>
      <c r="AD417" s="260"/>
      <c r="AE417" s="260"/>
      <c r="AF417" s="264"/>
      <c r="AG417" s="260"/>
      <c r="AH417" s="260"/>
      <c r="AI417" s="260"/>
    </row>
    <row r="418">
      <c r="A418" s="259"/>
      <c r="B418" s="260"/>
      <c r="C418" s="260"/>
      <c r="D418" s="260"/>
      <c r="E418" s="260"/>
      <c r="F418" s="260"/>
      <c r="G418" s="261"/>
      <c r="H418" s="259"/>
      <c r="I418" s="260"/>
      <c r="J418" s="260"/>
      <c r="K418" s="260"/>
      <c r="L418" s="260"/>
      <c r="M418" s="260"/>
      <c r="N418" s="262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3"/>
      <c r="Z418" s="260"/>
      <c r="AA418" s="260"/>
      <c r="AB418" s="260"/>
      <c r="AC418" s="260"/>
      <c r="AD418" s="260"/>
      <c r="AE418" s="260"/>
      <c r="AF418" s="264"/>
      <c r="AG418" s="260"/>
      <c r="AH418" s="260"/>
      <c r="AI418" s="260"/>
    </row>
    <row r="419">
      <c r="A419" s="259"/>
      <c r="B419" s="260"/>
      <c r="C419" s="260"/>
      <c r="D419" s="260"/>
      <c r="E419" s="260"/>
      <c r="F419" s="260"/>
      <c r="G419" s="261"/>
      <c r="H419" s="259"/>
      <c r="I419" s="260"/>
      <c r="J419" s="260"/>
      <c r="K419" s="260"/>
      <c r="L419" s="260"/>
      <c r="M419" s="260"/>
      <c r="N419" s="262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3"/>
      <c r="Z419" s="260"/>
      <c r="AA419" s="260"/>
      <c r="AB419" s="260"/>
      <c r="AC419" s="260"/>
      <c r="AD419" s="260"/>
      <c r="AE419" s="260"/>
      <c r="AF419" s="264"/>
      <c r="AG419" s="260"/>
      <c r="AH419" s="260"/>
      <c r="AI419" s="260"/>
    </row>
    <row r="420">
      <c r="A420" s="259"/>
      <c r="B420" s="260"/>
      <c r="C420" s="260"/>
      <c r="D420" s="260"/>
      <c r="E420" s="260"/>
      <c r="F420" s="260"/>
      <c r="G420" s="261"/>
      <c r="H420" s="259"/>
      <c r="I420" s="260"/>
      <c r="J420" s="260"/>
      <c r="K420" s="260"/>
      <c r="L420" s="260"/>
      <c r="M420" s="260"/>
      <c r="N420" s="262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3"/>
      <c r="Z420" s="260"/>
      <c r="AA420" s="260"/>
      <c r="AB420" s="260"/>
      <c r="AC420" s="260"/>
      <c r="AD420" s="260"/>
      <c r="AE420" s="260"/>
      <c r="AF420" s="264"/>
      <c r="AG420" s="260"/>
      <c r="AH420" s="260"/>
      <c r="AI420" s="260"/>
    </row>
    <row r="421">
      <c r="A421" s="259"/>
      <c r="B421" s="260"/>
      <c r="C421" s="260"/>
      <c r="D421" s="260"/>
      <c r="E421" s="260"/>
      <c r="F421" s="260"/>
      <c r="G421" s="261"/>
      <c r="H421" s="259"/>
      <c r="I421" s="260"/>
      <c r="J421" s="260"/>
      <c r="K421" s="260"/>
      <c r="L421" s="260"/>
      <c r="M421" s="260"/>
      <c r="N421" s="262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3"/>
      <c r="Z421" s="260"/>
      <c r="AA421" s="260"/>
      <c r="AB421" s="260"/>
      <c r="AC421" s="260"/>
      <c r="AD421" s="260"/>
      <c r="AE421" s="260"/>
      <c r="AF421" s="264"/>
      <c r="AG421" s="260"/>
      <c r="AH421" s="260"/>
      <c r="AI421" s="260"/>
    </row>
    <row r="422">
      <c r="A422" s="259"/>
      <c r="B422" s="260"/>
      <c r="C422" s="260"/>
      <c r="D422" s="260"/>
      <c r="E422" s="260"/>
      <c r="F422" s="260"/>
      <c r="G422" s="261"/>
      <c r="H422" s="259"/>
      <c r="I422" s="260"/>
      <c r="J422" s="260"/>
      <c r="K422" s="260"/>
      <c r="L422" s="260"/>
      <c r="M422" s="260"/>
      <c r="N422" s="262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3"/>
      <c r="Z422" s="260"/>
      <c r="AA422" s="260"/>
      <c r="AB422" s="260"/>
      <c r="AC422" s="260"/>
      <c r="AD422" s="260"/>
      <c r="AE422" s="260"/>
      <c r="AF422" s="264"/>
      <c r="AG422" s="260"/>
      <c r="AH422" s="260"/>
      <c r="AI422" s="260"/>
    </row>
    <row r="423">
      <c r="A423" s="259"/>
      <c r="B423" s="260"/>
      <c r="C423" s="260"/>
      <c r="D423" s="260"/>
      <c r="E423" s="260"/>
      <c r="F423" s="260"/>
      <c r="G423" s="261"/>
      <c r="H423" s="259"/>
      <c r="I423" s="260"/>
      <c r="J423" s="260"/>
      <c r="K423" s="260"/>
      <c r="L423" s="260"/>
      <c r="M423" s="260"/>
      <c r="N423" s="262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3"/>
      <c r="Z423" s="260"/>
      <c r="AA423" s="260"/>
      <c r="AB423" s="260"/>
      <c r="AC423" s="260"/>
      <c r="AD423" s="260"/>
      <c r="AE423" s="260"/>
      <c r="AF423" s="264"/>
      <c r="AG423" s="260"/>
      <c r="AH423" s="260"/>
      <c r="AI423" s="260"/>
    </row>
    <row r="424">
      <c r="A424" s="259"/>
      <c r="B424" s="260"/>
      <c r="C424" s="260"/>
      <c r="D424" s="260"/>
      <c r="E424" s="260"/>
      <c r="F424" s="260"/>
      <c r="G424" s="261"/>
      <c r="H424" s="259"/>
      <c r="I424" s="260"/>
      <c r="J424" s="260"/>
      <c r="K424" s="260"/>
      <c r="L424" s="260"/>
      <c r="M424" s="260"/>
      <c r="N424" s="262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3"/>
      <c r="Z424" s="260"/>
      <c r="AA424" s="260"/>
      <c r="AB424" s="260"/>
      <c r="AC424" s="260"/>
      <c r="AD424" s="260"/>
      <c r="AE424" s="260"/>
      <c r="AF424" s="264"/>
      <c r="AG424" s="260"/>
      <c r="AH424" s="260"/>
      <c r="AI424" s="260"/>
    </row>
    <row r="425">
      <c r="A425" s="259"/>
      <c r="B425" s="260"/>
      <c r="C425" s="260"/>
      <c r="D425" s="260"/>
      <c r="E425" s="260"/>
      <c r="F425" s="260"/>
      <c r="G425" s="261"/>
      <c r="H425" s="259"/>
      <c r="I425" s="260"/>
      <c r="J425" s="260"/>
      <c r="K425" s="260"/>
      <c r="L425" s="260"/>
      <c r="M425" s="260"/>
      <c r="N425" s="262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3"/>
      <c r="Z425" s="260"/>
      <c r="AA425" s="260"/>
      <c r="AB425" s="260"/>
      <c r="AC425" s="260"/>
      <c r="AD425" s="260"/>
      <c r="AE425" s="260"/>
      <c r="AF425" s="264"/>
      <c r="AG425" s="260"/>
      <c r="AH425" s="260"/>
      <c r="AI425" s="260"/>
    </row>
    <row r="426">
      <c r="A426" s="259"/>
      <c r="B426" s="260"/>
      <c r="C426" s="260"/>
      <c r="D426" s="260"/>
      <c r="E426" s="260"/>
      <c r="F426" s="260"/>
      <c r="G426" s="261"/>
      <c r="H426" s="259"/>
      <c r="I426" s="260"/>
      <c r="J426" s="260"/>
      <c r="K426" s="260"/>
      <c r="L426" s="260"/>
      <c r="M426" s="260"/>
      <c r="N426" s="262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3"/>
      <c r="Z426" s="260"/>
      <c r="AA426" s="260"/>
      <c r="AB426" s="260"/>
      <c r="AC426" s="260"/>
      <c r="AD426" s="260"/>
      <c r="AE426" s="260"/>
      <c r="AF426" s="264"/>
      <c r="AG426" s="260"/>
      <c r="AH426" s="260"/>
      <c r="AI426" s="260"/>
    </row>
    <row r="427">
      <c r="A427" s="259"/>
      <c r="B427" s="260"/>
      <c r="C427" s="260"/>
      <c r="D427" s="260"/>
      <c r="E427" s="260"/>
      <c r="F427" s="260"/>
      <c r="G427" s="261"/>
      <c r="H427" s="259"/>
      <c r="I427" s="260"/>
      <c r="J427" s="260"/>
      <c r="K427" s="260"/>
      <c r="L427" s="260"/>
      <c r="M427" s="260"/>
      <c r="N427" s="262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3"/>
      <c r="Z427" s="260"/>
      <c r="AA427" s="260"/>
      <c r="AB427" s="260"/>
      <c r="AC427" s="260"/>
      <c r="AD427" s="260"/>
      <c r="AE427" s="260"/>
      <c r="AF427" s="264"/>
      <c r="AG427" s="260"/>
      <c r="AH427" s="260"/>
      <c r="AI427" s="260"/>
    </row>
    <row r="428">
      <c r="A428" s="259"/>
      <c r="B428" s="260"/>
      <c r="C428" s="260"/>
      <c r="D428" s="260"/>
      <c r="E428" s="260"/>
      <c r="F428" s="260"/>
      <c r="G428" s="261"/>
      <c r="H428" s="259"/>
      <c r="I428" s="260"/>
      <c r="J428" s="260"/>
      <c r="K428" s="260"/>
      <c r="L428" s="260"/>
      <c r="M428" s="260"/>
      <c r="N428" s="262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3"/>
      <c r="Z428" s="260"/>
      <c r="AA428" s="260"/>
      <c r="AB428" s="260"/>
      <c r="AC428" s="260"/>
      <c r="AD428" s="260"/>
      <c r="AE428" s="260"/>
      <c r="AF428" s="264"/>
      <c r="AG428" s="260"/>
      <c r="AH428" s="260"/>
      <c r="AI428" s="260"/>
    </row>
    <row r="429">
      <c r="A429" s="259"/>
      <c r="B429" s="260"/>
      <c r="C429" s="260"/>
      <c r="D429" s="260"/>
      <c r="E429" s="260"/>
      <c r="F429" s="260"/>
      <c r="G429" s="261"/>
      <c r="H429" s="259"/>
      <c r="I429" s="260"/>
      <c r="J429" s="260"/>
      <c r="K429" s="260"/>
      <c r="L429" s="260"/>
      <c r="M429" s="260"/>
      <c r="N429" s="262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3"/>
      <c r="Z429" s="260"/>
      <c r="AA429" s="260"/>
      <c r="AB429" s="260"/>
      <c r="AC429" s="260"/>
      <c r="AD429" s="260"/>
      <c r="AE429" s="260"/>
      <c r="AF429" s="264"/>
      <c r="AG429" s="260"/>
      <c r="AH429" s="260"/>
      <c r="AI429" s="260"/>
    </row>
    <row r="430">
      <c r="A430" s="259"/>
      <c r="B430" s="260"/>
      <c r="C430" s="260"/>
      <c r="D430" s="260"/>
      <c r="E430" s="260"/>
      <c r="F430" s="260"/>
      <c r="G430" s="261"/>
      <c r="H430" s="259"/>
      <c r="I430" s="260"/>
      <c r="J430" s="260"/>
      <c r="K430" s="260"/>
      <c r="L430" s="260"/>
      <c r="M430" s="260"/>
      <c r="N430" s="262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3"/>
      <c r="Z430" s="260"/>
      <c r="AA430" s="260"/>
      <c r="AB430" s="260"/>
      <c r="AC430" s="260"/>
      <c r="AD430" s="260"/>
      <c r="AE430" s="260"/>
      <c r="AF430" s="264"/>
      <c r="AG430" s="260"/>
      <c r="AH430" s="260"/>
      <c r="AI430" s="260"/>
    </row>
    <row r="431">
      <c r="A431" s="259"/>
      <c r="B431" s="260"/>
      <c r="C431" s="260"/>
      <c r="D431" s="260"/>
      <c r="E431" s="260"/>
      <c r="F431" s="260"/>
      <c r="G431" s="261"/>
      <c r="H431" s="259"/>
      <c r="I431" s="260"/>
      <c r="J431" s="260"/>
      <c r="K431" s="260"/>
      <c r="L431" s="260"/>
      <c r="M431" s="260"/>
      <c r="N431" s="262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3"/>
      <c r="Z431" s="260"/>
      <c r="AA431" s="260"/>
      <c r="AB431" s="260"/>
      <c r="AC431" s="260"/>
      <c r="AD431" s="260"/>
      <c r="AE431" s="260"/>
      <c r="AF431" s="264"/>
      <c r="AG431" s="260"/>
      <c r="AH431" s="260"/>
      <c r="AI431" s="260"/>
    </row>
    <row r="432">
      <c r="A432" s="259"/>
      <c r="B432" s="260"/>
      <c r="C432" s="260"/>
      <c r="D432" s="260"/>
      <c r="E432" s="260"/>
      <c r="F432" s="260"/>
      <c r="G432" s="261"/>
      <c r="H432" s="259"/>
      <c r="I432" s="260"/>
      <c r="J432" s="260"/>
      <c r="K432" s="260"/>
      <c r="L432" s="260"/>
      <c r="M432" s="260"/>
      <c r="N432" s="262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3"/>
      <c r="Z432" s="260"/>
      <c r="AA432" s="260"/>
      <c r="AB432" s="260"/>
      <c r="AC432" s="260"/>
      <c r="AD432" s="260"/>
      <c r="AE432" s="260"/>
      <c r="AF432" s="264"/>
      <c r="AG432" s="260"/>
      <c r="AH432" s="260"/>
      <c r="AI432" s="260"/>
    </row>
    <row r="433">
      <c r="A433" s="259"/>
      <c r="B433" s="260"/>
      <c r="C433" s="260"/>
      <c r="D433" s="260"/>
      <c r="E433" s="260"/>
      <c r="F433" s="260"/>
      <c r="G433" s="261"/>
      <c r="H433" s="259"/>
      <c r="I433" s="260"/>
      <c r="J433" s="260"/>
      <c r="K433" s="260"/>
      <c r="L433" s="260"/>
      <c r="M433" s="260"/>
      <c r="N433" s="262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3"/>
      <c r="Z433" s="260"/>
      <c r="AA433" s="260"/>
      <c r="AB433" s="260"/>
      <c r="AC433" s="260"/>
      <c r="AD433" s="260"/>
      <c r="AE433" s="260"/>
      <c r="AF433" s="264"/>
      <c r="AG433" s="260"/>
      <c r="AH433" s="260"/>
      <c r="AI433" s="260"/>
    </row>
    <row r="434">
      <c r="A434" s="259"/>
      <c r="B434" s="260"/>
      <c r="C434" s="260"/>
      <c r="D434" s="260"/>
      <c r="E434" s="260"/>
      <c r="F434" s="260"/>
      <c r="G434" s="261"/>
      <c r="H434" s="259"/>
      <c r="I434" s="260"/>
      <c r="J434" s="260"/>
      <c r="K434" s="260"/>
      <c r="L434" s="260"/>
      <c r="M434" s="260"/>
      <c r="N434" s="262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3"/>
      <c r="Z434" s="260"/>
      <c r="AA434" s="260"/>
      <c r="AB434" s="260"/>
      <c r="AC434" s="260"/>
      <c r="AD434" s="260"/>
      <c r="AE434" s="260"/>
      <c r="AF434" s="264"/>
      <c r="AG434" s="260"/>
      <c r="AH434" s="260"/>
      <c r="AI434" s="260"/>
    </row>
    <row r="435">
      <c r="A435" s="259"/>
      <c r="B435" s="260"/>
      <c r="C435" s="260"/>
      <c r="D435" s="260"/>
      <c r="E435" s="260"/>
      <c r="F435" s="260"/>
      <c r="G435" s="261"/>
      <c r="H435" s="259"/>
      <c r="I435" s="260"/>
      <c r="J435" s="260"/>
      <c r="K435" s="260"/>
      <c r="L435" s="260"/>
      <c r="M435" s="260"/>
      <c r="N435" s="262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3"/>
      <c r="Z435" s="260"/>
      <c r="AA435" s="260"/>
      <c r="AB435" s="260"/>
      <c r="AC435" s="260"/>
      <c r="AD435" s="260"/>
      <c r="AE435" s="260"/>
      <c r="AF435" s="264"/>
      <c r="AG435" s="260"/>
      <c r="AH435" s="260"/>
      <c r="AI435" s="260"/>
    </row>
    <row r="436">
      <c r="A436" s="259"/>
      <c r="B436" s="260"/>
      <c r="C436" s="260"/>
      <c r="D436" s="260"/>
      <c r="E436" s="260"/>
      <c r="F436" s="260"/>
      <c r="G436" s="261"/>
      <c r="H436" s="259"/>
      <c r="I436" s="260"/>
      <c r="J436" s="260"/>
      <c r="K436" s="260"/>
      <c r="L436" s="260"/>
      <c r="M436" s="260"/>
      <c r="N436" s="262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3"/>
      <c r="Z436" s="260"/>
      <c r="AA436" s="260"/>
      <c r="AB436" s="260"/>
      <c r="AC436" s="260"/>
      <c r="AD436" s="260"/>
      <c r="AE436" s="260"/>
      <c r="AF436" s="264"/>
      <c r="AG436" s="260"/>
      <c r="AH436" s="260"/>
      <c r="AI436" s="260"/>
    </row>
    <row r="437">
      <c r="A437" s="259"/>
      <c r="B437" s="260"/>
      <c r="C437" s="260"/>
      <c r="D437" s="260"/>
      <c r="E437" s="260"/>
      <c r="F437" s="260"/>
      <c r="G437" s="261"/>
      <c r="H437" s="259"/>
      <c r="I437" s="260"/>
      <c r="J437" s="260"/>
      <c r="K437" s="260"/>
      <c r="L437" s="260"/>
      <c r="M437" s="260"/>
      <c r="N437" s="262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3"/>
      <c r="Z437" s="260"/>
      <c r="AA437" s="260"/>
      <c r="AB437" s="260"/>
      <c r="AC437" s="260"/>
      <c r="AD437" s="260"/>
      <c r="AE437" s="260"/>
      <c r="AF437" s="264"/>
      <c r="AG437" s="260"/>
      <c r="AH437" s="260"/>
      <c r="AI437" s="260"/>
    </row>
    <row r="438">
      <c r="A438" s="259"/>
      <c r="B438" s="260"/>
      <c r="C438" s="260"/>
      <c r="D438" s="260"/>
      <c r="E438" s="260"/>
      <c r="F438" s="260"/>
      <c r="G438" s="261"/>
      <c r="H438" s="259"/>
      <c r="I438" s="260"/>
      <c r="J438" s="260"/>
      <c r="K438" s="260"/>
      <c r="L438" s="260"/>
      <c r="M438" s="260"/>
      <c r="N438" s="262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3"/>
      <c r="Z438" s="260"/>
      <c r="AA438" s="260"/>
      <c r="AB438" s="260"/>
      <c r="AC438" s="260"/>
      <c r="AD438" s="260"/>
      <c r="AE438" s="260"/>
      <c r="AF438" s="264"/>
      <c r="AG438" s="260"/>
      <c r="AH438" s="260"/>
      <c r="AI438" s="260"/>
    </row>
    <row r="439">
      <c r="A439" s="259"/>
      <c r="B439" s="260"/>
      <c r="C439" s="260"/>
      <c r="D439" s="260"/>
      <c r="E439" s="260"/>
      <c r="F439" s="260"/>
      <c r="G439" s="261"/>
      <c r="H439" s="259"/>
      <c r="I439" s="260"/>
      <c r="J439" s="260"/>
      <c r="K439" s="260"/>
      <c r="L439" s="260"/>
      <c r="M439" s="260"/>
      <c r="N439" s="262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3"/>
      <c r="Z439" s="260"/>
      <c r="AA439" s="260"/>
      <c r="AB439" s="260"/>
      <c r="AC439" s="260"/>
      <c r="AD439" s="260"/>
      <c r="AE439" s="260"/>
      <c r="AF439" s="264"/>
      <c r="AG439" s="260"/>
      <c r="AH439" s="260"/>
      <c r="AI439" s="260"/>
    </row>
    <row r="440">
      <c r="A440" s="259"/>
      <c r="B440" s="260"/>
      <c r="C440" s="260"/>
      <c r="D440" s="260"/>
      <c r="E440" s="260"/>
      <c r="F440" s="260"/>
      <c r="G440" s="261"/>
      <c r="H440" s="259"/>
      <c r="I440" s="260"/>
      <c r="J440" s="260"/>
      <c r="K440" s="260"/>
      <c r="L440" s="260"/>
      <c r="M440" s="260"/>
      <c r="N440" s="262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3"/>
      <c r="Z440" s="260"/>
      <c r="AA440" s="260"/>
      <c r="AB440" s="260"/>
      <c r="AC440" s="260"/>
      <c r="AD440" s="260"/>
      <c r="AE440" s="260"/>
      <c r="AF440" s="264"/>
      <c r="AG440" s="260"/>
      <c r="AH440" s="260"/>
      <c r="AI440" s="260"/>
    </row>
    <row r="441">
      <c r="A441" s="259"/>
      <c r="B441" s="260"/>
      <c r="C441" s="260"/>
      <c r="D441" s="260"/>
      <c r="E441" s="260"/>
      <c r="F441" s="260"/>
      <c r="G441" s="261"/>
      <c r="H441" s="259"/>
      <c r="I441" s="260"/>
      <c r="J441" s="260"/>
      <c r="K441" s="260"/>
      <c r="L441" s="260"/>
      <c r="M441" s="260"/>
      <c r="N441" s="262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3"/>
      <c r="Z441" s="260"/>
      <c r="AA441" s="260"/>
      <c r="AB441" s="260"/>
      <c r="AC441" s="260"/>
      <c r="AD441" s="260"/>
      <c r="AE441" s="260"/>
      <c r="AF441" s="264"/>
      <c r="AG441" s="260"/>
      <c r="AH441" s="260"/>
      <c r="AI441" s="260"/>
    </row>
    <row r="442">
      <c r="A442" s="259"/>
      <c r="B442" s="260"/>
      <c r="C442" s="260"/>
      <c r="D442" s="260"/>
      <c r="E442" s="260"/>
      <c r="F442" s="260"/>
      <c r="G442" s="261"/>
      <c r="H442" s="259"/>
      <c r="I442" s="260"/>
      <c r="J442" s="260"/>
      <c r="K442" s="260"/>
      <c r="L442" s="260"/>
      <c r="M442" s="260"/>
      <c r="N442" s="262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3"/>
      <c r="Z442" s="260"/>
      <c r="AA442" s="260"/>
      <c r="AB442" s="260"/>
      <c r="AC442" s="260"/>
      <c r="AD442" s="260"/>
      <c r="AE442" s="260"/>
      <c r="AF442" s="264"/>
      <c r="AG442" s="260"/>
      <c r="AH442" s="260"/>
      <c r="AI442" s="260"/>
    </row>
    <row r="443">
      <c r="A443" s="259"/>
      <c r="B443" s="260"/>
      <c r="C443" s="260"/>
      <c r="D443" s="260"/>
      <c r="E443" s="260"/>
      <c r="F443" s="260"/>
      <c r="G443" s="261"/>
      <c r="H443" s="259"/>
      <c r="I443" s="260"/>
      <c r="J443" s="260"/>
      <c r="K443" s="260"/>
      <c r="L443" s="260"/>
      <c r="M443" s="260"/>
      <c r="N443" s="262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3"/>
      <c r="Z443" s="260"/>
      <c r="AA443" s="260"/>
      <c r="AB443" s="260"/>
      <c r="AC443" s="260"/>
      <c r="AD443" s="260"/>
      <c r="AE443" s="260"/>
      <c r="AF443" s="264"/>
      <c r="AG443" s="260"/>
      <c r="AH443" s="260"/>
      <c r="AI443" s="260"/>
    </row>
    <row r="444">
      <c r="A444" s="259"/>
      <c r="B444" s="260"/>
      <c r="C444" s="260"/>
      <c r="D444" s="260"/>
      <c r="E444" s="260"/>
      <c r="F444" s="260"/>
      <c r="G444" s="261"/>
      <c r="H444" s="259"/>
      <c r="I444" s="260"/>
      <c r="J444" s="260"/>
      <c r="K444" s="260"/>
      <c r="L444" s="260"/>
      <c r="M444" s="260"/>
      <c r="N444" s="262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3"/>
      <c r="Z444" s="260"/>
      <c r="AA444" s="260"/>
      <c r="AB444" s="260"/>
      <c r="AC444" s="260"/>
      <c r="AD444" s="260"/>
      <c r="AE444" s="260"/>
      <c r="AF444" s="264"/>
      <c r="AG444" s="260"/>
      <c r="AH444" s="260"/>
      <c r="AI444" s="260"/>
    </row>
    <row r="445">
      <c r="A445" s="259"/>
      <c r="B445" s="260"/>
      <c r="C445" s="260"/>
      <c r="D445" s="260"/>
      <c r="E445" s="260"/>
      <c r="F445" s="260"/>
      <c r="G445" s="261"/>
      <c r="H445" s="259"/>
      <c r="I445" s="260"/>
      <c r="J445" s="260"/>
      <c r="K445" s="260"/>
      <c r="L445" s="260"/>
      <c r="M445" s="260"/>
      <c r="N445" s="262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3"/>
      <c r="Z445" s="260"/>
      <c r="AA445" s="260"/>
      <c r="AB445" s="260"/>
      <c r="AC445" s="260"/>
      <c r="AD445" s="260"/>
      <c r="AE445" s="260"/>
      <c r="AF445" s="264"/>
      <c r="AG445" s="260"/>
      <c r="AH445" s="260"/>
      <c r="AI445" s="260"/>
    </row>
    <row r="446">
      <c r="A446" s="259"/>
      <c r="B446" s="260"/>
      <c r="C446" s="260"/>
      <c r="D446" s="260"/>
      <c r="E446" s="260"/>
      <c r="F446" s="260"/>
      <c r="G446" s="261"/>
      <c r="H446" s="259"/>
      <c r="I446" s="260"/>
      <c r="J446" s="260"/>
      <c r="K446" s="260"/>
      <c r="L446" s="260"/>
      <c r="M446" s="260"/>
      <c r="N446" s="262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3"/>
      <c r="Z446" s="260"/>
      <c r="AA446" s="260"/>
      <c r="AB446" s="260"/>
      <c r="AC446" s="260"/>
      <c r="AD446" s="260"/>
      <c r="AE446" s="260"/>
      <c r="AF446" s="264"/>
      <c r="AG446" s="260"/>
      <c r="AH446" s="260"/>
      <c r="AI446" s="260"/>
    </row>
    <row r="447">
      <c r="A447" s="259"/>
      <c r="B447" s="260"/>
      <c r="C447" s="260"/>
      <c r="D447" s="260"/>
      <c r="E447" s="260"/>
      <c r="F447" s="260"/>
      <c r="G447" s="261"/>
      <c r="H447" s="259"/>
      <c r="I447" s="260"/>
      <c r="J447" s="260"/>
      <c r="K447" s="260"/>
      <c r="L447" s="260"/>
      <c r="M447" s="260"/>
      <c r="N447" s="262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3"/>
      <c r="Z447" s="260"/>
      <c r="AA447" s="260"/>
      <c r="AB447" s="260"/>
      <c r="AC447" s="260"/>
      <c r="AD447" s="260"/>
      <c r="AE447" s="260"/>
      <c r="AF447" s="264"/>
      <c r="AG447" s="260"/>
      <c r="AH447" s="260"/>
      <c r="AI447" s="260"/>
    </row>
    <row r="448">
      <c r="A448" s="259"/>
      <c r="B448" s="260"/>
      <c r="C448" s="260"/>
      <c r="D448" s="260"/>
      <c r="E448" s="260"/>
      <c r="F448" s="260"/>
      <c r="G448" s="261"/>
      <c r="H448" s="259"/>
      <c r="I448" s="260"/>
      <c r="J448" s="260"/>
      <c r="K448" s="260"/>
      <c r="L448" s="260"/>
      <c r="M448" s="260"/>
      <c r="N448" s="262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3"/>
      <c r="Z448" s="260"/>
      <c r="AA448" s="260"/>
      <c r="AB448" s="260"/>
      <c r="AC448" s="260"/>
      <c r="AD448" s="260"/>
      <c r="AE448" s="260"/>
      <c r="AF448" s="264"/>
      <c r="AG448" s="260"/>
      <c r="AH448" s="260"/>
      <c r="AI448" s="260"/>
    </row>
    <row r="449">
      <c r="A449" s="259"/>
      <c r="B449" s="260"/>
      <c r="C449" s="260"/>
      <c r="D449" s="260"/>
      <c r="E449" s="260"/>
      <c r="F449" s="260"/>
      <c r="G449" s="261"/>
      <c r="H449" s="259"/>
      <c r="I449" s="260"/>
      <c r="J449" s="260"/>
      <c r="K449" s="260"/>
      <c r="L449" s="260"/>
      <c r="M449" s="260"/>
      <c r="N449" s="262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3"/>
      <c r="Z449" s="260"/>
      <c r="AA449" s="260"/>
      <c r="AB449" s="260"/>
      <c r="AC449" s="260"/>
      <c r="AD449" s="260"/>
      <c r="AE449" s="260"/>
      <c r="AF449" s="264"/>
      <c r="AG449" s="260"/>
      <c r="AH449" s="260"/>
      <c r="AI449" s="260"/>
    </row>
    <row r="450">
      <c r="A450" s="259"/>
      <c r="B450" s="260"/>
      <c r="C450" s="260"/>
      <c r="D450" s="260"/>
      <c r="E450" s="260"/>
      <c r="F450" s="260"/>
      <c r="G450" s="261"/>
      <c r="H450" s="259"/>
      <c r="I450" s="260"/>
      <c r="J450" s="260"/>
      <c r="K450" s="260"/>
      <c r="L450" s="260"/>
      <c r="M450" s="260"/>
      <c r="N450" s="262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3"/>
      <c r="Z450" s="260"/>
      <c r="AA450" s="260"/>
      <c r="AB450" s="260"/>
      <c r="AC450" s="260"/>
      <c r="AD450" s="260"/>
      <c r="AE450" s="260"/>
      <c r="AF450" s="264"/>
      <c r="AG450" s="260"/>
      <c r="AH450" s="260"/>
      <c r="AI450" s="260"/>
    </row>
    <row r="451">
      <c r="A451" s="259"/>
      <c r="B451" s="260"/>
      <c r="C451" s="260"/>
      <c r="D451" s="260"/>
      <c r="E451" s="260"/>
      <c r="F451" s="260"/>
      <c r="G451" s="261"/>
      <c r="H451" s="259"/>
      <c r="I451" s="260"/>
      <c r="J451" s="260"/>
      <c r="K451" s="260"/>
      <c r="L451" s="260"/>
      <c r="M451" s="260"/>
      <c r="N451" s="262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3"/>
      <c r="Z451" s="260"/>
      <c r="AA451" s="260"/>
      <c r="AB451" s="260"/>
      <c r="AC451" s="260"/>
      <c r="AD451" s="260"/>
      <c r="AE451" s="260"/>
      <c r="AF451" s="264"/>
      <c r="AG451" s="260"/>
      <c r="AH451" s="260"/>
      <c r="AI451" s="260"/>
    </row>
    <row r="452">
      <c r="A452" s="259"/>
      <c r="B452" s="260"/>
      <c r="C452" s="260"/>
      <c r="D452" s="260"/>
      <c r="E452" s="260"/>
      <c r="F452" s="260"/>
      <c r="G452" s="261"/>
      <c r="H452" s="259"/>
      <c r="I452" s="260"/>
      <c r="J452" s="260"/>
      <c r="K452" s="260"/>
      <c r="L452" s="260"/>
      <c r="M452" s="260"/>
      <c r="N452" s="262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3"/>
      <c r="Z452" s="260"/>
      <c r="AA452" s="260"/>
      <c r="AB452" s="260"/>
      <c r="AC452" s="260"/>
      <c r="AD452" s="260"/>
      <c r="AE452" s="260"/>
      <c r="AF452" s="264"/>
      <c r="AG452" s="260"/>
      <c r="AH452" s="260"/>
      <c r="AI452" s="260"/>
    </row>
    <row r="453">
      <c r="A453" s="259"/>
      <c r="B453" s="260"/>
      <c r="C453" s="260"/>
      <c r="D453" s="260"/>
      <c r="E453" s="260"/>
      <c r="F453" s="260"/>
      <c r="G453" s="261"/>
      <c r="H453" s="259"/>
      <c r="I453" s="260"/>
      <c r="J453" s="260"/>
      <c r="K453" s="260"/>
      <c r="L453" s="260"/>
      <c r="M453" s="260"/>
      <c r="N453" s="262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3"/>
      <c r="Z453" s="260"/>
      <c r="AA453" s="260"/>
      <c r="AB453" s="260"/>
      <c r="AC453" s="260"/>
      <c r="AD453" s="260"/>
      <c r="AE453" s="260"/>
      <c r="AF453" s="264"/>
      <c r="AG453" s="260"/>
      <c r="AH453" s="260"/>
      <c r="AI453" s="260"/>
    </row>
    <row r="454">
      <c r="A454" s="259"/>
      <c r="B454" s="260"/>
      <c r="C454" s="260"/>
      <c r="D454" s="260"/>
      <c r="E454" s="260"/>
      <c r="F454" s="260"/>
      <c r="G454" s="261"/>
      <c r="H454" s="259"/>
      <c r="I454" s="260"/>
      <c r="J454" s="260"/>
      <c r="K454" s="260"/>
      <c r="L454" s="260"/>
      <c r="M454" s="260"/>
      <c r="N454" s="262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3"/>
      <c r="Z454" s="260"/>
      <c r="AA454" s="260"/>
      <c r="AB454" s="260"/>
      <c r="AC454" s="260"/>
      <c r="AD454" s="260"/>
      <c r="AE454" s="260"/>
      <c r="AF454" s="264"/>
      <c r="AG454" s="260"/>
      <c r="AH454" s="260"/>
      <c r="AI454" s="260"/>
    </row>
    <row r="455">
      <c r="A455" s="259"/>
      <c r="B455" s="260"/>
      <c r="C455" s="260"/>
      <c r="D455" s="260"/>
      <c r="E455" s="260"/>
      <c r="F455" s="260"/>
      <c r="G455" s="261"/>
      <c r="H455" s="259"/>
      <c r="I455" s="260"/>
      <c r="J455" s="260"/>
      <c r="K455" s="260"/>
      <c r="L455" s="260"/>
      <c r="M455" s="260"/>
      <c r="N455" s="262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3"/>
      <c r="Z455" s="260"/>
      <c r="AA455" s="260"/>
      <c r="AB455" s="260"/>
      <c r="AC455" s="260"/>
      <c r="AD455" s="260"/>
      <c r="AE455" s="260"/>
      <c r="AF455" s="264"/>
      <c r="AG455" s="260"/>
      <c r="AH455" s="260"/>
      <c r="AI455" s="260"/>
    </row>
    <row r="456">
      <c r="A456" s="259"/>
      <c r="B456" s="260"/>
      <c r="C456" s="260"/>
      <c r="D456" s="260"/>
      <c r="E456" s="260"/>
      <c r="F456" s="260"/>
      <c r="G456" s="261"/>
      <c r="H456" s="259"/>
      <c r="I456" s="260"/>
      <c r="J456" s="260"/>
      <c r="K456" s="260"/>
      <c r="L456" s="260"/>
      <c r="M456" s="260"/>
      <c r="N456" s="262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3"/>
      <c r="Z456" s="260"/>
      <c r="AA456" s="260"/>
      <c r="AB456" s="260"/>
      <c r="AC456" s="260"/>
      <c r="AD456" s="260"/>
      <c r="AE456" s="260"/>
      <c r="AF456" s="264"/>
      <c r="AG456" s="260"/>
      <c r="AH456" s="260"/>
      <c r="AI456" s="260"/>
    </row>
    <row r="457">
      <c r="A457" s="259"/>
      <c r="B457" s="260"/>
      <c r="C457" s="260"/>
      <c r="D457" s="260"/>
      <c r="E457" s="260"/>
      <c r="F457" s="260"/>
      <c r="G457" s="261"/>
      <c r="H457" s="259"/>
      <c r="I457" s="260"/>
      <c r="J457" s="260"/>
      <c r="K457" s="260"/>
      <c r="L457" s="260"/>
      <c r="M457" s="260"/>
      <c r="N457" s="262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3"/>
      <c r="Z457" s="260"/>
      <c r="AA457" s="260"/>
      <c r="AB457" s="260"/>
      <c r="AC457" s="260"/>
      <c r="AD457" s="260"/>
      <c r="AE457" s="260"/>
      <c r="AF457" s="264"/>
      <c r="AG457" s="260"/>
      <c r="AH457" s="260"/>
      <c r="AI457" s="260"/>
    </row>
    <row r="458">
      <c r="A458" s="259"/>
      <c r="B458" s="260"/>
      <c r="C458" s="260"/>
      <c r="D458" s="260"/>
      <c r="E458" s="260"/>
      <c r="F458" s="260"/>
      <c r="G458" s="261"/>
      <c r="H458" s="259"/>
      <c r="I458" s="260"/>
      <c r="J458" s="260"/>
      <c r="K458" s="260"/>
      <c r="L458" s="260"/>
      <c r="M458" s="260"/>
      <c r="N458" s="262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3"/>
      <c r="Z458" s="260"/>
      <c r="AA458" s="260"/>
      <c r="AB458" s="260"/>
      <c r="AC458" s="260"/>
      <c r="AD458" s="260"/>
      <c r="AE458" s="260"/>
      <c r="AF458" s="264"/>
      <c r="AG458" s="260"/>
      <c r="AH458" s="260"/>
      <c r="AI458" s="260"/>
    </row>
    <row r="459">
      <c r="A459" s="259"/>
      <c r="B459" s="260"/>
      <c r="C459" s="260"/>
      <c r="D459" s="260"/>
      <c r="E459" s="260"/>
      <c r="F459" s="260"/>
      <c r="G459" s="261"/>
      <c r="H459" s="259"/>
      <c r="I459" s="260"/>
      <c r="J459" s="260"/>
      <c r="K459" s="260"/>
      <c r="L459" s="260"/>
      <c r="M459" s="260"/>
      <c r="N459" s="262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3"/>
      <c r="Z459" s="260"/>
      <c r="AA459" s="260"/>
      <c r="AB459" s="260"/>
      <c r="AC459" s="260"/>
      <c r="AD459" s="260"/>
      <c r="AE459" s="260"/>
      <c r="AF459" s="264"/>
      <c r="AG459" s="260"/>
      <c r="AH459" s="260"/>
      <c r="AI459" s="260"/>
    </row>
    <row r="460">
      <c r="A460" s="259"/>
      <c r="B460" s="260"/>
      <c r="C460" s="260"/>
      <c r="D460" s="260"/>
      <c r="E460" s="260"/>
      <c r="F460" s="260"/>
      <c r="G460" s="261"/>
      <c r="H460" s="259"/>
      <c r="I460" s="260"/>
      <c r="J460" s="260"/>
      <c r="K460" s="260"/>
      <c r="L460" s="260"/>
      <c r="M460" s="260"/>
      <c r="N460" s="262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3"/>
      <c r="Z460" s="260"/>
      <c r="AA460" s="260"/>
      <c r="AB460" s="260"/>
      <c r="AC460" s="260"/>
      <c r="AD460" s="260"/>
      <c r="AE460" s="260"/>
      <c r="AF460" s="264"/>
      <c r="AG460" s="260"/>
      <c r="AH460" s="260"/>
      <c r="AI460" s="260"/>
    </row>
    <row r="461">
      <c r="A461" s="259"/>
      <c r="B461" s="260"/>
      <c r="C461" s="260"/>
      <c r="D461" s="260"/>
      <c r="E461" s="260"/>
      <c r="F461" s="260"/>
      <c r="G461" s="261"/>
      <c r="H461" s="259"/>
      <c r="I461" s="260"/>
      <c r="J461" s="260"/>
      <c r="K461" s="260"/>
      <c r="L461" s="260"/>
      <c r="M461" s="260"/>
      <c r="N461" s="262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3"/>
      <c r="Z461" s="260"/>
      <c r="AA461" s="260"/>
      <c r="AB461" s="260"/>
      <c r="AC461" s="260"/>
      <c r="AD461" s="260"/>
      <c r="AE461" s="260"/>
      <c r="AF461" s="264"/>
      <c r="AG461" s="260"/>
      <c r="AH461" s="260"/>
      <c r="AI461" s="260"/>
    </row>
    <row r="462">
      <c r="A462" s="259"/>
      <c r="B462" s="260"/>
      <c r="C462" s="260"/>
      <c r="D462" s="260"/>
      <c r="E462" s="260"/>
      <c r="F462" s="260"/>
      <c r="G462" s="261"/>
      <c r="H462" s="259"/>
      <c r="I462" s="260"/>
      <c r="J462" s="260"/>
      <c r="K462" s="260"/>
      <c r="L462" s="260"/>
      <c r="M462" s="260"/>
      <c r="N462" s="262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3"/>
      <c r="Z462" s="260"/>
      <c r="AA462" s="260"/>
      <c r="AB462" s="260"/>
      <c r="AC462" s="260"/>
      <c r="AD462" s="260"/>
      <c r="AE462" s="260"/>
      <c r="AF462" s="264"/>
      <c r="AG462" s="260"/>
      <c r="AH462" s="260"/>
      <c r="AI462" s="260"/>
    </row>
    <row r="463">
      <c r="A463" s="259"/>
      <c r="B463" s="260"/>
      <c r="C463" s="260"/>
      <c r="D463" s="260"/>
      <c r="E463" s="260"/>
      <c r="F463" s="260"/>
      <c r="G463" s="261"/>
      <c r="H463" s="259"/>
      <c r="I463" s="260"/>
      <c r="J463" s="260"/>
      <c r="K463" s="260"/>
      <c r="L463" s="260"/>
      <c r="M463" s="260"/>
      <c r="N463" s="262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3"/>
      <c r="Z463" s="260"/>
      <c r="AA463" s="260"/>
      <c r="AB463" s="260"/>
      <c r="AC463" s="260"/>
      <c r="AD463" s="260"/>
      <c r="AE463" s="260"/>
      <c r="AF463" s="264"/>
      <c r="AG463" s="260"/>
      <c r="AH463" s="260"/>
      <c r="AI463" s="260"/>
    </row>
    <row r="464">
      <c r="A464" s="259"/>
      <c r="B464" s="260"/>
      <c r="C464" s="260"/>
      <c r="D464" s="260"/>
      <c r="E464" s="260"/>
      <c r="F464" s="260"/>
      <c r="G464" s="261"/>
      <c r="H464" s="259"/>
      <c r="I464" s="260"/>
      <c r="J464" s="260"/>
      <c r="K464" s="260"/>
      <c r="L464" s="260"/>
      <c r="M464" s="260"/>
      <c r="N464" s="262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3"/>
      <c r="Z464" s="260"/>
      <c r="AA464" s="260"/>
      <c r="AB464" s="260"/>
      <c r="AC464" s="260"/>
      <c r="AD464" s="260"/>
      <c r="AE464" s="260"/>
      <c r="AF464" s="264"/>
      <c r="AG464" s="260"/>
      <c r="AH464" s="260"/>
      <c r="AI464" s="260"/>
    </row>
    <row r="465">
      <c r="A465" s="259"/>
      <c r="B465" s="260"/>
      <c r="C465" s="260"/>
      <c r="D465" s="260"/>
      <c r="E465" s="260"/>
      <c r="F465" s="260"/>
      <c r="G465" s="261"/>
      <c r="H465" s="259"/>
      <c r="I465" s="260"/>
      <c r="J465" s="260"/>
      <c r="K465" s="260"/>
      <c r="L465" s="260"/>
      <c r="M465" s="260"/>
      <c r="N465" s="262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3"/>
      <c r="Z465" s="260"/>
      <c r="AA465" s="260"/>
      <c r="AB465" s="260"/>
      <c r="AC465" s="260"/>
      <c r="AD465" s="260"/>
      <c r="AE465" s="260"/>
      <c r="AF465" s="264"/>
      <c r="AG465" s="260"/>
      <c r="AH465" s="260"/>
      <c r="AI465" s="260"/>
    </row>
    <row r="466">
      <c r="A466" s="259"/>
      <c r="B466" s="260"/>
      <c r="C466" s="260"/>
      <c r="D466" s="260"/>
      <c r="E466" s="260"/>
      <c r="F466" s="260"/>
      <c r="G466" s="261"/>
      <c r="H466" s="259"/>
      <c r="I466" s="260"/>
      <c r="J466" s="260"/>
      <c r="K466" s="260"/>
      <c r="L466" s="260"/>
      <c r="M466" s="260"/>
      <c r="N466" s="262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3"/>
      <c r="Z466" s="260"/>
      <c r="AA466" s="260"/>
      <c r="AB466" s="260"/>
      <c r="AC466" s="260"/>
      <c r="AD466" s="260"/>
      <c r="AE466" s="260"/>
      <c r="AF466" s="264"/>
      <c r="AG466" s="260"/>
      <c r="AH466" s="260"/>
      <c r="AI466" s="260"/>
    </row>
    <row r="467">
      <c r="A467" s="259"/>
      <c r="B467" s="260"/>
      <c r="C467" s="260"/>
      <c r="D467" s="260"/>
      <c r="E467" s="260"/>
      <c r="F467" s="260"/>
      <c r="G467" s="261"/>
      <c r="H467" s="259"/>
      <c r="I467" s="260"/>
      <c r="J467" s="260"/>
      <c r="K467" s="260"/>
      <c r="L467" s="260"/>
      <c r="M467" s="260"/>
      <c r="N467" s="262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3"/>
      <c r="Z467" s="260"/>
      <c r="AA467" s="260"/>
      <c r="AB467" s="260"/>
      <c r="AC467" s="260"/>
      <c r="AD467" s="260"/>
      <c r="AE467" s="260"/>
      <c r="AF467" s="264"/>
      <c r="AG467" s="260"/>
      <c r="AH467" s="260"/>
      <c r="AI467" s="260"/>
    </row>
    <row r="468">
      <c r="A468" s="259"/>
      <c r="B468" s="260"/>
      <c r="C468" s="260"/>
      <c r="D468" s="260"/>
      <c r="E468" s="260"/>
      <c r="F468" s="260"/>
      <c r="G468" s="261"/>
      <c r="H468" s="259"/>
      <c r="I468" s="260"/>
      <c r="J468" s="260"/>
      <c r="K468" s="260"/>
      <c r="L468" s="260"/>
      <c r="M468" s="260"/>
      <c r="N468" s="262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3"/>
      <c r="Z468" s="260"/>
      <c r="AA468" s="260"/>
      <c r="AB468" s="260"/>
      <c r="AC468" s="260"/>
      <c r="AD468" s="260"/>
      <c r="AE468" s="260"/>
      <c r="AF468" s="264"/>
      <c r="AG468" s="260"/>
      <c r="AH468" s="260"/>
      <c r="AI468" s="260"/>
    </row>
    <row r="469">
      <c r="A469" s="259"/>
      <c r="B469" s="260"/>
      <c r="C469" s="260"/>
      <c r="D469" s="260"/>
      <c r="E469" s="260"/>
      <c r="F469" s="260"/>
      <c r="G469" s="261"/>
      <c r="H469" s="259"/>
      <c r="I469" s="260"/>
      <c r="J469" s="260"/>
      <c r="K469" s="260"/>
      <c r="L469" s="260"/>
      <c r="M469" s="260"/>
      <c r="N469" s="262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3"/>
      <c r="Z469" s="260"/>
      <c r="AA469" s="260"/>
      <c r="AB469" s="260"/>
      <c r="AC469" s="260"/>
      <c r="AD469" s="260"/>
      <c r="AE469" s="260"/>
      <c r="AF469" s="264"/>
      <c r="AG469" s="260"/>
      <c r="AH469" s="260"/>
      <c r="AI469" s="260"/>
    </row>
    <row r="470">
      <c r="A470" s="259"/>
      <c r="B470" s="260"/>
      <c r="C470" s="260"/>
      <c r="D470" s="260"/>
      <c r="E470" s="260"/>
      <c r="F470" s="260"/>
      <c r="G470" s="261"/>
      <c r="H470" s="259"/>
      <c r="I470" s="260"/>
      <c r="J470" s="260"/>
      <c r="K470" s="260"/>
      <c r="L470" s="260"/>
      <c r="M470" s="260"/>
      <c r="N470" s="262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3"/>
      <c r="Z470" s="260"/>
      <c r="AA470" s="260"/>
      <c r="AB470" s="260"/>
      <c r="AC470" s="260"/>
      <c r="AD470" s="260"/>
      <c r="AE470" s="260"/>
      <c r="AF470" s="264"/>
      <c r="AG470" s="260"/>
      <c r="AH470" s="260"/>
      <c r="AI470" s="260"/>
    </row>
    <row r="471">
      <c r="A471" s="259"/>
      <c r="B471" s="260"/>
      <c r="C471" s="260"/>
      <c r="D471" s="260"/>
      <c r="E471" s="260"/>
      <c r="F471" s="260"/>
      <c r="G471" s="261"/>
      <c r="H471" s="259"/>
      <c r="I471" s="260"/>
      <c r="J471" s="260"/>
      <c r="K471" s="260"/>
      <c r="L471" s="260"/>
      <c r="M471" s="260"/>
      <c r="N471" s="262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3"/>
      <c r="Z471" s="260"/>
      <c r="AA471" s="260"/>
      <c r="AB471" s="260"/>
      <c r="AC471" s="260"/>
      <c r="AD471" s="260"/>
      <c r="AE471" s="260"/>
      <c r="AF471" s="264"/>
      <c r="AG471" s="260"/>
      <c r="AH471" s="260"/>
      <c r="AI471" s="260"/>
    </row>
    <row r="472">
      <c r="A472" s="259"/>
      <c r="B472" s="260"/>
      <c r="C472" s="260"/>
      <c r="D472" s="260"/>
      <c r="E472" s="260"/>
      <c r="F472" s="260"/>
      <c r="G472" s="261"/>
      <c r="H472" s="259"/>
      <c r="I472" s="260"/>
      <c r="J472" s="260"/>
      <c r="K472" s="260"/>
      <c r="L472" s="260"/>
      <c r="M472" s="260"/>
      <c r="N472" s="262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3"/>
      <c r="Z472" s="260"/>
      <c r="AA472" s="260"/>
      <c r="AB472" s="260"/>
      <c r="AC472" s="260"/>
      <c r="AD472" s="260"/>
      <c r="AE472" s="260"/>
      <c r="AF472" s="264"/>
      <c r="AG472" s="260"/>
      <c r="AH472" s="260"/>
      <c r="AI472" s="260"/>
    </row>
    <row r="473">
      <c r="A473" s="259"/>
      <c r="B473" s="260"/>
      <c r="C473" s="260"/>
      <c r="D473" s="260"/>
      <c r="E473" s="260"/>
      <c r="F473" s="260"/>
      <c r="G473" s="261"/>
      <c r="H473" s="259"/>
      <c r="I473" s="260"/>
      <c r="J473" s="260"/>
      <c r="K473" s="260"/>
      <c r="L473" s="260"/>
      <c r="M473" s="260"/>
      <c r="N473" s="262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3"/>
      <c r="Z473" s="260"/>
      <c r="AA473" s="260"/>
      <c r="AB473" s="260"/>
      <c r="AC473" s="260"/>
      <c r="AD473" s="260"/>
      <c r="AE473" s="260"/>
      <c r="AF473" s="264"/>
      <c r="AG473" s="260"/>
      <c r="AH473" s="260"/>
      <c r="AI473" s="260"/>
    </row>
    <row r="474">
      <c r="A474" s="259"/>
      <c r="B474" s="260"/>
      <c r="C474" s="260"/>
      <c r="D474" s="260"/>
      <c r="E474" s="260"/>
      <c r="F474" s="260"/>
      <c r="G474" s="261"/>
      <c r="H474" s="259"/>
      <c r="I474" s="260"/>
      <c r="J474" s="260"/>
      <c r="K474" s="260"/>
      <c r="L474" s="260"/>
      <c r="M474" s="260"/>
      <c r="N474" s="262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3"/>
      <c r="Z474" s="260"/>
      <c r="AA474" s="260"/>
      <c r="AB474" s="260"/>
      <c r="AC474" s="260"/>
      <c r="AD474" s="260"/>
      <c r="AE474" s="260"/>
      <c r="AF474" s="264"/>
      <c r="AG474" s="260"/>
      <c r="AH474" s="260"/>
      <c r="AI474" s="260"/>
    </row>
    <row r="475">
      <c r="A475" s="259"/>
      <c r="B475" s="260"/>
      <c r="C475" s="260"/>
      <c r="D475" s="260"/>
      <c r="E475" s="260"/>
      <c r="F475" s="260"/>
      <c r="G475" s="261"/>
      <c r="H475" s="259"/>
      <c r="I475" s="260"/>
      <c r="J475" s="260"/>
      <c r="K475" s="260"/>
      <c r="L475" s="260"/>
      <c r="M475" s="260"/>
      <c r="N475" s="262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3"/>
      <c r="Z475" s="260"/>
      <c r="AA475" s="260"/>
      <c r="AB475" s="260"/>
      <c r="AC475" s="260"/>
      <c r="AD475" s="260"/>
      <c r="AE475" s="260"/>
      <c r="AF475" s="264"/>
      <c r="AG475" s="260"/>
      <c r="AH475" s="260"/>
      <c r="AI475" s="260"/>
    </row>
    <row r="476">
      <c r="A476" s="259"/>
      <c r="B476" s="260"/>
      <c r="C476" s="260"/>
      <c r="D476" s="260"/>
      <c r="E476" s="260"/>
      <c r="F476" s="260"/>
      <c r="G476" s="261"/>
      <c r="H476" s="259"/>
      <c r="I476" s="260"/>
      <c r="J476" s="260"/>
      <c r="K476" s="260"/>
      <c r="L476" s="260"/>
      <c r="M476" s="260"/>
      <c r="N476" s="262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3"/>
      <c r="Z476" s="260"/>
      <c r="AA476" s="260"/>
      <c r="AB476" s="260"/>
      <c r="AC476" s="260"/>
      <c r="AD476" s="260"/>
      <c r="AE476" s="260"/>
      <c r="AF476" s="264"/>
      <c r="AG476" s="260"/>
      <c r="AH476" s="260"/>
      <c r="AI476" s="260"/>
    </row>
    <row r="477">
      <c r="A477" s="259"/>
      <c r="B477" s="260"/>
      <c r="C477" s="260"/>
      <c r="D477" s="260"/>
      <c r="E477" s="260"/>
      <c r="F477" s="260"/>
      <c r="G477" s="261"/>
      <c r="H477" s="259"/>
      <c r="I477" s="260"/>
      <c r="J477" s="260"/>
      <c r="K477" s="260"/>
      <c r="L477" s="260"/>
      <c r="M477" s="260"/>
      <c r="N477" s="262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3"/>
      <c r="Z477" s="260"/>
      <c r="AA477" s="260"/>
      <c r="AB477" s="260"/>
      <c r="AC477" s="260"/>
      <c r="AD477" s="260"/>
      <c r="AE477" s="260"/>
      <c r="AF477" s="264"/>
      <c r="AG477" s="260"/>
      <c r="AH477" s="260"/>
      <c r="AI477" s="260"/>
    </row>
    <row r="478">
      <c r="A478" s="259"/>
      <c r="B478" s="260"/>
      <c r="C478" s="260"/>
      <c r="D478" s="260"/>
      <c r="E478" s="260"/>
      <c r="F478" s="260"/>
      <c r="G478" s="261"/>
      <c r="H478" s="259"/>
      <c r="I478" s="260"/>
      <c r="J478" s="260"/>
      <c r="K478" s="260"/>
      <c r="L478" s="260"/>
      <c r="M478" s="260"/>
      <c r="N478" s="262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3"/>
      <c r="Z478" s="260"/>
      <c r="AA478" s="260"/>
      <c r="AB478" s="260"/>
      <c r="AC478" s="260"/>
      <c r="AD478" s="260"/>
      <c r="AE478" s="260"/>
      <c r="AF478" s="264"/>
      <c r="AG478" s="260"/>
      <c r="AH478" s="260"/>
      <c r="AI478" s="260"/>
    </row>
    <row r="479">
      <c r="A479" s="259"/>
      <c r="B479" s="260"/>
      <c r="C479" s="260"/>
      <c r="D479" s="260"/>
      <c r="E479" s="260"/>
      <c r="F479" s="260"/>
      <c r="G479" s="261"/>
      <c r="H479" s="259"/>
      <c r="I479" s="260"/>
      <c r="J479" s="260"/>
      <c r="K479" s="260"/>
      <c r="L479" s="260"/>
      <c r="M479" s="260"/>
      <c r="N479" s="262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3"/>
      <c r="Z479" s="260"/>
      <c r="AA479" s="260"/>
      <c r="AB479" s="260"/>
      <c r="AC479" s="260"/>
      <c r="AD479" s="260"/>
      <c r="AE479" s="260"/>
      <c r="AF479" s="264"/>
      <c r="AG479" s="260"/>
      <c r="AH479" s="260"/>
      <c r="AI479" s="260"/>
    </row>
    <row r="480">
      <c r="A480" s="259"/>
      <c r="B480" s="260"/>
      <c r="C480" s="260"/>
      <c r="D480" s="260"/>
      <c r="E480" s="260"/>
      <c r="F480" s="260"/>
      <c r="G480" s="261"/>
      <c r="H480" s="259"/>
      <c r="I480" s="260"/>
      <c r="J480" s="260"/>
      <c r="K480" s="260"/>
      <c r="L480" s="260"/>
      <c r="M480" s="260"/>
      <c r="N480" s="262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3"/>
      <c r="Z480" s="260"/>
      <c r="AA480" s="260"/>
      <c r="AB480" s="260"/>
      <c r="AC480" s="260"/>
      <c r="AD480" s="260"/>
      <c r="AE480" s="260"/>
      <c r="AF480" s="264"/>
      <c r="AG480" s="260"/>
      <c r="AH480" s="260"/>
      <c r="AI480" s="260"/>
    </row>
    <row r="481">
      <c r="A481" s="259"/>
      <c r="B481" s="260"/>
      <c r="C481" s="260"/>
      <c r="D481" s="260"/>
      <c r="E481" s="260"/>
      <c r="F481" s="260"/>
      <c r="G481" s="261"/>
      <c r="H481" s="259"/>
      <c r="I481" s="260"/>
      <c r="J481" s="260"/>
      <c r="K481" s="260"/>
      <c r="L481" s="260"/>
      <c r="M481" s="260"/>
      <c r="N481" s="262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3"/>
      <c r="Z481" s="260"/>
      <c r="AA481" s="260"/>
      <c r="AB481" s="260"/>
      <c r="AC481" s="260"/>
      <c r="AD481" s="260"/>
      <c r="AE481" s="260"/>
      <c r="AF481" s="264"/>
      <c r="AG481" s="260"/>
      <c r="AH481" s="260"/>
      <c r="AI481" s="260"/>
    </row>
    <row r="482">
      <c r="A482" s="259"/>
      <c r="B482" s="260"/>
      <c r="C482" s="260"/>
      <c r="D482" s="260"/>
      <c r="E482" s="260"/>
      <c r="F482" s="260"/>
      <c r="G482" s="261"/>
      <c r="H482" s="259"/>
      <c r="I482" s="260"/>
      <c r="J482" s="260"/>
      <c r="K482" s="260"/>
      <c r="L482" s="260"/>
      <c r="M482" s="260"/>
      <c r="N482" s="262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3"/>
      <c r="Z482" s="260"/>
      <c r="AA482" s="260"/>
      <c r="AB482" s="260"/>
      <c r="AC482" s="260"/>
      <c r="AD482" s="260"/>
      <c r="AE482" s="260"/>
      <c r="AF482" s="264"/>
      <c r="AG482" s="260"/>
      <c r="AH482" s="260"/>
      <c r="AI482" s="260"/>
    </row>
    <row r="483">
      <c r="A483" s="259"/>
      <c r="B483" s="260"/>
      <c r="C483" s="260"/>
      <c r="D483" s="260"/>
      <c r="E483" s="260"/>
      <c r="F483" s="260"/>
      <c r="G483" s="261"/>
      <c r="H483" s="259"/>
      <c r="I483" s="260"/>
      <c r="J483" s="260"/>
      <c r="K483" s="260"/>
      <c r="L483" s="260"/>
      <c r="M483" s="260"/>
      <c r="N483" s="262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3"/>
      <c r="Z483" s="260"/>
      <c r="AA483" s="260"/>
      <c r="AB483" s="260"/>
      <c r="AC483" s="260"/>
      <c r="AD483" s="260"/>
      <c r="AE483" s="260"/>
      <c r="AF483" s="264"/>
      <c r="AG483" s="260"/>
      <c r="AH483" s="260"/>
      <c r="AI483" s="260"/>
    </row>
    <row r="484">
      <c r="A484" s="259"/>
      <c r="B484" s="260"/>
      <c r="C484" s="260"/>
      <c r="D484" s="260"/>
      <c r="E484" s="260"/>
      <c r="F484" s="260"/>
      <c r="G484" s="261"/>
      <c r="H484" s="259"/>
      <c r="I484" s="260"/>
      <c r="J484" s="260"/>
      <c r="K484" s="260"/>
      <c r="L484" s="260"/>
      <c r="M484" s="260"/>
      <c r="N484" s="262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3"/>
      <c r="Z484" s="260"/>
      <c r="AA484" s="260"/>
      <c r="AB484" s="260"/>
      <c r="AC484" s="260"/>
      <c r="AD484" s="260"/>
      <c r="AE484" s="260"/>
      <c r="AF484" s="264"/>
      <c r="AG484" s="260"/>
      <c r="AH484" s="260"/>
      <c r="AI484" s="260"/>
    </row>
    <row r="485">
      <c r="A485" s="259"/>
      <c r="B485" s="260"/>
      <c r="C485" s="260"/>
      <c r="D485" s="260"/>
      <c r="E485" s="260"/>
      <c r="F485" s="260"/>
      <c r="G485" s="261"/>
      <c r="H485" s="259"/>
      <c r="I485" s="260"/>
      <c r="J485" s="260"/>
      <c r="K485" s="260"/>
      <c r="L485" s="260"/>
      <c r="M485" s="260"/>
      <c r="N485" s="262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3"/>
      <c r="Z485" s="260"/>
      <c r="AA485" s="260"/>
      <c r="AB485" s="260"/>
      <c r="AC485" s="260"/>
      <c r="AD485" s="260"/>
      <c r="AE485" s="260"/>
      <c r="AF485" s="264"/>
      <c r="AG485" s="260"/>
      <c r="AH485" s="260"/>
      <c r="AI485" s="260"/>
    </row>
    <row r="486">
      <c r="A486" s="259"/>
      <c r="B486" s="260"/>
      <c r="C486" s="260"/>
      <c r="D486" s="260"/>
      <c r="E486" s="260"/>
      <c r="F486" s="260"/>
      <c r="G486" s="261"/>
      <c r="H486" s="259"/>
      <c r="I486" s="260"/>
      <c r="J486" s="260"/>
      <c r="K486" s="260"/>
      <c r="L486" s="260"/>
      <c r="M486" s="260"/>
      <c r="N486" s="262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3"/>
      <c r="Z486" s="260"/>
      <c r="AA486" s="260"/>
      <c r="AB486" s="260"/>
      <c r="AC486" s="260"/>
      <c r="AD486" s="260"/>
      <c r="AE486" s="260"/>
      <c r="AF486" s="264"/>
      <c r="AG486" s="260"/>
      <c r="AH486" s="260"/>
      <c r="AI486" s="260"/>
    </row>
    <row r="487">
      <c r="A487" s="259"/>
      <c r="B487" s="260"/>
      <c r="C487" s="260"/>
      <c r="D487" s="260"/>
      <c r="E487" s="260"/>
      <c r="F487" s="260"/>
      <c r="G487" s="261"/>
      <c r="H487" s="259"/>
      <c r="I487" s="260"/>
      <c r="J487" s="260"/>
      <c r="K487" s="260"/>
      <c r="L487" s="260"/>
      <c r="M487" s="260"/>
      <c r="N487" s="262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3"/>
      <c r="Z487" s="260"/>
      <c r="AA487" s="260"/>
      <c r="AB487" s="260"/>
      <c r="AC487" s="260"/>
      <c r="AD487" s="260"/>
      <c r="AE487" s="260"/>
      <c r="AF487" s="264"/>
      <c r="AG487" s="260"/>
      <c r="AH487" s="260"/>
      <c r="AI487" s="260"/>
    </row>
    <row r="488">
      <c r="A488" s="259"/>
      <c r="B488" s="260"/>
      <c r="C488" s="260"/>
      <c r="D488" s="260"/>
      <c r="E488" s="260"/>
      <c r="F488" s="260"/>
      <c r="G488" s="261"/>
      <c r="H488" s="259"/>
      <c r="I488" s="260"/>
      <c r="J488" s="260"/>
      <c r="K488" s="260"/>
      <c r="L488" s="260"/>
      <c r="M488" s="260"/>
      <c r="N488" s="262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3"/>
      <c r="Z488" s="260"/>
      <c r="AA488" s="260"/>
      <c r="AB488" s="260"/>
      <c r="AC488" s="260"/>
      <c r="AD488" s="260"/>
      <c r="AE488" s="260"/>
      <c r="AF488" s="264"/>
      <c r="AG488" s="260"/>
      <c r="AH488" s="260"/>
      <c r="AI488" s="260"/>
    </row>
    <row r="489">
      <c r="A489" s="259"/>
      <c r="B489" s="260"/>
      <c r="C489" s="260"/>
      <c r="D489" s="260"/>
      <c r="E489" s="260"/>
      <c r="F489" s="260"/>
      <c r="G489" s="261"/>
      <c r="H489" s="259"/>
      <c r="I489" s="260"/>
      <c r="J489" s="260"/>
      <c r="K489" s="260"/>
      <c r="L489" s="260"/>
      <c r="M489" s="260"/>
      <c r="N489" s="262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3"/>
      <c r="Z489" s="260"/>
      <c r="AA489" s="260"/>
      <c r="AB489" s="260"/>
      <c r="AC489" s="260"/>
      <c r="AD489" s="260"/>
      <c r="AE489" s="260"/>
      <c r="AF489" s="264"/>
      <c r="AG489" s="260"/>
      <c r="AH489" s="260"/>
      <c r="AI489" s="260"/>
    </row>
    <row r="490">
      <c r="A490" s="259"/>
      <c r="B490" s="260"/>
      <c r="C490" s="260"/>
      <c r="D490" s="260"/>
      <c r="E490" s="260"/>
      <c r="F490" s="260"/>
      <c r="G490" s="261"/>
      <c r="H490" s="259"/>
      <c r="I490" s="260"/>
      <c r="J490" s="260"/>
      <c r="K490" s="260"/>
      <c r="L490" s="260"/>
      <c r="M490" s="260"/>
      <c r="N490" s="262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3"/>
      <c r="Z490" s="260"/>
      <c r="AA490" s="260"/>
      <c r="AB490" s="260"/>
      <c r="AC490" s="260"/>
      <c r="AD490" s="260"/>
      <c r="AE490" s="260"/>
      <c r="AF490" s="264"/>
      <c r="AG490" s="260"/>
      <c r="AH490" s="260"/>
      <c r="AI490" s="260"/>
    </row>
    <row r="491">
      <c r="A491" s="259"/>
      <c r="B491" s="260"/>
      <c r="C491" s="260"/>
      <c r="D491" s="260"/>
      <c r="E491" s="260"/>
      <c r="F491" s="260"/>
      <c r="G491" s="261"/>
      <c r="H491" s="259"/>
      <c r="I491" s="260"/>
      <c r="J491" s="260"/>
      <c r="K491" s="260"/>
      <c r="L491" s="260"/>
      <c r="M491" s="260"/>
      <c r="N491" s="262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3"/>
      <c r="Z491" s="260"/>
      <c r="AA491" s="260"/>
      <c r="AB491" s="260"/>
      <c r="AC491" s="260"/>
      <c r="AD491" s="260"/>
      <c r="AE491" s="260"/>
      <c r="AF491" s="264"/>
      <c r="AG491" s="260"/>
      <c r="AH491" s="260"/>
      <c r="AI491" s="260"/>
    </row>
    <row r="492">
      <c r="A492" s="259"/>
      <c r="B492" s="260"/>
      <c r="C492" s="260"/>
      <c r="D492" s="260"/>
      <c r="E492" s="260"/>
      <c r="F492" s="260"/>
      <c r="G492" s="261"/>
      <c r="H492" s="259"/>
      <c r="I492" s="260"/>
      <c r="J492" s="260"/>
      <c r="K492" s="260"/>
      <c r="L492" s="260"/>
      <c r="M492" s="260"/>
      <c r="N492" s="262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3"/>
      <c r="Z492" s="260"/>
      <c r="AA492" s="260"/>
      <c r="AB492" s="260"/>
      <c r="AC492" s="260"/>
      <c r="AD492" s="260"/>
      <c r="AE492" s="260"/>
      <c r="AF492" s="264"/>
      <c r="AG492" s="260"/>
      <c r="AH492" s="260"/>
      <c r="AI492" s="260"/>
    </row>
    <row r="493">
      <c r="A493" s="259"/>
      <c r="B493" s="260"/>
      <c r="C493" s="260"/>
      <c r="D493" s="260"/>
      <c r="E493" s="260"/>
      <c r="F493" s="260"/>
      <c r="G493" s="261"/>
      <c r="H493" s="259"/>
      <c r="I493" s="260"/>
      <c r="J493" s="260"/>
      <c r="K493" s="260"/>
      <c r="L493" s="260"/>
      <c r="M493" s="260"/>
      <c r="N493" s="262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3"/>
      <c r="Z493" s="260"/>
      <c r="AA493" s="260"/>
      <c r="AB493" s="260"/>
      <c r="AC493" s="260"/>
      <c r="AD493" s="260"/>
      <c r="AE493" s="260"/>
      <c r="AF493" s="264"/>
      <c r="AG493" s="260"/>
      <c r="AH493" s="260"/>
      <c r="AI493" s="260"/>
    </row>
    <row r="494">
      <c r="A494" s="259"/>
      <c r="B494" s="260"/>
      <c r="C494" s="260"/>
      <c r="D494" s="260"/>
      <c r="E494" s="260"/>
      <c r="F494" s="260"/>
      <c r="G494" s="261"/>
      <c r="H494" s="259"/>
      <c r="I494" s="260"/>
      <c r="J494" s="260"/>
      <c r="K494" s="260"/>
      <c r="L494" s="260"/>
      <c r="M494" s="260"/>
      <c r="N494" s="262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3"/>
      <c r="Z494" s="260"/>
      <c r="AA494" s="260"/>
      <c r="AB494" s="260"/>
      <c r="AC494" s="260"/>
      <c r="AD494" s="260"/>
      <c r="AE494" s="260"/>
      <c r="AF494" s="264"/>
      <c r="AG494" s="260"/>
      <c r="AH494" s="260"/>
      <c r="AI494" s="260"/>
    </row>
    <row r="495">
      <c r="A495" s="259"/>
      <c r="B495" s="260"/>
      <c r="C495" s="260"/>
      <c r="D495" s="260"/>
      <c r="E495" s="260"/>
      <c r="F495" s="260"/>
      <c r="G495" s="261"/>
      <c r="H495" s="259"/>
      <c r="I495" s="260"/>
      <c r="J495" s="260"/>
      <c r="K495" s="260"/>
      <c r="L495" s="260"/>
      <c r="M495" s="260"/>
      <c r="N495" s="262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3"/>
      <c r="Z495" s="260"/>
      <c r="AA495" s="260"/>
      <c r="AB495" s="260"/>
      <c r="AC495" s="260"/>
      <c r="AD495" s="260"/>
      <c r="AE495" s="260"/>
      <c r="AF495" s="264"/>
      <c r="AG495" s="260"/>
      <c r="AH495" s="260"/>
      <c r="AI495" s="260"/>
    </row>
    <row r="496">
      <c r="A496" s="259"/>
      <c r="B496" s="260"/>
      <c r="C496" s="260"/>
      <c r="D496" s="260"/>
      <c r="E496" s="260"/>
      <c r="F496" s="260"/>
      <c r="G496" s="261"/>
      <c r="H496" s="259"/>
      <c r="I496" s="260"/>
      <c r="J496" s="260"/>
      <c r="K496" s="260"/>
      <c r="L496" s="260"/>
      <c r="M496" s="260"/>
      <c r="N496" s="262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3"/>
      <c r="Z496" s="260"/>
      <c r="AA496" s="260"/>
      <c r="AB496" s="260"/>
      <c r="AC496" s="260"/>
      <c r="AD496" s="260"/>
      <c r="AE496" s="260"/>
      <c r="AF496" s="264"/>
      <c r="AG496" s="260"/>
      <c r="AH496" s="260"/>
      <c r="AI496" s="260"/>
    </row>
    <row r="497">
      <c r="A497" s="259"/>
      <c r="B497" s="260"/>
      <c r="C497" s="260"/>
      <c r="D497" s="260"/>
      <c r="E497" s="260"/>
      <c r="F497" s="260"/>
      <c r="G497" s="261"/>
      <c r="H497" s="259"/>
      <c r="I497" s="260"/>
      <c r="J497" s="260"/>
      <c r="K497" s="260"/>
      <c r="L497" s="260"/>
      <c r="M497" s="260"/>
      <c r="N497" s="262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3"/>
      <c r="Z497" s="260"/>
      <c r="AA497" s="260"/>
      <c r="AB497" s="260"/>
      <c r="AC497" s="260"/>
      <c r="AD497" s="260"/>
      <c r="AE497" s="260"/>
      <c r="AF497" s="264"/>
      <c r="AG497" s="260"/>
      <c r="AH497" s="260"/>
      <c r="AI497" s="260"/>
    </row>
    <row r="498">
      <c r="A498" s="259"/>
      <c r="B498" s="260"/>
      <c r="C498" s="260"/>
      <c r="D498" s="260"/>
      <c r="E498" s="260"/>
      <c r="F498" s="260"/>
      <c r="G498" s="261"/>
      <c r="H498" s="259"/>
      <c r="I498" s="260"/>
      <c r="J498" s="260"/>
      <c r="K498" s="260"/>
      <c r="L498" s="260"/>
      <c r="M498" s="260"/>
      <c r="N498" s="262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3"/>
      <c r="Z498" s="260"/>
      <c r="AA498" s="260"/>
      <c r="AB498" s="260"/>
      <c r="AC498" s="260"/>
      <c r="AD498" s="260"/>
      <c r="AE498" s="260"/>
      <c r="AF498" s="264"/>
      <c r="AG498" s="260"/>
      <c r="AH498" s="260"/>
      <c r="AI498" s="260"/>
    </row>
    <row r="499">
      <c r="A499" s="259"/>
      <c r="B499" s="260"/>
      <c r="C499" s="260"/>
      <c r="D499" s="260"/>
      <c r="E499" s="260"/>
      <c r="F499" s="260"/>
      <c r="G499" s="261"/>
      <c r="H499" s="259"/>
      <c r="I499" s="260"/>
      <c r="J499" s="260"/>
      <c r="K499" s="260"/>
      <c r="L499" s="260"/>
      <c r="M499" s="260"/>
      <c r="N499" s="262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3"/>
      <c r="Z499" s="260"/>
      <c r="AA499" s="260"/>
      <c r="AB499" s="260"/>
      <c r="AC499" s="260"/>
      <c r="AD499" s="260"/>
      <c r="AE499" s="260"/>
      <c r="AF499" s="264"/>
      <c r="AG499" s="260"/>
      <c r="AH499" s="260"/>
      <c r="AI499" s="260"/>
    </row>
    <row r="500">
      <c r="A500" s="259"/>
      <c r="B500" s="260"/>
      <c r="C500" s="260"/>
      <c r="D500" s="260"/>
      <c r="E500" s="260"/>
      <c r="F500" s="260"/>
      <c r="G500" s="261"/>
      <c r="H500" s="259"/>
      <c r="I500" s="260"/>
      <c r="J500" s="260"/>
      <c r="K500" s="260"/>
      <c r="L500" s="260"/>
      <c r="M500" s="260"/>
      <c r="N500" s="262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3"/>
      <c r="Z500" s="260"/>
      <c r="AA500" s="260"/>
      <c r="AB500" s="260"/>
      <c r="AC500" s="260"/>
      <c r="AD500" s="260"/>
      <c r="AE500" s="260"/>
      <c r="AF500" s="264"/>
      <c r="AG500" s="260"/>
      <c r="AH500" s="260"/>
      <c r="AI500" s="260"/>
    </row>
    <row r="501">
      <c r="A501" s="259"/>
      <c r="B501" s="260"/>
      <c r="C501" s="260"/>
      <c r="D501" s="260"/>
      <c r="E501" s="260"/>
      <c r="F501" s="260"/>
      <c r="G501" s="261"/>
      <c r="H501" s="259"/>
      <c r="I501" s="260"/>
      <c r="J501" s="260"/>
      <c r="K501" s="260"/>
      <c r="L501" s="260"/>
      <c r="M501" s="260"/>
      <c r="N501" s="262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3"/>
      <c r="Z501" s="260"/>
      <c r="AA501" s="260"/>
      <c r="AB501" s="260"/>
      <c r="AC501" s="260"/>
      <c r="AD501" s="260"/>
      <c r="AE501" s="260"/>
      <c r="AF501" s="264"/>
      <c r="AG501" s="260"/>
      <c r="AH501" s="260"/>
      <c r="AI501" s="260"/>
    </row>
    <row r="502">
      <c r="A502" s="259"/>
      <c r="B502" s="260"/>
      <c r="C502" s="260"/>
      <c r="D502" s="260"/>
      <c r="E502" s="260"/>
      <c r="F502" s="260"/>
      <c r="G502" s="261"/>
      <c r="H502" s="259"/>
      <c r="I502" s="260"/>
      <c r="J502" s="260"/>
      <c r="K502" s="260"/>
      <c r="L502" s="260"/>
      <c r="M502" s="260"/>
      <c r="N502" s="262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3"/>
      <c r="Z502" s="260"/>
      <c r="AA502" s="260"/>
      <c r="AB502" s="260"/>
      <c r="AC502" s="260"/>
      <c r="AD502" s="260"/>
      <c r="AE502" s="260"/>
      <c r="AF502" s="264"/>
      <c r="AG502" s="260"/>
      <c r="AH502" s="260"/>
      <c r="AI502" s="260"/>
    </row>
    <row r="503">
      <c r="A503" s="259"/>
      <c r="B503" s="260"/>
      <c r="C503" s="260"/>
      <c r="D503" s="260"/>
      <c r="E503" s="260"/>
      <c r="F503" s="260"/>
      <c r="G503" s="261"/>
      <c r="H503" s="259"/>
      <c r="I503" s="260"/>
      <c r="J503" s="260"/>
      <c r="K503" s="260"/>
      <c r="L503" s="260"/>
      <c r="M503" s="260"/>
      <c r="N503" s="262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3"/>
      <c r="Z503" s="260"/>
      <c r="AA503" s="260"/>
      <c r="AB503" s="260"/>
      <c r="AC503" s="260"/>
      <c r="AD503" s="260"/>
      <c r="AE503" s="260"/>
      <c r="AF503" s="264"/>
      <c r="AG503" s="260"/>
      <c r="AH503" s="260"/>
      <c r="AI503" s="260"/>
    </row>
    <row r="504">
      <c r="A504" s="259"/>
      <c r="B504" s="260"/>
      <c r="C504" s="260"/>
      <c r="D504" s="260"/>
      <c r="E504" s="260"/>
      <c r="F504" s="260"/>
      <c r="G504" s="261"/>
      <c r="H504" s="259"/>
      <c r="I504" s="260"/>
      <c r="J504" s="260"/>
      <c r="K504" s="260"/>
      <c r="L504" s="260"/>
      <c r="M504" s="260"/>
      <c r="N504" s="262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3"/>
      <c r="Z504" s="260"/>
      <c r="AA504" s="260"/>
      <c r="AB504" s="260"/>
      <c r="AC504" s="260"/>
      <c r="AD504" s="260"/>
      <c r="AE504" s="260"/>
      <c r="AF504" s="264"/>
      <c r="AG504" s="260"/>
      <c r="AH504" s="260"/>
      <c r="AI504" s="260"/>
    </row>
    <row r="505">
      <c r="A505" s="259"/>
      <c r="B505" s="260"/>
      <c r="C505" s="260"/>
      <c r="D505" s="260"/>
      <c r="E505" s="260"/>
      <c r="F505" s="260"/>
      <c r="G505" s="261"/>
      <c r="H505" s="259"/>
      <c r="I505" s="260"/>
      <c r="J505" s="260"/>
      <c r="K505" s="260"/>
      <c r="L505" s="260"/>
      <c r="M505" s="260"/>
      <c r="N505" s="262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3"/>
      <c r="Z505" s="260"/>
      <c r="AA505" s="260"/>
      <c r="AB505" s="260"/>
      <c r="AC505" s="260"/>
      <c r="AD505" s="260"/>
      <c r="AE505" s="260"/>
      <c r="AF505" s="264"/>
      <c r="AG505" s="260"/>
      <c r="AH505" s="260"/>
      <c r="AI505" s="260"/>
    </row>
    <row r="506">
      <c r="A506" s="259"/>
      <c r="B506" s="260"/>
      <c r="C506" s="260"/>
      <c r="D506" s="260"/>
      <c r="E506" s="260"/>
      <c r="F506" s="260"/>
      <c r="G506" s="261"/>
      <c r="H506" s="259"/>
      <c r="I506" s="260"/>
      <c r="J506" s="260"/>
      <c r="K506" s="260"/>
      <c r="L506" s="260"/>
      <c r="M506" s="260"/>
      <c r="N506" s="262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3"/>
      <c r="Z506" s="260"/>
      <c r="AA506" s="260"/>
      <c r="AB506" s="260"/>
      <c r="AC506" s="260"/>
      <c r="AD506" s="260"/>
      <c r="AE506" s="260"/>
      <c r="AF506" s="264"/>
      <c r="AG506" s="260"/>
      <c r="AH506" s="260"/>
      <c r="AI506" s="260"/>
    </row>
    <row r="507">
      <c r="A507" s="259"/>
      <c r="B507" s="260"/>
      <c r="C507" s="260"/>
      <c r="D507" s="260"/>
      <c r="E507" s="260"/>
      <c r="F507" s="260"/>
      <c r="G507" s="261"/>
      <c r="H507" s="259"/>
      <c r="I507" s="260"/>
      <c r="J507" s="260"/>
      <c r="K507" s="260"/>
      <c r="L507" s="260"/>
      <c r="M507" s="260"/>
      <c r="N507" s="262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3"/>
      <c r="Z507" s="260"/>
      <c r="AA507" s="260"/>
      <c r="AB507" s="260"/>
      <c r="AC507" s="260"/>
      <c r="AD507" s="260"/>
      <c r="AE507" s="260"/>
      <c r="AF507" s="264"/>
      <c r="AG507" s="260"/>
      <c r="AH507" s="260"/>
      <c r="AI507" s="260"/>
    </row>
    <row r="508">
      <c r="A508" s="259"/>
      <c r="B508" s="260"/>
      <c r="C508" s="260"/>
      <c r="D508" s="260"/>
      <c r="E508" s="260"/>
      <c r="F508" s="260"/>
      <c r="G508" s="261"/>
      <c r="H508" s="259"/>
      <c r="I508" s="260"/>
      <c r="J508" s="260"/>
      <c r="K508" s="260"/>
      <c r="L508" s="260"/>
      <c r="M508" s="260"/>
      <c r="N508" s="262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3"/>
      <c r="Z508" s="260"/>
      <c r="AA508" s="260"/>
      <c r="AB508" s="260"/>
      <c r="AC508" s="260"/>
      <c r="AD508" s="260"/>
      <c r="AE508" s="260"/>
      <c r="AF508" s="264"/>
      <c r="AG508" s="260"/>
      <c r="AH508" s="260"/>
      <c r="AI508" s="260"/>
    </row>
    <row r="509">
      <c r="A509" s="259"/>
      <c r="B509" s="260"/>
      <c r="C509" s="260"/>
      <c r="D509" s="260"/>
      <c r="E509" s="260"/>
      <c r="F509" s="260"/>
      <c r="G509" s="261"/>
      <c r="H509" s="259"/>
      <c r="I509" s="260"/>
      <c r="J509" s="260"/>
      <c r="K509" s="260"/>
      <c r="L509" s="260"/>
      <c r="M509" s="260"/>
      <c r="N509" s="262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3"/>
      <c r="Z509" s="260"/>
      <c r="AA509" s="260"/>
      <c r="AB509" s="260"/>
      <c r="AC509" s="260"/>
      <c r="AD509" s="260"/>
      <c r="AE509" s="260"/>
      <c r="AF509" s="264"/>
      <c r="AG509" s="260"/>
      <c r="AH509" s="260"/>
      <c r="AI509" s="260"/>
    </row>
    <row r="510">
      <c r="A510" s="259"/>
      <c r="B510" s="260"/>
      <c r="C510" s="260"/>
      <c r="D510" s="260"/>
      <c r="E510" s="260"/>
      <c r="F510" s="260"/>
      <c r="G510" s="261"/>
      <c r="H510" s="259"/>
      <c r="I510" s="260"/>
      <c r="J510" s="260"/>
      <c r="K510" s="260"/>
      <c r="L510" s="260"/>
      <c r="M510" s="260"/>
      <c r="N510" s="262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3"/>
      <c r="Z510" s="260"/>
      <c r="AA510" s="260"/>
      <c r="AB510" s="260"/>
      <c r="AC510" s="260"/>
      <c r="AD510" s="260"/>
      <c r="AE510" s="260"/>
      <c r="AF510" s="264"/>
      <c r="AG510" s="260"/>
      <c r="AH510" s="260"/>
      <c r="AI510" s="260"/>
    </row>
    <row r="511">
      <c r="A511" s="259"/>
      <c r="B511" s="260"/>
      <c r="C511" s="260"/>
      <c r="D511" s="260"/>
      <c r="E511" s="260"/>
      <c r="F511" s="260"/>
      <c r="G511" s="261"/>
      <c r="H511" s="259"/>
      <c r="I511" s="260"/>
      <c r="J511" s="260"/>
      <c r="K511" s="260"/>
      <c r="L511" s="260"/>
      <c r="M511" s="260"/>
      <c r="N511" s="262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3"/>
      <c r="Z511" s="260"/>
      <c r="AA511" s="260"/>
      <c r="AB511" s="260"/>
      <c r="AC511" s="260"/>
      <c r="AD511" s="260"/>
      <c r="AE511" s="260"/>
      <c r="AF511" s="264"/>
      <c r="AG511" s="260"/>
      <c r="AH511" s="260"/>
      <c r="AI511" s="260"/>
    </row>
    <row r="512">
      <c r="A512" s="259"/>
      <c r="B512" s="260"/>
      <c r="C512" s="260"/>
      <c r="D512" s="260"/>
      <c r="E512" s="260"/>
      <c r="F512" s="260"/>
      <c r="G512" s="261"/>
      <c r="H512" s="259"/>
      <c r="I512" s="260"/>
      <c r="J512" s="260"/>
      <c r="K512" s="260"/>
      <c r="L512" s="260"/>
      <c r="M512" s="260"/>
      <c r="N512" s="262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3"/>
      <c r="Z512" s="260"/>
      <c r="AA512" s="260"/>
      <c r="AB512" s="260"/>
      <c r="AC512" s="260"/>
      <c r="AD512" s="260"/>
      <c r="AE512" s="260"/>
      <c r="AF512" s="264"/>
      <c r="AG512" s="260"/>
      <c r="AH512" s="260"/>
      <c r="AI512" s="260"/>
    </row>
    <row r="513">
      <c r="A513" s="259"/>
      <c r="B513" s="260"/>
      <c r="C513" s="260"/>
      <c r="D513" s="260"/>
      <c r="E513" s="260"/>
      <c r="F513" s="260"/>
      <c r="G513" s="261"/>
      <c r="H513" s="259"/>
      <c r="I513" s="260"/>
      <c r="J513" s="260"/>
      <c r="K513" s="260"/>
      <c r="L513" s="260"/>
      <c r="M513" s="260"/>
      <c r="N513" s="262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3"/>
      <c r="Z513" s="260"/>
      <c r="AA513" s="260"/>
      <c r="AB513" s="260"/>
      <c r="AC513" s="260"/>
      <c r="AD513" s="260"/>
      <c r="AE513" s="260"/>
      <c r="AF513" s="264"/>
      <c r="AG513" s="260"/>
      <c r="AH513" s="260"/>
      <c r="AI513" s="260"/>
    </row>
    <row r="514">
      <c r="A514" s="259"/>
      <c r="B514" s="260"/>
      <c r="C514" s="260"/>
      <c r="D514" s="260"/>
      <c r="E514" s="260"/>
      <c r="F514" s="260"/>
      <c r="G514" s="261"/>
      <c r="H514" s="259"/>
      <c r="I514" s="260"/>
      <c r="J514" s="260"/>
      <c r="K514" s="260"/>
      <c r="L514" s="260"/>
      <c r="M514" s="260"/>
      <c r="N514" s="262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3"/>
      <c r="Z514" s="260"/>
      <c r="AA514" s="260"/>
      <c r="AB514" s="260"/>
      <c r="AC514" s="260"/>
      <c r="AD514" s="260"/>
      <c r="AE514" s="260"/>
      <c r="AF514" s="264"/>
      <c r="AG514" s="260"/>
      <c r="AH514" s="260"/>
      <c r="AI514" s="260"/>
    </row>
    <row r="515">
      <c r="A515" s="259"/>
      <c r="B515" s="260"/>
      <c r="C515" s="260"/>
      <c r="D515" s="260"/>
      <c r="E515" s="260"/>
      <c r="F515" s="260"/>
      <c r="G515" s="261"/>
      <c r="H515" s="259"/>
      <c r="I515" s="260"/>
      <c r="J515" s="260"/>
      <c r="K515" s="260"/>
      <c r="L515" s="260"/>
      <c r="M515" s="260"/>
      <c r="N515" s="262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3"/>
      <c r="Z515" s="260"/>
      <c r="AA515" s="260"/>
      <c r="AB515" s="260"/>
      <c r="AC515" s="260"/>
      <c r="AD515" s="260"/>
      <c r="AE515" s="260"/>
      <c r="AF515" s="264"/>
      <c r="AG515" s="260"/>
      <c r="AH515" s="260"/>
      <c r="AI515" s="260"/>
    </row>
    <row r="516">
      <c r="A516" s="259"/>
      <c r="B516" s="260"/>
      <c r="C516" s="260"/>
      <c r="D516" s="260"/>
      <c r="E516" s="260"/>
      <c r="F516" s="260"/>
      <c r="G516" s="261"/>
      <c r="H516" s="259"/>
      <c r="I516" s="260"/>
      <c r="J516" s="260"/>
      <c r="K516" s="260"/>
      <c r="L516" s="260"/>
      <c r="M516" s="260"/>
      <c r="N516" s="262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3"/>
      <c r="Z516" s="260"/>
      <c r="AA516" s="260"/>
      <c r="AB516" s="260"/>
      <c r="AC516" s="260"/>
      <c r="AD516" s="260"/>
      <c r="AE516" s="260"/>
      <c r="AF516" s="264"/>
      <c r="AG516" s="260"/>
      <c r="AH516" s="260"/>
      <c r="AI516" s="260"/>
    </row>
    <row r="517">
      <c r="A517" s="259"/>
      <c r="B517" s="260"/>
      <c r="C517" s="260"/>
      <c r="D517" s="260"/>
      <c r="E517" s="260"/>
      <c r="F517" s="260"/>
      <c r="G517" s="261"/>
      <c r="H517" s="259"/>
      <c r="I517" s="260"/>
      <c r="J517" s="260"/>
      <c r="K517" s="260"/>
      <c r="L517" s="260"/>
      <c r="M517" s="260"/>
      <c r="N517" s="262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3"/>
      <c r="Z517" s="260"/>
      <c r="AA517" s="260"/>
      <c r="AB517" s="260"/>
      <c r="AC517" s="260"/>
      <c r="AD517" s="260"/>
      <c r="AE517" s="260"/>
      <c r="AF517" s="264"/>
      <c r="AG517" s="260"/>
      <c r="AH517" s="260"/>
      <c r="AI517" s="260"/>
    </row>
    <row r="518">
      <c r="A518" s="259"/>
      <c r="B518" s="260"/>
      <c r="C518" s="260"/>
      <c r="D518" s="260"/>
      <c r="E518" s="260"/>
      <c r="F518" s="260"/>
      <c r="G518" s="261"/>
      <c r="H518" s="259"/>
      <c r="I518" s="260"/>
      <c r="J518" s="260"/>
      <c r="K518" s="260"/>
      <c r="L518" s="260"/>
      <c r="M518" s="260"/>
      <c r="N518" s="262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3"/>
      <c r="Z518" s="260"/>
      <c r="AA518" s="260"/>
      <c r="AB518" s="260"/>
      <c r="AC518" s="260"/>
      <c r="AD518" s="260"/>
      <c r="AE518" s="260"/>
      <c r="AF518" s="264"/>
      <c r="AG518" s="260"/>
      <c r="AH518" s="260"/>
      <c r="AI518" s="260"/>
    </row>
    <row r="519">
      <c r="A519" s="259"/>
      <c r="B519" s="260"/>
      <c r="C519" s="260"/>
      <c r="D519" s="260"/>
      <c r="E519" s="260"/>
      <c r="F519" s="260"/>
      <c r="G519" s="261"/>
      <c r="H519" s="259"/>
      <c r="I519" s="260"/>
      <c r="J519" s="260"/>
      <c r="K519" s="260"/>
      <c r="L519" s="260"/>
      <c r="M519" s="260"/>
      <c r="N519" s="262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3"/>
      <c r="Z519" s="260"/>
      <c r="AA519" s="260"/>
      <c r="AB519" s="260"/>
      <c r="AC519" s="260"/>
      <c r="AD519" s="260"/>
      <c r="AE519" s="260"/>
      <c r="AF519" s="264"/>
      <c r="AG519" s="260"/>
      <c r="AH519" s="260"/>
      <c r="AI519" s="260"/>
    </row>
    <row r="520">
      <c r="A520" s="259"/>
      <c r="B520" s="260"/>
      <c r="C520" s="260"/>
      <c r="D520" s="260"/>
      <c r="E520" s="260"/>
      <c r="F520" s="260"/>
      <c r="G520" s="261"/>
      <c r="H520" s="259"/>
      <c r="I520" s="260"/>
      <c r="J520" s="260"/>
      <c r="K520" s="260"/>
      <c r="L520" s="260"/>
      <c r="M520" s="260"/>
      <c r="N520" s="262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3"/>
      <c r="Z520" s="260"/>
      <c r="AA520" s="260"/>
      <c r="AB520" s="260"/>
      <c r="AC520" s="260"/>
      <c r="AD520" s="260"/>
      <c r="AE520" s="260"/>
      <c r="AF520" s="264"/>
      <c r="AG520" s="260"/>
      <c r="AH520" s="260"/>
      <c r="AI520" s="260"/>
    </row>
    <row r="521">
      <c r="A521" s="259"/>
      <c r="B521" s="260"/>
      <c r="C521" s="260"/>
      <c r="D521" s="260"/>
      <c r="E521" s="260"/>
      <c r="F521" s="260"/>
      <c r="G521" s="261"/>
      <c r="H521" s="259"/>
      <c r="I521" s="260"/>
      <c r="J521" s="260"/>
      <c r="K521" s="260"/>
      <c r="L521" s="260"/>
      <c r="M521" s="260"/>
      <c r="N521" s="262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3"/>
      <c r="Z521" s="260"/>
      <c r="AA521" s="260"/>
      <c r="AB521" s="260"/>
      <c r="AC521" s="260"/>
      <c r="AD521" s="260"/>
      <c r="AE521" s="260"/>
      <c r="AF521" s="264"/>
      <c r="AG521" s="260"/>
      <c r="AH521" s="260"/>
      <c r="AI521" s="260"/>
    </row>
    <row r="522">
      <c r="A522" s="259"/>
      <c r="B522" s="260"/>
      <c r="C522" s="260"/>
      <c r="D522" s="260"/>
      <c r="E522" s="260"/>
      <c r="F522" s="260"/>
      <c r="G522" s="261"/>
      <c r="H522" s="259"/>
      <c r="I522" s="260"/>
      <c r="J522" s="260"/>
      <c r="K522" s="260"/>
      <c r="L522" s="260"/>
      <c r="M522" s="260"/>
      <c r="N522" s="262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3"/>
      <c r="Z522" s="260"/>
      <c r="AA522" s="260"/>
      <c r="AB522" s="260"/>
      <c r="AC522" s="260"/>
      <c r="AD522" s="260"/>
      <c r="AE522" s="260"/>
      <c r="AF522" s="264"/>
      <c r="AG522" s="260"/>
      <c r="AH522" s="260"/>
      <c r="AI522" s="260"/>
    </row>
    <row r="523">
      <c r="A523" s="259"/>
      <c r="B523" s="260"/>
      <c r="C523" s="260"/>
      <c r="D523" s="260"/>
      <c r="E523" s="260"/>
      <c r="F523" s="260"/>
      <c r="G523" s="261"/>
      <c r="H523" s="259"/>
      <c r="I523" s="260"/>
      <c r="J523" s="260"/>
      <c r="K523" s="260"/>
      <c r="L523" s="260"/>
      <c r="M523" s="260"/>
      <c r="N523" s="262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3"/>
      <c r="Z523" s="260"/>
      <c r="AA523" s="260"/>
      <c r="AB523" s="260"/>
      <c r="AC523" s="260"/>
      <c r="AD523" s="260"/>
      <c r="AE523" s="260"/>
      <c r="AF523" s="264"/>
      <c r="AG523" s="260"/>
      <c r="AH523" s="260"/>
      <c r="AI523" s="260"/>
    </row>
    <row r="524">
      <c r="A524" s="259"/>
      <c r="B524" s="260"/>
      <c r="C524" s="260"/>
      <c r="D524" s="260"/>
      <c r="E524" s="260"/>
      <c r="F524" s="260"/>
      <c r="G524" s="261"/>
      <c r="H524" s="259"/>
      <c r="I524" s="260"/>
      <c r="J524" s="260"/>
      <c r="K524" s="260"/>
      <c r="L524" s="260"/>
      <c r="M524" s="260"/>
      <c r="N524" s="262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3"/>
      <c r="Z524" s="260"/>
      <c r="AA524" s="260"/>
      <c r="AB524" s="260"/>
      <c r="AC524" s="260"/>
      <c r="AD524" s="260"/>
      <c r="AE524" s="260"/>
      <c r="AF524" s="264"/>
      <c r="AG524" s="260"/>
      <c r="AH524" s="260"/>
      <c r="AI524" s="260"/>
    </row>
    <row r="525">
      <c r="A525" s="259"/>
      <c r="B525" s="260"/>
      <c r="C525" s="260"/>
      <c r="D525" s="260"/>
      <c r="E525" s="260"/>
      <c r="F525" s="260"/>
      <c r="G525" s="261"/>
      <c r="H525" s="259"/>
      <c r="I525" s="260"/>
      <c r="J525" s="260"/>
      <c r="K525" s="260"/>
      <c r="L525" s="260"/>
      <c r="M525" s="260"/>
      <c r="N525" s="262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3"/>
      <c r="Z525" s="260"/>
      <c r="AA525" s="260"/>
      <c r="AB525" s="260"/>
      <c r="AC525" s="260"/>
      <c r="AD525" s="260"/>
      <c r="AE525" s="260"/>
      <c r="AF525" s="264"/>
      <c r="AG525" s="260"/>
      <c r="AH525" s="260"/>
      <c r="AI525" s="260"/>
    </row>
    <row r="526">
      <c r="A526" s="259"/>
      <c r="B526" s="260"/>
      <c r="C526" s="260"/>
      <c r="D526" s="260"/>
      <c r="E526" s="260"/>
      <c r="F526" s="260"/>
      <c r="G526" s="261"/>
      <c r="H526" s="259"/>
      <c r="I526" s="260"/>
      <c r="J526" s="260"/>
      <c r="K526" s="260"/>
      <c r="L526" s="260"/>
      <c r="M526" s="260"/>
      <c r="N526" s="262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3"/>
      <c r="Z526" s="260"/>
      <c r="AA526" s="260"/>
      <c r="AB526" s="260"/>
      <c r="AC526" s="260"/>
      <c r="AD526" s="260"/>
      <c r="AE526" s="260"/>
      <c r="AF526" s="264"/>
      <c r="AG526" s="260"/>
      <c r="AH526" s="260"/>
      <c r="AI526" s="260"/>
    </row>
    <row r="527">
      <c r="A527" s="259"/>
      <c r="B527" s="260"/>
      <c r="C527" s="260"/>
      <c r="D527" s="260"/>
      <c r="E527" s="260"/>
      <c r="F527" s="260"/>
      <c r="G527" s="261"/>
      <c r="H527" s="259"/>
      <c r="I527" s="260"/>
      <c r="J527" s="260"/>
      <c r="K527" s="260"/>
      <c r="L527" s="260"/>
      <c r="M527" s="260"/>
      <c r="N527" s="262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3"/>
      <c r="Z527" s="260"/>
      <c r="AA527" s="260"/>
      <c r="AB527" s="260"/>
      <c r="AC527" s="260"/>
      <c r="AD527" s="260"/>
      <c r="AE527" s="260"/>
      <c r="AF527" s="264"/>
      <c r="AG527" s="260"/>
      <c r="AH527" s="260"/>
      <c r="AI527" s="260"/>
    </row>
    <row r="528">
      <c r="A528" s="259"/>
      <c r="B528" s="260"/>
      <c r="C528" s="260"/>
      <c r="D528" s="260"/>
      <c r="E528" s="260"/>
      <c r="F528" s="260"/>
      <c r="G528" s="261"/>
      <c r="H528" s="259"/>
      <c r="I528" s="260"/>
      <c r="J528" s="260"/>
      <c r="K528" s="260"/>
      <c r="L528" s="260"/>
      <c r="M528" s="260"/>
      <c r="N528" s="262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3"/>
      <c r="Z528" s="260"/>
      <c r="AA528" s="260"/>
      <c r="AB528" s="260"/>
      <c r="AC528" s="260"/>
      <c r="AD528" s="260"/>
      <c r="AE528" s="260"/>
      <c r="AF528" s="264"/>
      <c r="AG528" s="260"/>
      <c r="AH528" s="260"/>
      <c r="AI528" s="260"/>
    </row>
    <row r="529">
      <c r="A529" s="259"/>
      <c r="B529" s="260"/>
      <c r="C529" s="260"/>
      <c r="D529" s="260"/>
      <c r="E529" s="260"/>
      <c r="F529" s="260"/>
      <c r="G529" s="261"/>
      <c r="H529" s="259"/>
      <c r="I529" s="260"/>
      <c r="J529" s="260"/>
      <c r="K529" s="260"/>
      <c r="L529" s="260"/>
      <c r="M529" s="260"/>
      <c r="N529" s="262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3"/>
      <c r="Z529" s="260"/>
      <c r="AA529" s="260"/>
      <c r="AB529" s="260"/>
      <c r="AC529" s="260"/>
      <c r="AD529" s="260"/>
      <c r="AE529" s="260"/>
      <c r="AF529" s="264"/>
      <c r="AG529" s="260"/>
      <c r="AH529" s="260"/>
      <c r="AI529" s="260"/>
    </row>
    <row r="530">
      <c r="A530" s="259"/>
      <c r="B530" s="260"/>
      <c r="C530" s="260"/>
      <c r="D530" s="260"/>
      <c r="E530" s="260"/>
      <c r="F530" s="260"/>
      <c r="G530" s="261"/>
      <c r="H530" s="259"/>
      <c r="I530" s="260"/>
      <c r="J530" s="260"/>
      <c r="K530" s="260"/>
      <c r="L530" s="260"/>
      <c r="M530" s="260"/>
      <c r="N530" s="262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3"/>
      <c r="Z530" s="260"/>
      <c r="AA530" s="260"/>
      <c r="AB530" s="260"/>
      <c r="AC530" s="260"/>
      <c r="AD530" s="260"/>
      <c r="AE530" s="260"/>
      <c r="AF530" s="264"/>
      <c r="AG530" s="260"/>
      <c r="AH530" s="260"/>
      <c r="AI530" s="260"/>
    </row>
    <row r="531">
      <c r="A531" s="259"/>
      <c r="B531" s="260"/>
      <c r="C531" s="260"/>
      <c r="D531" s="260"/>
      <c r="E531" s="260"/>
      <c r="F531" s="260"/>
      <c r="G531" s="261"/>
      <c r="H531" s="259"/>
      <c r="I531" s="260"/>
      <c r="J531" s="260"/>
      <c r="K531" s="260"/>
      <c r="L531" s="260"/>
      <c r="M531" s="260"/>
      <c r="N531" s="262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3"/>
      <c r="Z531" s="260"/>
      <c r="AA531" s="260"/>
      <c r="AB531" s="260"/>
      <c r="AC531" s="260"/>
      <c r="AD531" s="260"/>
      <c r="AE531" s="260"/>
      <c r="AF531" s="264"/>
      <c r="AG531" s="260"/>
      <c r="AH531" s="260"/>
      <c r="AI531" s="260"/>
    </row>
    <row r="532">
      <c r="A532" s="259"/>
      <c r="B532" s="260"/>
      <c r="C532" s="260"/>
      <c r="D532" s="260"/>
      <c r="E532" s="260"/>
      <c r="F532" s="260"/>
      <c r="G532" s="261"/>
      <c r="H532" s="259"/>
      <c r="I532" s="260"/>
      <c r="J532" s="260"/>
      <c r="K532" s="260"/>
      <c r="L532" s="260"/>
      <c r="M532" s="260"/>
      <c r="N532" s="262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3"/>
      <c r="Z532" s="260"/>
      <c r="AA532" s="260"/>
      <c r="AB532" s="260"/>
      <c r="AC532" s="260"/>
      <c r="AD532" s="260"/>
      <c r="AE532" s="260"/>
      <c r="AF532" s="264"/>
      <c r="AG532" s="260"/>
      <c r="AH532" s="260"/>
      <c r="AI532" s="260"/>
    </row>
    <row r="533">
      <c r="A533" s="259"/>
      <c r="B533" s="260"/>
      <c r="C533" s="260"/>
      <c r="D533" s="260"/>
      <c r="E533" s="260"/>
      <c r="F533" s="260"/>
      <c r="G533" s="261"/>
      <c r="H533" s="259"/>
      <c r="I533" s="260"/>
      <c r="J533" s="260"/>
      <c r="K533" s="260"/>
      <c r="L533" s="260"/>
      <c r="M533" s="260"/>
      <c r="N533" s="262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3"/>
      <c r="Z533" s="260"/>
      <c r="AA533" s="260"/>
      <c r="AB533" s="260"/>
      <c r="AC533" s="260"/>
      <c r="AD533" s="260"/>
      <c r="AE533" s="260"/>
      <c r="AF533" s="264"/>
      <c r="AG533" s="260"/>
      <c r="AH533" s="260"/>
      <c r="AI533" s="260"/>
    </row>
    <row r="534">
      <c r="A534" s="259"/>
      <c r="B534" s="260"/>
      <c r="C534" s="260"/>
      <c r="D534" s="260"/>
      <c r="E534" s="260"/>
      <c r="F534" s="260"/>
      <c r="G534" s="261"/>
      <c r="H534" s="259"/>
      <c r="I534" s="260"/>
      <c r="J534" s="260"/>
      <c r="K534" s="260"/>
      <c r="L534" s="260"/>
      <c r="M534" s="260"/>
      <c r="N534" s="262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3"/>
      <c r="Z534" s="260"/>
      <c r="AA534" s="260"/>
      <c r="AB534" s="260"/>
      <c r="AC534" s="260"/>
      <c r="AD534" s="260"/>
      <c r="AE534" s="260"/>
      <c r="AF534" s="264"/>
      <c r="AG534" s="260"/>
      <c r="AH534" s="260"/>
      <c r="AI534" s="260"/>
    </row>
    <row r="535">
      <c r="A535" s="259"/>
      <c r="B535" s="260"/>
      <c r="C535" s="260"/>
      <c r="D535" s="260"/>
      <c r="E535" s="260"/>
      <c r="F535" s="260"/>
      <c r="G535" s="261"/>
      <c r="H535" s="259"/>
      <c r="I535" s="260"/>
      <c r="J535" s="260"/>
      <c r="K535" s="260"/>
      <c r="L535" s="260"/>
      <c r="M535" s="260"/>
      <c r="N535" s="262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3"/>
      <c r="Z535" s="260"/>
      <c r="AA535" s="260"/>
      <c r="AB535" s="260"/>
      <c r="AC535" s="260"/>
      <c r="AD535" s="260"/>
      <c r="AE535" s="260"/>
      <c r="AF535" s="264"/>
      <c r="AG535" s="260"/>
      <c r="AH535" s="260"/>
      <c r="AI535" s="260"/>
    </row>
    <row r="536">
      <c r="A536" s="259"/>
      <c r="B536" s="260"/>
      <c r="C536" s="260"/>
      <c r="D536" s="260"/>
      <c r="E536" s="260"/>
      <c r="F536" s="260"/>
      <c r="G536" s="261"/>
      <c r="H536" s="259"/>
      <c r="I536" s="260"/>
      <c r="J536" s="260"/>
      <c r="K536" s="260"/>
      <c r="L536" s="260"/>
      <c r="M536" s="260"/>
      <c r="N536" s="262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3"/>
      <c r="Z536" s="260"/>
      <c r="AA536" s="260"/>
      <c r="AB536" s="260"/>
      <c r="AC536" s="260"/>
      <c r="AD536" s="260"/>
      <c r="AE536" s="260"/>
      <c r="AF536" s="264"/>
      <c r="AG536" s="260"/>
      <c r="AH536" s="260"/>
      <c r="AI536" s="260"/>
    </row>
    <row r="537">
      <c r="A537" s="259"/>
      <c r="B537" s="260"/>
      <c r="C537" s="260"/>
      <c r="D537" s="260"/>
      <c r="E537" s="260"/>
      <c r="F537" s="260"/>
      <c r="G537" s="261"/>
      <c r="H537" s="259"/>
      <c r="I537" s="260"/>
      <c r="J537" s="260"/>
      <c r="K537" s="260"/>
      <c r="L537" s="260"/>
      <c r="M537" s="260"/>
      <c r="N537" s="262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3"/>
      <c r="Z537" s="260"/>
      <c r="AA537" s="260"/>
      <c r="AB537" s="260"/>
      <c r="AC537" s="260"/>
      <c r="AD537" s="260"/>
      <c r="AE537" s="260"/>
      <c r="AF537" s="264"/>
      <c r="AG537" s="260"/>
      <c r="AH537" s="260"/>
      <c r="AI537" s="260"/>
    </row>
    <row r="538">
      <c r="A538" s="259"/>
      <c r="B538" s="260"/>
      <c r="C538" s="260"/>
      <c r="D538" s="260"/>
      <c r="E538" s="260"/>
      <c r="F538" s="260"/>
      <c r="G538" s="261"/>
      <c r="H538" s="259"/>
      <c r="I538" s="260"/>
      <c r="J538" s="260"/>
      <c r="K538" s="260"/>
      <c r="L538" s="260"/>
      <c r="M538" s="260"/>
      <c r="N538" s="262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3"/>
      <c r="Z538" s="260"/>
      <c r="AA538" s="260"/>
      <c r="AB538" s="260"/>
      <c r="AC538" s="260"/>
      <c r="AD538" s="260"/>
      <c r="AE538" s="260"/>
      <c r="AF538" s="264"/>
      <c r="AG538" s="260"/>
      <c r="AH538" s="260"/>
      <c r="AI538" s="260"/>
    </row>
    <row r="539">
      <c r="A539" s="259"/>
      <c r="B539" s="260"/>
      <c r="C539" s="260"/>
      <c r="D539" s="260"/>
      <c r="E539" s="260"/>
      <c r="F539" s="260"/>
      <c r="G539" s="261"/>
      <c r="H539" s="259"/>
      <c r="I539" s="260"/>
      <c r="J539" s="260"/>
      <c r="K539" s="260"/>
      <c r="L539" s="260"/>
      <c r="M539" s="260"/>
      <c r="N539" s="262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3"/>
      <c r="Z539" s="260"/>
      <c r="AA539" s="260"/>
      <c r="AB539" s="260"/>
      <c r="AC539" s="260"/>
      <c r="AD539" s="260"/>
      <c r="AE539" s="260"/>
      <c r="AF539" s="264"/>
      <c r="AG539" s="260"/>
      <c r="AH539" s="260"/>
      <c r="AI539" s="260"/>
    </row>
    <row r="540">
      <c r="A540" s="259"/>
      <c r="B540" s="260"/>
      <c r="C540" s="260"/>
      <c r="D540" s="260"/>
      <c r="E540" s="260"/>
      <c r="F540" s="260"/>
      <c r="G540" s="261"/>
      <c r="H540" s="259"/>
      <c r="I540" s="260"/>
      <c r="J540" s="260"/>
      <c r="K540" s="260"/>
      <c r="L540" s="260"/>
      <c r="M540" s="260"/>
      <c r="N540" s="262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3"/>
      <c r="Z540" s="260"/>
      <c r="AA540" s="260"/>
      <c r="AB540" s="260"/>
      <c r="AC540" s="260"/>
      <c r="AD540" s="260"/>
      <c r="AE540" s="260"/>
      <c r="AF540" s="264"/>
      <c r="AG540" s="260"/>
      <c r="AH540" s="260"/>
      <c r="AI540" s="260"/>
    </row>
    <row r="541">
      <c r="A541" s="259"/>
      <c r="B541" s="260"/>
      <c r="C541" s="260"/>
      <c r="D541" s="260"/>
      <c r="E541" s="260"/>
      <c r="F541" s="260"/>
      <c r="G541" s="261"/>
      <c r="H541" s="259"/>
      <c r="I541" s="260"/>
      <c r="J541" s="260"/>
      <c r="K541" s="260"/>
      <c r="L541" s="260"/>
      <c r="M541" s="260"/>
      <c r="N541" s="262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3"/>
      <c r="Z541" s="260"/>
      <c r="AA541" s="260"/>
      <c r="AB541" s="260"/>
      <c r="AC541" s="260"/>
      <c r="AD541" s="260"/>
      <c r="AE541" s="260"/>
      <c r="AF541" s="264"/>
      <c r="AG541" s="260"/>
      <c r="AH541" s="260"/>
      <c r="AI541" s="260"/>
    </row>
    <row r="542">
      <c r="A542" s="259"/>
      <c r="B542" s="260"/>
      <c r="C542" s="260"/>
      <c r="D542" s="260"/>
      <c r="E542" s="260"/>
      <c r="F542" s="260"/>
      <c r="G542" s="261"/>
      <c r="H542" s="259"/>
      <c r="I542" s="260"/>
      <c r="J542" s="260"/>
      <c r="K542" s="260"/>
      <c r="L542" s="260"/>
      <c r="M542" s="260"/>
      <c r="N542" s="262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3"/>
      <c r="Z542" s="260"/>
      <c r="AA542" s="260"/>
      <c r="AB542" s="260"/>
      <c r="AC542" s="260"/>
      <c r="AD542" s="260"/>
      <c r="AE542" s="260"/>
      <c r="AF542" s="264"/>
      <c r="AG542" s="260"/>
      <c r="AH542" s="260"/>
      <c r="AI542" s="260"/>
    </row>
    <row r="543">
      <c r="A543" s="259"/>
      <c r="B543" s="260"/>
      <c r="C543" s="260"/>
      <c r="D543" s="260"/>
      <c r="E543" s="260"/>
      <c r="F543" s="260"/>
      <c r="G543" s="261"/>
      <c r="H543" s="259"/>
      <c r="I543" s="260"/>
      <c r="J543" s="260"/>
      <c r="K543" s="260"/>
      <c r="L543" s="260"/>
      <c r="M543" s="260"/>
      <c r="N543" s="262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3"/>
      <c r="Z543" s="260"/>
      <c r="AA543" s="260"/>
      <c r="AB543" s="260"/>
      <c r="AC543" s="260"/>
      <c r="AD543" s="260"/>
      <c r="AE543" s="260"/>
      <c r="AF543" s="264"/>
      <c r="AG543" s="260"/>
      <c r="AH543" s="260"/>
      <c r="AI543" s="260"/>
    </row>
    <row r="544">
      <c r="A544" s="259"/>
      <c r="B544" s="260"/>
      <c r="C544" s="260"/>
      <c r="D544" s="260"/>
      <c r="E544" s="260"/>
      <c r="F544" s="260"/>
      <c r="G544" s="261"/>
      <c r="H544" s="259"/>
      <c r="I544" s="260"/>
      <c r="J544" s="260"/>
      <c r="K544" s="260"/>
      <c r="L544" s="260"/>
      <c r="M544" s="260"/>
      <c r="N544" s="262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3"/>
      <c r="Z544" s="260"/>
      <c r="AA544" s="260"/>
      <c r="AB544" s="260"/>
      <c r="AC544" s="260"/>
      <c r="AD544" s="260"/>
      <c r="AE544" s="260"/>
      <c r="AF544" s="264"/>
      <c r="AG544" s="260"/>
      <c r="AH544" s="260"/>
      <c r="AI544" s="260"/>
    </row>
    <row r="545">
      <c r="A545" s="259"/>
      <c r="B545" s="260"/>
      <c r="C545" s="260"/>
      <c r="D545" s="260"/>
      <c r="E545" s="260"/>
      <c r="F545" s="260"/>
      <c r="G545" s="261"/>
      <c r="H545" s="259"/>
      <c r="I545" s="260"/>
      <c r="J545" s="260"/>
      <c r="K545" s="260"/>
      <c r="L545" s="260"/>
      <c r="M545" s="260"/>
      <c r="N545" s="262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3"/>
      <c r="Z545" s="260"/>
      <c r="AA545" s="260"/>
      <c r="AB545" s="260"/>
      <c r="AC545" s="260"/>
      <c r="AD545" s="260"/>
      <c r="AE545" s="260"/>
      <c r="AF545" s="264"/>
      <c r="AG545" s="260"/>
      <c r="AH545" s="260"/>
      <c r="AI545" s="260"/>
    </row>
    <row r="546">
      <c r="A546" s="259"/>
      <c r="B546" s="260"/>
      <c r="C546" s="260"/>
      <c r="D546" s="260"/>
      <c r="E546" s="260"/>
      <c r="F546" s="260"/>
      <c r="G546" s="261"/>
      <c r="H546" s="259"/>
      <c r="I546" s="260"/>
      <c r="J546" s="260"/>
      <c r="K546" s="260"/>
      <c r="L546" s="260"/>
      <c r="M546" s="260"/>
      <c r="N546" s="262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3"/>
      <c r="Z546" s="260"/>
      <c r="AA546" s="260"/>
      <c r="AB546" s="260"/>
      <c r="AC546" s="260"/>
      <c r="AD546" s="260"/>
      <c r="AE546" s="260"/>
      <c r="AF546" s="264"/>
      <c r="AG546" s="260"/>
      <c r="AH546" s="260"/>
      <c r="AI546" s="260"/>
    </row>
    <row r="547">
      <c r="A547" s="259"/>
      <c r="B547" s="260"/>
      <c r="C547" s="260"/>
      <c r="D547" s="260"/>
      <c r="E547" s="260"/>
      <c r="F547" s="260"/>
      <c r="G547" s="261"/>
      <c r="H547" s="259"/>
      <c r="I547" s="260"/>
      <c r="J547" s="260"/>
      <c r="K547" s="260"/>
      <c r="L547" s="260"/>
      <c r="M547" s="260"/>
      <c r="N547" s="262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3"/>
      <c r="Z547" s="260"/>
      <c r="AA547" s="260"/>
      <c r="AB547" s="260"/>
      <c r="AC547" s="260"/>
      <c r="AD547" s="260"/>
      <c r="AE547" s="260"/>
      <c r="AF547" s="264"/>
      <c r="AG547" s="260"/>
      <c r="AH547" s="260"/>
      <c r="AI547" s="260"/>
    </row>
    <row r="548">
      <c r="A548" s="259"/>
      <c r="B548" s="260"/>
      <c r="C548" s="260"/>
      <c r="D548" s="260"/>
      <c r="E548" s="260"/>
      <c r="F548" s="260"/>
      <c r="G548" s="261"/>
      <c r="H548" s="259"/>
      <c r="I548" s="260"/>
      <c r="J548" s="260"/>
      <c r="K548" s="260"/>
      <c r="L548" s="260"/>
      <c r="M548" s="260"/>
      <c r="N548" s="262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3"/>
      <c r="Z548" s="260"/>
      <c r="AA548" s="260"/>
      <c r="AB548" s="260"/>
      <c r="AC548" s="260"/>
      <c r="AD548" s="260"/>
      <c r="AE548" s="260"/>
      <c r="AF548" s="264"/>
      <c r="AG548" s="260"/>
      <c r="AH548" s="260"/>
      <c r="AI548" s="260"/>
    </row>
    <row r="549">
      <c r="A549" s="259"/>
      <c r="B549" s="260"/>
      <c r="C549" s="260"/>
      <c r="D549" s="260"/>
      <c r="E549" s="260"/>
      <c r="F549" s="260"/>
      <c r="G549" s="261"/>
      <c r="H549" s="259"/>
      <c r="I549" s="260"/>
      <c r="J549" s="260"/>
      <c r="K549" s="260"/>
      <c r="L549" s="260"/>
      <c r="M549" s="260"/>
      <c r="N549" s="262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3"/>
      <c r="Z549" s="260"/>
      <c r="AA549" s="260"/>
      <c r="AB549" s="260"/>
      <c r="AC549" s="260"/>
      <c r="AD549" s="260"/>
      <c r="AE549" s="260"/>
      <c r="AF549" s="264"/>
      <c r="AG549" s="260"/>
      <c r="AH549" s="260"/>
      <c r="AI549" s="260"/>
    </row>
    <row r="550">
      <c r="A550" s="259"/>
      <c r="B550" s="260"/>
      <c r="C550" s="260"/>
      <c r="D550" s="260"/>
      <c r="E550" s="260"/>
      <c r="F550" s="260"/>
      <c r="G550" s="261"/>
      <c r="H550" s="259"/>
      <c r="I550" s="260"/>
      <c r="J550" s="260"/>
      <c r="K550" s="260"/>
      <c r="L550" s="260"/>
      <c r="M550" s="260"/>
      <c r="N550" s="262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3"/>
      <c r="Z550" s="260"/>
      <c r="AA550" s="260"/>
      <c r="AB550" s="260"/>
      <c r="AC550" s="260"/>
      <c r="AD550" s="260"/>
      <c r="AE550" s="260"/>
      <c r="AF550" s="264"/>
      <c r="AG550" s="260"/>
      <c r="AH550" s="260"/>
      <c r="AI550" s="260"/>
    </row>
    <row r="551">
      <c r="A551" s="259"/>
      <c r="B551" s="260"/>
      <c r="C551" s="260"/>
      <c r="D551" s="260"/>
      <c r="E551" s="260"/>
      <c r="F551" s="260"/>
      <c r="G551" s="261"/>
      <c r="H551" s="259"/>
      <c r="I551" s="260"/>
      <c r="J551" s="260"/>
      <c r="K551" s="260"/>
      <c r="L551" s="260"/>
      <c r="M551" s="260"/>
      <c r="N551" s="262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3"/>
      <c r="Z551" s="260"/>
      <c r="AA551" s="260"/>
      <c r="AB551" s="260"/>
      <c r="AC551" s="260"/>
      <c r="AD551" s="260"/>
      <c r="AE551" s="260"/>
      <c r="AF551" s="264"/>
      <c r="AG551" s="260"/>
      <c r="AH551" s="260"/>
      <c r="AI551" s="260"/>
    </row>
    <row r="552">
      <c r="A552" s="259"/>
      <c r="B552" s="260"/>
      <c r="C552" s="260"/>
      <c r="D552" s="260"/>
      <c r="E552" s="260"/>
      <c r="F552" s="260"/>
      <c r="G552" s="261"/>
      <c r="H552" s="259"/>
      <c r="I552" s="260"/>
      <c r="J552" s="260"/>
      <c r="K552" s="260"/>
      <c r="L552" s="260"/>
      <c r="M552" s="260"/>
      <c r="N552" s="262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3"/>
      <c r="Z552" s="260"/>
      <c r="AA552" s="260"/>
      <c r="AB552" s="260"/>
      <c r="AC552" s="260"/>
      <c r="AD552" s="260"/>
      <c r="AE552" s="260"/>
      <c r="AF552" s="264"/>
      <c r="AG552" s="260"/>
      <c r="AH552" s="260"/>
      <c r="AI552" s="260"/>
    </row>
    <row r="553">
      <c r="A553" s="259"/>
      <c r="B553" s="260"/>
      <c r="C553" s="260"/>
      <c r="D553" s="260"/>
      <c r="E553" s="260"/>
      <c r="F553" s="260"/>
      <c r="G553" s="261"/>
      <c r="H553" s="259"/>
      <c r="I553" s="260"/>
      <c r="J553" s="260"/>
      <c r="K553" s="260"/>
      <c r="L553" s="260"/>
      <c r="M553" s="260"/>
      <c r="N553" s="262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3"/>
      <c r="Z553" s="260"/>
      <c r="AA553" s="260"/>
      <c r="AB553" s="260"/>
      <c r="AC553" s="260"/>
      <c r="AD553" s="260"/>
      <c r="AE553" s="260"/>
      <c r="AF553" s="264"/>
      <c r="AG553" s="260"/>
      <c r="AH553" s="260"/>
      <c r="AI553" s="260"/>
    </row>
    <row r="554">
      <c r="A554" s="259"/>
      <c r="B554" s="260"/>
      <c r="C554" s="260"/>
      <c r="D554" s="260"/>
      <c r="E554" s="260"/>
      <c r="F554" s="260"/>
      <c r="G554" s="261"/>
      <c r="H554" s="259"/>
      <c r="I554" s="260"/>
      <c r="J554" s="260"/>
      <c r="K554" s="260"/>
      <c r="L554" s="260"/>
      <c r="M554" s="260"/>
      <c r="N554" s="262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3"/>
      <c r="Z554" s="260"/>
      <c r="AA554" s="260"/>
      <c r="AB554" s="260"/>
      <c r="AC554" s="260"/>
      <c r="AD554" s="260"/>
      <c r="AE554" s="260"/>
      <c r="AF554" s="264"/>
      <c r="AG554" s="260"/>
      <c r="AH554" s="260"/>
      <c r="AI554" s="260"/>
    </row>
    <row r="555">
      <c r="A555" s="259"/>
      <c r="B555" s="260"/>
      <c r="C555" s="260"/>
      <c r="D555" s="260"/>
      <c r="E555" s="260"/>
      <c r="F555" s="260"/>
      <c r="G555" s="261"/>
      <c r="H555" s="259"/>
      <c r="I555" s="260"/>
      <c r="J555" s="260"/>
      <c r="K555" s="260"/>
      <c r="L555" s="260"/>
      <c r="M555" s="260"/>
      <c r="N555" s="262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3"/>
      <c r="Z555" s="260"/>
      <c r="AA555" s="260"/>
      <c r="AB555" s="260"/>
      <c r="AC555" s="260"/>
      <c r="AD555" s="260"/>
      <c r="AE555" s="260"/>
      <c r="AF555" s="264"/>
      <c r="AG555" s="260"/>
      <c r="AH555" s="260"/>
      <c r="AI555" s="260"/>
    </row>
    <row r="556">
      <c r="A556" s="259"/>
      <c r="B556" s="260"/>
      <c r="C556" s="260"/>
      <c r="D556" s="260"/>
      <c r="E556" s="260"/>
      <c r="F556" s="260"/>
      <c r="G556" s="261"/>
      <c r="H556" s="259"/>
      <c r="I556" s="260"/>
      <c r="J556" s="260"/>
      <c r="K556" s="260"/>
      <c r="L556" s="260"/>
      <c r="M556" s="260"/>
      <c r="N556" s="262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3"/>
      <c r="Z556" s="260"/>
      <c r="AA556" s="260"/>
      <c r="AB556" s="260"/>
      <c r="AC556" s="260"/>
      <c r="AD556" s="260"/>
      <c r="AE556" s="260"/>
      <c r="AF556" s="264"/>
      <c r="AG556" s="260"/>
      <c r="AH556" s="260"/>
      <c r="AI556" s="260"/>
    </row>
    <row r="557">
      <c r="A557" s="259"/>
      <c r="B557" s="260"/>
      <c r="C557" s="260"/>
      <c r="D557" s="260"/>
      <c r="E557" s="260"/>
      <c r="F557" s="260"/>
      <c r="G557" s="261"/>
      <c r="H557" s="259"/>
      <c r="I557" s="260"/>
      <c r="J557" s="260"/>
      <c r="K557" s="260"/>
      <c r="L557" s="260"/>
      <c r="M557" s="260"/>
      <c r="N557" s="262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3"/>
      <c r="Z557" s="260"/>
      <c r="AA557" s="260"/>
      <c r="AB557" s="260"/>
      <c r="AC557" s="260"/>
      <c r="AD557" s="260"/>
      <c r="AE557" s="260"/>
      <c r="AF557" s="264"/>
      <c r="AG557" s="260"/>
      <c r="AH557" s="260"/>
      <c r="AI557" s="260"/>
    </row>
    <row r="558">
      <c r="A558" s="259"/>
      <c r="B558" s="260"/>
      <c r="C558" s="260"/>
      <c r="D558" s="260"/>
      <c r="E558" s="260"/>
      <c r="F558" s="260"/>
      <c r="G558" s="261"/>
      <c r="H558" s="259"/>
      <c r="I558" s="260"/>
      <c r="J558" s="260"/>
      <c r="K558" s="260"/>
      <c r="L558" s="260"/>
      <c r="M558" s="260"/>
      <c r="N558" s="262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3"/>
      <c r="Z558" s="260"/>
      <c r="AA558" s="260"/>
      <c r="AB558" s="260"/>
      <c r="AC558" s="260"/>
      <c r="AD558" s="260"/>
      <c r="AE558" s="260"/>
      <c r="AF558" s="264"/>
      <c r="AG558" s="260"/>
      <c r="AH558" s="260"/>
      <c r="AI558" s="260"/>
    </row>
    <row r="559">
      <c r="A559" s="259"/>
      <c r="B559" s="260"/>
      <c r="C559" s="260"/>
      <c r="D559" s="260"/>
      <c r="E559" s="260"/>
      <c r="F559" s="260"/>
      <c r="G559" s="261"/>
      <c r="H559" s="259"/>
      <c r="I559" s="260"/>
      <c r="J559" s="260"/>
      <c r="K559" s="260"/>
      <c r="L559" s="260"/>
      <c r="M559" s="260"/>
      <c r="N559" s="262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3"/>
      <c r="Z559" s="260"/>
      <c r="AA559" s="260"/>
      <c r="AB559" s="260"/>
      <c r="AC559" s="260"/>
      <c r="AD559" s="260"/>
      <c r="AE559" s="260"/>
      <c r="AF559" s="264"/>
      <c r="AG559" s="260"/>
      <c r="AH559" s="260"/>
      <c r="AI559" s="260"/>
    </row>
    <row r="560">
      <c r="A560" s="259"/>
      <c r="B560" s="260"/>
      <c r="C560" s="260"/>
      <c r="D560" s="260"/>
      <c r="E560" s="260"/>
      <c r="F560" s="260"/>
      <c r="G560" s="261"/>
      <c r="H560" s="259"/>
      <c r="I560" s="260"/>
      <c r="J560" s="260"/>
      <c r="K560" s="260"/>
      <c r="L560" s="260"/>
      <c r="M560" s="260"/>
      <c r="N560" s="262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3"/>
      <c r="Z560" s="260"/>
      <c r="AA560" s="260"/>
      <c r="AB560" s="260"/>
      <c r="AC560" s="260"/>
      <c r="AD560" s="260"/>
      <c r="AE560" s="260"/>
      <c r="AF560" s="264"/>
      <c r="AG560" s="260"/>
      <c r="AH560" s="260"/>
      <c r="AI560" s="260"/>
    </row>
    <row r="561">
      <c r="A561" s="259"/>
      <c r="B561" s="260"/>
      <c r="C561" s="260"/>
      <c r="D561" s="260"/>
      <c r="E561" s="260"/>
      <c r="F561" s="260"/>
      <c r="G561" s="261"/>
      <c r="H561" s="259"/>
      <c r="I561" s="260"/>
      <c r="J561" s="260"/>
      <c r="K561" s="260"/>
      <c r="L561" s="260"/>
      <c r="M561" s="260"/>
      <c r="N561" s="262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3"/>
      <c r="Z561" s="260"/>
      <c r="AA561" s="260"/>
      <c r="AB561" s="260"/>
      <c r="AC561" s="260"/>
      <c r="AD561" s="260"/>
      <c r="AE561" s="260"/>
      <c r="AF561" s="264"/>
      <c r="AG561" s="260"/>
      <c r="AH561" s="260"/>
      <c r="AI561" s="260"/>
    </row>
    <row r="562">
      <c r="A562" s="259"/>
      <c r="B562" s="260"/>
      <c r="C562" s="260"/>
      <c r="D562" s="260"/>
      <c r="E562" s="260"/>
      <c r="F562" s="260"/>
      <c r="G562" s="261"/>
      <c r="H562" s="259"/>
      <c r="I562" s="260"/>
      <c r="J562" s="260"/>
      <c r="K562" s="260"/>
      <c r="L562" s="260"/>
      <c r="M562" s="260"/>
      <c r="N562" s="262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3"/>
      <c r="Z562" s="260"/>
      <c r="AA562" s="260"/>
      <c r="AB562" s="260"/>
      <c r="AC562" s="260"/>
      <c r="AD562" s="260"/>
      <c r="AE562" s="260"/>
      <c r="AF562" s="264"/>
      <c r="AG562" s="260"/>
      <c r="AH562" s="260"/>
      <c r="AI562" s="260"/>
    </row>
    <row r="563">
      <c r="A563" s="259"/>
      <c r="B563" s="260"/>
      <c r="C563" s="260"/>
      <c r="D563" s="260"/>
      <c r="E563" s="260"/>
      <c r="F563" s="260"/>
      <c r="G563" s="261"/>
      <c r="H563" s="259"/>
      <c r="I563" s="260"/>
      <c r="J563" s="260"/>
      <c r="K563" s="260"/>
      <c r="L563" s="260"/>
      <c r="M563" s="260"/>
      <c r="N563" s="262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3"/>
      <c r="Z563" s="260"/>
      <c r="AA563" s="260"/>
      <c r="AB563" s="260"/>
      <c r="AC563" s="260"/>
      <c r="AD563" s="260"/>
      <c r="AE563" s="260"/>
      <c r="AF563" s="264"/>
      <c r="AG563" s="260"/>
      <c r="AH563" s="260"/>
      <c r="AI563" s="260"/>
    </row>
    <row r="564">
      <c r="A564" s="259"/>
      <c r="B564" s="260"/>
      <c r="C564" s="260"/>
      <c r="D564" s="260"/>
      <c r="E564" s="260"/>
      <c r="F564" s="260"/>
      <c r="G564" s="261"/>
      <c r="H564" s="259"/>
      <c r="I564" s="260"/>
      <c r="J564" s="260"/>
      <c r="K564" s="260"/>
      <c r="L564" s="260"/>
      <c r="M564" s="260"/>
      <c r="N564" s="262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3"/>
      <c r="Z564" s="260"/>
      <c r="AA564" s="260"/>
      <c r="AB564" s="260"/>
      <c r="AC564" s="260"/>
      <c r="AD564" s="260"/>
      <c r="AE564" s="260"/>
      <c r="AF564" s="264"/>
      <c r="AG564" s="260"/>
      <c r="AH564" s="260"/>
      <c r="AI564" s="260"/>
    </row>
    <row r="565">
      <c r="A565" s="259"/>
      <c r="B565" s="260"/>
      <c r="C565" s="260"/>
      <c r="D565" s="260"/>
      <c r="E565" s="260"/>
      <c r="F565" s="260"/>
      <c r="G565" s="261"/>
      <c r="H565" s="259"/>
      <c r="I565" s="260"/>
      <c r="J565" s="260"/>
      <c r="K565" s="260"/>
      <c r="L565" s="260"/>
      <c r="M565" s="260"/>
      <c r="N565" s="262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3"/>
      <c r="Z565" s="260"/>
      <c r="AA565" s="260"/>
      <c r="AB565" s="260"/>
      <c r="AC565" s="260"/>
      <c r="AD565" s="260"/>
      <c r="AE565" s="260"/>
      <c r="AF565" s="264"/>
      <c r="AG565" s="260"/>
      <c r="AH565" s="260"/>
      <c r="AI565" s="260"/>
    </row>
    <row r="566">
      <c r="A566" s="259"/>
      <c r="B566" s="260"/>
      <c r="C566" s="260"/>
      <c r="D566" s="260"/>
      <c r="E566" s="260"/>
      <c r="F566" s="260"/>
      <c r="G566" s="261"/>
      <c r="H566" s="259"/>
      <c r="I566" s="260"/>
      <c r="J566" s="260"/>
      <c r="K566" s="260"/>
      <c r="L566" s="260"/>
      <c r="M566" s="260"/>
      <c r="N566" s="262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3"/>
      <c r="Z566" s="260"/>
      <c r="AA566" s="260"/>
      <c r="AB566" s="260"/>
      <c r="AC566" s="260"/>
      <c r="AD566" s="260"/>
      <c r="AE566" s="260"/>
      <c r="AF566" s="264"/>
      <c r="AG566" s="260"/>
      <c r="AH566" s="260"/>
      <c r="AI566" s="260"/>
    </row>
    <row r="567">
      <c r="A567" s="259"/>
      <c r="B567" s="260"/>
      <c r="C567" s="260"/>
      <c r="D567" s="260"/>
      <c r="E567" s="260"/>
      <c r="F567" s="260"/>
      <c r="G567" s="261"/>
      <c r="H567" s="259"/>
      <c r="I567" s="260"/>
      <c r="J567" s="260"/>
      <c r="K567" s="260"/>
      <c r="L567" s="260"/>
      <c r="M567" s="260"/>
      <c r="N567" s="262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3"/>
      <c r="Z567" s="260"/>
      <c r="AA567" s="260"/>
      <c r="AB567" s="260"/>
      <c r="AC567" s="260"/>
      <c r="AD567" s="260"/>
      <c r="AE567" s="260"/>
      <c r="AF567" s="264"/>
      <c r="AG567" s="260"/>
      <c r="AH567" s="260"/>
      <c r="AI567" s="260"/>
    </row>
    <row r="568">
      <c r="A568" s="259"/>
      <c r="B568" s="260"/>
      <c r="C568" s="260"/>
      <c r="D568" s="260"/>
      <c r="E568" s="260"/>
      <c r="F568" s="260"/>
      <c r="G568" s="261"/>
      <c r="H568" s="259"/>
      <c r="I568" s="260"/>
      <c r="J568" s="260"/>
      <c r="K568" s="260"/>
      <c r="L568" s="260"/>
      <c r="M568" s="260"/>
      <c r="N568" s="262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3"/>
      <c r="Z568" s="260"/>
      <c r="AA568" s="260"/>
      <c r="AB568" s="260"/>
      <c r="AC568" s="260"/>
      <c r="AD568" s="260"/>
      <c r="AE568" s="260"/>
      <c r="AF568" s="264"/>
      <c r="AG568" s="260"/>
      <c r="AH568" s="260"/>
      <c r="AI568" s="260"/>
    </row>
    <row r="569">
      <c r="A569" s="259"/>
      <c r="B569" s="260"/>
      <c r="C569" s="260"/>
      <c r="D569" s="260"/>
      <c r="E569" s="260"/>
      <c r="F569" s="260"/>
      <c r="G569" s="261"/>
      <c r="H569" s="259"/>
      <c r="I569" s="260"/>
      <c r="J569" s="260"/>
      <c r="K569" s="260"/>
      <c r="L569" s="260"/>
      <c r="M569" s="260"/>
      <c r="N569" s="262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3"/>
      <c r="Z569" s="260"/>
      <c r="AA569" s="260"/>
      <c r="AB569" s="260"/>
      <c r="AC569" s="260"/>
      <c r="AD569" s="260"/>
      <c r="AE569" s="260"/>
      <c r="AF569" s="264"/>
      <c r="AG569" s="260"/>
      <c r="AH569" s="260"/>
      <c r="AI569" s="260"/>
    </row>
    <row r="570">
      <c r="A570" s="259"/>
      <c r="B570" s="260"/>
      <c r="C570" s="260"/>
      <c r="D570" s="260"/>
      <c r="E570" s="260"/>
      <c r="F570" s="260"/>
      <c r="G570" s="261"/>
      <c r="H570" s="259"/>
      <c r="I570" s="260"/>
      <c r="J570" s="260"/>
      <c r="K570" s="260"/>
      <c r="L570" s="260"/>
      <c r="M570" s="260"/>
      <c r="N570" s="262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3"/>
      <c r="Z570" s="260"/>
      <c r="AA570" s="260"/>
      <c r="AB570" s="260"/>
      <c r="AC570" s="260"/>
      <c r="AD570" s="260"/>
      <c r="AE570" s="260"/>
      <c r="AF570" s="264"/>
      <c r="AG570" s="260"/>
      <c r="AH570" s="260"/>
      <c r="AI570" s="260"/>
    </row>
    <row r="571">
      <c r="A571" s="259"/>
      <c r="B571" s="260"/>
      <c r="C571" s="260"/>
      <c r="D571" s="260"/>
      <c r="E571" s="260"/>
      <c r="F571" s="260"/>
      <c r="G571" s="261"/>
      <c r="H571" s="259"/>
      <c r="I571" s="260"/>
      <c r="J571" s="260"/>
      <c r="K571" s="260"/>
      <c r="L571" s="260"/>
      <c r="M571" s="260"/>
      <c r="N571" s="262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3"/>
      <c r="Z571" s="260"/>
      <c r="AA571" s="260"/>
      <c r="AB571" s="260"/>
      <c r="AC571" s="260"/>
      <c r="AD571" s="260"/>
      <c r="AE571" s="260"/>
      <c r="AF571" s="264"/>
      <c r="AG571" s="260"/>
      <c r="AH571" s="260"/>
      <c r="AI571" s="260"/>
    </row>
    <row r="572">
      <c r="A572" s="259"/>
      <c r="B572" s="260"/>
      <c r="C572" s="260"/>
      <c r="D572" s="260"/>
      <c r="E572" s="260"/>
      <c r="F572" s="260"/>
      <c r="G572" s="261"/>
      <c r="H572" s="259"/>
      <c r="I572" s="260"/>
      <c r="J572" s="260"/>
      <c r="K572" s="260"/>
      <c r="L572" s="260"/>
      <c r="M572" s="260"/>
      <c r="N572" s="262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3"/>
      <c r="Z572" s="260"/>
      <c r="AA572" s="260"/>
      <c r="AB572" s="260"/>
      <c r="AC572" s="260"/>
      <c r="AD572" s="260"/>
      <c r="AE572" s="260"/>
      <c r="AF572" s="264"/>
      <c r="AG572" s="260"/>
      <c r="AH572" s="260"/>
      <c r="AI572" s="260"/>
    </row>
    <row r="573">
      <c r="A573" s="259"/>
      <c r="B573" s="260"/>
      <c r="C573" s="260"/>
      <c r="D573" s="260"/>
      <c r="E573" s="260"/>
      <c r="F573" s="260"/>
      <c r="G573" s="261"/>
      <c r="H573" s="259"/>
      <c r="I573" s="260"/>
      <c r="J573" s="260"/>
      <c r="K573" s="260"/>
      <c r="L573" s="260"/>
      <c r="M573" s="260"/>
      <c r="N573" s="262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3"/>
      <c r="Z573" s="260"/>
      <c r="AA573" s="260"/>
      <c r="AB573" s="260"/>
      <c r="AC573" s="260"/>
      <c r="AD573" s="260"/>
      <c r="AE573" s="260"/>
      <c r="AF573" s="264"/>
      <c r="AG573" s="260"/>
      <c r="AH573" s="260"/>
      <c r="AI573" s="260"/>
    </row>
    <row r="574">
      <c r="A574" s="259"/>
      <c r="B574" s="260"/>
      <c r="C574" s="260"/>
      <c r="D574" s="260"/>
      <c r="E574" s="260"/>
      <c r="F574" s="260"/>
      <c r="G574" s="261"/>
      <c r="H574" s="259"/>
      <c r="I574" s="260"/>
      <c r="J574" s="260"/>
      <c r="K574" s="260"/>
      <c r="L574" s="260"/>
      <c r="M574" s="260"/>
      <c r="N574" s="262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3"/>
      <c r="Z574" s="260"/>
      <c r="AA574" s="260"/>
      <c r="AB574" s="260"/>
      <c r="AC574" s="260"/>
      <c r="AD574" s="260"/>
      <c r="AE574" s="260"/>
      <c r="AF574" s="264"/>
      <c r="AG574" s="260"/>
      <c r="AH574" s="260"/>
      <c r="AI574" s="260"/>
    </row>
    <row r="575">
      <c r="A575" s="259"/>
      <c r="B575" s="260"/>
      <c r="C575" s="260"/>
      <c r="D575" s="260"/>
      <c r="E575" s="260"/>
      <c r="F575" s="260"/>
      <c r="G575" s="261"/>
      <c r="H575" s="259"/>
      <c r="I575" s="260"/>
      <c r="J575" s="260"/>
      <c r="K575" s="260"/>
      <c r="L575" s="260"/>
      <c r="M575" s="260"/>
      <c r="N575" s="262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3"/>
      <c r="Z575" s="260"/>
      <c r="AA575" s="260"/>
      <c r="AB575" s="260"/>
      <c r="AC575" s="260"/>
      <c r="AD575" s="260"/>
      <c r="AE575" s="260"/>
      <c r="AF575" s="264"/>
      <c r="AG575" s="260"/>
      <c r="AH575" s="260"/>
      <c r="AI575" s="260"/>
    </row>
    <row r="576">
      <c r="A576" s="259"/>
      <c r="B576" s="260"/>
      <c r="C576" s="260"/>
      <c r="D576" s="260"/>
      <c r="E576" s="260"/>
      <c r="F576" s="260"/>
      <c r="G576" s="261"/>
      <c r="H576" s="259"/>
      <c r="I576" s="260"/>
      <c r="J576" s="260"/>
      <c r="K576" s="260"/>
      <c r="L576" s="260"/>
      <c r="M576" s="260"/>
      <c r="N576" s="262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3"/>
      <c r="Z576" s="260"/>
      <c r="AA576" s="260"/>
      <c r="AB576" s="260"/>
      <c r="AC576" s="260"/>
      <c r="AD576" s="260"/>
      <c r="AE576" s="260"/>
      <c r="AF576" s="264"/>
      <c r="AG576" s="260"/>
      <c r="AH576" s="260"/>
      <c r="AI576" s="260"/>
    </row>
    <row r="577">
      <c r="A577" s="259"/>
      <c r="B577" s="260"/>
      <c r="C577" s="260"/>
      <c r="D577" s="260"/>
      <c r="E577" s="260"/>
      <c r="F577" s="260"/>
      <c r="G577" s="261"/>
      <c r="H577" s="259"/>
      <c r="I577" s="260"/>
      <c r="J577" s="260"/>
      <c r="K577" s="260"/>
      <c r="L577" s="260"/>
      <c r="M577" s="260"/>
      <c r="N577" s="262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3"/>
      <c r="Z577" s="260"/>
      <c r="AA577" s="260"/>
      <c r="AB577" s="260"/>
      <c r="AC577" s="260"/>
      <c r="AD577" s="260"/>
      <c r="AE577" s="260"/>
      <c r="AF577" s="264"/>
      <c r="AG577" s="260"/>
      <c r="AH577" s="260"/>
      <c r="AI577" s="260"/>
    </row>
    <row r="578">
      <c r="A578" s="259"/>
      <c r="B578" s="260"/>
      <c r="C578" s="260"/>
      <c r="D578" s="260"/>
      <c r="E578" s="260"/>
      <c r="F578" s="260"/>
      <c r="G578" s="261"/>
      <c r="H578" s="259"/>
      <c r="I578" s="260"/>
      <c r="J578" s="260"/>
      <c r="K578" s="260"/>
      <c r="L578" s="260"/>
      <c r="M578" s="260"/>
      <c r="N578" s="262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3"/>
      <c r="Z578" s="260"/>
      <c r="AA578" s="260"/>
      <c r="AB578" s="260"/>
      <c r="AC578" s="260"/>
      <c r="AD578" s="260"/>
      <c r="AE578" s="260"/>
      <c r="AF578" s="264"/>
      <c r="AG578" s="260"/>
      <c r="AH578" s="260"/>
      <c r="AI578" s="260"/>
    </row>
    <row r="579">
      <c r="A579" s="259"/>
      <c r="B579" s="260"/>
      <c r="C579" s="260"/>
      <c r="D579" s="260"/>
      <c r="E579" s="260"/>
      <c r="F579" s="260"/>
      <c r="G579" s="261"/>
      <c r="H579" s="259"/>
      <c r="I579" s="260"/>
      <c r="J579" s="260"/>
      <c r="K579" s="260"/>
      <c r="L579" s="260"/>
      <c r="M579" s="260"/>
      <c r="N579" s="262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3"/>
      <c r="Z579" s="260"/>
      <c r="AA579" s="260"/>
      <c r="AB579" s="260"/>
      <c r="AC579" s="260"/>
      <c r="AD579" s="260"/>
      <c r="AE579" s="260"/>
      <c r="AF579" s="264"/>
      <c r="AG579" s="260"/>
      <c r="AH579" s="260"/>
      <c r="AI579" s="260"/>
    </row>
    <row r="580">
      <c r="A580" s="259"/>
      <c r="B580" s="260"/>
      <c r="C580" s="260"/>
      <c r="D580" s="260"/>
      <c r="E580" s="260"/>
      <c r="F580" s="260"/>
      <c r="G580" s="261"/>
      <c r="H580" s="259"/>
      <c r="I580" s="260"/>
      <c r="J580" s="260"/>
      <c r="K580" s="260"/>
      <c r="L580" s="260"/>
      <c r="M580" s="260"/>
      <c r="N580" s="262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3"/>
      <c r="Z580" s="260"/>
      <c r="AA580" s="260"/>
      <c r="AB580" s="260"/>
      <c r="AC580" s="260"/>
      <c r="AD580" s="260"/>
      <c r="AE580" s="260"/>
      <c r="AF580" s="264"/>
      <c r="AG580" s="260"/>
      <c r="AH580" s="260"/>
      <c r="AI580" s="260"/>
    </row>
    <row r="581">
      <c r="A581" s="259"/>
      <c r="B581" s="260"/>
      <c r="C581" s="260"/>
      <c r="D581" s="260"/>
      <c r="E581" s="260"/>
      <c r="F581" s="260"/>
      <c r="G581" s="261"/>
      <c r="H581" s="259"/>
      <c r="I581" s="260"/>
      <c r="J581" s="260"/>
      <c r="K581" s="260"/>
      <c r="L581" s="260"/>
      <c r="M581" s="260"/>
      <c r="N581" s="262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3"/>
      <c r="Z581" s="260"/>
      <c r="AA581" s="260"/>
      <c r="AB581" s="260"/>
      <c r="AC581" s="260"/>
      <c r="AD581" s="260"/>
      <c r="AE581" s="260"/>
      <c r="AF581" s="264"/>
      <c r="AG581" s="260"/>
      <c r="AH581" s="260"/>
      <c r="AI581" s="260"/>
    </row>
    <row r="582">
      <c r="A582" s="259"/>
      <c r="B582" s="260"/>
      <c r="C582" s="260"/>
      <c r="D582" s="260"/>
      <c r="E582" s="260"/>
      <c r="F582" s="260"/>
      <c r="G582" s="261"/>
      <c r="H582" s="259"/>
      <c r="I582" s="260"/>
      <c r="J582" s="260"/>
      <c r="K582" s="260"/>
      <c r="L582" s="260"/>
      <c r="M582" s="260"/>
      <c r="N582" s="262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3"/>
      <c r="Z582" s="260"/>
      <c r="AA582" s="260"/>
      <c r="AB582" s="260"/>
      <c r="AC582" s="260"/>
      <c r="AD582" s="260"/>
      <c r="AE582" s="260"/>
      <c r="AF582" s="264"/>
      <c r="AG582" s="260"/>
      <c r="AH582" s="260"/>
      <c r="AI582" s="260"/>
    </row>
    <row r="583">
      <c r="A583" s="259"/>
      <c r="B583" s="260"/>
      <c r="C583" s="260"/>
      <c r="D583" s="260"/>
      <c r="E583" s="260"/>
      <c r="F583" s="260"/>
      <c r="G583" s="261"/>
      <c r="H583" s="259"/>
      <c r="I583" s="260"/>
      <c r="J583" s="260"/>
      <c r="K583" s="260"/>
      <c r="L583" s="260"/>
      <c r="M583" s="260"/>
      <c r="N583" s="262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3"/>
      <c r="Z583" s="260"/>
      <c r="AA583" s="260"/>
      <c r="AB583" s="260"/>
      <c r="AC583" s="260"/>
      <c r="AD583" s="260"/>
      <c r="AE583" s="260"/>
      <c r="AF583" s="264"/>
      <c r="AG583" s="260"/>
      <c r="AH583" s="260"/>
      <c r="AI583" s="260"/>
    </row>
    <row r="584">
      <c r="A584" s="259"/>
      <c r="B584" s="260"/>
      <c r="C584" s="260"/>
      <c r="D584" s="260"/>
      <c r="E584" s="260"/>
      <c r="F584" s="260"/>
      <c r="G584" s="261"/>
      <c r="H584" s="259"/>
      <c r="I584" s="260"/>
      <c r="J584" s="260"/>
      <c r="K584" s="260"/>
      <c r="L584" s="260"/>
      <c r="M584" s="260"/>
      <c r="N584" s="262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3"/>
      <c r="Z584" s="260"/>
      <c r="AA584" s="260"/>
      <c r="AB584" s="260"/>
      <c r="AC584" s="260"/>
      <c r="AD584" s="260"/>
      <c r="AE584" s="260"/>
      <c r="AF584" s="264"/>
      <c r="AG584" s="260"/>
      <c r="AH584" s="260"/>
      <c r="AI584" s="260"/>
    </row>
    <row r="585">
      <c r="A585" s="259"/>
      <c r="B585" s="260"/>
      <c r="C585" s="260"/>
      <c r="D585" s="260"/>
      <c r="E585" s="260"/>
      <c r="F585" s="260"/>
      <c r="G585" s="261"/>
      <c r="H585" s="259"/>
      <c r="I585" s="260"/>
      <c r="J585" s="260"/>
      <c r="K585" s="260"/>
      <c r="L585" s="260"/>
      <c r="M585" s="260"/>
      <c r="N585" s="262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3"/>
      <c r="Z585" s="260"/>
      <c r="AA585" s="260"/>
      <c r="AB585" s="260"/>
      <c r="AC585" s="260"/>
      <c r="AD585" s="260"/>
      <c r="AE585" s="260"/>
      <c r="AF585" s="264"/>
      <c r="AG585" s="260"/>
      <c r="AH585" s="260"/>
      <c r="AI585" s="260"/>
    </row>
    <row r="586">
      <c r="A586" s="259"/>
      <c r="B586" s="260"/>
      <c r="C586" s="260"/>
      <c r="D586" s="260"/>
      <c r="E586" s="260"/>
      <c r="F586" s="260"/>
      <c r="G586" s="261"/>
      <c r="H586" s="259"/>
      <c r="I586" s="260"/>
      <c r="J586" s="260"/>
      <c r="K586" s="260"/>
      <c r="L586" s="260"/>
      <c r="M586" s="260"/>
      <c r="N586" s="262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3"/>
      <c r="Z586" s="260"/>
      <c r="AA586" s="260"/>
      <c r="AB586" s="260"/>
      <c r="AC586" s="260"/>
      <c r="AD586" s="260"/>
      <c r="AE586" s="260"/>
      <c r="AF586" s="264"/>
      <c r="AG586" s="260"/>
      <c r="AH586" s="260"/>
      <c r="AI586" s="260"/>
    </row>
    <row r="587">
      <c r="A587" s="259"/>
      <c r="B587" s="260"/>
      <c r="C587" s="260"/>
      <c r="D587" s="260"/>
      <c r="E587" s="260"/>
      <c r="F587" s="260"/>
      <c r="G587" s="261"/>
      <c r="H587" s="259"/>
      <c r="I587" s="260"/>
      <c r="J587" s="260"/>
      <c r="K587" s="260"/>
      <c r="L587" s="260"/>
      <c r="M587" s="260"/>
      <c r="N587" s="262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3"/>
      <c r="Z587" s="260"/>
      <c r="AA587" s="260"/>
      <c r="AB587" s="260"/>
      <c r="AC587" s="260"/>
      <c r="AD587" s="260"/>
      <c r="AE587" s="260"/>
      <c r="AF587" s="264"/>
      <c r="AG587" s="260"/>
      <c r="AH587" s="260"/>
      <c r="AI587" s="260"/>
    </row>
    <row r="588">
      <c r="A588" s="259"/>
      <c r="B588" s="260"/>
      <c r="C588" s="260"/>
      <c r="D588" s="260"/>
      <c r="E588" s="260"/>
      <c r="F588" s="260"/>
      <c r="G588" s="261"/>
      <c r="H588" s="259"/>
      <c r="I588" s="260"/>
      <c r="J588" s="260"/>
      <c r="K588" s="260"/>
      <c r="L588" s="260"/>
      <c r="M588" s="260"/>
      <c r="N588" s="262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3"/>
      <c r="Z588" s="260"/>
      <c r="AA588" s="260"/>
      <c r="AB588" s="260"/>
      <c r="AC588" s="260"/>
      <c r="AD588" s="260"/>
      <c r="AE588" s="260"/>
      <c r="AF588" s="264"/>
      <c r="AG588" s="260"/>
      <c r="AH588" s="260"/>
      <c r="AI588" s="260"/>
    </row>
    <row r="589">
      <c r="A589" s="259"/>
      <c r="B589" s="260"/>
      <c r="C589" s="260"/>
      <c r="D589" s="260"/>
      <c r="E589" s="260"/>
      <c r="F589" s="260"/>
      <c r="G589" s="261"/>
      <c r="H589" s="259"/>
      <c r="I589" s="260"/>
      <c r="J589" s="260"/>
      <c r="K589" s="260"/>
      <c r="L589" s="260"/>
      <c r="M589" s="260"/>
      <c r="N589" s="262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3"/>
      <c r="Z589" s="260"/>
      <c r="AA589" s="260"/>
      <c r="AB589" s="260"/>
      <c r="AC589" s="260"/>
      <c r="AD589" s="260"/>
      <c r="AE589" s="260"/>
      <c r="AF589" s="264"/>
      <c r="AG589" s="260"/>
      <c r="AH589" s="260"/>
      <c r="AI589" s="260"/>
    </row>
    <row r="590">
      <c r="A590" s="259"/>
      <c r="B590" s="260"/>
      <c r="C590" s="260"/>
      <c r="D590" s="260"/>
      <c r="E590" s="260"/>
      <c r="F590" s="260"/>
      <c r="G590" s="261"/>
      <c r="H590" s="259"/>
      <c r="I590" s="260"/>
      <c r="J590" s="260"/>
      <c r="K590" s="260"/>
      <c r="L590" s="260"/>
      <c r="M590" s="260"/>
      <c r="N590" s="262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3"/>
      <c r="Z590" s="260"/>
      <c r="AA590" s="260"/>
      <c r="AB590" s="260"/>
      <c r="AC590" s="260"/>
      <c r="AD590" s="260"/>
      <c r="AE590" s="260"/>
      <c r="AF590" s="264"/>
      <c r="AG590" s="260"/>
      <c r="AH590" s="260"/>
      <c r="AI590" s="260"/>
    </row>
    <row r="591">
      <c r="A591" s="259"/>
      <c r="B591" s="260"/>
      <c r="C591" s="260"/>
      <c r="D591" s="260"/>
      <c r="E591" s="260"/>
      <c r="F591" s="260"/>
      <c r="G591" s="261"/>
      <c r="H591" s="259"/>
      <c r="I591" s="260"/>
      <c r="J591" s="260"/>
      <c r="K591" s="260"/>
      <c r="L591" s="260"/>
      <c r="M591" s="260"/>
      <c r="N591" s="262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3"/>
      <c r="Z591" s="260"/>
      <c r="AA591" s="260"/>
      <c r="AB591" s="260"/>
      <c r="AC591" s="260"/>
      <c r="AD591" s="260"/>
      <c r="AE591" s="260"/>
      <c r="AF591" s="264"/>
      <c r="AG591" s="260"/>
      <c r="AH591" s="260"/>
      <c r="AI591" s="260"/>
    </row>
    <row r="592">
      <c r="A592" s="259"/>
      <c r="B592" s="260"/>
      <c r="C592" s="260"/>
      <c r="D592" s="260"/>
      <c r="E592" s="260"/>
      <c r="F592" s="260"/>
      <c r="G592" s="261"/>
      <c r="H592" s="259"/>
      <c r="I592" s="260"/>
      <c r="J592" s="260"/>
      <c r="K592" s="260"/>
      <c r="L592" s="260"/>
      <c r="M592" s="260"/>
      <c r="N592" s="262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3"/>
      <c r="Z592" s="260"/>
      <c r="AA592" s="260"/>
      <c r="AB592" s="260"/>
      <c r="AC592" s="260"/>
      <c r="AD592" s="260"/>
      <c r="AE592" s="260"/>
      <c r="AF592" s="264"/>
      <c r="AG592" s="260"/>
      <c r="AH592" s="260"/>
      <c r="AI592" s="260"/>
    </row>
    <row r="593">
      <c r="A593" s="259"/>
      <c r="B593" s="260"/>
      <c r="C593" s="260"/>
      <c r="D593" s="260"/>
      <c r="E593" s="260"/>
      <c r="F593" s="260"/>
      <c r="G593" s="261"/>
      <c r="H593" s="259"/>
      <c r="I593" s="260"/>
      <c r="J593" s="260"/>
      <c r="K593" s="260"/>
      <c r="L593" s="260"/>
      <c r="M593" s="260"/>
      <c r="N593" s="262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3"/>
      <c r="Z593" s="260"/>
      <c r="AA593" s="260"/>
      <c r="AB593" s="260"/>
      <c r="AC593" s="260"/>
      <c r="AD593" s="260"/>
      <c r="AE593" s="260"/>
      <c r="AF593" s="264"/>
      <c r="AG593" s="260"/>
      <c r="AH593" s="260"/>
      <c r="AI593" s="260"/>
    </row>
    <row r="594">
      <c r="A594" s="259"/>
      <c r="B594" s="260"/>
      <c r="C594" s="260"/>
      <c r="D594" s="260"/>
      <c r="E594" s="260"/>
      <c r="F594" s="260"/>
      <c r="G594" s="261"/>
      <c r="H594" s="259"/>
      <c r="I594" s="260"/>
      <c r="J594" s="260"/>
      <c r="K594" s="260"/>
      <c r="L594" s="260"/>
      <c r="M594" s="260"/>
      <c r="N594" s="262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3"/>
      <c r="Z594" s="260"/>
      <c r="AA594" s="260"/>
      <c r="AB594" s="260"/>
      <c r="AC594" s="260"/>
      <c r="AD594" s="260"/>
      <c r="AE594" s="260"/>
      <c r="AF594" s="264"/>
      <c r="AG594" s="260"/>
      <c r="AH594" s="260"/>
      <c r="AI594" s="260"/>
    </row>
    <row r="595">
      <c r="A595" s="259"/>
      <c r="B595" s="260"/>
      <c r="C595" s="260"/>
      <c r="D595" s="260"/>
      <c r="E595" s="260"/>
      <c r="F595" s="260"/>
      <c r="G595" s="261"/>
      <c r="H595" s="259"/>
      <c r="I595" s="260"/>
      <c r="J595" s="260"/>
      <c r="K595" s="260"/>
      <c r="L595" s="260"/>
      <c r="M595" s="260"/>
      <c r="N595" s="262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3"/>
      <c r="Z595" s="260"/>
      <c r="AA595" s="260"/>
      <c r="AB595" s="260"/>
      <c r="AC595" s="260"/>
      <c r="AD595" s="260"/>
      <c r="AE595" s="260"/>
      <c r="AF595" s="264"/>
      <c r="AG595" s="260"/>
      <c r="AH595" s="260"/>
      <c r="AI595" s="260"/>
    </row>
    <row r="596">
      <c r="A596" s="259"/>
      <c r="B596" s="260"/>
      <c r="C596" s="260"/>
      <c r="D596" s="260"/>
      <c r="E596" s="260"/>
      <c r="F596" s="260"/>
      <c r="G596" s="261"/>
      <c r="H596" s="259"/>
      <c r="I596" s="260"/>
      <c r="J596" s="260"/>
      <c r="K596" s="260"/>
      <c r="L596" s="260"/>
      <c r="M596" s="260"/>
      <c r="N596" s="262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3"/>
      <c r="Z596" s="260"/>
      <c r="AA596" s="260"/>
      <c r="AB596" s="260"/>
      <c r="AC596" s="260"/>
      <c r="AD596" s="260"/>
      <c r="AE596" s="260"/>
      <c r="AF596" s="264"/>
      <c r="AG596" s="260"/>
      <c r="AH596" s="260"/>
      <c r="AI596" s="260"/>
    </row>
    <row r="597">
      <c r="A597" s="259"/>
      <c r="B597" s="260"/>
      <c r="C597" s="260"/>
      <c r="D597" s="260"/>
      <c r="E597" s="260"/>
      <c r="F597" s="260"/>
      <c r="G597" s="261"/>
      <c r="H597" s="259"/>
      <c r="I597" s="260"/>
      <c r="J597" s="260"/>
      <c r="K597" s="260"/>
      <c r="L597" s="260"/>
      <c r="M597" s="260"/>
      <c r="N597" s="262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3"/>
      <c r="Z597" s="260"/>
      <c r="AA597" s="260"/>
      <c r="AB597" s="260"/>
      <c r="AC597" s="260"/>
      <c r="AD597" s="260"/>
      <c r="AE597" s="260"/>
      <c r="AF597" s="264"/>
      <c r="AG597" s="260"/>
      <c r="AH597" s="260"/>
      <c r="AI597" s="260"/>
    </row>
    <row r="598">
      <c r="A598" s="259"/>
      <c r="B598" s="260"/>
      <c r="C598" s="260"/>
      <c r="D598" s="260"/>
      <c r="E598" s="260"/>
      <c r="F598" s="260"/>
      <c r="G598" s="261"/>
      <c r="H598" s="259"/>
      <c r="I598" s="260"/>
      <c r="J598" s="260"/>
      <c r="K598" s="260"/>
      <c r="L598" s="260"/>
      <c r="M598" s="260"/>
      <c r="N598" s="262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3"/>
      <c r="Z598" s="260"/>
      <c r="AA598" s="260"/>
      <c r="AB598" s="260"/>
      <c r="AC598" s="260"/>
      <c r="AD598" s="260"/>
      <c r="AE598" s="260"/>
      <c r="AF598" s="264"/>
      <c r="AG598" s="260"/>
      <c r="AH598" s="260"/>
      <c r="AI598" s="260"/>
    </row>
    <row r="599">
      <c r="A599" s="259"/>
      <c r="B599" s="260"/>
      <c r="C599" s="260"/>
      <c r="D599" s="260"/>
      <c r="E599" s="260"/>
      <c r="F599" s="260"/>
      <c r="G599" s="261"/>
      <c r="H599" s="259"/>
      <c r="I599" s="260"/>
      <c r="J599" s="260"/>
      <c r="K599" s="260"/>
      <c r="L599" s="260"/>
      <c r="M599" s="260"/>
      <c r="N599" s="262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3"/>
      <c r="Z599" s="260"/>
      <c r="AA599" s="260"/>
      <c r="AB599" s="260"/>
      <c r="AC599" s="260"/>
      <c r="AD599" s="260"/>
      <c r="AE599" s="260"/>
      <c r="AF599" s="264"/>
      <c r="AG599" s="260"/>
      <c r="AH599" s="260"/>
      <c r="AI599" s="260"/>
    </row>
    <row r="600">
      <c r="A600" s="259"/>
      <c r="B600" s="260"/>
      <c r="C600" s="260"/>
      <c r="D600" s="260"/>
      <c r="E600" s="260"/>
      <c r="F600" s="260"/>
      <c r="G600" s="261"/>
      <c r="H600" s="259"/>
      <c r="I600" s="260"/>
      <c r="J600" s="260"/>
      <c r="K600" s="260"/>
      <c r="L600" s="260"/>
      <c r="M600" s="260"/>
      <c r="N600" s="262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3"/>
      <c r="Z600" s="260"/>
      <c r="AA600" s="260"/>
      <c r="AB600" s="260"/>
      <c r="AC600" s="260"/>
      <c r="AD600" s="260"/>
      <c r="AE600" s="260"/>
      <c r="AF600" s="264"/>
      <c r="AG600" s="260"/>
      <c r="AH600" s="260"/>
      <c r="AI600" s="260"/>
    </row>
    <row r="601">
      <c r="A601" s="259"/>
      <c r="B601" s="260"/>
      <c r="C601" s="260"/>
      <c r="D601" s="260"/>
      <c r="E601" s="260"/>
      <c r="F601" s="260"/>
      <c r="G601" s="261"/>
      <c r="H601" s="259"/>
      <c r="I601" s="260"/>
      <c r="J601" s="260"/>
      <c r="K601" s="260"/>
      <c r="L601" s="260"/>
      <c r="M601" s="260"/>
      <c r="N601" s="262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3"/>
      <c r="Z601" s="260"/>
      <c r="AA601" s="260"/>
      <c r="AB601" s="260"/>
      <c r="AC601" s="260"/>
      <c r="AD601" s="260"/>
      <c r="AE601" s="260"/>
      <c r="AF601" s="264"/>
      <c r="AG601" s="260"/>
      <c r="AH601" s="260"/>
      <c r="AI601" s="260"/>
    </row>
    <row r="602">
      <c r="A602" s="259"/>
      <c r="B602" s="260"/>
      <c r="C602" s="260"/>
      <c r="D602" s="260"/>
      <c r="E602" s="260"/>
      <c r="F602" s="260"/>
      <c r="G602" s="261"/>
      <c r="H602" s="259"/>
      <c r="I602" s="260"/>
      <c r="J602" s="260"/>
      <c r="K602" s="260"/>
      <c r="L602" s="260"/>
      <c r="M602" s="260"/>
      <c r="N602" s="262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3"/>
      <c r="Z602" s="260"/>
      <c r="AA602" s="260"/>
      <c r="AB602" s="260"/>
      <c r="AC602" s="260"/>
      <c r="AD602" s="260"/>
      <c r="AE602" s="260"/>
      <c r="AF602" s="264"/>
      <c r="AG602" s="260"/>
      <c r="AH602" s="260"/>
      <c r="AI602" s="260"/>
    </row>
    <row r="603">
      <c r="A603" s="259"/>
      <c r="B603" s="260"/>
      <c r="C603" s="260"/>
      <c r="D603" s="260"/>
      <c r="E603" s="260"/>
      <c r="F603" s="260"/>
      <c r="G603" s="261"/>
      <c r="H603" s="259"/>
      <c r="I603" s="260"/>
      <c r="J603" s="260"/>
      <c r="K603" s="260"/>
      <c r="L603" s="260"/>
      <c r="M603" s="260"/>
      <c r="N603" s="262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3"/>
      <c r="Z603" s="260"/>
      <c r="AA603" s="260"/>
      <c r="AB603" s="260"/>
      <c r="AC603" s="260"/>
      <c r="AD603" s="260"/>
      <c r="AE603" s="260"/>
      <c r="AF603" s="264"/>
      <c r="AG603" s="260"/>
      <c r="AH603" s="260"/>
      <c r="AI603" s="260"/>
    </row>
    <row r="604">
      <c r="A604" s="259"/>
      <c r="B604" s="260"/>
      <c r="C604" s="260"/>
      <c r="D604" s="260"/>
      <c r="E604" s="260"/>
      <c r="F604" s="260"/>
      <c r="G604" s="261"/>
      <c r="H604" s="259"/>
      <c r="I604" s="260"/>
      <c r="J604" s="260"/>
      <c r="K604" s="260"/>
      <c r="L604" s="260"/>
      <c r="M604" s="260"/>
      <c r="N604" s="262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3"/>
      <c r="Z604" s="260"/>
      <c r="AA604" s="260"/>
      <c r="AB604" s="260"/>
      <c r="AC604" s="260"/>
      <c r="AD604" s="260"/>
      <c r="AE604" s="260"/>
      <c r="AF604" s="264"/>
      <c r="AG604" s="260"/>
      <c r="AH604" s="260"/>
      <c r="AI604" s="260"/>
    </row>
    <row r="605">
      <c r="A605" s="259"/>
      <c r="B605" s="260"/>
      <c r="C605" s="260"/>
      <c r="D605" s="260"/>
      <c r="E605" s="260"/>
      <c r="F605" s="260"/>
      <c r="G605" s="261"/>
      <c r="H605" s="259"/>
      <c r="I605" s="260"/>
      <c r="J605" s="260"/>
      <c r="K605" s="260"/>
      <c r="L605" s="260"/>
      <c r="M605" s="260"/>
      <c r="N605" s="262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3"/>
      <c r="Z605" s="260"/>
      <c r="AA605" s="260"/>
      <c r="AB605" s="260"/>
      <c r="AC605" s="260"/>
      <c r="AD605" s="260"/>
      <c r="AE605" s="260"/>
      <c r="AF605" s="264"/>
      <c r="AG605" s="260"/>
      <c r="AH605" s="260"/>
      <c r="AI605" s="260"/>
    </row>
    <row r="606">
      <c r="A606" s="259"/>
      <c r="B606" s="260"/>
      <c r="C606" s="260"/>
      <c r="D606" s="260"/>
      <c r="E606" s="260"/>
      <c r="F606" s="260"/>
      <c r="G606" s="261"/>
      <c r="H606" s="259"/>
      <c r="I606" s="260"/>
      <c r="J606" s="260"/>
      <c r="K606" s="260"/>
      <c r="L606" s="260"/>
      <c r="M606" s="260"/>
      <c r="N606" s="262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3"/>
      <c r="Z606" s="260"/>
      <c r="AA606" s="260"/>
      <c r="AB606" s="260"/>
      <c r="AC606" s="260"/>
      <c r="AD606" s="260"/>
      <c r="AE606" s="260"/>
      <c r="AF606" s="264"/>
      <c r="AG606" s="260"/>
      <c r="AH606" s="260"/>
      <c r="AI606" s="260"/>
    </row>
    <row r="607">
      <c r="A607" s="259"/>
      <c r="B607" s="260"/>
      <c r="C607" s="260"/>
      <c r="D607" s="260"/>
      <c r="E607" s="260"/>
      <c r="F607" s="260"/>
      <c r="G607" s="261"/>
      <c r="H607" s="259"/>
      <c r="I607" s="260"/>
      <c r="J607" s="260"/>
      <c r="K607" s="260"/>
      <c r="L607" s="260"/>
      <c r="M607" s="260"/>
      <c r="N607" s="262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3"/>
      <c r="Z607" s="260"/>
      <c r="AA607" s="260"/>
      <c r="AB607" s="260"/>
      <c r="AC607" s="260"/>
      <c r="AD607" s="260"/>
      <c r="AE607" s="260"/>
      <c r="AF607" s="264"/>
      <c r="AG607" s="260"/>
      <c r="AH607" s="260"/>
      <c r="AI607" s="260"/>
    </row>
    <row r="608">
      <c r="A608" s="259"/>
      <c r="B608" s="260"/>
      <c r="C608" s="260"/>
      <c r="D608" s="260"/>
      <c r="E608" s="260"/>
      <c r="F608" s="260"/>
      <c r="G608" s="261"/>
      <c r="H608" s="259"/>
      <c r="I608" s="260"/>
      <c r="J608" s="260"/>
      <c r="K608" s="260"/>
      <c r="L608" s="260"/>
      <c r="M608" s="260"/>
      <c r="N608" s="262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3"/>
      <c r="Z608" s="260"/>
      <c r="AA608" s="260"/>
      <c r="AB608" s="260"/>
      <c r="AC608" s="260"/>
      <c r="AD608" s="260"/>
      <c r="AE608" s="260"/>
      <c r="AF608" s="264"/>
      <c r="AG608" s="260"/>
      <c r="AH608" s="260"/>
      <c r="AI608" s="260"/>
    </row>
    <row r="609">
      <c r="A609" s="259"/>
      <c r="B609" s="260"/>
      <c r="C609" s="260"/>
      <c r="D609" s="260"/>
      <c r="E609" s="260"/>
      <c r="F609" s="260"/>
      <c r="G609" s="261"/>
      <c r="H609" s="259"/>
      <c r="I609" s="260"/>
      <c r="J609" s="260"/>
      <c r="K609" s="260"/>
      <c r="L609" s="260"/>
      <c r="M609" s="260"/>
      <c r="N609" s="262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3"/>
      <c r="Z609" s="260"/>
      <c r="AA609" s="260"/>
      <c r="AB609" s="260"/>
      <c r="AC609" s="260"/>
      <c r="AD609" s="260"/>
      <c r="AE609" s="260"/>
      <c r="AF609" s="264"/>
      <c r="AG609" s="260"/>
      <c r="AH609" s="260"/>
      <c r="AI609" s="260"/>
    </row>
    <row r="610">
      <c r="A610" s="259"/>
      <c r="B610" s="260"/>
      <c r="C610" s="260"/>
      <c r="D610" s="260"/>
      <c r="E610" s="260"/>
      <c r="F610" s="260"/>
      <c r="G610" s="261"/>
      <c r="H610" s="259"/>
      <c r="I610" s="260"/>
      <c r="J610" s="260"/>
      <c r="K610" s="260"/>
      <c r="L610" s="260"/>
      <c r="M610" s="260"/>
      <c r="N610" s="262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3"/>
      <c r="Z610" s="260"/>
      <c r="AA610" s="260"/>
      <c r="AB610" s="260"/>
      <c r="AC610" s="260"/>
      <c r="AD610" s="260"/>
      <c r="AE610" s="260"/>
      <c r="AF610" s="264"/>
      <c r="AG610" s="260"/>
      <c r="AH610" s="260"/>
      <c r="AI610" s="260"/>
    </row>
    <row r="611">
      <c r="A611" s="259"/>
      <c r="B611" s="260"/>
      <c r="C611" s="260"/>
      <c r="D611" s="260"/>
      <c r="E611" s="260"/>
      <c r="F611" s="260"/>
      <c r="G611" s="261"/>
      <c r="H611" s="259"/>
      <c r="I611" s="260"/>
      <c r="J611" s="260"/>
      <c r="K611" s="260"/>
      <c r="L611" s="260"/>
      <c r="M611" s="260"/>
      <c r="N611" s="262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3"/>
      <c r="Z611" s="260"/>
      <c r="AA611" s="260"/>
      <c r="AB611" s="260"/>
      <c r="AC611" s="260"/>
      <c r="AD611" s="260"/>
      <c r="AE611" s="260"/>
      <c r="AF611" s="264"/>
      <c r="AG611" s="260"/>
      <c r="AH611" s="260"/>
      <c r="AI611" s="260"/>
    </row>
    <row r="612">
      <c r="A612" s="259"/>
      <c r="B612" s="260"/>
      <c r="C612" s="260"/>
      <c r="D612" s="260"/>
      <c r="E612" s="260"/>
      <c r="F612" s="260"/>
      <c r="G612" s="261"/>
      <c r="H612" s="259"/>
      <c r="I612" s="260"/>
      <c r="J612" s="260"/>
      <c r="K612" s="260"/>
      <c r="L612" s="260"/>
      <c r="M612" s="260"/>
      <c r="N612" s="262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3"/>
      <c r="Z612" s="260"/>
      <c r="AA612" s="260"/>
      <c r="AB612" s="260"/>
      <c r="AC612" s="260"/>
      <c r="AD612" s="260"/>
      <c r="AE612" s="260"/>
      <c r="AF612" s="264"/>
      <c r="AG612" s="260"/>
      <c r="AH612" s="260"/>
      <c r="AI612" s="260"/>
    </row>
    <row r="613">
      <c r="A613" s="259"/>
      <c r="B613" s="260"/>
      <c r="C613" s="260"/>
      <c r="D613" s="260"/>
      <c r="E613" s="260"/>
      <c r="F613" s="260"/>
      <c r="G613" s="261"/>
      <c r="H613" s="259"/>
      <c r="I613" s="260"/>
      <c r="J613" s="260"/>
      <c r="K613" s="260"/>
      <c r="L613" s="260"/>
      <c r="M613" s="260"/>
      <c r="N613" s="262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3"/>
      <c r="Z613" s="260"/>
      <c r="AA613" s="260"/>
      <c r="AB613" s="260"/>
      <c r="AC613" s="260"/>
      <c r="AD613" s="260"/>
      <c r="AE613" s="260"/>
      <c r="AF613" s="264"/>
      <c r="AG613" s="260"/>
      <c r="AH613" s="260"/>
      <c r="AI613" s="260"/>
    </row>
    <row r="614">
      <c r="A614" s="259"/>
      <c r="B614" s="260"/>
      <c r="C614" s="260"/>
      <c r="D614" s="260"/>
      <c r="E614" s="260"/>
      <c r="F614" s="260"/>
      <c r="G614" s="261"/>
      <c r="H614" s="259"/>
      <c r="I614" s="260"/>
      <c r="J614" s="260"/>
      <c r="K614" s="260"/>
      <c r="L614" s="260"/>
      <c r="M614" s="260"/>
      <c r="N614" s="262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3"/>
      <c r="Z614" s="260"/>
      <c r="AA614" s="260"/>
      <c r="AB614" s="260"/>
      <c r="AC614" s="260"/>
      <c r="AD614" s="260"/>
      <c r="AE614" s="260"/>
      <c r="AF614" s="264"/>
      <c r="AG614" s="260"/>
      <c r="AH614" s="260"/>
      <c r="AI614" s="260"/>
    </row>
    <row r="615">
      <c r="A615" s="259"/>
      <c r="B615" s="260"/>
      <c r="C615" s="260"/>
      <c r="D615" s="260"/>
      <c r="E615" s="260"/>
      <c r="F615" s="260"/>
      <c r="G615" s="261"/>
      <c r="H615" s="259"/>
      <c r="I615" s="260"/>
      <c r="J615" s="260"/>
      <c r="K615" s="260"/>
      <c r="L615" s="260"/>
      <c r="M615" s="260"/>
      <c r="N615" s="262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3"/>
      <c r="Z615" s="260"/>
      <c r="AA615" s="260"/>
      <c r="AB615" s="260"/>
      <c r="AC615" s="260"/>
      <c r="AD615" s="260"/>
      <c r="AE615" s="260"/>
      <c r="AF615" s="264"/>
      <c r="AG615" s="260"/>
      <c r="AH615" s="260"/>
      <c r="AI615" s="260"/>
    </row>
    <row r="616">
      <c r="A616" s="259"/>
      <c r="B616" s="260"/>
      <c r="C616" s="260"/>
      <c r="D616" s="260"/>
      <c r="E616" s="260"/>
      <c r="F616" s="260"/>
      <c r="G616" s="261"/>
      <c r="H616" s="259"/>
      <c r="I616" s="260"/>
      <c r="J616" s="260"/>
      <c r="K616" s="260"/>
      <c r="L616" s="260"/>
      <c r="M616" s="260"/>
      <c r="N616" s="262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3"/>
      <c r="Z616" s="260"/>
      <c r="AA616" s="260"/>
      <c r="AB616" s="260"/>
      <c r="AC616" s="260"/>
      <c r="AD616" s="260"/>
      <c r="AE616" s="260"/>
      <c r="AF616" s="264"/>
      <c r="AG616" s="260"/>
      <c r="AH616" s="260"/>
      <c r="AI616" s="260"/>
    </row>
    <row r="617">
      <c r="A617" s="259"/>
      <c r="B617" s="260"/>
      <c r="C617" s="260"/>
      <c r="D617" s="260"/>
      <c r="E617" s="260"/>
      <c r="F617" s="260"/>
      <c r="G617" s="261"/>
      <c r="H617" s="259"/>
      <c r="I617" s="260"/>
      <c r="J617" s="260"/>
      <c r="K617" s="260"/>
      <c r="L617" s="260"/>
      <c r="M617" s="260"/>
      <c r="N617" s="262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3"/>
      <c r="Z617" s="260"/>
      <c r="AA617" s="260"/>
      <c r="AB617" s="260"/>
      <c r="AC617" s="260"/>
      <c r="AD617" s="260"/>
      <c r="AE617" s="260"/>
      <c r="AF617" s="264"/>
      <c r="AG617" s="260"/>
      <c r="AH617" s="260"/>
      <c r="AI617" s="260"/>
    </row>
    <row r="618">
      <c r="A618" s="259"/>
      <c r="B618" s="260"/>
      <c r="C618" s="260"/>
      <c r="D618" s="260"/>
      <c r="E618" s="260"/>
      <c r="F618" s="260"/>
      <c r="G618" s="261"/>
      <c r="H618" s="259"/>
      <c r="I618" s="260"/>
      <c r="J618" s="260"/>
      <c r="K618" s="260"/>
      <c r="L618" s="260"/>
      <c r="M618" s="260"/>
      <c r="N618" s="262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3"/>
      <c r="Z618" s="260"/>
      <c r="AA618" s="260"/>
      <c r="AB618" s="260"/>
      <c r="AC618" s="260"/>
      <c r="AD618" s="260"/>
      <c r="AE618" s="260"/>
      <c r="AF618" s="264"/>
      <c r="AG618" s="260"/>
      <c r="AH618" s="260"/>
      <c r="AI618" s="260"/>
    </row>
    <row r="619">
      <c r="A619" s="259"/>
      <c r="B619" s="260"/>
      <c r="C619" s="260"/>
      <c r="D619" s="260"/>
      <c r="E619" s="260"/>
      <c r="F619" s="260"/>
      <c r="G619" s="261"/>
      <c r="H619" s="259"/>
      <c r="I619" s="260"/>
      <c r="J619" s="260"/>
      <c r="K619" s="260"/>
      <c r="L619" s="260"/>
      <c r="M619" s="260"/>
      <c r="N619" s="262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3"/>
      <c r="Z619" s="260"/>
      <c r="AA619" s="260"/>
      <c r="AB619" s="260"/>
      <c r="AC619" s="260"/>
      <c r="AD619" s="260"/>
      <c r="AE619" s="260"/>
      <c r="AF619" s="264"/>
      <c r="AG619" s="260"/>
      <c r="AH619" s="260"/>
      <c r="AI619" s="260"/>
    </row>
    <row r="620">
      <c r="A620" s="259"/>
      <c r="B620" s="260"/>
      <c r="C620" s="260"/>
      <c r="D620" s="260"/>
      <c r="E620" s="260"/>
      <c r="F620" s="260"/>
      <c r="G620" s="261"/>
      <c r="H620" s="259"/>
      <c r="I620" s="260"/>
      <c r="J620" s="260"/>
      <c r="K620" s="260"/>
      <c r="L620" s="260"/>
      <c r="M620" s="260"/>
      <c r="N620" s="262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3"/>
      <c r="Z620" s="260"/>
      <c r="AA620" s="260"/>
      <c r="AB620" s="260"/>
      <c r="AC620" s="260"/>
      <c r="AD620" s="260"/>
      <c r="AE620" s="260"/>
      <c r="AF620" s="264"/>
      <c r="AG620" s="260"/>
      <c r="AH620" s="260"/>
      <c r="AI620" s="260"/>
    </row>
    <row r="621">
      <c r="A621" s="259"/>
      <c r="B621" s="260"/>
      <c r="C621" s="260"/>
      <c r="D621" s="260"/>
      <c r="E621" s="260"/>
      <c r="F621" s="260"/>
      <c r="G621" s="261"/>
      <c r="H621" s="259"/>
      <c r="I621" s="260"/>
      <c r="J621" s="260"/>
      <c r="K621" s="260"/>
      <c r="L621" s="260"/>
      <c r="M621" s="260"/>
      <c r="N621" s="262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3"/>
      <c r="Z621" s="260"/>
      <c r="AA621" s="260"/>
      <c r="AB621" s="260"/>
      <c r="AC621" s="260"/>
      <c r="AD621" s="260"/>
      <c r="AE621" s="260"/>
      <c r="AF621" s="264"/>
      <c r="AG621" s="260"/>
      <c r="AH621" s="260"/>
      <c r="AI621" s="260"/>
    </row>
    <row r="622">
      <c r="A622" s="259"/>
      <c r="B622" s="260"/>
      <c r="C622" s="260"/>
      <c r="D622" s="260"/>
      <c r="E622" s="260"/>
      <c r="F622" s="260"/>
      <c r="G622" s="261"/>
      <c r="H622" s="259"/>
      <c r="I622" s="260"/>
      <c r="J622" s="260"/>
      <c r="K622" s="260"/>
      <c r="L622" s="260"/>
      <c r="M622" s="260"/>
      <c r="N622" s="262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3"/>
      <c r="Z622" s="260"/>
      <c r="AA622" s="260"/>
      <c r="AB622" s="260"/>
      <c r="AC622" s="260"/>
      <c r="AD622" s="260"/>
      <c r="AE622" s="260"/>
      <c r="AF622" s="264"/>
      <c r="AG622" s="260"/>
      <c r="AH622" s="260"/>
      <c r="AI622" s="260"/>
    </row>
    <row r="623">
      <c r="A623" s="259"/>
      <c r="B623" s="260"/>
      <c r="C623" s="260"/>
      <c r="D623" s="260"/>
      <c r="E623" s="260"/>
      <c r="F623" s="260"/>
      <c r="G623" s="261"/>
      <c r="H623" s="259"/>
      <c r="I623" s="260"/>
      <c r="J623" s="260"/>
      <c r="K623" s="260"/>
      <c r="L623" s="260"/>
      <c r="M623" s="260"/>
      <c r="N623" s="262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3"/>
      <c r="Z623" s="260"/>
      <c r="AA623" s="260"/>
      <c r="AB623" s="260"/>
      <c r="AC623" s="260"/>
      <c r="AD623" s="260"/>
      <c r="AE623" s="260"/>
      <c r="AF623" s="264"/>
      <c r="AG623" s="260"/>
      <c r="AH623" s="260"/>
      <c r="AI623" s="260"/>
    </row>
    <row r="624">
      <c r="A624" s="259"/>
      <c r="B624" s="260"/>
      <c r="C624" s="260"/>
      <c r="D624" s="260"/>
      <c r="E624" s="260"/>
      <c r="F624" s="260"/>
      <c r="G624" s="261"/>
      <c r="H624" s="259"/>
      <c r="I624" s="260"/>
      <c r="J624" s="260"/>
      <c r="K624" s="260"/>
      <c r="L624" s="260"/>
      <c r="M624" s="260"/>
      <c r="N624" s="262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3"/>
      <c r="Z624" s="260"/>
      <c r="AA624" s="260"/>
      <c r="AB624" s="260"/>
      <c r="AC624" s="260"/>
      <c r="AD624" s="260"/>
      <c r="AE624" s="260"/>
      <c r="AF624" s="264"/>
      <c r="AG624" s="260"/>
      <c r="AH624" s="260"/>
      <c r="AI624" s="260"/>
    </row>
    <row r="625">
      <c r="A625" s="259"/>
      <c r="B625" s="260"/>
      <c r="C625" s="260"/>
      <c r="D625" s="260"/>
      <c r="E625" s="260"/>
      <c r="F625" s="260"/>
      <c r="G625" s="261"/>
      <c r="H625" s="259"/>
      <c r="I625" s="260"/>
      <c r="J625" s="260"/>
      <c r="K625" s="260"/>
      <c r="L625" s="260"/>
      <c r="M625" s="260"/>
      <c r="N625" s="262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3"/>
      <c r="Z625" s="260"/>
      <c r="AA625" s="260"/>
      <c r="AB625" s="260"/>
      <c r="AC625" s="260"/>
      <c r="AD625" s="260"/>
      <c r="AE625" s="260"/>
      <c r="AF625" s="264"/>
      <c r="AG625" s="260"/>
      <c r="AH625" s="260"/>
      <c r="AI625" s="260"/>
    </row>
    <row r="626">
      <c r="A626" s="259"/>
      <c r="B626" s="260"/>
      <c r="C626" s="260"/>
      <c r="D626" s="260"/>
      <c r="E626" s="260"/>
      <c r="F626" s="260"/>
      <c r="G626" s="261"/>
      <c r="H626" s="259"/>
      <c r="I626" s="260"/>
      <c r="J626" s="260"/>
      <c r="K626" s="260"/>
      <c r="L626" s="260"/>
      <c r="M626" s="260"/>
      <c r="N626" s="262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3"/>
      <c r="Z626" s="260"/>
      <c r="AA626" s="260"/>
      <c r="AB626" s="260"/>
      <c r="AC626" s="260"/>
      <c r="AD626" s="260"/>
      <c r="AE626" s="260"/>
      <c r="AF626" s="264"/>
      <c r="AG626" s="260"/>
      <c r="AH626" s="260"/>
      <c r="AI626" s="260"/>
    </row>
    <row r="627">
      <c r="A627" s="259"/>
      <c r="B627" s="260"/>
      <c r="C627" s="260"/>
      <c r="D627" s="260"/>
      <c r="E627" s="260"/>
      <c r="F627" s="260"/>
      <c r="G627" s="261"/>
      <c r="H627" s="259"/>
      <c r="I627" s="260"/>
      <c r="J627" s="260"/>
      <c r="K627" s="260"/>
      <c r="L627" s="260"/>
      <c r="M627" s="260"/>
      <c r="N627" s="262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3"/>
      <c r="Z627" s="260"/>
      <c r="AA627" s="260"/>
      <c r="AB627" s="260"/>
      <c r="AC627" s="260"/>
      <c r="AD627" s="260"/>
      <c r="AE627" s="260"/>
      <c r="AF627" s="264"/>
      <c r="AG627" s="260"/>
      <c r="AH627" s="260"/>
      <c r="AI627" s="260"/>
    </row>
    <row r="628">
      <c r="A628" s="259"/>
      <c r="B628" s="260"/>
      <c r="C628" s="260"/>
      <c r="D628" s="260"/>
      <c r="E628" s="260"/>
      <c r="F628" s="260"/>
      <c r="G628" s="261"/>
      <c r="H628" s="259"/>
      <c r="I628" s="260"/>
      <c r="J628" s="260"/>
      <c r="K628" s="260"/>
      <c r="L628" s="260"/>
      <c r="M628" s="260"/>
      <c r="N628" s="262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3"/>
      <c r="Z628" s="260"/>
      <c r="AA628" s="260"/>
      <c r="AB628" s="260"/>
      <c r="AC628" s="260"/>
      <c r="AD628" s="260"/>
      <c r="AE628" s="260"/>
      <c r="AF628" s="264"/>
      <c r="AG628" s="260"/>
      <c r="AH628" s="260"/>
      <c r="AI628" s="260"/>
    </row>
    <row r="629">
      <c r="A629" s="259"/>
      <c r="B629" s="260"/>
      <c r="C629" s="260"/>
      <c r="D629" s="260"/>
      <c r="E629" s="260"/>
      <c r="F629" s="260"/>
      <c r="G629" s="261"/>
      <c r="H629" s="259"/>
      <c r="I629" s="260"/>
      <c r="J629" s="260"/>
      <c r="K629" s="260"/>
      <c r="L629" s="260"/>
      <c r="M629" s="260"/>
      <c r="N629" s="262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3"/>
      <c r="Z629" s="260"/>
      <c r="AA629" s="260"/>
      <c r="AB629" s="260"/>
      <c r="AC629" s="260"/>
      <c r="AD629" s="260"/>
      <c r="AE629" s="260"/>
      <c r="AF629" s="264"/>
      <c r="AG629" s="260"/>
      <c r="AH629" s="260"/>
      <c r="AI629" s="260"/>
    </row>
    <row r="630">
      <c r="A630" s="259"/>
      <c r="B630" s="260"/>
      <c r="C630" s="260"/>
      <c r="D630" s="260"/>
      <c r="E630" s="260"/>
      <c r="F630" s="260"/>
      <c r="G630" s="261"/>
      <c r="H630" s="259"/>
      <c r="I630" s="260"/>
      <c r="J630" s="260"/>
      <c r="K630" s="260"/>
      <c r="L630" s="260"/>
      <c r="M630" s="260"/>
      <c r="N630" s="262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3"/>
      <c r="Z630" s="260"/>
      <c r="AA630" s="260"/>
      <c r="AB630" s="260"/>
      <c r="AC630" s="260"/>
      <c r="AD630" s="260"/>
      <c r="AE630" s="260"/>
      <c r="AF630" s="264"/>
      <c r="AG630" s="260"/>
      <c r="AH630" s="260"/>
      <c r="AI630" s="260"/>
    </row>
    <row r="631">
      <c r="A631" s="259"/>
      <c r="B631" s="260"/>
      <c r="C631" s="260"/>
      <c r="D631" s="260"/>
      <c r="E631" s="260"/>
      <c r="F631" s="260"/>
      <c r="G631" s="261"/>
      <c r="H631" s="259"/>
      <c r="I631" s="260"/>
      <c r="J631" s="260"/>
      <c r="K631" s="260"/>
      <c r="L631" s="260"/>
      <c r="M631" s="260"/>
      <c r="N631" s="262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3"/>
      <c r="Z631" s="260"/>
      <c r="AA631" s="260"/>
      <c r="AB631" s="260"/>
      <c r="AC631" s="260"/>
      <c r="AD631" s="260"/>
      <c r="AE631" s="260"/>
      <c r="AF631" s="264"/>
      <c r="AG631" s="260"/>
      <c r="AH631" s="260"/>
      <c r="AI631" s="260"/>
    </row>
    <row r="632">
      <c r="A632" s="259"/>
      <c r="B632" s="260"/>
      <c r="C632" s="260"/>
      <c r="D632" s="260"/>
      <c r="E632" s="260"/>
      <c r="F632" s="260"/>
      <c r="G632" s="261"/>
      <c r="H632" s="259"/>
      <c r="I632" s="260"/>
      <c r="J632" s="260"/>
      <c r="K632" s="260"/>
      <c r="L632" s="260"/>
      <c r="M632" s="260"/>
      <c r="N632" s="262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3"/>
      <c r="Z632" s="260"/>
      <c r="AA632" s="260"/>
      <c r="AB632" s="260"/>
      <c r="AC632" s="260"/>
      <c r="AD632" s="260"/>
      <c r="AE632" s="260"/>
      <c r="AF632" s="264"/>
      <c r="AG632" s="260"/>
      <c r="AH632" s="260"/>
      <c r="AI632" s="260"/>
    </row>
    <row r="633">
      <c r="A633" s="259"/>
      <c r="B633" s="260"/>
      <c r="C633" s="260"/>
      <c r="D633" s="260"/>
      <c r="E633" s="260"/>
      <c r="F633" s="260"/>
      <c r="G633" s="261"/>
      <c r="H633" s="259"/>
      <c r="I633" s="260"/>
      <c r="J633" s="260"/>
      <c r="K633" s="260"/>
      <c r="L633" s="260"/>
      <c r="M633" s="260"/>
      <c r="N633" s="262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3"/>
      <c r="Z633" s="260"/>
      <c r="AA633" s="260"/>
      <c r="AB633" s="260"/>
      <c r="AC633" s="260"/>
      <c r="AD633" s="260"/>
      <c r="AE633" s="260"/>
      <c r="AF633" s="264"/>
      <c r="AG633" s="260"/>
      <c r="AH633" s="260"/>
      <c r="AI633" s="260"/>
    </row>
    <row r="634">
      <c r="A634" s="259"/>
      <c r="B634" s="260"/>
      <c r="C634" s="260"/>
      <c r="D634" s="260"/>
      <c r="E634" s="260"/>
      <c r="F634" s="260"/>
      <c r="G634" s="261"/>
      <c r="H634" s="259"/>
      <c r="I634" s="260"/>
      <c r="J634" s="260"/>
      <c r="K634" s="260"/>
      <c r="L634" s="260"/>
      <c r="M634" s="260"/>
      <c r="N634" s="262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3"/>
      <c r="Z634" s="260"/>
      <c r="AA634" s="260"/>
      <c r="AB634" s="260"/>
      <c r="AC634" s="260"/>
      <c r="AD634" s="260"/>
      <c r="AE634" s="260"/>
      <c r="AF634" s="264"/>
      <c r="AG634" s="260"/>
      <c r="AH634" s="260"/>
      <c r="AI634" s="260"/>
    </row>
    <row r="635">
      <c r="A635" s="259"/>
      <c r="B635" s="260"/>
      <c r="C635" s="260"/>
      <c r="D635" s="260"/>
      <c r="E635" s="260"/>
      <c r="F635" s="260"/>
      <c r="G635" s="261"/>
      <c r="H635" s="259"/>
      <c r="I635" s="260"/>
      <c r="J635" s="260"/>
      <c r="K635" s="260"/>
      <c r="L635" s="260"/>
      <c r="M635" s="260"/>
      <c r="N635" s="262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3"/>
      <c r="Z635" s="260"/>
      <c r="AA635" s="260"/>
      <c r="AB635" s="260"/>
      <c r="AC635" s="260"/>
      <c r="AD635" s="260"/>
      <c r="AE635" s="260"/>
      <c r="AF635" s="264"/>
      <c r="AG635" s="260"/>
      <c r="AH635" s="260"/>
      <c r="AI635" s="260"/>
    </row>
    <row r="636">
      <c r="A636" s="259"/>
      <c r="B636" s="260"/>
      <c r="C636" s="260"/>
      <c r="D636" s="260"/>
      <c r="E636" s="260"/>
      <c r="F636" s="260"/>
      <c r="G636" s="261"/>
      <c r="H636" s="259"/>
      <c r="I636" s="260"/>
      <c r="J636" s="260"/>
      <c r="K636" s="260"/>
      <c r="L636" s="260"/>
      <c r="M636" s="260"/>
      <c r="N636" s="262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3"/>
      <c r="Z636" s="260"/>
      <c r="AA636" s="260"/>
      <c r="AB636" s="260"/>
      <c r="AC636" s="260"/>
      <c r="AD636" s="260"/>
      <c r="AE636" s="260"/>
      <c r="AF636" s="264"/>
      <c r="AG636" s="260"/>
      <c r="AH636" s="260"/>
      <c r="AI636" s="260"/>
    </row>
    <row r="637">
      <c r="A637" s="259"/>
      <c r="B637" s="260"/>
      <c r="C637" s="260"/>
      <c r="D637" s="260"/>
      <c r="E637" s="260"/>
      <c r="F637" s="260"/>
      <c r="G637" s="261"/>
      <c r="H637" s="259"/>
      <c r="I637" s="260"/>
      <c r="J637" s="260"/>
      <c r="K637" s="260"/>
      <c r="L637" s="260"/>
      <c r="M637" s="260"/>
      <c r="N637" s="262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3"/>
      <c r="Z637" s="260"/>
      <c r="AA637" s="260"/>
      <c r="AB637" s="260"/>
      <c r="AC637" s="260"/>
      <c r="AD637" s="260"/>
      <c r="AE637" s="260"/>
      <c r="AF637" s="264"/>
      <c r="AG637" s="260"/>
      <c r="AH637" s="260"/>
      <c r="AI637" s="260"/>
    </row>
    <row r="638">
      <c r="A638" s="259"/>
      <c r="B638" s="260"/>
      <c r="C638" s="260"/>
      <c r="D638" s="260"/>
      <c r="E638" s="260"/>
      <c r="F638" s="260"/>
      <c r="G638" s="261"/>
      <c r="H638" s="259"/>
      <c r="I638" s="260"/>
      <c r="J638" s="260"/>
      <c r="K638" s="260"/>
      <c r="L638" s="260"/>
      <c r="M638" s="260"/>
      <c r="N638" s="262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3"/>
      <c r="Z638" s="260"/>
      <c r="AA638" s="260"/>
      <c r="AB638" s="260"/>
      <c r="AC638" s="260"/>
      <c r="AD638" s="260"/>
      <c r="AE638" s="260"/>
      <c r="AF638" s="264"/>
      <c r="AG638" s="260"/>
      <c r="AH638" s="260"/>
      <c r="AI638" s="260"/>
    </row>
    <row r="639">
      <c r="A639" s="259"/>
      <c r="B639" s="260"/>
      <c r="C639" s="260"/>
      <c r="D639" s="260"/>
      <c r="E639" s="260"/>
      <c r="F639" s="260"/>
      <c r="G639" s="261"/>
      <c r="H639" s="259"/>
      <c r="I639" s="260"/>
      <c r="J639" s="260"/>
      <c r="K639" s="260"/>
      <c r="L639" s="260"/>
      <c r="M639" s="260"/>
      <c r="N639" s="262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3"/>
      <c r="Z639" s="260"/>
      <c r="AA639" s="260"/>
      <c r="AB639" s="260"/>
      <c r="AC639" s="260"/>
      <c r="AD639" s="260"/>
      <c r="AE639" s="260"/>
      <c r="AF639" s="264"/>
      <c r="AG639" s="260"/>
      <c r="AH639" s="260"/>
      <c r="AI639" s="260"/>
    </row>
    <row r="640">
      <c r="A640" s="259"/>
      <c r="B640" s="260"/>
      <c r="C640" s="260"/>
      <c r="D640" s="260"/>
      <c r="E640" s="260"/>
      <c r="F640" s="260"/>
      <c r="G640" s="261"/>
      <c r="H640" s="259"/>
      <c r="I640" s="260"/>
      <c r="J640" s="260"/>
      <c r="K640" s="260"/>
      <c r="L640" s="260"/>
      <c r="M640" s="260"/>
      <c r="N640" s="262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3"/>
      <c r="Z640" s="260"/>
      <c r="AA640" s="260"/>
      <c r="AB640" s="260"/>
      <c r="AC640" s="260"/>
      <c r="AD640" s="260"/>
      <c r="AE640" s="260"/>
      <c r="AF640" s="264"/>
      <c r="AG640" s="260"/>
      <c r="AH640" s="260"/>
      <c r="AI640" s="260"/>
    </row>
    <row r="641">
      <c r="A641" s="259"/>
      <c r="B641" s="260"/>
      <c r="C641" s="260"/>
      <c r="D641" s="260"/>
      <c r="E641" s="260"/>
      <c r="F641" s="260"/>
      <c r="G641" s="261"/>
      <c r="H641" s="259"/>
      <c r="I641" s="260"/>
      <c r="J641" s="260"/>
      <c r="K641" s="260"/>
      <c r="L641" s="260"/>
      <c r="M641" s="260"/>
      <c r="N641" s="262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3"/>
      <c r="Z641" s="260"/>
      <c r="AA641" s="260"/>
      <c r="AB641" s="260"/>
      <c r="AC641" s="260"/>
      <c r="AD641" s="260"/>
      <c r="AE641" s="260"/>
      <c r="AF641" s="264"/>
      <c r="AG641" s="260"/>
      <c r="AH641" s="260"/>
      <c r="AI641" s="260"/>
    </row>
    <row r="642">
      <c r="A642" s="259"/>
      <c r="B642" s="260"/>
      <c r="C642" s="260"/>
      <c r="D642" s="260"/>
      <c r="E642" s="260"/>
      <c r="F642" s="260"/>
      <c r="G642" s="261"/>
      <c r="H642" s="259"/>
      <c r="I642" s="260"/>
      <c r="J642" s="260"/>
      <c r="K642" s="260"/>
      <c r="L642" s="260"/>
      <c r="M642" s="260"/>
      <c r="N642" s="262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3"/>
      <c r="Z642" s="260"/>
      <c r="AA642" s="260"/>
      <c r="AB642" s="260"/>
      <c r="AC642" s="260"/>
      <c r="AD642" s="260"/>
      <c r="AE642" s="260"/>
      <c r="AF642" s="264"/>
      <c r="AG642" s="260"/>
      <c r="AH642" s="260"/>
      <c r="AI642" s="260"/>
    </row>
    <row r="643">
      <c r="A643" s="259"/>
      <c r="B643" s="260"/>
      <c r="C643" s="260"/>
      <c r="D643" s="260"/>
      <c r="E643" s="260"/>
      <c r="F643" s="260"/>
      <c r="G643" s="261"/>
      <c r="H643" s="259"/>
      <c r="I643" s="260"/>
      <c r="J643" s="260"/>
      <c r="K643" s="260"/>
      <c r="L643" s="260"/>
      <c r="M643" s="260"/>
      <c r="N643" s="262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3"/>
      <c r="Z643" s="260"/>
      <c r="AA643" s="260"/>
      <c r="AB643" s="260"/>
      <c r="AC643" s="260"/>
      <c r="AD643" s="260"/>
      <c r="AE643" s="260"/>
      <c r="AF643" s="264"/>
      <c r="AG643" s="260"/>
      <c r="AH643" s="260"/>
      <c r="AI643" s="260"/>
    </row>
    <row r="644">
      <c r="A644" s="259"/>
      <c r="B644" s="260"/>
      <c r="C644" s="260"/>
      <c r="D644" s="260"/>
      <c r="E644" s="260"/>
      <c r="F644" s="260"/>
      <c r="G644" s="261"/>
      <c r="H644" s="259"/>
      <c r="I644" s="260"/>
      <c r="J644" s="260"/>
      <c r="K644" s="260"/>
      <c r="L644" s="260"/>
      <c r="M644" s="260"/>
      <c r="N644" s="262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3"/>
      <c r="Z644" s="260"/>
      <c r="AA644" s="260"/>
      <c r="AB644" s="260"/>
      <c r="AC644" s="260"/>
      <c r="AD644" s="260"/>
      <c r="AE644" s="260"/>
      <c r="AF644" s="264"/>
      <c r="AG644" s="260"/>
      <c r="AH644" s="260"/>
      <c r="AI644" s="260"/>
    </row>
    <row r="645">
      <c r="A645" s="259"/>
      <c r="B645" s="260"/>
      <c r="C645" s="260"/>
      <c r="D645" s="260"/>
      <c r="E645" s="260"/>
      <c r="F645" s="260"/>
      <c r="G645" s="261"/>
      <c r="H645" s="259"/>
      <c r="I645" s="260"/>
      <c r="J645" s="260"/>
      <c r="K645" s="260"/>
      <c r="L645" s="260"/>
      <c r="M645" s="260"/>
      <c r="N645" s="262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3"/>
      <c r="Z645" s="260"/>
      <c r="AA645" s="260"/>
      <c r="AB645" s="260"/>
      <c r="AC645" s="260"/>
      <c r="AD645" s="260"/>
      <c r="AE645" s="260"/>
      <c r="AF645" s="264"/>
      <c r="AG645" s="260"/>
      <c r="AH645" s="260"/>
      <c r="AI645" s="260"/>
    </row>
    <row r="646">
      <c r="A646" s="259"/>
      <c r="B646" s="260"/>
      <c r="C646" s="260"/>
      <c r="D646" s="260"/>
      <c r="E646" s="260"/>
      <c r="F646" s="260"/>
      <c r="G646" s="261"/>
      <c r="H646" s="259"/>
      <c r="I646" s="260"/>
      <c r="J646" s="260"/>
      <c r="K646" s="260"/>
      <c r="L646" s="260"/>
      <c r="M646" s="260"/>
      <c r="N646" s="262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3"/>
      <c r="Z646" s="260"/>
      <c r="AA646" s="260"/>
      <c r="AB646" s="260"/>
      <c r="AC646" s="260"/>
      <c r="AD646" s="260"/>
      <c r="AE646" s="260"/>
      <c r="AF646" s="264"/>
      <c r="AG646" s="260"/>
      <c r="AH646" s="260"/>
      <c r="AI646" s="260"/>
    </row>
    <row r="647">
      <c r="A647" s="259"/>
      <c r="B647" s="260"/>
      <c r="C647" s="260"/>
      <c r="D647" s="260"/>
      <c r="E647" s="260"/>
      <c r="F647" s="260"/>
      <c r="G647" s="261"/>
      <c r="H647" s="259"/>
      <c r="I647" s="260"/>
      <c r="J647" s="260"/>
      <c r="K647" s="260"/>
      <c r="L647" s="260"/>
      <c r="M647" s="260"/>
      <c r="N647" s="262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3"/>
      <c r="Z647" s="260"/>
      <c r="AA647" s="260"/>
      <c r="AB647" s="260"/>
      <c r="AC647" s="260"/>
      <c r="AD647" s="260"/>
      <c r="AE647" s="260"/>
      <c r="AF647" s="264"/>
      <c r="AG647" s="260"/>
      <c r="AH647" s="260"/>
      <c r="AI647" s="260"/>
    </row>
    <row r="648">
      <c r="A648" s="259"/>
      <c r="B648" s="260"/>
      <c r="C648" s="260"/>
      <c r="D648" s="260"/>
      <c r="E648" s="260"/>
      <c r="F648" s="260"/>
      <c r="G648" s="261"/>
      <c r="H648" s="259"/>
      <c r="I648" s="260"/>
      <c r="J648" s="260"/>
      <c r="K648" s="260"/>
      <c r="L648" s="260"/>
      <c r="M648" s="260"/>
      <c r="N648" s="262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3"/>
      <c r="Z648" s="260"/>
      <c r="AA648" s="260"/>
      <c r="AB648" s="260"/>
      <c r="AC648" s="260"/>
      <c r="AD648" s="260"/>
      <c r="AE648" s="260"/>
      <c r="AF648" s="264"/>
      <c r="AG648" s="260"/>
      <c r="AH648" s="260"/>
      <c r="AI648" s="260"/>
    </row>
    <row r="649">
      <c r="A649" s="259"/>
      <c r="B649" s="260"/>
      <c r="C649" s="260"/>
      <c r="D649" s="260"/>
      <c r="E649" s="260"/>
      <c r="F649" s="260"/>
      <c r="G649" s="261"/>
      <c r="H649" s="259"/>
      <c r="I649" s="260"/>
      <c r="J649" s="260"/>
      <c r="K649" s="260"/>
      <c r="L649" s="260"/>
      <c r="M649" s="260"/>
      <c r="N649" s="262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3"/>
      <c r="Z649" s="260"/>
      <c r="AA649" s="260"/>
      <c r="AB649" s="260"/>
      <c r="AC649" s="260"/>
      <c r="AD649" s="260"/>
      <c r="AE649" s="260"/>
      <c r="AF649" s="264"/>
      <c r="AG649" s="260"/>
      <c r="AH649" s="260"/>
      <c r="AI649" s="260"/>
    </row>
    <row r="650">
      <c r="A650" s="259"/>
      <c r="B650" s="260"/>
      <c r="C650" s="260"/>
      <c r="D650" s="260"/>
      <c r="E650" s="260"/>
      <c r="F650" s="260"/>
      <c r="G650" s="261"/>
      <c r="H650" s="259"/>
      <c r="I650" s="260"/>
      <c r="J650" s="260"/>
      <c r="K650" s="260"/>
      <c r="L650" s="260"/>
      <c r="M650" s="260"/>
      <c r="N650" s="262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3"/>
      <c r="Z650" s="260"/>
      <c r="AA650" s="260"/>
      <c r="AB650" s="260"/>
      <c r="AC650" s="260"/>
      <c r="AD650" s="260"/>
      <c r="AE650" s="260"/>
      <c r="AF650" s="264"/>
      <c r="AG650" s="260"/>
      <c r="AH650" s="260"/>
      <c r="AI650" s="260"/>
    </row>
    <row r="651">
      <c r="A651" s="259"/>
      <c r="B651" s="260"/>
      <c r="C651" s="260"/>
      <c r="D651" s="260"/>
      <c r="E651" s="260"/>
      <c r="F651" s="260"/>
      <c r="G651" s="261"/>
      <c r="H651" s="259"/>
      <c r="I651" s="260"/>
      <c r="J651" s="260"/>
      <c r="K651" s="260"/>
      <c r="L651" s="260"/>
      <c r="M651" s="260"/>
      <c r="N651" s="262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3"/>
      <c r="Z651" s="260"/>
      <c r="AA651" s="260"/>
      <c r="AB651" s="260"/>
      <c r="AC651" s="260"/>
      <c r="AD651" s="260"/>
      <c r="AE651" s="260"/>
      <c r="AF651" s="264"/>
      <c r="AG651" s="260"/>
      <c r="AH651" s="260"/>
      <c r="AI651" s="260"/>
    </row>
    <row r="652">
      <c r="A652" s="259"/>
      <c r="B652" s="260"/>
      <c r="C652" s="260"/>
      <c r="D652" s="260"/>
      <c r="E652" s="260"/>
      <c r="F652" s="260"/>
      <c r="G652" s="261"/>
      <c r="H652" s="259"/>
      <c r="I652" s="260"/>
      <c r="J652" s="260"/>
      <c r="K652" s="260"/>
      <c r="L652" s="260"/>
      <c r="M652" s="260"/>
      <c r="N652" s="262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3"/>
      <c r="Z652" s="260"/>
      <c r="AA652" s="260"/>
      <c r="AB652" s="260"/>
      <c r="AC652" s="260"/>
      <c r="AD652" s="260"/>
      <c r="AE652" s="260"/>
      <c r="AF652" s="264"/>
      <c r="AG652" s="260"/>
      <c r="AH652" s="260"/>
      <c r="AI652" s="260"/>
    </row>
    <row r="653">
      <c r="A653" s="259"/>
      <c r="B653" s="260"/>
      <c r="C653" s="260"/>
      <c r="D653" s="260"/>
      <c r="E653" s="260"/>
      <c r="F653" s="260"/>
      <c r="G653" s="261"/>
      <c r="H653" s="259"/>
      <c r="I653" s="260"/>
      <c r="J653" s="260"/>
      <c r="K653" s="260"/>
      <c r="L653" s="260"/>
      <c r="M653" s="260"/>
      <c r="N653" s="262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3"/>
      <c r="Z653" s="260"/>
      <c r="AA653" s="260"/>
      <c r="AB653" s="260"/>
      <c r="AC653" s="260"/>
      <c r="AD653" s="260"/>
      <c r="AE653" s="260"/>
      <c r="AF653" s="264"/>
      <c r="AG653" s="260"/>
      <c r="AH653" s="260"/>
      <c r="AI653" s="260"/>
    </row>
    <row r="654">
      <c r="A654" s="259"/>
      <c r="B654" s="260"/>
      <c r="C654" s="260"/>
      <c r="D654" s="260"/>
      <c r="E654" s="260"/>
      <c r="F654" s="260"/>
      <c r="G654" s="261"/>
      <c r="H654" s="259"/>
      <c r="I654" s="260"/>
      <c r="J654" s="260"/>
      <c r="K654" s="260"/>
      <c r="L654" s="260"/>
      <c r="M654" s="260"/>
      <c r="N654" s="262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3"/>
      <c r="Z654" s="260"/>
      <c r="AA654" s="260"/>
      <c r="AB654" s="260"/>
      <c r="AC654" s="260"/>
      <c r="AD654" s="260"/>
      <c r="AE654" s="260"/>
      <c r="AF654" s="264"/>
      <c r="AG654" s="260"/>
      <c r="AH654" s="260"/>
      <c r="AI654" s="260"/>
    </row>
    <row r="655">
      <c r="A655" s="259"/>
      <c r="B655" s="260"/>
      <c r="C655" s="260"/>
      <c r="D655" s="260"/>
      <c r="E655" s="260"/>
      <c r="F655" s="260"/>
      <c r="G655" s="261"/>
      <c r="H655" s="259"/>
      <c r="I655" s="260"/>
      <c r="J655" s="260"/>
      <c r="K655" s="260"/>
      <c r="L655" s="260"/>
      <c r="M655" s="260"/>
      <c r="N655" s="262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3"/>
      <c r="Z655" s="260"/>
      <c r="AA655" s="260"/>
      <c r="AB655" s="260"/>
      <c r="AC655" s="260"/>
      <c r="AD655" s="260"/>
      <c r="AE655" s="260"/>
      <c r="AF655" s="264"/>
      <c r="AG655" s="260"/>
      <c r="AH655" s="260"/>
      <c r="AI655" s="260"/>
    </row>
    <row r="656">
      <c r="A656" s="259"/>
      <c r="B656" s="260"/>
      <c r="C656" s="260"/>
      <c r="D656" s="260"/>
      <c r="E656" s="260"/>
      <c r="F656" s="260"/>
      <c r="G656" s="261"/>
      <c r="H656" s="259"/>
      <c r="I656" s="260"/>
      <c r="J656" s="260"/>
      <c r="K656" s="260"/>
      <c r="L656" s="260"/>
      <c r="M656" s="260"/>
      <c r="N656" s="262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3"/>
      <c r="Z656" s="260"/>
      <c r="AA656" s="260"/>
      <c r="AB656" s="260"/>
      <c r="AC656" s="260"/>
      <c r="AD656" s="260"/>
      <c r="AE656" s="260"/>
      <c r="AF656" s="264"/>
      <c r="AG656" s="260"/>
      <c r="AH656" s="260"/>
      <c r="AI656" s="260"/>
    </row>
    <row r="657">
      <c r="A657" s="259"/>
      <c r="B657" s="260"/>
      <c r="C657" s="260"/>
      <c r="D657" s="260"/>
      <c r="E657" s="260"/>
      <c r="F657" s="260"/>
      <c r="G657" s="261"/>
      <c r="H657" s="259"/>
      <c r="I657" s="260"/>
      <c r="J657" s="260"/>
      <c r="K657" s="260"/>
      <c r="L657" s="260"/>
      <c r="M657" s="260"/>
      <c r="N657" s="262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3"/>
      <c r="Z657" s="260"/>
      <c r="AA657" s="260"/>
      <c r="AB657" s="260"/>
      <c r="AC657" s="260"/>
      <c r="AD657" s="260"/>
      <c r="AE657" s="260"/>
      <c r="AF657" s="264"/>
      <c r="AG657" s="260"/>
      <c r="AH657" s="260"/>
      <c r="AI657" s="260"/>
    </row>
    <row r="658">
      <c r="A658" s="259"/>
      <c r="B658" s="260"/>
      <c r="C658" s="260"/>
      <c r="D658" s="260"/>
      <c r="E658" s="260"/>
      <c r="F658" s="260"/>
      <c r="G658" s="261"/>
      <c r="H658" s="259"/>
      <c r="I658" s="260"/>
      <c r="J658" s="260"/>
      <c r="K658" s="260"/>
      <c r="L658" s="260"/>
      <c r="M658" s="260"/>
      <c r="N658" s="262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3"/>
      <c r="Z658" s="260"/>
      <c r="AA658" s="260"/>
      <c r="AB658" s="260"/>
      <c r="AC658" s="260"/>
      <c r="AD658" s="260"/>
      <c r="AE658" s="260"/>
      <c r="AF658" s="264"/>
      <c r="AG658" s="260"/>
      <c r="AH658" s="260"/>
      <c r="AI658" s="260"/>
    </row>
    <row r="659">
      <c r="A659" s="259"/>
      <c r="B659" s="260"/>
      <c r="C659" s="260"/>
      <c r="D659" s="260"/>
      <c r="E659" s="260"/>
      <c r="F659" s="260"/>
      <c r="G659" s="261"/>
      <c r="H659" s="259"/>
      <c r="I659" s="260"/>
      <c r="J659" s="260"/>
      <c r="K659" s="260"/>
      <c r="L659" s="260"/>
      <c r="M659" s="260"/>
      <c r="N659" s="262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3"/>
      <c r="Z659" s="260"/>
      <c r="AA659" s="260"/>
      <c r="AB659" s="260"/>
      <c r="AC659" s="260"/>
      <c r="AD659" s="260"/>
      <c r="AE659" s="260"/>
      <c r="AF659" s="264"/>
      <c r="AG659" s="260"/>
      <c r="AH659" s="260"/>
      <c r="AI659" s="260"/>
    </row>
    <row r="660">
      <c r="A660" s="259"/>
      <c r="B660" s="260"/>
      <c r="C660" s="260"/>
      <c r="D660" s="260"/>
      <c r="E660" s="260"/>
      <c r="F660" s="260"/>
      <c r="G660" s="261"/>
      <c r="H660" s="259"/>
      <c r="I660" s="260"/>
      <c r="J660" s="260"/>
      <c r="K660" s="260"/>
      <c r="L660" s="260"/>
      <c r="M660" s="260"/>
      <c r="N660" s="262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3"/>
      <c r="Z660" s="260"/>
      <c r="AA660" s="260"/>
      <c r="AB660" s="260"/>
      <c r="AC660" s="260"/>
      <c r="AD660" s="260"/>
      <c r="AE660" s="260"/>
      <c r="AF660" s="264"/>
      <c r="AG660" s="260"/>
      <c r="AH660" s="260"/>
      <c r="AI660" s="260"/>
    </row>
    <row r="661">
      <c r="A661" s="259"/>
      <c r="B661" s="260"/>
      <c r="C661" s="260"/>
      <c r="D661" s="260"/>
      <c r="E661" s="260"/>
      <c r="F661" s="260"/>
      <c r="G661" s="261"/>
      <c r="H661" s="259"/>
      <c r="I661" s="260"/>
      <c r="J661" s="260"/>
      <c r="K661" s="260"/>
      <c r="L661" s="260"/>
      <c r="M661" s="260"/>
      <c r="N661" s="262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3"/>
      <c r="Z661" s="260"/>
      <c r="AA661" s="260"/>
      <c r="AB661" s="260"/>
      <c r="AC661" s="260"/>
      <c r="AD661" s="260"/>
      <c r="AE661" s="260"/>
      <c r="AF661" s="264"/>
      <c r="AG661" s="260"/>
      <c r="AH661" s="260"/>
      <c r="AI661" s="260"/>
    </row>
    <row r="662">
      <c r="A662" s="259"/>
      <c r="B662" s="260"/>
      <c r="C662" s="260"/>
      <c r="D662" s="260"/>
      <c r="E662" s="260"/>
      <c r="F662" s="260"/>
      <c r="G662" s="261"/>
      <c r="H662" s="259"/>
      <c r="I662" s="260"/>
      <c r="J662" s="260"/>
      <c r="K662" s="260"/>
      <c r="L662" s="260"/>
      <c r="M662" s="260"/>
      <c r="N662" s="262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3"/>
      <c r="Z662" s="260"/>
      <c r="AA662" s="260"/>
      <c r="AB662" s="260"/>
      <c r="AC662" s="260"/>
      <c r="AD662" s="260"/>
      <c r="AE662" s="260"/>
      <c r="AF662" s="264"/>
      <c r="AG662" s="260"/>
      <c r="AH662" s="260"/>
      <c r="AI662" s="260"/>
    </row>
    <row r="663">
      <c r="A663" s="259"/>
      <c r="B663" s="260"/>
      <c r="C663" s="260"/>
      <c r="D663" s="260"/>
      <c r="E663" s="260"/>
      <c r="F663" s="260"/>
      <c r="G663" s="261"/>
      <c r="H663" s="259"/>
      <c r="I663" s="260"/>
      <c r="J663" s="260"/>
      <c r="K663" s="260"/>
      <c r="L663" s="260"/>
      <c r="M663" s="260"/>
      <c r="N663" s="262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3"/>
      <c r="Z663" s="260"/>
      <c r="AA663" s="260"/>
      <c r="AB663" s="260"/>
      <c r="AC663" s="260"/>
      <c r="AD663" s="260"/>
      <c r="AE663" s="260"/>
      <c r="AF663" s="264"/>
      <c r="AG663" s="260"/>
      <c r="AH663" s="260"/>
      <c r="AI663" s="260"/>
    </row>
    <row r="664">
      <c r="A664" s="259"/>
      <c r="B664" s="260"/>
      <c r="C664" s="260"/>
      <c r="D664" s="260"/>
      <c r="E664" s="260"/>
      <c r="F664" s="260"/>
      <c r="G664" s="261"/>
      <c r="H664" s="259"/>
      <c r="I664" s="260"/>
      <c r="J664" s="260"/>
      <c r="K664" s="260"/>
      <c r="L664" s="260"/>
      <c r="M664" s="260"/>
      <c r="N664" s="262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3"/>
      <c r="Z664" s="260"/>
      <c r="AA664" s="260"/>
      <c r="AB664" s="260"/>
      <c r="AC664" s="260"/>
      <c r="AD664" s="260"/>
      <c r="AE664" s="260"/>
      <c r="AF664" s="264"/>
      <c r="AG664" s="260"/>
      <c r="AH664" s="260"/>
      <c r="AI664" s="260"/>
    </row>
    <row r="665">
      <c r="A665" s="259"/>
      <c r="B665" s="260"/>
      <c r="C665" s="260"/>
      <c r="D665" s="260"/>
      <c r="E665" s="260"/>
      <c r="F665" s="260"/>
      <c r="G665" s="261"/>
      <c r="H665" s="259"/>
      <c r="I665" s="260"/>
      <c r="J665" s="260"/>
      <c r="K665" s="260"/>
      <c r="L665" s="260"/>
      <c r="M665" s="260"/>
      <c r="N665" s="262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3"/>
      <c r="Z665" s="260"/>
      <c r="AA665" s="260"/>
      <c r="AB665" s="260"/>
      <c r="AC665" s="260"/>
      <c r="AD665" s="260"/>
      <c r="AE665" s="260"/>
      <c r="AF665" s="264"/>
      <c r="AG665" s="260"/>
      <c r="AH665" s="260"/>
      <c r="AI665" s="260"/>
    </row>
    <row r="666">
      <c r="A666" s="259"/>
      <c r="B666" s="260"/>
      <c r="C666" s="260"/>
      <c r="D666" s="260"/>
      <c r="E666" s="260"/>
      <c r="F666" s="260"/>
      <c r="G666" s="261"/>
      <c r="H666" s="259"/>
      <c r="I666" s="260"/>
      <c r="J666" s="260"/>
      <c r="K666" s="260"/>
      <c r="L666" s="260"/>
      <c r="M666" s="260"/>
      <c r="N666" s="262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3"/>
      <c r="Z666" s="260"/>
      <c r="AA666" s="260"/>
      <c r="AB666" s="260"/>
      <c r="AC666" s="260"/>
      <c r="AD666" s="260"/>
      <c r="AE666" s="260"/>
      <c r="AF666" s="264"/>
      <c r="AG666" s="260"/>
      <c r="AH666" s="260"/>
      <c r="AI666" s="260"/>
    </row>
    <row r="667">
      <c r="A667" s="259"/>
      <c r="B667" s="260"/>
      <c r="C667" s="260"/>
      <c r="D667" s="260"/>
      <c r="E667" s="260"/>
      <c r="F667" s="260"/>
      <c r="G667" s="261"/>
      <c r="H667" s="259"/>
      <c r="I667" s="260"/>
      <c r="J667" s="260"/>
      <c r="K667" s="260"/>
      <c r="L667" s="260"/>
      <c r="M667" s="260"/>
      <c r="N667" s="262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3"/>
      <c r="Z667" s="260"/>
      <c r="AA667" s="260"/>
      <c r="AB667" s="260"/>
      <c r="AC667" s="260"/>
      <c r="AD667" s="260"/>
      <c r="AE667" s="260"/>
      <c r="AF667" s="264"/>
      <c r="AG667" s="260"/>
      <c r="AH667" s="260"/>
      <c r="AI667" s="260"/>
    </row>
    <row r="668">
      <c r="A668" s="259"/>
      <c r="B668" s="260"/>
      <c r="C668" s="260"/>
      <c r="D668" s="260"/>
      <c r="E668" s="260"/>
      <c r="F668" s="260"/>
      <c r="G668" s="261"/>
      <c r="H668" s="259"/>
      <c r="I668" s="260"/>
      <c r="J668" s="260"/>
      <c r="K668" s="260"/>
      <c r="L668" s="260"/>
      <c r="M668" s="260"/>
      <c r="N668" s="262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3"/>
      <c r="Z668" s="260"/>
      <c r="AA668" s="260"/>
      <c r="AB668" s="260"/>
      <c r="AC668" s="260"/>
      <c r="AD668" s="260"/>
      <c r="AE668" s="260"/>
      <c r="AF668" s="264"/>
      <c r="AG668" s="260"/>
      <c r="AH668" s="260"/>
      <c r="AI668" s="260"/>
    </row>
    <row r="669">
      <c r="A669" s="259"/>
      <c r="B669" s="260"/>
      <c r="C669" s="260"/>
      <c r="D669" s="260"/>
      <c r="E669" s="260"/>
      <c r="F669" s="260"/>
      <c r="G669" s="261"/>
      <c r="H669" s="259"/>
      <c r="I669" s="260"/>
      <c r="J669" s="260"/>
      <c r="K669" s="260"/>
      <c r="L669" s="260"/>
      <c r="M669" s="260"/>
      <c r="N669" s="262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3"/>
      <c r="Z669" s="260"/>
      <c r="AA669" s="260"/>
      <c r="AB669" s="260"/>
      <c r="AC669" s="260"/>
      <c r="AD669" s="260"/>
      <c r="AE669" s="260"/>
      <c r="AF669" s="264"/>
      <c r="AG669" s="260"/>
      <c r="AH669" s="260"/>
      <c r="AI669" s="260"/>
    </row>
    <row r="670">
      <c r="A670" s="259"/>
      <c r="B670" s="260"/>
      <c r="C670" s="260"/>
      <c r="D670" s="260"/>
      <c r="E670" s="260"/>
      <c r="F670" s="260"/>
      <c r="G670" s="261"/>
      <c r="H670" s="259"/>
      <c r="I670" s="260"/>
      <c r="J670" s="260"/>
      <c r="K670" s="260"/>
      <c r="L670" s="260"/>
      <c r="M670" s="260"/>
      <c r="N670" s="262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3"/>
      <c r="Z670" s="260"/>
      <c r="AA670" s="260"/>
      <c r="AB670" s="260"/>
      <c r="AC670" s="260"/>
      <c r="AD670" s="260"/>
      <c r="AE670" s="260"/>
      <c r="AF670" s="264"/>
      <c r="AG670" s="260"/>
      <c r="AH670" s="260"/>
      <c r="AI670" s="260"/>
    </row>
    <row r="671">
      <c r="A671" s="259"/>
      <c r="B671" s="260"/>
      <c r="C671" s="260"/>
      <c r="D671" s="260"/>
      <c r="E671" s="260"/>
      <c r="F671" s="260"/>
      <c r="G671" s="261"/>
      <c r="H671" s="259"/>
      <c r="I671" s="260"/>
      <c r="J671" s="260"/>
      <c r="K671" s="260"/>
      <c r="L671" s="260"/>
      <c r="M671" s="260"/>
      <c r="N671" s="262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3"/>
      <c r="Z671" s="260"/>
      <c r="AA671" s="260"/>
      <c r="AB671" s="260"/>
      <c r="AC671" s="260"/>
      <c r="AD671" s="260"/>
      <c r="AE671" s="260"/>
      <c r="AF671" s="264"/>
      <c r="AG671" s="260"/>
      <c r="AH671" s="260"/>
      <c r="AI671" s="260"/>
    </row>
    <row r="672">
      <c r="A672" s="259"/>
      <c r="B672" s="260"/>
      <c r="C672" s="260"/>
      <c r="D672" s="260"/>
      <c r="E672" s="260"/>
      <c r="F672" s="260"/>
      <c r="G672" s="261"/>
      <c r="H672" s="259"/>
      <c r="I672" s="260"/>
      <c r="J672" s="260"/>
      <c r="K672" s="260"/>
      <c r="L672" s="260"/>
      <c r="M672" s="260"/>
      <c r="N672" s="262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3"/>
      <c r="Z672" s="260"/>
      <c r="AA672" s="260"/>
      <c r="AB672" s="260"/>
      <c r="AC672" s="260"/>
      <c r="AD672" s="260"/>
      <c r="AE672" s="260"/>
      <c r="AF672" s="264"/>
      <c r="AG672" s="260"/>
      <c r="AH672" s="260"/>
      <c r="AI672" s="260"/>
    </row>
    <row r="673">
      <c r="A673" s="259"/>
      <c r="B673" s="260"/>
      <c r="C673" s="260"/>
      <c r="D673" s="260"/>
      <c r="E673" s="260"/>
      <c r="F673" s="260"/>
      <c r="G673" s="261"/>
      <c r="H673" s="259"/>
      <c r="I673" s="260"/>
      <c r="J673" s="260"/>
      <c r="K673" s="260"/>
      <c r="L673" s="260"/>
      <c r="M673" s="260"/>
      <c r="N673" s="262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3"/>
      <c r="Z673" s="260"/>
      <c r="AA673" s="260"/>
      <c r="AB673" s="260"/>
      <c r="AC673" s="260"/>
      <c r="AD673" s="260"/>
      <c r="AE673" s="260"/>
      <c r="AF673" s="264"/>
      <c r="AG673" s="260"/>
      <c r="AH673" s="260"/>
      <c r="AI673" s="260"/>
    </row>
    <row r="674">
      <c r="A674" s="259"/>
      <c r="B674" s="260"/>
      <c r="C674" s="260"/>
      <c r="D674" s="260"/>
      <c r="E674" s="260"/>
      <c r="F674" s="260"/>
      <c r="G674" s="261"/>
      <c r="H674" s="259"/>
      <c r="I674" s="260"/>
      <c r="J674" s="260"/>
      <c r="K674" s="260"/>
      <c r="L674" s="260"/>
      <c r="M674" s="260"/>
      <c r="N674" s="262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3"/>
      <c r="Z674" s="260"/>
      <c r="AA674" s="260"/>
      <c r="AB674" s="260"/>
      <c r="AC674" s="260"/>
      <c r="AD674" s="260"/>
      <c r="AE674" s="260"/>
      <c r="AF674" s="264"/>
      <c r="AG674" s="260"/>
      <c r="AH674" s="260"/>
      <c r="AI674" s="260"/>
    </row>
    <row r="675">
      <c r="A675" s="259"/>
      <c r="B675" s="260"/>
      <c r="C675" s="260"/>
      <c r="D675" s="260"/>
      <c r="E675" s="260"/>
      <c r="F675" s="260"/>
      <c r="G675" s="261"/>
      <c r="H675" s="259"/>
      <c r="I675" s="260"/>
      <c r="J675" s="260"/>
      <c r="K675" s="260"/>
      <c r="L675" s="260"/>
      <c r="M675" s="260"/>
      <c r="N675" s="262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3"/>
      <c r="Z675" s="260"/>
      <c r="AA675" s="260"/>
      <c r="AB675" s="260"/>
      <c r="AC675" s="260"/>
      <c r="AD675" s="260"/>
      <c r="AE675" s="260"/>
      <c r="AF675" s="264"/>
      <c r="AG675" s="260"/>
      <c r="AH675" s="260"/>
      <c r="AI675" s="260"/>
    </row>
    <row r="676">
      <c r="A676" s="259"/>
      <c r="B676" s="260"/>
      <c r="C676" s="260"/>
      <c r="D676" s="260"/>
      <c r="E676" s="260"/>
      <c r="F676" s="260"/>
      <c r="G676" s="261"/>
      <c r="H676" s="259"/>
      <c r="I676" s="260"/>
      <c r="J676" s="260"/>
      <c r="K676" s="260"/>
      <c r="L676" s="260"/>
      <c r="M676" s="260"/>
      <c r="N676" s="262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3"/>
      <c r="Z676" s="260"/>
      <c r="AA676" s="260"/>
      <c r="AB676" s="260"/>
      <c r="AC676" s="260"/>
      <c r="AD676" s="260"/>
      <c r="AE676" s="260"/>
      <c r="AF676" s="264"/>
      <c r="AG676" s="260"/>
      <c r="AH676" s="260"/>
      <c r="AI676" s="260"/>
    </row>
    <row r="677">
      <c r="A677" s="259"/>
      <c r="B677" s="260"/>
      <c r="C677" s="260"/>
      <c r="D677" s="260"/>
      <c r="E677" s="260"/>
      <c r="F677" s="260"/>
      <c r="G677" s="261"/>
      <c r="H677" s="259"/>
      <c r="I677" s="260"/>
      <c r="J677" s="260"/>
      <c r="K677" s="260"/>
      <c r="L677" s="260"/>
      <c r="M677" s="260"/>
      <c r="N677" s="262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3"/>
      <c r="Z677" s="260"/>
      <c r="AA677" s="260"/>
      <c r="AB677" s="260"/>
      <c r="AC677" s="260"/>
      <c r="AD677" s="260"/>
      <c r="AE677" s="260"/>
      <c r="AF677" s="264"/>
      <c r="AG677" s="260"/>
      <c r="AH677" s="260"/>
      <c r="AI677" s="260"/>
    </row>
    <row r="678">
      <c r="A678" s="259"/>
      <c r="B678" s="260"/>
      <c r="C678" s="260"/>
      <c r="D678" s="260"/>
      <c r="E678" s="260"/>
      <c r="F678" s="260"/>
      <c r="G678" s="261"/>
      <c r="H678" s="259"/>
      <c r="I678" s="260"/>
      <c r="J678" s="260"/>
      <c r="K678" s="260"/>
      <c r="L678" s="260"/>
      <c r="M678" s="260"/>
      <c r="N678" s="262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3"/>
      <c r="Z678" s="260"/>
      <c r="AA678" s="260"/>
      <c r="AB678" s="260"/>
      <c r="AC678" s="260"/>
      <c r="AD678" s="260"/>
      <c r="AE678" s="260"/>
      <c r="AF678" s="264"/>
      <c r="AG678" s="260"/>
      <c r="AH678" s="260"/>
      <c r="AI678" s="260"/>
    </row>
    <row r="679">
      <c r="A679" s="259"/>
      <c r="B679" s="260"/>
      <c r="C679" s="260"/>
      <c r="D679" s="260"/>
      <c r="E679" s="260"/>
      <c r="F679" s="260"/>
      <c r="G679" s="261"/>
      <c r="H679" s="259"/>
      <c r="I679" s="260"/>
      <c r="J679" s="260"/>
      <c r="K679" s="260"/>
      <c r="L679" s="260"/>
      <c r="M679" s="260"/>
      <c r="N679" s="262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3"/>
      <c r="Z679" s="260"/>
      <c r="AA679" s="260"/>
      <c r="AB679" s="260"/>
      <c r="AC679" s="260"/>
      <c r="AD679" s="260"/>
      <c r="AE679" s="260"/>
      <c r="AF679" s="264"/>
      <c r="AG679" s="260"/>
      <c r="AH679" s="260"/>
      <c r="AI679" s="260"/>
    </row>
    <row r="680">
      <c r="A680" s="259"/>
      <c r="B680" s="260"/>
      <c r="C680" s="260"/>
      <c r="D680" s="260"/>
      <c r="E680" s="260"/>
      <c r="F680" s="260"/>
      <c r="G680" s="261"/>
      <c r="H680" s="259"/>
      <c r="I680" s="260"/>
      <c r="J680" s="260"/>
      <c r="K680" s="260"/>
      <c r="L680" s="260"/>
      <c r="M680" s="260"/>
      <c r="N680" s="262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3"/>
      <c r="Z680" s="260"/>
      <c r="AA680" s="260"/>
      <c r="AB680" s="260"/>
      <c r="AC680" s="260"/>
      <c r="AD680" s="260"/>
      <c r="AE680" s="260"/>
      <c r="AF680" s="264"/>
      <c r="AG680" s="260"/>
      <c r="AH680" s="260"/>
      <c r="AI680" s="260"/>
    </row>
    <row r="681">
      <c r="A681" s="259"/>
      <c r="B681" s="260"/>
      <c r="C681" s="260"/>
      <c r="D681" s="260"/>
      <c r="E681" s="260"/>
      <c r="F681" s="260"/>
      <c r="G681" s="261"/>
      <c r="H681" s="259"/>
      <c r="I681" s="260"/>
      <c r="J681" s="260"/>
      <c r="K681" s="260"/>
      <c r="L681" s="260"/>
      <c r="M681" s="260"/>
      <c r="N681" s="262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3"/>
      <c r="Z681" s="260"/>
      <c r="AA681" s="260"/>
      <c r="AB681" s="260"/>
      <c r="AC681" s="260"/>
      <c r="AD681" s="260"/>
      <c r="AE681" s="260"/>
      <c r="AF681" s="264"/>
      <c r="AG681" s="260"/>
      <c r="AH681" s="260"/>
      <c r="AI681" s="260"/>
    </row>
    <row r="682">
      <c r="A682" s="259"/>
      <c r="B682" s="260"/>
      <c r="C682" s="260"/>
      <c r="D682" s="260"/>
      <c r="E682" s="260"/>
      <c r="F682" s="260"/>
      <c r="G682" s="261"/>
      <c r="H682" s="259"/>
      <c r="I682" s="260"/>
      <c r="J682" s="260"/>
      <c r="K682" s="260"/>
      <c r="L682" s="260"/>
      <c r="M682" s="260"/>
      <c r="N682" s="262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3"/>
      <c r="Z682" s="260"/>
      <c r="AA682" s="260"/>
      <c r="AB682" s="260"/>
      <c r="AC682" s="260"/>
      <c r="AD682" s="260"/>
      <c r="AE682" s="260"/>
      <c r="AF682" s="264"/>
      <c r="AG682" s="260"/>
      <c r="AH682" s="260"/>
      <c r="AI682" s="260"/>
    </row>
    <row r="683">
      <c r="A683" s="259"/>
      <c r="B683" s="260"/>
      <c r="C683" s="260"/>
      <c r="D683" s="260"/>
      <c r="E683" s="260"/>
      <c r="F683" s="260"/>
      <c r="G683" s="261"/>
      <c r="H683" s="259"/>
      <c r="I683" s="260"/>
      <c r="J683" s="260"/>
      <c r="K683" s="260"/>
      <c r="L683" s="260"/>
      <c r="M683" s="260"/>
      <c r="N683" s="262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3"/>
      <c r="Z683" s="260"/>
      <c r="AA683" s="260"/>
      <c r="AB683" s="260"/>
      <c r="AC683" s="260"/>
      <c r="AD683" s="260"/>
      <c r="AE683" s="260"/>
      <c r="AF683" s="264"/>
      <c r="AG683" s="260"/>
      <c r="AH683" s="260"/>
      <c r="AI683" s="260"/>
    </row>
    <row r="684">
      <c r="A684" s="259"/>
      <c r="B684" s="260"/>
      <c r="C684" s="260"/>
      <c r="D684" s="260"/>
      <c r="E684" s="260"/>
      <c r="F684" s="260"/>
      <c r="G684" s="261"/>
      <c r="H684" s="259"/>
      <c r="I684" s="260"/>
      <c r="J684" s="260"/>
      <c r="K684" s="260"/>
      <c r="L684" s="260"/>
      <c r="M684" s="260"/>
      <c r="N684" s="262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3"/>
      <c r="Z684" s="260"/>
      <c r="AA684" s="260"/>
      <c r="AB684" s="260"/>
      <c r="AC684" s="260"/>
      <c r="AD684" s="260"/>
      <c r="AE684" s="260"/>
      <c r="AF684" s="264"/>
      <c r="AG684" s="260"/>
      <c r="AH684" s="260"/>
      <c r="AI684" s="260"/>
    </row>
    <row r="685">
      <c r="A685" s="259"/>
      <c r="B685" s="260"/>
      <c r="C685" s="260"/>
      <c r="D685" s="260"/>
      <c r="E685" s="260"/>
      <c r="F685" s="260"/>
      <c r="G685" s="261"/>
      <c r="H685" s="259"/>
      <c r="I685" s="260"/>
      <c r="J685" s="260"/>
      <c r="K685" s="260"/>
      <c r="L685" s="260"/>
      <c r="M685" s="260"/>
      <c r="N685" s="262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3"/>
      <c r="Z685" s="260"/>
      <c r="AA685" s="260"/>
      <c r="AB685" s="260"/>
      <c r="AC685" s="260"/>
      <c r="AD685" s="260"/>
      <c r="AE685" s="260"/>
      <c r="AF685" s="264"/>
      <c r="AG685" s="260"/>
      <c r="AH685" s="260"/>
      <c r="AI685" s="260"/>
    </row>
    <row r="686">
      <c r="A686" s="259"/>
      <c r="B686" s="260"/>
      <c r="C686" s="260"/>
      <c r="D686" s="260"/>
      <c r="E686" s="260"/>
      <c r="F686" s="260"/>
      <c r="G686" s="261"/>
      <c r="H686" s="259"/>
      <c r="I686" s="260"/>
      <c r="J686" s="260"/>
      <c r="K686" s="260"/>
      <c r="L686" s="260"/>
      <c r="M686" s="260"/>
      <c r="N686" s="262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3"/>
      <c r="Z686" s="260"/>
      <c r="AA686" s="260"/>
      <c r="AB686" s="260"/>
      <c r="AC686" s="260"/>
      <c r="AD686" s="260"/>
      <c r="AE686" s="260"/>
      <c r="AF686" s="264"/>
      <c r="AG686" s="260"/>
      <c r="AH686" s="260"/>
      <c r="AI686" s="260"/>
    </row>
    <row r="687">
      <c r="A687" s="259"/>
      <c r="B687" s="260"/>
      <c r="C687" s="260"/>
      <c r="D687" s="260"/>
      <c r="E687" s="260"/>
      <c r="F687" s="260"/>
      <c r="G687" s="261"/>
      <c r="H687" s="259"/>
      <c r="I687" s="260"/>
      <c r="J687" s="260"/>
      <c r="K687" s="260"/>
      <c r="L687" s="260"/>
      <c r="M687" s="260"/>
      <c r="N687" s="262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3"/>
      <c r="Z687" s="260"/>
      <c r="AA687" s="260"/>
      <c r="AB687" s="260"/>
      <c r="AC687" s="260"/>
      <c r="AD687" s="260"/>
      <c r="AE687" s="260"/>
      <c r="AF687" s="264"/>
      <c r="AG687" s="260"/>
      <c r="AH687" s="260"/>
      <c r="AI687" s="260"/>
    </row>
    <row r="688">
      <c r="A688" s="259"/>
      <c r="B688" s="260"/>
      <c r="C688" s="260"/>
      <c r="D688" s="260"/>
      <c r="E688" s="260"/>
      <c r="F688" s="260"/>
      <c r="G688" s="261"/>
      <c r="H688" s="259"/>
      <c r="I688" s="260"/>
      <c r="J688" s="260"/>
      <c r="K688" s="260"/>
      <c r="L688" s="260"/>
      <c r="M688" s="260"/>
      <c r="N688" s="262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3"/>
      <c r="Z688" s="260"/>
      <c r="AA688" s="260"/>
      <c r="AB688" s="260"/>
      <c r="AC688" s="260"/>
      <c r="AD688" s="260"/>
      <c r="AE688" s="260"/>
      <c r="AF688" s="264"/>
      <c r="AG688" s="260"/>
      <c r="AH688" s="260"/>
      <c r="AI688" s="260"/>
    </row>
    <row r="689">
      <c r="A689" s="259"/>
      <c r="B689" s="260"/>
      <c r="C689" s="260"/>
      <c r="D689" s="260"/>
      <c r="E689" s="260"/>
      <c r="F689" s="260"/>
      <c r="G689" s="261"/>
      <c r="H689" s="259"/>
      <c r="I689" s="260"/>
      <c r="J689" s="260"/>
      <c r="K689" s="260"/>
      <c r="L689" s="260"/>
      <c r="M689" s="260"/>
      <c r="N689" s="262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3"/>
      <c r="Z689" s="260"/>
      <c r="AA689" s="260"/>
      <c r="AB689" s="260"/>
      <c r="AC689" s="260"/>
      <c r="AD689" s="260"/>
      <c r="AE689" s="260"/>
      <c r="AF689" s="264"/>
      <c r="AG689" s="260"/>
      <c r="AH689" s="260"/>
      <c r="AI689" s="260"/>
    </row>
    <row r="690">
      <c r="A690" s="259"/>
      <c r="B690" s="260"/>
      <c r="C690" s="260"/>
      <c r="D690" s="260"/>
      <c r="E690" s="260"/>
      <c r="F690" s="260"/>
      <c r="G690" s="261"/>
      <c r="H690" s="259"/>
      <c r="I690" s="260"/>
      <c r="J690" s="260"/>
      <c r="K690" s="260"/>
      <c r="L690" s="260"/>
      <c r="M690" s="260"/>
      <c r="N690" s="262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3"/>
      <c r="Z690" s="260"/>
      <c r="AA690" s="260"/>
      <c r="AB690" s="260"/>
      <c r="AC690" s="260"/>
      <c r="AD690" s="260"/>
      <c r="AE690" s="260"/>
      <c r="AF690" s="264"/>
      <c r="AG690" s="260"/>
      <c r="AH690" s="260"/>
      <c r="AI690" s="260"/>
    </row>
    <row r="691">
      <c r="A691" s="259"/>
      <c r="B691" s="260"/>
      <c r="C691" s="260"/>
      <c r="D691" s="260"/>
      <c r="E691" s="260"/>
      <c r="F691" s="260"/>
      <c r="G691" s="261"/>
      <c r="H691" s="259"/>
      <c r="I691" s="260"/>
      <c r="J691" s="260"/>
      <c r="K691" s="260"/>
      <c r="L691" s="260"/>
      <c r="M691" s="260"/>
      <c r="N691" s="262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3"/>
      <c r="Z691" s="260"/>
      <c r="AA691" s="260"/>
      <c r="AB691" s="260"/>
      <c r="AC691" s="260"/>
      <c r="AD691" s="260"/>
      <c r="AE691" s="260"/>
      <c r="AF691" s="264"/>
      <c r="AG691" s="260"/>
      <c r="AH691" s="260"/>
      <c r="AI691" s="260"/>
    </row>
    <row r="692">
      <c r="A692" s="259"/>
      <c r="B692" s="260"/>
      <c r="C692" s="260"/>
      <c r="D692" s="260"/>
      <c r="E692" s="260"/>
      <c r="F692" s="260"/>
      <c r="G692" s="261"/>
      <c r="H692" s="259"/>
      <c r="I692" s="260"/>
      <c r="J692" s="260"/>
      <c r="K692" s="260"/>
      <c r="L692" s="260"/>
      <c r="M692" s="260"/>
      <c r="N692" s="262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3"/>
      <c r="Z692" s="260"/>
      <c r="AA692" s="260"/>
      <c r="AB692" s="260"/>
      <c r="AC692" s="260"/>
      <c r="AD692" s="260"/>
      <c r="AE692" s="260"/>
      <c r="AF692" s="264"/>
      <c r="AG692" s="260"/>
      <c r="AH692" s="260"/>
      <c r="AI692" s="260"/>
    </row>
    <row r="693">
      <c r="A693" s="259"/>
      <c r="B693" s="260"/>
      <c r="C693" s="260"/>
      <c r="D693" s="260"/>
      <c r="E693" s="260"/>
      <c r="F693" s="260"/>
      <c r="G693" s="261"/>
      <c r="H693" s="259"/>
      <c r="I693" s="260"/>
      <c r="J693" s="260"/>
      <c r="K693" s="260"/>
      <c r="L693" s="260"/>
      <c r="M693" s="260"/>
      <c r="N693" s="262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3"/>
      <c r="Z693" s="260"/>
      <c r="AA693" s="260"/>
      <c r="AB693" s="260"/>
      <c r="AC693" s="260"/>
      <c r="AD693" s="260"/>
      <c r="AE693" s="260"/>
      <c r="AF693" s="264"/>
      <c r="AG693" s="260"/>
      <c r="AH693" s="260"/>
      <c r="AI693" s="260"/>
    </row>
    <row r="694">
      <c r="A694" s="259"/>
      <c r="B694" s="260"/>
      <c r="C694" s="260"/>
      <c r="D694" s="260"/>
      <c r="E694" s="260"/>
      <c r="F694" s="260"/>
      <c r="G694" s="261"/>
      <c r="H694" s="259"/>
      <c r="I694" s="260"/>
      <c r="J694" s="260"/>
      <c r="K694" s="260"/>
      <c r="L694" s="260"/>
      <c r="M694" s="260"/>
      <c r="N694" s="262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3"/>
      <c r="Z694" s="260"/>
      <c r="AA694" s="260"/>
      <c r="AB694" s="260"/>
      <c r="AC694" s="260"/>
      <c r="AD694" s="260"/>
      <c r="AE694" s="260"/>
      <c r="AF694" s="264"/>
      <c r="AG694" s="260"/>
      <c r="AH694" s="260"/>
      <c r="AI694" s="260"/>
    </row>
    <row r="695">
      <c r="A695" s="259"/>
      <c r="B695" s="260"/>
      <c r="C695" s="260"/>
      <c r="D695" s="260"/>
      <c r="E695" s="260"/>
      <c r="F695" s="260"/>
      <c r="G695" s="261"/>
      <c r="H695" s="259"/>
      <c r="I695" s="260"/>
      <c r="J695" s="260"/>
      <c r="K695" s="260"/>
      <c r="L695" s="260"/>
      <c r="M695" s="260"/>
      <c r="N695" s="262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3"/>
      <c r="Z695" s="260"/>
      <c r="AA695" s="260"/>
      <c r="AB695" s="260"/>
      <c r="AC695" s="260"/>
      <c r="AD695" s="260"/>
      <c r="AE695" s="260"/>
      <c r="AF695" s="264"/>
      <c r="AG695" s="260"/>
      <c r="AH695" s="260"/>
      <c r="AI695" s="260"/>
    </row>
    <row r="696">
      <c r="A696" s="259"/>
      <c r="B696" s="260"/>
      <c r="C696" s="260"/>
      <c r="D696" s="260"/>
      <c r="E696" s="260"/>
      <c r="F696" s="260"/>
      <c r="G696" s="261"/>
      <c r="H696" s="259"/>
      <c r="I696" s="260"/>
      <c r="J696" s="260"/>
      <c r="K696" s="260"/>
      <c r="L696" s="260"/>
      <c r="M696" s="260"/>
      <c r="N696" s="262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3"/>
      <c r="Z696" s="260"/>
      <c r="AA696" s="260"/>
      <c r="AB696" s="260"/>
      <c r="AC696" s="260"/>
      <c r="AD696" s="260"/>
      <c r="AE696" s="260"/>
      <c r="AF696" s="264"/>
      <c r="AG696" s="260"/>
      <c r="AH696" s="260"/>
      <c r="AI696" s="260"/>
    </row>
    <row r="697">
      <c r="A697" s="259"/>
      <c r="B697" s="260"/>
      <c r="C697" s="260"/>
      <c r="D697" s="260"/>
      <c r="E697" s="260"/>
      <c r="F697" s="260"/>
      <c r="G697" s="261"/>
      <c r="H697" s="259"/>
      <c r="I697" s="260"/>
      <c r="J697" s="260"/>
      <c r="K697" s="260"/>
      <c r="L697" s="260"/>
      <c r="M697" s="260"/>
      <c r="N697" s="262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3"/>
      <c r="Z697" s="260"/>
      <c r="AA697" s="260"/>
      <c r="AB697" s="260"/>
      <c r="AC697" s="260"/>
      <c r="AD697" s="260"/>
      <c r="AE697" s="260"/>
      <c r="AF697" s="264"/>
      <c r="AG697" s="260"/>
      <c r="AH697" s="260"/>
      <c r="AI697" s="260"/>
    </row>
    <row r="698">
      <c r="A698" s="259"/>
      <c r="B698" s="260"/>
      <c r="C698" s="260"/>
      <c r="D698" s="260"/>
      <c r="E698" s="260"/>
      <c r="F698" s="260"/>
      <c r="G698" s="261"/>
      <c r="H698" s="259"/>
      <c r="I698" s="260"/>
      <c r="J698" s="260"/>
      <c r="K698" s="260"/>
      <c r="L698" s="260"/>
      <c r="M698" s="260"/>
      <c r="N698" s="262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3"/>
      <c r="Z698" s="260"/>
      <c r="AA698" s="260"/>
      <c r="AB698" s="260"/>
      <c r="AC698" s="260"/>
      <c r="AD698" s="260"/>
      <c r="AE698" s="260"/>
      <c r="AF698" s="264"/>
      <c r="AG698" s="260"/>
      <c r="AH698" s="260"/>
      <c r="AI698" s="260"/>
    </row>
    <row r="699">
      <c r="A699" s="259"/>
      <c r="B699" s="260"/>
      <c r="C699" s="260"/>
      <c r="D699" s="260"/>
      <c r="E699" s="260"/>
      <c r="F699" s="260"/>
      <c r="G699" s="261"/>
      <c r="H699" s="259"/>
      <c r="I699" s="260"/>
      <c r="J699" s="260"/>
      <c r="K699" s="260"/>
      <c r="L699" s="260"/>
      <c r="M699" s="260"/>
      <c r="N699" s="262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3"/>
      <c r="Z699" s="260"/>
      <c r="AA699" s="260"/>
      <c r="AB699" s="260"/>
      <c r="AC699" s="260"/>
      <c r="AD699" s="260"/>
      <c r="AE699" s="260"/>
      <c r="AF699" s="264"/>
      <c r="AG699" s="260"/>
      <c r="AH699" s="260"/>
      <c r="AI699" s="260"/>
    </row>
    <row r="700">
      <c r="A700" s="259"/>
      <c r="B700" s="260"/>
      <c r="C700" s="260"/>
      <c r="D700" s="260"/>
      <c r="E700" s="260"/>
      <c r="F700" s="260"/>
      <c r="G700" s="261"/>
      <c r="H700" s="259"/>
      <c r="I700" s="260"/>
      <c r="J700" s="260"/>
      <c r="K700" s="260"/>
      <c r="L700" s="260"/>
      <c r="M700" s="260"/>
      <c r="N700" s="262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3"/>
      <c r="Z700" s="260"/>
      <c r="AA700" s="260"/>
      <c r="AB700" s="260"/>
      <c r="AC700" s="260"/>
      <c r="AD700" s="260"/>
      <c r="AE700" s="260"/>
      <c r="AF700" s="264"/>
      <c r="AG700" s="260"/>
      <c r="AH700" s="260"/>
      <c r="AI700" s="260"/>
    </row>
    <row r="701">
      <c r="A701" s="259"/>
      <c r="B701" s="260"/>
      <c r="C701" s="260"/>
      <c r="D701" s="260"/>
      <c r="E701" s="260"/>
      <c r="F701" s="260"/>
      <c r="G701" s="261"/>
      <c r="H701" s="259"/>
      <c r="I701" s="260"/>
      <c r="J701" s="260"/>
      <c r="K701" s="260"/>
      <c r="L701" s="260"/>
      <c r="M701" s="260"/>
      <c r="N701" s="262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3"/>
      <c r="Z701" s="260"/>
      <c r="AA701" s="260"/>
      <c r="AB701" s="260"/>
      <c r="AC701" s="260"/>
      <c r="AD701" s="260"/>
      <c r="AE701" s="260"/>
      <c r="AF701" s="264"/>
      <c r="AG701" s="260"/>
      <c r="AH701" s="260"/>
      <c r="AI701" s="260"/>
    </row>
    <row r="702">
      <c r="A702" s="259"/>
      <c r="B702" s="260"/>
      <c r="C702" s="260"/>
      <c r="D702" s="260"/>
      <c r="E702" s="260"/>
      <c r="F702" s="260"/>
      <c r="G702" s="261"/>
      <c r="H702" s="259"/>
      <c r="I702" s="260"/>
      <c r="J702" s="260"/>
      <c r="K702" s="260"/>
      <c r="L702" s="260"/>
      <c r="M702" s="260"/>
      <c r="N702" s="262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3"/>
      <c r="Z702" s="260"/>
      <c r="AA702" s="260"/>
      <c r="AB702" s="260"/>
      <c r="AC702" s="260"/>
      <c r="AD702" s="260"/>
      <c r="AE702" s="260"/>
      <c r="AF702" s="264"/>
      <c r="AG702" s="260"/>
      <c r="AH702" s="260"/>
      <c r="AI702" s="260"/>
    </row>
    <row r="703">
      <c r="A703" s="259"/>
      <c r="B703" s="260"/>
      <c r="C703" s="260"/>
      <c r="D703" s="260"/>
      <c r="E703" s="260"/>
      <c r="F703" s="260"/>
      <c r="G703" s="261"/>
      <c r="H703" s="259"/>
      <c r="I703" s="260"/>
      <c r="J703" s="260"/>
      <c r="K703" s="260"/>
      <c r="L703" s="260"/>
      <c r="M703" s="260"/>
      <c r="N703" s="262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3"/>
      <c r="Z703" s="260"/>
      <c r="AA703" s="260"/>
      <c r="AB703" s="260"/>
      <c r="AC703" s="260"/>
      <c r="AD703" s="260"/>
      <c r="AE703" s="260"/>
      <c r="AF703" s="264"/>
      <c r="AG703" s="260"/>
      <c r="AH703" s="260"/>
      <c r="AI703" s="260"/>
    </row>
    <row r="704">
      <c r="A704" s="259"/>
      <c r="B704" s="260"/>
      <c r="C704" s="260"/>
      <c r="D704" s="260"/>
      <c r="E704" s="260"/>
      <c r="F704" s="260"/>
      <c r="G704" s="261"/>
      <c r="H704" s="259"/>
      <c r="I704" s="260"/>
      <c r="J704" s="260"/>
      <c r="K704" s="260"/>
      <c r="L704" s="260"/>
      <c r="M704" s="260"/>
      <c r="N704" s="262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3"/>
      <c r="Z704" s="260"/>
      <c r="AA704" s="260"/>
      <c r="AB704" s="260"/>
      <c r="AC704" s="260"/>
      <c r="AD704" s="260"/>
      <c r="AE704" s="260"/>
      <c r="AF704" s="264"/>
      <c r="AG704" s="260"/>
      <c r="AH704" s="260"/>
      <c r="AI704" s="260"/>
    </row>
    <row r="705">
      <c r="A705" s="259"/>
      <c r="B705" s="260"/>
      <c r="C705" s="260"/>
      <c r="D705" s="260"/>
      <c r="E705" s="260"/>
      <c r="F705" s="260"/>
      <c r="G705" s="261"/>
      <c r="H705" s="259"/>
      <c r="I705" s="260"/>
      <c r="J705" s="260"/>
      <c r="K705" s="260"/>
      <c r="L705" s="260"/>
      <c r="M705" s="260"/>
      <c r="N705" s="262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3"/>
      <c r="Z705" s="260"/>
      <c r="AA705" s="260"/>
      <c r="AB705" s="260"/>
      <c r="AC705" s="260"/>
      <c r="AD705" s="260"/>
      <c r="AE705" s="260"/>
      <c r="AF705" s="264"/>
      <c r="AG705" s="260"/>
      <c r="AH705" s="260"/>
      <c r="AI705" s="260"/>
    </row>
    <row r="706">
      <c r="A706" s="259"/>
      <c r="B706" s="260"/>
      <c r="C706" s="260"/>
      <c r="D706" s="260"/>
      <c r="E706" s="260"/>
      <c r="F706" s="260"/>
      <c r="G706" s="261"/>
      <c r="H706" s="259"/>
      <c r="I706" s="260"/>
      <c r="J706" s="260"/>
      <c r="K706" s="260"/>
      <c r="L706" s="260"/>
      <c r="M706" s="260"/>
      <c r="N706" s="262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3"/>
      <c r="Z706" s="260"/>
      <c r="AA706" s="260"/>
      <c r="AB706" s="260"/>
      <c r="AC706" s="260"/>
      <c r="AD706" s="260"/>
      <c r="AE706" s="260"/>
      <c r="AF706" s="264"/>
      <c r="AG706" s="260"/>
      <c r="AH706" s="260"/>
      <c r="AI706" s="260"/>
    </row>
    <row r="707">
      <c r="A707" s="259"/>
      <c r="B707" s="260"/>
      <c r="C707" s="260"/>
      <c r="D707" s="260"/>
      <c r="E707" s="260"/>
      <c r="F707" s="260"/>
      <c r="G707" s="261"/>
      <c r="H707" s="259"/>
      <c r="I707" s="260"/>
      <c r="J707" s="260"/>
      <c r="K707" s="260"/>
      <c r="L707" s="260"/>
      <c r="M707" s="260"/>
      <c r="N707" s="262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3"/>
      <c r="Z707" s="260"/>
      <c r="AA707" s="260"/>
      <c r="AB707" s="260"/>
      <c r="AC707" s="260"/>
      <c r="AD707" s="260"/>
      <c r="AE707" s="260"/>
      <c r="AF707" s="264"/>
      <c r="AG707" s="260"/>
      <c r="AH707" s="260"/>
      <c r="AI707" s="260"/>
    </row>
    <row r="708">
      <c r="A708" s="259"/>
      <c r="B708" s="260"/>
      <c r="C708" s="260"/>
      <c r="D708" s="260"/>
      <c r="E708" s="260"/>
      <c r="F708" s="260"/>
      <c r="G708" s="261"/>
      <c r="H708" s="259"/>
      <c r="I708" s="260"/>
      <c r="J708" s="260"/>
      <c r="K708" s="260"/>
      <c r="L708" s="260"/>
      <c r="M708" s="260"/>
      <c r="N708" s="262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3"/>
      <c r="Z708" s="260"/>
      <c r="AA708" s="260"/>
      <c r="AB708" s="260"/>
      <c r="AC708" s="260"/>
      <c r="AD708" s="260"/>
      <c r="AE708" s="260"/>
      <c r="AF708" s="264"/>
      <c r="AG708" s="260"/>
      <c r="AH708" s="260"/>
      <c r="AI708" s="260"/>
    </row>
    <row r="709">
      <c r="A709" s="259"/>
      <c r="B709" s="260"/>
      <c r="C709" s="260"/>
      <c r="D709" s="260"/>
      <c r="E709" s="260"/>
      <c r="F709" s="260"/>
      <c r="G709" s="261"/>
      <c r="H709" s="259"/>
      <c r="I709" s="260"/>
      <c r="J709" s="260"/>
      <c r="K709" s="260"/>
      <c r="L709" s="260"/>
      <c r="M709" s="260"/>
      <c r="N709" s="262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3"/>
      <c r="Z709" s="260"/>
      <c r="AA709" s="260"/>
      <c r="AB709" s="260"/>
      <c r="AC709" s="260"/>
      <c r="AD709" s="260"/>
      <c r="AE709" s="260"/>
      <c r="AF709" s="264"/>
      <c r="AG709" s="260"/>
      <c r="AH709" s="260"/>
      <c r="AI709" s="260"/>
    </row>
    <row r="710">
      <c r="A710" s="259"/>
      <c r="B710" s="260"/>
      <c r="C710" s="260"/>
      <c r="D710" s="260"/>
      <c r="E710" s="260"/>
      <c r="F710" s="260"/>
      <c r="G710" s="261"/>
      <c r="H710" s="259"/>
      <c r="I710" s="260"/>
      <c r="J710" s="260"/>
      <c r="K710" s="260"/>
      <c r="L710" s="260"/>
      <c r="M710" s="260"/>
      <c r="N710" s="262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3"/>
      <c r="Z710" s="260"/>
      <c r="AA710" s="260"/>
      <c r="AB710" s="260"/>
      <c r="AC710" s="260"/>
      <c r="AD710" s="260"/>
      <c r="AE710" s="260"/>
      <c r="AF710" s="264"/>
      <c r="AG710" s="260"/>
      <c r="AH710" s="260"/>
      <c r="AI710" s="260"/>
    </row>
    <row r="711">
      <c r="A711" s="259"/>
      <c r="B711" s="260"/>
      <c r="C711" s="260"/>
      <c r="D711" s="260"/>
      <c r="E711" s="260"/>
      <c r="F711" s="260"/>
      <c r="G711" s="261"/>
      <c r="H711" s="259"/>
      <c r="I711" s="260"/>
      <c r="J711" s="260"/>
      <c r="K711" s="260"/>
      <c r="L711" s="260"/>
      <c r="M711" s="260"/>
      <c r="N711" s="262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3"/>
      <c r="Z711" s="260"/>
      <c r="AA711" s="260"/>
      <c r="AB711" s="260"/>
      <c r="AC711" s="260"/>
      <c r="AD711" s="260"/>
      <c r="AE711" s="260"/>
      <c r="AF711" s="264"/>
      <c r="AG711" s="260"/>
      <c r="AH711" s="260"/>
      <c r="AI711" s="260"/>
    </row>
    <row r="712">
      <c r="A712" s="259"/>
      <c r="B712" s="260"/>
      <c r="C712" s="260"/>
      <c r="D712" s="260"/>
      <c r="E712" s="260"/>
      <c r="F712" s="260"/>
      <c r="G712" s="261"/>
      <c r="H712" s="259"/>
      <c r="I712" s="260"/>
      <c r="J712" s="260"/>
      <c r="K712" s="260"/>
      <c r="L712" s="260"/>
      <c r="M712" s="260"/>
      <c r="N712" s="262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3"/>
      <c r="Z712" s="260"/>
      <c r="AA712" s="260"/>
      <c r="AB712" s="260"/>
      <c r="AC712" s="260"/>
      <c r="AD712" s="260"/>
      <c r="AE712" s="260"/>
      <c r="AF712" s="264"/>
      <c r="AG712" s="260"/>
      <c r="AH712" s="260"/>
      <c r="AI712" s="260"/>
    </row>
    <row r="713">
      <c r="A713" s="259"/>
      <c r="B713" s="260"/>
      <c r="C713" s="260"/>
      <c r="D713" s="260"/>
      <c r="E713" s="260"/>
      <c r="F713" s="260"/>
      <c r="G713" s="261"/>
      <c r="H713" s="259"/>
      <c r="I713" s="260"/>
      <c r="J713" s="260"/>
      <c r="K713" s="260"/>
      <c r="L713" s="260"/>
      <c r="M713" s="260"/>
      <c r="N713" s="262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3"/>
      <c r="Z713" s="260"/>
      <c r="AA713" s="260"/>
      <c r="AB713" s="260"/>
      <c r="AC713" s="260"/>
      <c r="AD713" s="260"/>
      <c r="AE713" s="260"/>
      <c r="AF713" s="264"/>
      <c r="AG713" s="260"/>
      <c r="AH713" s="260"/>
      <c r="AI713" s="260"/>
    </row>
    <row r="714">
      <c r="A714" s="259"/>
      <c r="B714" s="260"/>
      <c r="C714" s="260"/>
      <c r="D714" s="260"/>
      <c r="E714" s="260"/>
      <c r="F714" s="260"/>
      <c r="G714" s="261"/>
      <c r="H714" s="259"/>
      <c r="I714" s="260"/>
      <c r="J714" s="260"/>
      <c r="K714" s="260"/>
      <c r="L714" s="260"/>
      <c r="M714" s="260"/>
      <c r="N714" s="262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3"/>
      <c r="Z714" s="260"/>
      <c r="AA714" s="260"/>
      <c r="AB714" s="260"/>
      <c r="AC714" s="260"/>
      <c r="AD714" s="260"/>
      <c r="AE714" s="260"/>
      <c r="AF714" s="264"/>
      <c r="AG714" s="260"/>
      <c r="AH714" s="260"/>
      <c r="AI714" s="260"/>
    </row>
    <row r="715">
      <c r="A715" s="259"/>
      <c r="B715" s="260"/>
      <c r="C715" s="260"/>
      <c r="D715" s="260"/>
      <c r="E715" s="260"/>
      <c r="F715" s="260"/>
      <c r="G715" s="261"/>
      <c r="H715" s="259"/>
      <c r="I715" s="260"/>
      <c r="J715" s="260"/>
      <c r="K715" s="260"/>
      <c r="L715" s="260"/>
      <c r="M715" s="260"/>
      <c r="N715" s="262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3"/>
      <c r="Z715" s="260"/>
      <c r="AA715" s="260"/>
      <c r="AB715" s="260"/>
      <c r="AC715" s="260"/>
      <c r="AD715" s="260"/>
      <c r="AE715" s="260"/>
      <c r="AF715" s="264"/>
      <c r="AG715" s="260"/>
      <c r="AH715" s="260"/>
      <c r="AI715" s="260"/>
    </row>
    <row r="716">
      <c r="A716" s="259"/>
      <c r="B716" s="260"/>
      <c r="C716" s="260"/>
      <c r="D716" s="260"/>
      <c r="E716" s="260"/>
      <c r="F716" s="260"/>
      <c r="G716" s="261"/>
      <c r="H716" s="259"/>
      <c r="I716" s="260"/>
      <c r="J716" s="260"/>
      <c r="K716" s="260"/>
      <c r="L716" s="260"/>
      <c r="M716" s="260"/>
      <c r="N716" s="262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3"/>
      <c r="Z716" s="260"/>
      <c r="AA716" s="260"/>
      <c r="AB716" s="260"/>
      <c r="AC716" s="260"/>
      <c r="AD716" s="260"/>
      <c r="AE716" s="260"/>
      <c r="AF716" s="264"/>
      <c r="AG716" s="260"/>
      <c r="AH716" s="260"/>
      <c r="AI716" s="260"/>
    </row>
    <row r="717">
      <c r="A717" s="259"/>
      <c r="B717" s="260"/>
      <c r="C717" s="260"/>
      <c r="D717" s="260"/>
      <c r="E717" s="260"/>
      <c r="F717" s="260"/>
      <c r="G717" s="261"/>
      <c r="H717" s="259"/>
      <c r="I717" s="260"/>
      <c r="J717" s="260"/>
      <c r="K717" s="260"/>
      <c r="L717" s="260"/>
      <c r="M717" s="260"/>
      <c r="N717" s="262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3"/>
      <c r="Z717" s="260"/>
      <c r="AA717" s="260"/>
      <c r="AB717" s="260"/>
      <c r="AC717" s="260"/>
      <c r="AD717" s="260"/>
      <c r="AE717" s="260"/>
      <c r="AF717" s="264"/>
      <c r="AG717" s="260"/>
      <c r="AH717" s="260"/>
      <c r="AI717" s="260"/>
    </row>
    <row r="718">
      <c r="A718" s="259"/>
      <c r="B718" s="260"/>
      <c r="C718" s="260"/>
      <c r="D718" s="260"/>
      <c r="E718" s="260"/>
      <c r="F718" s="260"/>
      <c r="G718" s="261"/>
      <c r="H718" s="259"/>
      <c r="I718" s="260"/>
      <c r="J718" s="260"/>
      <c r="K718" s="260"/>
      <c r="L718" s="260"/>
      <c r="M718" s="260"/>
      <c r="N718" s="262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3"/>
      <c r="Z718" s="260"/>
      <c r="AA718" s="260"/>
      <c r="AB718" s="260"/>
      <c r="AC718" s="260"/>
      <c r="AD718" s="260"/>
      <c r="AE718" s="260"/>
      <c r="AF718" s="264"/>
      <c r="AG718" s="260"/>
      <c r="AH718" s="260"/>
      <c r="AI718" s="260"/>
    </row>
    <row r="719">
      <c r="A719" s="259"/>
      <c r="B719" s="260"/>
      <c r="C719" s="260"/>
      <c r="D719" s="260"/>
      <c r="E719" s="260"/>
      <c r="F719" s="260"/>
      <c r="G719" s="261"/>
      <c r="H719" s="259"/>
      <c r="I719" s="260"/>
      <c r="J719" s="260"/>
      <c r="K719" s="260"/>
      <c r="L719" s="260"/>
      <c r="M719" s="260"/>
      <c r="N719" s="262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3"/>
      <c r="Z719" s="260"/>
      <c r="AA719" s="260"/>
      <c r="AB719" s="260"/>
      <c r="AC719" s="260"/>
      <c r="AD719" s="260"/>
      <c r="AE719" s="260"/>
      <c r="AF719" s="264"/>
      <c r="AG719" s="260"/>
      <c r="AH719" s="260"/>
      <c r="AI719" s="260"/>
    </row>
    <row r="720">
      <c r="A720" s="259"/>
      <c r="B720" s="260"/>
      <c r="C720" s="260"/>
      <c r="D720" s="260"/>
      <c r="E720" s="260"/>
      <c r="F720" s="260"/>
      <c r="G720" s="261"/>
      <c r="H720" s="259"/>
      <c r="I720" s="260"/>
      <c r="J720" s="260"/>
      <c r="K720" s="260"/>
      <c r="L720" s="260"/>
      <c r="M720" s="260"/>
      <c r="N720" s="262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3"/>
      <c r="Z720" s="260"/>
      <c r="AA720" s="260"/>
      <c r="AB720" s="260"/>
      <c r="AC720" s="260"/>
      <c r="AD720" s="260"/>
      <c r="AE720" s="260"/>
      <c r="AF720" s="264"/>
      <c r="AG720" s="260"/>
      <c r="AH720" s="260"/>
      <c r="AI720" s="260"/>
    </row>
    <row r="721">
      <c r="A721" s="259"/>
      <c r="B721" s="260"/>
      <c r="C721" s="260"/>
      <c r="D721" s="260"/>
      <c r="E721" s="260"/>
      <c r="F721" s="260"/>
      <c r="G721" s="261"/>
      <c r="H721" s="259"/>
      <c r="I721" s="260"/>
      <c r="J721" s="260"/>
      <c r="K721" s="260"/>
      <c r="L721" s="260"/>
      <c r="M721" s="260"/>
      <c r="N721" s="262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3"/>
      <c r="Z721" s="260"/>
      <c r="AA721" s="260"/>
      <c r="AB721" s="260"/>
      <c r="AC721" s="260"/>
      <c r="AD721" s="260"/>
      <c r="AE721" s="260"/>
      <c r="AF721" s="264"/>
      <c r="AG721" s="260"/>
      <c r="AH721" s="260"/>
      <c r="AI721" s="260"/>
    </row>
    <row r="722">
      <c r="A722" s="259"/>
      <c r="B722" s="260"/>
      <c r="C722" s="260"/>
      <c r="D722" s="260"/>
      <c r="E722" s="260"/>
      <c r="F722" s="260"/>
      <c r="G722" s="261"/>
      <c r="H722" s="259"/>
      <c r="I722" s="260"/>
      <c r="J722" s="260"/>
      <c r="K722" s="260"/>
      <c r="L722" s="260"/>
      <c r="M722" s="260"/>
      <c r="N722" s="262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3"/>
      <c r="Z722" s="260"/>
      <c r="AA722" s="260"/>
      <c r="AB722" s="260"/>
      <c r="AC722" s="260"/>
      <c r="AD722" s="260"/>
      <c r="AE722" s="260"/>
      <c r="AF722" s="264"/>
      <c r="AG722" s="260"/>
      <c r="AH722" s="260"/>
      <c r="AI722" s="260"/>
    </row>
    <row r="723">
      <c r="A723" s="259"/>
      <c r="B723" s="260"/>
      <c r="C723" s="260"/>
      <c r="D723" s="260"/>
      <c r="E723" s="260"/>
      <c r="F723" s="260"/>
      <c r="G723" s="261"/>
      <c r="H723" s="259"/>
      <c r="I723" s="260"/>
      <c r="J723" s="260"/>
      <c r="K723" s="260"/>
      <c r="L723" s="260"/>
      <c r="M723" s="260"/>
      <c r="N723" s="262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3"/>
      <c r="Z723" s="260"/>
      <c r="AA723" s="260"/>
      <c r="AB723" s="260"/>
      <c r="AC723" s="260"/>
      <c r="AD723" s="260"/>
      <c r="AE723" s="260"/>
      <c r="AF723" s="264"/>
      <c r="AG723" s="260"/>
      <c r="AH723" s="260"/>
      <c r="AI723" s="260"/>
    </row>
    <row r="724">
      <c r="A724" s="259"/>
      <c r="B724" s="260"/>
      <c r="C724" s="260"/>
      <c r="D724" s="260"/>
      <c r="E724" s="260"/>
      <c r="F724" s="260"/>
      <c r="G724" s="261"/>
      <c r="H724" s="259"/>
      <c r="I724" s="260"/>
      <c r="J724" s="260"/>
      <c r="K724" s="260"/>
      <c r="L724" s="260"/>
      <c r="M724" s="260"/>
      <c r="N724" s="262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3"/>
      <c r="Z724" s="260"/>
      <c r="AA724" s="260"/>
      <c r="AB724" s="260"/>
      <c r="AC724" s="260"/>
      <c r="AD724" s="260"/>
      <c r="AE724" s="260"/>
      <c r="AF724" s="264"/>
      <c r="AG724" s="260"/>
      <c r="AH724" s="260"/>
      <c r="AI724" s="260"/>
    </row>
    <row r="725">
      <c r="A725" s="259"/>
      <c r="B725" s="260"/>
      <c r="C725" s="260"/>
      <c r="D725" s="260"/>
      <c r="E725" s="260"/>
      <c r="F725" s="260"/>
      <c r="G725" s="261"/>
      <c r="H725" s="259"/>
      <c r="I725" s="260"/>
      <c r="J725" s="260"/>
      <c r="K725" s="260"/>
      <c r="L725" s="260"/>
      <c r="M725" s="260"/>
      <c r="N725" s="262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3"/>
      <c r="Z725" s="260"/>
      <c r="AA725" s="260"/>
      <c r="AB725" s="260"/>
      <c r="AC725" s="260"/>
      <c r="AD725" s="260"/>
      <c r="AE725" s="260"/>
      <c r="AF725" s="264"/>
      <c r="AG725" s="260"/>
      <c r="AH725" s="260"/>
      <c r="AI725" s="260"/>
    </row>
    <row r="726">
      <c r="A726" s="259"/>
      <c r="B726" s="260"/>
      <c r="C726" s="260"/>
      <c r="D726" s="260"/>
      <c r="E726" s="260"/>
      <c r="F726" s="260"/>
      <c r="G726" s="261"/>
      <c r="H726" s="259"/>
      <c r="I726" s="260"/>
      <c r="J726" s="260"/>
      <c r="K726" s="260"/>
      <c r="L726" s="260"/>
      <c r="M726" s="260"/>
      <c r="N726" s="262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3"/>
      <c r="Z726" s="260"/>
      <c r="AA726" s="260"/>
      <c r="AB726" s="260"/>
      <c r="AC726" s="260"/>
      <c r="AD726" s="260"/>
      <c r="AE726" s="260"/>
      <c r="AF726" s="264"/>
      <c r="AG726" s="260"/>
      <c r="AH726" s="260"/>
      <c r="AI726" s="260"/>
    </row>
    <row r="727">
      <c r="A727" s="259"/>
      <c r="B727" s="260"/>
      <c r="C727" s="260"/>
      <c r="D727" s="260"/>
      <c r="E727" s="260"/>
      <c r="F727" s="260"/>
      <c r="G727" s="261"/>
      <c r="H727" s="259"/>
      <c r="I727" s="260"/>
      <c r="J727" s="260"/>
      <c r="K727" s="260"/>
      <c r="L727" s="260"/>
      <c r="M727" s="260"/>
      <c r="N727" s="262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3"/>
      <c r="Z727" s="260"/>
      <c r="AA727" s="260"/>
      <c r="AB727" s="260"/>
      <c r="AC727" s="260"/>
      <c r="AD727" s="260"/>
      <c r="AE727" s="260"/>
      <c r="AF727" s="264"/>
      <c r="AG727" s="260"/>
      <c r="AH727" s="260"/>
      <c r="AI727" s="260"/>
    </row>
    <row r="728">
      <c r="A728" s="259"/>
      <c r="B728" s="260"/>
      <c r="C728" s="260"/>
      <c r="D728" s="260"/>
      <c r="E728" s="260"/>
      <c r="F728" s="260"/>
      <c r="G728" s="261"/>
      <c r="H728" s="259"/>
      <c r="I728" s="260"/>
      <c r="J728" s="260"/>
      <c r="K728" s="260"/>
      <c r="L728" s="260"/>
      <c r="M728" s="260"/>
      <c r="N728" s="262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3"/>
      <c r="Z728" s="260"/>
      <c r="AA728" s="260"/>
      <c r="AB728" s="260"/>
      <c r="AC728" s="260"/>
      <c r="AD728" s="260"/>
      <c r="AE728" s="260"/>
      <c r="AF728" s="264"/>
      <c r="AG728" s="260"/>
      <c r="AH728" s="260"/>
      <c r="AI728" s="260"/>
    </row>
    <row r="729">
      <c r="A729" s="259"/>
      <c r="B729" s="260"/>
      <c r="C729" s="260"/>
      <c r="D729" s="260"/>
      <c r="E729" s="260"/>
      <c r="F729" s="260"/>
      <c r="G729" s="261"/>
      <c r="H729" s="259"/>
      <c r="I729" s="260"/>
      <c r="J729" s="260"/>
      <c r="K729" s="260"/>
      <c r="L729" s="260"/>
      <c r="M729" s="260"/>
      <c r="N729" s="262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3"/>
      <c r="Z729" s="260"/>
      <c r="AA729" s="260"/>
      <c r="AB729" s="260"/>
      <c r="AC729" s="260"/>
      <c r="AD729" s="260"/>
      <c r="AE729" s="260"/>
      <c r="AF729" s="264"/>
      <c r="AG729" s="260"/>
      <c r="AH729" s="260"/>
      <c r="AI729" s="260"/>
    </row>
    <row r="730">
      <c r="A730" s="259"/>
      <c r="B730" s="260"/>
      <c r="C730" s="260"/>
      <c r="D730" s="260"/>
      <c r="E730" s="260"/>
      <c r="F730" s="260"/>
      <c r="G730" s="261"/>
      <c r="H730" s="259"/>
      <c r="I730" s="260"/>
      <c r="J730" s="260"/>
      <c r="K730" s="260"/>
      <c r="L730" s="260"/>
      <c r="M730" s="260"/>
      <c r="N730" s="262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3"/>
      <c r="Z730" s="260"/>
      <c r="AA730" s="260"/>
      <c r="AB730" s="260"/>
      <c r="AC730" s="260"/>
      <c r="AD730" s="260"/>
      <c r="AE730" s="260"/>
      <c r="AF730" s="264"/>
      <c r="AG730" s="260"/>
      <c r="AH730" s="260"/>
      <c r="AI730" s="260"/>
    </row>
    <row r="731">
      <c r="A731" s="259"/>
      <c r="B731" s="260"/>
      <c r="C731" s="260"/>
      <c r="D731" s="260"/>
      <c r="E731" s="260"/>
      <c r="F731" s="260"/>
      <c r="G731" s="261"/>
      <c r="H731" s="259"/>
      <c r="I731" s="260"/>
      <c r="J731" s="260"/>
      <c r="K731" s="260"/>
      <c r="L731" s="260"/>
      <c r="M731" s="260"/>
      <c r="N731" s="262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3"/>
      <c r="Z731" s="260"/>
      <c r="AA731" s="260"/>
      <c r="AB731" s="260"/>
      <c r="AC731" s="260"/>
      <c r="AD731" s="260"/>
      <c r="AE731" s="260"/>
      <c r="AF731" s="264"/>
      <c r="AG731" s="260"/>
      <c r="AH731" s="260"/>
      <c r="AI731" s="260"/>
    </row>
    <row r="732">
      <c r="A732" s="259"/>
      <c r="B732" s="260"/>
      <c r="C732" s="260"/>
      <c r="D732" s="260"/>
      <c r="E732" s="260"/>
      <c r="F732" s="260"/>
      <c r="G732" s="261"/>
      <c r="H732" s="259"/>
      <c r="I732" s="260"/>
      <c r="J732" s="260"/>
      <c r="K732" s="260"/>
      <c r="L732" s="260"/>
      <c r="M732" s="260"/>
      <c r="N732" s="262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3"/>
      <c r="Z732" s="260"/>
      <c r="AA732" s="260"/>
      <c r="AB732" s="260"/>
      <c r="AC732" s="260"/>
      <c r="AD732" s="260"/>
      <c r="AE732" s="260"/>
      <c r="AF732" s="264"/>
      <c r="AG732" s="260"/>
      <c r="AH732" s="260"/>
      <c r="AI732" s="260"/>
    </row>
    <row r="733">
      <c r="A733" s="259"/>
      <c r="B733" s="260"/>
      <c r="C733" s="260"/>
      <c r="D733" s="260"/>
      <c r="E733" s="260"/>
      <c r="F733" s="260"/>
      <c r="G733" s="261"/>
      <c r="H733" s="259"/>
      <c r="I733" s="260"/>
      <c r="J733" s="260"/>
      <c r="K733" s="260"/>
      <c r="L733" s="260"/>
      <c r="M733" s="260"/>
      <c r="N733" s="262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3"/>
      <c r="Z733" s="260"/>
      <c r="AA733" s="260"/>
      <c r="AB733" s="260"/>
      <c r="AC733" s="260"/>
      <c r="AD733" s="260"/>
      <c r="AE733" s="260"/>
      <c r="AF733" s="264"/>
      <c r="AG733" s="260"/>
      <c r="AH733" s="260"/>
      <c r="AI733" s="260"/>
    </row>
    <row r="734">
      <c r="A734" s="259"/>
      <c r="B734" s="260"/>
      <c r="C734" s="260"/>
      <c r="D734" s="260"/>
      <c r="E734" s="260"/>
      <c r="F734" s="260"/>
      <c r="G734" s="261"/>
      <c r="H734" s="259"/>
      <c r="I734" s="260"/>
      <c r="J734" s="260"/>
      <c r="K734" s="260"/>
      <c r="L734" s="260"/>
      <c r="M734" s="260"/>
      <c r="N734" s="262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3"/>
      <c r="Z734" s="260"/>
      <c r="AA734" s="260"/>
      <c r="AB734" s="260"/>
      <c r="AC734" s="260"/>
      <c r="AD734" s="260"/>
      <c r="AE734" s="260"/>
      <c r="AF734" s="264"/>
      <c r="AG734" s="260"/>
      <c r="AH734" s="260"/>
      <c r="AI734" s="260"/>
    </row>
    <row r="735">
      <c r="A735" s="259"/>
      <c r="B735" s="260"/>
      <c r="C735" s="260"/>
      <c r="D735" s="260"/>
      <c r="E735" s="260"/>
      <c r="F735" s="260"/>
      <c r="G735" s="261"/>
      <c r="H735" s="259"/>
      <c r="I735" s="260"/>
      <c r="J735" s="260"/>
      <c r="K735" s="260"/>
      <c r="L735" s="260"/>
      <c r="M735" s="260"/>
      <c r="N735" s="262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3"/>
      <c r="Z735" s="260"/>
      <c r="AA735" s="260"/>
      <c r="AB735" s="260"/>
      <c r="AC735" s="260"/>
      <c r="AD735" s="260"/>
      <c r="AE735" s="260"/>
      <c r="AF735" s="264"/>
      <c r="AG735" s="260"/>
      <c r="AH735" s="260"/>
      <c r="AI735" s="260"/>
    </row>
    <row r="736">
      <c r="A736" s="259"/>
      <c r="B736" s="260"/>
      <c r="C736" s="260"/>
      <c r="D736" s="260"/>
      <c r="E736" s="260"/>
      <c r="F736" s="260"/>
      <c r="G736" s="261"/>
      <c r="H736" s="259"/>
      <c r="I736" s="260"/>
      <c r="J736" s="260"/>
      <c r="K736" s="260"/>
      <c r="L736" s="260"/>
      <c r="M736" s="260"/>
      <c r="N736" s="262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3"/>
      <c r="Z736" s="260"/>
      <c r="AA736" s="260"/>
      <c r="AB736" s="260"/>
      <c r="AC736" s="260"/>
      <c r="AD736" s="260"/>
      <c r="AE736" s="260"/>
      <c r="AF736" s="264"/>
      <c r="AG736" s="260"/>
      <c r="AH736" s="260"/>
      <c r="AI736" s="260"/>
    </row>
    <row r="737">
      <c r="A737" s="259"/>
      <c r="B737" s="260"/>
      <c r="C737" s="260"/>
      <c r="D737" s="260"/>
      <c r="E737" s="260"/>
      <c r="F737" s="260"/>
      <c r="G737" s="261"/>
      <c r="H737" s="259"/>
      <c r="I737" s="260"/>
      <c r="J737" s="260"/>
      <c r="K737" s="260"/>
      <c r="L737" s="260"/>
      <c r="M737" s="260"/>
      <c r="N737" s="262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3"/>
      <c r="Z737" s="260"/>
      <c r="AA737" s="260"/>
      <c r="AB737" s="260"/>
      <c r="AC737" s="260"/>
      <c r="AD737" s="260"/>
      <c r="AE737" s="260"/>
      <c r="AF737" s="264"/>
      <c r="AG737" s="260"/>
      <c r="AH737" s="260"/>
      <c r="AI737" s="260"/>
    </row>
    <row r="738">
      <c r="A738" s="259"/>
      <c r="B738" s="260"/>
      <c r="C738" s="260"/>
      <c r="D738" s="260"/>
      <c r="E738" s="260"/>
      <c r="F738" s="260"/>
      <c r="G738" s="261"/>
      <c r="H738" s="259"/>
      <c r="I738" s="260"/>
      <c r="J738" s="260"/>
      <c r="K738" s="260"/>
      <c r="L738" s="260"/>
      <c r="M738" s="260"/>
      <c r="N738" s="262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3"/>
      <c r="Z738" s="260"/>
      <c r="AA738" s="260"/>
      <c r="AB738" s="260"/>
      <c r="AC738" s="260"/>
      <c r="AD738" s="260"/>
      <c r="AE738" s="260"/>
      <c r="AF738" s="264"/>
      <c r="AG738" s="260"/>
      <c r="AH738" s="260"/>
      <c r="AI738" s="260"/>
    </row>
    <row r="739">
      <c r="A739" s="259"/>
      <c r="B739" s="260"/>
      <c r="C739" s="260"/>
      <c r="D739" s="260"/>
      <c r="E739" s="260"/>
      <c r="F739" s="260"/>
      <c r="G739" s="261"/>
      <c r="H739" s="259"/>
      <c r="I739" s="260"/>
      <c r="J739" s="260"/>
      <c r="K739" s="260"/>
      <c r="L739" s="260"/>
      <c r="M739" s="260"/>
      <c r="N739" s="262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3"/>
      <c r="Z739" s="260"/>
      <c r="AA739" s="260"/>
      <c r="AB739" s="260"/>
      <c r="AC739" s="260"/>
      <c r="AD739" s="260"/>
      <c r="AE739" s="260"/>
      <c r="AF739" s="264"/>
      <c r="AG739" s="260"/>
      <c r="AH739" s="260"/>
      <c r="AI739" s="260"/>
    </row>
    <row r="740">
      <c r="A740" s="259"/>
      <c r="B740" s="260"/>
      <c r="C740" s="260"/>
      <c r="D740" s="260"/>
      <c r="E740" s="260"/>
      <c r="F740" s="260"/>
      <c r="G740" s="261"/>
      <c r="H740" s="259"/>
      <c r="I740" s="260"/>
      <c r="J740" s="260"/>
      <c r="K740" s="260"/>
      <c r="L740" s="260"/>
      <c r="M740" s="260"/>
      <c r="N740" s="262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3"/>
      <c r="Z740" s="260"/>
      <c r="AA740" s="260"/>
      <c r="AB740" s="260"/>
      <c r="AC740" s="260"/>
      <c r="AD740" s="260"/>
      <c r="AE740" s="260"/>
      <c r="AF740" s="264"/>
      <c r="AG740" s="260"/>
      <c r="AH740" s="260"/>
      <c r="AI740" s="260"/>
    </row>
    <row r="741">
      <c r="A741" s="259"/>
      <c r="B741" s="260"/>
      <c r="C741" s="260"/>
      <c r="D741" s="260"/>
      <c r="E741" s="260"/>
      <c r="F741" s="260"/>
      <c r="G741" s="261"/>
      <c r="H741" s="259"/>
      <c r="I741" s="260"/>
      <c r="J741" s="260"/>
      <c r="K741" s="260"/>
      <c r="L741" s="260"/>
      <c r="M741" s="260"/>
      <c r="N741" s="262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3"/>
      <c r="Z741" s="260"/>
      <c r="AA741" s="260"/>
      <c r="AB741" s="260"/>
      <c r="AC741" s="260"/>
      <c r="AD741" s="260"/>
      <c r="AE741" s="260"/>
      <c r="AF741" s="264"/>
      <c r="AG741" s="260"/>
      <c r="AH741" s="260"/>
      <c r="AI741" s="260"/>
    </row>
    <row r="742">
      <c r="A742" s="259"/>
      <c r="B742" s="260"/>
      <c r="C742" s="260"/>
      <c r="D742" s="260"/>
      <c r="E742" s="260"/>
      <c r="F742" s="260"/>
      <c r="G742" s="261"/>
      <c r="H742" s="259"/>
      <c r="I742" s="260"/>
      <c r="J742" s="260"/>
      <c r="K742" s="260"/>
      <c r="L742" s="260"/>
      <c r="M742" s="260"/>
      <c r="N742" s="262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3"/>
      <c r="Z742" s="260"/>
      <c r="AA742" s="260"/>
      <c r="AB742" s="260"/>
      <c r="AC742" s="260"/>
      <c r="AD742" s="260"/>
      <c r="AE742" s="260"/>
      <c r="AF742" s="264"/>
      <c r="AG742" s="260"/>
      <c r="AH742" s="260"/>
      <c r="AI742" s="260"/>
    </row>
    <row r="743">
      <c r="A743" s="259"/>
      <c r="B743" s="260"/>
      <c r="C743" s="260"/>
      <c r="D743" s="260"/>
      <c r="E743" s="260"/>
      <c r="F743" s="260"/>
      <c r="G743" s="261"/>
      <c r="H743" s="259"/>
      <c r="I743" s="260"/>
      <c r="J743" s="260"/>
      <c r="K743" s="260"/>
      <c r="L743" s="260"/>
      <c r="M743" s="260"/>
      <c r="N743" s="262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3"/>
      <c r="Z743" s="260"/>
      <c r="AA743" s="260"/>
      <c r="AB743" s="260"/>
      <c r="AC743" s="260"/>
      <c r="AD743" s="260"/>
      <c r="AE743" s="260"/>
      <c r="AF743" s="264"/>
      <c r="AG743" s="260"/>
      <c r="AH743" s="260"/>
      <c r="AI743" s="260"/>
    </row>
    <row r="744">
      <c r="A744" s="259"/>
      <c r="B744" s="260"/>
      <c r="C744" s="260"/>
      <c r="D744" s="260"/>
      <c r="E744" s="260"/>
      <c r="F744" s="260"/>
      <c r="G744" s="261"/>
      <c r="H744" s="259"/>
      <c r="I744" s="260"/>
      <c r="J744" s="260"/>
      <c r="K744" s="260"/>
      <c r="L744" s="260"/>
      <c r="M744" s="260"/>
      <c r="N744" s="262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3"/>
      <c r="Z744" s="260"/>
      <c r="AA744" s="260"/>
      <c r="AB744" s="260"/>
      <c r="AC744" s="260"/>
      <c r="AD744" s="260"/>
      <c r="AE744" s="260"/>
      <c r="AF744" s="264"/>
      <c r="AG744" s="260"/>
      <c r="AH744" s="260"/>
      <c r="AI744" s="260"/>
    </row>
    <row r="745">
      <c r="A745" s="259"/>
      <c r="B745" s="260"/>
      <c r="C745" s="260"/>
      <c r="D745" s="260"/>
      <c r="E745" s="260"/>
      <c r="F745" s="260"/>
      <c r="G745" s="261"/>
      <c r="H745" s="259"/>
      <c r="I745" s="260"/>
      <c r="J745" s="260"/>
      <c r="K745" s="260"/>
      <c r="L745" s="260"/>
      <c r="M745" s="260"/>
      <c r="N745" s="262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3"/>
      <c r="Z745" s="260"/>
      <c r="AA745" s="260"/>
      <c r="AB745" s="260"/>
      <c r="AC745" s="260"/>
      <c r="AD745" s="260"/>
      <c r="AE745" s="260"/>
      <c r="AF745" s="264"/>
      <c r="AG745" s="260"/>
      <c r="AH745" s="260"/>
      <c r="AI745" s="260"/>
    </row>
    <row r="746">
      <c r="A746" s="259"/>
      <c r="B746" s="260"/>
      <c r="C746" s="260"/>
      <c r="D746" s="260"/>
      <c r="E746" s="260"/>
      <c r="F746" s="260"/>
      <c r="G746" s="261"/>
      <c r="H746" s="259"/>
      <c r="I746" s="260"/>
      <c r="J746" s="260"/>
      <c r="K746" s="260"/>
      <c r="L746" s="260"/>
      <c r="M746" s="260"/>
      <c r="N746" s="262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3"/>
      <c r="Z746" s="260"/>
      <c r="AA746" s="260"/>
      <c r="AB746" s="260"/>
      <c r="AC746" s="260"/>
      <c r="AD746" s="260"/>
      <c r="AE746" s="260"/>
      <c r="AF746" s="264"/>
      <c r="AG746" s="260"/>
      <c r="AH746" s="260"/>
      <c r="AI746" s="260"/>
    </row>
    <row r="747">
      <c r="A747" s="259"/>
      <c r="B747" s="260"/>
      <c r="C747" s="260"/>
      <c r="D747" s="260"/>
      <c r="E747" s="260"/>
      <c r="F747" s="260"/>
      <c r="G747" s="261"/>
      <c r="H747" s="259"/>
      <c r="I747" s="260"/>
      <c r="J747" s="260"/>
      <c r="K747" s="260"/>
      <c r="L747" s="260"/>
      <c r="M747" s="260"/>
      <c r="N747" s="262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3"/>
      <c r="Z747" s="260"/>
      <c r="AA747" s="260"/>
      <c r="AB747" s="260"/>
      <c r="AC747" s="260"/>
      <c r="AD747" s="260"/>
      <c r="AE747" s="260"/>
      <c r="AF747" s="264"/>
      <c r="AG747" s="260"/>
      <c r="AH747" s="260"/>
      <c r="AI747" s="260"/>
    </row>
    <row r="748">
      <c r="A748" s="259"/>
      <c r="B748" s="260"/>
      <c r="C748" s="260"/>
      <c r="D748" s="260"/>
      <c r="E748" s="260"/>
      <c r="F748" s="260"/>
      <c r="G748" s="261"/>
      <c r="H748" s="259"/>
      <c r="I748" s="260"/>
      <c r="J748" s="260"/>
      <c r="K748" s="260"/>
      <c r="L748" s="260"/>
      <c r="M748" s="260"/>
      <c r="N748" s="262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3"/>
      <c r="Z748" s="260"/>
      <c r="AA748" s="260"/>
      <c r="AB748" s="260"/>
      <c r="AC748" s="260"/>
      <c r="AD748" s="260"/>
      <c r="AE748" s="260"/>
      <c r="AF748" s="264"/>
      <c r="AG748" s="260"/>
      <c r="AH748" s="260"/>
      <c r="AI748" s="260"/>
    </row>
    <row r="749">
      <c r="A749" s="259"/>
      <c r="B749" s="260"/>
      <c r="C749" s="260"/>
      <c r="D749" s="260"/>
      <c r="E749" s="260"/>
      <c r="F749" s="260"/>
      <c r="G749" s="261"/>
      <c r="H749" s="259"/>
      <c r="I749" s="260"/>
      <c r="J749" s="260"/>
      <c r="K749" s="260"/>
      <c r="L749" s="260"/>
      <c r="M749" s="260"/>
      <c r="N749" s="262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3"/>
      <c r="Z749" s="260"/>
      <c r="AA749" s="260"/>
      <c r="AB749" s="260"/>
      <c r="AC749" s="260"/>
      <c r="AD749" s="260"/>
      <c r="AE749" s="260"/>
      <c r="AF749" s="264"/>
      <c r="AG749" s="260"/>
      <c r="AH749" s="260"/>
      <c r="AI749" s="260"/>
    </row>
    <row r="750">
      <c r="A750" s="259"/>
      <c r="B750" s="260"/>
      <c r="C750" s="260"/>
      <c r="D750" s="260"/>
      <c r="E750" s="260"/>
      <c r="F750" s="260"/>
      <c r="G750" s="261"/>
      <c r="H750" s="259"/>
      <c r="I750" s="260"/>
      <c r="J750" s="260"/>
      <c r="K750" s="260"/>
      <c r="L750" s="260"/>
      <c r="M750" s="260"/>
      <c r="N750" s="262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3"/>
      <c r="Z750" s="260"/>
      <c r="AA750" s="260"/>
      <c r="AB750" s="260"/>
      <c r="AC750" s="260"/>
      <c r="AD750" s="260"/>
      <c r="AE750" s="260"/>
      <c r="AF750" s="264"/>
      <c r="AG750" s="260"/>
      <c r="AH750" s="260"/>
      <c r="AI750" s="260"/>
    </row>
    <row r="751">
      <c r="A751" s="259"/>
      <c r="B751" s="260"/>
      <c r="C751" s="260"/>
      <c r="D751" s="260"/>
      <c r="E751" s="260"/>
      <c r="F751" s="260"/>
      <c r="G751" s="261"/>
      <c r="H751" s="259"/>
      <c r="I751" s="260"/>
      <c r="J751" s="260"/>
      <c r="K751" s="260"/>
      <c r="L751" s="260"/>
      <c r="M751" s="260"/>
      <c r="N751" s="262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3"/>
      <c r="Z751" s="260"/>
      <c r="AA751" s="260"/>
      <c r="AB751" s="260"/>
      <c r="AC751" s="260"/>
      <c r="AD751" s="260"/>
      <c r="AE751" s="260"/>
      <c r="AF751" s="264"/>
      <c r="AG751" s="260"/>
      <c r="AH751" s="260"/>
      <c r="AI751" s="260"/>
    </row>
    <row r="752">
      <c r="A752" s="259"/>
      <c r="B752" s="260"/>
      <c r="C752" s="260"/>
      <c r="D752" s="260"/>
      <c r="E752" s="260"/>
      <c r="F752" s="260"/>
      <c r="G752" s="261"/>
      <c r="H752" s="259"/>
      <c r="I752" s="260"/>
      <c r="J752" s="260"/>
      <c r="K752" s="260"/>
      <c r="L752" s="260"/>
      <c r="M752" s="260"/>
      <c r="N752" s="262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3"/>
      <c r="Z752" s="260"/>
      <c r="AA752" s="260"/>
      <c r="AB752" s="260"/>
      <c r="AC752" s="260"/>
      <c r="AD752" s="260"/>
      <c r="AE752" s="260"/>
      <c r="AF752" s="264"/>
      <c r="AG752" s="260"/>
      <c r="AH752" s="260"/>
      <c r="AI752" s="260"/>
    </row>
    <row r="753">
      <c r="A753" s="259"/>
      <c r="B753" s="260"/>
      <c r="C753" s="260"/>
      <c r="D753" s="260"/>
      <c r="E753" s="260"/>
      <c r="F753" s="260"/>
      <c r="G753" s="261"/>
      <c r="H753" s="259"/>
      <c r="I753" s="260"/>
      <c r="J753" s="260"/>
      <c r="K753" s="260"/>
      <c r="L753" s="260"/>
      <c r="M753" s="260"/>
      <c r="N753" s="262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3"/>
      <c r="Z753" s="260"/>
      <c r="AA753" s="260"/>
      <c r="AB753" s="260"/>
      <c r="AC753" s="260"/>
      <c r="AD753" s="260"/>
      <c r="AE753" s="260"/>
      <c r="AF753" s="264"/>
      <c r="AG753" s="260"/>
      <c r="AH753" s="260"/>
      <c r="AI753" s="260"/>
    </row>
    <row r="754">
      <c r="A754" s="259"/>
      <c r="B754" s="260"/>
      <c r="C754" s="260"/>
      <c r="D754" s="260"/>
      <c r="E754" s="260"/>
      <c r="F754" s="260"/>
      <c r="G754" s="261"/>
      <c r="H754" s="259"/>
      <c r="I754" s="260"/>
      <c r="J754" s="260"/>
      <c r="K754" s="260"/>
      <c r="L754" s="260"/>
      <c r="M754" s="260"/>
      <c r="N754" s="262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3"/>
      <c r="Z754" s="260"/>
      <c r="AA754" s="260"/>
      <c r="AB754" s="260"/>
      <c r="AC754" s="260"/>
      <c r="AD754" s="260"/>
      <c r="AE754" s="260"/>
      <c r="AF754" s="264"/>
      <c r="AG754" s="260"/>
      <c r="AH754" s="260"/>
      <c r="AI754" s="260"/>
    </row>
    <row r="755">
      <c r="A755" s="259"/>
      <c r="B755" s="260"/>
      <c r="C755" s="260"/>
      <c r="D755" s="260"/>
      <c r="E755" s="260"/>
      <c r="F755" s="260"/>
      <c r="G755" s="261"/>
      <c r="H755" s="259"/>
      <c r="I755" s="260"/>
      <c r="J755" s="260"/>
      <c r="K755" s="260"/>
      <c r="L755" s="260"/>
      <c r="M755" s="260"/>
      <c r="N755" s="262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3"/>
      <c r="Z755" s="260"/>
      <c r="AA755" s="260"/>
      <c r="AB755" s="260"/>
      <c r="AC755" s="260"/>
      <c r="AD755" s="260"/>
      <c r="AE755" s="260"/>
      <c r="AF755" s="264"/>
      <c r="AG755" s="260"/>
      <c r="AH755" s="260"/>
      <c r="AI755" s="260"/>
    </row>
    <row r="756">
      <c r="A756" s="259"/>
      <c r="B756" s="260"/>
      <c r="C756" s="260"/>
      <c r="D756" s="260"/>
      <c r="E756" s="260"/>
      <c r="F756" s="260"/>
      <c r="G756" s="261"/>
      <c r="H756" s="259"/>
      <c r="I756" s="260"/>
      <c r="J756" s="260"/>
      <c r="K756" s="260"/>
      <c r="L756" s="260"/>
      <c r="M756" s="260"/>
      <c r="N756" s="262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3"/>
      <c r="Z756" s="260"/>
      <c r="AA756" s="260"/>
      <c r="AB756" s="260"/>
      <c r="AC756" s="260"/>
      <c r="AD756" s="260"/>
      <c r="AE756" s="260"/>
      <c r="AF756" s="264"/>
      <c r="AG756" s="260"/>
      <c r="AH756" s="260"/>
      <c r="AI756" s="260"/>
    </row>
    <row r="757">
      <c r="A757" s="259"/>
      <c r="B757" s="260"/>
      <c r="C757" s="260"/>
      <c r="D757" s="260"/>
      <c r="E757" s="260"/>
      <c r="F757" s="260"/>
      <c r="G757" s="261"/>
      <c r="H757" s="259"/>
      <c r="I757" s="260"/>
      <c r="J757" s="260"/>
      <c r="K757" s="260"/>
      <c r="L757" s="260"/>
      <c r="M757" s="260"/>
      <c r="N757" s="262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3"/>
      <c r="Z757" s="260"/>
      <c r="AA757" s="260"/>
      <c r="AB757" s="260"/>
      <c r="AC757" s="260"/>
      <c r="AD757" s="260"/>
      <c r="AE757" s="260"/>
      <c r="AF757" s="264"/>
      <c r="AG757" s="260"/>
      <c r="AH757" s="260"/>
      <c r="AI757" s="260"/>
    </row>
    <row r="758">
      <c r="A758" s="259"/>
      <c r="B758" s="260"/>
      <c r="C758" s="260"/>
      <c r="D758" s="260"/>
      <c r="E758" s="260"/>
      <c r="F758" s="260"/>
      <c r="G758" s="261"/>
      <c r="H758" s="259"/>
      <c r="I758" s="260"/>
      <c r="J758" s="260"/>
      <c r="K758" s="260"/>
      <c r="L758" s="260"/>
      <c r="M758" s="260"/>
      <c r="N758" s="262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3"/>
      <c r="Z758" s="260"/>
      <c r="AA758" s="260"/>
      <c r="AB758" s="260"/>
      <c r="AC758" s="260"/>
      <c r="AD758" s="260"/>
      <c r="AE758" s="260"/>
      <c r="AF758" s="264"/>
      <c r="AG758" s="260"/>
      <c r="AH758" s="260"/>
      <c r="AI758" s="260"/>
    </row>
    <row r="759">
      <c r="A759" s="259"/>
      <c r="B759" s="260"/>
      <c r="C759" s="260"/>
      <c r="D759" s="260"/>
      <c r="E759" s="260"/>
      <c r="F759" s="260"/>
      <c r="G759" s="261"/>
      <c r="H759" s="259"/>
      <c r="I759" s="260"/>
      <c r="J759" s="260"/>
      <c r="K759" s="260"/>
      <c r="L759" s="260"/>
      <c r="M759" s="260"/>
      <c r="N759" s="262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3"/>
      <c r="Z759" s="260"/>
      <c r="AA759" s="260"/>
      <c r="AB759" s="260"/>
      <c r="AC759" s="260"/>
      <c r="AD759" s="260"/>
      <c r="AE759" s="260"/>
      <c r="AF759" s="264"/>
      <c r="AG759" s="260"/>
      <c r="AH759" s="260"/>
      <c r="AI759" s="260"/>
    </row>
    <row r="760">
      <c r="A760" s="259"/>
      <c r="B760" s="260"/>
      <c r="C760" s="260"/>
      <c r="D760" s="260"/>
      <c r="E760" s="260"/>
      <c r="F760" s="260"/>
      <c r="G760" s="261"/>
      <c r="H760" s="259"/>
      <c r="I760" s="260"/>
      <c r="J760" s="260"/>
      <c r="K760" s="260"/>
      <c r="L760" s="260"/>
      <c r="M760" s="260"/>
      <c r="N760" s="262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3"/>
      <c r="Z760" s="260"/>
      <c r="AA760" s="260"/>
      <c r="AB760" s="260"/>
      <c r="AC760" s="260"/>
      <c r="AD760" s="260"/>
      <c r="AE760" s="260"/>
      <c r="AF760" s="264"/>
      <c r="AG760" s="260"/>
      <c r="AH760" s="260"/>
      <c r="AI760" s="260"/>
    </row>
    <row r="761">
      <c r="A761" s="259"/>
      <c r="B761" s="260"/>
      <c r="C761" s="260"/>
      <c r="D761" s="260"/>
      <c r="E761" s="260"/>
      <c r="F761" s="260"/>
      <c r="G761" s="261"/>
      <c r="H761" s="259"/>
      <c r="I761" s="260"/>
      <c r="J761" s="260"/>
      <c r="K761" s="260"/>
      <c r="L761" s="260"/>
      <c r="M761" s="260"/>
      <c r="N761" s="262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3"/>
      <c r="Z761" s="260"/>
      <c r="AA761" s="260"/>
      <c r="AB761" s="260"/>
      <c r="AC761" s="260"/>
      <c r="AD761" s="260"/>
      <c r="AE761" s="260"/>
      <c r="AF761" s="264"/>
      <c r="AG761" s="260"/>
      <c r="AH761" s="260"/>
      <c r="AI761" s="260"/>
    </row>
    <row r="762">
      <c r="A762" s="259"/>
      <c r="B762" s="260"/>
      <c r="C762" s="260"/>
      <c r="D762" s="260"/>
      <c r="E762" s="260"/>
      <c r="F762" s="260"/>
      <c r="G762" s="261"/>
      <c r="H762" s="259"/>
      <c r="I762" s="260"/>
      <c r="J762" s="260"/>
      <c r="K762" s="260"/>
      <c r="L762" s="260"/>
      <c r="M762" s="260"/>
      <c r="N762" s="262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3"/>
      <c r="Z762" s="260"/>
      <c r="AA762" s="260"/>
      <c r="AB762" s="260"/>
      <c r="AC762" s="260"/>
      <c r="AD762" s="260"/>
      <c r="AE762" s="260"/>
      <c r="AF762" s="264"/>
      <c r="AG762" s="260"/>
      <c r="AH762" s="260"/>
      <c r="AI762" s="260"/>
    </row>
    <row r="763">
      <c r="A763" s="259"/>
      <c r="B763" s="260"/>
      <c r="C763" s="260"/>
      <c r="D763" s="260"/>
      <c r="E763" s="260"/>
      <c r="F763" s="260"/>
      <c r="G763" s="261"/>
      <c r="H763" s="259"/>
      <c r="I763" s="260"/>
      <c r="J763" s="260"/>
      <c r="K763" s="260"/>
      <c r="L763" s="260"/>
      <c r="M763" s="260"/>
      <c r="N763" s="262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3"/>
      <c r="Z763" s="260"/>
      <c r="AA763" s="260"/>
      <c r="AB763" s="260"/>
      <c r="AC763" s="260"/>
      <c r="AD763" s="260"/>
      <c r="AE763" s="260"/>
      <c r="AF763" s="264"/>
      <c r="AG763" s="260"/>
      <c r="AH763" s="260"/>
      <c r="AI763" s="260"/>
    </row>
    <row r="764">
      <c r="A764" s="259"/>
      <c r="B764" s="260"/>
      <c r="C764" s="260"/>
      <c r="D764" s="260"/>
      <c r="E764" s="260"/>
      <c r="F764" s="260"/>
      <c r="G764" s="261"/>
      <c r="H764" s="259"/>
      <c r="I764" s="260"/>
      <c r="J764" s="260"/>
      <c r="K764" s="260"/>
      <c r="L764" s="260"/>
      <c r="M764" s="260"/>
      <c r="N764" s="262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3"/>
      <c r="Z764" s="260"/>
      <c r="AA764" s="260"/>
      <c r="AB764" s="260"/>
      <c r="AC764" s="260"/>
      <c r="AD764" s="260"/>
      <c r="AE764" s="260"/>
      <c r="AF764" s="264"/>
      <c r="AG764" s="260"/>
      <c r="AH764" s="260"/>
      <c r="AI764" s="260"/>
    </row>
    <row r="765">
      <c r="A765" s="259"/>
      <c r="B765" s="260"/>
      <c r="C765" s="260"/>
      <c r="D765" s="260"/>
      <c r="E765" s="260"/>
      <c r="F765" s="260"/>
      <c r="G765" s="261"/>
      <c r="H765" s="259"/>
      <c r="I765" s="260"/>
      <c r="J765" s="260"/>
      <c r="K765" s="260"/>
      <c r="L765" s="260"/>
      <c r="M765" s="260"/>
      <c r="N765" s="262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3"/>
      <c r="Z765" s="260"/>
      <c r="AA765" s="260"/>
      <c r="AB765" s="260"/>
      <c r="AC765" s="260"/>
      <c r="AD765" s="260"/>
      <c r="AE765" s="260"/>
      <c r="AF765" s="264"/>
      <c r="AG765" s="260"/>
      <c r="AH765" s="260"/>
      <c r="AI765" s="260"/>
    </row>
    <row r="766">
      <c r="A766" s="259"/>
      <c r="B766" s="260"/>
      <c r="C766" s="260"/>
      <c r="D766" s="260"/>
      <c r="E766" s="260"/>
      <c r="F766" s="260"/>
      <c r="G766" s="261"/>
      <c r="H766" s="259"/>
      <c r="I766" s="260"/>
      <c r="J766" s="260"/>
      <c r="K766" s="260"/>
      <c r="L766" s="260"/>
      <c r="M766" s="260"/>
      <c r="N766" s="262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3"/>
      <c r="Z766" s="260"/>
      <c r="AA766" s="260"/>
      <c r="AB766" s="260"/>
      <c r="AC766" s="260"/>
      <c r="AD766" s="260"/>
      <c r="AE766" s="260"/>
      <c r="AF766" s="264"/>
      <c r="AG766" s="260"/>
      <c r="AH766" s="260"/>
      <c r="AI766" s="260"/>
    </row>
    <row r="767">
      <c r="A767" s="259"/>
      <c r="B767" s="260"/>
      <c r="C767" s="260"/>
      <c r="D767" s="260"/>
      <c r="E767" s="260"/>
      <c r="F767" s="260"/>
      <c r="G767" s="261"/>
      <c r="H767" s="259"/>
      <c r="I767" s="260"/>
      <c r="J767" s="260"/>
      <c r="K767" s="260"/>
      <c r="L767" s="260"/>
      <c r="M767" s="260"/>
      <c r="N767" s="262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3"/>
      <c r="Z767" s="260"/>
      <c r="AA767" s="260"/>
      <c r="AB767" s="260"/>
      <c r="AC767" s="260"/>
      <c r="AD767" s="260"/>
      <c r="AE767" s="260"/>
      <c r="AF767" s="264"/>
      <c r="AG767" s="260"/>
      <c r="AH767" s="260"/>
      <c r="AI767" s="260"/>
    </row>
    <row r="768">
      <c r="A768" s="259"/>
      <c r="B768" s="260"/>
      <c r="C768" s="260"/>
      <c r="D768" s="260"/>
      <c r="E768" s="260"/>
      <c r="F768" s="260"/>
      <c r="G768" s="261"/>
      <c r="H768" s="259"/>
      <c r="I768" s="260"/>
      <c r="J768" s="260"/>
      <c r="K768" s="260"/>
      <c r="L768" s="260"/>
      <c r="M768" s="260"/>
      <c r="N768" s="262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3"/>
      <c r="Z768" s="260"/>
      <c r="AA768" s="260"/>
      <c r="AB768" s="260"/>
      <c r="AC768" s="260"/>
      <c r="AD768" s="260"/>
      <c r="AE768" s="260"/>
      <c r="AF768" s="264"/>
      <c r="AG768" s="260"/>
      <c r="AH768" s="260"/>
      <c r="AI768" s="260"/>
    </row>
    <row r="769">
      <c r="A769" s="259"/>
      <c r="B769" s="260"/>
      <c r="C769" s="260"/>
      <c r="D769" s="260"/>
      <c r="E769" s="260"/>
      <c r="F769" s="260"/>
      <c r="G769" s="261"/>
      <c r="H769" s="259"/>
      <c r="I769" s="260"/>
      <c r="J769" s="260"/>
      <c r="K769" s="260"/>
      <c r="L769" s="260"/>
      <c r="M769" s="260"/>
      <c r="N769" s="262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3"/>
      <c r="Z769" s="260"/>
      <c r="AA769" s="260"/>
      <c r="AB769" s="260"/>
      <c r="AC769" s="260"/>
      <c r="AD769" s="260"/>
      <c r="AE769" s="260"/>
      <c r="AF769" s="264"/>
      <c r="AG769" s="260"/>
      <c r="AH769" s="260"/>
      <c r="AI769" s="260"/>
    </row>
    <row r="770">
      <c r="A770" s="259"/>
      <c r="B770" s="260"/>
      <c r="C770" s="260"/>
      <c r="D770" s="260"/>
      <c r="E770" s="260"/>
      <c r="F770" s="260"/>
      <c r="G770" s="261"/>
      <c r="H770" s="259"/>
      <c r="I770" s="260"/>
      <c r="J770" s="260"/>
      <c r="K770" s="260"/>
      <c r="L770" s="260"/>
      <c r="M770" s="260"/>
      <c r="N770" s="262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3"/>
      <c r="Z770" s="260"/>
      <c r="AA770" s="260"/>
      <c r="AB770" s="260"/>
      <c r="AC770" s="260"/>
      <c r="AD770" s="260"/>
      <c r="AE770" s="260"/>
      <c r="AF770" s="264"/>
      <c r="AG770" s="260"/>
      <c r="AH770" s="260"/>
      <c r="AI770" s="260"/>
    </row>
    <row r="771">
      <c r="A771" s="259"/>
      <c r="B771" s="260"/>
      <c r="C771" s="260"/>
      <c r="D771" s="260"/>
      <c r="E771" s="260"/>
      <c r="F771" s="260"/>
      <c r="G771" s="261"/>
      <c r="H771" s="259"/>
      <c r="I771" s="260"/>
      <c r="J771" s="260"/>
      <c r="K771" s="260"/>
      <c r="L771" s="260"/>
      <c r="M771" s="260"/>
      <c r="N771" s="262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3"/>
      <c r="Z771" s="260"/>
      <c r="AA771" s="260"/>
      <c r="AB771" s="260"/>
      <c r="AC771" s="260"/>
      <c r="AD771" s="260"/>
      <c r="AE771" s="260"/>
      <c r="AF771" s="264"/>
      <c r="AG771" s="260"/>
      <c r="AH771" s="260"/>
      <c r="AI771" s="260"/>
    </row>
    <row r="772">
      <c r="A772" s="259"/>
      <c r="B772" s="260"/>
      <c r="C772" s="260"/>
      <c r="D772" s="260"/>
      <c r="E772" s="260"/>
      <c r="F772" s="260"/>
      <c r="G772" s="261"/>
      <c r="H772" s="259"/>
      <c r="I772" s="260"/>
      <c r="J772" s="260"/>
      <c r="K772" s="260"/>
      <c r="L772" s="260"/>
      <c r="M772" s="260"/>
      <c r="N772" s="262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3"/>
      <c r="Z772" s="260"/>
      <c r="AA772" s="260"/>
      <c r="AB772" s="260"/>
      <c r="AC772" s="260"/>
      <c r="AD772" s="260"/>
      <c r="AE772" s="260"/>
      <c r="AF772" s="264"/>
      <c r="AG772" s="260"/>
      <c r="AH772" s="260"/>
      <c r="AI772" s="260"/>
    </row>
    <row r="773">
      <c r="A773" s="259"/>
      <c r="B773" s="260"/>
      <c r="C773" s="260"/>
      <c r="D773" s="260"/>
      <c r="E773" s="260"/>
      <c r="F773" s="260"/>
      <c r="G773" s="261"/>
      <c r="H773" s="259"/>
      <c r="I773" s="260"/>
      <c r="J773" s="260"/>
      <c r="K773" s="260"/>
      <c r="L773" s="260"/>
      <c r="M773" s="260"/>
      <c r="N773" s="262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3"/>
      <c r="Z773" s="260"/>
      <c r="AA773" s="260"/>
      <c r="AB773" s="260"/>
      <c r="AC773" s="260"/>
      <c r="AD773" s="260"/>
      <c r="AE773" s="260"/>
      <c r="AF773" s="264"/>
      <c r="AG773" s="260"/>
      <c r="AH773" s="260"/>
      <c r="AI773" s="260"/>
    </row>
    <row r="774">
      <c r="A774" s="259"/>
      <c r="B774" s="260"/>
      <c r="C774" s="260"/>
      <c r="D774" s="260"/>
      <c r="E774" s="260"/>
      <c r="F774" s="260"/>
      <c r="G774" s="261"/>
      <c r="H774" s="259"/>
      <c r="I774" s="260"/>
      <c r="J774" s="260"/>
      <c r="K774" s="260"/>
      <c r="L774" s="260"/>
      <c r="M774" s="260"/>
      <c r="N774" s="262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3"/>
      <c r="Z774" s="260"/>
      <c r="AA774" s="260"/>
      <c r="AB774" s="260"/>
      <c r="AC774" s="260"/>
      <c r="AD774" s="260"/>
      <c r="AE774" s="260"/>
      <c r="AF774" s="264"/>
      <c r="AG774" s="260"/>
      <c r="AH774" s="260"/>
      <c r="AI774" s="260"/>
    </row>
    <row r="775">
      <c r="A775" s="259"/>
      <c r="B775" s="260"/>
      <c r="C775" s="260"/>
      <c r="D775" s="260"/>
      <c r="E775" s="260"/>
      <c r="F775" s="260"/>
      <c r="G775" s="261"/>
      <c r="H775" s="259"/>
      <c r="I775" s="260"/>
      <c r="J775" s="260"/>
      <c r="K775" s="260"/>
      <c r="L775" s="260"/>
      <c r="M775" s="260"/>
      <c r="N775" s="262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3"/>
      <c r="Z775" s="260"/>
      <c r="AA775" s="260"/>
      <c r="AB775" s="260"/>
      <c r="AC775" s="260"/>
      <c r="AD775" s="260"/>
      <c r="AE775" s="260"/>
      <c r="AF775" s="264"/>
      <c r="AG775" s="260"/>
      <c r="AH775" s="260"/>
      <c r="AI775" s="260"/>
    </row>
    <row r="776">
      <c r="A776" s="259"/>
      <c r="B776" s="260"/>
      <c r="C776" s="260"/>
      <c r="D776" s="260"/>
      <c r="E776" s="260"/>
      <c r="F776" s="260"/>
      <c r="G776" s="261"/>
      <c r="H776" s="259"/>
      <c r="I776" s="260"/>
      <c r="J776" s="260"/>
      <c r="K776" s="260"/>
      <c r="L776" s="260"/>
      <c r="M776" s="260"/>
      <c r="N776" s="262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3"/>
      <c r="Z776" s="260"/>
      <c r="AA776" s="260"/>
      <c r="AB776" s="260"/>
      <c r="AC776" s="260"/>
      <c r="AD776" s="260"/>
      <c r="AE776" s="260"/>
      <c r="AF776" s="264"/>
      <c r="AG776" s="260"/>
      <c r="AH776" s="260"/>
      <c r="AI776" s="260"/>
    </row>
    <row r="777">
      <c r="A777" s="259"/>
      <c r="B777" s="260"/>
      <c r="C777" s="260"/>
      <c r="D777" s="260"/>
      <c r="E777" s="260"/>
      <c r="F777" s="260"/>
      <c r="G777" s="261"/>
      <c r="H777" s="259"/>
      <c r="I777" s="260"/>
      <c r="J777" s="260"/>
      <c r="K777" s="260"/>
      <c r="L777" s="260"/>
      <c r="M777" s="260"/>
      <c r="N777" s="262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3"/>
      <c r="Z777" s="260"/>
      <c r="AA777" s="260"/>
      <c r="AB777" s="260"/>
      <c r="AC777" s="260"/>
      <c r="AD777" s="260"/>
      <c r="AE777" s="260"/>
      <c r="AF777" s="264"/>
      <c r="AG777" s="260"/>
      <c r="AH777" s="260"/>
      <c r="AI777" s="260"/>
    </row>
    <row r="778">
      <c r="A778" s="259"/>
      <c r="B778" s="260"/>
      <c r="C778" s="260"/>
      <c r="D778" s="260"/>
      <c r="E778" s="260"/>
      <c r="F778" s="260"/>
      <c r="G778" s="261"/>
      <c r="H778" s="259"/>
      <c r="I778" s="260"/>
      <c r="J778" s="260"/>
      <c r="K778" s="260"/>
      <c r="L778" s="260"/>
      <c r="M778" s="260"/>
      <c r="N778" s="262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3"/>
      <c r="Z778" s="260"/>
      <c r="AA778" s="260"/>
      <c r="AB778" s="260"/>
      <c r="AC778" s="260"/>
      <c r="AD778" s="260"/>
      <c r="AE778" s="260"/>
      <c r="AF778" s="264"/>
      <c r="AG778" s="260"/>
      <c r="AH778" s="260"/>
      <c r="AI778" s="260"/>
    </row>
    <row r="779">
      <c r="A779" s="259"/>
      <c r="B779" s="260"/>
      <c r="C779" s="260"/>
      <c r="D779" s="260"/>
      <c r="E779" s="260"/>
      <c r="F779" s="260"/>
      <c r="G779" s="261"/>
      <c r="H779" s="259"/>
      <c r="I779" s="260"/>
      <c r="J779" s="260"/>
      <c r="K779" s="260"/>
      <c r="L779" s="260"/>
      <c r="M779" s="260"/>
      <c r="N779" s="262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3"/>
      <c r="Z779" s="260"/>
      <c r="AA779" s="260"/>
      <c r="AB779" s="260"/>
      <c r="AC779" s="260"/>
      <c r="AD779" s="260"/>
      <c r="AE779" s="260"/>
      <c r="AF779" s="264"/>
      <c r="AG779" s="260"/>
      <c r="AH779" s="260"/>
      <c r="AI779" s="260"/>
    </row>
    <row r="780">
      <c r="A780" s="259"/>
      <c r="B780" s="260"/>
      <c r="C780" s="260"/>
      <c r="D780" s="260"/>
      <c r="E780" s="260"/>
      <c r="F780" s="260"/>
      <c r="G780" s="261"/>
      <c r="H780" s="259"/>
      <c r="I780" s="260"/>
      <c r="J780" s="260"/>
      <c r="K780" s="260"/>
      <c r="L780" s="260"/>
      <c r="M780" s="260"/>
      <c r="N780" s="262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3"/>
      <c r="Z780" s="260"/>
      <c r="AA780" s="260"/>
      <c r="AB780" s="260"/>
      <c r="AC780" s="260"/>
      <c r="AD780" s="260"/>
      <c r="AE780" s="260"/>
      <c r="AF780" s="264"/>
      <c r="AG780" s="260"/>
      <c r="AH780" s="260"/>
      <c r="AI780" s="260"/>
    </row>
    <row r="781">
      <c r="A781" s="259"/>
      <c r="B781" s="260"/>
      <c r="C781" s="260"/>
      <c r="D781" s="260"/>
      <c r="E781" s="260"/>
      <c r="F781" s="260"/>
      <c r="G781" s="261"/>
      <c r="H781" s="259"/>
      <c r="I781" s="260"/>
      <c r="J781" s="260"/>
      <c r="K781" s="260"/>
      <c r="L781" s="260"/>
      <c r="M781" s="260"/>
      <c r="N781" s="262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3"/>
      <c r="Z781" s="260"/>
      <c r="AA781" s="260"/>
      <c r="AB781" s="260"/>
      <c r="AC781" s="260"/>
      <c r="AD781" s="260"/>
      <c r="AE781" s="260"/>
      <c r="AF781" s="264"/>
      <c r="AG781" s="260"/>
      <c r="AH781" s="260"/>
      <c r="AI781" s="260"/>
    </row>
    <row r="782">
      <c r="A782" s="259"/>
      <c r="B782" s="260"/>
      <c r="C782" s="260"/>
      <c r="D782" s="260"/>
      <c r="E782" s="260"/>
      <c r="F782" s="260"/>
      <c r="G782" s="261"/>
      <c r="H782" s="259"/>
      <c r="I782" s="260"/>
      <c r="J782" s="260"/>
      <c r="K782" s="260"/>
      <c r="L782" s="260"/>
      <c r="M782" s="260"/>
      <c r="N782" s="262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3"/>
      <c r="Z782" s="260"/>
      <c r="AA782" s="260"/>
      <c r="AB782" s="260"/>
      <c r="AC782" s="260"/>
      <c r="AD782" s="260"/>
      <c r="AE782" s="260"/>
      <c r="AF782" s="264"/>
      <c r="AG782" s="260"/>
      <c r="AH782" s="260"/>
      <c r="AI782" s="260"/>
    </row>
    <row r="783">
      <c r="A783" s="259"/>
      <c r="B783" s="260"/>
      <c r="C783" s="260"/>
      <c r="D783" s="260"/>
      <c r="E783" s="260"/>
      <c r="F783" s="260"/>
      <c r="G783" s="261"/>
      <c r="H783" s="259"/>
      <c r="I783" s="260"/>
      <c r="J783" s="260"/>
      <c r="K783" s="260"/>
      <c r="L783" s="260"/>
      <c r="M783" s="260"/>
      <c r="N783" s="262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3"/>
      <c r="Z783" s="260"/>
      <c r="AA783" s="260"/>
      <c r="AB783" s="260"/>
      <c r="AC783" s="260"/>
      <c r="AD783" s="260"/>
      <c r="AE783" s="260"/>
      <c r="AF783" s="264"/>
      <c r="AG783" s="260"/>
      <c r="AH783" s="260"/>
      <c r="AI783" s="260"/>
    </row>
    <row r="784">
      <c r="A784" s="259"/>
      <c r="B784" s="260"/>
      <c r="C784" s="260"/>
      <c r="D784" s="260"/>
      <c r="E784" s="260"/>
      <c r="F784" s="260"/>
      <c r="G784" s="261"/>
      <c r="H784" s="259"/>
      <c r="I784" s="260"/>
      <c r="J784" s="260"/>
      <c r="K784" s="260"/>
      <c r="L784" s="260"/>
      <c r="M784" s="260"/>
      <c r="N784" s="262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3"/>
      <c r="Z784" s="260"/>
      <c r="AA784" s="260"/>
      <c r="AB784" s="260"/>
      <c r="AC784" s="260"/>
      <c r="AD784" s="260"/>
      <c r="AE784" s="260"/>
      <c r="AF784" s="264"/>
      <c r="AG784" s="260"/>
      <c r="AH784" s="260"/>
      <c r="AI784" s="260"/>
    </row>
    <row r="785">
      <c r="A785" s="259"/>
      <c r="B785" s="260"/>
      <c r="C785" s="260"/>
      <c r="D785" s="260"/>
      <c r="E785" s="260"/>
      <c r="F785" s="260"/>
      <c r="G785" s="261"/>
      <c r="H785" s="259"/>
      <c r="I785" s="260"/>
      <c r="J785" s="260"/>
      <c r="K785" s="260"/>
      <c r="L785" s="260"/>
      <c r="M785" s="260"/>
      <c r="N785" s="262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3"/>
      <c r="Z785" s="260"/>
      <c r="AA785" s="260"/>
      <c r="AB785" s="260"/>
      <c r="AC785" s="260"/>
      <c r="AD785" s="260"/>
      <c r="AE785" s="260"/>
      <c r="AF785" s="264"/>
      <c r="AG785" s="260"/>
      <c r="AH785" s="260"/>
      <c r="AI785" s="260"/>
    </row>
    <row r="786">
      <c r="A786" s="259"/>
      <c r="B786" s="260"/>
      <c r="C786" s="260"/>
      <c r="D786" s="260"/>
      <c r="E786" s="260"/>
      <c r="F786" s="260"/>
      <c r="G786" s="261"/>
      <c r="H786" s="259"/>
      <c r="I786" s="260"/>
      <c r="J786" s="260"/>
      <c r="K786" s="260"/>
      <c r="L786" s="260"/>
      <c r="M786" s="260"/>
      <c r="N786" s="262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3"/>
      <c r="Z786" s="260"/>
      <c r="AA786" s="260"/>
      <c r="AB786" s="260"/>
      <c r="AC786" s="260"/>
      <c r="AD786" s="260"/>
      <c r="AE786" s="260"/>
      <c r="AF786" s="264"/>
      <c r="AG786" s="260"/>
      <c r="AH786" s="260"/>
      <c r="AI786" s="260"/>
    </row>
    <row r="787">
      <c r="A787" s="259"/>
      <c r="B787" s="260"/>
      <c r="C787" s="260"/>
      <c r="D787" s="260"/>
      <c r="E787" s="260"/>
      <c r="F787" s="260"/>
      <c r="G787" s="261"/>
      <c r="H787" s="259"/>
      <c r="I787" s="260"/>
      <c r="J787" s="260"/>
      <c r="K787" s="260"/>
      <c r="L787" s="260"/>
      <c r="M787" s="260"/>
      <c r="N787" s="262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3"/>
      <c r="Z787" s="260"/>
      <c r="AA787" s="260"/>
      <c r="AB787" s="260"/>
      <c r="AC787" s="260"/>
      <c r="AD787" s="260"/>
      <c r="AE787" s="260"/>
      <c r="AF787" s="264"/>
      <c r="AG787" s="260"/>
      <c r="AH787" s="260"/>
      <c r="AI787" s="260"/>
    </row>
    <row r="788">
      <c r="A788" s="259"/>
      <c r="B788" s="260"/>
      <c r="C788" s="260"/>
      <c r="D788" s="260"/>
      <c r="E788" s="260"/>
      <c r="F788" s="260"/>
      <c r="G788" s="261"/>
      <c r="H788" s="259"/>
      <c r="I788" s="260"/>
      <c r="J788" s="260"/>
      <c r="K788" s="260"/>
      <c r="L788" s="260"/>
      <c r="M788" s="260"/>
      <c r="N788" s="262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3"/>
      <c r="Z788" s="260"/>
      <c r="AA788" s="260"/>
      <c r="AB788" s="260"/>
      <c r="AC788" s="260"/>
      <c r="AD788" s="260"/>
      <c r="AE788" s="260"/>
      <c r="AF788" s="264"/>
      <c r="AG788" s="260"/>
      <c r="AH788" s="260"/>
      <c r="AI788" s="260"/>
    </row>
    <row r="789">
      <c r="A789" s="259"/>
      <c r="B789" s="260"/>
      <c r="C789" s="260"/>
      <c r="D789" s="260"/>
      <c r="E789" s="260"/>
      <c r="F789" s="260"/>
      <c r="G789" s="261"/>
      <c r="H789" s="259"/>
      <c r="I789" s="260"/>
      <c r="J789" s="260"/>
      <c r="K789" s="260"/>
      <c r="L789" s="260"/>
      <c r="M789" s="260"/>
      <c r="N789" s="262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3"/>
      <c r="Z789" s="260"/>
      <c r="AA789" s="260"/>
      <c r="AB789" s="260"/>
      <c r="AC789" s="260"/>
      <c r="AD789" s="260"/>
      <c r="AE789" s="260"/>
      <c r="AF789" s="264"/>
      <c r="AG789" s="260"/>
      <c r="AH789" s="260"/>
      <c r="AI789" s="260"/>
    </row>
    <row r="790">
      <c r="A790" s="259"/>
      <c r="B790" s="260"/>
      <c r="C790" s="260"/>
      <c r="D790" s="260"/>
      <c r="E790" s="260"/>
      <c r="F790" s="260"/>
      <c r="G790" s="261"/>
      <c r="H790" s="259"/>
      <c r="I790" s="260"/>
      <c r="J790" s="260"/>
      <c r="K790" s="260"/>
      <c r="L790" s="260"/>
      <c r="M790" s="260"/>
      <c r="N790" s="262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3"/>
      <c r="Z790" s="260"/>
      <c r="AA790" s="260"/>
      <c r="AB790" s="260"/>
      <c r="AC790" s="260"/>
      <c r="AD790" s="260"/>
      <c r="AE790" s="260"/>
      <c r="AF790" s="264"/>
      <c r="AG790" s="260"/>
      <c r="AH790" s="260"/>
      <c r="AI790" s="260"/>
    </row>
    <row r="791">
      <c r="A791" s="259"/>
      <c r="B791" s="260"/>
      <c r="C791" s="260"/>
      <c r="D791" s="260"/>
      <c r="E791" s="260"/>
      <c r="F791" s="260"/>
      <c r="G791" s="261"/>
      <c r="H791" s="259"/>
      <c r="I791" s="260"/>
      <c r="J791" s="260"/>
      <c r="K791" s="260"/>
      <c r="L791" s="260"/>
      <c r="M791" s="260"/>
      <c r="N791" s="262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3"/>
      <c r="Z791" s="260"/>
      <c r="AA791" s="260"/>
      <c r="AB791" s="260"/>
      <c r="AC791" s="260"/>
      <c r="AD791" s="260"/>
      <c r="AE791" s="260"/>
      <c r="AF791" s="264"/>
      <c r="AG791" s="260"/>
      <c r="AH791" s="260"/>
      <c r="AI791" s="260"/>
    </row>
    <row r="792">
      <c r="A792" s="259"/>
      <c r="B792" s="260"/>
      <c r="C792" s="260"/>
      <c r="D792" s="260"/>
      <c r="E792" s="260"/>
      <c r="F792" s="260"/>
      <c r="G792" s="261"/>
      <c r="H792" s="259"/>
      <c r="I792" s="260"/>
      <c r="J792" s="260"/>
      <c r="K792" s="260"/>
      <c r="L792" s="260"/>
      <c r="M792" s="260"/>
      <c r="N792" s="262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3"/>
      <c r="Z792" s="260"/>
      <c r="AA792" s="260"/>
      <c r="AB792" s="260"/>
      <c r="AC792" s="260"/>
      <c r="AD792" s="260"/>
      <c r="AE792" s="260"/>
      <c r="AF792" s="264"/>
      <c r="AG792" s="260"/>
      <c r="AH792" s="260"/>
      <c r="AI792" s="260"/>
    </row>
    <row r="793">
      <c r="A793" s="259"/>
      <c r="B793" s="260"/>
      <c r="C793" s="260"/>
      <c r="D793" s="260"/>
      <c r="E793" s="260"/>
      <c r="F793" s="260"/>
      <c r="G793" s="261"/>
      <c r="H793" s="259"/>
      <c r="I793" s="260"/>
      <c r="J793" s="260"/>
      <c r="K793" s="260"/>
      <c r="L793" s="260"/>
      <c r="M793" s="260"/>
      <c r="N793" s="262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3"/>
      <c r="Z793" s="260"/>
      <c r="AA793" s="260"/>
      <c r="AB793" s="260"/>
      <c r="AC793" s="260"/>
      <c r="AD793" s="260"/>
      <c r="AE793" s="260"/>
      <c r="AF793" s="264"/>
      <c r="AG793" s="260"/>
      <c r="AH793" s="260"/>
      <c r="AI793" s="260"/>
    </row>
    <row r="794">
      <c r="A794" s="259"/>
      <c r="B794" s="260"/>
      <c r="C794" s="260"/>
      <c r="D794" s="260"/>
      <c r="E794" s="260"/>
      <c r="F794" s="260"/>
      <c r="G794" s="261"/>
      <c r="H794" s="259"/>
      <c r="I794" s="260"/>
      <c r="J794" s="260"/>
      <c r="K794" s="260"/>
      <c r="L794" s="260"/>
      <c r="M794" s="260"/>
      <c r="N794" s="262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3"/>
      <c r="Z794" s="260"/>
      <c r="AA794" s="260"/>
      <c r="AB794" s="260"/>
      <c r="AC794" s="260"/>
      <c r="AD794" s="260"/>
      <c r="AE794" s="260"/>
      <c r="AF794" s="264"/>
      <c r="AG794" s="260"/>
      <c r="AH794" s="260"/>
      <c r="AI794" s="260"/>
    </row>
    <row r="795">
      <c r="A795" s="259"/>
      <c r="B795" s="260"/>
      <c r="C795" s="260"/>
      <c r="D795" s="260"/>
      <c r="E795" s="260"/>
      <c r="F795" s="260"/>
      <c r="G795" s="261"/>
      <c r="H795" s="259"/>
      <c r="I795" s="260"/>
      <c r="J795" s="260"/>
      <c r="K795" s="260"/>
      <c r="L795" s="260"/>
      <c r="M795" s="260"/>
      <c r="N795" s="262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3"/>
      <c r="Z795" s="260"/>
      <c r="AA795" s="260"/>
      <c r="AB795" s="260"/>
      <c r="AC795" s="260"/>
      <c r="AD795" s="260"/>
      <c r="AE795" s="260"/>
      <c r="AF795" s="264"/>
      <c r="AG795" s="260"/>
      <c r="AH795" s="260"/>
      <c r="AI795" s="260"/>
    </row>
    <row r="796">
      <c r="A796" s="259"/>
      <c r="B796" s="260"/>
      <c r="C796" s="260"/>
      <c r="D796" s="260"/>
      <c r="E796" s="260"/>
      <c r="F796" s="260"/>
      <c r="G796" s="261"/>
      <c r="H796" s="259"/>
      <c r="I796" s="260"/>
      <c r="J796" s="260"/>
      <c r="K796" s="260"/>
      <c r="L796" s="260"/>
      <c r="M796" s="260"/>
      <c r="N796" s="262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3"/>
      <c r="Z796" s="260"/>
      <c r="AA796" s="260"/>
      <c r="AB796" s="260"/>
      <c r="AC796" s="260"/>
      <c r="AD796" s="260"/>
      <c r="AE796" s="260"/>
      <c r="AF796" s="264"/>
      <c r="AG796" s="260"/>
      <c r="AH796" s="260"/>
      <c r="AI796" s="260"/>
    </row>
    <row r="797">
      <c r="A797" s="259"/>
      <c r="B797" s="260"/>
      <c r="C797" s="260"/>
      <c r="D797" s="260"/>
      <c r="E797" s="260"/>
      <c r="F797" s="260"/>
      <c r="G797" s="261"/>
      <c r="H797" s="259"/>
      <c r="I797" s="260"/>
      <c r="J797" s="260"/>
      <c r="K797" s="260"/>
      <c r="L797" s="260"/>
      <c r="M797" s="260"/>
      <c r="N797" s="262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3"/>
      <c r="Z797" s="260"/>
      <c r="AA797" s="260"/>
      <c r="AB797" s="260"/>
      <c r="AC797" s="260"/>
      <c r="AD797" s="260"/>
      <c r="AE797" s="260"/>
      <c r="AF797" s="264"/>
      <c r="AG797" s="260"/>
      <c r="AH797" s="260"/>
      <c r="AI797" s="260"/>
    </row>
    <row r="798">
      <c r="A798" s="259"/>
      <c r="B798" s="260"/>
      <c r="C798" s="260"/>
      <c r="D798" s="260"/>
      <c r="E798" s="260"/>
      <c r="F798" s="260"/>
      <c r="G798" s="261"/>
      <c r="H798" s="259"/>
      <c r="I798" s="260"/>
      <c r="J798" s="260"/>
      <c r="K798" s="260"/>
      <c r="L798" s="260"/>
      <c r="M798" s="260"/>
      <c r="N798" s="262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3"/>
      <c r="Z798" s="260"/>
      <c r="AA798" s="260"/>
      <c r="AB798" s="260"/>
      <c r="AC798" s="260"/>
      <c r="AD798" s="260"/>
      <c r="AE798" s="260"/>
      <c r="AF798" s="264"/>
      <c r="AG798" s="260"/>
      <c r="AH798" s="260"/>
      <c r="AI798" s="260"/>
    </row>
    <row r="799">
      <c r="A799" s="259"/>
      <c r="B799" s="260"/>
      <c r="C799" s="260"/>
      <c r="D799" s="260"/>
      <c r="E799" s="260"/>
      <c r="F799" s="260"/>
      <c r="G799" s="261"/>
      <c r="H799" s="259"/>
      <c r="I799" s="260"/>
      <c r="J799" s="260"/>
      <c r="K799" s="260"/>
      <c r="L799" s="260"/>
      <c r="M799" s="260"/>
      <c r="N799" s="262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3"/>
      <c r="Z799" s="260"/>
      <c r="AA799" s="260"/>
      <c r="AB799" s="260"/>
      <c r="AC799" s="260"/>
      <c r="AD799" s="260"/>
      <c r="AE799" s="260"/>
      <c r="AF799" s="264"/>
      <c r="AG799" s="260"/>
      <c r="AH799" s="260"/>
      <c r="AI799" s="260"/>
    </row>
    <row r="800">
      <c r="A800" s="259"/>
      <c r="B800" s="260"/>
      <c r="C800" s="260"/>
      <c r="D800" s="260"/>
      <c r="E800" s="260"/>
      <c r="F800" s="260"/>
      <c r="G800" s="261"/>
      <c r="H800" s="259"/>
      <c r="I800" s="260"/>
      <c r="J800" s="260"/>
      <c r="K800" s="260"/>
      <c r="L800" s="260"/>
      <c r="M800" s="260"/>
      <c r="N800" s="262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3"/>
      <c r="Z800" s="260"/>
      <c r="AA800" s="260"/>
      <c r="AB800" s="260"/>
      <c r="AC800" s="260"/>
      <c r="AD800" s="260"/>
      <c r="AE800" s="260"/>
      <c r="AF800" s="264"/>
      <c r="AG800" s="260"/>
      <c r="AH800" s="260"/>
      <c r="AI800" s="260"/>
    </row>
    <row r="801">
      <c r="A801" s="259"/>
      <c r="B801" s="260"/>
      <c r="C801" s="260"/>
      <c r="D801" s="260"/>
      <c r="E801" s="260"/>
      <c r="F801" s="260"/>
      <c r="G801" s="261"/>
      <c r="H801" s="259"/>
      <c r="I801" s="260"/>
      <c r="J801" s="260"/>
      <c r="K801" s="260"/>
      <c r="L801" s="260"/>
      <c r="M801" s="260"/>
      <c r="N801" s="262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3"/>
      <c r="Z801" s="260"/>
      <c r="AA801" s="260"/>
      <c r="AB801" s="260"/>
      <c r="AC801" s="260"/>
      <c r="AD801" s="260"/>
      <c r="AE801" s="260"/>
      <c r="AF801" s="264"/>
      <c r="AG801" s="260"/>
      <c r="AH801" s="260"/>
      <c r="AI801" s="260"/>
    </row>
    <row r="802">
      <c r="A802" s="259"/>
      <c r="B802" s="260"/>
      <c r="C802" s="260"/>
      <c r="D802" s="260"/>
      <c r="E802" s="260"/>
      <c r="F802" s="260"/>
      <c r="G802" s="261"/>
      <c r="H802" s="259"/>
      <c r="I802" s="260"/>
      <c r="J802" s="260"/>
      <c r="K802" s="260"/>
      <c r="L802" s="260"/>
      <c r="M802" s="260"/>
      <c r="N802" s="262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3"/>
      <c r="Z802" s="260"/>
      <c r="AA802" s="260"/>
      <c r="AB802" s="260"/>
      <c r="AC802" s="260"/>
      <c r="AD802" s="260"/>
      <c r="AE802" s="260"/>
      <c r="AF802" s="264"/>
      <c r="AG802" s="260"/>
      <c r="AH802" s="260"/>
      <c r="AI802" s="260"/>
    </row>
    <row r="803">
      <c r="A803" s="259"/>
      <c r="B803" s="260"/>
      <c r="C803" s="260"/>
      <c r="D803" s="260"/>
      <c r="E803" s="260"/>
      <c r="F803" s="260"/>
      <c r="G803" s="261"/>
      <c r="H803" s="259"/>
      <c r="I803" s="260"/>
      <c r="J803" s="260"/>
      <c r="K803" s="260"/>
      <c r="L803" s="260"/>
      <c r="M803" s="260"/>
      <c r="N803" s="262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3"/>
      <c r="Z803" s="260"/>
      <c r="AA803" s="260"/>
      <c r="AB803" s="260"/>
      <c r="AC803" s="260"/>
      <c r="AD803" s="260"/>
      <c r="AE803" s="260"/>
      <c r="AF803" s="264"/>
      <c r="AG803" s="260"/>
      <c r="AH803" s="260"/>
      <c r="AI803" s="260"/>
    </row>
    <row r="804">
      <c r="A804" s="259"/>
      <c r="B804" s="260"/>
      <c r="C804" s="260"/>
      <c r="D804" s="260"/>
      <c r="E804" s="260"/>
      <c r="F804" s="260"/>
      <c r="G804" s="261"/>
      <c r="H804" s="259"/>
      <c r="I804" s="260"/>
      <c r="J804" s="260"/>
      <c r="K804" s="260"/>
      <c r="L804" s="260"/>
      <c r="M804" s="260"/>
      <c r="N804" s="262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3"/>
      <c r="Z804" s="260"/>
      <c r="AA804" s="260"/>
      <c r="AB804" s="260"/>
      <c r="AC804" s="260"/>
      <c r="AD804" s="260"/>
      <c r="AE804" s="260"/>
      <c r="AF804" s="264"/>
      <c r="AG804" s="260"/>
      <c r="AH804" s="260"/>
      <c r="AI804" s="260"/>
    </row>
    <row r="805">
      <c r="A805" s="259"/>
      <c r="B805" s="260"/>
      <c r="C805" s="260"/>
      <c r="D805" s="260"/>
      <c r="E805" s="260"/>
      <c r="F805" s="260"/>
      <c r="G805" s="261"/>
      <c r="H805" s="259"/>
      <c r="I805" s="260"/>
      <c r="J805" s="260"/>
      <c r="K805" s="260"/>
      <c r="L805" s="260"/>
      <c r="M805" s="260"/>
      <c r="N805" s="262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3"/>
      <c r="Z805" s="260"/>
      <c r="AA805" s="260"/>
      <c r="AB805" s="260"/>
      <c r="AC805" s="260"/>
      <c r="AD805" s="260"/>
      <c r="AE805" s="260"/>
      <c r="AF805" s="264"/>
      <c r="AG805" s="260"/>
      <c r="AH805" s="260"/>
      <c r="AI805" s="260"/>
    </row>
    <row r="806">
      <c r="A806" s="259"/>
      <c r="B806" s="260"/>
      <c r="C806" s="260"/>
      <c r="D806" s="260"/>
      <c r="E806" s="260"/>
      <c r="F806" s="260"/>
      <c r="G806" s="261"/>
      <c r="H806" s="259"/>
      <c r="I806" s="260"/>
      <c r="J806" s="260"/>
      <c r="K806" s="260"/>
      <c r="L806" s="260"/>
      <c r="M806" s="260"/>
      <c r="N806" s="262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3"/>
      <c r="Z806" s="260"/>
      <c r="AA806" s="260"/>
      <c r="AB806" s="260"/>
      <c r="AC806" s="260"/>
      <c r="AD806" s="260"/>
      <c r="AE806" s="260"/>
      <c r="AF806" s="264"/>
      <c r="AG806" s="260"/>
      <c r="AH806" s="260"/>
      <c r="AI806" s="260"/>
    </row>
    <row r="807">
      <c r="A807" s="259"/>
      <c r="B807" s="260"/>
      <c r="C807" s="260"/>
      <c r="D807" s="260"/>
      <c r="E807" s="260"/>
      <c r="F807" s="260"/>
      <c r="G807" s="261"/>
      <c r="H807" s="259"/>
      <c r="I807" s="260"/>
      <c r="J807" s="260"/>
      <c r="K807" s="260"/>
      <c r="L807" s="260"/>
      <c r="M807" s="260"/>
      <c r="N807" s="262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3"/>
      <c r="Z807" s="260"/>
      <c r="AA807" s="260"/>
      <c r="AB807" s="260"/>
      <c r="AC807" s="260"/>
      <c r="AD807" s="260"/>
      <c r="AE807" s="260"/>
      <c r="AF807" s="264"/>
      <c r="AG807" s="260"/>
      <c r="AH807" s="260"/>
      <c r="AI807" s="260"/>
    </row>
    <row r="808">
      <c r="A808" s="259"/>
      <c r="B808" s="260"/>
      <c r="C808" s="260"/>
      <c r="D808" s="260"/>
      <c r="E808" s="260"/>
      <c r="F808" s="260"/>
      <c r="G808" s="261"/>
      <c r="H808" s="259"/>
      <c r="I808" s="260"/>
      <c r="J808" s="260"/>
      <c r="K808" s="260"/>
      <c r="L808" s="260"/>
      <c r="M808" s="260"/>
      <c r="N808" s="262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3"/>
      <c r="Z808" s="260"/>
      <c r="AA808" s="260"/>
      <c r="AB808" s="260"/>
      <c r="AC808" s="260"/>
      <c r="AD808" s="260"/>
      <c r="AE808" s="260"/>
      <c r="AF808" s="264"/>
      <c r="AG808" s="260"/>
      <c r="AH808" s="260"/>
      <c r="AI808" s="260"/>
    </row>
    <row r="809">
      <c r="A809" s="259"/>
      <c r="B809" s="260"/>
      <c r="C809" s="260"/>
      <c r="D809" s="260"/>
      <c r="E809" s="260"/>
      <c r="F809" s="260"/>
      <c r="G809" s="261"/>
      <c r="H809" s="259"/>
      <c r="I809" s="260"/>
      <c r="J809" s="260"/>
      <c r="K809" s="260"/>
      <c r="L809" s="260"/>
      <c r="M809" s="260"/>
      <c r="N809" s="262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3"/>
      <c r="Z809" s="260"/>
      <c r="AA809" s="260"/>
      <c r="AB809" s="260"/>
      <c r="AC809" s="260"/>
      <c r="AD809" s="260"/>
      <c r="AE809" s="260"/>
      <c r="AF809" s="264"/>
      <c r="AG809" s="260"/>
      <c r="AH809" s="260"/>
      <c r="AI809" s="260"/>
    </row>
    <row r="810">
      <c r="A810" s="259"/>
      <c r="B810" s="260"/>
      <c r="C810" s="260"/>
      <c r="D810" s="260"/>
      <c r="E810" s="260"/>
      <c r="F810" s="260"/>
      <c r="G810" s="261"/>
      <c r="H810" s="259"/>
      <c r="I810" s="260"/>
      <c r="J810" s="260"/>
      <c r="K810" s="260"/>
      <c r="L810" s="260"/>
      <c r="M810" s="260"/>
      <c r="N810" s="262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3"/>
      <c r="Z810" s="260"/>
      <c r="AA810" s="260"/>
      <c r="AB810" s="260"/>
      <c r="AC810" s="260"/>
      <c r="AD810" s="260"/>
      <c r="AE810" s="260"/>
      <c r="AF810" s="264"/>
      <c r="AG810" s="260"/>
      <c r="AH810" s="260"/>
      <c r="AI810" s="260"/>
    </row>
    <row r="811">
      <c r="A811" s="259"/>
      <c r="B811" s="260"/>
      <c r="C811" s="260"/>
      <c r="D811" s="260"/>
      <c r="E811" s="260"/>
      <c r="F811" s="260"/>
      <c r="G811" s="261"/>
      <c r="H811" s="259"/>
      <c r="I811" s="260"/>
      <c r="J811" s="260"/>
      <c r="K811" s="260"/>
      <c r="L811" s="260"/>
      <c r="M811" s="260"/>
      <c r="N811" s="262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3"/>
      <c r="Z811" s="260"/>
      <c r="AA811" s="260"/>
      <c r="AB811" s="260"/>
      <c r="AC811" s="260"/>
      <c r="AD811" s="260"/>
      <c r="AE811" s="260"/>
      <c r="AF811" s="264"/>
      <c r="AG811" s="260"/>
      <c r="AH811" s="260"/>
      <c r="AI811" s="260"/>
    </row>
    <row r="812">
      <c r="A812" s="259"/>
      <c r="B812" s="260"/>
      <c r="C812" s="260"/>
      <c r="D812" s="260"/>
      <c r="E812" s="260"/>
      <c r="F812" s="260"/>
      <c r="G812" s="261"/>
      <c r="H812" s="259"/>
      <c r="I812" s="260"/>
      <c r="J812" s="260"/>
      <c r="K812" s="260"/>
      <c r="L812" s="260"/>
      <c r="M812" s="260"/>
      <c r="N812" s="262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3"/>
      <c r="Z812" s="260"/>
      <c r="AA812" s="260"/>
      <c r="AB812" s="260"/>
      <c r="AC812" s="260"/>
      <c r="AD812" s="260"/>
      <c r="AE812" s="260"/>
      <c r="AF812" s="264"/>
      <c r="AG812" s="260"/>
      <c r="AH812" s="260"/>
      <c r="AI812" s="260"/>
    </row>
    <row r="813">
      <c r="A813" s="259"/>
      <c r="B813" s="260"/>
      <c r="C813" s="260"/>
      <c r="D813" s="260"/>
      <c r="E813" s="260"/>
      <c r="F813" s="260"/>
      <c r="G813" s="261"/>
      <c r="H813" s="259"/>
      <c r="I813" s="260"/>
      <c r="J813" s="260"/>
      <c r="K813" s="260"/>
      <c r="L813" s="260"/>
      <c r="M813" s="260"/>
      <c r="N813" s="262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3"/>
      <c r="Z813" s="260"/>
      <c r="AA813" s="260"/>
      <c r="AB813" s="260"/>
      <c r="AC813" s="260"/>
      <c r="AD813" s="260"/>
      <c r="AE813" s="260"/>
      <c r="AF813" s="264"/>
      <c r="AG813" s="260"/>
      <c r="AH813" s="260"/>
      <c r="AI813" s="260"/>
    </row>
    <row r="814">
      <c r="A814" s="259"/>
      <c r="B814" s="260"/>
      <c r="C814" s="260"/>
      <c r="D814" s="260"/>
      <c r="E814" s="260"/>
      <c r="F814" s="260"/>
      <c r="G814" s="261"/>
      <c r="H814" s="259"/>
      <c r="I814" s="260"/>
      <c r="J814" s="260"/>
      <c r="K814" s="260"/>
      <c r="L814" s="260"/>
      <c r="M814" s="260"/>
      <c r="N814" s="262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3"/>
      <c r="Z814" s="260"/>
      <c r="AA814" s="260"/>
      <c r="AB814" s="260"/>
      <c r="AC814" s="260"/>
      <c r="AD814" s="260"/>
      <c r="AE814" s="260"/>
      <c r="AF814" s="264"/>
      <c r="AG814" s="260"/>
      <c r="AH814" s="260"/>
      <c r="AI814" s="260"/>
    </row>
    <row r="815">
      <c r="A815" s="259"/>
      <c r="B815" s="260"/>
      <c r="C815" s="260"/>
      <c r="D815" s="260"/>
      <c r="E815" s="260"/>
      <c r="F815" s="260"/>
      <c r="G815" s="261"/>
      <c r="H815" s="259"/>
      <c r="I815" s="260"/>
      <c r="J815" s="260"/>
      <c r="K815" s="260"/>
      <c r="L815" s="260"/>
      <c r="M815" s="260"/>
      <c r="N815" s="262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3"/>
      <c r="Z815" s="260"/>
      <c r="AA815" s="260"/>
      <c r="AB815" s="260"/>
      <c r="AC815" s="260"/>
      <c r="AD815" s="260"/>
      <c r="AE815" s="260"/>
      <c r="AF815" s="264"/>
      <c r="AG815" s="260"/>
      <c r="AH815" s="260"/>
      <c r="AI815" s="260"/>
    </row>
    <row r="816">
      <c r="A816" s="259"/>
      <c r="B816" s="260"/>
      <c r="C816" s="260"/>
      <c r="D816" s="260"/>
      <c r="E816" s="260"/>
      <c r="F816" s="260"/>
      <c r="G816" s="261"/>
      <c r="H816" s="259"/>
      <c r="I816" s="260"/>
      <c r="J816" s="260"/>
      <c r="K816" s="260"/>
      <c r="L816" s="260"/>
      <c r="M816" s="260"/>
      <c r="N816" s="262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3"/>
      <c r="Z816" s="260"/>
      <c r="AA816" s="260"/>
      <c r="AB816" s="260"/>
      <c r="AC816" s="260"/>
      <c r="AD816" s="260"/>
      <c r="AE816" s="260"/>
      <c r="AF816" s="264"/>
      <c r="AG816" s="260"/>
      <c r="AH816" s="260"/>
      <c r="AI816" s="260"/>
    </row>
    <row r="817">
      <c r="A817" s="259"/>
      <c r="B817" s="260"/>
      <c r="C817" s="260"/>
      <c r="D817" s="260"/>
      <c r="E817" s="260"/>
      <c r="F817" s="260"/>
      <c r="G817" s="261"/>
      <c r="H817" s="259"/>
      <c r="I817" s="260"/>
      <c r="J817" s="260"/>
      <c r="K817" s="260"/>
      <c r="L817" s="260"/>
      <c r="M817" s="260"/>
      <c r="N817" s="262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3"/>
      <c r="Z817" s="260"/>
      <c r="AA817" s="260"/>
      <c r="AB817" s="260"/>
      <c r="AC817" s="260"/>
      <c r="AD817" s="260"/>
      <c r="AE817" s="260"/>
      <c r="AF817" s="264"/>
      <c r="AG817" s="260"/>
      <c r="AH817" s="260"/>
      <c r="AI817" s="260"/>
    </row>
    <row r="818">
      <c r="A818" s="259"/>
      <c r="B818" s="260"/>
      <c r="C818" s="260"/>
      <c r="D818" s="260"/>
      <c r="E818" s="260"/>
      <c r="F818" s="260"/>
      <c r="G818" s="261"/>
      <c r="H818" s="259"/>
      <c r="I818" s="260"/>
      <c r="J818" s="260"/>
      <c r="K818" s="260"/>
      <c r="L818" s="260"/>
      <c r="M818" s="260"/>
      <c r="N818" s="262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3"/>
      <c r="Z818" s="260"/>
      <c r="AA818" s="260"/>
      <c r="AB818" s="260"/>
      <c r="AC818" s="260"/>
      <c r="AD818" s="260"/>
      <c r="AE818" s="260"/>
      <c r="AF818" s="264"/>
      <c r="AG818" s="260"/>
      <c r="AH818" s="260"/>
      <c r="AI818" s="260"/>
    </row>
    <row r="819">
      <c r="A819" s="259"/>
      <c r="B819" s="260"/>
      <c r="C819" s="260"/>
      <c r="D819" s="260"/>
      <c r="E819" s="260"/>
      <c r="F819" s="260"/>
      <c r="G819" s="261"/>
      <c r="H819" s="259"/>
      <c r="I819" s="260"/>
      <c r="J819" s="260"/>
      <c r="K819" s="260"/>
      <c r="L819" s="260"/>
      <c r="M819" s="260"/>
      <c r="N819" s="262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3"/>
      <c r="Z819" s="260"/>
      <c r="AA819" s="260"/>
      <c r="AB819" s="260"/>
      <c r="AC819" s="260"/>
      <c r="AD819" s="260"/>
      <c r="AE819" s="260"/>
      <c r="AF819" s="264"/>
      <c r="AG819" s="260"/>
      <c r="AH819" s="260"/>
      <c r="AI819" s="260"/>
    </row>
    <row r="820">
      <c r="A820" s="259"/>
      <c r="B820" s="260"/>
      <c r="C820" s="260"/>
      <c r="D820" s="260"/>
      <c r="E820" s="260"/>
      <c r="F820" s="260"/>
      <c r="G820" s="261"/>
      <c r="H820" s="259"/>
      <c r="I820" s="260"/>
      <c r="J820" s="260"/>
      <c r="K820" s="260"/>
      <c r="L820" s="260"/>
      <c r="M820" s="260"/>
      <c r="N820" s="262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3"/>
      <c r="Z820" s="260"/>
      <c r="AA820" s="260"/>
      <c r="AB820" s="260"/>
      <c r="AC820" s="260"/>
      <c r="AD820" s="260"/>
      <c r="AE820" s="260"/>
      <c r="AF820" s="264"/>
      <c r="AG820" s="260"/>
      <c r="AH820" s="260"/>
      <c r="AI820" s="260"/>
    </row>
    <row r="821">
      <c r="A821" s="259"/>
      <c r="B821" s="260"/>
      <c r="C821" s="260"/>
      <c r="D821" s="260"/>
      <c r="E821" s="260"/>
      <c r="F821" s="260"/>
      <c r="G821" s="261"/>
      <c r="H821" s="259"/>
      <c r="I821" s="260"/>
      <c r="J821" s="260"/>
      <c r="K821" s="260"/>
      <c r="L821" s="260"/>
      <c r="M821" s="260"/>
      <c r="N821" s="262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3"/>
      <c r="Z821" s="260"/>
      <c r="AA821" s="260"/>
      <c r="AB821" s="260"/>
      <c r="AC821" s="260"/>
      <c r="AD821" s="260"/>
      <c r="AE821" s="260"/>
      <c r="AF821" s="264"/>
      <c r="AG821" s="260"/>
      <c r="AH821" s="260"/>
      <c r="AI821" s="260"/>
    </row>
    <row r="822">
      <c r="A822" s="259"/>
      <c r="B822" s="260"/>
      <c r="C822" s="260"/>
      <c r="D822" s="260"/>
      <c r="E822" s="260"/>
      <c r="F822" s="260"/>
      <c r="G822" s="261"/>
      <c r="H822" s="259"/>
      <c r="I822" s="260"/>
      <c r="J822" s="260"/>
      <c r="K822" s="260"/>
      <c r="L822" s="260"/>
      <c r="M822" s="260"/>
      <c r="N822" s="262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3"/>
      <c r="Z822" s="260"/>
      <c r="AA822" s="260"/>
      <c r="AB822" s="260"/>
      <c r="AC822" s="260"/>
      <c r="AD822" s="260"/>
      <c r="AE822" s="260"/>
      <c r="AF822" s="264"/>
      <c r="AG822" s="260"/>
      <c r="AH822" s="260"/>
      <c r="AI822" s="260"/>
    </row>
    <row r="823">
      <c r="A823" s="259"/>
      <c r="B823" s="260"/>
      <c r="C823" s="260"/>
      <c r="D823" s="260"/>
      <c r="E823" s="260"/>
      <c r="F823" s="260"/>
      <c r="G823" s="261"/>
      <c r="H823" s="259"/>
      <c r="I823" s="260"/>
      <c r="J823" s="260"/>
      <c r="K823" s="260"/>
      <c r="L823" s="260"/>
      <c r="M823" s="260"/>
      <c r="N823" s="262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3"/>
      <c r="Z823" s="260"/>
      <c r="AA823" s="260"/>
      <c r="AB823" s="260"/>
      <c r="AC823" s="260"/>
      <c r="AD823" s="260"/>
      <c r="AE823" s="260"/>
      <c r="AF823" s="264"/>
      <c r="AG823" s="260"/>
      <c r="AH823" s="260"/>
      <c r="AI823" s="260"/>
    </row>
    <row r="824">
      <c r="A824" s="259"/>
      <c r="B824" s="260"/>
      <c r="C824" s="260"/>
      <c r="D824" s="260"/>
      <c r="E824" s="260"/>
      <c r="F824" s="260"/>
      <c r="G824" s="261"/>
      <c r="H824" s="259"/>
      <c r="I824" s="260"/>
      <c r="J824" s="260"/>
      <c r="K824" s="260"/>
      <c r="L824" s="260"/>
      <c r="M824" s="260"/>
      <c r="N824" s="262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3"/>
      <c r="Z824" s="260"/>
      <c r="AA824" s="260"/>
      <c r="AB824" s="260"/>
      <c r="AC824" s="260"/>
      <c r="AD824" s="260"/>
      <c r="AE824" s="260"/>
      <c r="AF824" s="264"/>
      <c r="AG824" s="260"/>
      <c r="AH824" s="260"/>
      <c r="AI824" s="260"/>
    </row>
    <row r="825">
      <c r="A825" s="259"/>
      <c r="B825" s="260"/>
      <c r="C825" s="260"/>
      <c r="D825" s="260"/>
      <c r="E825" s="260"/>
      <c r="F825" s="260"/>
      <c r="G825" s="261"/>
      <c r="H825" s="259"/>
      <c r="I825" s="260"/>
      <c r="J825" s="260"/>
      <c r="K825" s="260"/>
      <c r="L825" s="260"/>
      <c r="M825" s="260"/>
      <c r="N825" s="262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3"/>
      <c r="Z825" s="260"/>
      <c r="AA825" s="260"/>
      <c r="AB825" s="260"/>
      <c r="AC825" s="260"/>
      <c r="AD825" s="260"/>
      <c r="AE825" s="260"/>
      <c r="AF825" s="264"/>
      <c r="AG825" s="260"/>
      <c r="AH825" s="260"/>
      <c r="AI825" s="260"/>
    </row>
    <row r="826">
      <c r="A826" s="259"/>
      <c r="B826" s="260"/>
      <c r="C826" s="260"/>
      <c r="D826" s="260"/>
      <c r="E826" s="260"/>
      <c r="F826" s="260"/>
      <c r="G826" s="261"/>
      <c r="H826" s="259"/>
      <c r="I826" s="260"/>
      <c r="J826" s="260"/>
      <c r="K826" s="260"/>
      <c r="L826" s="260"/>
      <c r="M826" s="260"/>
      <c r="N826" s="262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3"/>
      <c r="Z826" s="260"/>
      <c r="AA826" s="260"/>
      <c r="AB826" s="260"/>
      <c r="AC826" s="260"/>
      <c r="AD826" s="260"/>
      <c r="AE826" s="260"/>
      <c r="AF826" s="264"/>
      <c r="AG826" s="260"/>
      <c r="AH826" s="260"/>
      <c r="AI826" s="260"/>
    </row>
    <row r="827">
      <c r="A827" s="259"/>
      <c r="B827" s="260"/>
      <c r="C827" s="260"/>
      <c r="D827" s="260"/>
      <c r="E827" s="260"/>
      <c r="F827" s="260"/>
      <c r="G827" s="261"/>
      <c r="H827" s="259"/>
      <c r="I827" s="260"/>
      <c r="J827" s="260"/>
      <c r="K827" s="260"/>
      <c r="L827" s="260"/>
      <c r="M827" s="260"/>
      <c r="N827" s="262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3"/>
      <c r="Z827" s="260"/>
      <c r="AA827" s="260"/>
      <c r="AB827" s="260"/>
      <c r="AC827" s="260"/>
      <c r="AD827" s="260"/>
      <c r="AE827" s="260"/>
      <c r="AF827" s="264"/>
      <c r="AG827" s="260"/>
      <c r="AH827" s="260"/>
      <c r="AI827" s="260"/>
    </row>
    <row r="828">
      <c r="A828" s="259"/>
      <c r="B828" s="260"/>
      <c r="C828" s="260"/>
      <c r="D828" s="260"/>
      <c r="E828" s="260"/>
      <c r="F828" s="260"/>
      <c r="G828" s="261"/>
      <c r="H828" s="259"/>
      <c r="I828" s="260"/>
      <c r="J828" s="260"/>
      <c r="K828" s="260"/>
      <c r="L828" s="260"/>
      <c r="M828" s="260"/>
      <c r="N828" s="262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3"/>
      <c r="Z828" s="260"/>
      <c r="AA828" s="260"/>
      <c r="AB828" s="260"/>
      <c r="AC828" s="260"/>
      <c r="AD828" s="260"/>
      <c r="AE828" s="260"/>
      <c r="AF828" s="264"/>
      <c r="AG828" s="260"/>
      <c r="AH828" s="260"/>
      <c r="AI828" s="260"/>
    </row>
    <row r="829">
      <c r="A829" s="259"/>
      <c r="B829" s="260"/>
      <c r="C829" s="260"/>
      <c r="D829" s="260"/>
      <c r="E829" s="260"/>
      <c r="F829" s="260"/>
      <c r="G829" s="261"/>
      <c r="H829" s="259"/>
      <c r="I829" s="260"/>
      <c r="J829" s="260"/>
      <c r="K829" s="260"/>
      <c r="L829" s="260"/>
      <c r="M829" s="260"/>
      <c r="N829" s="262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3"/>
      <c r="Z829" s="260"/>
      <c r="AA829" s="260"/>
      <c r="AB829" s="260"/>
      <c r="AC829" s="260"/>
      <c r="AD829" s="260"/>
      <c r="AE829" s="260"/>
      <c r="AF829" s="264"/>
      <c r="AG829" s="260"/>
      <c r="AH829" s="260"/>
      <c r="AI829" s="260"/>
    </row>
    <row r="830">
      <c r="A830" s="259"/>
      <c r="B830" s="260"/>
      <c r="C830" s="260"/>
      <c r="D830" s="260"/>
      <c r="E830" s="260"/>
      <c r="F830" s="260"/>
      <c r="G830" s="261"/>
      <c r="H830" s="259"/>
      <c r="I830" s="260"/>
      <c r="J830" s="260"/>
      <c r="K830" s="260"/>
      <c r="L830" s="260"/>
      <c r="M830" s="260"/>
      <c r="N830" s="262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3"/>
      <c r="Z830" s="260"/>
      <c r="AA830" s="260"/>
      <c r="AB830" s="260"/>
      <c r="AC830" s="260"/>
      <c r="AD830" s="260"/>
      <c r="AE830" s="260"/>
      <c r="AF830" s="264"/>
      <c r="AG830" s="260"/>
      <c r="AH830" s="260"/>
      <c r="AI830" s="260"/>
    </row>
    <row r="831">
      <c r="A831" s="259"/>
      <c r="B831" s="260"/>
      <c r="C831" s="260"/>
      <c r="D831" s="260"/>
      <c r="E831" s="260"/>
      <c r="F831" s="260"/>
      <c r="G831" s="261"/>
      <c r="H831" s="259"/>
      <c r="I831" s="260"/>
      <c r="J831" s="260"/>
      <c r="K831" s="260"/>
      <c r="L831" s="260"/>
      <c r="M831" s="260"/>
      <c r="N831" s="262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3"/>
      <c r="Z831" s="260"/>
      <c r="AA831" s="260"/>
      <c r="AB831" s="260"/>
      <c r="AC831" s="260"/>
      <c r="AD831" s="260"/>
      <c r="AE831" s="260"/>
      <c r="AF831" s="264"/>
      <c r="AG831" s="260"/>
      <c r="AH831" s="260"/>
      <c r="AI831" s="260"/>
    </row>
    <row r="832">
      <c r="A832" s="259"/>
      <c r="B832" s="260"/>
      <c r="C832" s="260"/>
      <c r="D832" s="260"/>
      <c r="E832" s="260"/>
      <c r="F832" s="260"/>
      <c r="G832" s="261"/>
      <c r="H832" s="259"/>
      <c r="I832" s="260"/>
      <c r="J832" s="260"/>
      <c r="K832" s="260"/>
      <c r="L832" s="260"/>
      <c r="M832" s="260"/>
      <c r="N832" s="262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3"/>
      <c r="Z832" s="260"/>
      <c r="AA832" s="260"/>
      <c r="AB832" s="260"/>
      <c r="AC832" s="260"/>
      <c r="AD832" s="260"/>
      <c r="AE832" s="260"/>
      <c r="AF832" s="264"/>
      <c r="AG832" s="260"/>
      <c r="AH832" s="260"/>
      <c r="AI832" s="260"/>
    </row>
    <row r="833">
      <c r="A833" s="259"/>
      <c r="B833" s="260"/>
      <c r="C833" s="260"/>
      <c r="D833" s="260"/>
      <c r="E833" s="260"/>
      <c r="F833" s="260"/>
      <c r="G833" s="261"/>
      <c r="H833" s="259"/>
      <c r="I833" s="260"/>
      <c r="J833" s="260"/>
      <c r="K833" s="260"/>
      <c r="L833" s="260"/>
      <c r="M833" s="260"/>
      <c r="N833" s="262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3"/>
      <c r="Z833" s="260"/>
      <c r="AA833" s="260"/>
      <c r="AB833" s="260"/>
      <c r="AC833" s="260"/>
      <c r="AD833" s="260"/>
      <c r="AE833" s="260"/>
      <c r="AF833" s="264"/>
      <c r="AG833" s="260"/>
      <c r="AH833" s="260"/>
      <c r="AI833" s="260"/>
    </row>
    <row r="834">
      <c r="A834" s="259"/>
      <c r="B834" s="260"/>
      <c r="C834" s="260"/>
      <c r="D834" s="260"/>
      <c r="E834" s="260"/>
      <c r="F834" s="260"/>
      <c r="G834" s="261"/>
      <c r="H834" s="259"/>
      <c r="I834" s="260"/>
      <c r="J834" s="260"/>
      <c r="K834" s="260"/>
      <c r="L834" s="260"/>
      <c r="M834" s="260"/>
      <c r="N834" s="262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3"/>
      <c r="Z834" s="260"/>
      <c r="AA834" s="260"/>
      <c r="AB834" s="260"/>
      <c r="AC834" s="260"/>
      <c r="AD834" s="260"/>
      <c r="AE834" s="260"/>
      <c r="AF834" s="264"/>
      <c r="AG834" s="260"/>
      <c r="AH834" s="260"/>
      <c r="AI834" s="260"/>
    </row>
    <row r="835">
      <c r="A835" s="259"/>
      <c r="B835" s="260"/>
      <c r="C835" s="260"/>
      <c r="D835" s="260"/>
      <c r="E835" s="260"/>
      <c r="F835" s="260"/>
      <c r="G835" s="261"/>
      <c r="H835" s="259"/>
      <c r="I835" s="260"/>
      <c r="J835" s="260"/>
      <c r="K835" s="260"/>
      <c r="L835" s="260"/>
      <c r="M835" s="260"/>
      <c r="N835" s="262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3"/>
      <c r="Z835" s="260"/>
      <c r="AA835" s="260"/>
      <c r="AB835" s="260"/>
      <c r="AC835" s="260"/>
      <c r="AD835" s="260"/>
      <c r="AE835" s="260"/>
      <c r="AF835" s="264"/>
      <c r="AG835" s="260"/>
      <c r="AH835" s="260"/>
      <c r="AI835" s="260"/>
    </row>
    <row r="836">
      <c r="A836" s="259"/>
      <c r="B836" s="260"/>
      <c r="C836" s="260"/>
      <c r="D836" s="260"/>
      <c r="E836" s="260"/>
      <c r="F836" s="260"/>
      <c r="G836" s="261"/>
      <c r="H836" s="259"/>
      <c r="I836" s="260"/>
      <c r="J836" s="260"/>
      <c r="K836" s="260"/>
      <c r="L836" s="260"/>
      <c r="M836" s="260"/>
      <c r="N836" s="262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3"/>
      <c r="Z836" s="260"/>
      <c r="AA836" s="260"/>
      <c r="AB836" s="260"/>
      <c r="AC836" s="260"/>
      <c r="AD836" s="260"/>
      <c r="AE836" s="260"/>
      <c r="AF836" s="264"/>
      <c r="AG836" s="260"/>
      <c r="AH836" s="260"/>
      <c r="AI836" s="260"/>
    </row>
    <row r="837">
      <c r="A837" s="259"/>
      <c r="B837" s="260"/>
      <c r="C837" s="260"/>
      <c r="D837" s="260"/>
      <c r="E837" s="260"/>
      <c r="F837" s="260"/>
      <c r="G837" s="261"/>
      <c r="H837" s="259"/>
      <c r="I837" s="260"/>
      <c r="J837" s="260"/>
      <c r="K837" s="260"/>
      <c r="L837" s="260"/>
      <c r="M837" s="260"/>
      <c r="N837" s="262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3"/>
      <c r="Z837" s="260"/>
      <c r="AA837" s="260"/>
      <c r="AB837" s="260"/>
      <c r="AC837" s="260"/>
      <c r="AD837" s="260"/>
      <c r="AE837" s="260"/>
      <c r="AF837" s="264"/>
      <c r="AG837" s="260"/>
      <c r="AH837" s="260"/>
      <c r="AI837" s="260"/>
    </row>
    <row r="838">
      <c r="A838" s="259"/>
      <c r="B838" s="260"/>
      <c r="C838" s="260"/>
      <c r="D838" s="260"/>
      <c r="E838" s="260"/>
      <c r="F838" s="260"/>
      <c r="G838" s="261"/>
      <c r="H838" s="259"/>
      <c r="I838" s="260"/>
      <c r="J838" s="260"/>
      <c r="K838" s="260"/>
      <c r="L838" s="260"/>
      <c r="M838" s="260"/>
      <c r="N838" s="262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3"/>
      <c r="Z838" s="260"/>
      <c r="AA838" s="260"/>
      <c r="AB838" s="260"/>
      <c r="AC838" s="260"/>
      <c r="AD838" s="260"/>
      <c r="AE838" s="260"/>
      <c r="AF838" s="264"/>
      <c r="AG838" s="260"/>
      <c r="AH838" s="260"/>
      <c r="AI838" s="260"/>
    </row>
    <row r="839">
      <c r="A839" s="259"/>
      <c r="B839" s="260"/>
      <c r="C839" s="260"/>
      <c r="D839" s="260"/>
      <c r="E839" s="260"/>
      <c r="F839" s="260"/>
      <c r="G839" s="261"/>
      <c r="H839" s="259"/>
      <c r="I839" s="260"/>
      <c r="J839" s="260"/>
      <c r="K839" s="260"/>
      <c r="L839" s="260"/>
      <c r="M839" s="260"/>
      <c r="N839" s="262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3"/>
      <c r="Z839" s="260"/>
      <c r="AA839" s="260"/>
      <c r="AB839" s="260"/>
      <c r="AC839" s="260"/>
      <c r="AD839" s="260"/>
      <c r="AE839" s="260"/>
      <c r="AF839" s="264"/>
      <c r="AG839" s="260"/>
      <c r="AH839" s="260"/>
      <c r="AI839" s="260"/>
    </row>
    <row r="840">
      <c r="A840" s="259"/>
      <c r="B840" s="260"/>
      <c r="C840" s="260"/>
      <c r="D840" s="260"/>
      <c r="E840" s="260"/>
      <c r="F840" s="260"/>
      <c r="G840" s="261"/>
      <c r="H840" s="259"/>
      <c r="I840" s="260"/>
      <c r="J840" s="260"/>
      <c r="K840" s="260"/>
      <c r="L840" s="260"/>
      <c r="M840" s="260"/>
      <c r="N840" s="262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3"/>
      <c r="Z840" s="260"/>
      <c r="AA840" s="260"/>
      <c r="AB840" s="260"/>
      <c r="AC840" s="260"/>
      <c r="AD840" s="260"/>
      <c r="AE840" s="260"/>
      <c r="AF840" s="264"/>
      <c r="AG840" s="260"/>
      <c r="AH840" s="260"/>
      <c r="AI840" s="260"/>
    </row>
    <row r="841">
      <c r="A841" s="259"/>
      <c r="B841" s="260"/>
      <c r="C841" s="260"/>
      <c r="D841" s="260"/>
      <c r="E841" s="260"/>
      <c r="F841" s="260"/>
      <c r="G841" s="261"/>
      <c r="H841" s="259"/>
      <c r="I841" s="260"/>
      <c r="J841" s="260"/>
      <c r="K841" s="260"/>
      <c r="L841" s="260"/>
      <c r="M841" s="260"/>
      <c r="N841" s="262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3"/>
      <c r="Z841" s="260"/>
      <c r="AA841" s="260"/>
      <c r="AB841" s="260"/>
      <c r="AC841" s="260"/>
      <c r="AD841" s="260"/>
      <c r="AE841" s="260"/>
      <c r="AF841" s="264"/>
      <c r="AG841" s="260"/>
      <c r="AH841" s="260"/>
      <c r="AI841" s="260"/>
    </row>
    <row r="842">
      <c r="A842" s="259"/>
      <c r="B842" s="260"/>
      <c r="C842" s="260"/>
      <c r="D842" s="260"/>
      <c r="E842" s="260"/>
      <c r="F842" s="260"/>
      <c r="G842" s="261"/>
      <c r="H842" s="259"/>
      <c r="I842" s="260"/>
      <c r="J842" s="260"/>
      <c r="K842" s="260"/>
      <c r="L842" s="260"/>
      <c r="M842" s="260"/>
      <c r="N842" s="262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3"/>
      <c r="Z842" s="260"/>
      <c r="AA842" s="260"/>
      <c r="AB842" s="260"/>
      <c r="AC842" s="260"/>
      <c r="AD842" s="260"/>
      <c r="AE842" s="260"/>
      <c r="AF842" s="264"/>
      <c r="AG842" s="260"/>
      <c r="AH842" s="260"/>
      <c r="AI842" s="260"/>
    </row>
    <row r="843">
      <c r="A843" s="259"/>
      <c r="B843" s="260"/>
      <c r="C843" s="260"/>
      <c r="D843" s="260"/>
      <c r="E843" s="260"/>
      <c r="F843" s="260"/>
      <c r="G843" s="261"/>
      <c r="H843" s="259"/>
      <c r="I843" s="260"/>
      <c r="J843" s="260"/>
      <c r="K843" s="260"/>
      <c r="L843" s="260"/>
      <c r="M843" s="260"/>
      <c r="N843" s="262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3"/>
      <c r="Z843" s="260"/>
      <c r="AA843" s="260"/>
      <c r="AB843" s="260"/>
      <c r="AC843" s="260"/>
      <c r="AD843" s="260"/>
      <c r="AE843" s="260"/>
      <c r="AF843" s="264"/>
      <c r="AG843" s="260"/>
      <c r="AH843" s="260"/>
      <c r="AI843" s="260"/>
    </row>
    <row r="844">
      <c r="A844" s="259"/>
      <c r="B844" s="260"/>
      <c r="C844" s="260"/>
      <c r="D844" s="260"/>
      <c r="E844" s="260"/>
      <c r="F844" s="260"/>
      <c r="G844" s="261"/>
      <c r="H844" s="259"/>
      <c r="I844" s="260"/>
      <c r="J844" s="260"/>
      <c r="K844" s="260"/>
      <c r="L844" s="260"/>
      <c r="M844" s="260"/>
      <c r="N844" s="262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3"/>
      <c r="Z844" s="260"/>
      <c r="AA844" s="260"/>
      <c r="AB844" s="260"/>
      <c r="AC844" s="260"/>
      <c r="AD844" s="260"/>
      <c r="AE844" s="260"/>
      <c r="AF844" s="264"/>
      <c r="AG844" s="260"/>
      <c r="AH844" s="260"/>
      <c r="AI844" s="260"/>
    </row>
    <row r="845">
      <c r="A845" s="259"/>
      <c r="B845" s="260"/>
      <c r="C845" s="260"/>
      <c r="D845" s="260"/>
      <c r="E845" s="260"/>
      <c r="F845" s="260"/>
      <c r="G845" s="261"/>
      <c r="H845" s="259"/>
      <c r="I845" s="260"/>
      <c r="J845" s="260"/>
      <c r="K845" s="260"/>
      <c r="L845" s="260"/>
      <c r="M845" s="260"/>
      <c r="N845" s="262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3"/>
      <c r="Z845" s="260"/>
      <c r="AA845" s="260"/>
      <c r="AB845" s="260"/>
      <c r="AC845" s="260"/>
      <c r="AD845" s="260"/>
      <c r="AE845" s="260"/>
      <c r="AF845" s="264"/>
      <c r="AG845" s="260"/>
      <c r="AH845" s="260"/>
      <c r="AI845" s="260"/>
    </row>
    <row r="846">
      <c r="A846" s="259"/>
      <c r="B846" s="260"/>
      <c r="C846" s="260"/>
      <c r="D846" s="260"/>
      <c r="E846" s="260"/>
      <c r="F846" s="260"/>
      <c r="G846" s="261"/>
      <c r="H846" s="259"/>
      <c r="I846" s="260"/>
      <c r="J846" s="260"/>
      <c r="K846" s="260"/>
      <c r="L846" s="260"/>
      <c r="M846" s="260"/>
      <c r="N846" s="262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3"/>
      <c r="Z846" s="260"/>
      <c r="AA846" s="260"/>
      <c r="AB846" s="260"/>
      <c r="AC846" s="260"/>
      <c r="AD846" s="260"/>
      <c r="AE846" s="260"/>
      <c r="AF846" s="264"/>
      <c r="AG846" s="260"/>
      <c r="AH846" s="260"/>
      <c r="AI846" s="260"/>
    </row>
    <row r="847">
      <c r="A847" s="259"/>
      <c r="B847" s="260"/>
      <c r="C847" s="260"/>
      <c r="D847" s="260"/>
      <c r="E847" s="260"/>
      <c r="F847" s="260"/>
      <c r="G847" s="261"/>
      <c r="H847" s="259"/>
      <c r="I847" s="260"/>
      <c r="J847" s="260"/>
      <c r="K847" s="260"/>
      <c r="L847" s="260"/>
      <c r="M847" s="260"/>
      <c r="N847" s="262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3"/>
      <c r="Z847" s="260"/>
      <c r="AA847" s="260"/>
      <c r="AB847" s="260"/>
      <c r="AC847" s="260"/>
      <c r="AD847" s="260"/>
      <c r="AE847" s="260"/>
      <c r="AF847" s="264"/>
      <c r="AG847" s="260"/>
      <c r="AH847" s="260"/>
      <c r="AI847" s="260"/>
    </row>
    <row r="848">
      <c r="A848" s="259"/>
      <c r="B848" s="260"/>
      <c r="C848" s="260"/>
      <c r="D848" s="260"/>
      <c r="E848" s="260"/>
      <c r="F848" s="260"/>
      <c r="G848" s="261"/>
      <c r="H848" s="259"/>
      <c r="I848" s="260"/>
      <c r="J848" s="260"/>
      <c r="K848" s="260"/>
      <c r="L848" s="260"/>
      <c r="M848" s="260"/>
      <c r="N848" s="262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3"/>
      <c r="Z848" s="260"/>
      <c r="AA848" s="260"/>
      <c r="AB848" s="260"/>
      <c r="AC848" s="260"/>
      <c r="AD848" s="260"/>
      <c r="AE848" s="260"/>
      <c r="AF848" s="264"/>
      <c r="AG848" s="260"/>
      <c r="AH848" s="260"/>
      <c r="AI848" s="260"/>
    </row>
    <row r="849">
      <c r="A849" s="259"/>
      <c r="B849" s="260"/>
      <c r="C849" s="260"/>
      <c r="D849" s="260"/>
      <c r="E849" s="260"/>
      <c r="F849" s="260"/>
      <c r="G849" s="261"/>
      <c r="H849" s="259"/>
      <c r="I849" s="260"/>
      <c r="J849" s="260"/>
      <c r="K849" s="260"/>
      <c r="L849" s="260"/>
      <c r="M849" s="260"/>
      <c r="N849" s="262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3"/>
      <c r="Z849" s="260"/>
      <c r="AA849" s="260"/>
      <c r="AB849" s="260"/>
      <c r="AC849" s="260"/>
      <c r="AD849" s="260"/>
      <c r="AE849" s="260"/>
      <c r="AF849" s="264"/>
      <c r="AG849" s="260"/>
      <c r="AH849" s="260"/>
      <c r="AI849" s="260"/>
    </row>
    <row r="850">
      <c r="A850" s="259"/>
      <c r="B850" s="260"/>
      <c r="C850" s="260"/>
      <c r="D850" s="260"/>
      <c r="E850" s="260"/>
      <c r="F850" s="260"/>
      <c r="G850" s="261"/>
      <c r="H850" s="259"/>
      <c r="I850" s="260"/>
      <c r="J850" s="260"/>
      <c r="K850" s="260"/>
      <c r="L850" s="260"/>
      <c r="M850" s="260"/>
      <c r="N850" s="262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3"/>
      <c r="Z850" s="260"/>
      <c r="AA850" s="260"/>
      <c r="AB850" s="260"/>
      <c r="AC850" s="260"/>
      <c r="AD850" s="260"/>
      <c r="AE850" s="260"/>
      <c r="AF850" s="264"/>
      <c r="AG850" s="260"/>
      <c r="AH850" s="260"/>
      <c r="AI850" s="260"/>
    </row>
    <row r="851">
      <c r="A851" s="259"/>
      <c r="B851" s="260"/>
      <c r="C851" s="260"/>
      <c r="D851" s="260"/>
      <c r="E851" s="260"/>
      <c r="F851" s="260"/>
      <c r="G851" s="261"/>
      <c r="H851" s="259"/>
      <c r="I851" s="260"/>
      <c r="J851" s="260"/>
      <c r="K851" s="260"/>
      <c r="L851" s="260"/>
      <c r="M851" s="260"/>
      <c r="N851" s="262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3"/>
      <c r="Z851" s="260"/>
      <c r="AA851" s="260"/>
      <c r="AB851" s="260"/>
      <c r="AC851" s="260"/>
      <c r="AD851" s="260"/>
      <c r="AE851" s="260"/>
      <c r="AF851" s="264"/>
      <c r="AG851" s="260"/>
      <c r="AH851" s="260"/>
      <c r="AI851" s="260"/>
    </row>
    <row r="852">
      <c r="A852" s="259"/>
      <c r="B852" s="260"/>
      <c r="C852" s="260"/>
      <c r="D852" s="260"/>
      <c r="E852" s="260"/>
      <c r="F852" s="260"/>
      <c r="G852" s="261"/>
      <c r="H852" s="259"/>
      <c r="I852" s="260"/>
      <c r="J852" s="260"/>
      <c r="K852" s="260"/>
      <c r="L852" s="260"/>
      <c r="M852" s="260"/>
      <c r="N852" s="262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3"/>
      <c r="Z852" s="260"/>
      <c r="AA852" s="260"/>
      <c r="AB852" s="260"/>
      <c r="AC852" s="260"/>
      <c r="AD852" s="260"/>
      <c r="AE852" s="260"/>
      <c r="AF852" s="264"/>
      <c r="AG852" s="260"/>
      <c r="AH852" s="260"/>
      <c r="AI852" s="260"/>
    </row>
    <row r="853">
      <c r="A853" s="259"/>
      <c r="B853" s="260"/>
      <c r="C853" s="260"/>
      <c r="D853" s="260"/>
      <c r="E853" s="260"/>
      <c r="F853" s="260"/>
      <c r="G853" s="261"/>
      <c r="H853" s="259"/>
      <c r="I853" s="260"/>
      <c r="J853" s="260"/>
      <c r="K853" s="260"/>
      <c r="L853" s="260"/>
      <c r="M853" s="260"/>
      <c r="N853" s="262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3"/>
      <c r="Z853" s="260"/>
      <c r="AA853" s="260"/>
      <c r="AB853" s="260"/>
      <c r="AC853" s="260"/>
      <c r="AD853" s="260"/>
      <c r="AE853" s="260"/>
      <c r="AF853" s="264"/>
      <c r="AG853" s="260"/>
      <c r="AH853" s="260"/>
      <c r="AI853" s="260"/>
    </row>
    <row r="854">
      <c r="A854" s="259"/>
      <c r="B854" s="260"/>
      <c r="C854" s="260"/>
      <c r="D854" s="260"/>
      <c r="E854" s="260"/>
      <c r="F854" s="260"/>
      <c r="G854" s="261"/>
      <c r="H854" s="259"/>
      <c r="I854" s="260"/>
      <c r="J854" s="260"/>
      <c r="K854" s="260"/>
      <c r="L854" s="260"/>
      <c r="M854" s="260"/>
      <c r="N854" s="262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3"/>
      <c r="Z854" s="260"/>
      <c r="AA854" s="260"/>
      <c r="AB854" s="260"/>
      <c r="AC854" s="260"/>
      <c r="AD854" s="260"/>
      <c r="AE854" s="260"/>
      <c r="AF854" s="264"/>
      <c r="AG854" s="260"/>
      <c r="AH854" s="260"/>
      <c r="AI854" s="260"/>
    </row>
    <row r="855">
      <c r="A855" s="259"/>
      <c r="B855" s="260"/>
      <c r="C855" s="260"/>
      <c r="D855" s="260"/>
      <c r="E855" s="260"/>
      <c r="F855" s="260"/>
      <c r="G855" s="261"/>
      <c r="H855" s="259"/>
      <c r="I855" s="260"/>
      <c r="J855" s="260"/>
      <c r="K855" s="260"/>
      <c r="L855" s="260"/>
      <c r="M855" s="260"/>
      <c r="N855" s="262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3"/>
      <c r="Z855" s="260"/>
      <c r="AA855" s="260"/>
      <c r="AB855" s="260"/>
      <c r="AC855" s="260"/>
      <c r="AD855" s="260"/>
      <c r="AE855" s="260"/>
      <c r="AF855" s="264"/>
      <c r="AG855" s="260"/>
      <c r="AH855" s="260"/>
      <c r="AI855" s="260"/>
    </row>
    <row r="856">
      <c r="A856" s="259"/>
      <c r="B856" s="260"/>
      <c r="C856" s="260"/>
      <c r="D856" s="260"/>
      <c r="E856" s="260"/>
      <c r="F856" s="260"/>
      <c r="G856" s="261"/>
      <c r="H856" s="259"/>
      <c r="I856" s="260"/>
      <c r="J856" s="260"/>
      <c r="K856" s="260"/>
      <c r="L856" s="260"/>
      <c r="M856" s="260"/>
      <c r="N856" s="262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3"/>
      <c r="Z856" s="260"/>
      <c r="AA856" s="260"/>
      <c r="AB856" s="260"/>
      <c r="AC856" s="260"/>
      <c r="AD856" s="260"/>
      <c r="AE856" s="260"/>
      <c r="AF856" s="264"/>
      <c r="AG856" s="260"/>
      <c r="AH856" s="260"/>
      <c r="AI856" s="260"/>
    </row>
    <row r="857">
      <c r="A857" s="259"/>
      <c r="B857" s="260"/>
      <c r="C857" s="260"/>
      <c r="D857" s="260"/>
      <c r="E857" s="260"/>
      <c r="F857" s="260"/>
      <c r="G857" s="261"/>
      <c r="H857" s="259"/>
      <c r="I857" s="260"/>
      <c r="J857" s="260"/>
      <c r="K857" s="260"/>
      <c r="L857" s="260"/>
      <c r="M857" s="260"/>
      <c r="N857" s="262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3"/>
      <c r="Z857" s="260"/>
      <c r="AA857" s="260"/>
      <c r="AB857" s="260"/>
      <c r="AC857" s="260"/>
      <c r="AD857" s="260"/>
      <c r="AE857" s="260"/>
      <c r="AF857" s="264"/>
      <c r="AG857" s="260"/>
      <c r="AH857" s="260"/>
      <c r="AI857" s="260"/>
    </row>
    <row r="858">
      <c r="A858" s="259"/>
      <c r="B858" s="260"/>
      <c r="C858" s="260"/>
      <c r="D858" s="260"/>
      <c r="E858" s="260"/>
      <c r="F858" s="260"/>
      <c r="G858" s="261"/>
      <c r="H858" s="259"/>
      <c r="I858" s="260"/>
      <c r="J858" s="260"/>
      <c r="K858" s="260"/>
      <c r="L858" s="260"/>
      <c r="M858" s="260"/>
      <c r="N858" s="262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3"/>
      <c r="Z858" s="260"/>
      <c r="AA858" s="260"/>
      <c r="AB858" s="260"/>
      <c r="AC858" s="260"/>
      <c r="AD858" s="260"/>
      <c r="AE858" s="260"/>
      <c r="AF858" s="264"/>
      <c r="AG858" s="260"/>
      <c r="AH858" s="260"/>
      <c r="AI858" s="260"/>
    </row>
    <row r="859">
      <c r="A859" s="259"/>
      <c r="B859" s="260"/>
      <c r="C859" s="260"/>
      <c r="D859" s="260"/>
      <c r="E859" s="260"/>
      <c r="F859" s="260"/>
      <c r="G859" s="261"/>
      <c r="H859" s="259"/>
      <c r="I859" s="260"/>
      <c r="J859" s="260"/>
      <c r="K859" s="260"/>
      <c r="L859" s="260"/>
      <c r="M859" s="260"/>
      <c r="N859" s="262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3"/>
      <c r="Z859" s="260"/>
      <c r="AA859" s="260"/>
      <c r="AB859" s="260"/>
      <c r="AC859" s="260"/>
      <c r="AD859" s="260"/>
      <c r="AE859" s="260"/>
      <c r="AF859" s="264"/>
      <c r="AG859" s="260"/>
      <c r="AH859" s="260"/>
      <c r="AI859" s="260"/>
    </row>
    <row r="860">
      <c r="A860" s="259"/>
      <c r="B860" s="260"/>
      <c r="C860" s="260"/>
      <c r="D860" s="260"/>
      <c r="E860" s="260"/>
      <c r="F860" s="260"/>
      <c r="G860" s="261"/>
      <c r="H860" s="259"/>
      <c r="I860" s="260"/>
      <c r="J860" s="260"/>
      <c r="K860" s="260"/>
      <c r="L860" s="260"/>
      <c r="M860" s="260"/>
      <c r="N860" s="262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3"/>
      <c r="Z860" s="260"/>
      <c r="AA860" s="260"/>
      <c r="AB860" s="260"/>
      <c r="AC860" s="260"/>
      <c r="AD860" s="260"/>
      <c r="AE860" s="260"/>
      <c r="AF860" s="264"/>
      <c r="AG860" s="260"/>
      <c r="AH860" s="260"/>
      <c r="AI860" s="260"/>
    </row>
    <row r="861">
      <c r="A861" s="259"/>
      <c r="B861" s="260"/>
      <c r="C861" s="260"/>
      <c r="D861" s="260"/>
      <c r="E861" s="260"/>
      <c r="F861" s="260"/>
      <c r="G861" s="261"/>
      <c r="H861" s="259"/>
      <c r="I861" s="260"/>
      <c r="J861" s="260"/>
      <c r="K861" s="260"/>
      <c r="L861" s="260"/>
      <c r="M861" s="260"/>
      <c r="N861" s="262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5"/>
      <c r="Z861" s="260"/>
      <c r="AA861" s="260"/>
      <c r="AB861" s="260"/>
      <c r="AC861" s="260"/>
      <c r="AD861" s="260"/>
      <c r="AE861" s="260"/>
      <c r="AF861" s="264"/>
      <c r="AG861" s="260"/>
      <c r="AH861" s="260"/>
      <c r="AI861" s="260"/>
    </row>
  </sheetData>
  <customSheetViews>
    <customSheetView guid="{2B3FED7C-0E79-4DC7-A43A-F67ACACD2000}" filter="1" showAutoFilter="1">
      <autoFilter ref="$A$2:$AI$861"/>
    </customSheetView>
  </customSheetViews>
  <dataValidations>
    <dataValidation type="list" allowBlank="1" sqref="E3:E50">
      <formula1>"YES,NO"</formula1>
    </dataValidation>
    <dataValidation type="list" allowBlank="1" sqref="F3:F50">
      <formula1>#REF!</formula1>
    </dataValidation>
    <dataValidation type="custom" allowBlank="1" showDropDown="1" sqref="C3:C50 I3:I50 L3:M50 P3:P50">
      <formula1>OR(NOT(ISERROR(DATEVALUE(C3))), AND(ISNUMBER(C3), LEFT(CELL("format", C3))="D"))</formula1>
    </dataValidation>
    <dataValidation type="list" allowBlank="1" sqref="X3:X50">
      <formula1>"88063,88008,79938,79927,79928,88088,79934,79924,88001"</formula1>
    </dataValidation>
    <dataValidation type="custom" allowBlank="1" showDropDown="1" sqref="G3:G50 Z3:Z50">
      <formula1>AND(ISNUMBER(G3),(NOT(OR(NOT(ISERROR(DATEVALUE(G3))), AND(ISNUMBER(G3), LEFT(CELL("format", G3))="D")))))</formula1>
    </dataValidation>
    <dataValidation type="list" allowBlank="1" sqref="Y3:Y50">
      <formula1>"Cash,CONV,FHA,Hard Money,VA"</formula1>
    </dataValidation>
    <dataValidation type="list" allowBlank="1" sqref="W3:W50">
      <formula1>"TX,NM"</formula1>
    </dataValidation>
    <dataValidation type="list" allowBlank="1" sqref="D3:D50">
      <formula1>"Yes,No"</formula1>
    </dataValidation>
    <dataValidation type="list" allowBlank="1" sqref="N3:O50 AD3:AD50 AH3:AH50">
      <formula1>#REF!</formula1>
    </dataValidation>
    <dataValidation type="list" allowBlank="1" sqref="V3:V50">
      <formula1>"El Paso,Horizon City,Las Cruces,Santa Teresa,Sunland Park,Socorro"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19" t="s">
        <v>73</v>
      </c>
      <c r="B1" s="266">
        <v>279950.0</v>
      </c>
    </row>
    <row r="2">
      <c r="A2" s="119" t="s">
        <v>313</v>
      </c>
      <c r="B2" s="266">
        <v>269950.0</v>
      </c>
    </row>
    <row r="3">
      <c r="A3" s="119" t="s">
        <v>320</v>
      </c>
      <c r="B3" s="266">
        <v>274950.0</v>
      </c>
    </row>
    <row r="4">
      <c r="A4" s="119" t="s">
        <v>328</v>
      </c>
      <c r="B4" s="266">
        <v>279950.0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25"/>
    <col customWidth="1" min="3" max="3" width="20.13"/>
    <col customWidth="1" min="4" max="4" width="18.25"/>
    <col customWidth="1" min="5" max="5" width="20.0"/>
    <col customWidth="1" min="6" max="6" width="49.5"/>
    <col customWidth="1" min="7" max="7" width="35.13"/>
    <col customWidth="1" min="8" max="8" width="23.25"/>
    <col customWidth="1" min="9" max="9" width="24.25"/>
    <col customWidth="1" min="10" max="10" width="18.75"/>
    <col customWidth="1" min="11" max="11" width="22.25"/>
    <col customWidth="1" min="12" max="12" width="38.0"/>
  </cols>
  <sheetData>
    <row r="1" ht="22.5" customHeight="1">
      <c r="A1" s="19" t="s">
        <v>515</v>
      </c>
      <c r="B1" s="19" t="s">
        <v>516</v>
      </c>
      <c r="C1" s="19" t="s">
        <v>28</v>
      </c>
      <c r="D1" s="19" t="s">
        <v>30</v>
      </c>
      <c r="E1" s="14" t="s">
        <v>517</v>
      </c>
      <c r="F1" s="14" t="s">
        <v>26</v>
      </c>
      <c r="G1" s="19" t="s">
        <v>518</v>
      </c>
      <c r="H1" s="19" t="s">
        <v>519</v>
      </c>
      <c r="I1" s="19" t="s">
        <v>33</v>
      </c>
      <c r="J1" s="19" t="s">
        <v>520</v>
      </c>
      <c r="K1" s="19" t="s">
        <v>35</v>
      </c>
      <c r="L1" s="15" t="s">
        <v>36</v>
      </c>
    </row>
    <row r="2" ht="22.5" customHeight="1">
      <c r="A2" s="267"/>
      <c r="B2" s="267" t="s">
        <v>521</v>
      </c>
      <c r="C2" s="268" t="s">
        <v>522</v>
      </c>
      <c r="D2" s="269" t="s">
        <v>523</v>
      </c>
      <c r="E2" s="267" t="s">
        <v>524</v>
      </c>
      <c r="F2" s="267" t="s">
        <v>525</v>
      </c>
      <c r="G2" s="268" t="s">
        <v>526</v>
      </c>
      <c r="H2" s="267" t="s">
        <v>527</v>
      </c>
      <c r="I2" s="267" t="s">
        <v>528</v>
      </c>
      <c r="J2" s="270"/>
      <c r="K2" s="268" t="s">
        <v>529</v>
      </c>
      <c r="L2" s="268" t="s">
        <v>530</v>
      </c>
    </row>
    <row r="3" ht="22.5" customHeight="1">
      <c r="A3" s="271" t="s">
        <v>531</v>
      </c>
      <c r="B3" s="272"/>
      <c r="C3" s="273"/>
      <c r="D3" s="218"/>
      <c r="E3" s="271"/>
      <c r="F3" s="271"/>
      <c r="G3" s="273"/>
      <c r="H3" s="271"/>
      <c r="I3" s="271"/>
      <c r="J3" s="272"/>
      <c r="K3" s="273"/>
      <c r="L3" s="273"/>
    </row>
    <row r="4" ht="22.5" customHeight="1">
      <c r="A4" s="271" t="s">
        <v>532</v>
      </c>
      <c r="B4" s="272">
        <v>4.0</v>
      </c>
      <c r="C4" s="273"/>
      <c r="D4" s="218" t="s">
        <v>533</v>
      </c>
      <c r="E4" s="271"/>
      <c r="F4" s="271"/>
      <c r="G4" s="273"/>
      <c r="H4" s="272">
        <v>4.0</v>
      </c>
      <c r="I4" s="271"/>
      <c r="J4" s="272">
        <v>2.0</v>
      </c>
      <c r="K4" s="273"/>
      <c r="L4" s="273"/>
    </row>
    <row r="5" ht="22.5" customHeight="1">
      <c r="A5" s="271" t="s">
        <v>534</v>
      </c>
      <c r="B5" s="272">
        <v>3.0</v>
      </c>
      <c r="C5" s="273"/>
      <c r="D5" s="218" t="s">
        <v>533</v>
      </c>
      <c r="E5" s="271"/>
      <c r="F5" s="271"/>
      <c r="G5" s="273"/>
      <c r="H5" s="272">
        <v>3.0</v>
      </c>
      <c r="I5" s="271"/>
      <c r="J5" s="272">
        <v>1.0</v>
      </c>
      <c r="K5" s="273"/>
      <c r="L5" s="273"/>
    </row>
    <row r="6" ht="22.5" customHeight="1">
      <c r="A6" s="271" t="s">
        <v>298</v>
      </c>
      <c r="B6" s="272">
        <v>10.0</v>
      </c>
      <c r="C6" s="273"/>
      <c r="D6" s="218" t="s">
        <v>533</v>
      </c>
      <c r="E6" s="271"/>
      <c r="F6" s="271"/>
      <c r="G6" s="273"/>
      <c r="H6" s="272">
        <v>10.0</v>
      </c>
      <c r="I6" s="271"/>
      <c r="J6" s="272">
        <v>10.0</v>
      </c>
      <c r="K6" s="273"/>
      <c r="L6" s="273"/>
    </row>
    <row r="7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2"/>
    </row>
    <row r="8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2"/>
    </row>
    <row r="9">
      <c r="A9" s="86"/>
      <c r="B9" s="86"/>
      <c r="C9" s="86"/>
      <c r="D9" s="86"/>
      <c r="E9" s="274" t="s">
        <v>535</v>
      </c>
      <c r="F9" s="86"/>
      <c r="G9" s="86"/>
      <c r="H9" s="86"/>
      <c r="I9" s="86"/>
      <c r="J9" s="86"/>
      <c r="K9" s="86"/>
      <c r="L9" s="82"/>
    </row>
    <row r="10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2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2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2"/>
    </row>
    <row r="1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2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2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2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2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2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2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2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2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2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2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2"/>
    </row>
    <row r="2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2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2"/>
    </row>
    <row r="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2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2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2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2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2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2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2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2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2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2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2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2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2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2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2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2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2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2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2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2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2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2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2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2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2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2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2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2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2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2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2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2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2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2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2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2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2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2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2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2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2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2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2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2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2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2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2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2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2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2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2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2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2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2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2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2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2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2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2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2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2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2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2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2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2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2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2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2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2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2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2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2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2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2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2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2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2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2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2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2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2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2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2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2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2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2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2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2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2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2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2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2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2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2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2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2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2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2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2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2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2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2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2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2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2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2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2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2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2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2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2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2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2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2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2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2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2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2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2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2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2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2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2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2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2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2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2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2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2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2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2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2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2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2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2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2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2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2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2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2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2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2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2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2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2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2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2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2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2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2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2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2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2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2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2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2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2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2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2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2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2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2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2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2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2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2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2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2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2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2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2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2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2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2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2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2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2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2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2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2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2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2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2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2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2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2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2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2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2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2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2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2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2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2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2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2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2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2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2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2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2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2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2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2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2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2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2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2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2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2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2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2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2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2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2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2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2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2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2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2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2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2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2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2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2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2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2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2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2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2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2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2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2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2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2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2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2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2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2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2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2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2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2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2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2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2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2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2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2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2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2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2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2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2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2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2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2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2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2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2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2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2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2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2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2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2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2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2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2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2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2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2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2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2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2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2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2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2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2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2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2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2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2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2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2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2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2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2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2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2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2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2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2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2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2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2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2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2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2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2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2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2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2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2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2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2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2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2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2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2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2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2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2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2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2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2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2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2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2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2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2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2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2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2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2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2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2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2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2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2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2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2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2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2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2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2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2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2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2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2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2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2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2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2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2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2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2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2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2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2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2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2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2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2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2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2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2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2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2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2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2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2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2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2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2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2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2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2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2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2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2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2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2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2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2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2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2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2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2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2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2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2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2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2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2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2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2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2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2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2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2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2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2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2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2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2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2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2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2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2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2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2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2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2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2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2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2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2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2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2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2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2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2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2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2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2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2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2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2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2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2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2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2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2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2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2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2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2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2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2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2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2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2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2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2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2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2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2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2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2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2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2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2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2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2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2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2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2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2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2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2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2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2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2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2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2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2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2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2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2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2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2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2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2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2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2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2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2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2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2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2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2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2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2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2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2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2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2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2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2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2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2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2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2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2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2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2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2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2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2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2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2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2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2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2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2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2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2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2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2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2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2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2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2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2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2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2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2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2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2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2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2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2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2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2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2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2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2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2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2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2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2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2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2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2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2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2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2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2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2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2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2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2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2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2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2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2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2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2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2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2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2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2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2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2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2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2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2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2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2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2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2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2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2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2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2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2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2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2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2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2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2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2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2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2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2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2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2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2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2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2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2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2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2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2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2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2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2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2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2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2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2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2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2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2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2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2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2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2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2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2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2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2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2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2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2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2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2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2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2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2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2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2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2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2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2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2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2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2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2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2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2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2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2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2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2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2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2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2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2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2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2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2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2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2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2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2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2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2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2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2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2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2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2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2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2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2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2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2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2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2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2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2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2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2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2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2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2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2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2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2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2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2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2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2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2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2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2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2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2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2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2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2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2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2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2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2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2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2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2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2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2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2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2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2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2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2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2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2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2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2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2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2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2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2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2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2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2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2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2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2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2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2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2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2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2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2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2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2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2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2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2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2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2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2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2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2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2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2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2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2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2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2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2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2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2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2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2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2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2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2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2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2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2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2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2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2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2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2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2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2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2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2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2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2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2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2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2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2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2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2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2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2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2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2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2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2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2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2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2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2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2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2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2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2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2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2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2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2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2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2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2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2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2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2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2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2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2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2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2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2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2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2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2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2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2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2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2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2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2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2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2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2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2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2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2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2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2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2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2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2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2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2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2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2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2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2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2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2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2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2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2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2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2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2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2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2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2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2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2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2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2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2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2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2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2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2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2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2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2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2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2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2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2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2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2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2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2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2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2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2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2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2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2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2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2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2"/>
    </row>
  </sheetData>
  <dataValidations>
    <dataValidation type="custom" allowBlank="1" showDropDown="1" sqref="B2:C6 E2:L6">
      <formula1>AND(ISNUMBER(B2),(NOT(OR(NOT(ISERROR(DATEVALUE(B2))), AND(ISNUMBER(B2), LEFT(CELL("format", B2))="D")))))</formula1>
    </dataValidation>
    <dataValidation type="list" allowBlank="1" sqref="D2:D6">
      <formula1>"4.99 %,4.75 %,$10,000"</formula1>
    </dataValidation>
  </dataValidations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4.38"/>
    <col customWidth="1" min="2" max="2" width="11.75"/>
    <col customWidth="1" min="3" max="3" width="19.13"/>
    <col customWidth="1" min="4" max="4" width="13.88"/>
    <col customWidth="1" min="5" max="5" width="24.25"/>
    <col customWidth="1" min="9" max="9" width="15.38"/>
    <col customWidth="1" min="10" max="10" width="12.13"/>
    <col customWidth="1" min="11" max="11" width="15.5"/>
    <col customWidth="1" hidden="1" min="12" max="13" width="30.38"/>
    <col customWidth="1" min="14" max="14" width="19.75"/>
    <col customWidth="1" min="15" max="15" width="17.38"/>
    <col customWidth="1" min="16" max="16" width="16.63"/>
    <col customWidth="1" min="17" max="17" width="19.75"/>
    <col customWidth="1" min="18" max="18" width="17.5"/>
    <col customWidth="1" min="19" max="19" width="21.5"/>
    <col customWidth="1" min="20" max="20" width="21.25"/>
    <col customWidth="1" min="21" max="25" width="17.38"/>
    <col customWidth="1" min="26" max="26" width="17.25"/>
    <col customWidth="1" min="27" max="28" width="16.0"/>
    <col customWidth="1" min="29" max="34" width="30.38"/>
  </cols>
  <sheetData>
    <row r="1" ht="87.75" customHeight="1">
      <c r="A1" s="181"/>
      <c r="B1" s="5"/>
      <c r="C1" s="5"/>
      <c r="D1" s="5"/>
      <c r="E1" s="5"/>
      <c r="F1" s="186"/>
      <c r="G1" s="184"/>
      <c r="H1" s="184"/>
      <c r="I1" s="184"/>
      <c r="J1" s="184"/>
      <c r="K1" s="184"/>
      <c r="L1" s="183"/>
      <c r="M1" s="183"/>
      <c r="N1" s="183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3"/>
      <c r="AE1" s="183"/>
      <c r="AF1" s="183"/>
      <c r="AG1" s="183"/>
      <c r="AH1" s="183"/>
    </row>
    <row r="2" ht="22.5" customHeight="1">
      <c r="A2" s="188" t="s">
        <v>3</v>
      </c>
      <c r="B2" s="189" t="s">
        <v>5</v>
      </c>
      <c r="C2" s="190" t="s">
        <v>18</v>
      </c>
      <c r="D2" s="190" t="s">
        <v>6</v>
      </c>
      <c r="E2" s="190" t="s">
        <v>7</v>
      </c>
      <c r="F2" s="190" t="s">
        <v>8</v>
      </c>
      <c r="G2" s="190" t="s">
        <v>9</v>
      </c>
      <c r="H2" s="190" t="s">
        <v>10</v>
      </c>
      <c r="I2" s="189" t="s">
        <v>11</v>
      </c>
      <c r="J2" s="191" t="s">
        <v>13</v>
      </c>
      <c r="K2" s="190" t="s">
        <v>16</v>
      </c>
      <c r="L2" s="190" t="s">
        <v>237</v>
      </c>
      <c r="M2" s="190" t="s">
        <v>238</v>
      </c>
      <c r="N2" s="190" t="s">
        <v>536</v>
      </c>
      <c r="O2" s="190" t="s">
        <v>14</v>
      </c>
      <c r="P2" s="189" t="s">
        <v>239</v>
      </c>
      <c r="Q2" s="192" t="s">
        <v>12</v>
      </c>
      <c r="R2" s="189" t="s">
        <v>17</v>
      </c>
      <c r="S2" s="192" t="s">
        <v>240</v>
      </c>
      <c r="T2" s="275" t="s">
        <v>19</v>
      </c>
      <c r="U2" s="190" t="s">
        <v>242</v>
      </c>
      <c r="V2" s="190" t="s">
        <v>20</v>
      </c>
      <c r="W2" s="190" t="s">
        <v>21</v>
      </c>
      <c r="X2" s="190" t="s">
        <v>243</v>
      </c>
      <c r="Y2" s="190" t="s">
        <v>22</v>
      </c>
      <c r="Z2" s="190" t="s">
        <v>244</v>
      </c>
      <c r="AA2" s="195" t="s">
        <v>24</v>
      </c>
      <c r="AB2" s="190" t="s">
        <v>245</v>
      </c>
      <c r="AC2" s="190" t="s">
        <v>25</v>
      </c>
      <c r="AD2" s="190" t="s">
        <v>537</v>
      </c>
      <c r="AE2" s="190" t="s">
        <v>538</v>
      </c>
      <c r="AF2" s="190" t="s">
        <v>539</v>
      </c>
      <c r="AG2" s="190" t="s">
        <v>540</v>
      </c>
      <c r="AH2" s="190" t="s">
        <v>541</v>
      </c>
    </row>
    <row r="3" ht="22.5" customHeight="1">
      <c r="A3" s="196">
        <v>1.0</v>
      </c>
      <c r="B3" s="208" t="s">
        <v>76</v>
      </c>
      <c r="C3" s="210"/>
      <c r="D3" s="212"/>
      <c r="E3" s="212"/>
      <c r="F3" s="209"/>
      <c r="G3" s="209"/>
      <c r="H3" s="228"/>
      <c r="I3" s="209"/>
      <c r="J3" s="211"/>
      <c r="K3" s="213"/>
      <c r="L3" s="212"/>
      <c r="M3" s="212"/>
      <c r="N3" s="276"/>
      <c r="O3" s="207"/>
      <c r="P3" s="207"/>
      <c r="Q3" s="228"/>
      <c r="R3" s="212"/>
      <c r="S3" s="277"/>
      <c r="T3" s="278"/>
      <c r="U3" s="212"/>
      <c r="V3" s="212"/>
      <c r="W3" s="212"/>
      <c r="X3" s="212"/>
      <c r="Y3" s="209"/>
      <c r="Z3" s="212"/>
      <c r="AA3" s="212"/>
      <c r="AB3" s="212"/>
      <c r="AC3" s="209"/>
      <c r="AD3" s="212"/>
      <c r="AE3" s="212"/>
      <c r="AF3" s="212"/>
      <c r="AG3" s="212"/>
      <c r="AH3" s="212"/>
    </row>
    <row r="4">
      <c r="A4" s="259"/>
      <c r="B4" s="260"/>
      <c r="C4" s="260"/>
      <c r="D4" s="260"/>
      <c r="E4" s="260"/>
      <c r="F4" s="260"/>
      <c r="G4" s="260"/>
      <c r="H4" s="260"/>
      <c r="I4" s="260"/>
      <c r="J4" s="261"/>
      <c r="K4" s="260"/>
      <c r="L4" s="260"/>
      <c r="M4" s="260"/>
      <c r="N4" s="260"/>
      <c r="O4" s="260"/>
      <c r="P4" s="260"/>
      <c r="Q4" s="260"/>
      <c r="R4" s="260"/>
      <c r="S4" s="260"/>
      <c r="T4" s="279"/>
      <c r="U4" s="260"/>
      <c r="V4" s="260"/>
      <c r="W4" s="260"/>
      <c r="X4" s="260"/>
      <c r="Y4" s="260"/>
      <c r="Z4" s="260"/>
      <c r="AA4" s="264"/>
      <c r="AB4" s="260"/>
      <c r="AC4" s="260"/>
      <c r="AD4" s="260"/>
      <c r="AE4" s="260"/>
      <c r="AF4" s="260"/>
      <c r="AG4" s="260"/>
      <c r="AH4" s="260"/>
    </row>
    <row r="5">
      <c r="A5" s="280" t="s">
        <v>542</v>
      </c>
      <c r="C5" s="281" t="s">
        <v>542</v>
      </c>
      <c r="D5" s="281" t="s">
        <v>542</v>
      </c>
      <c r="E5" s="281" t="s">
        <v>542</v>
      </c>
      <c r="F5" s="281" t="s">
        <v>542</v>
      </c>
      <c r="G5" s="281" t="s">
        <v>542</v>
      </c>
      <c r="H5" s="281" t="s">
        <v>542</v>
      </c>
      <c r="I5" s="281" t="s">
        <v>542</v>
      </c>
      <c r="J5" s="282" t="s">
        <v>542</v>
      </c>
      <c r="K5" s="260"/>
      <c r="L5" s="260"/>
      <c r="M5" s="260"/>
      <c r="N5" s="281" t="s">
        <v>543</v>
      </c>
      <c r="O5" s="281" t="s">
        <v>544</v>
      </c>
      <c r="P5" s="281" t="s">
        <v>542</v>
      </c>
      <c r="Q5" s="281" t="s">
        <v>542</v>
      </c>
      <c r="R5" s="119" t="s">
        <v>542</v>
      </c>
      <c r="S5" s="119" t="s">
        <v>542</v>
      </c>
      <c r="T5" s="119" t="s">
        <v>542</v>
      </c>
      <c r="U5" s="281" t="s">
        <v>542</v>
      </c>
      <c r="V5" s="119" t="s">
        <v>542</v>
      </c>
      <c r="W5" s="281" t="s">
        <v>542</v>
      </c>
      <c r="X5" s="281" t="s">
        <v>542</v>
      </c>
      <c r="Y5" s="119" t="s">
        <v>542</v>
      </c>
      <c r="Z5" s="281" t="s">
        <v>542</v>
      </c>
      <c r="AA5" s="119" t="s">
        <v>542</v>
      </c>
      <c r="AB5" s="119" t="s">
        <v>542</v>
      </c>
      <c r="AC5" s="119" t="s">
        <v>542</v>
      </c>
      <c r="AD5" s="119" t="s">
        <v>542</v>
      </c>
      <c r="AE5" s="281" t="s">
        <v>542</v>
      </c>
      <c r="AF5" s="283" t="s">
        <v>542</v>
      </c>
      <c r="AG5" s="281" t="s">
        <v>542</v>
      </c>
      <c r="AH5" s="281" t="s">
        <v>542</v>
      </c>
    </row>
    <row r="6">
      <c r="A6" s="280" t="s">
        <v>545</v>
      </c>
      <c r="C6" s="281" t="s">
        <v>546</v>
      </c>
      <c r="D6" s="281" t="s">
        <v>547</v>
      </c>
      <c r="E6" s="281" t="s">
        <v>548</v>
      </c>
      <c r="F6" s="281" t="s">
        <v>549</v>
      </c>
      <c r="G6" s="281" t="s">
        <v>9</v>
      </c>
      <c r="H6" s="281" t="s">
        <v>10</v>
      </c>
      <c r="I6" s="281" t="s">
        <v>550</v>
      </c>
      <c r="J6" s="282" t="s">
        <v>551</v>
      </c>
      <c r="K6" s="260"/>
      <c r="L6" s="260"/>
      <c r="M6" s="260"/>
      <c r="N6" s="119" t="s">
        <v>552</v>
      </c>
      <c r="O6" s="281" t="s">
        <v>553</v>
      </c>
      <c r="P6" s="281" t="s">
        <v>554</v>
      </c>
      <c r="Q6" s="281" t="s">
        <v>555</v>
      </c>
      <c r="R6" s="119" t="s">
        <v>556</v>
      </c>
      <c r="S6" s="119" t="s">
        <v>557</v>
      </c>
      <c r="T6" s="119" t="s">
        <v>558</v>
      </c>
      <c r="U6" s="281" t="s">
        <v>559</v>
      </c>
      <c r="V6" s="119" t="s">
        <v>127</v>
      </c>
      <c r="W6" s="281" t="s">
        <v>560</v>
      </c>
      <c r="X6" s="281" t="s">
        <v>561</v>
      </c>
      <c r="Y6" s="119" t="s">
        <v>562</v>
      </c>
      <c r="Z6" s="281" t="s">
        <v>563</v>
      </c>
      <c r="AA6" s="119" t="s">
        <v>564</v>
      </c>
      <c r="AB6" s="119" t="s">
        <v>565</v>
      </c>
      <c r="AC6" s="119" t="s">
        <v>566</v>
      </c>
      <c r="AD6" s="119" t="s">
        <v>567</v>
      </c>
      <c r="AE6" s="119" t="s">
        <v>568</v>
      </c>
      <c r="AF6" s="281" t="s">
        <v>569</v>
      </c>
      <c r="AG6" s="281" t="s">
        <v>104</v>
      </c>
      <c r="AH6" s="283" t="s">
        <v>570</v>
      </c>
    </row>
    <row r="7">
      <c r="A7" s="259"/>
      <c r="B7" s="260"/>
      <c r="C7" s="260"/>
      <c r="D7" s="260"/>
      <c r="E7" s="260"/>
      <c r="F7" s="260"/>
      <c r="G7" s="260"/>
      <c r="H7" s="260"/>
      <c r="I7" s="260"/>
      <c r="J7" s="261"/>
      <c r="K7" s="260"/>
      <c r="L7" s="260"/>
      <c r="M7" s="260"/>
      <c r="N7" s="260"/>
      <c r="O7" s="260"/>
      <c r="P7" s="260"/>
      <c r="Q7" s="260"/>
      <c r="R7" s="260"/>
      <c r="S7" s="260"/>
      <c r="T7" s="279"/>
      <c r="U7" s="260"/>
      <c r="V7" s="260"/>
      <c r="W7" s="260"/>
      <c r="X7" s="260"/>
      <c r="Y7" s="260"/>
      <c r="Z7" s="260"/>
      <c r="AA7" s="264"/>
      <c r="AB7" s="260"/>
      <c r="AC7" s="260"/>
      <c r="AD7" s="260"/>
      <c r="AE7" s="260"/>
      <c r="AF7" s="260"/>
      <c r="AG7" s="260"/>
      <c r="AH7" s="260"/>
    </row>
    <row r="8">
      <c r="A8" s="259"/>
      <c r="B8" s="260"/>
      <c r="C8" s="260"/>
      <c r="D8" s="260"/>
      <c r="E8" s="260"/>
      <c r="F8" s="260"/>
      <c r="G8" s="260"/>
      <c r="H8" s="260"/>
      <c r="I8" s="260"/>
      <c r="J8" s="261"/>
      <c r="K8" s="260"/>
      <c r="L8" s="260"/>
      <c r="M8" s="260"/>
      <c r="N8" s="260"/>
      <c r="O8" s="260"/>
      <c r="P8" s="260"/>
      <c r="Q8" s="260"/>
      <c r="R8" s="260"/>
      <c r="S8" s="260"/>
      <c r="T8" s="279"/>
      <c r="U8" s="260"/>
      <c r="V8" s="260"/>
      <c r="W8" s="260"/>
      <c r="X8" s="260"/>
      <c r="Y8" s="260"/>
      <c r="Z8" s="260"/>
      <c r="AA8" s="264"/>
      <c r="AB8" s="260"/>
      <c r="AC8" s="260"/>
      <c r="AD8" s="260"/>
      <c r="AE8" s="260"/>
      <c r="AF8" s="260"/>
      <c r="AG8" s="260"/>
      <c r="AH8" s="260"/>
    </row>
    <row r="9">
      <c r="A9" s="259"/>
      <c r="B9" s="260"/>
      <c r="C9" s="260"/>
      <c r="D9" s="260"/>
      <c r="E9" s="260"/>
      <c r="F9" s="260"/>
      <c r="G9" s="260"/>
      <c r="H9" s="260"/>
      <c r="I9" s="260"/>
      <c r="J9" s="261"/>
      <c r="K9" s="260"/>
      <c r="L9" s="260"/>
      <c r="M9" s="260"/>
      <c r="N9" s="260"/>
      <c r="O9" s="260"/>
      <c r="P9" s="260"/>
      <c r="Q9" s="260"/>
      <c r="S9" s="260"/>
      <c r="T9" s="279"/>
      <c r="U9" s="260"/>
      <c r="V9" s="260"/>
      <c r="W9" s="260"/>
      <c r="X9" s="260"/>
      <c r="Y9" s="260"/>
      <c r="Z9" s="260"/>
      <c r="AA9" s="264"/>
      <c r="AB9" s="260"/>
      <c r="AC9" s="260"/>
      <c r="AD9" s="260"/>
      <c r="AE9" s="260"/>
      <c r="AF9" s="260"/>
      <c r="AG9" s="260"/>
      <c r="AH9" s="260"/>
    </row>
    <row r="10">
      <c r="A10" s="259"/>
      <c r="B10" s="260"/>
      <c r="C10" s="260"/>
      <c r="D10" s="260"/>
      <c r="E10" s="260"/>
      <c r="F10" s="260"/>
      <c r="G10" s="260"/>
      <c r="H10" s="260"/>
      <c r="I10" s="260"/>
      <c r="J10" s="261"/>
      <c r="K10" s="260"/>
      <c r="L10" s="260"/>
      <c r="M10" s="260"/>
      <c r="N10" s="260"/>
      <c r="O10" s="260"/>
      <c r="P10" s="260"/>
      <c r="Q10" s="260"/>
      <c r="T10" s="279"/>
      <c r="U10" s="260"/>
      <c r="V10" s="260"/>
      <c r="W10" s="260"/>
      <c r="X10" s="260"/>
      <c r="Y10" s="260"/>
      <c r="Z10" s="260"/>
      <c r="AA10" s="264"/>
      <c r="AB10" s="260"/>
      <c r="AC10" s="260"/>
      <c r="AD10" s="260"/>
      <c r="AE10" s="260"/>
      <c r="AF10" s="260"/>
      <c r="AG10" s="260"/>
      <c r="AH10" s="260"/>
    </row>
    <row r="11">
      <c r="A11" s="259"/>
      <c r="B11" s="260"/>
      <c r="C11" s="260"/>
      <c r="D11" s="260"/>
      <c r="E11" s="260"/>
      <c r="F11" s="260"/>
      <c r="G11" s="260"/>
      <c r="H11" s="260"/>
      <c r="I11" s="260"/>
      <c r="J11" s="261"/>
      <c r="K11" s="260"/>
      <c r="L11" s="260"/>
      <c r="M11" s="260"/>
      <c r="N11" s="260"/>
      <c r="O11" s="260"/>
      <c r="P11" s="260"/>
      <c r="Q11" s="260"/>
      <c r="R11" s="260"/>
      <c r="T11" s="279"/>
      <c r="U11" s="260"/>
      <c r="V11" s="260"/>
      <c r="W11" s="260"/>
      <c r="X11" s="260"/>
      <c r="Y11" s="260"/>
      <c r="Z11" s="260"/>
      <c r="AA11" s="264"/>
      <c r="AB11" s="260"/>
      <c r="AC11" s="260"/>
      <c r="AD11" s="260"/>
      <c r="AE11" s="260"/>
      <c r="AF11" s="260"/>
      <c r="AG11" s="260"/>
      <c r="AH11" s="260"/>
    </row>
    <row r="12">
      <c r="A12" s="259"/>
      <c r="B12" s="260"/>
      <c r="C12" s="260"/>
      <c r="D12" s="260"/>
      <c r="E12" s="260"/>
      <c r="F12" s="260"/>
      <c r="G12" s="260"/>
      <c r="H12" s="260"/>
      <c r="I12" s="260"/>
      <c r="J12" s="261"/>
      <c r="K12" s="260"/>
      <c r="L12" s="260"/>
      <c r="M12" s="260"/>
      <c r="N12" s="260"/>
      <c r="O12" s="260"/>
      <c r="P12" s="260"/>
      <c r="Q12" s="260"/>
      <c r="R12" s="260"/>
      <c r="S12" s="260"/>
      <c r="T12" s="279"/>
      <c r="U12" s="260"/>
      <c r="V12" s="260"/>
      <c r="W12" s="260"/>
      <c r="X12" s="260"/>
      <c r="Y12" s="260"/>
      <c r="Z12" s="260"/>
      <c r="AA12" s="264"/>
      <c r="AB12" s="260"/>
      <c r="AC12" s="260"/>
      <c r="AD12" s="260"/>
      <c r="AE12" s="260"/>
      <c r="AF12" s="260"/>
      <c r="AG12" s="260"/>
      <c r="AH12" s="260"/>
    </row>
    <row r="13">
      <c r="A13" s="259"/>
      <c r="B13" s="260"/>
      <c r="C13" s="260"/>
      <c r="D13" s="260"/>
      <c r="E13" s="260"/>
      <c r="F13" s="260"/>
      <c r="G13" s="260"/>
      <c r="H13" s="260"/>
      <c r="I13" s="260"/>
      <c r="J13" s="261"/>
      <c r="K13" s="260"/>
      <c r="L13" s="260"/>
      <c r="M13" s="260"/>
      <c r="N13" s="260"/>
      <c r="O13" s="260"/>
      <c r="P13" s="260"/>
      <c r="Q13" s="260"/>
      <c r="R13" s="260"/>
      <c r="S13" s="260"/>
      <c r="T13" s="279"/>
      <c r="U13" s="260"/>
      <c r="V13" s="260"/>
      <c r="W13" s="260"/>
      <c r="X13" s="260"/>
      <c r="Y13" s="260"/>
      <c r="Z13" s="260"/>
      <c r="AA13" s="264"/>
      <c r="AB13" s="260"/>
      <c r="AC13" s="260"/>
      <c r="AD13" s="260"/>
      <c r="AE13" s="260"/>
      <c r="AF13" s="260"/>
      <c r="AG13" s="260"/>
      <c r="AH13" s="260"/>
    </row>
    <row r="14">
      <c r="A14" s="259"/>
      <c r="B14" s="260"/>
      <c r="C14" s="260"/>
      <c r="D14" s="260"/>
      <c r="E14" s="260"/>
      <c r="F14" s="260"/>
      <c r="G14" s="260"/>
      <c r="H14" s="260"/>
      <c r="I14" s="260"/>
      <c r="J14" s="261"/>
      <c r="K14" s="260"/>
      <c r="L14" s="260"/>
      <c r="M14" s="260"/>
      <c r="N14" s="260"/>
      <c r="O14" s="260"/>
      <c r="P14" s="260"/>
      <c r="Q14" s="260"/>
      <c r="R14" s="260"/>
      <c r="S14" s="260"/>
      <c r="T14" s="279"/>
      <c r="U14" s="260"/>
      <c r="V14" s="260"/>
      <c r="W14" s="260"/>
      <c r="X14" s="260"/>
      <c r="Y14" s="260"/>
      <c r="Z14" s="260"/>
      <c r="AA14" s="264"/>
      <c r="AB14" s="260"/>
      <c r="AC14" s="260"/>
      <c r="AD14" s="260"/>
      <c r="AE14" s="260"/>
      <c r="AF14" s="260"/>
      <c r="AG14" s="260"/>
      <c r="AH14" s="260"/>
    </row>
    <row r="15">
      <c r="A15" s="259"/>
      <c r="B15" s="260"/>
      <c r="C15" s="260"/>
      <c r="D15" s="260"/>
      <c r="E15" s="260"/>
      <c r="F15" s="260"/>
      <c r="G15" s="260"/>
      <c r="H15" s="260"/>
      <c r="I15" s="260"/>
      <c r="J15" s="261"/>
      <c r="K15" s="260"/>
      <c r="L15" s="260"/>
      <c r="M15" s="260"/>
      <c r="N15" s="260"/>
      <c r="O15" s="260"/>
      <c r="P15" s="260"/>
      <c r="Q15" s="260"/>
      <c r="R15" s="260"/>
      <c r="S15" s="260"/>
      <c r="T15" s="279"/>
      <c r="U15" s="260"/>
      <c r="V15" s="260"/>
      <c r="W15" s="260"/>
      <c r="X15" s="260"/>
      <c r="Y15" s="260"/>
      <c r="Z15" s="260"/>
      <c r="AA15" s="264"/>
      <c r="AB15" s="260"/>
      <c r="AC15" s="260"/>
      <c r="AD15" s="260"/>
      <c r="AE15" s="260"/>
      <c r="AF15" s="260"/>
      <c r="AG15" s="260"/>
      <c r="AH15" s="260"/>
    </row>
    <row r="16">
      <c r="A16" s="259"/>
      <c r="B16" s="260"/>
      <c r="C16" s="260"/>
      <c r="D16" s="260"/>
      <c r="E16" s="260"/>
      <c r="F16" s="260"/>
      <c r="G16" s="260"/>
      <c r="H16" s="260"/>
      <c r="I16" s="260"/>
      <c r="J16" s="261"/>
      <c r="K16" s="260"/>
      <c r="L16" s="260"/>
      <c r="M16" s="260"/>
      <c r="N16" s="260"/>
      <c r="P16" s="260"/>
      <c r="Q16" s="260"/>
      <c r="R16" s="260"/>
      <c r="S16" s="260"/>
      <c r="T16" s="279"/>
      <c r="U16" s="260"/>
      <c r="V16" s="260"/>
      <c r="W16" s="260"/>
      <c r="X16" s="260"/>
      <c r="Y16" s="260"/>
      <c r="Z16" s="260"/>
      <c r="AA16" s="264"/>
      <c r="AB16" s="260"/>
      <c r="AC16" s="260"/>
      <c r="AD16" s="260"/>
      <c r="AE16" s="260"/>
      <c r="AF16" s="260"/>
      <c r="AG16" s="260"/>
      <c r="AH16" s="260"/>
    </row>
    <row r="17">
      <c r="A17" s="259"/>
      <c r="B17" s="260"/>
      <c r="C17" s="260"/>
      <c r="D17" s="260"/>
      <c r="E17" s="260"/>
      <c r="F17" s="260"/>
      <c r="G17" s="260"/>
      <c r="H17" s="260"/>
      <c r="I17" s="260"/>
      <c r="J17" s="261"/>
      <c r="K17" s="260"/>
      <c r="L17" s="260"/>
      <c r="M17" s="260"/>
      <c r="N17" s="260"/>
      <c r="P17" s="260"/>
      <c r="Q17" s="260"/>
      <c r="R17" s="260"/>
      <c r="S17" s="260"/>
      <c r="T17" s="279"/>
      <c r="U17" s="260"/>
      <c r="V17" s="260"/>
      <c r="W17" s="260"/>
      <c r="X17" s="260"/>
      <c r="Y17" s="260"/>
      <c r="Z17" s="260"/>
      <c r="AA17" s="264"/>
      <c r="AB17" s="260"/>
      <c r="AC17" s="260"/>
      <c r="AD17" s="260"/>
      <c r="AE17" s="260"/>
      <c r="AF17" s="260"/>
      <c r="AG17" s="260"/>
      <c r="AH17" s="260"/>
    </row>
    <row r="18">
      <c r="A18" s="259"/>
      <c r="B18" s="260"/>
      <c r="C18" s="260"/>
      <c r="D18" s="260"/>
      <c r="E18" s="260"/>
      <c r="F18" s="260"/>
      <c r="G18" s="260"/>
      <c r="H18" s="260"/>
      <c r="I18" s="260"/>
      <c r="J18" s="261"/>
      <c r="K18" s="260"/>
      <c r="L18" s="260"/>
      <c r="M18" s="260"/>
      <c r="N18" s="260"/>
      <c r="O18" s="260"/>
      <c r="P18" s="260"/>
      <c r="Q18" s="260"/>
      <c r="R18" s="260"/>
      <c r="S18" s="260"/>
      <c r="T18" s="279"/>
      <c r="U18" s="260"/>
      <c r="V18" s="260"/>
      <c r="W18" s="260"/>
      <c r="X18" s="260"/>
      <c r="Y18" s="260"/>
      <c r="Z18" s="260"/>
      <c r="AA18" s="264"/>
      <c r="AB18" s="260"/>
      <c r="AC18" s="260"/>
      <c r="AD18" s="260"/>
      <c r="AE18" s="260"/>
      <c r="AF18" s="260"/>
      <c r="AG18" s="260"/>
      <c r="AH18" s="260"/>
    </row>
    <row r="19">
      <c r="A19" s="259"/>
      <c r="B19" s="260"/>
      <c r="C19" s="260"/>
      <c r="D19" s="260"/>
      <c r="E19" s="260"/>
      <c r="F19" s="260"/>
      <c r="G19" s="260"/>
      <c r="H19" s="260"/>
      <c r="I19" s="260"/>
      <c r="J19" s="261"/>
      <c r="K19" s="260"/>
      <c r="L19" s="260"/>
      <c r="M19" s="260"/>
      <c r="N19" s="260"/>
      <c r="O19" s="260"/>
      <c r="P19" s="260"/>
      <c r="Q19" s="260"/>
      <c r="R19" s="260"/>
      <c r="S19" s="260"/>
      <c r="T19" s="279"/>
      <c r="U19" s="260"/>
      <c r="V19" s="260"/>
      <c r="W19" s="260"/>
      <c r="X19" s="260"/>
      <c r="Y19" s="260"/>
      <c r="Z19" s="260"/>
      <c r="AA19" s="264"/>
      <c r="AB19" s="260"/>
      <c r="AC19" s="260"/>
      <c r="AD19" s="260"/>
      <c r="AE19" s="260"/>
      <c r="AF19" s="260"/>
      <c r="AG19" s="260"/>
      <c r="AH19" s="260"/>
    </row>
    <row r="20">
      <c r="A20" s="259"/>
      <c r="B20" s="260"/>
      <c r="C20" s="260"/>
      <c r="D20" s="260"/>
      <c r="E20" s="260"/>
      <c r="F20" s="260"/>
      <c r="G20" s="260"/>
      <c r="H20" s="260"/>
      <c r="I20" s="260"/>
      <c r="J20" s="261"/>
      <c r="K20" s="260"/>
      <c r="L20" s="260"/>
      <c r="M20" s="260"/>
      <c r="N20" s="260"/>
      <c r="O20" s="260"/>
      <c r="P20" s="260"/>
      <c r="Q20" s="260"/>
      <c r="R20" s="260"/>
      <c r="S20" s="260"/>
      <c r="T20" s="279"/>
      <c r="U20" s="260"/>
      <c r="V20" s="260"/>
      <c r="W20" s="260"/>
      <c r="X20" s="260"/>
      <c r="Y20" s="260"/>
      <c r="Z20" s="260"/>
      <c r="AA20" s="264"/>
      <c r="AB20" s="260"/>
      <c r="AC20" s="260"/>
      <c r="AD20" s="260"/>
      <c r="AE20" s="260"/>
      <c r="AF20" s="260"/>
      <c r="AG20" s="260"/>
      <c r="AH20" s="260"/>
    </row>
    <row r="21">
      <c r="A21" s="259"/>
      <c r="B21" s="260"/>
      <c r="C21" s="260"/>
      <c r="D21" s="260"/>
      <c r="E21" s="260"/>
      <c r="F21" s="260"/>
      <c r="G21" s="260"/>
      <c r="H21" s="260"/>
      <c r="I21" s="260"/>
      <c r="J21" s="261"/>
      <c r="K21" s="260"/>
      <c r="L21" s="260"/>
      <c r="M21" s="260"/>
      <c r="N21" s="260"/>
      <c r="O21" s="260"/>
      <c r="P21" s="260"/>
      <c r="Q21" s="260"/>
      <c r="R21" s="260"/>
      <c r="S21" s="260"/>
      <c r="T21" s="279"/>
      <c r="U21" s="260"/>
      <c r="V21" s="260"/>
      <c r="W21" s="260"/>
      <c r="X21" s="260"/>
      <c r="Y21" s="260"/>
      <c r="Z21" s="260"/>
      <c r="AA21" s="264"/>
      <c r="AB21" s="260"/>
      <c r="AC21" s="260"/>
      <c r="AD21" s="260"/>
      <c r="AE21" s="260"/>
      <c r="AF21" s="260"/>
      <c r="AG21" s="260"/>
      <c r="AH21" s="260"/>
    </row>
    <row r="22">
      <c r="A22" s="259"/>
      <c r="B22" s="260"/>
      <c r="C22" s="260"/>
      <c r="D22" s="260"/>
      <c r="E22" s="260"/>
      <c r="F22" s="260"/>
      <c r="G22" s="260"/>
      <c r="H22" s="260"/>
      <c r="I22" s="260"/>
      <c r="J22" s="261"/>
      <c r="K22" s="260"/>
      <c r="L22" s="260"/>
      <c r="M22" s="260"/>
      <c r="N22" s="260"/>
      <c r="O22" s="260"/>
      <c r="P22" s="260"/>
      <c r="Q22" s="260"/>
      <c r="R22" s="260"/>
      <c r="S22" s="260"/>
      <c r="T22" s="279"/>
      <c r="U22" s="260"/>
      <c r="V22" s="260"/>
      <c r="W22" s="260"/>
      <c r="X22" s="260"/>
      <c r="Y22" s="260"/>
      <c r="Z22" s="260"/>
      <c r="AA22" s="264"/>
      <c r="AB22" s="260"/>
      <c r="AC22" s="260"/>
      <c r="AD22" s="260"/>
      <c r="AE22" s="260"/>
      <c r="AF22" s="260"/>
      <c r="AG22" s="260"/>
      <c r="AH22" s="260"/>
    </row>
    <row r="23">
      <c r="A23" s="259"/>
      <c r="B23" s="260"/>
      <c r="C23" s="260"/>
      <c r="D23" s="260"/>
      <c r="E23" s="260"/>
      <c r="F23" s="260"/>
      <c r="G23" s="260"/>
      <c r="H23" s="260"/>
      <c r="I23" s="260"/>
      <c r="J23" s="261"/>
      <c r="K23" s="260"/>
      <c r="L23" s="260"/>
      <c r="M23" s="260"/>
      <c r="N23" s="260"/>
      <c r="O23" s="260"/>
      <c r="P23" s="260"/>
      <c r="Q23" s="260"/>
      <c r="R23" s="260"/>
      <c r="S23" s="260"/>
      <c r="T23" s="279"/>
      <c r="U23" s="260"/>
      <c r="V23" s="260"/>
      <c r="W23" s="260"/>
      <c r="X23" s="260"/>
      <c r="Y23" s="260"/>
      <c r="Z23" s="260"/>
      <c r="AA23" s="264"/>
      <c r="AB23" s="260"/>
      <c r="AC23" s="260"/>
      <c r="AD23" s="260"/>
      <c r="AE23" s="260"/>
      <c r="AF23" s="260"/>
      <c r="AG23" s="260"/>
      <c r="AH23" s="260"/>
    </row>
    <row r="24">
      <c r="A24" s="259"/>
      <c r="B24" s="260"/>
      <c r="C24" s="260"/>
      <c r="D24" s="260"/>
      <c r="E24" s="260"/>
      <c r="F24" s="260"/>
      <c r="G24" s="260"/>
      <c r="H24" s="260"/>
      <c r="I24" s="260"/>
      <c r="J24" s="261"/>
      <c r="K24" s="260"/>
      <c r="L24" s="260"/>
      <c r="M24" s="260"/>
      <c r="N24" s="260"/>
      <c r="O24" s="260"/>
      <c r="P24" s="260"/>
      <c r="Q24" s="260"/>
      <c r="R24" s="260"/>
      <c r="S24" s="260"/>
      <c r="T24" s="279"/>
      <c r="U24" s="260"/>
      <c r="V24" s="260"/>
      <c r="W24" s="260"/>
      <c r="X24" s="260"/>
      <c r="Y24" s="260"/>
      <c r="Z24" s="260"/>
      <c r="AA24" s="264"/>
      <c r="AB24" s="260"/>
      <c r="AC24" s="260"/>
      <c r="AD24" s="260"/>
      <c r="AE24" s="260"/>
      <c r="AF24" s="260"/>
      <c r="AG24" s="260"/>
      <c r="AH24" s="260"/>
    </row>
    <row r="25">
      <c r="A25" s="259"/>
      <c r="B25" s="260"/>
      <c r="C25" s="260"/>
      <c r="D25" s="260"/>
      <c r="E25" s="260"/>
      <c r="F25" s="260"/>
      <c r="G25" s="260"/>
      <c r="H25" s="260"/>
      <c r="I25" s="260"/>
      <c r="J25" s="261"/>
      <c r="K25" s="260"/>
      <c r="L25" s="260"/>
      <c r="M25" s="260"/>
      <c r="N25" s="260"/>
      <c r="O25" s="260"/>
      <c r="P25" s="260"/>
      <c r="Q25" s="260"/>
      <c r="R25" s="260"/>
      <c r="S25" s="260"/>
      <c r="T25" s="279"/>
      <c r="U25" s="260"/>
      <c r="V25" s="260"/>
      <c r="W25" s="260"/>
      <c r="X25" s="260"/>
      <c r="Y25" s="260"/>
      <c r="Z25" s="260"/>
      <c r="AA25" s="264"/>
      <c r="AB25" s="260"/>
      <c r="AC25" s="260"/>
      <c r="AD25" s="260"/>
      <c r="AE25" s="260"/>
      <c r="AF25" s="260"/>
      <c r="AG25" s="260"/>
      <c r="AH25" s="260"/>
    </row>
    <row r="26">
      <c r="A26" s="259"/>
      <c r="B26" s="260"/>
      <c r="C26" s="260"/>
      <c r="D26" s="260"/>
      <c r="E26" s="260"/>
      <c r="F26" s="260"/>
      <c r="G26" s="260"/>
      <c r="H26" s="260"/>
      <c r="I26" s="260"/>
      <c r="J26" s="261"/>
      <c r="K26" s="260"/>
      <c r="L26" s="260"/>
      <c r="M26" s="260"/>
      <c r="N26" s="260"/>
      <c r="O26" s="260"/>
      <c r="P26" s="260"/>
      <c r="Q26" s="260"/>
      <c r="R26" s="260"/>
      <c r="S26" s="260"/>
      <c r="T26" s="279"/>
      <c r="U26" s="260"/>
      <c r="V26" s="260"/>
      <c r="W26" s="260"/>
      <c r="X26" s="260"/>
      <c r="Y26" s="260"/>
      <c r="Z26" s="260"/>
      <c r="AA26" s="264"/>
      <c r="AB26" s="260"/>
      <c r="AC26" s="260"/>
      <c r="AD26" s="260"/>
      <c r="AE26" s="260"/>
      <c r="AF26" s="260"/>
      <c r="AG26" s="260"/>
      <c r="AH26" s="260"/>
    </row>
    <row r="27">
      <c r="A27" s="259"/>
      <c r="B27" s="260"/>
      <c r="C27" s="260"/>
      <c r="D27" s="260"/>
      <c r="E27" s="260"/>
      <c r="F27" s="260"/>
      <c r="G27" s="260"/>
      <c r="H27" s="260"/>
      <c r="I27" s="260"/>
      <c r="J27" s="261"/>
      <c r="K27" s="260"/>
      <c r="L27" s="260"/>
      <c r="M27" s="260"/>
      <c r="N27" s="260"/>
      <c r="O27" s="260"/>
      <c r="P27" s="260"/>
      <c r="Q27" s="260"/>
      <c r="R27" s="260"/>
      <c r="S27" s="260"/>
      <c r="T27" s="279"/>
      <c r="U27" s="260"/>
      <c r="V27" s="260"/>
      <c r="W27" s="260"/>
      <c r="X27" s="260"/>
      <c r="Y27" s="260"/>
      <c r="Z27" s="260"/>
      <c r="AA27" s="264"/>
      <c r="AB27" s="260"/>
      <c r="AC27" s="260"/>
      <c r="AD27" s="260"/>
      <c r="AE27" s="260"/>
      <c r="AF27" s="260"/>
      <c r="AG27" s="260"/>
      <c r="AH27" s="260"/>
    </row>
    <row r="28">
      <c r="A28" s="259"/>
      <c r="B28" s="260"/>
      <c r="C28" s="260"/>
      <c r="D28" s="260"/>
      <c r="E28" s="260"/>
      <c r="F28" s="260"/>
      <c r="G28" s="260"/>
      <c r="H28" s="260"/>
      <c r="I28" s="260"/>
      <c r="J28" s="261"/>
      <c r="K28" s="260"/>
      <c r="L28" s="260"/>
      <c r="M28" s="260"/>
      <c r="N28" s="260"/>
      <c r="O28" s="260"/>
      <c r="P28" s="260"/>
      <c r="Q28" s="260"/>
      <c r="R28" s="260"/>
      <c r="S28" s="260"/>
      <c r="T28" s="279"/>
      <c r="U28" s="260"/>
      <c r="V28" s="260"/>
      <c r="W28" s="260"/>
      <c r="X28" s="260"/>
      <c r="Y28" s="260"/>
      <c r="Z28" s="260"/>
      <c r="AA28" s="264"/>
      <c r="AB28" s="260"/>
      <c r="AC28" s="260"/>
      <c r="AD28" s="260"/>
      <c r="AE28" s="260"/>
      <c r="AF28" s="260"/>
      <c r="AG28" s="260"/>
      <c r="AH28" s="260"/>
    </row>
    <row r="29">
      <c r="A29" s="259"/>
      <c r="B29" s="260"/>
      <c r="C29" s="260"/>
      <c r="D29" s="260"/>
      <c r="E29" s="260"/>
      <c r="F29" s="260"/>
      <c r="G29" s="260"/>
      <c r="H29" s="260"/>
      <c r="I29" s="260"/>
      <c r="J29" s="261"/>
      <c r="K29" s="260"/>
      <c r="L29" s="260"/>
      <c r="M29" s="260"/>
      <c r="N29" s="260"/>
      <c r="O29" s="260"/>
      <c r="P29" s="260"/>
      <c r="Q29" s="260"/>
      <c r="R29" s="260"/>
      <c r="S29" s="260"/>
      <c r="T29" s="279"/>
      <c r="U29" s="260"/>
      <c r="V29" s="260"/>
      <c r="W29" s="260"/>
      <c r="X29" s="260"/>
      <c r="Y29" s="260"/>
      <c r="Z29" s="260"/>
      <c r="AA29" s="264"/>
      <c r="AB29" s="260"/>
      <c r="AC29" s="260"/>
      <c r="AD29" s="260"/>
      <c r="AE29" s="260"/>
      <c r="AF29" s="260"/>
      <c r="AG29" s="260"/>
      <c r="AH29" s="260"/>
    </row>
    <row r="30">
      <c r="A30" s="259"/>
      <c r="B30" s="260"/>
      <c r="C30" s="260"/>
      <c r="D30" s="260"/>
      <c r="E30" s="260"/>
      <c r="F30" s="260"/>
      <c r="G30" s="260"/>
      <c r="H30" s="260"/>
      <c r="I30" s="260"/>
      <c r="J30" s="261"/>
      <c r="K30" s="260"/>
      <c r="L30" s="260"/>
      <c r="M30" s="260"/>
      <c r="N30" s="260"/>
      <c r="O30" s="260"/>
      <c r="P30" s="260"/>
      <c r="Q30" s="260"/>
      <c r="R30" s="260"/>
      <c r="S30" s="260"/>
      <c r="T30" s="279"/>
      <c r="U30" s="260"/>
      <c r="V30" s="260"/>
      <c r="W30" s="260"/>
      <c r="X30" s="260"/>
      <c r="Y30" s="260"/>
      <c r="Z30" s="260"/>
      <c r="AA30" s="264"/>
      <c r="AB30" s="260"/>
      <c r="AC30" s="260"/>
      <c r="AD30" s="260"/>
      <c r="AE30" s="260"/>
      <c r="AF30" s="260"/>
      <c r="AG30" s="260"/>
      <c r="AH30" s="260"/>
    </row>
    <row r="31">
      <c r="A31" s="259"/>
      <c r="B31" s="260"/>
      <c r="C31" s="260"/>
      <c r="D31" s="260"/>
      <c r="E31" s="260"/>
      <c r="F31" s="260"/>
      <c r="G31" s="260"/>
      <c r="H31" s="260"/>
      <c r="I31" s="260"/>
      <c r="J31" s="261"/>
      <c r="K31" s="260"/>
      <c r="L31" s="260"/>
      <c r="M31" s="260"/>
      <c r="N31" s="260"/>
      <c r="O31" s="260"/>
      <c r="P31" s="260"/>
      <c r="Q31" s="260"/>
      <c r="R31" s="260"/>
      <c r="S31" s="260"/>
      <c r="T31" s="279"/>
      <c r="U31" s="260"/>
      <c r="V31" s="260"/>
      <c r="W31" s="260"/>
      <c r="X31" s="260"/>
      <c r="Y31" s="260"/>
      <c r="Z31" s="260"/>
      <c r="AA31" s="264"/>
      <c r="AB31" s="260"/>
      <c r="AC31" s="260"/>
      <c r="AD31" s="260"/>
      <c r="AE31" s="260"/>
      <c r="AF31" s="260"/>
      <c r="AG31" s="260"/>
      <c r="AH31" s="260"/>
    </row>
    <row r="32">
      <c r="A32" s="259"/>
      <c r="B32" s="260"/>
      <c r="C32" s="260"/>
      <c r="D32" s="260"/>
      <c r="E32" s="260"/>
      <c r="F32" s="260"/>
      <c r="G32" s="260"/>
      <c r="H32" s="260"/>
      <c r="I32" s="260"/>
      <c r="J32" s="261"/>
      <c r="K32" s="260"/>
      <c r="L32" s="260"/>
      <c r="M32" s="260"/>
      <c r="N32" s="260"/>
      <c r="O32" s="260"/>
      <c r="P32" s="260"/>
      <c r="Q32" s="260"/>
      <c r="R32" s="260"/>
      <c r="S32" s="260"/>
      <c r="T32" s="279"/>
      <c r="U32" s="260"/>
      <c r="V32" s="260"/>
      <c r="W32" s="260"/>
      <c r="X32" s="260"/>
      <c r="Y32" s="260"/>
      <c r="Z32" s="260"/>
      <c r="AA32" s="264"/>
      <c r="AB32" s="260"/>
      <c r="AC32" s="260"/>
      <c r="AD32" s="260"/>
      <c r="AE32" s="260"/>
      <c r="AF32" s="260"/>
      <c r="AG32" s="260"/>
      <c r="AH32" s="260"/>
    </row>
    <row r="33">
      <c r="A33" s="259"/>
      <c r="B33" s="260"/>
      <c r="C33" s="260"/>
      <c r="D33" s="260"/>
      <c r="E33" s="260"/>
      <c r="F33" s="260"/>
      <c r="G33" s="260"/>
      <c r="H33" s="260"/>
      <c r="I33" s="260"/>
      <c r="J33" s="261"/>
      <c r="K33" s="260"/>
      <c r="L33" s="260"/>
      <c r="M33" s="260"/>
      <c r="N33" s="260"/>
      <c r="O33" s="260"/>
      <c r="P33" s="260"/>
      <c r="Q33" s="260"/>
      <c r="R33" s="260"/>
      <c r="S33" s="260"/>
      <c r="T33" s="279"/>
      <c r="U33" s="260"/>
      <c r="V33" s="260"/>
      <c r="W33" s="260"/>
      <c r="X33" s="260"/>
      <c r="Y33" s="260"/>
      <c r="Z33" s="260"/>
      <c r="AA33" s="264"/>
      <c r="AB33" s="260"/>
      <c r="AC33" s="260"/>
      <c r="AD33" s="260"/>
      <c r="AE33" s="260"/>
      <c r="AF33" s="260"/>
      <c r="AG33" s="260"/>
      <c r="AH33" s="260"/>
    </row>
    <row r="34">
      <c r="A34" s="259"/>
      <c r="B34" s="260"/>
      <c r="C34" s="260"/>
      <c r="D34" s="260"/>
      <c r="E34" s="260"/>
      <c r="F34" s="260"/>
      <c r="G34" s="260"/>
      <c r="H34" s="260"/>
      <c r="I34" s="260"/>
      <c r="J34" s="261"/>
      <c r="K34" s="260"/>
      <c r="L34" s="260"/>
      <c r="M34" s="260"/>
      <c r="N34" s="260"/>
      <c r="O34" s="260"/>
      <c r="P34" s="260"/>
      <c r="Q34" s="260"/>
      <c r="R34" s="260"/>
      <c r="S34" s="260"/>
      <c r="T34" s="279"/>
      <c r="U34" s="260"/>
      <c r="V34" s="260"/>
      <c r="W34" s="260"/>
      <c r="X34" s="260"/>
      <c r="Y34" s="260"/>
      <c r="Z34" s="260"/>
      <c r="AA34" s="264"/>
      <c r="AB34" s="260"/>
      <c r="AC34" s="260"/>
      <c r="AD34" s="260"/>
      <c r="AE34" s="260"/>
      <c r="AF34" s="260"/>
      <c r="AG34" s="260"/>
      <c r="AH34" s="260"/>
    </row>
    <row r="35">
      <c r="A35" s="259"/>
      <c r="B35" s="260"/>
      <c r="C35" s="260"/>
      <c r="D35" s="260"/>
      <c r="E35" s="260"/>
      <c r="F35" s="260"/>
      <c r="G35" s="260"/>
      <c r="H35" s="260"/>
      <c r="I35" s="260"/>
      <c r="J35" s="261"/>
      <c r="K35" s="260"/>
      <c r="L35" s="260"/>
      <c r="M35" s="260"/>
      <c r="N35" s="260"/>
      <c r="O35" s="260"/>
      <c r="P35" s="260"/>
      <c r="Q35" s="260"/>
      <c r="R35" s="260"/>
      <c r="S35" s="260"/>
      <c r="T35" s="279"/>
      <c r="U35" s="260"/>
      <c r="V35" s="260"/>
      <c r="W35" s="260"/>
      <c r="X35" s="260"/>
      <c r="Y35" s="260"/>
      <c r="Z35" s="260"/>
      <c r="AA35" s="264"/>
      <c r="AB35" s="260"/>
      <c r="AC35" s="260"/>
      <c r="AD35" s="260"/>
      <c r="AE35" s="260"/>
      <c r="AF35" s="260"/>
      <c r="AG35" s="260"/>
      <c r="AH35" s="260"/>
    </row>
    <row r="36">
      <c r="A36" s="259"/>
      <c r="B36" s="260"/>
      <c r="C36" s="260"/>
      <c r="D36" s="260"/>
      <c r="E36" s="260"/>
      <c r="F36" s="260"/>
      <c r="G36" s="260"/>
      <c r="H36" s="260"/>
      <c r="I36" s="260"/>
      <c r="J36" s="261"/>
      <c r="K36" s="260"/>
      <c r="L36" s="260"/>
      <c r="M36" s="260"/>
      <c r="N36" s="260"/>
      <c r="O36" s="260"/>
      <c r="P36" s="260"/>
      <c r="Q36" s="260"/>
      <c r="R36" s="260"/>
      <c r="S36" s="260"/>
      <c r="T36" s="279"/>
      <c r="U36" s="260"/>
      <c r="V36" s="260"/>
      <c r="W36" s="260"/>
      <c r="X36" s="260"/>
      <c r="Y36" s="260"/>
      <c r="Z36" s="260"/>
      <c r="AA36" s="264"/>
      <c r="AB36" s="260"/>
      <c r="AC36" s="260"/>
      <c r="AD36" s="260"/>
      <c r="AE36" s="260"/>
      <c r="AF36" s="260"/>
      <c r="AG36" s="260"/>
      <c r="AH36" s="260"/>
    </row>
    <row r="37">
      <c r="A37" s="259"/>
      <c r="B37" s="260"/>
      <c r="C37" s="260"/>
      <c r="D37" s="260"/>
      <c r="E37" s="260"/>
      <c r="F37" s="260"/>
      <c r="G37" s="260"/>
      <c r="H37" s="260"/>
      <c r="I37" s="260"/>
      <c r="J37" s="261"/>
      <c r="K37" s="260"/>
      <c r="L37" s="260"/>
      <c r="M37" s="260"/>
      <c r="N37" s="260"/>
      <c r="O37" s="260"/>
      <c r="P37" s="260"/>
      <c r="Q37" s="260"/>
      <c r="R37" s="260"/>
      <c r="S37" s="260"/>
      <c r="T37" s="279"/>
      <c r="U37" s="260"/>
      <c r="V37" s="260"/>
      <c r="W37" s="260"/>
      <c r="X37" s="260"/>
      <c r="Y37" s="260"/>
      <c r="Z37" s="260"/>
      <c r="AA37" s="264"/>
      <c r="AB37" s="260"/>
      <c r="AC37" s="260"/>
      <c r="AD37" s="260"/>
      <c r="AE37" s="260"/>
      <c r="AF37" s="260"/>
      <c r="AG37" s="260"/>
      <c r="AH37" s="260"/>
    </row>
    <row r="38">
      <c r="A38" s="259"/>
      <c r="B38" s="260"/>
      <c r="C38" s="260"/>
      <c r="D38" s="260"/>
      <c r="E38" s="260"/>
      <c r="F38" s="260"/>
      <c r="G38" s="260"/>
      <c r="H38" s="260"/>
      <c r="I38" s="260"/>
      <c r="J38" s="261"/>
      <c r="K38" s="260"/>
      <c r="L38" s="260"/>
      <c r="M38" s="260"/>
      <c r="N38" s="260"/>
      <c r="O38" s="260"/>
      <c r="P38" s="260"/>
      <c r="Q38" s="260"/>
      <c r="R38" s="260"/>
      <c r="S38" s="260"/>
      <c r="T38" s="279"/>
      <c r="U38" s="260"/>
      <c r="V38" s="260"/>
      <c r="W38" s="260"/>
      <c r="X38" s="260"/>
      <c r="Y38" s="260"/>
      <c r="Z38" s="260"/>
      <c r="AA38" s="264"/>
      <c r="AB38" s="260"/>
      <c r="AC38" s="260"/>
      <c r="AD38" s="260"/>
      <c r="AE38" s="260"/>
      <c r="AF38" s="260"/>
      <c r="AG38" s="260"/>
      <c r="AH38" s="260"/>
    </row>
    <row r="39">
      <c r="A39" s="259"/>
      <c r="B39" s="260"/>
      <c r="C39" s="260"/>
      <c r="D39" s="260"/>
      <c r="E39" s="260"/>
      <c r="F39" s="260"/>
      <c r="G39" s="260"/>
      <c r="H39" s="260"/>
      <c r="I39" s="260"/>
      <c r="J39" s="261"/>
      <c r="K39" s="260"/>
      <c r="L39" s="260"/>
      <c r="M39" s="260"/>
      <c r="N39" s="260"/>
      <c r="O39" s="260"/>
      <c r="P39" s="260"/>
      <c r="Q39" s="260"/>
      <c r="R39" s="260"/>
      <c r="S39" s="260"/>
      <c r="T39" s="279"/>
      <c r="U39" s="260"/>
      <c r="V39" s="260"/>
      <c r="W39" s="260"/>
      <c r="X39" s="260"/>
      <c r="Y39" s="260"/>
      <c r="Z39" s="260"/>
      <c r="AA39" s="264"/>
      <c r="AB39" s="260"/>
      <c r="AC39" s="260"/>
      <c r="AD39" s="260"/>
      <c r="AE39" s="260"/>
      <c r="AF39" s="260"/>
      <c r="AG39" s="260"/>
      <c r="AH39" s="260"/>
    </row>
    <row r="40">
      <c r="A40" s="259"/>
      <c r="B40" s="260"/>
      <c r="C40" s="260"/>
      <c r="D40" s="260"/>
      <c r="E40" s="260"/>
      <c r="F40" s="260"/>
      <c r="G40" s="260"/>
      <c r="H40" s="260"/>
      <c r="I40" s="260"/>
      <c r="J40" s="261"/>
      <c r="K40" s="260"/>
      <c r="L40" s="260"/>
      <c r="M40" s="260"/>
      <c r="N40" s="260"/>
      <c r="O40" s="260"/>
      <c r="P40" s="260"/>
      <c r="Q40" s="260"/>
      <c r="R40" s="260"/>
      <c r="S40" s="260"/>
      <c r="T40" s="279"/>
      <c r="U40" s="260"/>
      <c r="V40" s="260"/>
      <c r="W40" s="260"/>
      <c r="X40" s="260"/>
      <c r="Y40" s="260"/>
      <c r="Z40" s="260"/>
      <c r="AA40" s="264"/>
      <c r="AB40" s="260"/>
      <c r="AC40" s="260"/>
      <c r="AD40" s="260"/>
      <c r="AE40" s="260"/>
      <c r="AF40" s="260"/>
      <c r="AG40" s="260"/>
      <c r="AH40" s="260"/>
    </row>
    <row r="41">
      <c r="A41" s="259"/>
      <c r="B41" s="260"/>
      <c r="C41" s="260"/>
      <c r="D41" s="260"/>
      <c r="E41" s="260"/>
      <c r="F41" s="260"/>
      <c r="G41" s="260"/>
      <c r="H41" s="260"/>
      <c r="I41" s="260"/>
      <c r="J41" s="261"/>
      <c r="K41" s="260"/>
      <c r="L41" s="260"/>
      <c r="M41" s="260"/>
      <c r="N41" s="260"/>
      <c r="O41" s="260"/>
      <c r="P41" s="260"/>
      <c r="Q41" s="260"/>
      <c r="R41" s="260"/>
      <c r="S41" s="260"/>
      <c r="T41" s="279"/>
      <c r="U41" s="260"/>
      <c r="V41" s="260"/>
      <c r="W41" s="260"/>
      <c r="X41" s="260"/>
      <c r="Y41" s="260"/>
      <c r="Z41" s="260"/>
      <c r="AA41" s="264"/>
      <c r="AB41" s="260"/>
      <c r="AC41" s="260"/>
      <c r="AD41" s="260"/>
      <c r="AE41" s="260"/>
      <c r="AF41" s="260"/>
      <c r="AG41" s="260"/>
      <c r="AH41" s="260"/>
    </row>
    <row r="42">
      <c r="A42" s="259"/>
      <c r="B42" s="260"/>
      <c r="C42" s="260"/>
      <c r="D42" s="260"/>
      <c r="E42" s="260"/>
      <c r="F42" s="260"/>
      <c r="G42" s="260"/>
      <c r="H42" s="260"/>
      <c r="I42" s="260"/>
      <c r="J42" s="261"/>
      <c r="K42" s="260"/>
      <c r="L42" s="260"/>
      <c r="M42" s="260"/>
      <c r="N42" s="260"/>
      <c r="O42" s="260"/>
      <c r="P42" s="260"/>
      <c r="Q42" s="260"/>
      <c r="R42" s="260"/>
      <c r="S42" s="260"/>
      <c r="T42" s="279"/>
      <c r="U42" s="260"/>
      <c r="V42" s="260"/>
      <c r="W42" s="260"/>
      <c r="X42" s="260"/>
      <c r="Y42" s="260"/>
      <c r="Z42" s="260"/>
      <c r="AA42" s="264"/>
      <c r="AB42" s="260"/>
      <c r="AC42" s="260"/>
      <c r="AD42" s="260"/>
      <c r="AE42" s="260"/>
      <c r="AF42" s="260"/>
      <c r="AG42" s="260"/>
      <c r="AH42" s="260"/>
    </row>
    <row r="43">
      <c r="A43" s="259"/>
      <c r="B43" s="260"/>
      <c r="C43" s="260"/>
      <c r="D43" s="260"/>
      <c r="E43" s="260"/>
      <c r="F43" s="260"/>
      <c r="G43" s="260"/>
      <c r="H43" s="260"/>
      <c r="I43" s="260"/>
      <c r="J43" s="261"/>
      <c r="K43" s="260"/>
      <c r="L43" s="260"/>
      <c r="M43" s="260"/>
      <c r="N43" s="260"/>
      <c r="O43" s="260"/>
      <c r="P43" s="260"/>
      <c r="Q43" s="260"/>
      <c r="R43" s="260"/>
      <c r="S43" s="260"/>
      <c r="T43" s="279"/>
      <c r="U43" s="260"/>
      <c r="V43" s="260"/>
      <c r="W43" s="260"/>
      <c r="X43" s="260"/>
      <c r="Y43" s="260"/>
      <c r="Z43" s="260"/>
      <c r="AA43" s="264"/>
      <c r="AB43" s="260"/>
      <c r="AC43" s="260"/>
      <c r="AD43" s="260"/>
      <c r="AE43" s="260"/>
      <c r="AF43" s="260"/>
      <c r="AG43" s="260"/>
      <c r="AH43" s="260"/>
    </row>
    <row r="44">
      <c r="A44" s="259"/>
      <c r="B44" s="260"/>
      <c r="C44" s="260"/>
      <c r="D44" s="260"/>
      <c r="E44" s="260"/>
      <c r="F44" s="260"/>
      <c r="G44" s="260"/>
      <c r="H44" s="260"/>
      <c r="I44" s="260"/>
      <c r="J44" s="261"/>
      <c r="K44" s="260"/>
      <c r="L44" s="260"/>
      <c r="M44" s="260"/>
      <c r="N44" s="260"/>
      <c r="O44" s="260"/>
      <c r="P44" s="260"/>
      <c r="Q44" s="260"/>
      <c r="R44" s="260"/>
      <c r="S44" s="260"/>
      <c r="T44" s="279"/>
      <c r="U44" s="260"/>
      <c r="V44" s="260"/>
      <c r="W44" s="260"/>
      <c r="X44" s="260"/>
      <c r="Y44" s="260"/>
      <c r="Z44" s="260"/>
      <c r="AA44" s="264"/>
      <c r="AB44" s="260"/>
      <c r="AC44" s="260"/>
      <c r="AD44" s="260"/>
      <c r="AE44" s="260"/>
      <c r="AF44" s="260"/>
      <c r="AG44" s="260"/>
      <c r="AH44" s="260"/>
    </row>
    <row r="45">
      <c r="A45" s="259"/>
      <c r="B45" s="260"/>
      <c r="C45" s="260"/>
      <c r="D45" s="260"/>
      <c r="E45" s="260"/>
      <c r="F45" s="260"/>
      <c r="G45" s="260"/>
      <c r="H45" s="260"/>
      <c r="I45" s="260"/>
      <c r="J45" s="261"/>
      <c r="K45" s="260"/>
      <c r="L45" s="260"/>
      <c r="M45" s="260"/>
      <c r="N45" s="260"/>
      <c r="O45" s="260"/>
      <c r="P45" s="260"/>
      <c r="Q45" s="260"/>
      <c r="R45" s="260"/>
      <c r="S45" s="260"/>
      <c r="T45" s="279"/>
      <c r="U45" s="260"/>
      <c r="V45" s="260"/>
      <c r="W45" s="260"/>
      <c r="X45" s="260"/>
      <c r="Y45" s="260"/>
      <c r="Z45" s="260"/>
      <c r="AA45" s="264"/>
      <c r="AB45" s="260"/>
      <c r="AC45" s="260"/>
      <c r="AD45" s="260"/>
      <c r="AE45" s="260"/>
      <c r="AF45" s="260"/>
      <c r="AG45" s="260"/>
      <c r="AH45" s="260"/>
    </row>
    <row r="46">
      <c r="A46" s="259"/>
      <c r="B46" s="260"/>
      <c r="C46" s="260"/>
      <c r="D46" s="260"/>
      <c r="E46" s="260"/>
      <c r="F46" s="260"/>
      <c r="G46" s="260"/>
      <c r="H46" s="260"/>
      <c r="I46" s="260"/>
      <c r="J46" s="261"/>
      <c r="K46" s="260"/>
      <c r="L46" s="260"/>
      <c r="M46" s="260"/>
      <c r="N46" s="260"/>
      <c r="O46" s="260"/>
      <c r="P46" s="260"/>
      <c r="Q46" s="260"/>
      <c r="R46" s="260"/>
      <c r="S46" s="260"/>
      <c r="T46" s="279"/>
      <c r="U46" s="260"/>
      <c r="V46" s="260"/>
      <c r="W46" s="260"/>
      <c r="X46" s="260"/>
      <c r="Y46" s="260"/>
      <c r="Z46" s="260"/>
      <c r="AA46" s="264"/>
      <c r="AB46" s="260"/>
      <c r="AC46" s="260"/>
      <c r="AD46" s="260"/>
      <c r="AE46" s="260"/>
      <c r="AF46" s="260"/>
      <c r="AG46" s="260"/>
      <c r="AH46" s="260"/>
    </row>
    <row r="47">
      <c r="A47" s="259"/>
      <c r="B47" s="260"/>
      <c r="C47" s="260"/>
      <c r="D47" s="260"/>
      <c r="E47" s="260"/>
      <c r="F47" s="260"/>
      <c r="G47" s="260"/>
      <c r="H47" s="260"/>
      <c r="I47" s="260"/>
      <c r="J47" s="261"/>
      <c r="K47" s="260"/>
      <c r="L47" s="260"/>
      <c r="M47" s="260"/>
      <c r="N47" s="260"/>
      <c r="O47" s="260"/>
      <c r="P47" s="260"/>
      <c r="Q47" s="260"/>
      <c r="R47" s="260"/>
      <c r="S47" s="260"/>
      <c r="T47" s="279"/>
      <c r="U47" s="260"/>
      <c r="V47" s="260"/>
      <c r="W47" s="260"/>
      <c r="X47" s="260"/>
      <c r="Y47" s="260"/>
      <c r="Z47" s="260"/>
      <c r="AA47" s="264"/>
      <c r="AB47" s="260"/>
      <c r="AC47" s="260"/>
      <c r="AD47" s="260"/>
      <c r="AE47" s="260"/>
      <c r="AF47" s="260"/>
      <c r="AG47" s="260"/>
      <c r="AH47" s="260"/>
    </row>
    <row r="48">
      <c r="A48" s="259"/>
      <c r="B48" s="260"/>
      <c r="C48" s="260"/>
      <c r="D48" s="260"/>
      <c r="E48" s="260"/>
      <c r="F48" s="260"/>
      <c r="G48" s="260"/>
      <c r="H48" s="260"/>
      <c r="I48" s="260"/>
      <c r="J48" s="261"/>
      <c r="K48" s="260"/>
      <c r="L48" s="260"/>
      <c r="M48" s="260"/>
      <c r="N48" s="260"/>
      <c r="O48" s="260"/>
      <c r="P48" s="260"/>
      <c r="Q48" s="260"/>
      <c r="R48" s="260"/>
      <c r="S48" s="260"/>
      <c r="T48" s="279"/>
      <c r="U48" s="260"/>
      <c r="V48" s="260"/>
      <c r="W48" s="260"/>
      <c r="X48" s="260"/>
      <c r="Y48" s="260"/>
      <c r="Z48" s="260"/>
      <c r="AA48" s="264"/>
      <c r="AB48" s="260"/>
      <c r="AC48" s="260"/>
      <c r="AD48" s="260"/>
      <c r="AE48" s="260"/>
      <c r="AF48" s="260"/>
      <c r="AG48" s="260"/>
      <c r="AH48" s="260"/>
    </row>
    <row r="49">
      <c r="A49" s="259"/>
      <c r="B49" s="260"/>
      <c r="C49" s="260"/>
      <c r="D49" s="260"/>
      <c r="E49" s="260"/>
      <c r="F49" s="260"/>
      <c r="G49" s="260"/>
      <c r="H49" s="260"/>
      <c r="I49" s="260"/>
      <c r="J49" s="261"/>
      <c r="K49" s="260"/>
      <c r="L49" s="260"/>
      <c r="M49" s="260"/>
      <c r="N49" s="260"/>
      <c r="O49" s="260"/>
      <c r="P49" s="260"/>
      <c r="Q49" s="260"/>
      <c r="R49" s="260"/>
      <c r="S49" s="260"/>
      <c r="T49" s="279"/>
      <c r="U49" s="260"/>
      <c r="V49" s="260"/>
      <c r="W49" s="260"/>
      <c r="X49" s="260"/>
      <c r="Y49" s="260"/>
      <c r="Z49" s="260"/>
      <c r="AA49" s="264"/>
      <c r="AB49" s="260"/>
      <c r="AC49" s="260"/>
      <c r="AD49" s="260"/>
      <c r="AE49" s="260"/>
      <c r="AF49" s="260"/>
      <c r="AG49" s="260"/>
      <c r="AH49" s="260"/>
    </row>
    <row r="50">
      <c r="A50" s="259"/>
      <c r="B50" s="260"/>
      <c r="C50" s="260"/>
      <c r="D50" s="260"/>
      <c r="E50" s="260"/>
      <c r="F50" s="260"/>
      <c r="G50" s="260"/>
      <c r="H50" s="260"/>
      <c r="I50" s="260"/>
      <c r="J50" s="261"/>
      <c r="K50" s="260"/>
      <c r="L50" s="260"/>
      <c r="M50" s="260"/>
      <c r="N50" s="260"/>
      <c r="O50" s="260"/>
      <c r="P50" s="260"/>
      <c r="Q50" s="260"/>
      <c r="R50" s="260"/>
      <c r="S50" s="260"/>
      <c r="T50" s="279"/>
      <c r="U50" s="260"/>
      <c r="V50" s="260"/>
      <c r="W50" s="260"/>
      <c r="X50" s="260"/>
      <c r="Y50" s="260"/>
      <c r="Z50" s="260"/>
      <c r="AA50" s="264"/>
      <c r="AB50" s="260"/>
      <c r="AC50" s="260"/>
      <c r="AD50" s="260"/>
      <c r="AE50" s="260"/>
      <c r="AF50" s="260"/>
      <c r="AG50" s="260"/>
      <c r="AH50" s="260"/>
    </row>
    <row r="51">
      <c r="A51" s="259"/>
      <c r="B51" s="260"/>
      <c r="C51" s="260"/>
      <c r="D51" s="260"/>
      <c r="E51" s="260"/>
      <c r="F51" s="260"/>
      <c r="G51" s="260"/>
      <c r="H51" s="260"/>
      <c r="I51" s="260"/>
      <c r="J51" s="261"/>
      <c r="K51" s="260"/>
      <c r="L51" s="260"/>
      <c r="M51" s="260"/>
      <c r="N51" s="260"/>
      <c r="O51" s="260"/>
      <c r="P51" s="260"/>
      <c r="Q51" s="260"/>
      <c r="R51" s="260"/>
      <c r="S51" s="260"/>
      <c r="T51" s="279"/>
      <c r="U51" s="260"/>
      <c r="V51" s="260"/>
      <c r="W51" s="260"/>
      <c r="X51" s="260"/>
      <c r="Y51" s="260"/>
      <c r="Z51" s="260"/>
      <c r="AA51" s="264"/>
      <c r="AB51" s="260"/>
      <c r="AC51" s="260"/>
      <c r="AD51" s="260"/>
      <c r="AE51" s="260"/>
      <c r="AF51" s="260"/>
      <c r="AG51" s="260"/>
      <c r="AH51" s="260"/>
    </row>
    <row r="52">
      <c r="A52" s="259"/>
      <c r="B52" s="260"/>
      <c r="C52" s="260"/>
      <c r="D52" s="260"/>
      <c r="E52" s="260"/>
      <c r="F52" s="260"/>
      <c r="G52" s="260"/>
      <c r="H52" s="260"/>
      <c r="I52" s="260"/>
      <c r="J52" s="261"/>
      <c r="K52" s="260"/>
      <c r="L52" s="260"/>
      <c r="M52" s="260"/>
      <c r="N52" s="260"/>
      <c r="O52" s="260"/>
      <c r="P52" s="260"/>
      <c r="Q52" s="260"/>
      <c r="R52" s="260"/>
      <c r="S52" s="260"/>
      <c r="T52" s="279"/>
      <c r="U52" s="260"/>
      <c r="V52" s="260"/>
      <c r="W52" s="260"/>
      <c r="X52" s="260"/>
      <c r="Y52" s="260"/>
      <c r="Z52" s="260"/>
      <c r="AA52" s="264"/>
      <c r="AB52" s="260"/>
      <c r="AC52" s="260"/>
      <c r="AD52" s="260"/>
      <c r="AE52" s="260"/>
      <c r="AF52" s="260"/>
      <c r="AG52" s="260"/>
      <c r="AH52" s="260"/>
    </row>
    <row r="53">
      <c r="A53" s="259"/>
      <c r="B53" s="260"/>
      <c r="C53" s="260"/>
      <c r="D53" s="260"/>
      <c r="E53" s="260"/>
      <c r="F53" s="260"/>
      <c r="G53" s="260"/>
      <c r="H53" s="260"/>
      <c r="I53" s="260"/>
      <c r="J53" s="261"/>
      <c r="K53" s="260"/>
      <c r="L53" s="260"/>
      <c r="M53" s="260"/>
      <c r="N53" s="260"/>
      <c r="O53" s="260"/>
      <c r="P53" s="260"/>
      <c r="Q53" s="260"/>
      <c r="R53" s="260"/>
      <c r="S53" s="260"/>
      <c r="T53" s="279"/>
      <c r="U53" s="260"/>
      <c r="V53" s="260"/>
      <c r="W53" s="260"/>
      <c r="X53" s="260"/>
      <c r="Y53" s="260"/>
      <c r="Z53" s="260"/>
      <c r="AA53" s="264"/>
      <c r="AB53" s="260"/>
      <c r="AC53" s="260"/>
      <c r="AD53" s="260"/>
      <c r="AE53" s="260"/>
      <c r="AF53" s="260"/>
      <c r="AG53" s="260"/>
      <c r="AH53" s="260"/>
    </row>
    <row r="54">
      <c r="A54" s="259"/>
      <c r="B54" s="260"/>
      <c r="C54" s="260"/>
      <c r="D54" s="260"/>
      <c r="E54" s="260"/>
      <c r="F54" s="260"/>
      <c r="G54" s="260"/>
      <c r="H54" s="260"/>
      <c r="I54" s="260"/>
      <c r="J54" s="261"/>
      <c r="K54" s="260"/>
      <c r="L54" s="260"/>
      <c r="M54" s="260"/>
      <c r="N54" s="260"/>
      <c r="O54" s="260"/>
      <c r="P54" s="260"/>
      <c r="Q54" s="260"/>
      <c r="R54" s="260"/>
      <c r="S54" s="260"/>
      <c r="T54" s="279"/>
      <c r="U54" s="260"/>
      <c r="V54" s="260"/>
      <c r="W54" s="260"/>
      <c r="X54" s="260"/>
      <c r="Y54" s="260"/>
      <c r="Z54" s="260"/>
      <c r="AA54" s="264"/>
      <c r="AB54" s="260"/>
      <c r="AC54" s="260"/>
      <c r="AD54" s="260"/>
      <c r="AE54" s="260"/>
      <c r="AF54" s="260"/>
      <c r="AG54" s="260"/>
      <c r="AH54" s="260"/>
    </row>
    <row r="55">
      <c r="A55" s="259"/>
      <c r="B55" s="260"/>
      <c r="C55" s="260"/>
      <c r="D55" s="260"/>
      <c r="E55" s="260"/>
      <c r="F55" s="260"/>
      <c r="G55" s="260"/>
      <c r="H55" s="260"/>
      <c r="I55" s="260"/>
      <c r="J55" s="261"/>
      <c r="K55" s="260"/>
      <c r="L55" s="260"/>
      <c r="M55" s="260"/>
      <c r="N55" s="260"/>
      <c r="O55" s="260"/>
      <c r="P55" s="260"/>
      <c r="Q55" s="260"/>
      <c r="R55" s="260"/>
      <c r="S55" s="260"/>
      <c r="T55" s="279"/>
      <c r="U55" s="260"/>
      <c r="V55" s="260"/>
      <c r="W55" s="260"/>
      <c r="X55" s="260"/>
      <c r="Y55" s="260"/>
      <c r="Z55" s="260"/>
      <c r="AA55" s="264"/>
      <c r="AB55" s="260"/>
      <c r="AC55" s="260"/>
      <c r="AD55" s="260"/>
      <c r="AE55" s="260"/>
      <c r="AF55" s="260"/>
      <c r="AG55" s="260"/>
      <c r="AH55" s="260"/>
    </row>
    <row r="56">
      <c r="A56" s="259"/>
      <c r="B56" s="260"/>
      <c r="C56" s="260"/>
      <c r="D56" s="260"/>
      <c r="E56" s="260"/>
      <c r="F56" s="260"/>
      <c r="G56" s="260"/>
      <c r="H56" s="260"/>
      <c r="I56" s="260"/>
      <c r="J56" s="261"/>
      <c r="K56" s="260"/>
      <c r="L56" s="260"/>
      <c r="M56" s="260"/>
      <c r="N56" s="260"/>
      <c r="O56" s="260"/>
      <c r="P56" s="260"/>
      <c r="Q56" s="260"/>
      <c r="R56" s="260"/>
      <c r="S56" s="260"/>
      <c r="T56" s="279"/>
      <c r="U56" s="260"/>
      <c r="V56" s="260"/>
      <c r="W56" s="260"/>
      <c r="X56" s="260"/>
      <c r="Y56" s="260"/>
      <c r="Z56" s="260"/>
      <c r="AA56" s="264"/>
      <c r="AB56" s="260"/>
      <c r="AC56" s="260"/>
      <c r="AD56" s="260"/>
      <c r="AE56" s="260"/>
      <c r="AF56" s="260"/>
      <c r="AG56" s="260"/>
      <c r="AH56" s="260"/>
    </row>
    <row r="57">
      <c r="A57" s="259"/>
      <c r="B57" s="260"/>
      <c r="C57" s="260"/>
      <c r="D57" s="260"/>
      <c r="E57" s="260"/>
      <c r="F57" s="260"/>
      <c r="G57" s="260"/>
      <c r="H57" s="260"/>
      <c r="I57" s="260"/>
      <c r="J57" s="261"/>
      <c r="K57" s="260"/>
      <c r="L57" s="260"/>
      <c r="M57" s="260"/>
      <c r="N57" s="260"/>
      <c r="O57" s="260"/>
      <c r="P57" s="260"/>
      <c r="Q57" s="260"/>
      <c r="R57" s="260"/>
      <c r="S57" s="260"/>
      <c r="T57" s="279"/>
      <c r="U57" s="260"/>
      <c r="V57" s="260"/>
      <c r="W57" s="260"/>
      <c r="X57" s="260"/>
      <c r="Y57" s="260"/>
      <c r="Z57" s="260"/>
      <c r="AA57" s="264"/>
      <c r="AB57" s="260"/>
      <c r="AC57" s="260"/>
      <c r="AD57" s="260"/>
      <c r="AE57" s="260"/>
      <c r="AF57" s="260"/>
      <c r="AG57" s="260"/>
      <c r="AH57" s="260"/>
    </row>
    <row r="58">
      <c r="A58" s="259"/>
      <c r="B58" s="260"/>
      <c r="C58" s="260"/>
      <c r="D58" s="260"/>
      <c r="E58" s="260"/>
      <c r="F58" s="260"/>
      <c r="G58" s="260"/>
      <c r="H58" s="260"/>
      <c r="I58" s="260"/>
      <c r="J58" s="261"/>
      <c r="K58" s="260"/>
      <c r="L58" s="260"/>
      <c r="M58" s="260"/>
      <c r="N58" s="260"/>
      <c r="O58" s="260"/>
      <c r="P58" s="260"/>
      <c r="Q58" s="260"/>
      <c r="R58" s="260"/>
      <c r="S58" s="260"/>
      <c r="T58" s="279"/>
      <c r="U58" s="260"/>
      <c r="V58" s="260"/>
      <c r="W58" s="260"/>
      <c r="X58" s="260"/>
      <c r="Y58" s="260"/>
      <c r="Z58" s="260"/>
      <c r="AA58" s="264"/>
      <c r="AB58" s="260"/>
      <c r="AC58" s="260"/>
      <c r="AD58" s="260"/>
      <c r="AE58" s="260"/>
      <c r="AF58" s="260"/>
      <c r="AG58" s="260"/>
      <c r="AH58" s="260"/>
    </row>
    <row r="59">
      <c r="A59" s="259"/>
      <c r="B59" s="260"/>
      <c r="C59" s="260"/>
      <c r="D59" s="260"/>
      <c r="E59" s="260"/>
      <c r="F59" s="260"/>
      <c r="G59" s="260"/>
      <c r="H59" s="260"/>
      <c r="I59" s="260"/>
      <c r="J59" s="261"/>
      <c r="K59" s="260"/>
      <c r="L59" s="260"/>
      <c r="M59" s="260"/>
      <c r="N59" s="260"/>
      <c r="O59" s="260"/>
      <c r="P59" s="260"/>
      <c r="Q59" s="260"/>
      <c r="R59" s="260"/>
      <c r="S59" s="260"/>
      <c r="T59" s="279"/>
      <c r="U59" s="260"/>
      <c r="V59" s="260"/>
      <c r="W59" s="260"/>
      <c r="X59" s="260"/>
      <c r="Y59" s="260"/>
      <c r="Z59" s="260"/>
      <c r="AA59" s="264"/>
      <c r="AB59" s="260"/>
      <c r="AC59" s="260"/>
      <c r="AD59" s="260"/>
      <c r="AE59" s="260"/>
      <c r="AF59" s="260"/>
      <c r="AG59" s="260"/>
      <c r="AH59" s="260"/>
    </row>
    <row r="60">
      <c r="A60" s="259"/>
      <c r="B60" s="260"/>
      <c r="C60" s="260"/>
      <c r="D60" s="260"/>
      <c r="E60" s="260"/>
      <c r="F60" s="260"/>
      <c r="G60" s="260"/>
      <c r="H60" s="260"/>
      <c r="I60" s="260"/>
      <c r="J60" s="261"/>
      <c r="K60" s="260"/>
      <c r="L60" s="260"/>
      <c r="M60" s="260"/>
      <c r="N60" s="260"/>
      <c r="O60" s="260"/>
      <c r="P60" s="260"/>
      <c r="Q60" s="260"/>
      <c r="R60" s="260"/>
      <c r="S60" s="260"/>
      <c r="T60" s="279"/>
      <c r="U60" s="260"/>
      <c r="V60" s="260"/>
      <c r="W60" s="260"/>
      <c r="X60" s="260"/>
      <c r="Y60" s="260"/>
      <c r="Z60" s="260"/>
      <c r="AA60" s="264"/>
      <c r="AB60" s="260"/>
      <c r="AC60" s="260"/>
      <c r="AD60" s="260"/>
      <c r="AE60" s="260"/>
      <c r="AF60" s="260"/>
      <c r="AG60" s="260"/>
      <c r="AH60" s="260"/>
    </row>
    <row r="61">
      <c r="A61" s="259"/>
      <c r="B61" s="260"/>
      <c r="C61" s="260"/>
      <c r="D61" s="260"/>
      <c r="E61" s="260"/>
      <c r="F61" s="260"/>
      <c r="G61" s="260"/>
      <c r="H61" s="260"/>
      <c r="I61" s="260"/>
      <c r="J61" s="261"/>
      <c r="K61" s="260"/>
      <c r="L61" s="260"/>
      <c r="M61" s="260"/>
      <c r="N61" s="260"/>
      <c r="O61" s="260"/>
      <c r="P61" s="260"/>
      <c r="Q61" s="260"/>
      <c r="R61" s="260"/>
      <c r="S61" s="260"/>
      <c r="T61" s="279"/>
      <c r="U61" s="260"/>
      <c r="V61" s="260"/>
      <c r="W61" s="260"/>
      <c r="X61" s="260"/>
      <c r="Y61" s="260"/>
      <c r="Z61" s="260"/>
      <c r="AA61" s="264"/>
      <c r="AB61" s="260"/>
      <c r="AC61" s="260"/>
      <c r="AD61" s="260"/>
      <c r="AE61" s="260"/>
      <c r="AF61" s="260"/>
      <c r="AG61" s="260"/>
      <c r="AH61" s="260"/>
    </row>
    <row r="62">
      <c r="A62" s="259"/>
      <c r="B62" s="260"/>
      <c r="C62" s="260"/>
      <c r="D62" s="260"/>
      <c r="E62" s="260"/>
      <c r="F62" s="260"/>
      <c r="G62" s="260"/>
      <c r="H62" s="260"/>
      <c r="I62" s="260"/>
      <c r="J62" s="261"/>
      <c r="K62" s="260"/>
      <c r="L62" s="260"/>
      <c r="M62" s="260"/>
      <c r="N62" s="260"/>
      <c r="O62" s="260"/>
      <c r="P62" s="260"/>
      <c r="Q62" s="260"/>
      <c r="R62" s="260"/>
      <c r="S62" s="260"/>
      <c r="T62" s="279"/>
      <c r="U62" s="260"/>
      <c r="V62" s="260"/>
      <c r="W62" s="260"/>
      <c r="X62" s="260"/>
      <c r="Y62" s="260"/>
      <c r="Z62" s="260"/>
      <c r="AA62" s="264"/>
      <c r="AB62" s="260"/>
      <c r="AC62" s="260"/>
      <c r="AD62" s="260"/>
      <c r="AE62" s="260"/>
      <c r="AF62" s="260"/>
      <c r="AG62" s="260"/>
      <c r="AH62" s="260"/>
    </row>
    <row r="63">
      <c r="A63" s="259"/>
      <c r="B63" s="260"/>
      <c r="C63" s="260"/>
      <c r="D63" s="260"/>
      <c r="E63" s="260"/>
      <c r="F63" s="260"/>
      <c r="G63" s="260"/>
      <c r="H63" s="260"/>
      <c r="I63" s="260"/>
      <c r="J63" s="261"/>
      <c r="K63" s="260"/>
      <c r="L63" s="260"/>
      <c r="M63" s="260"/>
      <c r="N63" s="260"/>
      <c r="O63" s="260"/>
      <c r="P63" s="260"/>
      <c r="Q63" s="260"/>
      <c r="R63" s="260"/>
      <c r="S63" s="260"/>
      <c r="T63" s="279"/>
      <c r="U63" s="260"/>
      <c r="V63" s="260"/>
      <c r="W63" s="260"/>
      <c r="X63" s="260"/>
      <c r="Y63" s="260"/>
      <c r="Z63" s="260"/>
      <c r="AA63" s="264"/>
      <c r="AB63" s="260"/>
      <c r="AC63" s="260"/>
      <c r="AD63" s="260"/>
      <c r="AE63" s="260"/>
      <c r="AF63" s="260"/>
      <c r="AG63" s="260"/>
      <c r="AH63" s="260"/>
    </row>
    <row r="64">
      <c r="A64" s="259"/>
      <c r="B64" s="260"/>
      <c r="C64" s="260"/>
      <c r="D64" s="260"/>
      <c r="E64" s="260"/>
      <c r="F64" s="260"/>
      <c r="G64" s="260"/>
      <c r="H64" s="260"/>
      <c r="I64" s="260"/>
      <c r="J64" s="261"/>
      <c r="K64" s="260"/>
      <c r="L64" s="260"/>
      <c r="M64" s="260"/>
      <c r="N64" s="260"/>
      <c r="O64" s="260"/>
      <c r="P64" s="260"/>
      <c r="Q64" s="260"/>
      <c r="R64" s="260"/>
      <c r="S64" s="260"/>
      <c r="T64" s="279"/>
      <c r="U64" s="260"/>
      <c r="V64" s="260"/>
      <c r="W64" s="260"/>
      <c r="X64" s="260"/>
      <c r="Y64" s="260"/>
      <c r="Z64" s="260"/>
      <c r="AA64" s="264"/>
      <c r="AB64" s="260"/>
      <c r="AC64" s="260"/>
      <c r="AD64" s="260"/>
      <c r="AE64" s="260"/>
      <c r="AF64" s="260"/>
      <c r="AG64" s="260"/>
      <c r="AH64" s="260"/>
    </row>
    <row r="65">
      <c r="A65" s="259"/>
      <c r="B65" s="260"/>
      <c r="C65" s="260"/>
      <c r="D65" s="260"/>
      <c r="E65" s="260"/>
      <c r="F65" s="260"/>
      <c r="G65" s="260"/>
      <c r="H65" s="260"/>
      <c r="I65" s="260"/>
      <c r="J65" s="261"/>
      <c r="K65" s="260"/>
      <c r="L65" s="260"/>
      <c r="M65" s="260"/>
      <c r="N65" s="260"/>
      <c r="O65" s="260"/>
      <c r="P65" s="260"/>
      <c r="Q65" s="260"/>
      <c r="R65" s="260"/>
      <c r="S65" s="260"/>
      <c r="T65" s="279"/>
      <c r="U65" s="260"/>
      <c r="V65" s="260"/>
      <c r="W65" s="260"/>
      <c r="X65" s="260"/>
      <c r="Y65" s="260"/>
      <c r="Z65" s="260"/>
      <c r="AA65" s="264"/>
      <c r="AB65" s="260"/>
      <c r="AC65" s="260"/>
      <c r="AD65" s="260"/>
      <c r="AE65" s="260"/>
      <c r="AF65" s="260"/>
      <c r="AG65" s="260"/>
      <c r="AH65" s="260"/>
    </row>
    <row r="66">
      <c r="A66" s="259"/>
      <c r="B66" s="260"/>
      <c r="C66" s="260"/>
      <c r="D66" s="260"/>
      <c r="E66" s="260"/>
      <c r="F66" s="260"/>
      <c r="G66" s="260"/>
      <c r="H66" s="260"/>
      <c r="I66" s="260"/>
      <c r="J66" s="261"/>
      <c r="K66" s="260"/>
      <c r="L66" s="260"/>
      <c r="M66" s="260"/>
      <c r="N66" s="260"/>
      <c r="O66" s="260"/>
      <c r="P66" s="260"/>
      <c r="Q66" s="260"/>
      <c r="R66" s="260"/>
      <c r="S66" s="260"/>
      <c r="T66" s="279"/>
      <c r="U66" s="260"/>
      <c r="V66" s="260"/>
      <c r="W66" s="260"/>
      <c r="X66" s="260"/>
      <c r="Y66" s="260"/>
      <c r="Z66" s="260"/>
      <c r="AA66" s="264"/>
      <c r="AB66" s="260"/>
      <c r="AC66" s="260"/>
      <c r="AD66" s="260"/>
      <c r="AE66" s="260"/>
      <c r="AF66" s="260"/>
      <c r="AG66" s="260"/>
      <c r="AH66" s="260"/>
    </row>
    <row r="67">
      <c r="A67" s="259"/>
      <c r="B67" s="260"/>
      <c r="C67" s="260"/>
      <c r="D67" s="260"/>
      <c r="E67" s="260"/>
      <c r="F67" s="260"/>
      <c r="G67" s="260"/>
      <c r="H67" s="260"/>
      <c r="I67" s="260"/>
      <c r="J67" s="261"/>
      <c r="K67" s="260"/>
      <c r="L67" s="260"/>
      <c r="M67" s="260"/>
      <c r="N67" s="260"/>
      <c r="O67" s="260"/>
      <c r="P67" s="260"/>
      <c r="Q67" s="260"/>
      <c r="R67" s="260"/>
      <c r="S67" s="260"/>
      <c r="T67" s="279"/>
      <c r="U67" s="260"/>
      <c r="V67" s="260"/>
      <c r="W67" s="260"/>
      <c r="X67" s="260"/>
      <c r="Y67" s="260"/>
      <c r="Z67" s="260"/>
      <c r="AA67" s="264"/>
      <c r="AB67" s="260"/>
      <c r="AC67" s="260"/>
      <c r="AD67" s="260"/>
      <c r="AE67" s="260"/>
      <c r="AF67" s="260"/>
      <c r="AG67" s="260"/>
      <c r="AH67" s="260"/>
    </row>
    <row r="68">
      <c r="A68" s="259"/>
      <c r="B68" s="260"/>
      <c r="C68" s="260"/>
      <c r="D68" s="260"/>
      <c r="E68" s="260"/>
      <c r="F68" s="260"/>
      <c r="G68" s="260"/>
      <c r="H68" s="260"/>
      <c r="I68" s="260"/>
      <c r="J68" s="261"/>
      <c r="K68" s="260"/>
      <c r="L68" s="260"/>
      <c r="M68" s="260"/>
      <c r="N68" s="260"/>
      <c r="O68" s="260"/>
      <c r="P68" s="260"/>
      <c r="Q68" s="260"/>
      <c r="R68" s="260"/>
      <c r="S68" s="260"/>
      <c r="T68" s="279"/>
      <c r="U68" s="260"/>
      <c r="V68" s="260"/>
      <c r="W68" s="260"/>
      <c r="X68" s="260"/>
      <c r="Y68" s="260"/>
      <c r="Z68" s="260"/>
      <c r="AA68" s="264"/>
      <c r="AB68" s="260"/>
      <c r="AC68" s="260"/>
      <c r="AD68" s="260"/>
      <c r="AE68" s="260"/>
      <c r="AF68" s="260"/>
      <c r="AG68" s="260"/>
      <c r="AH68" s="260"/>
    </row>
    <row r="69">
      <c r="A69" s="259"/>
      <c r="B69" s="260"/>
      <c r="C69" s="260"/>
      <c r="D69" s="260"/>
      <c r="E69" s="260"/>
      <c r="F69" s="260"/>
      <c r="G69" s="260"/>
      <c r="H69" s="260"/>
      <c r="I69" s="260"/>
      <c r="J69" s="261"/>
      <c r="K69" s="260"/>
      <c r="L69" s="260"/>
      <c r="M69" s="260"/>
      <c r="N69" s="260"/>
      <c r="O69" s="260"/>
      <c r="P69" s="260"/>
      <c r="Q69" s="260"/>
      <c r="R69" s="260"/>
      <c r="S69" s="260"/>
      <c r="T69" s="279"/>
      <c r="U69" s="260"/>
      <c r="V69" s="260"/>
      <c r="W69" s="260"/>
      <c r="X69" s="260"/>
      <c r="Y69" s="260"/>
      <c r="Z69" s="260"/>
      <c r="AA69" s="264"/>
      <c r="AB69" s="260"/>
      <c r="AC69" s="260"/>
      <c r="AD69" s="260"/>
      <c r="AE69" s="260"/>
      <c r="AF69" s="260"/>
      <c r="AG69" s="260"/>
      <c r="AH69" s="260"/>
    </row>
    <row r="70">
      <c r="A70" s="259"/>
      <c r="B70" s="260"/>
      <c r="C70" s="260"/>
      <c r="D70" s="260"/>
      <c r="E70" s="260"/>
      <c r="F70" s="260"/>
      <c r="G70" s="260"/>
      <c r="H70" s="260"/>
      <c r="I70" s="260"/>
      <c r="J70" s="261"/>
      <c r="K70" s="260"/>
      <c r="L70" s="260"/>
      <c r="M70" s="260"/>
      <c r="N70" s="260"/>
      <c r="O70" s="260"/>
      <c r="P70" s="260"/>
      <c r="Q70" s="260"/>
      <c r="R70" s="260"/>
      <c r="S70" s="260"/>
      <c r="T70" s="279"/>
      <c r="U70" s="260"/>
      <c r="V70" s="260"/>
      <c r="W70" s="260"/>
      <c r="X70" s="260"/>
      <c r="Y70" s="260"/>
      <c r="Z70" s="260"/>
      <c r="AA70" s="264"/>
      <c r="AB70" s="260"/>
      <c r="AC70" s="260"/>
      <c r="AD70" s="260"/>
      <c r="AE70" s="260"/>
      <c r="AF70" s="260"/>
      <c r="AG70" s="260"/>
      <c r="AH70" s="260"/>
    </row>
    <row r="71">
      <c r="A71" s="259"/>
      <c r="B71" s="260"/>
      <c r="C71" s="260"/>
      <c r="D71" s="260"/>
      <c r="E71" s="260"/>
      <c r="F71" s="260"/>
      <c r="G71" s="260"/>
      <c r="H71" s="260"/>
      <c r="I71" s="260"/>
      <c r="J71" s="261"/>
      <c r="K71" s="260"/>
      <c r="L71" s="260"/>
      <c r="M71" s="260"/>
      <c r="N71" s="260"/>
      <c r="O71" s="260"/>
      <c r="P71" s="260"/>
      <c r="Q71" s="260"/>
      <c r="R71" s="260"/>
      <c r="S71" s="260"/>
      <c r="T71" s="279"/>
      <c r="U71" s="260"/>
      <c r="V71" s="260"/>
      <c r="W71" s="260"/>
      <c r="X71" s="260"/>
      <c r="Y71" s="260"/>
      <c r="Z71" s="260"/>
      <c r="AA71" s="264"/>
      <c r="AB71" s="260"/>
      <c r="AC71" s="260"/>
      <c r="AD71" s="260"/>
      <c r="AE71" s="260"/>
      <c r="AF71" s="260"/>
      <c r="AG71" s="260"/>
      <c r="AH71" s="260"/>
    </row>
    <row r="72">
      <c r="A72" s="259"/>
      <c r="B72" s="260"/>
      <c r="C72" s="260"/>
      <c r="D72" s="260"/>
      <c r="E72" s="260"/>
      <c r="F72" s="260"/>
      <c r="G72" s="260"/>
      <c r="H72" s="260"/>
      <c r="I72" s="260"/>
      <c r="J72" s="261"/>
      <c r="K72" s="260"/>
      <c r="L72" s="260"/>
      <c r="M72" s="260"/>
      <c r="N72" s="260"/>
      <c r="O72" s="260"/>
      <c r="P72" s="260"/>
      <c r="Q72" s="260"/>
      <c r="R72" s="260"/>
      <c r="S72" s="260"/>
      <c r="T72" s="279"/>
      <c r="U72" s="260"/>
      <c r="V72" s="260"/>
      <c r="W72" s="260"/>
      <c r="X72" s="260"/>
      <c r="Y72" s="260"/>
      <c r="Z72" s="260"/>
      <c r="AA72" s="264"/>
      <c r="AB72" s="260"/>
      <c r="AC72" s="260"/>
      <c r="AD72" s="260"/>
      <c r="AE72" s="260"/>
      <c r="AF72" s="260"/>
      <c r="AG72" s="260"/>
      <c r="AH72" s="260"/>
    </row>
    <row r="73">
      <c r="A73" s="259"/>
      <c r="B73" s="260"/>
      <c r="C73" s="260"/>
      <c r="D73" s="260"/>
      <c r="E73" s="260"/>
      <c r="F73" s="260"/>
      <c r="G73" s="260"/>
      <c r="H73" s="260"/>
      <c r="I73" s="260"/>
      <c r="J73" s="261"/>
      <c r="K73" s="260"/>
      <c r="L73" s="260"/>
      <c r="M73" s="260"/>
      <c r="N73" s="260"/>
      <c r="O73" s="260"/>
      <c r="P73" s="260"/>
      <c r="Q73" s="260"/>
      <c r="R73" s="260"/>
      <c r="S73" s="260"/>
      <c r="T73" s="279"/>
      <c r="U73" s="260"/>
      <c r="V73" s="260"/>
      <c r="W73" s="260"/>
      <c r="X73" s="260"/>
      <c r="Y73" s="260"/>
      <c r="Z73" s="260"/>
      <c r="AA73" s="264"/>
      <c r="AB73" s="260"/>
      <c r="AC73" s="260"/>
      <c r="AD73" s="260"/>
      <c r="AE73" s="260"/>
      <c r="AF73" s="260"/>
      <c r="AG73" s="260"/>
      <c r="AH73" s="260"/>
    </row>
    <row r="74">
      <c r="A74" s="259"/>
      <c r="B74" s="260"/>
      <c r="C74" s="260"/>
      <c r="D74" s="260"/>
      <c r="E74" s="260"/>
      <c r="F74" s="260"/>
      <c r="G74" s="260"/>
      <c r="H74" s="260"/>
      <c r="I74" s="260"/>
      <c r="J74" s="261"/>
      <c r="K74" s="260"/>
      <c r="L74" s="260"/>
      <c r="M74" s="260"/>
      <c r="N74" s="260"/>
      <c r="O74" s="260"/>
      <c r="P74" s="260"/>
      <c r="Q74" s="260"/>
      <c r="R74" s="260"/>
      <c r="S74" s="260"/>
      <c r="T74" s="279"/>
      <c r="U74" s="260"/>
      <c r="V74" s="260"/>
      <c r="W74" s="260"/>
      <c r="X74" s="260"/>
      <c r="Y74" s="260"/>
      <c r="Z74" s="260"/>
      <c r="AA74" s="264"/>
      <c r="AB74" s="260"/>
      <c r="AC74" s="260"/>
      <c r="AD74" s="260"/>
      <c r="AE74" s="260"/>
      <c r="AF74" s="260"/>
      <c r="AG74" s="260"/>
      <c r="AH74" s="260"/>
    </row>
    <row r="75">
      <c r="A75" s="259"/>
      <c r="B75" s="260"/>
      <c r="C75" s="260"/>
      <c r="D75" s="260"/>
      <c r="E75" s="260"/>
      <c r="F75" s="260"/>
      <c r="G75" s="260"/>
      <c r="H75" s="260"/>
      <c r="I75" s="260"/>
      <c r="J75" s="261"/>
      <c r="K75" s="260"/>
      <c r="L75" s="260"/>
      <c r="M75" s="260"/>
      <c r="N75" s="260"/>
      <c r="O75" s="260"/>
      <c r="P75" s="260"/>
      <c r="Q75" s="260"/>
      <c r="R75" s="260"/>
      <c r="S75" s="260"/>
      <c r="T75" s="279"/>
      <c r="U75" s="260"/>
      <c r="V75" s="260"/>
      <c r="W75" s="260"/>
      <c r="X75" s="260"/>
      <c r="Y75" s="260"/>
      <c r="Z75" s="260"/>
      <c r="AA75" s="264"/>
      <c r="AB75" s="260"/>
      <c r="AC75" s="260"/>
      <c r="AD75" s="260"/>
      <c r="AE75" s="260"/>
      <c r="AF75" s="260"/>
      <c r="AG75" s="260"/>
      <c r="AH75" s="260"/>
    </row>
    <row r="76">
      <c r="A76" s="259"/>
      <c r="B76" s="260"/>
      <c r="C76" s="260"/>
      <c r="D76" s="260"/>
      <c r="E76" s="260"/>
      <c r="F76" s="260"/>
      <c r="G76" s="260"/>
      <c r="H76" s="260"/>
      <c r="I76" s="260"/>
      <c r="J76" s="261"/>
      <c r="K76" s="260"/>
      <c r="L76" s="260"/>
      <c r="M76" s="260"/>
      <c r="N76" s="260"/>
      <c r="O76" s="260"/>
      <c r="P76" s="260"/>
      <c r="Q76" s="260"/>
      <c r="R76" s="260"/>
      <c r="S76" s="260"/>
      <c r="T76" s="279"/>
      <c r="U76" s="260"/>
      <c r="V76" s="260"/>
      <c r="W76" s="260"/>
      <c r="X76" s="260"/>
      <c r="Y76" s="260"/>
      <c r="Z76" s="260"/>
      <c r="AA76" s="264"/>
      <c r="AB76" s="260"/>
      <c r="AC76" s="260"/>
      <c r="AD76" s="260"/>
      <c r="AE76" s="260"/>
      <c r="AF76" s="260"/>
      <c r="AG76" s="260"/>
      <c r="AH76" s="260"/>
    </row>
    <row r="77">
      <c r="A77" s="259"/>
      <c r="B77" s="260"/>
      <c r="C77" s="260"/>
      <c r="D77" s="260"/>
      <c r="E77" s="260"/>
      <c r="F77" s="260"/>
      <c r="G77" s="260"/>
      <c r="H77" s="260"/>
      <c r="I77" s="260"/>
      <c r="J77" s="261"/>
      <c r="K77" s="260"/>
      <c r="L77" s="260"/>
      <c r="M77" s="260"/>
      <c r="N77" s="260"/>
      <c r="O77" s="260"/>
      <c r="P77" s="260"/>
      <c r="Q77" s="260"/>
      <c r="R77" s="260"/>
      <c r="S77" s="260"/>
      <c r="T77" s="279"/>
      <c r="U77" s="260"/>
      <c r="V77" s="260"/>
      <c r="W77" s="260"/>
      <c r="X77" s="260"/>
      <c r="Y77" s="260"/>
      <c r="Z77" s="260"/>
      <c r="AA77" s="264"/>
      <c r="AB77" s="260"/>
      <c r="AC77" s="260"/>
      <c r="AD77" s="260"/>
      <c r="AE77" s="260"/>
      <c r="AF77" s="260"/>
      <c r="AG77" s="260"/>
      <c r="AH77" s="260"/>
    </row>
    <row r="78">
      <c r="A78" s="259"/>
      <c r="B78" s="260"/>
      <c r="C78" s="260"/>
      <c r="D78" s="260"/>
      <c r="E78" s="260"/>
      <c r="F78" s="260"/>
      <c r="G78" s="260"/>
      <c r="H78" s="260"/>
      <c r="I78" s="260"/>
      <c r="J78" s="261"/>
      <c r="K78" s="260"/>
      <c r="L78" s="260"/>
      <c r="M78" s="260"/>
      <c r="N78" s="260"/>
      <c r="O78" s="260"/>
      <c r="P78" s="260"/>
      <c r="Q78" s="260"/>
      <c r="R78" s="260"/>
      <c r="S78" s="260"/>
      <c r="T78" s="279"/>
      <c r="U78" s="260"/>
      <c r="V78" s="260"/>
      <c r="W78" s="260"/>
      <c r="X78" s="260"/>
      <c r="Y78" s="260"/>
      <c r="Z78" s="260"/>
      <c r="AA78" s="264"/>
      <c r="AB78" s="260"/>
      <c r="AC78" s="260"/>
      <c r="AD78" s="260"/>
      <c r="AE78" s="260"/>
      <c r="AF78" s="260"/>
      <c r="AG78" s="260"/>
      <c r="AH78" s="260"/>
    </row>
    <row r="79">
      <c r="A79" s="259"/>
      <c r="B79" s="260"/>
      <c r="C79" s="260"/>
      <c r="D79" s="260"/>
      <c r="E79" s="260"/>
      <c r="F79" s="260"/>
      <c r="G79" s="260"/>
      <c r="H79" s="260"/>
      <c r="I79" s="260"/>
      <c r="J79" s="261"/>
      <c r="K79" s="260"/>
      <c r="L79" s="260"/>
      <c r="M79" s="260"/>
      <c r="N79" s="260"/>
      <c r="O79" s="260"/>
      <c r="P79" s="260"/>
      <c r="Q79" s="260"/>
      <c r="R79" s="260"/>
      <c r="S79" s="260"/>
      <c r="T79" s="279"/>
      <c r="U79" s="260"/>
      <c r="V79" s="260"/>
      <c r="W79" s="260"/>
      <c r="X79" s="260"/>
      <c r="Y79" s="260"/>
      <c r="Z79" s="260"/>
      <c r="AA79" s="264"/>
      <c r="AB79" s="260"/>
      <c r="AC79" s="260"/>
      <c r="AD79" s="260"/>
      <c r="AE79" s="260"/>
      <c r="AF79" s="260"/>
      <c r="AG79" s="260"/>
      <c r="AH79" s="260"/>
    </row>
    <row r="80">
      <c r="A80" s="259"/>
      <c r="B80" s="260"/>
      <c r="C80" s="260"/>
      <c r="D80" s="260"/>
      <c r="E80" s="260"/>
      <c r="F80" s="260"/>
      <c r="G80" s="260"/>
      <c r="H80" s="260"/>
      <c r="I80" s="260"/>
      <c r="J80" s="261"/>
      <c r="K80" s="260"/>
      <c r="L80" s="260"/>
      <c r="M80" s="260"/>
      <c r="N80" s="260"/>
      <c r="O80" s="260"/>
      <c r="P80" s="260"/>
      <c r="Q80" s="260"/>
      <c r="R80" s="260"/>
      <c r="S80" s="260"/>
      <c r="T80" s="279"/>
      <c r="U80" s="260"/>
      <c r="V80" s="260"/>
      <c r="W80" s="260"/>
      <c r="X80" s="260"/>
      <c r="Y80" s="260"/>
      <c r="Z80" s="260"/>
      <c r="AA80" s="264"/>
      <c r="AB80" s="260"/>
      <c r="AC80" s="260"/>
      <c r="AD80" s="260"/>
      <c r="AE80" s="260"/>
      <c r="AF80" s="260"/>
      <c r="AG80" s="260"/>
      <c r="AH80" s="260"/>
    </row>
    <row r="81">
      <c r="A81" s="259"/>
      <c r="B81" s="260"/>
      <c r="C81" s="260"/>
      <c r="D81" s="260"/>
      <c r="E81" s="260"/>
      <c r="F81" s="260"/>
      <c r="G81" s="260"/>
      <c r="H81" s="260"/>
      <c r="I81" s="260"/>
      <c r="J81" s="261"/>
      <c r="K81" s="260"/>
      <c r="L81" s="260"/>
      <c r="M81" s="260"/>
      <c r="N81" s="260"/>
      <c r="O81" s="260"/>
      <c r="P81" s="260"/>
      <c r="Q81" s="260"/>
      <c r="R81" s="260"/>
      <c r="S81" s="260"/>
      <c r="T81" s="279"/>
      <c r="U81" s="260"/>
      <c r="V81" s="260"/>
      <c r="W81" s="260"/>
      <c r="X81" s="260"/>
      <c r="Y81" s="260"/>
      <c r="Z81" s="260"/>
      <c r="AA81" s="264"/>
      <c r="AB81" s="260"/>
      <c r="AC81" s="260"/>
      <c r="AD81" s="260"/>
      <c r="AE81" s="260"/>
      <c r="AF81" s="260"/>
      <c r="AG81" s="260"/>
      <c r="AH81" s="260"/>
    </row>
    <row r="82">
      <c r="A82" s="259"/>
      <c r="B82" s="260"/>
      <c r="C82" s="260"/>
      <c r="D82" s="260"/>
      <c r="E82" s="260"/>
      <c r="F82" s="260"/>
      <c r="G82" s="260"/>
      <c r="H82" s="260"/>
      <c r="I82" s="260"/>
      <c r="J82" s="261"/>
      <c r="K82" s="260"/>
      <c r="L82" s="260"/>
      <c r="M82" s="260"/>
      <c r="N82" s="260"/>
      <c r="O82" s="260"/>
      <c r="P82" s="260"/>
      <c r="Q82" s="260"/>
      <c r="R82" s="260"/>
      <c r="S82" s="260"/>
      <c r="T82" s="279"/>
      <c r="U82" s="260"/>
      <c r="V82" s="260"/>
      <c r="W82" s="260"/>
      <c r="X82" s="260"/>
      <c r="Y82" s="260"/>
      <c r="Z82" s="260"/>
      <c r="AA82" s="264"/>
      <c r="AB82" s="260"/>
      <c r="AC82" s="260"/>
      <c r="AD82" s="260"/>
      <c r="AE82" s="260"/>
      <c r="AF82" s="260"/>
      <c r="AG82" s="260"/>
      <c r="AH82" s="260"/>
    </row>
    <row r="83">
      <c r="A83" s="259"/>
      <c r="B83" s="260"/>
      <c r="C83" s="260"/>
      <c r="D83" s="260"/>
      <c r="E83" s="260"/>
      <c r="F83" s="260"/>
      <c r="G83" s="260"/>
      <c r="H83" s="260"/>
      <c r="I83" s="260"/>
      <c r="J83" s="261"/>
      <c r="K83" s="260"/>
      <c r="L83" s="260"/>
      <c r="M83" s="260"/>
      <c r="N83" s="260"/>
      <c r="O83" s="260"/>
      <c r="P83" s="260"/>
      <c r="Q83" s="260"/>
      <c r="R83" s="260"/>
      <c r="S83" s="260"/>
      <c r="T83" s="279"/>
      <c r="U83" s="260"/>
      <c r="V83" s="260"/>
      <c r="W83" s="260"/>
      <c r="X83" s="260"/>
      <c r="Y83" s="260"/>
      <c r="Z83" s="260"/>
      <c r="AA83" s="264"/>
      <c r="AB83" s="260"/>
      <c r="AC83" s="260"/>
      <c r="AD83" s="260"/>
      <c r="AE83" s="260"/>
      <c r="AF83" s="260"/>
      <c r="AG83" s="260"/>
      <c r="AH83" s="260"/>
    </row>
    <row r="84">
      <c r="A84" s="259"/>
      <c r="B84" s="260"/>
      <c r="C84" s="260"/>
      <c r="D84" s="260"/>
      <c r="E84" s="260"/>
      <c r="F84" s="260"/>
      <c r="G84" s="260"/>
      <c r="H84" s="260"/>
      <c r="I84" s="260"/>
      <c r="J84" s="261"/>
      <c r="K84" s="260"/>
      <c r="L84" s="260"/>
      <c r="M84" s="260"/>
      <c r="N84" s="260"/>
      <c r="O84" s="260"/>
      <c r="P84" s="260"/>
      <c r="Q84" s="260"/>
      <c r="R84" s="260"/>
      <c r="S84" s="260"/>
      <c r="T84" s="279"/>
      <c r="U84" s="260"/>
      <c r="V84" s="260"/>
      <c r="W84" s="260"/>
      <c r="X84" s="260"/>
      <c r="Y84" s="260"/>
      <c r="Z84" s="260"/>
      <c r="AA84" s="264"/>
      <c r="AB84" s="260"/>
      <c r="AC84" s="260"/>
      <c r="AD84" s="260"/>
      <c r="AE84" s="260"/>
      <c r="AF84" s="260"/>
      <c r="AG84" s="260"/>
      <c r="AH84" s="260"/>
    </row>
    <row r="85">
      <c r="A85" s="259"/>
      <c r="B85" s="260"/>
      <c r="C85" s="260"/>
      <c r="D85" s="260"/>
      <c r="E85" s="260"/>
      <c r="F85" s="260"/>
      <c r="G85" s="260"/>
      <c r="H85" s="260"/>
      <c r="I85" s="260"/>
      <c r="J85" s="261"/>
      <c r="K85" s="260"/>
      <c r="L85" s="260"/>
      <c r="M85" s="260"/>
      <c r="N85" s="260"/>
      <c r="O85" s="260"/>
      <c r="P85" s="260"/>
      <c r="Q85" s="260"/>
      <c r="R85" s="260"/>
      <c r="S85" s="260"/>
      <c r="T85" s="279"/>
      <c r="U85" s="260"/>
      <c r="V85" s="260"/>
      <c r="W85" s="260"/>
      <c r="X85" s="260"/>
      <c r="Y85" s="260"/>
      <c r="Z85" s="260"/>
      <c r="AA85" s="264"/>
      <c r="AB85" s="260"/>
      <c r="AC85" s="260"/>
      <c r="AD85" s="260"/>
      <c r="AE85" s="260"/>
      <c r="AF85" s="260"/>
      <c r="AG85" s="260"/>
      <c r="AH85" s="260"/>
    </row>
    <row r="86">
      <c r="A86" s="259"/>
      <c r="B86" s="260"/>
      <c r="C86" s="260"/>
      <c r="D86" s="260"/>
      <c r="E86" s="260"/>
      <c r="F86" s="260"/>
      <c r="G86" s="260"/>
      <c r="H86" s="260"/>
      <c r="I86" s="260"/>
      <c r="J86" s="261"/>
      <c r="K86" s="260"/>
      <c r="L86" s="260"/>
      <c r="M86" s="260"/>
      <c r="N86" s="260"/>
      <c r="O86" s="260"/>
      <c r="P86" s="260"/>
      <c r="Q86" s="260"/>
      <c r="R86" s="260"/>
      <c r="S86" s="260"/>
      <c r="T86" s="279"/>
      <c r="U86" s="260"/>
      <c r="V86" s="260"/>
      <c r="W86" s="260"/>
      <c r="X86" s="260"/>
      <c r="Y86" s="260"/>
      <c r="Z86" s="260"/>
      <c r="AA86" s="264"/>
      <c r="AB86" s="260"/>
      <c r="AC86" s="260"/>
      <c r="AD86" s="260"/>
      <c r="AE86" s="260"/>
      <c r="AF86" s="260"/>
      <c r="AG86" s="260"/>
      <c r="AH86" s="260"/>
    </row>
    <row r="87">
      <c r="A87" s="259"/>
      <c r="B87" s="260"/>
      <c r="C87" s="260"/>
      <c r="D87" s="260"/>
      <c r="E87" s="260"/>
      <c r="F87" s="260"/>
      <c r="G87" s="260"/>
      <c r="H87" s="260"/>
      <c r="I87" s="260"/>
      <c r="J87" s="261"/>
      <c r="K87" s="260"/>
      <c r="L87" s="260"/>
      <c r="M87" s="260"/>
      <c r="N87" s="260"/>
      <c r="O87" s="260"/>
      <c r="P87" s="260"/>
      <c r="Q87" s="260"/>
      <c r="R87" s="260"/>
      <c r="S87" s="260"/>
      <c r="T87" s="279"/>
      <c r="U87" s="260"/>
      <c r="V87" s="260"/>
      <c r="W87" s="260"/>
      <c r="X87" s="260"/>
      <c r="Y87" s="260"/>
      <c r="Z87" s="260"/>
      <c r="AA87" s="264"/>
      <c r="AB87" s="260"/>
      <c r="AC87" s="260"/>
      <c r="AD87" s="260"/>
      <c r="AE87" s="260"/>
      <c r="AF87" s="260"/>
      <c r="AG87" s="260"/>
      <c r="AH87" s="260"/>
    </row>
    <row r="88">
      <c r="A88" s="259"/>
      <c r="B88" s="260"/>
      <c r="C88" s="260"/>
      <c r="D88" s="260"/>
      <c r="E88" s="260"/>
      <c r="F88" s="260"/>
      <c r="G88" s="260"/>
      <c r="H88" s="260"/>
      <c r="I88" s="260"/>
      <c r="J88" s="261"/>
      <c r="K88" s="260"/>
      <c r="L88" s="260"/>
      <c r="M88" s="260"/>
      <c r="N88" s="260"/>
      <c r="O88" s="260"/>
      <c r="P88" s="260"/>
      <c r="Q88" s="260"/>
      <c r="R88" s="260"/>
      <c r="S88" s="260"/>
      <c r="T88" s="279"/>
      <c r="U88" s="260"/>
      <c r="V88" s="260"/>
      <c r="W88" s="260"/>
      <c r="X88" s="260"/>
      <c r="Y88" s="260"/>
      <c r="Z88" s="260"/>
      <c r="AA88" s="264"/>
      <c r="AB88" s="260"/>
      <c r="AC88" s="260"/>
      <c r="AD88" s="260"/>
      <c r="AE88" s="260"/>
      <c r="AF88" s="260"/>
      <c r="AG88" s="260"/>
      <c r="AH88" s="260"/>
    </row>
    <row r="89">
      <c r="A89" s="259"/>
      <c r="B89" s="260"/>
      <c r="C89" s="260"/>
      <c r="D89" s="260"/>
      <c r="E89" s="260"/>
      <c r="F89" s="260"/>
      <c r="G89" s="260"/>
      <c r="H89" s="260"/>
      <c r="I89" s="260"/>
      <c r="J89" s="261"/>
      <c r="K89" s="260"/>
      <c r="L89" s="260"/>
      <c r="M89" s="260"/>
      <c r="N89" s="260"/>
      <c r="O89" s="260"/>
      <c r="P89" s="260"/>
      <c r="Q89" s="260"/>
      <c r="R89" s="260"/>
      <c r="S89" s="260"/>
      <c r="T89" s="279"/>
      <c r="U89" s="260"/>
      <c r="V89" s="260"/>
      <c r="W89" s="260"/>
      <c r="X89" s="260"/>
      <c r="Y89" s="260"/>
      <c r="Z89" s="260"/>
      <c r="AA89" s="264"/>
      <c r="AB89" s="260"/>
      <c r="AC89" s="260"/>
      <c r="AD89" s="260"/>
      <c r="AE89" s="260"/>
      <c r="AF89" s="260"/>
      <c r="AG89" s="260"/>
      <c r="AH89" s="260"/>
    </row>
    <row r="90">
      <c r="A90" s="259"/>
      <c r="B90" s="260"/>
      <c r="C90" s="260"/>
      <c r="D90" s="260"/>
      <c r="E90" s="260"/>
      <c r="F90" s="260"/>
      <c r="G90" s="260"/>
      <c r="H90" s="260"/>
      <c r="I90" s="260"/>
      <c r="J90" s="261"/>
      <c r="K90" s="260"/>
      <c r="L90" s="260"/>
      <c r="M90" s="260"/>
      <c r="N90" s="260"/>
      <c r="O90" s="260"/>
      <c r="P90" s="260"/>
      <c r="Q90" s="260"/>
      <c r="R90" s="260"/>
      <c r="S90" s="260"/>
      <c r="T90" s="279"/>
      <c r="U90" s="260"/>
      <c r="V90" s="260"/>
      <c r="W90" s="260"/>
      <c r="X90" s="260"/>
      <c r="Y90" s="260"/>
      <c r="Z90" s="260"/>
      <c r="AA90" s="264"/>
      <c r="AB90" s="260"/>
      <c r="AC90" s="260"/>
      <c r="AD90" s="260"/>
      <c r="AE90" s="260"/>
      <c r="AF90" s="260"/>
      <c r="AG90" s="260"/>
      <c r="AH90" s="260"/>
    </row>
    <row r="91">
      <c r="A91" s="259"/>
      <c r="B91" s="260"/>
      <c r="C91" s="260"/>
      <c r="D91" s="260"/>
      <c r="E91" s="260"/>
      <c r="F91" s="260"/>
      <c r="G91" s="260"/>
      <c r="H91" s="260"/>
      <c r="I91" s="260"/>
      <c r="J91" s="261"/>
      <c r="K91" s="260"/>
      <c r="L91" s="260"/>
      <c r="M91" s="260"/>
      <c r="N91" s="260"/>
      <c r="O91" s="260"/>
      <c r="P91" s="260"/>
      <c r="Q91" s="260"/>
      <c r="R91" s="260"/>
      <c r="S91" s="260"/>
      <c r="T91" s="279"/>
      <c r="U91" s="260"/>
      <c r="V91" s="260"/>
      <c r="W91" s="260"/>
      <c r="X91" s="260"/>
      <c r="Y91" s="260"/>
      <c r="Z91" s="260"/>
      <c r="AA91" s="264"/>
      <c r="AB91" s="260"/>
      <c r="AC91" s="260"/>
      <c r="AD91" s="260"/>
      <c r="AE91" s="260"/>
      <c r="AF91" s="260"/>
      <c r="AG91" s="260"/>
      <c r="AH91" s="260"/>
    </row>
    <row r="92">
      <c r="A92" s="259"/>
      <c r="B92" s="260"/>
      <c r="C92" s="260"/>
      <c r="D92" s="260"/>
      <c r="E92" s="260"/>
      <c r="F92" s="260"/>
      <c r="G92" s="260"/>
      <c r="H92" s="260"/>
      <c r="I92" s="260"/>
      <c r="J92" s="261"/>
      <c r="K92" s="260"/>
      <c r="L92" s="260"/>
      <c r="M92" s="260"/>
      <c r="N92" s="260"/>
      <c r="O92" s="260"/>
      <c r="P92" s="260"/>
      <c r="Q92" s="260"/>
      <c r="R92" s="260"/>
      <c r="S92" s="260"/>
      <c r="T92" s="279"/>
      <c r="U92" s="260"/>
      <c r="V92" s="260"/>
      <c r="W92" s="260"/>
      <c r="X92" s="260"/>
      <c r="Y92" s="260"/>
      <c r="Z92" s="260"/>
      <c r="AA92" s="264"/>
      <c r="AB92" s="260"/>
      <c r="AC92" s="260"/>
      <c r="AD92" s="260"/>
      <c r="AE92" s="260"/>
      <c r="AF92" s="260"/>
      <c r="AG92" s="260"/>
      <c r="AH92" s="260"/>
    </row>
    <row r="93">
      <c r="A93" s="259"/>
      <c r="B93" s="260"/>
      <c r="C93" s="260"/>
      <c r="D93" s="260"/>
      <c r="E93" s="260"/>
      <c r="F93" s="260"/>
      <c r="G93" s="260"/>
      <c r="H93" s="260"/>
      <c r="I93" s="260"/>
      <c r="J93" s="261"/>
      <c r="K93" s="260"/>
      <c r="L93" s="260"/>
      <c r="M93" s="260"/>
      <c r="N93" s="260"/>
      <c r="O93" s="260"/>
      <c r="P93" s="260"/>
      <c r="Q93" s="260"/>
      <c r="R93" s="260"/>
      <c r="S93" s="260"/>
      <c r="T93" s="279"/>
      <c r="U93" s="260"/>
      <c r="V93" s="260"/>
      <c r="W93" s="260"/>
      <c r="X93" s="260"/>
      <c r="Y93" s="260"/>
      <c r="Z93" s="260"/>
      <c r="AA93" s="264"/>
      <c r="AB93" s="260"/>
      <c r="AC93" s="260"/>
      <c r="AD93" s="260"/>
      <c r="AE93" s="260"/>
      <c r="AF93" s="260"/>
      <c r="AG93" s="260"/>
      <c r="AH93" s="260"/>
    </row>
    <row r="94">
      <c r="A94" s="259"/>
      <c r="B94" s="260"/>
      <c r="C94" s="260"/>
      <c r="D94" s="260"/>
      <c r="E94" s="260"/>
      <c r="F94" s="260"/>
      <c r="G94" s="260"/>
      <c r="H94" s="260"/>
      <c r="I94" s="260"/>
      <c r="J94" s="261"/>
      <c r="K94" s="260"/>
      <c r="L94" s="260"/>
      <c r="M94" s="260"/>
      <c r="N94" s="260"/>
      <c r="O94" s="260"/>
      <c r="P94" s="260"/>
      <c r="Q94" s="260"/>
      <c r="R94" s="260"/>
      <c r="S94" s="260"/>
      <c r="T94" s="279"/>
      <c r="U94" s="260"/>
      <c r="V94" s="260"/>
      <c r="W94" s="260"/>
      <c r="X94" s="260"/>
      <c r="Y94" s="260"/>
      <c r="Z94" s="260"/>
      <c r="AA94" s="264"/>
      <c r="AB94" s="260"/>
      <c r="AC94" s="260"/>
      <c r="AD94" s="260"/>
      <c r="AE94" s="260"/>
      <c r="AF94" s="260"/>
      <c r="AG94" s="260"/>
      <c r="AH94" s="260"/>
    </row>
    <row r="95">
      <c r="A95" s="259"/>
      <c r="B95" s="260"/>
      <c r="C95" s="260"/>
      <c r="D95" s="260"/>
      <c r="E95" s="260"/>
      <c r="F95" s="260"/>
      <c r="G95" s="260"/>
      <c r="H95" s="260"/>
      <c r="I95" s="260"/>
      <c r="J95" s="261"/>
      <c r="K95" s="260"/>
      <c r="L95" s="260"/>
      <c r="M95" s="260"/>
      <c r="N95" s="260"/>
      <c r="O95" s="260"/>
      <c r="P95" s="260"/>
      <c r="Q95" s="260"/>
      <c r="R95" s="260"/>
      <c r="S95" s="260"/>
      <c r="T95" s="279"/>
      <c r="U95" s="260"/>
      <c r="V95" s="260"/>
      <c r="W95" s="260"/>
      <c r="X95" s="260"/>
      <c r="Y95" s="260"/>
      <c r="Z95" s="260"/>
      <c r="AA95" s="264"/>
      <c r="AB95" s="260"/>
      <c r="AC95" s="260"/>
      <c r="AD95" s="260"/>
      <c r="AE95" s="260"/>
      <c r="AF95" s="260"/>
      <c r="AG95" s="260"/>
      <c r="AH95" s="260"/>
    </row>
    <row r="96">
      <c r="A96" s="259"/>
      <c r="B96" s="260"/>
      <c r="C96" s="260"/>
      <c r="D96" s="260"/>
      <c r="E96" s="260"/>
      <c r="F96" s="260"/>
      <c r="G96" s="260"/>
      <c r="H96" s="260"/>
      <c r="I96" s="260"/>
      <c r="J96" s="261"/>
      <c r="K96" s="260"/>
      <c r="L96" s="260"/>
      <c r="M96" s="260"/>
      <c r="N96" s="260"/>
      <c r="O96" s="260"/>
      <c r="P96" s="260"/>
      <c r="Q96" s="260"/>
      <c r="R96" s="260"/>
      <c r="S96" s="260"/>
      <c r="T96" s="279"/>
      <c r="U96" s="260"/>
      <c r="V96" s="260"/>
      <c r="W96" s="260"/>
      <c r="X96" s="260"/>
      <c r="Y96" s="260"/>
      <c r="Z96" s="260"/>
      <c r="AA96" s="264"/>
      <c r="AB96" s="260"/>
      <c r="AC96" s="260"/>
      <c r="AD96" s="260"/>
      <c r="AE96" s="260"/>
      <c r="AF96" s="260"/>
      <c r="AG96" s="260"/>
      <c r="AH96" s="260"/>
    </row>
    <row r="97">
      <c r="A97" s="259"/>
      <c r="B97" s="260"/>
      <c r="C97" s="260"/>
      <c r="D97" s="260"/>
      <c r="E97" s="260"/>
      <c r="F97" s="260"/>
      <c r="G97" s="260"/>
      <c r="H97" s="260"/>
      <c r="I97" s="260"/>
      <c r="J97" s="261"/>
      <c r="K97" s="260"/>
      <c r="L97" s="260"/>
      <c r="M97" s="260"/>
      <c r="N97" s="260"/>
      <c r="O97" s="260"/>
      <c r="P97" s="260"/>
      <c r="Q97" s="260"/>
      <c r="R97" s="260"/>
      <c r="S97" s="260"/>
      <c r="T97" s="279"/>
      <c r="U97" s="260"/>
      <c r="V97" s="260"/>
      <c r="W97" s="260"/>
      <c r="X97" s="260"/>
      <c r="Y97" s="260"/>
      <c r="Z97" s="260"/>
      <c r="AA97" s="264"/>
      <c r="AB97" s="260"/>
      <c r="AC97" s="260"/>
      <c r="AD97" s="260"/>
      <c r="AE97" s="260"/>
      <c r="AF97" s="260"/>
      <c r="AG97" s="260"/>
      <c r="AH97" s="260"/>
    </row>
    <row r="98">
      <c r="A98" s="259"/>
      <c r="B98" s="260"/>
      <c r="C98" s="260"/>
      <c r="D98" s="260"/>
      <c r="E98" s="260"/>
      <c r="F98" s="260"/>
      <c r="G98" s="260"/>
      <c r="H98" s="260"/>
      <c r="I98" s="260"/>
      <c r="J98" s="261"/>
      <c r="K98" s="260"/>
      <c r="L98" s="260"/>
      <c r="M98" s="260"/>
      <c r="N98" s="260"/>
      <c r="O98" s="260"/>
      <c r="P98" s="260"/>
      <c r="Q98" s="260"/>
      <c r="R98" s="260"/>
      <c r="S98" s="260"/>
      <c r="T98" s="279"/>
      <c r="U98" s="260"/>
      <c r="V98" s="260"/>
      <c r="W98" s="260"/>
      <c r="X98" s="260"/>
      <c r="Y98" s="260"/>
      <c r="Z98" s="260"/>
      <c r="AA98" s="264"/>
      <c r="AB98" s="260"/>
      <c r="AC98" s="260"/>
      <c r="AD98" s="260"/>
      <c r="AE98" s="260"/>
      <c r="AF98" s="260"/>
      <c r="AG98" s="260"/>
      <c r="AH98" s="260"/>
    </row>
    <row r="99">
      <c r="A99" s="259"/>
      <c r="B99" s="260"/>
      <c r="C99" s="260"/>
      <c r="D99" s="260"/>
      <c r="E99" s="260"/>
      <c r="F99" s="260"/>
      <c r="G99" s="260"/>
      <c r="H99" s="260"/>
      <c r="I99" s="260"/>
      <c r="J99" s="261"/>
      <c r="K99" s="260"/>
      <c r="L99" s="260"/>
      <c r="M99" s="260"/>
      <c r="N99" s="260"/>
      <c r="O99" s="260"/>
      <c r="P99" s="260"/>
      <c r="Q99" s="260"/>
      <c r="R99" s="260"/>
      <c r="S99" s="260"/>
      <c r="T99" s="279"/>
      <c r="U99" s="260"/>
      <c r="V99" s="260"/>
      <c r="W99" s="260"/>
      <c r="X99" s="260"/>
      <c r="Y99" s="260"/>
      <c r="Z99" s="260"/>
      <c r="AA99" s="264"/>
      <c r="AB99" s="260"/>
      <c r="AC99" s="260"/>
      <c r="AD99" s="260"/>
      <c r="AE99" s="260"/>
      <c r="AF99" s="260"/>
      <c r="AG99" s="260"/>
      <c r="AH99" s="260"/>
    </row>
    <row r="100">
      <c r="A100" s="259"/>
      <c r="B100" s="260"/>
      <c r="C100" s="260"/>
      <c r="D100" s="260"/>
      <c r="E100" s="260"/>
      <c r="F100" s="260"/>
      <c r="G100" s="260"/>
      <c r="H100" s="260"/>
      <c r="I100" s="260"/>
      <c r="J100" s="261"/>
      <c r="K100" s="260"/>
      <c r="L100" s="260"/>
      <c r="M100" s="260"/>
      <c r="N100" s="260"/>
      <c r="O100" s="260"/>
      <c r="P100" s="260"/>
      <c r="Q100" s="260"/>
      <c r="R100" s="260"/>
      <c r="S100" s="260"/>
      <c r="T100" s="279"/>
      <c r="U100" s="260"/>
      <c r="V100" s="260"/>
      <c r="W100" s="260"/>
      <c r="X100" s="260"/>
      <c r="Y100" s="260"/>
      <c r="Z100" s="260"/>
      <c r="AA100" s="264"/>
      <c r="AB100" s="260"/>
      <c r="AC100" s="260"/>
      <c r="AD100" s="260"/>
      <c r="AE100" s="260"/>
      <c r="AF100" s="260"/>
      <c r="AG100" s="260"/>
      <c r="AH100" s="260"/>
    </row>
    <row r="101">
      <c r="A101" s="259"/>
      <c r="B101" s="260"/>
      <c r="C101" s="260"/>
      <c r="D101" s="260"/>
      <c r="E101" s="260"/>
      <c r="F101" s="260"/>
      <c r="G101" s="260"/>
      <c r="H101" s="260"/>
      <c r="I101" s="260"/>
      <c r="J101" s="261"/>
      <c r="K101" s="260"/>
      <c r="L101" s="260"/>
      <c r="M101" s="260"/>
      <c r="N101" s="260"/>
      <c r="O101" s="260"/>
      <c r="P101" s="260"/>
      <c r="Q101" s="260"/>
      <c r="R101" s="260"/>
      <c r="S101" s="260"/>
      <c r="T101" s="279"/>
      <c r="U101" s="260"/>
      <c r="V101" s="260"/>
      <c r="W101" s="260"/>
      <c r="X101" s="260"/>
      <c r="Y101" s="260"/>
      <c r="Z101" s="260"/>
      <c r="AA101" s="264"/>
      <c r="AB101" s="260"/>
      <c r="AC101" s="260"/>
      <c r="AD101" s="260"/>
      <c r="AE101" s="260"/>
      <c r="AF101" s="260"/>
      <c r="AG101" s="260"/>
      <c r="AH101" s="260"/>
    </row>
    <row r="102">
      <c r="A102" s="259"/>
      <c r="B102" s="260"/>
      <c r="C102" s="260"/>
      <c r="D102" s="260"/>
      <c r="E102" s="260"/>
      <c r="F102" s="260"/>
      <c r="G102" s="260"/>
      <c r="H102" s="260"/>
      <c r="I102" s="260"/>
      <c r="J102" s="261"/>
      <c r="K102" s="260"/>
      <c r="L102" s="260"/>
      <c r="M102" s="260"/>
      <c r="N102" s="260"/>
      <c r="O102" s="260"/>
      <c r="P102" s="260"/>
      <c r="Q102" s="260"/>
      <c r="R102" s="260"/>
      <c r="S102" s="260"/>
      <c r="T102" s="279"/>
      <c r="U102" s="260"/>
      <c r="V102" s="260"/>
      <c r="W102" s="260"/>
      <c r="X102" s="260"/>
      <c r="Y102" s="260"/>
      <c r="Z102" s="260"/>
      <c r="AA102" s="264"/>
      <c r="AB102" s="260"/>
      <c r="AC102" s="260"/>
      <c r="AD102" s="260"/>
      <c r="AE102" s="260"/>
      <c r="AF102" s="260"/>
      <c r="AG102" s="260"/>
      <c r="AH102" s="260"/>
    </row>
    <row r="103">
      <c r="A103" s="259"/>
      <c r="B103" s="260"/>
      <c r="C103" s="260"/>
      <c r="D103" s="260"/>
      <c r="E103" s="260"/>
      <c r="F103" s="260"/>
      <c r="G103" s="260"/>
      <c r="H103" s="260"/>
      <c r="I103" s="260"/>
      <c r="J103" s="261"/>
      <c r="K103" s="260"/>
      <c r="L103" s="260"/>
      <c r="M103" s="260"/>
      <c r="N103" s="260"/>
      <c r="O103" s="260"/>
      <c r="P103" s="260"/>
      <c r="Q103" s="260"/>
      <c r="R103" s="260"/>
      <c r="S103" s="260"/>
      <c r="T103" s="279"/>
      <c r="U103" s="260"/>
      <c r="V103" s="260"/>
      <c r="W103" s="260"/>
      <c r="X103" s="260"/>
      <c r="Y103" s="260"/>
      <c r="Z103" s="260"/>
      <c r="AA103" s="264"/>
      <c r="AB103" s="260"/>
      <c r="AC103" s="260"/>
      <c r="AD103" s="260"/>
      <c r="AE103" s="260"/>
      <c r="AF103" s="260"/>
      <c r="AG103" s="260"/>
      <c r="AH103" s="260"/>
    </row>
    <row r="104">
      <c r="A104" s="259"/>
      <c r="B104" s="260"/>
      <c r="C104" s="260"/>
      <c r="D104" s="260"/>
      <c r="E104" s="260"/>
      <c r="F104" s="260"/>
      <c r="G104" s="260"/>
      <c r="H104" s="260"/>
      <c r="I104" s="260"/>
      <c r="J104" s="261"/>
      <c r="K104" s="260"/>
      <c r="L104" s="260"/>
      <c r="M104" s="260"/>
      <c r="N104" s="260"/>
      <c r="O104" s="260"/>
      <c r="P104" s="260"/>
      <c r="Q104" s="260"/>
      <c r="R104" s="260"/>
      <c r="S104" s="260"/>
      <c r="T104" s="279"/>
      <c r="U104" s="260"/>
      <c r="V104" s="260"/>
      <c r="W104" s="260"/>
      <c r="X104" s="260"/>
      <c r="Y104" s="260"/>
      <c r="Z104" s="260"/>
      <c r="AA104" s="264"/>
      <c r="AB104" s="260"/>
      <c r="AC104" s="260"/>
      <c r="AD104" s="260"/>
      <c r="AE104" s="260"/>
      <c r="AF104" s="260"/>
      <c r="AG104" s="260"/>
      <c r="AH104" s="260"/>
    </row>
    <row r="105">
      <c r="A105" s="259"/>
      <c r="B105" s="260"/>
      <c r="C105" s="260"/>
      <c r="D105" s="260"/>
      <c r="E105" s="260"/>
      <c r="F105" s="260"/>
      <c r="G105" s="260"/>
      <c r="H105" s="260"/>
      <c r="I105" s="260"/>
      <c r="J105" s="261"/>
      <c r="K105" s="260"/>
      <c r="L105" s="260"/>
      <c r="M105" s="260"/>
      <c r="N105" s="260"/>
      <c r="O105" s="260"/>
      <c r="P105" s="260"/>
      <c r="Q105" s="260"/>
      <c r="R105" s="260"/>
      <c r="S105" s="260"/>
      <c r="T105" s="279"/>
      <c r="U105" s="260"/>
      <c r="V105" s="260"/>
      <c r="W105" s="260"/>
      <c r="X105" s="260"/>
      <c r="Y105" s="260"/>
      <c r="Z105" s="260"/>
      <c r="AA105" s="264"/>
      <c r="AB105" s="260"/>
      <c r="AC105" s="260"/>
      <c r="AD105" s="260"/>
      <c r="AE105" s="260"/>
      <c r="AF105" s="260"/>
      <c r="AG105" s="260"/>
      <c r="AH105" s="260"/>
    </row>
    <row r="106">
      <c r="A106" s="259"/>
      <c r="B106" s="260"/>
      <c r="C106" s="260"/>
      <c r="D106" s="260"/>
      <c r="E106" s="260"/>
      <c r="F106" s="260"/>
      <c r="G106" s="260"/>
      <c r="H106" s="260"/>
      <c r="I106" s="260"/>
      <c r="J106" s="261"/>
      <c r="K106" s="260"/>
      <c r="L106" s="260"/>
      <c r="M106" s="260"/>
      <c r="N106" s="260"/>
      <c r="O106" s="260"/>
      <c r="P106" s="260"/>
      <c r="Q106" s="260"/>
      <c r="R106" s="260"/>
      <c r="S106" s="260"/>
      <c r="T106" s="279"/>
      <c r="U106" s="260"/>
      <c r="V106" s="260"/>
      <c r="W106" s="260"/>
      <c r="X106" s="260"/>
      <c r="Y106" s="260"/>
      <c r="Z106" s="260"/>
      <c r="AA106" s="264"/>
      <c r="AB106" s="260"/>
      <c r="AC106" s="260"/>
      <c r="AD106" s="260"/>
      <c r="AE106" s="260"/>
      <c r="AF106" s="260"/>
      <c r="AG106" s="260"/>
      <c r="AH106" s="260"/>
    </row>
    <row r="107">
      <c r="A107" s="259"/>
      <c r="B107" s="260"/>
      <c r="C107" s="260"/>
      <c r="D107" s="260"/>
      <c r="E107" s="260"/>
      <c r="F107" s="260"/>
      <c r="G107" s="260"/>
      <c r="H107" s="260"/>
      <c r="I107" s="260"/>
      <c r="J107" s="261"/>
      <c r="K107" s="260"/>
      <c r="L107" s="260"/>
      <c r="M107" s="260"/>
      <c r="N107" s="260"/>
      <c r="O107" s="260"/>
      <c r="P107" s="260"/>
      <c r="Q107" s="260"/>
      <c r="R107" s="260"/>
      <c r="S107" s="260"/>
      <c r="T107" s="279"/>
      <c r="U107" s="260"/>
      <c r="V107" s="260"/>
      <c r="W107" s="260"/>
      <c r="X107" s="260"/>
      <c r="Y107" s="260"/>
      <c r="Z107" s="260"/>
      <c r="AA107" s="264"/>
      <c r="AB107" s="260"/>
      <c r="AC107" s="260"/>
      <c r="AD107" s="260"/>
      <c r="AE107" s="260"/>
      <c r="AF107" s="260"/>
      <c r="AG107" s="260"/>
      <c r="AH107" s="260"/>
    </row>
    <row r="108">
      <c r="A108" s="259"/>
      <c r="B108" s="260"/>
      <c r="C108" s="260"/>
      <c r="D108" s="260"/>
      <c r="E108" s="260"/>
      <c r="F108" s="260"/>
      <c r="G108" s="260"/>
      <c r="H108" s="260"/>
      <c r="I108" s="260"/>
      <c r="J108" s="261"/>
      <c r="K108" s="260"/>
      <c r="L108" s="260"/>
      <c r="M108" s="260"/>
      <c r="N108" s="260"/>
      <c r="O108" s="260"/>
      <c r="P108" s="260"/>
      <c r="Q108" s="260"/>
      <c r="R108" s="260"/>
      <c r="S108" s="260"/>
      <c r="T108" s="279"/>
      <c r="U108" s="260"/>
      <c r="V108" s="260"/>
      <c r="W108" s="260"/>
      <c r="X108" s="260"/>
      <c r="Y108" s="260"/>
      <c r="Z108" s="260"/>
      <c r="AA108" s="264"/>
      <c r="AB108" s="260"/>
      <c r="AC108" s="260"/>
      <c r="AD108" s="260"/>
      <c r="AE108" s="260"/>
      <c r="AF108" s="260"/>
      <c r="AG108" s="260"/>
      <c r="AH108" s="260"/>
    </row>
    <row r="109">
      <c r="A109" s="259"/>
      <c r="B109" s="260"/>
      <c r="C109" s="260"/>
      <c r="D109" s="260"/>
      <c r="E109" s="260"/>
      <c r="F109" s="260"/>
      <c r="G109" s="260"/>
      <c r="H109" s="260"/>
      <c r="I109" s="260"/>
      <c r="J109" s="261"/>
      <c r="K109" s="260"/>
      <c r="L109" s="260"/>
      <c r="M109" s="260"/>
      <c r="N109" s="260"/>
      <c r="O109" s="260"/>
      <c r="P109" s="260"/>
      <c r="Q109" s="260"/>
      <c r="R109" s="260"/>
      <c r="S109" s="260"/>
      <c r="T109" s="279"/>
      <c r="U109" s="260"/>
      <c r="V109" s="260"/>
      <c r="W109" s="260"/>
      <c r="X109" s="260"/>
      <c r="Y109" s="260"/>
      <c r="Z109" s="260"/>
      <c r="AA109" s="264"/>
      <c r="AB109" s="260"/>
      <c r="AC109" s="260"/>
      <c r="AD109" s="260"/>
      <c r="AE109" s="260"/>
      <c r="AF109" s="260"/>
      <c r="AG109" s="260"/>
      <c r="AH109" s="260"/>
    </row>
    <row r="110">
      <c r="A110" s="259"/>
      <c r="B110" s="260"/>
      <c r="C110" s="260"/>
      <c r="D110" s="260"/>
      <c r="E110" s="260"/>
      <c r="F110" s="260"/>
      <c r="G110" s="260"/>
      <c r="H110" s="260"/>
      <c r="I110" s="260"/>
      <c r="J110" s="261"/>
      <c r="K110" s="260"/>
      <c r="L110" s="260"/>
      <c r="M110" s="260"/>
      <c r="N110" s="260"/>
      <c r="O110" s="260"/>
      <c r="P110" s="260"/>
      <c r="Q110" s="260"/>
      <c r="R110" s="260"/>
      <c r="S110" s="260"/>
      <c r="T110" s="279"/>
      <c r="U110" s="260"/>
      <c r="V110" s="260"/>
      <c r="W110" s="260"/>
      <c r="X110" s="260"/>
      <c r="Y110" s="260"/>
      <c r="Z110" s="260"/>
      <c r="AA110" s="264"/>
      <c r="AB110" s="260"/>
      <c r="AC110" s="260"/>
      <c r="AD110" s="260"/>
      <c r="AE110" s="260"/>
      <c r="AF110" s="260"/>
      <c r="AG110" s="260"/>
      <c r="AH110" s="260"/>
    </row>
    <row r="111">
      <c r="A111" s="259"/>
      <c r="B111" s="260"/>
      <c r="C111" s="260"/>
      <c r="D111" s="260"/>
      <c r="E111" s="260"/>
      <c r="F111" s="260"/>
      <c r="G111" s="260"/>
      <c r="H111" s="260"/>
      <c r="I111" s="260"/>
      <c r="J111" s="261"/>
      <c r="K111" s="260"/>
      <c r="L111" s="260"/>
      <c r="M111" s="260"/>
      <c r="N111" s="260"/>
      <c r="O111" s="260"/>
      <c r="P111" s="260"/>
      <c r="Q111" s="260"/>
      <c r="R111" s="260"/>
      <c r="S111" s="260"/>
      <c r="T111" s="279"/>
      <c r="U111" s="260"/>
      <c r="V111" s="260"/>
      <c r="W111" s="260"/>
      <c r="X111" s="260"/>
      <c r="Y111" s="260"/>
      <c r="Z111" s="260"/>
      <c r="AA111" s="264"/>
      <c r="AB111" s="260"/>
      <c r="AC111" s="260"/>
      <c r="AD111" s="260"/>
      <c r="AE111" s="260"/>
      <c r="AF111" s="260"/>
      <c r="AG111" s="260"/>
      <c r="AH111" s="260"/>
    </row>
    <row r="112">
      <c r="A112" s="259"/>
      <c r="B112" s="260"/>
      <c r="C112" s="260"/>
      <c r="D112" s="260"/>
      <c r="E112" s="260"/>
      <c r="F112" s="260"/>
      <c r="G112" s="260"/>
      <c r="H112" s="260"/>
      <c r="I112" s="260"/>
      <c r="J112" s="261"/>
      <c r="K112" s="260"/>
      <c r="L112" s="260"/>
      <c r="M112" s="260"/>
      <c r="N112" s="260"/>
      <c r="O112" s="260"/>
      <c r="P112" s="260"/>
      <c r="Q112" s="260"/>
      <c r="R112" s="260"/>
      <c r="S112" s="260"/>
      <c r="T112" s="279"/>
      <c r="U112" s="260"/>
      <c r="V112" s="260"/>
      <c r="W112" s="260"/>
      <c r="X112" s="260"/>
      <c r="Y112" s="260"/>
      <c r="Z112" s="260"/>
      <c r="AA112" s="264"/>
      <c r="AB112" s="260"/>
      <c r="AC112" s="260"/>
      <c r="AD112" s="260"/>
      <c r="AE112" s="260"/>
      <c r="AF112" s="260"/>
      <c r="AG112" s="260"/>
      <c r="AH112" s="260"/>
    </row>
    <row r="113">
      <c r="A113" s="259"/>
      <c r="B113" s="260"/>
      <c r="C113" s="260"/>
      <c r="D113" s="260"/>
      <c r="E113" s="260"/>
      <c r="F113" s="260"/>
      <c r="G113" s="260"/>
      <c r="H113" s="260"/>
      <c r="I113" s="260"/>
      <c r="J113" s="261"/>
      <c r="K113" s="260"/>
      <c r="L113" s="260"/>
      <c r="M113" s="260"/>
      <c r="N113" s="260"/>
      <c r="O113" s="260"/>
      <c r="P113" s="260"/>
      <c r="Q113" s="260"/>
      <c r="R113" s="260"/>
      <c r="S113" s="260"/>
      <c r="T113" s="279"/>
      <c r="U113" s="260"/>
      <c r="V113" s="260"/>
      <c r="W113" s="260"/>
      <c r="X113" s="260"/>
      <c r="Y113" s="260"/>
      <c r="Z113" s="260"/>
      <c r="AA113" s="264"/>
      <c r="AB113" s="260"/>
      <c r="AC113" s="260"/>
      <c r="AD113" s="260"/>
      <c r="AE113" s="260"/>
      <c r="AF113" s="260"/>
      <c r="AG113" s="260"/>
      <c r="AH113" s="260"/>
    </row>
    <row r="114">
      <c r="A114" s="259"/>
      <c r="B114" s="260"/>
      <c r="C114" s="260"/>
      <c r="D114" s="260"/>
      <c r="E114" s="260"/>
      <c r="F114" s="260"/>
      <c r="G114" s="260"/>
      <c r="H114" s="260"/>
      <c r="I114" s="260"/>
      <c r="J114" s="261"/>
      <c r="K114" s="260"/>
      <c r="L114" s="260"/>
      <c r="M114" s="260"/>
      <c r="N114" s="260"/>
      <c r="O114" s="260"/>
      <c r="P114" s="260"/>
      <c r="Q114" s="260"/>
      <c r="R114" s="260"/>
      <c r="S114" s="260"/>
      <c r="T114" s="279"/>
      <c r="U114" s="260"/>
      <c r="V114" s="260"/>
      <c r="W114" s="260"/>
      <c r="X114" s="260"/>
      <c r="Y114" s="260"/>
      <c r="Z114" s="260"/>
      <c r="AA114" s="264"/>
      <c r="AB114" s="260"/>
      <c r="AC114" s="260"/>
      <c r="AD114" s="260"/>
      <c r="AE114" s="260"/>
      <c r="AF114" s="260"/>
      <c r="AG114" s="260"/>
      <c r="AH114" s="260"/>
    </row>
    <row r="115">
      <c r="A115" s="259"/>
      <c r="B115" s="260"/>
      <c r="C115" s="260"/>
      <c r="D115" s="260"/>
      <c r="E115" s="260"/>
      <c r="F115" s="260"/>
      <c r="G115" s="260"/>
      <c r="H115" s="260"/>
      <c r="I115" s="260"/>
      <c r="J115" s="261"/>
      <c r="K115" s="260"/>
      <c r="L115" s="260"/>
      <c r="M115" s="260"/>
      <c r="N115" s="260"/>
      <c r="O115" s="260"/>
      <c r="P115" s="260"/>
      <c r="Q115" s="260"/>
      <c r="R115" s="260"/>
      <c r="S115" s="260"/>
      <c r="T115" s="279"/>
      <c r="U115" s="260"/>
      <c r="V115" s="260"/>
      <c r="W115" s="260"/>
      <c r="X115" s="260"/>
      <c r="Y115" s="260"/>
      <c r="Z115" s="260"/>
      <c r="AA115" s="264"/>
      <c r="AB115" s="260"/>
      <c r="AC115" s="260"/>
      <c r="AD115" s="260"/>
      <c r="AE115" s="260"/>
      <c r="AF115" s="260"/>
      <c r="AG115" s="260"/>
      <c r="AH115" s="260"/>
    </row>
    <row r="116">
      <c r="A116" s="259"/>
      <c r="B116" s="260"/>
      <c r="C116" s="260"/>
      <c r="D116" s="260"/>
      <c r="E116" s="260"/>
      <c r="F116" s="260"/>
      <c r="G116" s="260"/>
      <c r="H116" s="260"/>
      <c r="I116" s="260"/>
      <c r="J116" s="261"/>
      <c r="K116" s="260"/>
      <c r="L116" s="260"/>
      <c r="M116" s="260"/>
      <c r="N116" s="260"/>
      <c r="O116" s="260"/>
      <c r="P116" s="260"/>
      <c r="Q116" s="260"/>
      <c r="R116" s="260"/>
      <c r="S116" s="260"/>
      <c r="T116" s="279"/>
      <c r="U116" s="260"/>
      <c r="V116" s="260"/>
      <c r="W116" s="260"/>
      <c r="X116" s="260"/>
      <c r="Y116" s="260"/>
      <c r="Z116" s="260"/>
      <c r="AA116" s="264"/>
      <c r="AB116" s="260"/>
      <c r="AC116" s="260"/>
      <c r="AD116" s="260"/>
      <c r="AE116" s="260"/>
      <c r="AF116" s="260"/>
      <c r="AG116" s="260"/>
      <c r="AH116" s="260"/>
    </row>
    <row r="117">
      <c r="A117" s="259"/>
      <c r="B117" s="260"/>
      <c r="C117" s="260"/>
      <c r="D117" s="260"/>
      <c r="E117" s="260"/>
      <c r="F117" s="260"/>
      <c r="G117" s="260"/>
      <c r="H117" s="260"/>
      <c r="I117" s="260"/>
      <c r="J117" s="261"/>
      <c r="K117" s="260"/>
      <c r="L117" s="260"/>
      <c r="M117" s="260"/>
      <c r="N117" s="260"/>
      <c r="O117" s="260"/>
      <c r="P117" s="260"/>
      <c r="Q117" s="260"/>
      <c r="R117" s="260"/>
      <c r="S117" s="260"/>
      <c r="T117" s="279"/>
      <c r="U117" s="260"/>
      <c r="V117" s="260"/>
      <c r="W117" s="260"/>
      <c r="X117" s="260"/>
      <c r="Y117" s="260"/>
      <c r="Z117" s="260"/>
      <c r="AA117" s="264"/>
      <c r="AB117" s="260"/>
      <c r="AC117" s="260"/>
      <c r="AD117" s="260"/>
      <c r="AE117" s="260"/>
      <c r="AF117" s="260"/>
      <c r="AG117" s="260"/>
      <c r="AH117" s="260"/>
    </row>
    <row r="118">
      <c r="A118" s="259"/>
      <c r="B118" s="260"/>
      <c r="C118" s="260"/>
      <c r="D118" s="260"/>
      <c r="E118" s="260"/>
      <c r="F118" s="260"/>
      <c r="G118" s="260"/>
      <c r="H118" s="260"/>
      <c r="I118" s="260"/>
      <c r="J118" s="261"/>
      <c r="K118" s="260"/>
      <c r="L118" s="260"/>
      <c r="M118" s="260"/>
      <c r="N118" s="260"/>
      <c r="O118" s="260"/>
      <c r="P118" s="260"/>
      <c r="Q118" s="260"/>
      <c r="R118" s="260"/>
      <c r="S118" s="260"/>
      <c r="T118" s="279"/>
      <c r="U118" s="260"/>
      <c r="V118" s="260"/>
      <c r="W118" s="260"/>
      <c r="X118" s="260"/>
      <c r="Y118" s="260"/>
      <c r="Z118" s="260"/>
      <c r="AA118" s="264"/>
      <c r="AB118" s="260"/>
      <c r="AC118" s="260"/>
      <c r="AD118" s="260"/>
      <c r="AE118" s="260"/>
      <c r="AF118" s="260"/>
      <c r="AG118" s="260"/>
      <c r="AH118" s="260"/>
    </row>
    <row r="119">
      <c r="A119" s="259"/>
      <c r="B119" s="260"/>
      <c r="C119" s="260"/>
      <c r="D119" s="260"/>
      <c r="E119" s="260"/>
      <c r="F119" s="260"/>
      <c r="G119" s="260"/>
      <c r="H119" s="260"/>
      <c r="I119" s="260"/>
      <c r="J119" s="261"/>
      <c r="K119" s="260"/>
      <c r="L119" s="260"/>
      <c r="M119" s="260"/>
      <c r="N119" s="260"/>
      <c r="O119" s="260"/>
      <c r="P119" s="260"/>
      <c r="Q119" s="260"/>
      <c r="R119" s="260"/>
      <c r="S119" s="260"/>
      <c r="T119" s="279"/>
      <c r="U119" s="260"/>
      <c r="V119" s="260"/>
      <c r="W119" s="260"/>
      <c r="X119" s="260"/>
      <c r="Y119" s="260"/>
      <c r="Z119" s="260"/>
      <c r="AA119" s="264"/>
      <c r="AB119" s="260"/>
      <c r="AC119" s="260"/>
      <c r="AD119" s="260"/>
      <c r="AE119" s="260"/>
      <c r="AF119" s="260"/>
      <c r="AG119" s="260"/>
      <c r="AH119" s="260"/>
    </row>
    <row r="120">
      <c r="A120" s="259"/>
      <c r="B120" s="260"/>
      <c r="C120" s="260"/>
      <c r="D120" s="260"/>
      <c r="E120" s="260"/>
      <c r="F120" s="260"/>
      <c r="G120" s="260"/>
      <c r="H120" s="260"/>
      <c r="I120" s="260"/>
      <c r="J120" s="261"/>
      <c r="K120" s="260"/>
      <c r="L120" s="260"/>
      <c r="M120" s="260"/>
      <c r="N120" s="260"/>
      <c r="O120" s="260"/>
      <c r="P120" s="260"/>
      <c r="Q120" s="260"/>
      <c r="R120" s="260"/>
      <c r="S120" s="260"/>
      <c r="T120" s="279"/>
      <c r="U120" s="260"/>
      <c r="V120" s="260"/>
      <c r="W120" s="260"/>
      <c r="X120" s="260"/>
      <c r="Y120" s="260"/>
      <c r="Z120" s="260"/>
      <c r="AA120" s="264"/>
      <c r="AB120" s="260"/>
      <c r="AC120" s="260"/>
      <c r="AD120" s="260"/>
      <c r="AE120" s="260"/>
      <c r="AF120" s="260"/>
      <c r="AG120" s="260"/>
      <c r="AH120" s="260"/>
    </row>
    <row r="121">
      <c r="A121" s="259"/>
      <c r="B121" s="260"/>
      <c r="C121" s="260"/>
      <c r="D121" s="260"/>
      <c r="E121" s="260"/>
      <c r="F121" s="260"/>
      <c r="G121" s="260"/>
      <c r="H121" s="260"/>
      <c r="I121" s="260"/>
      <c r="J121" s="261"/>
      <c r="K121" s="260"/>
      <c r="L121" s="260"/>
      <c r="M121" s="260"/>
      <c r="N121" s="260"/>
      <c r="O121" s="260"/>
      <c r="P121" s="260"/>
      <c r="Q121" s="260"/>
      <c r="R121" s="260"/>
      <c r="S121" s="260"/>
      <c r="T121" s="279"/>
      <c r="U121" s="260"/>
      <c r="V121" s="260"/>
      <c r="W121" s="260"/>
      <c r="X121" s="260"/>
      <c r="Y121" s="260"/>
      <c r="Z121" s="260"/>
      <c r="AA121" s="264"/>
      <c r="AB121" s="260"/>
      <c r="AC121" s="260"/>
      <c r="AD121" s="260"/>
      <c r="AE121" s="260"/>
      <c r="AF121" s="260"/>
      <c r="AG121" s="260"/>
      <c r="AH121" s="260"/>
    </row>
    <row r="122">
      <c r="A122" s="259"/>
      <c r="B122" s="260"/>
      <c r="C122" s="260"/>
      <c r="D122" s="260"/>
      <c r="E122" s="260"/>
      <c r="F122" s="260"/>
      <c r="G122" s="260"/>
      <c r="H122" s="260"/>
      <c r="I122" s="260"/>
      <c r="J122" s="261"/>
      <c r="K122" s="260"/>
      <c r="L122" s="260"/>
      <c r="M122" s="260"/>
      <c r="N122" s="260"/>
      <c r="O122" s="260"/>
      <c r="P122" s="260"/>
      <c r="Q122" s="260"/>
      <c r="R122" s="260"/>
      <c r="S122" s="260"/>
      <c r="T122" s="279"/>
      <c r="U122" s="260"/>
      <c r="V122" s="260"/>
      <c r="W122" s="260"/>
      <c r="X122" s="260"/>
      <c r="Y122" s="260"/>
      <c r="Z122" s="260"/>
      <c r="AA122" s="264"/>
      <c r="AB122" s="260"/>
      <c r="AC122" s="260"/>
      <c r="AD122" s="260"/>
      <c r="AE122" s="260"/>
      <c r="AF122" s="260"/>
      <c r="AG122" s="260"/>
      <c r="AH122" s="260"/>
    </row>
    <row r="123">
      <c r="A123" s="259"/>
      <c r="B123" s="260"/>
      <c r="C123" s="260"/>
      <c r="D123" s="260"/>
      <c r="E123" s="260"/>
      <c r="F123" s="260"/>
      <c r="G123" s="260"/>
      <c r="H123" s="260"/>
      <c r="I123" s="260"/>
      <c r="J123" s="261"/>
      <c r="K123" s="260"/>
      <c r="L123" s="260"/>
      <c r="M123" s="260"/>
      <c r="N123" s="260"/>
      <c r="O123" s="260"/>
      <c r="P123" s="260"/>
      <c r="Q123" s="260"/>
      <c r="R123" s="260"/>
      <c r="S123" s="260"/>
      <c r="T123" s="279"/>
      <c r="U123" s="260"/>
      <c r="V123" s="260"/>
      <c r="W123" s="260"/>
      <c r="X123" s="260"/>
      <c r="Y123" s="260"/>
      <c r="Z123" s="260"/>
      <c r="AA123" s="264"/>
      <c r="AB123" s="260"/>
      <c r="AC123" s="260"/>
      <c r="AD123" s="260"/>
      <c r="AE123" s="260"/>
      <c r="AF123" s="260"/>
      <c r="AG123" s="260"/>
      <c r="AH123" s="260"/>
    </row>
    <row r="124">
      <c r="A124" s="259"/>
      <c r="B124" s="260"/>
      <c r="C124" s="260"/>
      <c r="D124" s="260"/>
      <c r="E124" s="260"/>
      <c r="F124" s="260"/>
      <c r="G124" s="260"/>
      <c r="H124" s="260"/>
      <c r="I124" s="260"/>
      <c r="J124" s="261"/>
      <c r="K124" s="260"/>
      <c r="L124" s="260"/>
      <c r="M124" s="260"/>
      <c r="N124" s="260"/>
      <c r="O124" s="260"/>
      <c r="P124" s="260"/>
      <c r="Q124" s="260"/>
      <c r="R124" s="260"/>
      <c r="S124" s="260"/>
      <c r="T124" s="279"/>
      <c r="U124" s="260"/>
      <c r="V124" s="260"/>
      <c r="W124" s="260"/>
      <c r="X124" s="260"/>
      <c r="Y124" s="260"/>
      <c r="Z124" s="260"/>
      <c r="AA124" s="264"/>
      <c r="AB124" s="260"/>
      <c r="AC124" s="260"/>
      <c r="AD124" s="260"/>
      <c r="AE124" s="260"/>
      <c r="AF124" s="260"/>
      <c r="AG124" s="260"/>
      <c r="AH124" s="260"/>
    </row>
    <row r="125">
      <c r="A125" s="259"/>
      <c r="B125" s="260"/>
      <c r="C125" s="260"/>
      <c r="D125" s="260"/>
      <c r="E125" s="260"/>
      <c r="F125" s="260"/>
      <c r="G125" s="260"/>
      <c r="H125" s="260"/>
      <c r="I125" s="260"/>
      <c r="J125" s="261"/>
      <c r="K125" s="260"/>
      <c r="L125" s="260"/>
      <c r="M125" s="260"/>
      <c r="N125" s="260"/>
      <c r="O125" s="260"/>
      <c r="P125" s="260"/>
      <c r="Q125" s="260"/>
      <c r="R125" s="260"/>
      <c r="S125" s="260"/>
      <c r="T125" s="279"/>
      <c r="U125" s="260"/>
      <c r="V125" s="260"/>
      <c r="W125" s="260"/>
      <c r="X125" s="260"/>
      <c r="Y125" s="260"/>
      <c r="Z125" s="260"/>
      <c r="AA125" s="264"/>
      <c r="AB125" s="260"/>
      <c r="AC125" s="260"/>
      <c r="AD125" s="260"/>
      <c r="AE125" s="260"/>
      <c r="AF125" s="260"/>
      <c r="AG125" s="260"/>
      <c r="AH125" s="260"/>
    </row>
    <row r="126">
      <c r="A126" s="259"/>
      <c r="B126" s="260"/>
      <c r="C126" s="260"/>
      <c r="D126" s="260"/>
      <c r="E126" s="260"/>
      <c r="F126" s="260"/>
      <c r="G126" s="260"/>
      <c r="H126" s="260"/>
      <c r="I126" s="260"/>
      <c r="J126" s="261"/>
      <c r="K126" s="260"/>
      <c r="L126" s="260"/>
      <c r="M126" s="260"/>
      <c r="N126" s="260"/>
      <c r="O126" s="260"/>
      <c r="P126" s="260"/>
      <c r="Q126" s="260"/>
      <c r="R126" s="260"/>
      <c r="S126" s="260"/>
      <c r="T126" s="279"/>
      <c r="U126" s="260"/>
      <c r="V126" s="260"/>
      <c r="W126" s="260"/>
      <c r="X126" s="260"/>
      <c r="Y126" s="260"/>
      <c r="Z126" s="260"/>
      <c r="AA126" s="264"/>
      <c r="AB126" s="260"/>
      <c r="AC126" s="260"/>
      <c r="AD126" s="260"/>
      <c r="AE126" s="260"/>
      <c r="AF126" s="260"/>
      <c r="AG126" s="260"/>
      <c r="AH126" s="260"/>
    </row>
    <row r="127">
      <c r="A127" s="259"/>
      <c r="B127" s="260"/>
      <c r="C127" s="260"/>
      <c r="D127" s="260"/>
      <c r="E127" s="260"/>
      <c r="F127" s="260"/>
      <c r="G127" s="260"/>
      <c r="H127" s="260"/>
      <c r="I127" s="260"/>
      <c r="J127" s="261"/>
      <c r="K127" s="260"/>
      <c r="L127" s="260"/>
      <c r="M127" s="260"/>
      <c r="N127" s="260"/>
      <c r="O127" s="260"/>
      <c r="P127" s="260"/>
      <c r="Q127" s="260"/>
      <c r="R127" s="260"/>
      <c r="S127" s="260"/>
      <c r="T127" s="279"/>
      <c r="U127" s="260"/>
      <c r="V127" s="260"/>
      <c r="W127" s="260"/>
      <c r="X127" s="260"/>
      <c r="Y127" s="260"/>
      <c r="Z127" s="260"/>
      <c r="AA127" s="264"/>
      <c r="AB127" s="260"/>
      <c r="AC127" s="260"/>
      <c r="AD127" s="260"/>
      <c r="AE127" s="260"/>
      <c r="AF127" s="260"/>
      <c r="AG127" s="260"/>
      <c r="AH127" s="260"/>
    </row>
    <row r="128">
      <c r="A128" s="259"/>
      <c r="B128" s="260"/>
      <c r="C128" s="260"/>
      <c r="D128" s="260"/>
      <c r="E128" s="260"/>
      <c r="F128" s="260"/>
      <c r="G128" s="260"/>
      <c r="H128" s="260"/>
      <c r="I128" s="260"/>
      <c r="J128" s="261"/>
      <c r="K128" s="260"/>
      <c r="L128" s="260"/>
      <c r="M128" s="260"/>
      <c r="N128" s="260"/>
      <c r="O128" s="260"/>
      <c r="P128" s="260"/>
      <c r="Q128" s="260"/>
      <c r="R128" s="260"/>
      <c r="S128" s="260"/>
      <c r="T128" s="279"/>
      <c r="U128" s="260"/>
      <c r="V128" s="260"/>
      <c r="W128" s="260"/>
      <c r="X128" s="260"/>
      <c r="Y128" s="260"/>
      <c r="Z128" s="260"/>
      <c r="AA128" s="264"/>
      <c r="AB128" s="260"/>
      <c r="AC128" s="260"/>
      <c r="AD128" s="260"/>
      <c r="AE128" s="260"/>
      <c r="AF128" s="260"/>
      <c r="AG128" s="260"/>
      <c r="AH128" s="260"/>
    </row>
    <row r="129">
      <c r="A129" s="259"/>
      <c r="B129" s="260"/>
      <c r="C129" s="260"/>
      <c r="D129" s="260"/>
      <c r="E129" s="260"/>
      <c r="F129" s="260"/>
      <c r="G129" s="260"/>
      <c r="H129" s="260"/>
      <c r="I129" s="260"/>
      <c r="J129" s="261"/>
      <c r="K129" s="260"/>
      <c r="L129" s="260"/>
      <c r="M129" s="260"/>
      <c r="N129" s="260"/>
      <c r="O129" s="260"/>
      <c r="P129" s="260"/>
      <c r="Q129" s="260"/>
      <c r="R129" s="260"/>
      <c r="S129" s="260"/>
      <c r="T129" s="279"/>
      <c r="U129" s="260"/>
      <c r="V129" s="260"/>
      <c r="W129" s="260"/>
      <c r="X129" s="260"/>
      <c r="Y129" s="260"/>
      <c r="Z129" s="260"/>
      <c r="AA129" s="264"/>
      <c r="AB129" s="260"/>
      <c r="AC129" s="260"/>
      <c r="AD129" s="260"/>
      <c r="AE129" s="260"/>
      <c r="AF129" s="260"/>
      <c r="AG129" s="260"/>
      <c r="AH129" s="260"/>
    </row>
    <row r="130">
      <c r="A130" s="259"/>
      <c r="B130" s="260"/>
      <c r="C130" s="260"/>
      <c r="D130" s="260"/>
      <c r="E130" s="260"/>
      <c r="F130" s="260"/>
      <c r="G130" s="260"/>
      <c r="H130" s="260"/>
      <c r="I130" s="260"/>
      <c r="J130" s="261"/>
      <c r="K130" s="260"/>
      <c r="L130" s="260"/>
      <c r="M130" s="260"/>
      <c r="N130" s="260"/>
      <c r="O130" s="260"/>
      <c r="P130" s="260"/>
      <c r="Q130" s="260"/>
      <c r="R130" s="260"/>
      <c r="S130" s="260"/>
      <c r="T130" s="279"/>
      <c r="U130" s="260"/>
      <c r="V130" s="260"/>
      <c r="W130" s="260"/>
      <c r="X130" s="260"/>
      <c r="Y130" s="260"/>
      <c r="Z130" s="260"/>
      <c r="AA130" s="264"/>
      <c r="AB130" s="260"/>
      <c r="AC130" s="260"/>
      <c r="AD130" s="260"/>
      <c r="AE130" s="260"/>
      <c r="AF130" s="260"/>
      <c r="AG130" s="260"/>
      <c r="AH130" s="260"/>
    </row>
    <row r="131">
      <c r="A131" s="259"/>
      <c r="B131" s="260"/>
      <c r="C131" s="260"/>
      <c r="D131" s="260"/>
      <c r="E131" s="260"/>
      <c r="F131" s="260"/>
      <c r="G131" s="260"/>
      <c r="H131" s="260"/>
      <c r="I131" s="260"/>
      <c r="J131" s="261"/>
      <c r="K131" s="260"/>
      <c r="L131" s="260"/>
      <c r="M131" s="260"/>
      <c r="N131" s="260"/>
      <c r="O131" s="260"/>
      <c r="P131" s="260"/>
      <c r="Q131" s="260"/>
      <c r="R131" s="260"/>
      <c r="S131" s="260"/>
      <c r="T131" s="279"/>
      <c r="U131" s="260"/>
      <c r="V131" s="260"/>
      <c r="W131" s="260"/>
      <c r="X131" s="260"/>
      <c r="Y131" s="260"/>
      <c r="Z131" s="260"/>
      <c r="AA131" s="264"/>
      <c r="AB131" s="260"/>
      <c r="AC131" s="260"/>
      <c r="AD131" s="260"/>
      <c r="AE131" s="260"/>
      <c r="AF131" s="260"/>
      <c r="AG131" s="260"/>
      <c r="AH131" s="260"/>
    </row>
    <row r="132">
      <c r="A132" s="259"/>
      <c r="B132" s="260"/>
      <c r="C132" s="260"/>
      <c r="D132" s="260"/>
      <c r="E132" s="260"/>
      <c r="F132" s="260"/>
      <c r="G132" s="260"/>
      <c r="H132" s="260"/>
      <c r="I132" s="260"/>
      <c r="J132" s="261"/>
      <c r="K132" s="260"/>
      <c r="L132" s="260"/>
      <c r="M132" s="260"/>
      <c r="N132" s="260"/>
      <c r="O132" s="260"/>
      <c r="P132" s="260"/>
      <c r="Q132" s="260"/>
      <c r="R132" s="260"/>
      <c r="S132" s="260"/>
      <c r="T132" s="279"/>
      <c r="U132" s="260"/>
      <c r="V132" s="260"/>
      <c r="W132" s="260"/>
      <c r="X132" s="260"/>
      <c r="Y132" s="260"/>
      <c r="Z132" s="260"/>
      <c r="AA132" s="264"/>
      <c r="AB132" s="260"/>
      <c r="AC132" s="260"/>
      <c r="AD132" s="260"/>
      <c r="AE132" s="260"/>
      <c r="AF132" s="260"/>
      <c r="AG132" s="260"/>
      <c r="AH132" s="260"/>
    </row>
    <row r="133">
      <c r="A133" s="259"/>
      <c r="B133" s="260"/>
      <c r="C133" s="260"/>
      <c r="D133" s="260"/>
      <c r="E133" s="260"/>
      <c r="F133" s="260"/>
      <c r="G133" s="260"/>
      <c r="H133" s="260"/>
      <c r="I133" s="260"/>
      <c r="J133" s="261"/>
      <c r="K133" s="260"/>
      <c r="L133" s="260"/>
      <c r="M133" s="260"/>
      <c r="N133" s="260"/>
      <c r="O133" s="260"/>
      <c r="P133" s="260"/>
      <c r="Q133" s="260"/>
      <c r="R133" s="260"/>
      <c r="S133" s="260"/>
      <c r="T133" s="279"/>
      <c r="U133" s="260"/>
      <c r="V133" s="260"/>
      <c r="W133" s="260"/>
      <c r="X133" s="260"/>
      <c r="Y133" s="260"/>
      <c r="Z133" s="260"/>
      <c r="AA133" s="264"/>
      <c r="AB133" s="260"/>
      <c r="AC133" s="260"/>
      <c r="AD133" s="260"/>
      <c r="AE133" s="260"/>
      <c r="AF133" s="260"/>
      <c r="AG133" s="260"/>
      <c r="AH133" s="260"/>
    </row>
    <row r="134">
      <c r="A134" s="259"/>
      <c r="B134" s="260"/>
      <c r="C134" s="260"/>
      <c r="D134" s="260"/>
      <c r="E134" s="260"/>
      <c r="F134" s="260"/>
      <c r="G134" s="260"/>
      <c r="H134" s="260"/>
      <c r="I134" s="260"/>
      <c r="J134" s="261"/>
      <c r="K134" s="260"/>
      <c r="L134" s="260"/>
      <c r="M134" s="260"/>
      <c r="N134" s="260"/>
      <c r="O134" s="260"/>
      <c r="P134" s="260"/>
      <c r="Q134" s="260"/>
      <c r="R134" s="260"/>
      <c r="S134" s="260"/>
      <c r="T134" s="279"/>
      <c r="U134" s="260"/>
      <c r="V134" s="260"/>
      <c r="W134" s="260"/>
      <c r="X134" s="260"/>
      <c r="Y134" s="260"/>
      <c r="Z134" s="260"/>
      <c r="AA134" s="264"/>
      <c r="AB134" s="260"/>
      <c r="AC134" s="260"/>
      <c r="AD134" s="260"/>
      <c r="AE134" s="260"/>
      <c r="AF134" s="260"/>
      <c r="AG134" s="260"/>
      <c r="AH134" s="260"/>
    </row>
    <row r="135">
      <c r="A135" s="259"/>
      <c r="B135" s="260"/>
      <c r="C135" s="260"/>
      <c r="D135" s="260"/>
      <c r="E135" s="260"/>
      <c r="F135" s="260"/>
      <c r="G135" s="260"/>
      <c r="H135" s="260"/>
      <c r="I135" s="260"/>
      <c r="J135" s="261"/>
      <c r="K135" s="260"/>
      <c r="L135" s="260"/>
      <c r="M135" s="260"/>
      <c r="N135" s="260"/>
      <c r="O135" s="260"/>
      <c r="P135" s="260"/>
      <c r="Q135" s="260"/>
      <c r="R135" s="260"/>
      <c r="S135" s="260"/>
      <c r="T135" s="279"/>
      <c r="U135" s="260"/>
      <c r="V135" s="260"/>
      <c r="W135" s="260"/>
      <c r="X135" s="260"/>
      <c r="Y135" s="260"/>
      <c r="Z135" s="260"/>
      <c r="AA135" s="264"/>
      <c r="AB135" s="260"/>
      <c r="AC135" s="260"/>
      <c r="AD135" s="260"/>
      <c r="AE135" s="260"/>
      <c r="AF135" s="260"/>
      <c r="AG135" s="260"/>
      <c r="AH135" s="260"/>
    </row>
    <row r="136">
      <c r="A136" s="259"/>
      <c r="B136" s="260"/>
      <c r="C136" s="260"/>
      <c r="D136" s="260"/>
      <c r="E136" s="260"/>
      <c r="F136" s="260"/>
      <c r="G136" s="260"/>
      <c r="H136" s="260"/>
      <c r="I136" s="260"/>
      <c r="J136" s="261"/>
      <c r="K136" s="260"/>
      <c r="L136" s="260"/>
      <c r="M136" s="260"/>
      <c r="N136" s="260"/>
      <c r="O136" s="260"/>
      <c r="P136" s="260"/>
      <c r="Q136" s="260"/>
      <c r="R136" s="260"/>
      <c r="S136" s="260"/>
      <c r="T136" s="279"/>
      <c r="U136" s="260"/>
      <c r="V136" s="260"/>
      <c r="W136" s="260"/>
      <c r="X136" s="260"/>
      <c r="Y136" s="260"/>
      <c r="Z136" s="260"/>
      <c r="AA136" s="264"/>
      <c r="AB136" s="260"/>
      <c r="AC136" s="260"/>
      <c r="AD136" s="260"/>
      <c r="AE136" s="260"/>
      <c r="AF136" s="260"/>
      <c r="AG136" s="260"/>
      <c r="AH136" s="260"/>
    </row>
    <row r="137">
      <c r="A137" s="259"/>
      <c r="B137" s="260"/>
      <c r="C137" s="260"/>
      <c r="D137" s="260"/>
      <c r="E137" s="260"/>
      <c r="F137" s="260"/>
      <c r="G137" s="260"/>
      <c r="H137" s="260"/>
      <c r="I137" s="260"/>
      <c r="J137" s="261"/>
      <c r="K137" s="260"/>
      <c r="L137" s="260"/>
      <c r="M137" s="260"/>
      <c r="N137" s="260"/>
      <c r="O137" s="260"/>
      <c r="P137" s="260"/>
      <c r="Q137" s="260"/>
      <c r="R137" s="260"/>
      <c r="S137" s="260"/>
      <c r="T137" s="279"/>
      <c r="U137" s="260"/>
      <c r="V137" s="260"/>
      <c r="W137" s="260"/>
      <c r="X137" s="260"/>
      <c r="Y137" s="260"/>
      <c r="Z137" s="260"/>
      <c r="AA137" s="264"/>
      <c r="AB137" s="260"/>
      <c r="AC137" s="260"/>
      <c r="AD137" s="260"/>
      <c r="AE137" s="260"/>
      <c r="AF137" s="260"/>
      <c r="AG137" s="260"/>
      <c r="AH137" s="260"/>
    </row>
    <row r="138">
      <c r="A138" s="259"/>
      <c r="B138" s="260"/>
      <c r="C138" s="260"/>
      <c r="D138" s="260"/>
      <c r="E138" s="260"/>
      <c r="F138" s="260"/>
      <c r="G138" s="260"/>
      <c r="H138" s="260"/>
      <c r="I138" s="260"/>
      <c r="J138" s="261"/>
      <c r="K138" s="260"/>
      <c r="L138" s="260"/>
      <c r="M138" s="260"/>
      <c r="N138" s="260"/>
      <c r="O138" s="260"/>
      <c r="P138" s="260"/>
      <c r="Q138" s="260"/>
      <c r="R138" s="260"/>
      <c r="S138" s="260"/>
      <c r="T138" s="279"/>
      <c r="U138" s="260"/>
      <c r="V138" s="260"/>
      <c r="W138" s="260"/>
      <c r="X138" s="260"/>
      <c r="Y138" s="260"/>
      <c r="Z138" s="260"/>
      <c r="AA138" s="264"/>
      <c r="AB138" s="260"/>
      <c r="AC138" s="260"/>
      <c r="AD138" s="260"/>
      <c r="AE138" s="260"/>
      <c r="AF138" s="260"/>
      <c r="AG138" s="260"/>
      <c r="AH138" s="260"/>
    </row>
    <row r="139">
      <c r="A139" s="259"/>
      <c r="B139" s="260"/>
      <c r="C139" s="260"/>
      <c r="D139" s="260"/>
      <c r="E139" s="260"/>
      <c r="F139" s="260"/>
      <c r="G139" s="260"/>
      <c r="H139" s="260"/>
      <c r="I139" s="260"/>
      <c r="J139" s="261"/>
      <c r="K139" s="260"/>
      <c r="L139" s="260"/>
      <c r="M139" s="260"/>
      <c r="N139" s="260"/>
      <c r="O139" s="260"/>
      <c r="P139" s="260"/>
      <c r="Q139" s="260"/>
      <c r="R139" s="260"/>
      <c r="S139" s="260"/>
      <c r="T139" s="279"/>
      <c r="U139" s="260"/>
      <c r="V139" s="260"/>
      <c r="W139" s="260"/>
      <c r="X139" s="260"/>
      <c r="Y139" s="260"/>
      <c r="Z139" s="260"/>
      <c r="AA139" s="264"/>
      <c r="AB139" s="260"/>
      <c r="AC139" s="260"/>
      <c r="AD139" s="260"/>
      <c r="AE139" s="260"/>
      <c r="AF139" s="260"/>
      <c r="AG139" s="260"/>
      <c r="AH139" s="260"/>
    </row>
    <row r="140">
      <c r="A140" s="259"/>
      <c r="B140" s="260"/>
      <c r="C140" s="260"/>
      <c r="D140" s="260"/>
      <c r="E140" s="260"/>
      <c r="F140" s="260"/>
      <c r="G140" s="260"/>
      <c r="H140" s="260"/>
      <c r="I140" s="260"/>
      <c r="J140" s="261"/>
      <c r="K140" s="260"/>
      <c r="L140" s="260"/>
      <c r="M140" s="260"/>
      <c r="N140" s="260"/>
      <c r="O140" s="260"/>
      <c r="P140" s="260"/>
      <c r="Q140" s="260"/>
      <c r="R140" s="260"/>
      <c r="S140" s="260"/>
      <c r="T140" s="279"/>
      <c r="U140" s="260"/>
      <c r="V140" s="260"/>
      <c r="W140" s="260"/>
      <c r="X140" s="260"/>
      <c r="Y140" s="260"/>
      <c r="Z140" s="260"/>
      <c r="AA140" s="264"/>
      <c r="AB140" s="260"/>
      <c r="AC140" s="260"/>
      <c r="AD140" s="260"/>
      <c r="AE140" s="260"/>
      <c r="AF140" s="260"/>
      <c r="AG140" s="260"/>
      <c r="AH140" s="260"/>
    </row>
    <row r="141">
      <c r="A141" s="259"/>
      <c r="B141" s="260"/>
      <c r="C141" s="260"/>
      <c r="D141" s="260"/>
      <c r="E141" s="260"/>
      <c r="F141" s="260"/>
      <c r="G141" s="260"/>
      <c r="H141" s="260"/>
      <c r="I141" s="260"/>
      <c r="J141" s="261"/>
      <c r="K141" s="260"/>
      <c r="L141" s="260"/>
      <c r="M141" s="260"/>
      <c r="N141" s="260"/>
      <c r="O141" s="260"/>
      <c r="P141" s="260"/>
      <c r="Q141" s="260"/>
      <c r="R141" s="260"/>
      <c r="S141" s="260"/>
      <c r="T141" s="279"/>
      <c r="U141" s="260"/>
      <c r="V141" s="260"/>
      <c r="W141" s="260"/>
      <c r="X141" s="260"/>
      <c r="Y141" s="260"/>
      <c r="Z141" s="260"/>
      <c r="AA141" s="264"/>
      <c r="AB141" s="260"/>
      <c r="AC141" s="260"/>
      <c r="AD141" s="260"/>
      <c r="AE141" s="260"/>
      <c r="AF141" s="260"/>
      <c r="AG141" s="260"/>
      <c r="AH141" s="260"/>
    </row>
    <row r="142">
      <c r="A142" s="259"/>
      <c r="B142" s="260"/>
      <c r="C142" s="260"/>
      <c r="D142" s="260"/>
      <c r="E142" s="260"/>
      <c r="F142" s="260"/>
      <c r="G142" s="260"/>
      <c r="H142" s="260"/>
      <c r="I142" s="260"/>
      <c r="J142" s="261"/>
      <c r="K142" s="260"/>
      <c r="L142" s="260"/>
      <c r="M142" s="260"/>
      <c r="N142" s="260"/>
      <c r="O142" s="260"/>
      <c r="P142" s="260"/>
      <c r="Q142" s="260"/>
      <c r="R142" s="260"/>
      <c r="S142" s="260"/>
      <c r="T142" s="279"/>
      <c r="U142" s="260"/>
      <c r="V142" s="260"/>
      <c r="W142" s="260"/>
      <c r="X142" s="260"/>
      <c r="Y142" s="260"/>
      <c r="Z142" s="260"/>
      <c r="AA142" s="264"/>
      <c r="AB142" s="260"/>
      <c r="AC142" s="260"/>
      <c r="AD142" s="260"/>
      <c r="AE142" s="260"/>
      <c r="AF142" s="260"/>
      <c r="AG142" s="260"/>
      <c r="AH142" s="260"/>
    </row>
    <row r="143">
      <c r="A143" s="259"/>
      <c r="B143" s="260"/>
      <c r="C143" s="260"/>
      <c r="D143" s="260"/>
      <c r="E143" s="260"/>
      <c r="F143" s="260"/>
      <c r="G143" s="260"/>
      <c r="H143" s="260"/>
      <c r="I143" s="260"/>
      <c r="J143" s="261"/>
      <c r="K143" s="260"/>
      <c r="L143" s="260"/>
      <c r="M143" s="260"/>
      <c r="N143" s="260"/>
      <c r="O143" s="260"/>
      <c r="P143" s="260"/>
      <c r="Q143" s="260"/>
      <c r="R143" s="260"/>
      <c r="S143" s="260"/>
      <c r="T143" s="279"/>
      <c r="U143" s="260"/>
      <c r="V143" s="260"/>
      <c r="W143" s="260"/>
      <c r="X143" s="260"/>
      <c r="Y143" s="260"/>
      <c r="Z143" s="260"/>
      <c r="AA143" s="264"/>
      <c r="AB143" s="260"/>
      <c r="AC143" s="260"/>
      <c r="AD143" s="260"/>
      <c r="AE143" s="260"/>
      <c r="AF143" s="260"/>
      <c r="AG143" s="260"/>
      <c r="AH143" s="260"/>
    </row>
    <row r="144">
      <c r="A144" s="259"/>
      <c r="B144" s="260"/>
      <c r="C144" s="260"/>
      <c r="D144" s="260"/>
      <c r="E144" s="260"/>
      <c r="F144" s="260"/>
      <c r="G144" s="260"/>
      <c r="H144" s="260"/>
      <c r="I144" s="260"/>
      <c r="J144" s="261"/>
      <c r="K144" s="260"/>
      <c r="L144" s="260"/>
      <c r="M144" s="260"/>
      <c r="N144" s="260"/>
      <c r="O144" s="260"/>
      <c r="P144" s="260"/>
      <c r="Q144" s="260"/>
      <c r="R144" s="260"/>
      <c r="S144" s="260"/>
      <c r="T144" s="279"/>
      <c r="U144" s="260"/>
      <c r="V144" s="260"/>
      <c r="W144" s="260"/>
      <c r="X144" s="260"/>
      <c r="Y144" s="260"/>
      <c r="Z144" s="260"/>
      <c r="AA144" s="264"/>
      <c r="AB144" s="260"/>
      <c r="AC144" s="260"/>
      <c r="AD144" s="260"/>
      <c r="AE144" s="260"/>
      <c r="AF144" s="260"/>
      <c r="AG144" s="260"/>
      <c r="AH144" s="260"/>
    </row>
    <row r="145">
      <c r="A145" s="259"/>
      <c r="B145" s="260"/>
      <c r="C145" s="260"/>
      <c r="D145" s="260"/>
      <c r="E145" s="260"/>
      <c r="F145" s="260"/>
      <c r="G145" s="260"/>
      <c r="H145" s="260"/>
      <c r="I145" s="260"/>
      <c r="J145" s="261"/>
      <c r="K145" s="260"/>
      <c r="L145" s="260"/>
      <c r="M145" s="260"/>
      <c r="N145" s="260"/>
      <c r="O145" s="260"/>
      <c r="P145" s="260"/>
      <c r="Q145" s="260"/>
      <c r="R145" s="260"/>
      <c r="S145" s="260"/>
      <c r="T145" s="279"/>
      <c r="U145" s="260"/>
      <c r="V145" s="260"/>
      <c r="W145" s="260"/>
      <c r="X145" s="260"/>
      <c r="Y145" s="260"/>
      <c r="Z145" s="260"/>
      <c r="AA145" s="264"/>
      <c r="AB145" s="260"/>
      <c r="AC145" s="260"/>
      <c r="AD145" s="260"/>
      <c r="AE145" s="260"/>
      <c r="AF145" s="260"/>
      <c r="AG145" s="260"/>
      <c r="AH145" s="260"/>
    </row>
    <row r="146">
      <c r="A146" s="259"/>
      <c r="B146" s="260"/>
      <c r="C146" s="260"/>
      <c r="D146" s="260"/>
      <c r="E146" s="260"/>
      <c r="F146" s="260"/>
      <c r="G146" s="260"/>
      <c r="H146" s="260"/>
      <c r="I146" s="260"/>
      <c r="J146" s="261"/>
      <c r="K146" s="260"/>
      <c r="L146" s="260"/>
      <c r="M146" s="260"/>
      <c r="N146" s="260"/>
      <c r="O146" s="260"/>
      <c r="P146" s="260"/>
      <c r="Q146" s="260"/>
      <c r="R146" s="260"/>
      <c r="S146" s="260"/>
      <c r="T146" s="279"/>
      <c r="U146" s="260"/>
      <c r="V146" s="260"/>
      <c r="W146" s="260"/>
      <c r="X146" s="260"/>
      <c r="Y146" s="260"/>
      <c r="Z146" s="260"/>
      <c r="AA146" s="264"/>
      <c r="AB146" s="260"/>
      <c r="AC146" s="260"/>
      <c r="AD146" s="260"/>
      <c r="AE146" s="260"/>
      <c r="AF146" s="260"/>
      <c r="AG146" s="260"/>
      <c r="AH146" s="260"/>
    </row>
    <row r="147">
      <c r="A147" s="259"/>
      <c r="B147" s="260"/>
      <c r="C147" s="260"/>
      <c r="D147" s="260"/>
      <c r="E147" s="260"/>
      <c r="F147" s="260"/>
      <c r="G147" s="260"/>
      <c r="H147" s="260"/>
      <c r="I147" s="260"/>
      <c r="J147" s="261"/>
      <c r="K147" s="260"/>
      <c r="L147" s="260"/>
      <c r="M147" s="260"/>
      <c r="N147" s="260"/>
      <c r="O147" s="260"/>
      <c r="P147" s="260"/>
      <c r="Q147" s="260"/>
      <c r="R147" s="260"/>
      <c r="S147" s="260"/>
      <c r="T147" s="279"/>
      <c r="U147" s="260"/>
      <c r="V147" s="260"/>
      <c r="W147" s="260"/>
      <c r="X147" s="260"/>
      <c r="Y147" s="260"/>
      <c r="Z147" s="260"/>
      <c r="AA147" s="264"/>
      <c r="AB147" s="260"/>
      <c r="AC147" s="260"/>
      <c r="AD147" s="260"/>
      <c r="AE147" s="260"/>
      <c r="AF147" s="260"/>
      <c r="AG147" s="260"/>
      <c r="AH147" s="260"/>
    </row>
    <row r="148">
      <c r="A148" s="259"/>
      <c r="B148" s="260"/>
      <c r="C148" s="260"/>
      <c r="D148" s="260"/>
      <c r="E148" s="260"/>
      <c r="F148" s="260"/>
      <c r="G148" s="260"/>
      <c r="H148" s="260"/>
      <c r="I148" s="260"/>
      <c r="J148" s="261"/>
      <c r="K148" s="260"/>
      <c r="L148" s="260"/>
      <c r="M148" s="260"/>
      <c r="N148" s="260"/>
      <c r="O148" s="260"/>
      <c r="P148" s="260"/>
      <c r="Q148" s="260"/>
      <c r="R148" s="260"/>
      <c r="S148" s="260"/>
      <c r="T148" s="279"/>
      <c r="U148" s="260"/>
      <c r="V148" s="260"/>
      <c r="W148" s="260"/>
      <c r="X148" s="260"/>
      <c r="Y148" s="260"/>
      <c r="Z148" s="260"/>
      <c r="AA148" s="264"/>
      <c r="AB148" s="260"/>
      <c r="AC148" s="260"/>
      <c r="AD148" s="260"/>
      <c r="AE148" s="260"/>
      <c r="AF148" s="260"/>
      <c r="AG148" s="260"/>
      <c r="AH148" s="260"/>
    </row>
    <row r="149">
      <c r="A149" s="259"/>
      <c r="B149" s="260"/>
      <c r="C149" s="260"/>
      <c r="D149" s="260"/>
      <c r="E149" s="260"/>
      <c r="F149" s="260"/>
      <c r="G149" s="260"/>
      <c r="H149" s="260"/>
      <c r="I149" s="260"/>
      <c r="J149" s="261"/>
      <c r="K149" s="260"/>
      <c r="L149" s="260"/>
      <c r="M149" s="260"/>
      <c r="N149" s="260"/>
      <c r="O149" s="260"/>
      <c r="P149" s="260"/>
      <c r="Q149" s="260"/>
      <c r="R149" s="260"/>
      <c r="S149" s="260"/>
      <c r="T149" s="279"/>
      <c r="U149" s="260"/>
      <c r="V149" s="260"/>
      <c r="W149" s="260"/>
      <c r="X149" s="260"/>
      <c r="Y149" s="260"/>
      <c r="Z149" s="260"/>
      <c r="AA149" s="264"/>
      <c r="AB149" s="260"/>
      <c r="AC149" s="260"/>
      <c r="AD149" s="260"/>
      <c r="AE149" s="260"/>
      <c r="AF149" s="260"/>
      <c r="AG149" s="260"/>
      <c r="AH149" s="260"/>
    </row>
    <row r="150">
      <c r="A150" s="259"/>
      <c r="B150" s="260"/>
      <c r="C150" s="260"/>
      <c r="D150" s="260"/>
      <c r="E150" s="260"/>
      <c r="F150" s="260"/>
      <c r="G150" s="260"/>
      <c r="H150" s="260"/>
      <c r="I150" s="260"/>
      <c r="J150" s="261"/>
      <c r="K150" s="260"/>
      <c r="L150" s="260"/>
      <c r="M150" s="260"/>
      <c r="N150" s="260"/>
      <c r="O150" s="260"/>
      <c r="P150" s="260"/>
      <c r="Q150" s="260"/>
      <c r="R150" s="260"/>
      <c r="S150" s="260"/>
      <c r="T150" s="279"/>
      <c r="U150" s="260"/>
      <c r="V150" s="260"/>
      <c r="W150" s="260"/>
      <c r="X150" s="260"/>
      <c r="Y150" s="260"/>
      <c r="Z150" s="260"/>
      <c r="AA150" s="264"/>
      <c r="AB150" s="260"/>
      <c r="AC150" s="260"/>
      <c r="AD150" s="260"/>
      <c r="AE150" s="260"/>
      <c r="AF150" s="260"/>
      <c r="AG150" s="260"/>
      <c r="AH150" s="260"/>
    </row>
    <row r="151">
      <c r="A151" s="259"/>
      <c r="B151" s="260"/>
      <c r="C151" s="260"/>
      <c r="D151" s="260"/>
      <c r="E151" s="260"/>
      <c r="F151" s="260"/>
      <c r="G151" s="260"/>
      <c r="H151" s="260"/>
      <c r="I151" s="260"/>
      <c r="J151" s="261"/>
      <c r="K151" s="260"/>
      <c r="L151" s="260"/>
      <c r="M151" s="260"/>
      <c r="N151" s="260"/>
      <c r="O151" s="260"/>
      <c r="P151" s="260"/>
      <c r="Q151" s="260"/>
      <c r="R151" s="260"/>
      <c r="S151" s="260"/>
      <c r="T151" s="279"/>
      <c r="U151" s="260"/>
      <c r="V151" s="260"/>
      <c r="W151" s="260"/>
      <c r="X151" s="260"/>
      <c r="Y151" s="260"/>
      <c r="Z151" s="260"/>
      <c r="AA151" s="264"/>
      <c r="AB151" s="260"/>
      <c r="AC151" s="260"/>
      <c r="AD151" s="260"/>
      <c r="AE151" s="260"/>
      <c r="AF151" s="260"/>
      <c r="AG151" s="260"/>
      <c r="AH151" s="260"/>
    </row>
    <row r="152">
      <c r="A152" s="259"/>
      <c r="B152" s="260"/>
      <c r="C152" s="260"/>
      <c r="D152" s="260"/>
      <c r="E152" s="260"/>
      <c r="F152" s="260"/>
      <c r="G152" s="260"/>
      <c r="H152" s="260"/>
      <c r="I152" s="260"/>
      <c r="J152" s="261"/>
      <c r="K152" s="260"/>
      <c r="L152" s="260"/>
      <c r="M152" s="260"/>
      <c r="N152" s="260"/>
      <c r="O152" s="260"/>
      <c r="P152" s="260"/>
      <c r="Q152" s="260"/>
      <c r="R152" s="260"/>
      <c r="S152" s="260"/>
      <c r="T152" s="279"/>
      <c r="U152" s="260"/>
      <c r="V152" s="260"/>
      <c r="W152" s="260"/>
      <c r="X152" s="260"/>
      <c r="Y152" s="260"/>
      <c r="Z152" s="260"/>
      <c r="AA152" s="264"/>
      <c r="AB152" s="260"/>
      <c r="AC152" s="260"/>
      <c r="AD152" s="260"/>
      <c r="AE152" s="260"/>
      <c r="AF152" s="260"/>
      <c r="AG152" s="260"/>
      <c r="AH152" s="260"/>
    </row>
    <row r="153">
      <c r="A153" s="259"/>
      <c r="B153" s="260"/>
      <c r="C153" s="260"/>
      <c r="D153" s="260"/>
      <c r="E153" s="260"/>
      <c r="F153" s="260"/>
      <c r="G153" s="260"/>
      <c r="H153" s="260"/>
      <c r="I153" s="260"/>
      <c r="J153" s="261"/>
      <c r="K153" s="260"/>
      <c r="L153" s="260"/>
      <c r="M153" s="260"/>
      <c r="N153" s="260"/>
      <c r="O153" s="260"/>
      <c r="P153" s="260"/>
      <c r="Q153" s="260"/>
      <c r="R153" s="260"/>
      <c r="S153" s="260"/>
      <c r="T153" s="279"/>
      <c r="U153" s="260"/>
      <c r="V153" s="260"/>
      <c r="W153" s="260"/>
      <c r="X153" s="260"/>
      <c r="Y153" s="260"/>
      <c r="Z153" s="260"/>
      <c r="AA153" s="264"/>
      <c r="AB153" s="260"/>
      <c r="AC153" s="260"/>
      <c r="AD153" s="260"/>
      <c r="AE153" s="260"/>
      <c r="AF153" s="260"/>
      <c r="AG153" s="260"/>
      <c r="AH153" s="260"/>
    </row>
    <row r="154">
      <c r="A154" s="259"/>
      <c r="B154" s="260"/>
      <c r="C154" s="260"/>
      <c r="D154" s="260"/>
      <c r="E154" s="260"/>
      <c r="F154" s="260"/>
      <c r="G154" s="260"/>
      <c r="H154" s="260"/>
      <c r="I154" s="260"/>
      <c r="J154" s="261"/>
      <c r="K154" s="260"/>
      <c r="L154" s="260"/>
      <c r="M154" s="260"/>
      <c r="N154" s="260"/>
      <c r="O154" s="260"/>
      <c r="P154" s="260"/>
      <c r="Q154" s="260"/>
      <c r="R154" s="260"/>
      <c r="S154" s="260"/>
      <c r="T154" s="279"/>
      <c r="U154" s="260"/>
      <c r="V154" s="260"/>
      <c r="W154" s="260"/>
      <c r="X154" s="260"/>
      <c r="Y154" s="260"/>
      <c r="Z154" s="260"/>
      <c r="AA154" s="264"/>
      <c r="AB154" s="260"/>
      <c r="AC154" s="260"/>
      <c r="AD154" s="260"/>
      <c r="AE154" s="260"/>
      <c r="AF154" s="260"/>
      <c r="AG154" s="260"/>
      <c r="AH154" s="260"/>
    </row>
    <row r="155">
      <c r="A155" s="259"/>
      <c r="B155" s="260"/>
      <c r="C155" s="260"/>
      <c r="D155" s="260"/>
      <c r="E155" s="260"/>
      <c r="F155" s="260"/>
      <c r="G155" s="260"/>
      <c r="H155" s="260"/>
      <c r="I155" s="260"/>
      <c r="J155" s="261"/>
      <c r="K155" s="260"/>
      <c r="L155" s="260"/>
      <c r="M155" s="260"/>
      <c r="N155" s="260"/>
      <c r="O155" s="260"/>
      <c r="P155" s="260"/>
      <c r="Q155" s="260"/>
      <c r="R155" s="260"/>
      <c r="S155" s="260"/>
      <c r="T155" s="279"/>
      <c r="U155" s="260"/>
      <c r="V155" s="260"/>
      <c r="W155" s="260"/>
      <c r="X155" s="260"/>
      <c r="Y155" s="260"/>
      <c r="Z155" s="260"/>
      <c r="AA155" s="264"/>
      <c r="AB155" s="260"/>
      <c r="AC155" s="260"/>
      <c r="AD155" s="260"/>
      <c r="AE155" s="260"/>
      <c r="AF155" s="260"/>
      <c r="AG155" s="260"/>
      <c r="AH155" s="260"/>
    </row>
    <row r="156">
      <c r="A156" s="259"/>
      <c r="B156" s="260"/>
      <c r="C156" s="260"/>
      <c r="D156" s="260"/>
      <c r="E156" s="260"/>
      <c r="F156" s="260"/>
      <c r="G156" s="260"/>
      <c r="H156" s="260"/>
      <c r="I156" s="260"/>
      <c r="J156" s="261"/>
      <c r="K156" s="260"/>
      <c r="L156" s="260"/>
      <c r="M156" s="260"/>
      <c r="N156" s="260"/>
      <c r="O156" s="260"/>
      <c r="P156" s="260"/>
      <c r="Q156" s="260"/>
      <c r="R156" s="260"/>
      <c r="S156" s="260"/>
      <c r="T156" s="279"/>
      <c r="U156" s="260"/>
      <c r="V156" s="260"/>
      <c r="W156" s="260"/>
      <c r="X156" s="260"/>
      <c r="Y156" s="260"/>
      <c r="Z156" s="260"/>
      <c r="AA156" s="264"/>
      <c r="AB156" s="260"/>
      <c r="AC156" s="260"/>
      <c r="AD156" s="260"/>
      <c r="AE156" s="260"/>
      <c r="AF156" s="260"/>
      <c r="AG156" s="260"/>
      <c r="AH156" s="260"/>
    </row>
    <row r="157">
      <c r="A157" s="259"/>
      <c r="B157" s="260"/>
      <c r="C157" s="260"/>
      <c r="D157" s="260"/>
      <c r="E157" s="260"/>
      <c r="F157" s="260"/>
      <c r="G157" s="260"/>
      <c r="H157" s="260"/>
      <c r="I157" s="260"/>
      <c r="J157" s="261"/>
      <c r="K157" s="260"/>
      <c r="L157" s="260"/>
      <c r="M157" s="260"/>
      <c r="N157" s="260"/>
      <c r="O157" s="260"/>
      <c r="P157" s="260"/>
      <c r="Q157" s="260"/>
      <c r="R157" s="260"/>
      <c r="S157" s="260"/>
      <c r="T157" s="279"/>
      <c r="U157" s="260"/>
      <c r="V157" s="260"/>
      <c r="W157" s="260"/>
      <c r="X157" s="260"/>
      <c r="Y157" s="260"/>
      <c r="Z157" s="260"/>
      <c r="AA157" s="264"/>
      <c r="AB157" s="260"/>
      <c r="AC157" s="260"/>
      <c r="AD157" s="260"/>
      <c r="AE157" s="260"/>
      <c r="AF157" s="260"/>
      <c r="AG157" s="260"/>
      <c r="AH157" s="260"/>
    </row>
    <row r="158">
      <c r="A158" s="259"/>
      <c r="B158" s="260"/>
      <c r="C158" s="260"/>
      <c r="D158" s="260"/>
      <c r="E158" s="260"/>
      <c r="F158" s="260"/>
      <c r="G158" s="260"/>
      <c r="H158" s="260"/>
      <c r="I158" s="260"/>
      <c r="J158" s="261"/>
      <c r="K158" s="260"/>
      <c r="L158" s="260"/>
      <c r="M158" s="260"/>
      <c r="N158" s="260"/>
      <c r="O158" s="260"/>
      <c r="P158" s="260"/>
      <c r="Q158" s="260"/>
      <c r="R158" s="260"/>
      <c r="S158" s="260"/>
      <c r="T158" s="279"/>
      <c r="U158" s="260"/>
      <c r="V158" s="260"/>
      <c r="W158" s="260"/>
      <c r="X158" s="260"/>
      <c r="Y158" s="260"/>
      <c r="Z158" s="260"/>
      <c r="AA158" s="264"/>
      <c r="AB158" s="260"/>
      <c r="AC158" s="260"/>
      <c r="AD158" s="260"/>
      <c r="AE158" s="260"/>
      <c r="AF158" s="260"/>
      <c r="AG158" s="260"/>
      <c r="AH158" s="260"/>
    </row>
    <row r="159">
      <c r="A159" s="259"/>
      <c r="B159" s="260"/>
      <c r="C159" s="260"/>
      <c r="D159" s="260"/>
      <c r="E159" s="260"/>
      <c r="F159" s="260"/>
      <c r="G159" s="260"/>
      <c r="H159" s="260"/>
      <c r="I159" s="260"/>
      <c r="J159" s="261"/>
      <c r="K159" s="260"/>
      <c r="L159" s="260"/>
      <c r="M159" s="260"/>
      <c r="N159" s="260"/>
      <c r="O159" s="260"/>
      <c r="P159" s="260"/>
      <c r="Q159" s="260"/>
      <c r="R159" s="260"/>
      <c r="S159" s="260"/>
      <c r="T159" s="279"/>
      <c r="U159" s="260"/>
      <c r="V159" s="260"/>
      <c r="W159" s="260"/>
      <c r="X159" s="260"/>
      <c r="Y159" s="260"/>
      <c r="Z159" s="260"/>
      <c r="AA159" s="264"/>
      <c r="AB159" s="260"/>
      <c r="AC159" s="260"/>
      <c r="AD159" s="260"/>
      <c r="AE159" s="260"/>
      <c r="AF159" s="260"/>
      <c r="AG159" s="260"/>
      <c r="AH159" s="260"/>
    </row>
    <row r="160">
      <c r="A160" s="259"/>
      <c r="B160" s="260"/>
      <c r="C160" s="260"/>
      <c r="D160" s="260"/>
      <c r="E160" s="260"/>
      <c r="F160" s="260"/>
      <c r="G160" s="260"/>
      <c r="H160" s="260"/>
      <c r="I160" s="260"/>
      <c r="J160" s="261"/>
      <c r="K160" s="260"/>
      <c r="L160" s="260"/>
      <c r="M160" s="260"/>
      <c r="N160" s="260"/>
      <c r="O160" s="260"/>
      <c r="P160" s="260"/>
      <c r="Q160" s="260"/>
      <c r="R160" s="260"/>
      <c r="S160" s="260"/>
      <c r="T160" s="279"/>
      <c r="U160" s="260"/>
      <c r="V160" s="260"/>
      <c r="W160" s="260"/>
      <c r="X160" s="260"/>
      <c r="Y160" s="260"/>
      <c r="Z160" s="260"/>
      <c r="AA160" s="264"/>
      <c r="AB160" s="260"/>
      <c r="AC160" s="260"/>
      <c r="AD160" s="260"/>
      <c r="AE160" s="260"/>
      <c r="AF160" s="260"/>
      <c r="AG160" s="260"/>
      <c r="AH160" s="260"/>
    </row>
    <row r="161">
      <c r="A161" s="259"/>
      <c r="B161" s="260"/>
      <c r="C161" s="260"/>
      <c r="D161" s="260"/>
      <c r="E161" s="260"/>
      <c r="F161" s="260"/>
      <c r="G161" s="260"/>
      <c r="H161" s="260"/>
      <c r="I161" s="260"/>
      <c r="J161" s="261"/>
      <c r="K161" s="260"/>
      <c r="L161" s="260"/>
      <c r="M161" s="260"/>
      <c r="N161" s="260"/>
      <c r="O161" s="260"/>
      <c r="P161" s="260"/>
      <c r="Q161" s="260"/>
      <c r="R161" s="260"/>
      <c r="S161" s="260"/>
      <c r="T161" s="279"/>
      <c r="U161" s="260"/>
      <c r="V161" s="260"/>
      <c r="W161" s="260"/>
      <c r="X161" s="260"/>
      <c r="Y161" s="260"/>
      <c r="Z161" s="260"/>
      <c r="AA161" s="264"/>
      <c r="AB161" s="260"/>
      <c r="AC161" s="260"/>
      <c r="AD161" s="260"/>
      <c r="AE161" s="260"/>
      <c r="AF161" s="260"/>
      <c r="AG161" s="260"/>
      <c r="AH161" s="260"/>
    </row>
    <row r="162">
      <c r="A162" s="259"/>
      <c r="B162" s="260"/>
      <c r="C162" s="260"/>
      <c r="D162" s="260"/>
      <c r="E162" s="260"/>
      <c r="F162" s="260"/>
      <c r="G162" s="260"/>
      <c r="H162" s="260"/>
      <c r="I162" s="260"/>
      <c r="J162" s="261"/>
      <c r="K162" s="260"/>
      <c r="L162" s="260"/>
      <c r="M162" s="260"/>
      <c r="N162" s="260"/>
      <c r="O162" s="260"/>
      <c r="P162" s="260"/>
      <c r="Q162" s="260"/>
      <c r="R162" s="260"/>
      <c r="S162" s="260"/>
      <c r="T162" s="279"/>
      <c r="U162" s="260"/>
      <c r="V162" s="260"/>
      <c r="W162" s="260"/>
      <c r="X162" s="260"/>
      <c r="Y162" s="260"/>
      <c r="Z162" s="260"/>
      <c r="AA162" s="264"/>
      <c r="AB162" s="260"/>
      <c r="AC162" s="260"/>
      <c r="AD162" s="260"/>
      <c r="AE162" s="260"/>
      <c r="AF162" s="260"/>
      <c r="AG162" s="260"/>
      <c r="AH162" s="260"/>
    </row>
    <row r="163">
      <c r="A163" s="259"/>
      <c r="B163" s="260"/>
      <c r="C163" s="260"/>
      <c r="D163" s="260"/>
      <c r="E163" s="260"/>
      <c r="F163" s="260"/>
      <c r="G163" s="260"/>
      <c r="H163" s="260"/>
      <c r="I163" s="260"/>
      <c r="J163" s="261"/>
      <c r="K163" s="260"/>
      <c r="L163" s="260"/>
      <c r="M163" s="260"/>
      <c r="N163" s="260"/>
      <c r="O163" s="260"/>
      <c r="P163" s="260"/>
      <c r="Q163" s="260"/>
      <c r="R163" s="260"/>
      <c r="S163" s="260"/>
      <c r="T163" s="279"/>
      <c r="U163" s="260"/>
      <c r="V163" s="260"/>
      <c r="W163" s="260"/>
      <c r="X163" s="260"/>
      <c r="Y163" s="260"/>
      <c r="Z163" s="260"/>
      <c r="AA163" s="264"/>
      <c r="AB163" s="260"/>
      <c r="AC163" s="260"/>
      <c r="AD163" s="260"/>
      <c r="AE163" s="260"/>
      <c r="AF163" s="260"/>
      <c r="AG163" s="260"/>
      <c r="AH163" s="260"/>
    </row>
    <row r="164">
      <c r="A164" s="259"/>
      <c r="B164" s="260"/>
      <c r="C164" s="260"/>
      <c r="D164" s="260"/>
      <c r="E164" s="260"/>
      <c r="F164" s="260"/>
      <c r="G164" s="260"/>
      <c r="H164" s="260"/>
      <c r="I164" s="260"/>
      <c r="J164" s="261"/>
      <c r="K164" s="260"/>
      <c r="L164" s="260"/>
      <c r="M164" s="260"/>
      <c r="N164" s="260"/>
      <c r="O164" s="260"/>
      <c r="P164" s="260"/>
      <c r="Q164" s="260"/>
      <c r="R164" s="260"/>
      <c r="S164" s="260"/>
      <c r="T164" s="279"/>
      <c r="U164" s="260"/>
      <c r="V164" s="260"/>
      <c r="W164" s="260"/>
      <c r="X164" s="260"/>
      <c r="Y164" s="260"/>
      <c r="Z164" s="260"/>
      <c r="AA164" s="264"/>
      <c r="AB164" s="260"/>
      <c r="AC164" s="260"/>
      <c r="AD164" s="260"/>
      <c r="AE164" s="260"/>
      <c r="AF164" s="260"/>
      <c r="AG164" s="260"/>
      <c r="AH164" s="260"/>
    </row>
    <row r="165">
      <c r="A165" s="259"/>
      <c r="B165" s="260"/>
      <c r="C165" s="260"/>
      <c r="D165" s="260"/>
      <c r="E165" s="260"/>
      <c r="F165" s="260"/>
      <c r="G165" s="260"/>
      <c r="H165" s="260"/>
      <c r="I165" s="260"/>
      <c r="J165" s="261"/>
      <c r="K165" s="260"/>
      <c r="L165" s="260"/>
      <c r="M165" s="260"/>
      <c r="N165" s="260"/>
      <c r="O165" s="260"/>
      <c r="P165" s="260"/>
      <c r="Q165" s="260"/>
      <c r="R165" s="260"/>
      <c r="S165" s="260"/>
      <c r="T165" s="279"/>
      <c r="U165" s="260"/>
      <c r="V165" s="260"/>
      <c r="W165" s="260"/>
      <c r="X165" s="260"/>
      <c r="Y165" s="260"/>
      <c r="Z165" s="260"/>
      <c r="AA165" s="264"/>
      <c r="AB165" s="260"/>
      <c r="AC165" s="260"/>
      <c r="AD165" s="260"/>
      <c r="AE165" s="260"/>
      <c r="AF165" s="260"/>
      <c r="AG165" s="260"/>
      <c r="AH165" s="260"/>
    </row>
    <row r="166">
      <c r="A166" s="259"/>
      <c r="B166" s="260"/>
      <c r="C166" s="260"/>
      <c r="D166" s="260"/>
      <c r="E166" s="260"/>
      <c r="F166" s="260"/>
      <c r="G166" s="260"/>
      <c r="H166" s="260"/>
      <c r="I166" s="260"/>
      <c r="J166" s="261"/>
      <c r="K166" s="260"/>
      <c r="L166" s="260"/>
      <c r="M166" s="260"/>
      <c r="N166" s="260"/>
      <c r="O166" s="260"/>
      <c r="P166" s="260"/>
      <c r="Q166" s="260"/>
      <c r="R166" s="260"/>
      <c r="S166" s="260"/>
      <c r="T166" s="279"/>
      <c r="U166" s="260"/>
      <c r="V166" s="260"/>
      <c r="W166" s="260"/>
      <c r="X166" s="260"/>
      <c r="Y166" s="260"/>
      <c r="Z166" s="260"/>
      <c r="AA166" s="264"/>
      <c r="AB166" s="260"/>
      <c r="AC166" s="260"/>
      <c r="AD166" s="260"/>
      <c r="AE166" s="260"/>
      <c r="AF166" s="260"/>
      <c r="AG166" s="260"/>
      <c r="AH166" s="260"/>
    </row>
    <row r="167">
      <c r="A167" s="259"/>
      <c r="B167" s="260"/>
      <c r="C167" s="260"/>
      <c r="D167" s="260"/>
      <c r="E167" s="260"/>
      <c r="F167" s="260"/>
      <c r="G167" s="260"/>
      <c r="H167" s="260"/>
      <c r="I167" s="260"/>
      <c r="J167" s="261"/>
      <c r="K167" s="260"/>
      <c r="L167" s="260"/>
      <c r="M167" s="260"/>
      <c r="N167" s="260"/>
      <c r="O167" s="260"/>
      <c r="P167" s="260"/>
      <c r="Q167" s="260"/>
      <c r="R167" s="260"/>
      <c r="S167" s="260"/>
      <c r="T167" s="279"/>
      <c r="U167" s="260"/>
      <c r="V167" s="260"/>
      <c r="W167" s="260"/>
      <c r="X167" s="260"/>
      <c r="Y167" s="260"/>
      <c r="Z167" s="260"/>
      <c r="AA167" s="264"/>
      <c r="AB167" s="260"/>
      <c r="AC167" s="260"/>
      <c r="AD167" s="260"/>
      <c r="AE167" s="260"/>
      <c r="AF167" s="260"/>
      <c r="AG167" s="260"/>
      <c r="AH167" s="260"/>
    </row>
    <row r="168">
      <c r="A168" s="259"/>
      <c r="B168" s="260"/>
      <c r="C168" s="260"/>
      <c r="D168" s="260"/>
      <c r="E168" s="260"/>
      <c r="F168" s="260"/>
      <c r="G168" s="260"/>
      <c r="H168" s="260"/>
      <c r="I168" s="260"/>
      <c r="J168" s="261"/>
      <c r="K168" s="260"/>
      <c r="L168" s="260"/>
      <c r="M168" s="260"/>
      <c r="N168" s="260"/>
      <c r="O168" s="260"/>
      <c r="P168" s="260"/>
      <c r="Q168" s="260"/>
      <c r="R168" s="260"/>
      <c r="S168" s="260"/>
      <c r="T168" s="279"/>
      <c r="U168" s="260"/>
      <c r="V168" s="260"/>
      <c r="W168" s="260"/>
      <c r="X168" s="260"/>
      <c r="Y168" s="260"/>
      <c r="Z168" s="260"/>
      <c r="AA168" s="264"/>
      <c r="AB168" s="260"/>
      <c r="AC168" s="260"/>
      <c r="AD168" s="260"/>
      <c r="AE168" s="260"/>
      <c r="AF168" s="260"/>
      <c r="AG168" s="260"/>
      <c r="AH168" s="260"/>
    </row>
    <row r="169">
      <c r="A169" s="259"/>
      <c r="B169" s="260"/>
      <c r="C169" s="260"/>
      <c r="D169" s="260"/>
      <c r="E169" s="260"/>
      <c r="F169" s="260"/>
      <c r="G169" s="260"/>
      <c r="H169" s="260"/>
      <c r="I169" s="260"/>
      <c r="J169" s="261"/>
      <c r="K169" s="260"/>
      <c r="L169" s="260"/>
      <c r="M169" s="260"/>
      <c r="N169" s="260"/>
      <c r="O169" s="260"/>
      <c r="P169" s="260"/>
      <c r="Q169" s="260"/>
      <c r="R169" s="260"/>
      <c r="S169" s="260"/>
      <c r="T169" s="279"/>
      <c r="U169" s="260"/>
      <c r="V169" s="260"/>
      <c r="W169" s="260"/>
      <c r="X169" s="260"/>
      <c r="Y169" s="260"/>
      <c r="Z169" s="260"/>
      <c r="AA169" s="264"/>
      <c r="AB169" s="260"/>
      <c r="AC169" s="260"/>
      <c r="AD169" s="260"/>
      <c r="AE169" s="260"/>
      <c r="AF169" s="260"/>
      <c r="AG169" s="260"/>
      <c r="AH169" s="260"/>
    </row>
    <row r="170">
      <c r="A170" s="259"/>
      <c r="B170" s="260"/>
      <c r="C170" s="260"/>
      <c r="D170" s="260"/>
      <c r="E170" s="260"/>
      <c r="F170" s="260"/>
      <c r="G170" s="260"/>
      <c r="H170" s="260"/>
      <c r="I170" s="260"/>
      <c r="J170" s="261"/>
      <c r="K170" s="260"/>
      <c r="L170" s="260"/>
      <c r="M170" s="260"/>
      <c r="N170" s="260"/>
      <c r="O170" s="260"/>
      <c r="P170" s="260"/>
      <c r="Q170" s="260"/>
      <c r="R170" s="260"/>
      <c r="S170" s="260"/>
      <c r="T170" s="279"/>
      <c r="U170" s="260"/>
      <c r="V170" s="260"/>
      <c r="W170" s="260"/>
      <c r="X170" s="260"/>
      <c r="Y170" s="260"/>
      <c r="Z170" s="260"/>
      <c r="AA170" s="264"/>
      <c r="AB170" s="260"/>
      <c r="AC170" s="260"/>
      <c r="AD170" s="260"/>
      <c r="AE170" s="260"/>
      <c r="AF170" s="260"/>
      <c r="AG170" s="260"/>
      <c r="AH170" s="260"/>
    </row>
    <row r="171">
      <c r="A171" s="259"/>
      <c r="B171" s="260"/>
      <c r="C171" s="260"/>
      <c r="D171" s="260"/>
      <c r="E171" s="260"/>
      <c r="F171" s="260"/>
      <c r="G171" s="260"/>
      <c r="H171" s="260"/>
      <c r="I171" s="260"/>
      <c r="J171" s="261"/>
      <c r="K171" s="260"/>
      <c r="L171" s="260"/>
      <c r="M171" s="260"/>
      <c r="N171" s="260"/>
      <c r="O171" s="260"/>
      <c r="P171" s="260"/>
      <c r="Q171" s="260"/>
      <c r="R171" s="260"/>
      <c r="S171" s="260"/>
      <c r="T171" s="279"/>
      <c r="U171" s="260"/>
      <c r="V171" s="260"/>
      <c r="W171" s="260"/>
      <c r="X171" s="260"/>
      <c r="Y171" s="260"/>
      <c r="Z171" s="260"/>
      <c r="AA171" s="264"/>
      <c r="AB171" s="260"/>
      <c r="AC171" s="260"/>
      <c r="AD171" s="260"/>
      <c r="AE171" s="260"/>
      <c r="AF171" s="260"/>
      <c r="AG171" s="260"/>
      <c r="AH171" s="260"/>
    </row>
    <row r="172">
      <c r="A172" s="259"/>
      <c r="B172" s="260"/>
      <c r="C172" s="260"/>
      <c r="D172" s="260"/>
      <c r="E172" s="260"/>
      <c r="F172" s="260"/>
      <c r="G172" s="260"/>
      <c r="H172" s="260"/>
      <c r="I172" s="260"/>
      <c r="J172" s="261"/>
      <c r="K172" s="260"/>
      <c r="L172" s="260"/>
      <c r="M172" s="260"/>
      <c r="N172" s="260"/>
      <c r="O172" s="260"/>
      <c r="P172" s="260"/>
      <c r="Q172" s="260"/>
      <c r="R172" s="260"/>
      <c r="S172" s="260"/>
      <c r="T172" s="279"/>
      <c r="U172" s="260"/>
      <c r="V172" s="260"/>
      <c r="W172" s="260"/>
      <c r="X172" s="260"/>
      <c r="Y172" s="260"/>
      <c r="Z172" s="260"/>
      <c r="AA172" s="264"/>
      <c r="AB172" s="260"/>
      <c r="AC172" s="260"/>
      <c r="AD172" s="260"/>
      <c r="AE172" s="260"/>
      <c r="AF172" s="260"/>
      <c r="AG172" s="260"/>
      <c r="AH172" s="260"/>
    </row>
    <row r="173">
      <c r="A173" s="259"/>
      <c r="B173" s="260"/>
      <c r="C173" s="260"/>
      <c r="D173" s="260"/>
      <c r="E173" s="260"/>
      <c r="F173" s="260"/>
      <c r="G173" s="260"/>
      <c r="H173" s="260"/>
      <c r="I173" s="260"/>
      <c r="J173" s="261"/>
      <c r="K173" s="260"/>
      <c r="L173" s="260"/>
      <c r="M173" s="260"/>
      <c r="N173" s="260"/>
      <c r="O173" s="260"/>
      <c r="P173" s="260"/>
      <c r="Q173" s="260"/>
      <c r="R173" s="260"/>
      <c r="S173" s="260"/>
      <c r="T173" s="279"/>
      <c r="U173" s="260"/>
      <c r="V173" s="260"/>
      <c r="W173" s="260"/>
      <c r="X173" s="260"/>
      <c r="Y173" s="260"/>
      <c r="Z173" s="260"/>
      <c r="AA173" s="264"/>
      <c r="AB173" s="260"/>
      <c r="AC173" s="260"/>
      <c r="AD173" s="260"/>
      <c r="AE173" s="260"/>
      <c r="AF173" s="260"/>
      <c r="AG173" s="260"/>
      <c r="AH173" s="260"/>
    </row>
    <row r="174">
      <c r="A174" s="259"/>
      <c r="B174" s="260"/>
      <c r="C174" s="260"/>
      <c r="D174" s="260"/>
      <c r="E174" s="260"/>
      <c r="F174" s="260"/>
      <c r="G174" s="260"/>
      <c r="H174" s="260"/>
      <c r="I174" s="260"/>
      <c r="J174" s="261"/>
      <c r="K174" s="260"/>
      <c r="L174" s="260"/>
      <c r="M174" s="260"/>
      <c r="N174" s="260"/>
      <c r="O174" s="260"/>
      <c r="P174" s="260"/>
      <c r="Q174" s="260"/>
      <c r="R174" s="260"/>
      <c r="S174" s="260"/>
      <c r="T174" s="279"/>
      <c r="U174" s="260"/>
      <c r="V174" s="260"/>
      <c r="W174" s="260"/>
      <c r="X174" s="260"/>
      <c r="Y174" s="260"/>
      <c r="Z174" s="260"/>
      <c r="AA174" s="264"/>
      <c r="AB174" s="260"/>
      <c r="AC174" s="260"/>
      <c r="AD174" s="260"/>
      <c r="AE174" s="260"/>
      <c r="AF174" s="260"/>
      <c r="AG174" s="260"/>
      <c r="AH174" s="260"/>
    </row>
    <row r="175">
      <c r="A175" s="259"/>
      <c r="B175" s="260"/>
      <c r="C175" s="260"/>
      <c r="D175" s="260"/>
      <c r="E175" s="260"/>
      <c r="F175" s="260"/>
      <c r="G175" s="260"/>
      <c r="H175" s="260"/>
      <c r="I175" s="260"/>
      <c r="J175" s="261"/>
      <c r="K175" s="260"/>
      <c r="L175" s="260"/>
      <c r="M175" s="260"/>
      <c r="N175" s="260"/>
      <c r="O175" s="260"/>
      <c r="P175" s="260"/>
      <c r="Q175" s="260"/>
      <c r="R175" s="260"/>
      <c r="S175" s="260"/>
      <c r="T175" s="279"/>
      <c r="U175" s="260"/>
      <c r="V175" s="260"/>
      <c r="W175" s="260"/>
      <c r="X175" s="260"/>
      <c r="Y175" s="260"/>
      <c r="Z175" s="260"/>
      <c r="AA175" s="264"/>
      <c r="AB175" s="260"/>
      <c r="AC175" s="260"/>
      <c r="AD175" s="260"/>
      <c r="AE175" s="260"/>
      <c r="AF175" s="260"/>
      <c r="AG175" s="260"/>
      <c r="AH175" s="260"/>
    </row>
    <row r="176">
      <c r="A176" s="259"/>
      <c r="B176" s="260"/>
      <c r="C176" s="260"/>
      <c r="D176" s="260"/>
      <c r="E176" s="260"/>
      <c r="F176" s="260"/>
      <c r="G176" s="260"/>
      <c r="H176" s="260"/>
      <c r="I176" s="260"/>
      <c r="J176" s="261"/>
      <c r="K176" s="260"/>
      <c r="L176" s="260"/>
      <c r="M176" s="260"/>
      <c r="N176" s="260"/>
      <c r="O176" s="260"/>
      <c r="P176" s="260"/>
      <c r="Q176" s="260"/>
      <c r="R176" s="260"/>
      <c r="S176" s="260"/>
      <c r="T176" s="279"/>
      <c r="U176" s="260"/>
      <c r="V176" s="260"/>
      <c r="W176" s="260"/>
      <c r="X176" s="260"/>
      <c r="Y176" s="260"/>
      <c r="Z176" s="260"/>
      <c r="AA176" s="264"/>
      <c r="AB176" s="260"/>
      <c r="AC176" s="260"/>
      <c r="AD176" s="260"/>
      <c r="AE176" s="260"/>
      <c r="AF176" s="260"/>
      <c r="AG176" s="260"/>
      <c r="AH176" s="260"/>
    </row>
    <row r="177">
      <c r="A177" s="259"/>
      <c r="B177" s="260"/>
      <c r="C177" s="260"/>
      <c r="D177" s="260"/>
      <c r="E177" s="260"/>
      <c r="F177" s="260"/>
      <c r="G177" s="260"/>
      <c r="H177" s="260"/>
      <c r="I177" s="260"/>
      <c r="J177" s="261"/>
      <c r="K177" s="260"/>
      <c r="L177" s="260"/>
      <c r="M177" s="260"/>
      <c r="N177" s="260"/>
      <c r="O177" s="260"/>
      <c r="P177" s="260"/>
      <c r="Q177" s="260"/>
      <c r="R177" s="260"/>
      <c r="S177" s="260"/>
      <c r="T177" s="279"/>
      <c r="U177" s="260"/>
      <c r="V177" s="260"/>
      <c r="W177" s="260"/>
      <c r="X177" s="260"/>
      <c r="Y177" s="260"/>
      <c r="Z177" s="260"/>
      <c r="AA177" s="264"/>
      <c r="AB177" s="260"/>
      <c r="AC177" s="260"/>
      <c r="AD177" s="260"/>
      <c r="AE177" s="260"/>
      <c r="AF177" s="260"/>
      <c r="AG177" s="260"/>
      <c r="AH177" s="260"/>
    </row>
    <row r="178">
      <c r="A178" s="259"/>
      <c r="B178" s="260"/>
      <c r="C178" s="260"/>
      <c r="D178" s="260"/>
      <c r="E178" s="260"/>
      <c r="F178" s="260"/>
      <c r="G178" s="260"/>
      <c r="H178" s="260"/>
      <c r="I178" s="260"/>
      <c r="J178" s="261"/>
      <c r="K178" s="260"/>
      <c r="L178" s="260"/>
      <c r="M178" s="260"/>
      <c r="N178" s="260"/>
      <c r="O178" s="260"/>
      <c r="P178" s="260"/>
      <c r="Q178" s="260"/>
      <c r="R178" s="260"/>
      <c r="S178" s="260"/>
      <c r="T178" s="279"/>
      <c r="U178" s="260"/>
      <c r="V178" s="260"/>
      <c r="W178" s="260"/>
      <c r="X178" s="260"/>
      <c r="Y178" s="260"/>
      <c r="Z178" s="260"/>
      <c r="AA178" s="264"/>
      <c r="AB178" s="260"/>
      <c r="AC178" s="260"/>
      <c r="AD178" s="260"/>
      <c r="AE178" s="260"/>
      <c r="AF178" s="260"/>
      <c r="AG178" s="260"/>
      <c r="AH178" s="260"/>
    </row>
    <row r="179">
      <c r="A179" s="259"/>
      <c r="B179" s="260"/>
      <c r="C179" s="260"/>
      <c r="D179" s="260"/>
      <c r="E179" s="260"/>
      <c r="F179" s="260"/>
      <c r="G179" s="260"/>
      <c r="H179" s="260"/>
      <c r="I179" s="260"/>
      <c r="J179" s="261"/>
      <c r="K179" s="260"/>
      <c r="L179" s="260"/>
      <c r="M179" s="260"/>
      <c r="N179" s="260"/>
      <c r="O179" s="260"/>
      <c r="P179" s="260"/>
      <c r="Q179" s="260"/>
      <c r="R179" s="260"/>
      <c r="S179" s="260"/>
      <c r="T179" s="279"/>
      <c r="U179" s="260"/>
      <c r="V179" s="260"/>
      <c r="W179" s="260"/>
      <c r="X179" s="260"/>
      <c r="Y179" s="260"/>
      <c r="Z179" s="260"/>
      <c r="AA179" s="264"/>
      <c r="AB179" s="260"/>
      <c r="AC179" s="260"/>
      <c r="AD179" s="260"/>
      <c r="AE179" s="260"/>
      <c r="AF179" s="260"/>
      <c r="AG179" s="260"/>
      <c r="AH179" s="260"/>
    </row>
    <row r="180">
      <c r="A180" s="259"/>
      <c r="B180" s="260"/>
      <c r="C180" s="260"/>
      <c r="D180" s="260"/>
      <c r="E180" s="260"/>
      <c r="F180" s="260"/>
      <c r="G180" s="260"/>
      <c r="H180" s="260"/>
      <c r="I180" s="260"/>
      <c r="J180" s="261"/>
      <c r="K180" s="260"/>
      <c r="L180" s="260"/>
      <c r="M180" s="260"/>
      <c r="N180" s="260"/>
      <c r="O180" s="260"/>
      <c r="P180" s="260"/>
      <c r="Q180" s="260"/>
      <c r="R180" s="260"/>
      <c r="S180" s="260"/>
      <c r="T180" s="279"/>
      <c r="U180" s="260"/>
      <c r="V180" s="260"/>
      <c r="W180" s="260"/>
      <c r="X180" s="260"/>
      <c r="Y180" s="260"/>
      <c r="Z180" s="260"/>
      <c r="AA180" s="264"/>
      <c r="AB180" s="260"/>
      <c r="AC180" s="260"/>
      <c r="AD180" s="260"/>
      <c r="AE180" s="260"/>
      <c r="AF180" s="260"/>
      <c r="AG180" s="260"/>
      <c r="AH180" s="260"/>
    </row>
    <row r="181">
      <c r="A181" s="259"/>
      <c r="B181" s="260"/>
      <c r="C181" s="260"/>
      <c r="D181" s="260"/>
      <c r="E181" s="260"/>
      <c r="F181" s="260"/>
      <c r="G181" s="260"/>
      <c r="H181" s="260"/>
      <c r="I181" s="260"/>
      <c r="J181" s="261"/>
      <c r="K181" s="260"/>
      <c r="L181" s="260"/>
      <c r="M181" s="260"/>
      <c r="N181" s="260"/>
      <c r="O181" s="260"/>
      <c r="P181" s="260"/>
      <c r="Q181" s="260"/>
      <c r="R181" s="260"/>
      <c r="S181" s="260"/>
      <c r="T181" s="279"/>
      <c r="U181" s="260"/>
      <c r="V181" s="260"/>
      <c r="W181" s="260"/>
      <c r="X181" s="260"/>
      <c r="Y181" s="260"/>
      <c r="Z181" s="260"/>
      <c r="AA181" s="264"/>
      <c r="AB181" s="260"/>
      <c r="AC181" s="260"/>
      <c r="AD181" s="260"/>
      <c r="AE181" s="260"/>
      <c r="AF181" s="260"/>
      <c r="AG181" s="260"/>
      <c r="AH181" s="260"/>
    </row>
    <row r="182">
      <c r="A182" s="259"/>
      <c r="B182" s="260"/>
      <c r="C182" s="260"/>
      <c r="D182" s="260"/>
      <c r="E182" s="260"/>
      <c r="F182" s="260"/>
      <c r="G182" s="260"/>
      <c r="H182" s="260"/>
      <c r="I182" s="260"/>
      <c r="J182" s="261"/>
      <c r="K182" s="260"/>
      <c r="L182" s="260"/>
      <c r="M182" s="260"/>
      <c r="N182" s="260"/>
      <c r="O182" s="260"/>
      <c r="P182" s="260"/>
      <c r="Q182" s="260"/>
      <c r="R182" s="260"/>
      <c r="S182" s="260"/>
      <c r="T182" s="279"/>
      <c r="U182" s="260"/>
      <c r="V182" s="260"/>
      <c r="W182" s="260"/>
      <c r="X182" s="260"/>
      <c r="Y182" s="260"/>
      <c r="Z182" s="260"/>
      <c r="AA182" s="264"/>
      <c r="AB182" s="260"/>
      <c r="AC182" s="260"/>
      <c r="AD182" s="260"/>
      <c r="AE182" s="260"/>
      <c r="AF182" s="260"/>
      <c r="AG182" s="260"/>
      <c r="AH182" s="260"/>
    </row>
    <row r="183">
      <c r="A183" s="259"/>
      <c r="B183" s="260"/>
      <c r="C183" s="260"/>
      <c r="D183" s="260"/>
      <c r="E183" s="260"/>
      <c r="F183" s="260"/>
      <c r="G183" s="260"/>
      <c r="H183" s="260"/>
      <c r="I183" s="260"/>
      <c r="J183" s="261"/>
      <c r="K183" s="260"/>
      <c r="L183" s="260"/>
      <c r="M183" s="260"/>
      <c r="N183" s="260"/>
      <c r="O183" s="260"/>
      <c r="P183" s="260"/>
      <c r="Q183" s="260"/>
      <c r="R183" s="260"/>
      <c r="S183" s="260"/>
      <c r="T183" s="279"/>
      <c r="U183" s="260"/>
      <c r="V183" s="260"/>
      <c r="W183" s="260"/>
      <c r="X183" s="260"/>
      <c r="Y183" s="260"/>
      <c r="Z183" s="260"/>
      <c r="AA183" s="264"/>
      <c r="AB183" s="260"/>
      <c r="AC183" s="260"/>
      <c r="AD183" s="260"/>
      <c r="AE183" s="260"/>
      <c r="AF183" s="260"/>
      <c r="AG183" s="260"/>
      <c r="AH183" s="260"/>
    </row>
    <row r="184">
      <c r="A184" s="259"/>
      <c r="B184" s="260"/>
      <c r="C184" s="260"/>
      <c r="D184" s="260"/>
      <c r="E184" s="260"/>
      <c r="F184" s="260"/>
      <c r="G184" s="260"/>
      <c r="H184" s="260"/>
      <c r="I184" s="260"/>
      <c r="J184" s="261"/>
      <c r="K184" s="260"/>
      <c r="L184" s="260"/>
      <c r="M184" s="260"/>
      <c r="N184" s="260"/>
      <c r="O184" s="260"/>
      <c r="P184" s="260"/>
      <c r="Q184" s="260"/>
      <c r="R184" s="260"/>
      <c r="S184" s="260"/>
      <c r="T184" s="279"/>
      <c r="U184" s="260"/>
      <c r="V184" s="260"/>
      <c r="W184" s="260"/>
      <c r="X184" s="260"/>
      <c r="Y184" s="260"/>
      <c r="Z184" s="260"/>
      <c r="AA184" s="264"/>
      <c r="AB184" s="260"/>
      <c r="AC184" s="260"/>
      <c r="AD184" s="260"/>
      <c r="AE184" s="260"/>
      <c r="AF184" s="260"/>
      <c r="AG184" s="260"/>
      <c r="AH184" s="260"/>
    </row>
    <row r="185">
      <c r="A185" s="259"/>
      <c r="B185" s="260"/>
      <c r="C185" s="260"/>
      <c r="D185" s="260"/>
      <c r="E185" s="260"/>
      <c r="F185" s="260"/>
      <c r="G185" s="260"/>
      <c r="H185" s="260"/>
      <c r="I185" s="260"/>
      <c r="J185" s="261"/>
      <c r="K185" s="260"/>
      <c r="L185" s="260"/>
      <c r="M185" s="260"/>
      <c r="N185" s="260"/>
      <c r="O185" s="260"/>
      <c r="P185" s="260"/>
      <c r="Q185" s="260"/>
      <c r="R185" s="260"/>
      <c r="S185" s="260"/>
      <c r="T185" s="279"/>
      <c r="U185" s="260"/>
      <c r="V185" s="260"/>
      <c r="W185" s="260"/>
      <c r="X185" s="260"/>
      <c r="Y185" s="260"/>
      <c r="Z185" s="260"/>
      <c r="AA185" s="264"/>
      <c r="AB185" s="260"/>
      <c r="AC185" s="260"/>
      <c r="AD185" s="260"/>
      <c r="AE185" s="260"/>
      <c r="AF185" s="260"/>
      <c r="AG185" s="260"/>
      <c r="AH185" s="260"/>
    </row>
    <row r="186">
      <c r="A186" s="259"/>
      <c r="B186" s="260"/>
      <c r="C186" s="260"/>
      <c r="D186" s="260"/>
      <c r="E186" s="260"/>
      <c r="F186" s="260"/>
      <c r="G186" s="260"/>
      <c r="H186" s="260"/>
      <c r="I186" s="260"/>
      <c r="J186" s="261"/>
      <c r="K186" s="260"/>
      <c r="L186" s="260"/>
      <c r="M186" s="260"/>
      <c r="N186" s="260"/>
      <c r="O186" s="260"/>
      <c r="P186" s="260"/>
      <c r="Q186" s="260"/>
      <c r="R186" s="260"/>
      <c r="S186" s="260"/>
      <c r="T186" s="279"/>
      <c r="U186" s="260"/>
      <c r="V186" s="260"/>
      <c r="W186" s="260"/>
      <c r="X186" s="260"/>
      <c r="Y186" s="260"/>
      <c r="Z186" s="260"/>
      <c r="AA186" s="264"/>
      <c r="AB186" s="260"/>
      <c r="AC186" s="260"/>
      <c r="AD186" s="260"/>
      <c r="AE186" s="260"/>
      <c r="AF186" s="260"/>
      <c r="AG186" s="260"/>
      <c r="AH186" s="260"/>
    </row>
    <row r="187">
      <c r="A187" s="259"/>
      <c r="B187" s="260"/>
      <c r="C187" s="260"/>
      <c r="D187" s="260"/>
      <c r="E187" s="260"/>
      <c r="F187" s="260"/>
      <c r="G187" s="260"/>
      <c r="H187" s="260"/>
      <c r="I187" s="260"/>
      <c r="J187" s="261"/>
      <c r="K187" s="260"/>
      <c r="L187" s="260"/>
      <c r="M187" s="260"/>
      <c r="N187" s="260"/>
      <c r="O187" s="260"/>
      <c r="P187" s="260"/>
      <c r="Q187" s="260"/>
      <c r="R187" s="260"/>
      <c r="S187" s="260"/>
      <c r="T187" s="279"/>
      <c r="U187" s="260"/>
      <c r="V187" s="260"/>
      <c r="W187" s="260"/>
      <c r="X187" s="260"/>
      <c r="Y187" s="260"/>
      <c r="Z187" s="260"/>
      <c r="AA187" s="264"/>
      <c r="AB187" s="260"/>
      <c r="AC187" s="260"/>
      <c r="AD187" s="260"/>
      <c r="AE187" s="260"/>
      <c r="AF187" s="260"/>
      <c r="AG187" s="260"/>
      <c r="AH187" s="260"/>
    </row>
    <row r="188">
      <c r="A188" s="259"/>
      <c r="B188" s="260"/>
      <c r="C188" s="260"/>
      <c r="D188" s="260"/>
      <c r="E188" s="260"/>
      <c r="F188" s="260"/>
      <c r="G188" s="260"/>
      <c r="H188" s="260"/>
      <c r="I188" s="260"/>
      <c r="J188" s="261"/>
      <c r="K188" s="260"/>
      <c r="L188" s="260"/>
      <c r="M188" s="260"/>
      <c r="N188" s="260"/>
      <c r="O188" s="260"/>
      <c r="P188" s="260"/>
      <c r="Q188" s="260"/>
      <c r="R188" s="260"/>
      <c r="S188" s="260"/>
      <c r="T188" s="279"/>
      <c r="U188" s="260"/>
      <c r="V188" s="260"/>
      <c r="W188" s="260"/>
      <c r="X188" s="260"/>
      <c r="Y188" s="260"/>
      <c r="Z188" s="260"/>
      <c r="AA188" s="264"/>
      <c r="AB188" s="260"/>
      <c r="AC188" s="260"/>
      <c r="AD188" s="260"/>
      <c r="AE188" s="260"/>
      <c r="AF188" s="260"/>
      <c r="AG188" s="260"/>
      <c r="AH188" s="260"/>
    </row>
    <row r="189">
      <c r="A189" s="259"/>
      <c r="B189" s="260"/>
      <c r="C189" s="260"/>
      <c r="D189" s="260"/>
      <c r="E189" s="260"/>
      <c r="F189" s="260"/>
      <c r="G189" s="260"/>
      <c r="H189" s="260"/>
      <c r="I189" s="260"/>
      <c r="J189" s="261"/>
      <c r="K189" s="260"/>
      <c r="L189" s="260"/>
      <c r="M189" s="260"/>
      <c r="N189" s="260"/>
      <c r="O189" s="260"/>
      <c r="P189" s="260"/>
      <c r="Q189" s="260"/>
      <c r="R189" s="260"/>
      <c r="S189" s="260"/>
      <c r="T189" s="279"/>
      <c r="U189" s="260"/>
      <c r="V189" s="260"/>
      <c r="W189" s="260"/>
      <c r="X189" s="260"/>
      <c r="Y189" s="260"/>
      <c r="Z189" s="260"/>
      <c r="AA189" s="264"/>
      <c r="AB189" s="260"/>
      <c r="AC189" s="260"/>
      <c r="AD189" s="260"/>
      <c r="AE189" s="260"/>
      <c r="AF189" s="260"/>
      <c r="AG189" s="260"/>
      <c r="AH189" s="260"/>
    </row>
    <row r="190">
      <c r="A190" s="259"/>
      <c r="B190" s="260"/>
      <c r="C190" s="260"/>
      <c r="D190" s="260"/>
      <c r="E190" s="260"/>
      <c r="F190" s="260"/>
      <c r="G190" s="260"/>
      <c r="H190" s="260"/>
      <c r="I190" s="260"/>
      <c r="J190" s="261"/>
      <c r="K190" s="260"/>
      <c r="L190" s="260"/>
      <c r="M190" s="260"/>
      <c r="N190" s="260"/>
      <c r="O190" s="260"/>
      <c r="P190" s="260"/>
      <c r="Q190" s="260"/>
      <c r="R190" s="260"/>
      <c r="S190" s="260"/>
      <c r="T190" s="279"/>
      <c r="U190" s="260"/>
      <c r="V190" s="260"/>
      <c r="W190" s="260"/>
      <c r="X190" s="260"/>
      <c r="Y190" s="260"/>
      <c r="Z190" s="260"/>
      <c r="AA190" s="264"/>
      <c r="AB190" s="260"/>
      <c r="AC190" s="260"/>
      <c r="AD190" s="260"/>
      <c r="AE190" s="260"/>
      <c r="AF190" s="260"/>
      <c r="AG190" s="260"/>
      <c r="AH190" s="260"/>
    </row>
    <row r="191">
      <c r="A191" s="259"/>
      <c r="B191" s="260"/>
      <c r="C191" s="260"/>
      <c r="D191" s="260"/>
      <c r="E191" s="260"/>
      <c r="F191" s="260"/>
      <c r="G191" s="260"/>
      <c r="H191" s="260"/>
      <c r="I191" s="260"/>
      <c r="J191" s="261"/>
      <c r="K191" s="260"/>
      <c r="L191" s="260"/>
      <c r="M191" s="260"/>
      <c r="N191" s="260"/>
      <c r="O191" s="260"/>
      <c r="P191" s="260"/>
      <c r="Q191" s="260"/>
      <c r="R191" s="260"/>
      <c r="S191" s="260"/>
      <c r="T191" s="279"/>
      <c r="U191" s="260"/>
      <c r="V191" s="260"/>
      <c r="W191" s="260"/>
      <c r="X191" s="260"/>
      <c r="Y191" s="260"/>
      <c r="Z191" s="260"/>
      <c r="AA191" s="264"/>
      <c r="AB191" s="260"/>
      <c r="AC191" s="260"/>
      <c r="AD191" s="260"/>
      <c r="AE191" s="260"/>
      <c r="AF191" s="260"/>
      <c r="AG191" s="260"/>
      <c r="AH191" s="260"/>
    </row>
    <row r="192">
      <c r="A192" s="259"/>
      <c r="B192" s="260"/>
      <c r="C192" s="260"/>
      <c r="D192" s="260"/>
      <c r="E192" s="260"/>
      <c r="F192" s="260"/>
      <c r="G192" s="260"/>
      <c r="H192" s="260"/>
      <c r="I192" s="260"/>
      <c r="J192" s="261"/>
      <c r="K192" s="260"/>
      <c r="L192" s="260"/>
      <c r="M192" s="260"/>
      <c r="N192" s="260"/>
      <c r="O192" s="260"/>
      <c r="P192" s="260"/>
      <c r="Q192" s="260"/>
      <c r="R192" s="260"/>
      <c r="S192" s="260"/>
      <c r="T192" s="279"/>
      <c r="U192" s="260"/>
      <c r="V192" s="260"/>
      <c r="W192" s="260"/>
      <c r="X192" s="260"/>
      <c r="Y192" s="260"/>
      <c r="Z192" s="260"/>
      <c r="AA192" s="264"/>
      <c r="AB192" s="260"/>
      <c r="AC192" s="260"/>
      <c r="AD192" s="260"/>
      <c r="AE192" s="260"/>
      <c r="AF192" s="260"/>
      <c r="AG192" s="260"/>
      <c r="AH192" s="260"/>
    </row>
    <row r="193">
      <c r="A193" s="259"/>
      <c r="B193" s="260"/>
      <c r="C193" s="260"/>
      <c r="D193" s="260"/>
      <c r="E193" s="260"/>
      <c r="F193" s="260"/>
      <c r="G193" s="260"/>
      <c r="H193" s="260"/>
      <c r="I193" s="260"/>
      <c r="J193" s="261"/>
      <c r="K193" s="260"/>
      <c r="L193" s="260"/>
      <c r="M193" s="260"/>
      <c r="N193" s="260"/>
      <c r="O193" s="260"/>
      <c r="P193" s="260"/>
      <c r="Q193" s="260"/>
      <c r="R193" s="260"/>
      <c r="S193" s="260"/>
      <c r="T193" s="279"/>
      <c r="U193" s="260"/>
      <c r="V193" s="260"/>
      <c r="W193" s="260"/>
      <c r="X193" s="260"/>
      <c r="Y193" s="260"/>
      <c r="Z193" s="260"/>
      <c r="AA193" s="264"/>
      <c r="AB193" s="260"/>
      <c r="AC193" s="260"/>
      <c r="AD193" s="260"/>
      <c r="AE193" s="260"/>
      <c r="AF193" s="260"/>
      <c r="AG193" s="260"/>
      <c r="AH193" s="260"/>
    </row>
    <row r="194">
      <c r="A194" s="259"/>
      <c r="B194" s="260"/>
      <c r="C194" s="260"/>
      <c r="D194" s="260"/>
      <c r="E194" s="260"/>
      <c r="F194" s="260"/>
      <c r="G194" s="260"/>
      <c r="H194" s="260"/>
      <c r="I194" s="260"/>
      <c r="J194" s="261"/>
      <c r="K194" s="260"/>
      <c r="L194" s="260"/>
      <c r="M194" s="260"/>
      <c r="N194" s="260"/>
      <c r="O194" s="260"/>
      <c r="P194" s="260"/>
      <c r="Q194" s="260"/>
      <c r="R194" s="260"/>
      <c r="S194" s="260"/>
      <c r="T194" s="279"/>
      <c r="U194" s="260"/>
      <c r="V194" s="260"/>
      <c r="W194" s="260"/>
      <c r="X194" s="260"/>
      <c r="Y194" s="260"/>
      <c r="Z194" s="260"/>
      <c r="AA194" s="264"/>
      <c r="AB194" s="260"/>
      <c r="AC194" s="260"/>
      <c r="AD194" s="260"/>
      <c r="AE194" s="260"/>
      <c r="AF194" s="260"/>
      <c r="AG194" s="260"/>
      <c r="AH194" s="260"/>
    </row>
    <row r="195">
      <c r="A195" s="259"/>
      <c r="B195" s="260"/>
      <c r="C195" s="260"/>
      <c r="D195" s="260"/>
      <c r="E195" s="260"/>
      <c r="F195" s="260"/>
      <c r="G195" s="260"/>
      <c r="H195" s="260"/>
      <c r="I195" s="260"/>
      <c r="J195" s="261"/>
      <c r="K195" s="260"/>
      <c r="L195" s="260"/>
      <c r="M195" s="260"/>
      <c r="N195" s="260"/>
      <c r="O195" s="260"/>
      <c r="P195" s="260"/>
      <c r="Q195" s="260"/>
      <c r="R195" s="260"/>
      <c r="S195" s="260"/>
      <c r="T195" s="279"/>
      <c r="U195" s="260"/>
      <c r="V195" s="260"/>
      <c r="W195" s="260"/>
      <c r="X195" s="260"/>
      <c r="Y195" s="260"/>
      <c r="Z195" s="260"/>
      <c r="AA195" s="264"/>
      <c r="AB195" s="260"/>
      <c r="AC195" s="260"/>
      <c r="AD195" s="260"/>
      <c r="AE195" s="260"/>
      <c r="AF195" s="260"/>
      <c r="AG195" s="260"/>
      <c r="AH195" s="260"/>
    </row>
    <row r="196">
      <c r="A196" s="259"/>
      <c r="B196" s="260"/>
      <c r="C196" s="260"/>
      <c r="D196" s="260"/>
      <c r="E196" s="260"/>
      <c r="F196" s="260"/>
      <c r="G196" s="260"/>
      <c r="H196" s="260"/>
      <c r="I196" s="260"/>
      <c r="J196" s="261"/>
      <c r="K196" s="260"/>
      <c r="L196" s="260"/>
      <c r="M196" s="260"/>
      <c r="N196" s="260"/>
      <c r="O196" s="260"/>
      <c r="P196" s="260"/>
      <c r="Q196" s="260"/>
      <c r="R196" s="260"/>
      <c r="S196" s="260"/>
      <c r="T196" s="279"/>
      <c r="U196" s="260"/>
      <c r="V196" s="260"/>
      <c r="W196" s="260"/>
      <c r="X196" s="260"/>
      <c r="Y196" s="260"/>
      <c r="Z196" s="260"/>
      <c r="AA196" s="264"/>
      <c r="AB196" s="260"/>
      <c r="AC196" s="260"/>
      <c r="AD196" s="260"/>
      <c r="AE196" s="260"/>
      <c r="AF196" s="260"/>
      <c r="AG196" s="260"/>
      <c r="AH196" s="260"/>
    </row>
    <row r="197">
      <c r="A197" s="259"/>
      <c r="B197" s="260"/>
      <c r="C197" s="260"/>
      <c r="D197" s="260"/>
      <c r="E197" s="260"/>
      <c r="F197" s="260"/>
      <c r="G197" s="260"/>
      <c r="H197" s="260"/>
      <c r="I197" s="260"/>
      <c r="J197" s="261"/>
      <c r="K197" s="260"/>
      <c r="L197" s="260"/>
      <c r="M197" s="260"/>
      <c r="N197" s="260"/>
      <c r="O197" s="260"/>
      <c r="P197" s="260"/>
      <c r="Q197" s="260"/>
      <c r="R197" s="260"/>
      <c r="S197" s="260"/>
      <c r="T197" s="279"/>
      <c r="U197" s="260"/>
      <c r="V197" s="260"/>
      <c r="W197" s="260"/>
      <c r="X197" s="260"/>
      <c r="Y197" s="260"/>
      <c r="Z197" s="260"/>
      <c r="AA197" s="264"/>
      <c r="AB197" s="260"/>
      <c r="AC197" s="260"/>
      <c r="AD197" s="260"/>
      <c r="AE197" s="260"/>
      <c r="AF197" s="260"/>
      <c r="AG197" s="260"/>
      <c r="AH197" s="260"/>
    </row>
    <row r="198">
      <c r="A198" s="259"/>
      <c r="B198" s="260"/>
      <c r="C198" s="260"/>
      <c r="D198" s="260"/>
      <c r="E198" s="260"/>
      <c r="F198" s="260"/>
      <c r="G198" s="260"/>
      <c r="H198" s="260"/>
      <c r="I198" s="260"/>
      <c r="J198" s="261"/>
      <c r="K198" s="260"/>
      <c r="L198" s="260"/>
      <c r="M198" s="260"/>
      <c r="N198" s="260"/>
      <c r="O198" s="260"/>
      <c r="P198" s="260"/>
      <c r="Q198" s="260"/>
      <c r="R198" s="260"/>
      <c r="S198" s="260"/>
      <c r="T198" s="279"/>
      <c r="U198" s="260"/>
      <c r="V198" s="260"/>
      <c r="W198" s="260"/>
      <c r="X198" s="260"/>
      <c r="Y198" s="260"/>
      <c r="Z198" s="260"/>
      <c r="AA198" s="264"/>
      <c r="AB198" s="260"/>
      <c r="AC198" s="260"/>
      <c r="AD198" s="260"/>
      <c r="AE198" s="260"/>
      <c r="AF198" s="260"/>
      <c r="AG198" s="260"/>
      <c r="AH198" s="260"/>
    </row>
    <row r="199">
      <c r="A199" s="259"/>
      <c r="B199" s="260"/>
      <c r="C199" s="260"/>
      <c r="D199" s="260"/>
      <c r="E199" s="260"/>
      <c r="F199" s="260"/>
      <c r="G199" s="260"/>
      <c r="H199" s="260"/>
      <c r="I199" s="260"/>
      <c r="J199" s="261"/>
      <c r="K199" s="260"/>
      <c r="L199" s="260"/>
      <c r="M199" s="260"/>
      <c r="N199" s="260"/>
      <c r="O199" s="260"/>
      <c r="P199" s="260"/>
      <c r="Q199" s="260"/>
      <c r="R199" s="260"/>
      <c r="S199" s="260"/>
      <c r="T199" s="279"/>
      <c r="U199" s="260"/>
      <c r="V199" s="260"/>
      <c r="W199" s="260"/>
      <c r="X199" s="260"/>
      <c r="Y199" s="260"/>
      <c r="Z199" s="260"/>
      <c r="AA199" s="264"/>
      <c r="AB199" s="260"/>
      <c r="AC199" s="260"/>
      <c r="AD199" s="260"/>
      <c r="AE199" s="260"/>
      <c r="AF199" s="260"/>
      <c r="AG199" s="260"/>
      <c r="AH199" s="260"/>
    </row>
    <row r="200">
      <c r="A200" s="259"/>
      <c r="B200" s="260"/>
      <c r="C200" s="260"/>
      <c r="D200" s="260"/>
      <c r="E200" s="260"/>
      <c r="F200" s="260"/>
      <c r="G200" s="260"/>
      <c r="H200" s="260"/>
      <c r="I200" s="260"/>
      <c r="J200" s="261"/>
      <c r="K200" s="260"/>
      <c r="L200" s="260"/>
      <c r="M200" s="260"/>
      <c r="N200" s="260"/>
      <c r="O200" s="260"/>
      <c r="P200" s="260"/>
      <c r="Q200" s="260"/>
      <c r="R200" s="260"/>
      <c r="S200" s="260"/>
      <c r="T200" s="279"/>
      <c r="U200" s="260"/>
      <c r="V200" s="260"/>
      <c r="W200" s="260"/>
      <c r="X200" s="260"/>
      <c r="Y200" s="260"/>
      <c r="Z200" s="260"/>
      <c r="AA200" s="264"/>
      <c r="AB200" s="260"/>
      <c r="AC200" s="260"/>
      <c r="AD200" s="260"/>
      <c r="AE200" s="260"/>
      <c r="AF200" s="260"/>
      <c r="AG200" s="260"/>
      <c r="AH200" s="260"/>
    </row>
    <row r="201">
      <c r="A201" s="259"/>
      <c r="B201" s="260"/>
      <c r="C201" s="260"/>
      <c r="D201" s="260"/>
      <c r="E201" s="260"/>
      <c r="F201" s="260"/>
      <c r="G201" s="260"/>
      <c r="H201" s="260"/>
      <c r="I201" s="260"/>
      <c r="J201" s="261"/>
      <c r="K201" s="260"/>
      <c r="L201" s="260"/>
      <c r="M201" s="260"/>
      <c r="N201" s="260"/>
      <c r="O201" s="260"/>
      <c r="P201" s="260"/>
      <c r="Q201" s="260"/>
      <c r="R201" s="260"/>
      <c r="S201" s="260"/>
      <c r="T201" s="279"/>
      <c r="U201" s="260"/>
      <c r="V201" s="260"/>
      <c r="W201" s="260"/>
      <c r="X201" s="260"/>
      <c r="Y201" s="260"/>
      <c r="Z201" s="260"/>
      <c r="AA201" s="264"/>
      <c r="AB201" s="260"/>
      <c r="AC201" s="260"/>
      <c r="AD201" s="260"/>
      <c r="AE201" s="260"/>
      <c r="AF201" s="260"/>
      <c r="AG201" s="260"/>
      <c r="AH201" s="260"/>
    </row>
    <row r="202">
      <c r="A202" s="259"/>
      <c r="B202" s="260"/>
      <c r="C202" s="260"/>
      <c r="D202" s="260"/>
      <c r="E202" s="260"/>
      <c r="F202" s="260"/>
      <c r="G202" s="260"/>
      <c r="H202" s="260"/>
      <c r="I202" s="260"/>
      <c r="J202" s="261"/>
      <c r="K202" s="260"/>
      <c r="L202" s="260"/>
      <c r="M202" s="260"/>
      <c r="N202" s="260"/>
      <c r="O202" s="260"/>
      <c r="P202" s="260"/>
      <c r="Q202" s="260"/>
      <c r="R202" s="260"/>
      <c r="S202" s="260"/>
      <c r="T202" s="279"/>
      <c r="U202" s="260"/>
      <c r="V202" s="260"/>
      <c r="W202" s="260"/>
      <c r="X202" s="260"/>
      <c r="Y202" s="260"/>
      <c r="Z202" s="260"/>
      <c r="AA202" s="264"/>
      <c r="AB202" s="260"/>
      <c r="AC202" s="260"/>
      <c r="AD202" s="260"/>
      <c r="AE202" s="260"/>
      <c r="AF202" s="260"/>
      <c r="AG202" s="260"/>
      <c r="AH202" s="260"/>
    </row>
    <row r="203">
      <c r="A203" s="259"/>
      <c r="B203" s="260"/>
      <c r="C203" s="260"/>
      <c r="D203" s="260"/>
      <c r="E203" s="260"/>
      <c r="F203" s="260"/>
      <c r="G203" s="260"/>
      <c r="H203" s="260"/>
      <c r="I203" s="260"/>
      <c r="J203" s="261"/>
      <c r="K203" s="260"/>
      <c r="L203" s="260"/>
      <c r="M203" s="260"/>
      <c r="N203" s="260"/>
      <c r="O203" s="260"/>
      <c r="P203" s="260"/>
      <c r="Q203" s="260"/>
      <c r="R203" s="260"/>
      <c r="S203" s="260"/>
      <c r="T203" s="279"/>
      <c r="U203" s="260"/>
      <c r="V203" s="260"/>
      <c r="W203" s="260"/>
      <c r="X203" s="260"/>
      <c r="Y203" s="260"/>
      <c r="Z203" s="260"/>
      <c r="AA203" s="264"/>
      <c r="AB203" s="260"/>
      <c r="AC203" s="260"/>
      <c r="AD203" s="260"/>
      <c r="AE203" s="260"/>
      <c r="AF203" s="260"/>
      <c r="AG203" s="260"/>
      <c r="AH203" s="260"/>
    </row>
    <row r="204">
      <c r="A204" s="259"/>
      <c r="B204" s="260"/>
      <c r="C204" s="260"/>
      <c r="D204" s="260"/>
      <c r="E204" s="260"/>
      <c r="F204" s="260"/>
      <c r="G204" s="260"/>
      <c r="H204" s="260"/>
      <c r="I204" s="260"/>
      <c r="J204" s="261"/>
      <c r="K204" s="260"/>
      <c r="L204" s="260"/>
      <c r="M204" s="260"/>
      <c r="N204" s="260"/>
      <c r="O204" s="260"/>
      <c r="P204" s="260"/>
      <c r="Q204" s="260"/>
      <c r="R204" s="260"/>
      <c r="S204" s="260"/>
      <c r="T204" s="279"/>
      <c r="U204" s="260"/>
      <c r="V204" s="260"/>
      <c r="W204" s="260"/>
      <c r="X204" s="260"/>
      <c r="Y204" s="260"/>
      <c r="Z204" s="260"/>
      <c r="AA204" s="264"/>
      <c r="AB204" s="260"/>
      <c r="AC204" s="260"/>
      <c r="AD204" s="260"/>
      <c r="AE204" s="260"/>
      <c r="AF204" s="260"/>
      <c r="AG204" s="260"/>
      <c r="AH204" s="260"/>
    </row>
    <row r="205">
      <c r="A205" s="259"/>
      <c r="B205" s="260"/>
      <c r="C205" s="260"/>
      <c r="D205" s="260"/>
      <c r="E205" s="260"/>
      <c r="F205" s="260"/>
      <c r="G205" s="260"/>
      <c r="H205" s="260"/>
      <c r="I205" s="260"/>
      <c r="J205" s="261"/>
      <c r="K205" s="260"/>
      <c r="L205" s="260"/>
      <c r="M205" s="260"/>
      <c r="N205" s="260"/>
      <c r="O205" s="260"/>
      <c r="P205" s="260"/>
      <c r="Q205" s="260"/>
      <c r="R205" s="260"/>
      <c r="S205" s="260"/>
      <c r="T205" s="279"/>
      <c r="U205" s="260"/>
      <c r="V205" s="260"/>
      <c r="W205" s="260"/>
      <c r="X205" s="260"/>
      <c r="Y205" s="260"/>
      <c r="Z205" s="260"/>
      <c r="AA205" s="264"/>
      <c r="AB205" s="260"/>
      <c r="AC205" s="260"/>
      <c r="AD205" s="260"/>
      <c r="AE205" s="260"/>
      <c r="AF205" s="260"/>
      <c r="AG205" s="260"/>
      <c r="AH205" s="260"/>
    </row>
    <row r="206">
      <c r="A206" s="259"/>
      <c r="B206" s="260"/>
      <c r="C206" s="260"/>
      <c r="D206" s="260"/>
      <c r="E206" s="260"/>
      <c r="F206" s="260"/>
      <c r="G206" s="260"/>
      <c r="H206" s="260"/>
      <c r="I206" s="260"/>
      <c r="J206" s="261"/>
      <c r="K206" s="260"/>
      <c r="L206" s="260"/>
      <c r="M206" s="260"/>
      <c r="N206" s="260"/>
      <c r="O206" s="260"/>
      <c r="P206" s="260"/>
      <c r="Q206" s="260"/>
      <c r="R206" s="260"/>
      <c r="S206" s="260"/>
      <c r="T206" s="279"/>
      <c r="U206" s="260"/>
      <c r="V206" s="260"/>
      <c r="W206" s="260"/>
      <c r="X206" s="260"/>
      <c r="Y206" s="260"/>
      <c r="Z206" s="260"/>
      <c r="AA206" s="264"/>
      <c r="AB206" s="260"/>
      <c r="AC206" s="260"/>
      <c r="AD206" s="260"/>
      <c r="AE206" s="260"/>
      <c r="AF206" s="260"/>
      <c r="AG206" s="260"/>
      <c r="AH206" s="260"/>
    </row>
    <row r="207">
      <c r="A207" s="259"/>
      <c r="B207" s="260"/>
      <c r="C207" s="260"/>
      <c r="D207" s="260"/>
      <c r="E207" s="260"/>
      <c r="F207" s="260"/>
      <c r="G207" s="260"/>
      <c r="H207" s="260"/>
      <c r="I207" s="260"/>
      <c r="J207" s="261"/>
      <c r="K207" s="260"/>
      <c r="L207" s="260"/>
      <c r="M207" s="260"/>
      <c r="N207" s="260"/>
      <c r="O207" s="260"/>
      <c r="P207" s="260"/>
      <c r="Q207" s="260"/>
      <c r="R207" s="260"/>
      <c r="S207" s="260"/>
      <c r="T207" s="279"/>
      <c r="U207" s="260"/>
      <c r="V207" s="260"/>
      <c r="W207" s="260"/>
      <c r="X207" s="260"/>
      <c r="Y207" s="260"/>
      <c r="Z207" s="260"/>
      <c r="AA207" s="264"/>
      <c r="AB207" s="260"/>
      <c r="AC207" s="260"/>
      <c r="AD207" s="260"/>
      <c r="AE207" s="260"/>
      <c r="AF207" s="260"/>
      <c r="AG207" s="260"/>
      <c r="AH207" s="260"/>
    </row>
    <row r="208">
      <c r="A208" s="259"/>
      <c r="B208" s="260"/>
      <c r="C208" s="260"/>
      <c r="D208" s="260"/>
      <c r="E208" s="260"/>
      <c r="F208" s="260"/>
      <c r="G208" s="260"/>
      <c r="H208" s="260"/>
      <c r="I208" s="260"/>
      <c r="J208" s="261"/>
      <c r="K208" s="260"/>
      <c r="L208" s="260"/>
      <c r="M208" s="260"/>
      <c r="N208" s="260"/>
      <c r="O208" s="260"/>
      <c r="P208" s="260"/>
      <c r="Q208" s="260"/>
      <c r="R208" s="260"/>
      <c r="S208" s="260"/>
      <c r="T208" s="279"/>
      <c r="U208" s="260"/>
      <c r="V208" s="260"/>
      <c r="W208" s="260"/>
      <c r="X208" s="260"/>
      <c r="Y208" s="260"/>
      <c r="Z208" s="260"/>
      <c r="AA208" s="264"/>
      <c r="AB208" s="260"/>
      <c r="AC208" s="260"/>
      <c r="AD208" s="260"/>
      <c r="AE208" s="260"/>
      <c r="AF208" s="260"/>
      <c r="AG208" s="260"/>
      <c r="AH208" s="260"/>
    </row>
    <row r="209">
      <c r="A209" s="259"/>
      <c r="B209" s="260"/>
      <c r="C209" s="260"/>
      <c r="D209" s="260"/>
      <c r="E209" s="260"/>
      <c r="F209" s="260"/>
      <c r="G209" s="260"/>
      <c r="H209" s="260"/>
      <c r="I209" s="260"/>
      <c r="J209" s="261"/>
      <c r="K209" s="260"/>
      <c r="L209" s="260"/>
      <c r="M209" s="260"/>
      <c r="N209" s="260"/>
      <c r="O209" s="260"/>
      <c r="P209" s="260"/>
      <c r="Q209" s="260"/>
      <c r="R209" s="260"/>
      <c r="S209" s="260"/>
      <c r="T209" s="279"/>
      <c r="U209" s="260"/>
      <c r="V209" s="260"/>
      <c r="W209" s="260"/>
      <c r="X209" s="260"/>
      <c r="Y209" s="260"/>
      <c r="Z209" s="260"/>
      <c r="AA209" s="264"/>
      <c r="AB209" s="260"/>
      <c r="AC209" s="260"/>
      <c r="AD209" s="260"/>
      <c r="AE209" s="260"/>
      <c r="AF209" s="260"/>
      <c r="AG209" s="260"/>
      <c r="AH209" s="260"/>
    </row>
    <row r="210">
      <c r="A210" s="259"/>
      <c r="B210" s="260"/>
      <c r="C210" s="260"/>
      <c r="D210" s="260"/>
      <c r="E210" s="260"/>
      <c r="F210" s="260"/>
      <c r="G210" s="260"/>
      <c r="H210" s="260"/>
      <c r="I210" s="260"/>
      <c r="J210" s="261"/>
      <c r="K210" s="260"/>
      <c r="L210" s="260"/>
      <c r="M210" s="260"/>
      <c r="N210" s="260"/>
      <c r="O210" s="260"/>
      <c r="P210" s="260"/>
      <c r="Q210" s="260"/>
      <c r="R210" s="260"/>
      <c r="S210" s="260"/>
      <c r="T210" s="279"/>
      <c r="U210" s="260"/>
      <c r="V210" s="260"/>
      <c r="W210" s="260"/>
      <c r="X210" s="260"/>
      <c r="Y210" s="260"/>
      <c r="Z210" s="260"/>
      <c r="AA210" s="264"/>
      <c r="AB210" s="260"/>
      <c r="AC210" s="260"/>
      <c r="AD210" s="260"/>
      <c r="AE210" s="260"/>
      <c r="AF210" s="260"/>
      <c r="AG210" s="260"/>
      <c r="AH210" s="260"/>
    </row>
    <row r="211">
      <c r="A211" s="259"/>
      <c r="B211" s="260"/>
      <c r="C211" s="260"/>
      <c r="D211" s="260"/>
      <c r="E211" s="260"/>
      <c r="F211" s="260"/>
      <c r="G211" s="260"/>
      <c r="H211" s="260"/>
      <c r="I211" s="260"/>
      <c r="J211" s="261"/>
      <c r="K211" s="260"/>
      <c r="L211" s="260"/>
      <c r="M211" s="260"/>
      <c r="N211" s="260"/>
      <c r="O211" s="260"/>
      <c r="P211" s="260"/>
      <c r="Q211" s="260"/>
      <c r="R211" s="260"/>
      <c r="S211" s="260"/>
      <c r="T211" s="279"/>
      <c r="U211" s="260"/>
      <c r="V211" s="260"/>
      <c r="W211" s="260"/>
      <c r="X211" s="260"/>
      <c r="Y211" s="260"/>
      <c r="Z211" s="260"/>
      <c r="AA211" s="264"/>
      <c r="AB211" s="260"/>
      <c r="AC211" s="260"/>
      <c r="AD211" s="260"/>
      <c r="AE211" s="260"/>
      <c r="AF211" s="260"/>
      <c r="AG211" s="260"/>
      <c r="AH211" s="260"/>
    </row>
    <row r="212">
      <c r="A212" s="259"/>
      <c r="B212" s="260"/>
      <c r="C212" s="260"/>
      <c r="D212" s="260"/>
      <c r="E212" s="260"/>
      <c r="F212" s="260"/>
      <c r="G212" s="260"/>
      <c r="H212" s="260"/>
      <c r="I212" s="260"/>
      <c r="J212" s="261"/>
      <c r="K212" s="260"/>
      <c r="L212" s="260"/>
      <c r="M212" s="260"/>
      <c r="N212" s="260"/>
      <c r="O212" s="260"/>
      <c r="P212" s="260"/>
      <c r="Q212" s="260"/>
      <c r="R212" s="260"/>
      <c r="S212" s="260"/>
      <c r="T212" s="279"/>
      <c r="U212" s="260"/>
      <c r="V212" s="260"/>
      <c r="W212" s="260"/>
      <c r="X212" s="260"/>
      <c r="Y212" s="260"/>
      <c r="Z212" s="260"/>
      <c r="AA212" s="264"/>
      <c r="AB212" s="260"/>
      <c r="AC212" s="260"/>
      <c r="AD212" s="260"/>
      <c r="AE212" s="260"/>
      <c r="AF212" s="260"/>
      <c r="AG212" s="260"/>
      <c r="AH212" s="260"/>
    </row>
    <row r="213">
      <c r="A213" s="259"/>
      <c r="B213" s="260"/>
      <c r="C213" s="260"/>
      <c r="D213" s="260"/>
      <c r="E213" s="260"/>
      <c r="F213" s="260"/>
      <c r="G213" s="260"/>
      <c r="H213" s="260"/>
      <c r="I213" s="260"/>
      <c r="J213" s="261"/>
      <c r="K213" s="260"/>
      <c r="L213" s="260"/>
      <c r="M213" s="260"/>
      <c r="N213" s="260"/>
      <c r="O213" s="260"/>
      <c r="P213" s="260"/>
      <c r="Q213" s="260"/>
      <c r="R213" s="260"/>
      <c r="S213" s="260"/>
      <c r="T213" s="279"/>
      <c r="U213" s="260"/>
      <c r="V213" s="260"/>
      <c r="W213" s="260"/>
      <c r="X213" s="260"/>
      <c r="Y213" s="260"/>
      <c r="Z213" s="260"/>
      <c r="AA213" s="264"/>
      <c r="AB213" s="260"/>
      <c r="AC213" s="260"/>
      <c r="AD213" s="260"/>
      <c r="AE213" s="260"/>
      <c r="AF213" s="260"/>
      <c r="AG213" s="260"/>
      <c r="AH213" s="260"/>
    </row>
    <row r="214">
      <c r="A214" s="259"/>
      <c r="B214" s="260"/>
      <c r="C214" s="260"/>
      <c r="D214" s="260"/>
      <c r="E214" s="260"/>
      <c r="F214" s="260"/>
      <c r="G214" s="260"/>
      <c r="H214" s="260"/>
      <c r="I214" s="260"/>
      <c r="J214" s="261"/>
      <c r="K214" s="260"/>
      <c r="L214" s="260"/>
      <c r="M214" s="260"/>
      <c r="N214" s="260"/>
      <c r="O214" s="260"/>
      <c r="P214" s="260"/>
      <c r="Q214" s="260"/>
      <c r="R214" s="260"/>
      <c r="S214" s="260"/>
      <c r="T214" s="279"/>
      <c r="U214" s="260"/>
      <c r="V214" s="260"/>
      <c r="W214" s="260"/>
      <c r="X214" s="260"/>
      <c r="Y214" s="260"/>
      <c r="Z214" s="260"/>
      <c r="AA214" s="264"/>
      <c r="AB214" s="260"/>
      <c r="AC214" s="260"/>
      <c r="AD214" s="260"/>
      <c r="AE214" s="260"/>
      <c r="AF214" s="260"/>
      <c r="AG214" s="260"/>
      <c r="AH214" s="260"/>
    </row>
    <row r="215">
      <c r="A215" s="259"/>
      <c r="B215" s="260"/>
      <c r="C215" s="260"/>
      <c r="D215" s="260"/>
      <c r="E215" s="260"/>
      <c r="F215" s="260"/>
      <c r="G215" s="260"/>
      <c r="H215" s="260"/>
      <c r="I215" s="260"/>
      <c r="J215" s="261"/>
      <c r="K215" s="260"/>
      <c r="L215" s="260"/>
      <c r="M215" s="260"/>
      <c r="N215" s="260"/>
      <c r="O215" s="260"/>
      <c r="P215" s="260"/>
      <c r="Q215" s="260"/>
      <c r="R215" s="260"/>
      <c r="S215" s="260"/>
      <c r="T215" s="279"/>
      <c r="U215" s="260"/>
      <c r="V215" s="260"/>
      <c r="W215" s="260"/>
      <c r="X215" s="260"/>
      <c r="Y215" s="260"/>
      <c r="Z215" s="260"/>
      <c r="AA215" s="264"/>
      <c r="AB215" s="260"/>
      <c r="AC215" s="260"/>
      <c r="AD215" s="260"/>
      <c r="AE215" s="260"/>
      <c r="AF215" s="260"/>
      <c r="AG215" s="260"/>
      <c r="AH215" s="260"/>
    </row>
    <row r="216">
      <c r="A216" s="259"/>
      <c r="B216" s="260"/>
      <c r="C216" s="260"/>
      <c r="D216" s="260"/>
      <c r="E216" s="260"/>
      <c r="F216" s="260"/>
      <c r="G216" s="260"/>
      <c r="H216" s="260"/>
      <c r="I216" s="260"/>
      <c r="J216" s="261"/>
      <c r="K216" s="260"/>
      <c r="L216" s="260"/>
      <c r="M216" s="260"/>
      <c r="N216" s="260"/>
      <c r="O216" s="260"/>
      <c r="P216" s="260"/>
      <c r="Q216" s="260"/>
      <c r="R216" s="260"/>
      <c r="S216" s="260"/>
      <c r="T216" s="279"/>
      <c r="U216" s="260"/>
      <c r="V216" s="260"/>
      <c r="W216" s="260"/>
      <c r="X216" s="260"/>
      <c r="Y216" s="260"/>
      <c r="Z216" s="260"/>
      <c r="AA216" s="264"/>
      <c r="AB216" s="260"/>
      <c r="AC216" s="260"/>
      <c r="AD216" s="260"/>
      <c r="AE216" s="260"/>
      <c r="AF216" s="260"/>
      <c r="AG216" s="260"/>
      <c r="AH216" s="260"/>
    </row>
    <row r="217">
      <c r="A217" s="259"/>
      <c r="B217" s="260"/>
      <c r="C217" s="260"/>
      <c r="D217" s="260"/>
      <c r="E217" s="260"/>
      <c r="F217" s="260"/>
      <c r="G217" s="260"/>
      <c r="H217" s="260"/>
      <c r="I217" s="260"/>
      <c r="J217" s="261"/>
      <c r="K217" s="260"/>
      <c r="L217" s="260"/>
      <c r="M217" s="260"/>
      <c r="N217" s="260"/>
      <c r="O217" s="260"/>
      <c r="P217" s="260"/>
      <c r="Q217" s="260"/>
      <c r="R217" s="260"/>
      <c r="S217" s="260"/>
      <c r="T217" s="279"/>
      <c r="U217" s="260"/>
      <c r="V217" s="260"/>
      <c r="W217" s="260"/>
      <c r="X217" s="260"/>
      <c r="Y217" s="260"/>
      <c r="Z217" s="260"/>
      <c r="AA217" s="264"/>
      <c r="AB217" s="260"/>
      <c r="AC217" s="260"/>
      <c r="AD217" s="260"/>
      <c r="AE217" s="260"/>
      <c r="AF217" s="260"/>
      <c r="AG217" s="260"/>
      <c r="AH217" s="260"/>
    </row>
    <row r="218">
      <c r="A218" s="259"/>
      <c r="B218" s="260"/>
      <c r="C218" s="260"/>
      <c r="D218" s="260"/>
      <c r="E218" s="260"/>
      <c r="F218" s="260"/>
      <c r="G218" s="260"/>
      <c r="H218" s="260"/>
      <c r="I218" s="260"/>
      <c r="J218" s="261"/>
      <c r="K218" s="260"/>
      <c r="L218" s="260"/>
      <c r="M218" s="260"/>
      <c r="N218" s="260"/>
      <c r="O218" s="260"/>
      <c r="P218" s="260"/>
      <c r="Q218" s="260"/>
      <c r="R218" s="260"/>
      <c r="S218" s="260"/>
      <c r="T218" s="279"/>
      <c r="U218" s="260"/>
      <c r="V218" s="260"/>
      <c r="W218" s="260"/>
      <c r="X218" s="260"/>
      <c r="Y218" s="260"/>
      <c r="Z218" s="260"/>
      <c r="AA218" s="264"/>
      <c r="AB218" s="260"/>
      <c r="AC218" s="260"/>
      <c r="AD218" s="260"/>
      <c r="AE218" s="260"/>
      <c r="AF218" s="260"/>
      <c r="AG218" s="260"/>
      <c r="AH218" s="260"/>
    </row>
    <row r="219">
      <c r="A219" s="259"/>
      <c r="B219" s="260"/>
      <c r="C219" s="260"/>
      <c r="D219" s="260"/>
      <c r="E219" s="260"/>
      <c r="F219" s="260"/>
      <c r="G219" s="260"/>
      <c r="H219" s="260"/>
      <c r="I219" s="260"/>
      <c r="J219" s="261"/>
      <c r="K219" s="260"/>
      <c r="L219" s="260"/>
      <c r="M219" s="260"/>
      <c r="N219" s="260"/>
      <c r="O219" s="260"/>
      <c r="P219" s="260"/>
      <c r="Q219" s="260"/>
      <c r="R219" s="260"/>
      <c r="S219" s="260"/>
      <c r="T219" s="279"/>
      <c r="U219" s="260"/>
      <c r="V219" s="260"/>
      <c r="W219" s="260"/>
      <c r="X219" s="260"/>
      <c r="Y219" s="260"/>
      <c r="Z219" s="260"/>
      <c r="AA219" s="264"/>
      <c r="AB219" s="260"/>
      <c r="AC219" s="260"/>
      <c r="AD219" s="260"/>
      <c r="AE219" s="260"/>
      <c r="AF219" s="260"/>
      <c r="AG219" s="260"/>
      <c r="AH219" s="260"/>
    </row>
    <row r="220">
      <c r="A220" s="259"/>
      <c r="B220" s="260"/>
      <c r="C220" s="260"/>
      <c r="D220" s="260"/>
      <c r="E220" s="260"/>
      <c r="F220" s="260"/>
      <c r="G220" s="260"/>
      <c r="H220" s="260"/>
      <c r="I220" s="260"/>
      <c r="J220" s="261"/>
      <c r="K220" s="260"/>
      <c r="L220" s="260"/>
      <c r="M220" s="260"/>
      <c r="N220" s="260"/>
      <c r="O220" s="260"/>
      <c r="P220" s="260"/>
      <c r="Q220" s="260"/>
      <c r="R220" s="260"/>
      <c r="S220" s="260"/>
      <c r="T220" s="279"/>
      <c r="U220" s="260"/>
      <c r="V220" s="260"/>
      <c r="W220" s="260"/>
      <c r="X220" s="260"/>
      <c r="Y220" s="260"/>
      <c r="Z220" s="260"/>
      <c r="AA220" s="264"/>
      <c r="AB220" s="260"/>
      <c r="AC220" s="260"/>
      <c r="AD220" s="260"/>
      <c r="AE220" s="260"/>
      <c r="AF220" s="260"/>
      <c r="AG220" s="260"/>
      <c r="AH220" s="260"/>
    </row>
    <row r="221">
      <c r="A221" s="259"/>
      <c r="B221" s="260"/>
      <c r="C221" s="260"/>
      <c r="D221" s="260"/>
      <c r="E221" s="260"/>
      <c r="F221" s="260"/>
      <c r="G221" s="260"/>
      <c r="H221" s="260"/>
      <c r="I221" s="260"/>
      <c r="J221" s="261"/>
      <c r="K221" s="260"/>
      <c r="L221" s="260"/>
      <c r="M221" s="260"/>
      <c r="N221" s="260"/>
      <c r="O221" s="260"/>
      <c r="P221" s="260"/>
      <c r="Q221" s="260"/>
      <c r="R221" s="260"/>
      <c r="S221" s="260"/>
      <c r="T221" s="279"/>
      <c r="U221" s="260"/>
      <c r="V221" s="260"/>
      <c r="W221" s="260"/>
      <c r="X221" s="260"/>
      <c r="Y221" s="260"/>
      <c r="Z221" s="260"/>
      <c r="AA221" s="264"/>
      <c r="AB221" s="260"/>
      <c r="AC221" s="260"/>
      <c r="AD221" s="260"/>
      <c r="AE221" s="260"/>
      <c r="AF221" s="260"/>
      <c r="AG221" s="260"/>
      <c r="AH221" s="260"/>
    </row>
    <row r="222">
      <c r="A222" s="259"/>
      <c r="B222" s="260"/>
      <c r="C222" s="260"/>
      <c r="D222" s="260"/>
      <c r="E222" s="260"/>
      <c r="F222" s="260"/>
      <c r="G222" s="260"/>
      <c r="H222" s="260"/>
      <c r="I222" s="260"/>
      <c r="J222" s="261"/>
      <c r="K222" s="260"/>
      <c r="L222" s="260"/>
      <c r="M222" s="260"/>
      <c r="N222" s="260"/>
      <c r="O222" s="260"/>
      <c r="P222" s="260"/>
      <c r="Q222" s="260"/>
      <c r="R222" s="260"/>
      <c r="S222" s="260"/>
      <c r="T222" s="279"/>
      <c r="U222" s="260"/>
      <c r="V222" s="260"/>
      <c r="W222" s="260"/>
      <c r="X222" s="260"/>
      <c r="Y222" s="260"/>
      <c r="Z222" s="260"/>
      <c r="AA222" s="264"/>
      <c r="AB222" s="260"/>
      <c r="AC222" s="260"/>
      <c r="AD222" s="260"/>
      <c r="AE222" s="260"/>
      <c r="AF222" s="260"/>
      <c r="AG222" s="260"/>
      <c r="AH222" s="260"/>
    </row>
    <row r="223">
      <c r="A223" s="259"/>
      <c r="B223" s="260"/>
      <c r="C223" s="260"/>
      <c r="D223" s="260"/>
      <c r="E223" s="260"/>
      <c r="F223" s="260"/>
      <c r="G223" s="260"/>
      <c r="H223" s="260"/>
      <c r="I223" s="260"/>
      <c r="J223" s="261"/>
      <c r="K223" s="260"/>
      <c r="L223" s="260"/>
      <c r="M223" s="260"/>
      <c r="N223" s="260"/>
      <c r="O223" s="260"/>
      <c r="P223" s="260"/>
      <c r="Q223" s="260"/>
      <c r="R223" s="260"/>
      <c r="S223" s="260"/>
      <c r="T223" s="279"/>
      <c r="U223" s="260"/>
      <c r="V223" s="260"/>
      <c r="W223" s="260"/>
      <c r="X223" s="260"/>
      <c r="Y223" s="260"/>
      <c r="Z223" s="260"/>
      <c r="AA223" s="264"/>
      <c r="AB223" s="260"/>
      <c r="AC223" s="260"/>
      <c r="AD223" s="260"/>
      <c r="AE223" s="260"/>
      <c r="AF223" s="260"/>
      <c r="AG223" s="260"/>
      <c r="AH223" s="260"/>
    </row>
    <row r="224">
      <c r="A224" s="259"/>
      <c r="B224" s="260"/>
      <c r="C224" s="260"/>
      <c r="D224" s="260"/>
      <c r="E224" s="260"/>
      <c r="F224" s="260"/>
      <c r="G224" s="260"/>
      <c r="H224" s="260"/>
      <c r="I224" s="260"/>
      <c r="J224" s="261"/>
      <c r="K224" s="260"/>
      <c r="L224" s="260"/>
      <c r="M224" s="260"/>
      <c r="N224" s="260"/>
      <c r="O224" s="260"/>
      <c r="P224" s="260"/>
      <c r="Q224" s="260"/>
      <c r="R224" s="260"/>
      <c r="S224" s="260"/>
      <c r="T224" s="279"/>
      <c r="U224" s="260"/>
      <c r="V224" s="260"/>
      <c r="W224" s="260"/>
      <c r="X224" s="260"/>
      <c r="Y224" s="260"/>
      <c r="Z224" s="260"/>
      <c r="AA224" s="264"/>
      <c r="AB224" s="260"/>
      <c r="AC224" s="260"/>
      <c r="AD224" s="260"/>
      <c r="AE224" s="260"/>
      <c r="AF224" s="260"/>
      <c r="AG224" s="260"/>
      <c r="AH224" s="260"/>
    </row>
    <row r="225">
      <c r="A225" s="259"/>
      <c r="B225" s="260"/>
      <c r="C225" s="260"/>
      <c r="D225" s="260"/>
      <c r="E225" s="260"/>
      <c r="F225" s="260"/>
      <c r="G225" s="260"/>
      <c r="H225" s="260"/>
      <c r="I225" s="260"/>
      <c r="J225" s="261"/>
      <c r="K225" s="260"/>
      <c r="L225" s="260"/>
      <c r="M225" s="260"/>
      <c r="N225" s="260"/>
      <c r="O225" s="260"/>
      <c r="P225" s="260"/>
      <c r="Q225" s="260"/>
      <c r="R225" s="260"/>
      <c r="S225" s="260"/>
      <c r="T225" s="279"/>
      <c r="U225" s="260"/>
      <c r="V225" s="260"/>
      <c r="W225" s="260"/>
      <c r="X225" s="260"/>
      <c r="Y225" s="260"/>
      <c r="Z225" s="260"/>
      <c r="AA225" s="264"/>
      <c r="AB225" s="260"/>
      <c r="AC225" s="260"/>
      <c r="AD225" s="260"/>
      <c r="AE225" s="260"/>
      <c r="AF225" s="260"/>
      <c r="AG225" s="260"/>
      <c r="AH225" s="260"/>
    </row>
    <row r="226">
      <c r="A226" s="259"/>
      <c r="B226" s="260"/>
      <c r="C226" s="260"/>
      <c r="D226" s="260"/>
      <c r="E226" s="260"/>
      <c r="F226" s="260"/>
      <c r="G226" s="260"/>
      <c r="H226" s="260"/>
      <c r="I226" s="260"/>
      <c r="J226" s="261"/>
      <c r="K226" s="260"/>
      <c r="L226" s="260"/>
      <c r="M226" s="260"/>
      <c r="N226" s="260"/>
      <c r="O226" s="260"/>
      <c r="P226" s="260"/>
      <c r="Q226" s="260"/>
      <c r="R226" s="260"/>
      <c r="S226" s="260"/>
      <c r="T226" s="279"/>
      <c r="U226" s="260"/>
      <c r="V226" s="260"/>
      <c r="W226" s="260"/>
      <c r="X226" s="260"/>
      <c r="Y226" s="260"/>
      <c r="Z226" s="260"/>
      <c r="AA226" s="264"/>
      <c r="AB226" s="260"/>
      <c r="AC226" s="260"/>
      <c r="AD226" s="260"/>
      <c r="AE226" s="260"/>
      <c r="AF226" s="260"/>
      <c r="AG226" s="260"/>
      <c r="AH226" s="260"/>
    </row>
    <row r="227">
      <c r="A227" s="259"/>
      <c r="B227" s="260"/>
      <c r="C227" s="260"/>
      <c r="D227" s="260"/>
      <c r="E227" s="260"/>
      <c r="F227" s="260"/>
      <c r="G227" s="260"/>
      <c r="H227" s="260"/>
      <c r="I227" s="260"/>
      <c r="J227" s="261"/>
      <c r="K227" s="260"/>
      <c r="L227" s="260"/>
      <c r="M227" s="260"/>
      <c r="N227" s="260"/>
      <c r="O227" s="260"/>
      <c r="P227" s="260"/>
      <c r="Q227" s="260"/>
      <c r="R227" s="260"/>
      <c r="S227" s="260"/>
      <c r="T227" s="279"/>
      <c r="U227" s="260"/>
      <c r="V227" s="260"/>
      <c r="W227" s="260"/>
      <c r="X227" s="260"/>
      <c r="Y227" s="260"/>
      <c r="Z227" s="260"/>
      <c r="AA227" s="264"/>
      <c r="AB227" s="260"/>
      <c r="AC227" s="260"/>
      <c r="AD227" s="260"/>
      <c r="AE227" s="260"/>
      <c r="AF227" s="260"/>
      <c r="AG227" s="260"/>
      <c r="AH227" s="260"/>
    </row>
    <row r="228">
      <c r="A228" s="259"/>
      <c r="B228" s="260"/>
      <c r="C228" s="260"/>
      <c r="D228" s="260"/>
      <c r="E228" s="260"/>
      <c r="F228" s="260"/>
      <c r="G228" s="260"/>
      <c r="H228" s="260"/>
      <c r="I228" s="260"/>
      <c r="J228" s="261"/>
      <c r="K228" s="260"/>
      <c r="L228" s="260"/>
      <c r="M228" s="260"/>
      <c r="N228" s="260"/>
      <c r="O228" s="260"/>
      <c r="P228" s="260"/>
      <c r="Q228" s="260"/>
      <c r="R228" s="260"/>
      <c r="S228" s="260"/>
      <c r="T228" s="279"/>
      <c r="U228" s="260"/>
      <c r="V228" s="260"/>
      <c r="W228" s="260"/>
      <c r="X228" s="260"/>
      <c r="Y228" s="260"/>
      <c r="Z228" s="260"/>
      <c r="AA228" s="264"/>
      <c r="AB228" s="260"/>
      <c r="AC228" s="260"/>
      <c r="AD228" s="260"/>
      <c r="AE228" s="260"/>
      <c r="AF228" s="260"/>
      <c r="AG228" s="260"/>
      <c r="AH228" s="260"/>
    </row>
    <row r="229">
      <c r="A229" s="259"/>
      <c r="B229" s="260"/>
      <c r="C229" s="260"/>
      <c r="D229" s="260"/>
      <c r="E229" s="260"/>
      <c r="F229" s="260"/>
      <c r="G229" s="260"/>
      <c r="H229" s="260"/>
      <c r="I229" s="260"/>
      <c r="J229" s="261"/>
      <c r="K229" s="260"/>
      <c r="L229" s="260"/>
      <c r="M229" s="260"/>
      <c r="N229" s="260"/>
      <c r="O229" s="260"/>
      <c r="P229" s="260"/>
      <c r="Q229" s="260"/>
      <c r="R229" s="260"/>
      <c r="S229" s="260"/>
      <c r="T229" s="279"/>
      <c r="U229" s="260"/>
      <c r="V229" s="260"/>
      <c r="W229" s="260"/>
      <c r="X229" s="260"/>
      <c r="Y229" s="260"/>
      <c r="Z229" s="260"/>
      <c r="AA229" s="264"/>
      <c r="AB229" s="260"/>
      <c r="AC229" s="260"/>
      <c r="AD229" s="260"/>
      <c r="AE229" s="260"/>
      <c r="AF229" s="260"/>
      <c r="AG229" s="260"/>
      <c r="AH229" s="260"/>
    </row>
    <row r="230">
      <c r="A230" s="259"/>
      <c r="B230" s="260"/>
      <c r="C230" s="260"/>
      <c r="D230" s="260"/>
      <c r="E230" s="260"/>
      <c r="F230" s="260"/>
      <c r="G230" s="260"/>
      <c r="H230" s="260"/>
      <c r="I230" s="260"/>
      <c r="J230" s="261"/>
      <c r="K230" s="260"/>
      <c r="L230" s="260"/>
      <c r="M230" s="260"/>
      <c r="N230" s="260"/>
      <c r="O230" s="260"/>
      <c r="P230" s="260"/>
      <c r="Q230" s="260"/>
      <c r="R230" s="260"/>
      <c r="S230" s="260"/>
      <c r="T230" s="279"/>
      <c r="U230" s="260"/>
      <c r="V230" s="260"/>
      <c r="W230" s="260"/>
      <c r="X230" s="260"/>
      <c r="Y230" s="260"/>
      <c r="Z230" s="260"/>
      <c r="AA230" s="264"/>
      <c r="AB230" s="260"/>
      <c r="AC230" s="260"/>
      <c r="AD230" s="260"/>
      <c r="AE230" s="260"/>
      <c r="AF230" s="260"/>
      <c r="AG230" s="260"/>
      <c r="AH230" s="260"/>
    </row>
    <row r="231">
      <c r="A231" s="259"/>
      <c r="B231" s="260"/>
      <c r="C231" s="260"/>
      <c r="D231" s="260"/>
      <c r="E231" s="260"/>
      <c r="F231" s="260"/>
      <c r="G231" s="260"/>
      <c r="H231" s="260"/>
      <c r="I231" s="260"/>
      <c r="J231" s="261"/>
      <c r="K231" s="260"/>
      <c r="L231" s="260"/>
      <c r="M231" s="260"/>
      <c r="N231" s="260"/>
      <c r="O231" s="260"/>
      <c r="P231" s="260"/>
      <c r="Q231" s="260"/>
      <c r="R231" s="260"/>
      <c r="S231" s="260"/>
      <c r="T231" s="279"/>
      <c r="U231" s="260"/>
      <c r="V231" s="260"/>
      <c r="W231" s="260"/>
      <c r="X231" s="260"/>
      <c r="Y231" s="260"/>
      <c r="Z231" s="260"/>
      <c r="AA231" s="264"/>
      <c r="AB231" s="260"/>
      <c r="AC231" s="260"/>
      <c r="AD231" s="260"/>
      <c r="AE231" s="260"/>
      <c r="AF231" s="260"/>
      <c r="AG231" s="260"/>
      <c r="AH231" s="260"/>
    </row>
    <row r="232">
      <c r="A232" s="259"/>
      <c r="B232" s="260"/>
      <c r="C232" s="260"/>
      <c r="D232" s="260"/>
      <c r="E232" s="260"/>
      <c r="F232" s="260"/>
      <c r="G232" s="260"/>
      <c r="H232" s="260"/>
      <c r="I232" s="260"/>
      <c r="J232" s="261"/>
      <c r="K232" s="260"/>
      <c r="L232" s="260"/>
      <c r="M232" s="260"/>
      <c r="N232" s="260"/>
      <c r="O232" s="260"/>
      <c r="P232" s="260"/>
      <c r="Q232" s="260"/>
      <c r="R232" s="260"/>
      <c r="S232" s="260"/>
      <c r="T232" s="279"/>
      <c r="U232" s="260"/>
      <c r="V232" s="260"/>
      <c r="W232" s="260"/>
      <c r="X232" s="260"/>
      <c r="Y232" s="260"/>
      <c r="Z232" s="260"/>
      <c r="AA232" s="264"/>
      <c r="AB232" s="260"/>
      <c r="AC232" s="260"/>
      <c r="AD232" s="260"/>
      <c r="AE232" s="260"/>
      <c r="AF232" s="260"/>
      <c r="AG232" s="260"/>
      <c r="AH232" s="260"/>
    </row>
    <row r="233">
      <c r="A233" s="259"/>
      <c r="B233" s="260"/>
      <c r="C233" s="260"/>
      <c r="D233" s="260"/>
      <c r="E233" s="260"/>
      <c r="F233" s="260"/>
      <c r="G233" s="260"/>
      <c r="H233" s="260"/>
      <c r="I233" s="260"/>
      <c r="J233" s="261"/>
      <c r="K233" s="260"/>
      <c r="L233" s="260"/>
      <c r="M233" s="260"/>
      <c r="N233" s="260"/>
      <c r="O233" s="260"/>
      <c r="P233" s="260"/>
      <c r="Q233" s="260"/>
      <c r="R233" s="260"/>
      <c r="S233" s="260"/>
      <c r="T233" s="279"/>
      <c r="U233" s="260"/>
      <c r="V233" s="260"/>
      <c r="W233" s="260"/>
      <c r="X233" s="260"/>
      <c r="Y233" s="260"/>
      <c r="Z233" s="260"/>
      <c r="AA233" s="264"/>
      <c r="AB233" s="260"/>
      <c r="AC233" s="260"/>
      <c r="AD233" s="260"/>
      <c r="AE233" s="260"/>
      <c r="AF233" s="260"/>
      <c r="AG233" s="260"/>
      <c r="AH233" s="260"/>
    </row>
    <row r="234">
      <c r="A234" s="259"/>
      <c r="B234" s="260"/>
      <c r="C234" s="260"/>
      <c r="D234" s="260"/>
      <c r="E234" s="260"/>
      <c r="F234" s="260"/>
      <c r="G234" s="260"/>
      <c r="H234" s="260"/>
      <c r="I234" s="260"/>
      <c r="J234" s="261"/>
      <c r="K234" s="260"/>
      <c r="L234" s="260"/>
      <c r="M234" s="260"/>
      <c r="N234" s="260"/>
      <c r="O234" s="260"/>
      <c r="P234" s="260"/>
      <c r="Q234" s="260"/>
      <c r="R234" s="260"/>
      <c r="S234" s="260"/>
      <c r="T234" s="279"/>
      <c r="U234" s="260"/>
      <c r="V234" s="260"/>
      <c r="W234" s="260"/>
      <c r="X234" s="260"/>
      <c r="Y234" s="260"/>
      <c r="Z234" s="260"/>
      <c r="AA234" s="264"/>
      <c r="AB234" s="260"/>
      <c r="AC234" s="260"/>
      <c r="AD234" s="260"/>
      <c r="AE234" s="260"/>
      <c r="AF234" s="260"/>
      <c r="AG234" s="260"/>
      <c r="AH234" s="260"/>
    </row>
    <row r="235">
      <c r="A235" s="259"/>
      <c r="B235" s="260"/>
      <c r="C235" s="260"/>
      <c r="D235" s="260"/>
      <c r="E235" s="260"/>
      <c r="F235" s="260"/>
      <c r="G235" s="260"/>
      <c r="H235" s="260"/>
      <c r="I235" s="260"/>
      <c r="J235" s="261"/>
      <c r="K235" s="260"/>
      <c r="L235" s="260"/>
      <c r="M235" s="260"/>
      <c r="N235" s="260"/>
      <c r="O235" s="260"/>
      <c r="P235" s="260"/>
      <c r="Q235" s="260"/>
      <c r="R235" s="260"/>
      <c r="S235" s="260"/>
      <c r="T235" s="279"/>
      <c r="U235" s="260"/>
      <c r="V235" s="260"/>
      <c r="W235" s="260"/>
      <c r="X235" s="260"/>
      <c r="Y235" s="260"/>
      <c r="Z235" s="260"/>
      <c r="AA235" s="264"/>
      <c r="AB235" s="260"/>
      <c r="AC235" s="260"/>
      <c r="AD235" s="260"/>
      <c r="AE235" s="260"/>
      <c r="AF235" s="260"/>
      <c r="AG235" s="260"/>
      <c r="AH235" s="260"/>
    </row>
    <row r="236">
      <c r="A236" s="259"/>
      <c r="B236" s="260"/>
      <c r="C236" s="260"/>
      <c r="D236" s="260"/>
      <c r="E236" s="260"/>
      <c r="F236" s="260"/>
      <c r="G236" s="260"/>
      <c r="H236" s="260"/>
      <c r="I236" s="260"/>
      <c r="J236" s="261"/>
      <c r="K236" s="260"/>
      <c r="L236" s="260"/>
      <c r="M236" s="260"/>
      <c r="N236" s="260"/>
      <c r="O236" s="260"/>
      <c r="P236" s="260"/>
      <c r="Q236" s="260"/>
      <c r="R236" s="260"/>
      <c r="S236" s="260"/>
      <c r="T236" s="279"/>
      <c r="U236" s="260"/>
      <c r="V236" s="260"/>
      <c r="W236" s="260"/>
      <c r="X236" s="260"/>
      <c r="Y236" s="260"/>
      <c r="Z236" s="260"/>
      <c r="AA236" s="264"/>
      <c r="AB236" s="260"/>
      <c r="AC236" s="260"/>
      <c r="AD236" s="260"/>
      <c r="AE236" s="260"/>
      <c r="AF236" s="260"/>
      <c r="AG236" s="260"/>
      <c r="AH236" s="260"/>
    </row>
    <row r="237">
      <c r="A237" s="259"/>
      <c r="B237" s="260"/>
      <c r="C237" s="260"/>
      <c r="D237" s="260"/>
      <c r="E237" s="260"/>
      <c r="F237" s="260"/>
      <c r="G237" s="260"/>
      <c r="H237" s="260"/>
      <c r="I237" s="260"/>
      <c r="J237" s="261"/>
      <c r="K237" s="260"/>
      <c r="L237" s="260"/>
      <c r="M237" s="260"/>
      <c r="N237" s="260"/>
      <c r="O237" s="260"/>
      <c r="P237" s="260"/>
      <c r="Q237" s="260"/>
      <c r="R237" s="260"/>
      <c r="S237" s="260"/>
      <c r="T237" s="279"/>
      <c r="U237" s="260"/>
      <c r="V237" s="260"/>
      <c r="W237" s="260"/>
      <c r="X237" s="260"/>
      <c r="Y237" s="260"/>
      <c r="Z237" s="260"/>
      <c r="AA237" s="264"/>
      <c r="AB237" s="260"/>
      <c r="AC237" s="260"/>
      <c r="AD237" s="260"/>
      <c r="AE237" s="260"/>
      <c r="AF237" s="260"/>
      <c r="AG237" s="260"/>
      <c r="AH237" s="260"/>
    </row>
    <row r="238">
      <c r="A238" s="259"/>
      <c r="B238" s="260"/>
      <c r="C238" s="260"/>
      <c r="D238" s="260"/>
      <c r="E238" s="260"/>
      <c r="F238" s="260"/>
      <c r="G238" s="260"/>
      <c r="H238" s="260"/>
      <c r="I238" s="260"/>
      <c r="J238" s="261"/>
      <c r="K238" s="260"/>
      <c r="L238" s="260"/>
      <c r="M238" s="260"/>
      <c r="N238" s="260"/>
      <c r="O238" s="260"/>
      <c r="P238" s="260"/>
      <c r="Q238" s="260"/>
      <c r="R238" s="260"/>
      <c r="S238" s="260"/>
      <c r="T238" s="279"/>
      <c r="U238" s="260"/>
      <c r="V238" s="260"/>
      <c r="W238" s="260"/>
      <c r="X238" s="260"/>
      <c r="Y238" s="260"/>
      <c r="Z238" s="260"/>
      <c r="AA238" s="264"/>
      <c r="AB238" s="260"/>
      <c r="AC238" s="260"/>
      <c r="AD238" s="260"/>
      <c r="AE238" s="260"/>
      <c r="AF238" s="260"/>
      <c r="AG238" s="260"/>
      <c r="AH238" s="260"/>
    </row>
    <row r="239">
      <c r="A239" s="259"/>
      <c r="B239" s="260"/>
      <c r="C239" s="260"/>
      <c r="D239" s="260"/>
      <c r="E239" s="260"/>
      <c r="F239" s="260"/>
      <c r="G239" s="260"/>
      <c r="H239" s="260"/>
      <c r="I239" s="260"/>
      <c r="J239" s="261"/>
      <c r="K239" s="260"/>
      <c r="L239" s="260"/>
      <c r="M239" s="260"/>
      <c r="N239" s="260"/>
      <c r="O239" s="260"/>
      <c r="P239" s="260"/>
      <c r="Q239" s="260"/>
      <c r="R239" s="260"/>
      <c r="S239" s="260"/>
      <c r="T239" s="279"/>
      <c r="U239" s="260"/>
      <c r="V239" s="260"/>
      <c r="W239" s="260"/>
      <c r="X239" s="260"/>
      <c r="Y239" s="260"/>
      <c r="Z239" s="260"/>
      <c r="AA239" s="264"/>
      <c r="AB239" s="260"/>
      <c r="AC239" s="260"/>
      <c r="AD239" s="260"/>
      <c r="AE239" s="260"/>
      <c r="AF239" s="260"/>
      <c r="AG239" s="260"/>
      <c r="AH239" s="260"/>
    </row>
    <row r="240">
      <c r="A240" s="259"/>
      <c r="B240" s="260"/>
      <c r="C240" s="260"/>
      <c r="D240" s="260"/>
      <c r="E240" s="260"/>
      <c r="F240" s="260"/>
      <c r="G240" s="260"/>
      <c r="H240" s="260"/>
      <c r="I240" s="260"/>
      <c r="J240" s="261"/>
      <c r="K240" s="260"/>
      <c r="L240" s="260"/>
      <c r="M240" s="260"/>
      <c r="N240" s="260"/>
      <c r="O240" s="260"/>
      <c r="P240" s="260"/>
      <c r="Q240" s="260"/>
      <c r="R240" s="260"/>
      <c r="S240" s="260"/>
      <c r="T240" s="279"/>
      <c r="U240" s="260"/>
      <c r="V240" s="260"/>
      <c r="W240" s="260"/>
      <c r="X240" s="260"/>
      <c r="Y240" s="260"/>
      <c r="Z240" s="260"/>
      <c r="AA240" s="264"/>
      <c r="AB240" s="260"/>
      <c r="AC240" s="260"/>
      <c r="AD240" s="260"/>
      <c r="AE240" s="260"/>
      <c r="AF240" s="260"/>
      <c r="AG240" s="260"/>
      <c r="AH240" s="260"/>
    </row>
    <row r="241">
      <c r="A241" s="259"/>
      <c r="B241" s="260"/>
      <c r="C241" s="260"/>
      <c r="D241" s="260"/>
      <c r="E241" s="260"/>
      <c r="F241" s="260"/>
      <c r="G241" s="260"/>
      <c r="H241" s="260"/>
      <c r="I241" s="260"/>
      <c r="J241" s="261"/>
      <c r="K241" s="260"/>
      <c r="L241" s="260"/>
      <c r="M241" s="260"/>
      <c r="N241" s="260"/>
      <c r="O241" s="260"/>
      <c r="P241" s="260"/>
      <c r="Q241" s="260"/>
      <c r="R241" s="260"/>
      <c r="S241" s="260"/>
      <c r="T241" s="279"/>
      <c r="U241" s="260"/>
      <c r="V241" s="260"/>
      <c r="W241" s="260"/>
      <c r="X241" s="260"/>
      <c r="Y241" s="260"/>
      <c r="Z241" s="260"/>
      <c r="AA241" s="264"/>
      <c r="AB241" s="260"/>
      <c r="AC241" s="260"/>
      <c r="AD241" s="260"/>
      <c r="AE241" s="260"/>
      <c r="AF241" s="260"/>
      <c r="AG241" s="260"/>
      <c r="AH241" s="260"/>
    </row>
    <row r="242">
      <c r="A242" s="259"/>
      <c r="B242" s="260"/>
      <c r="C242" s="260"/>
      <c r="D242" s="260"/>
      <c r="E242" s="260"/>
      <c r="F242" s="260"/>
      <c r="G242" s="260"/>
      <c r="H242" s="260"/>
      <c r="I242" s="260"/>
      <c r="J242" s="261"/>
      <c r="K242" s="260"/>
      <c r="L242" s="260"/>
      <c r="M242" s="260"/>
      <c r="N242" s="260"/>
      <c r="O242" s="260"/>
      <c r="P242" s="260"/>
      <c r="Q242" s="260"/>
      <c r="R242" s="260"/>
      <c r="S242" s="260"/>
      <c r="T242" s="279"/>
      <c r="U242" s="260"/>
      <c r="V242" s="260"/>
      <c r="W242" s="260"/>
      <c r="X242" s="260"/>
      <c r="Y242" s="260"/>
      <c r="Z242" s="260"/>
      <c r="AA242" s="264"/>
      <c r="AB242" s="260"/>
      <c r="AC242" s="260"/>
      <c r="AD242" s="260"/>
      <c r="AE242" s="260"/>
      <c r="AF242" s="260"/>
      <c r="AG242" s="260"/>
      <c r="AH242" s="260"/>
    </row>
    <row r="243">
      <c r="A243" s="259"/>
      <c r="B243" s="260"/>
      <c r="C243" s="260"/>
      <c r="D243" s="260"/>
      <c r="E243" s="260"/>
      <c r="F243" s="260"/>
      <c r="G243" s="260"/>
      <c r="H243" s="260"/>
      <c r="I243" s="260"/>
      <c r="J243" s="261"/>
      <c r="K243" s="260"/>
      <c r="L243" s="260"/>
      <c r="M243" s="260"/>
      <c r="N243" s="260"/>
      <c r="O243" s="260"/>
      <c r="P243" s="260"/>
      <c r="Q243" s="260"/>
      <c r="R243" s="260"/>
      <c r="S243" s="260"/>
      <c r="T243" s="279"/>
      <c r="U243" s="260"/>
      <c r="V243" s="260"/>
      <c r="W243" s="260"/>
      <c r="X243" s="260"/>
      <c r="Y243" s="260"/>
      <c r="Z243" s="260"/>
      <c r="AA243" s="264"/>
      <c r="AB243" s="260"/>
      <c r="AC243" s="260"/>
      <c r="AD243" s="260"/>
      <c r="AE243" s="260"/>
      <c r="AF243" s="260"/>
      <c r="AG243" s="260"/>
      <c r="AH243" s="260"/>
    </row>
    <row r="244">
      <c r="A244" s="259"/>
      <c r="B244" s="260"/>
      <c r="C244" s="260"/>
      <c r="D244" s="260"/>
      <c r="E244" s="260"/>
      <c r="F244" s="260"/>
      <c r="G244" s="260"/>
      <c r="H244" s="260"/>
      <c r="I244" s="260"/>
      <c r="J244" s="261"/>
      <c r="K244" s="260"/>
      <c r="L244" s="260"/>
      <c r="M244" s="260"/>
      <c r="N244" s="260"/>
      <c r="O244" s="260"/>
      <c r="P244" s="260"/>
      <c r="Q244" s="260"/>
      <c r="R244" s="260"/>
      <c r="S244" s="260"/>
      <c r="T244" s="279"/>
      <c r="U244" s="260"/>
      <c r="V244" s="260"/>
      <c r="W244" s="260"/>
      <c r="X244" s="260"/>
      <c r="Y244" s="260"/>
      <c r="Z244" s="260"/>
      <c r="AA244" s="264"/>
      <c r="AB244" s="260"/>
      <c r="AC244" s="260"/>
      <c r="AD244" s="260"/>
      <c r="AE244" s="260"/>
      <c r="AF244" s="260"/>
      <c r="AG244" s="260"/>
      <c r="AH244" s="260"/>
    </row>
    <row r="245">
      <c r="A245" s="259"/>
      <c r="B245" s="260"/>
      <c r="C245" s="260"/>
      <c r="D245" s="260"/>
      <c r="E245" s="260"/>
      <c r="F245" s="260"/>
      <c r="G245" s="260"/>
      <c r="H245" s="260"/>
      <c r="I245" s="260"/>
      <c r="J245" s="261"/>
      <c r="K245" s="260"/>
      <c r="L245" s="260"/>
      <c r="M245" s="260"/>
      <c r="N245" s="260"/>
      <c r="O245" s="260"/>
      <c r="P245" s="260"/>
      <c r="Q245" s="260"/>
      <c r="R245" s="260"/>
      <c r="S245" s="260"/>
      <c r="T245" s="279"/>
      <c r="U245" s="260"/>
      <c r="V245" s="260"/>
      <c r="W245" s="260"/>
      <c r="X245" s="260"/>
      <c r="Y245" s="260"/>
      <c r="Z245" s="260"/>
      <c r="AA245" s="264"/>
      <c r="AB245" s="260"/>
      <c r="AC245" s="260"/>
      <c r="AD245" s="260"/>
      <c r="AE245" s="260"/>
      <c r="AF245" s="260"/>
      <c r="AG245" s="260"/>
      <c r="AH245" s="260"/>
    </row>
    <row r="246">
      <c r="A246" s="259"/>
      <c r="B246" s="260"/>
      <c r="C246" s="260"/>
      <c r="D246" s="260"/>
      <c r="E246" s="260"/>
      <c r="F246" s="260"/>
      <c r="G246" s="260"/>
      <c r="H246" s="260"/>
      <c r="I246" s="260"/>
      <c r="J246" s="261"/>
      <c r="K246" s="260"/>
      <c r="L246" s="260"/>
      <c r="M246" s="260"/>
      <c r="N246" s="260"/>
      <c r="O246" s="260"/>
      <c r="P246" s="260"/>
      <c r="Q246" s="260"/>
      <c r="R246" s="260"/>
      <c r="S246" s="260"/>
      <c r="T246" s="279"/>
      <c r="U246" s="260"/>
      <c r="V246" s="260"/>
      <c r="W246" s="260"/>
      <c r="X246" s="260"/>
      <c r="Y246" s="260"/>
      <c r="Z246" s="260"/>
      <c r="AA246" s="264"/>
      <c r="AB246" s="260"/>
      <c r="AC246" s="260"/>
      <c r="AD246" s="260"/>
      <c r="AE246" s="260"/>
      <c r="AF246" s="260"/>
      <c r="AG246" s="260"/>
      <c r="AH246" s="260"/>
    </row>
    <row r="247">
      <c r="A247" s="259"/>
      <c r="B247" s="260"/>
      <c r="C247" s="260"/>
      <c r="D247" s="260"/>
      <c r="E247" s="260"/>
      <c r="F247" s="260"/>
      <c r="G247" s="260"/>
      <c r="H247" s="260"/>
      <c r="I247" s="260"/>
      <c r="J247" s="261"/>
      <c r="K247" s="260"/>
      <c r="L247" s="260"/>
      <c r="M247" s="260"/>
      <c r="N247" s="260"/>
      <c r="O247" s="260"/>
      <c r="P247" s="260"/>
      <c r="Q247" s="260"/>
      <c r="R247" s="260"/>
      <c r="S247" s="260"/>
      <c r="T247" s="279"/>
      <c r="U247" s="260"/>
      <c r="V247" s="260"/>
      <c r="W247" s="260"/>
      <c r="X247" s="260"/>
      <c r="Y247" s="260"/>
      <c r="Z247" s="260"/>
      <c r="AA247" s="264"/>
      <c r="AB247" s="260"/>
      <c r="AC247" s="260"/>
      <c r="AD247" s="260"/>
      <c r="AE247" s="260"/>
      <c r="AF247" s="260"/>
      <c r="AG247" s="260"/>
      <c r="AH247" s="260"/>
    </row>
    <row r="248">
      <c r="A248" s="259"/>
      <c r="B248" s="260"/>
      <c r="C248" s="260"/>
      <c r="D248" s="260"/>
      <c r="E248" s="260"/>
      <c r="F248" s="260"/>
      <c r="G248" s="260"/>
      <c r="H248" s="260"/>
      <c r="I248" s="260"/>
      <c r="J248" s="261"/>
      <c r="K248" s="260"/>
      <c r="L248" s="260"/>
      <c r="M248" s="260"/>
      <c r="N248" s="260"/>
      <c r="O248" s="260"/>
      <c r="P248" s="260"/>
      <c r="Q248" s="260"/>
      <c r="R248" s="260"/>
      <c r="S248" s="260"/>
      <c r="T248" s="279"/>
      <c r="U248" s="260"/>
      <c r="V248" s="260"/>
      <c r="W248" s="260"/>
      <c r="X248" s="260"/>
      <c r="Y248" s="260"/>
      <c r="Z248" s="260"/>
      <c r="AA248" s="264"/>
      <c r="AB248" s="260"/>
      <c r="AC248" s="260"/>
      <c r="AD248" s="260"/>
      <c r="AE248" s="260"/>
      <c r="AF248" s="260"/>
      <c r="AG248" s="260"/>
      <c r="AH248" s="260"/>
    </row>
    <row r="249">
      <c r="A249" s="259"/>
      <c r="B249" s="260"/>
      <c r="C249" s="260"/>
      <c r="D249" s="260"/>
      <c r="E249" s="260"/>
      <c r="F249" s="260"/>
      <c r="G249" s="260"/>
      <c r="H249" s="260"/>
      <c r="I249" s="260"/>
      <c r="J249" s="261"/>
      <c r="K249" s="260"/>
      <c r="L249" s="260"/>
      <c r="M249" s="260"/>
      <c r="N249" s="260"/>
      <c r="O249" s="260"/>
      <c r="P249" s="260"/>
      <c r="Q249" s="260"/>
      <c r="R249" s="260"/>
      <c r="S249" s="260"/>
      <c r="T249" s="279"/>
      <c r="U249" s="260"/>
      <c r="V249" s="260"/>
      <c r="W249" s="260"/>
      <c r="X249" s="260"/>
      <c r="Y249" s="260"/>
      <c r="Z249" s="260"/>
      <c r="AA249" s="264"/>
      <c r="AB249" s="260"/>
      <c r="AC249" s="260"/>
      <c r="AD249" s="260"/>
      <c r="AE249" s="260"/>
      <c r="AF249" s="260"/>
      <c r="AG249" s="260"/>
      <c r="AH249" s="260"/>
    </row>
    <row r="250">
      <c r="A250" s="259"/>
      <c r="B250" s="260"/>
      <c r="C250" s="260"/>
      <c r="D250" s="260"/>
      <c r="E250" s="260"/>
      <c r="F250" s="260"/>
      <c r="G250" s="260"/>
      <c r="H250" s="260"/>
      <c r="I250" s="260"/>
      <c r="J250" s="261"/>
      <c r="K250" s="260"/>
      <c r="L250" s="260"/>
      <c r="M250" s="260"/>
      <c r="N250" s="260"/>
      <c r="O250" s="260"/>
      <c r="P250" s="260"/>
      <c r="Q250" s="260"/>
      <c r="R250" s="260"/>
      <c r="S250" s="260"/>
      <c r="T250" s="279"/>
      <c r="U250" s="260"/>
      <c r="V250" s="260"/>
      <c r="W250" s="260"/>
      <c r="X250" s="260"/>
      <c r="Y250" s="260"/>
      <c r="Z250" s="260"/>
      <c r="AA250" s="264"/>
      <c r="AB250" s="260"/>
      <c r="AC250" s="260"/>
      <c r="AD250" s="260"/>
      <c r="AE250" s="260"/>
      <c r="AF250" s="260"/>
      <c r="AG250" s="260"/>
      <c r="AH250" s="260"/>
    </row>
    <row r="251">
      <c r="A251" s="259"/>
      <c r="B251" s="260"/>
      <c r="C251" s="260"/>
      <c r="D251" s="260"/>
      <c r="E251" s="260"/>
      <c r="F251" s="260"/>
      <c r="G251" s="260"/>
      <c r="H251" s="260"/>
      <c r="I251" s="260"/>
      <c r="J251" s="261"/>
      <c r="K251" s="260"/>
      <c r="L251" s="260"/>
      <c r="M251" s="260"/>
      <c r="N251" s="260"/>
      <c r="O251" s="260"/>
      <c r="P251" s="260"/>
      <c r="Q251" s="260"/>
      <c r="R251" s="260"/>
      <c r="S251" s="260"/>
      <c r="T251" s="279"/>
      <c r="U251" s="260"/>
      <c r="V251" s="260"/>
      <c r="W251" s="260"/>
      <c r="X251" s="260"/>
      <c r="Y251" s="260"/>
      <c r="Z251" s="260"/>
      <c r="AA251" s="264"/>
      <c r="AB251" s="260"/>
      <c r="AC251" s="260"/>
      <c r="AD251" s="260"/>
      <c r="AE251" s="260"/>
      <c r="AF251" s="260"/>
      <c r="AG251" s="260"/>
      <c r="AH251" s="260"/>
    </row>
    <row r="252">
      <c r="A252" s="259"/>
      <c r="B252" s="260"/>
      <c r="C252" s="260"/>
      <c r="D252" s="260"/>
      <c r="E252" s="260"/>
      <c r="F252" s="260"/>
      <c r="G252" s="260"/>
      <c r="H252" s="260"/>
      <c r="I252" s="260"/>
      <c r="J252" s="261"/>
      <c r="K252" s="260"/>
      <c r="L252" s="260"/>
      <c r="M252" s="260"/>
      <c r="N252" s="260"/>
      <c r="O252" s="260"/>
      <c r="P252" s="260"/>
      <c r="Q252" s="260"/>
      <c r="R252" s="260"/>
      <c r="S252" s="260"/>
      <c r="T252" s="279"/>
      <c r="U252" s="260"/>
      <c r="V252" s="260"/>
      <c r="W252" s="260"/>
      <c r="X252" s="260"/>
      <c r="Y252" s="260"/>
      <c r="Z252" s="260"/>
      <c r="AA252" s="264"/>
      <c r="AB252" s="260"/>
      <c r="AC252" s="260"/>
      <c r="AD252" s="260"/>
      <c r="AE252" s="260"/>
      <c r="AF252" s="260"/>
      <c r="AG252" s="260"/>
      <c r="AH252" s="260"/>
    </row>
    <row r="253">
      <c r="A253" s="259"/>
      <c r="B253" s="260"/>
      <c r="C253" s="260"/>
      <c r="D253" s="260"/>
      <c r="E253" s="260"/>
      <c r="F253" s="260"/>
      <c r="G253" s="260"/>
      <c r="H253" s="260"/>
      <c r="I253" s="260"/>
      <c r="J253" s="261"/>
      <c r="K253" s="260"/>
      <c r="L253" s="260"/>
      <c r="M253" s="260"/>
      <c r="N253" s="260"/>
      <c r="O253" s="260"/>
      <c r="P253" s="260"/>
      <c r="Q253" s="260"/>
      <c r="R253" s="260"/>
      <c r="S253" s="260"/>
      <c r="T253" s="279"/>
      <c r="U253" s="260"/>
      <c r="V253" s="260"/>
      <c r="W253" s="260"/>
      <c r="X253" s="260"/>
      <c r="Y253" s="260"/>
      <c r="Z253" s="260"/>
      <c r="AA253" s="264"/>
      <c r="AB253" s="260"/>
      <c r="AC253" s="260"/>
      <c r="AD253" s="260"/>
      <c r="AE253" s="260"/>
      <c r="AF253" s="260"/>
      <c r="AG253" s="260"/>
      <c r="AH253" s="260"/>
    </row>
    <row r="254">
      <c r="A254" s="259"/>
      <c r="B254" s="260"/>
      <c r="C254" s="260"/>
      <c r="D254" s="260"/>
      <c r="E254" s="260"/>
      <c r="F254" s="260"/>
      <c r="G254" s="260"/>
      <c r="H254" s="260"/>
      <c r="I254" s="260"/>
      <c r="J254" s="261"/>
      <c r="K254" s="260"/>
      <c r="L254" s="260"/>
      <c r="M254" s="260"/>
      <c r="N254" s="260"/>
      <c r="O254" s="260"/>
      <c r="P254" s="260"/>
      <c r="Q254" s="260"/>
      <c r="R254" s="260"/>
      <c r="S254" s="260"/>
      <c r="T254" s="279"/>
      <c r="U254" s="260"/>
      <c r="V254" s="260"/>
      <c r="W254" s="260"/>
      <c r="X254" s="260"/>
      <c r="Y254" s="260"/>
      <c r="Z254" s="260"/>
      <c r="AA254" s="264"/>
      <c r="AB254" s="260"/>
      <c r="AC254" s="260"/>
      <c r="AD254" s="260"/>
      <c r="AE254" s="260"/>
      <c r="AF254" s="260"/>
      <c r="AG254" s="260"/>
      <c r="AH254" s="260"/>
    </row>
    <row r="255">
      <c r="A255" s="259"/>
      <c r="B255" s="260"/>
      <c r="C255" s="260"/>
      <c r="D255" s="260"/>
      <c r="E255" s="260"/>
      <c r="F255" s="260"/>
      <c r="G255" s="260"/>
      <c r="H255" s="260"/>
      <c r="I255" s="260"/>
      <c r="J255" s="261"/>
      <c r="K255" s="260"/>
      <c r="L255" s="260"/>
      <c r="M255" s="260"/>
      <c r="N255" s="260"/>
      <c r="O255" s="260"/>
      <c r="P255" s="260"/>
      <c r="Q255" s="260"/>
      <c r="R255" s="260"/>
      <c r="S255" s="260"/>
      <c r="T255" s="279"/>
      <c r="U255" s="260"/>
      <c r="V255" s="260"/>
      <c r="W255" s="260"/>
      <c r="X255" s="260"/>
      <c r="Y255" s="260"/>
      <c r="Z255" s="260"/>
      <c r="AA255" s="264"/>
      <c r="AB255" s="260"/>
      <c r="AC255" s="260"/>
      <c r="AD255" s="260"/>
      <c r="AE255" s="260"/>
      <c r="AF255" s="260"/>
      <c r="AG255" s="260"/>
      <c r="AH255" s="260"/>
    </row>
    <row r="256">
      <c r="A256" s="259"/>
      <c r="B256" s="260"/>
      <c r="C256" s="260"/>
      <c r="D256" s="260"/>
      <c r="E256" s="260"/>
      <c r="F256" s="260"/>
      <c r="G256" s="260"/>
      <c r="H256" s="260"/>
      <c r="I256" s="260"/>
      <c r="J256" s="261"/>
      <c r="K256" s="260"/>
      <c r="L256" s="260"/>
      <c r="M256" s="260"/>
      <c r="N256" s="260"/>
      <c r="O256" s="260"/>
      <c r="P256" s="260"/>
      <c r="Q256" s="260"/>
      <c r="R256" s="260"/>
      <c r="S256" s="260"/>
      <c r="T256" s="279"/>
      <c r="U256" s="260"/>
      <c r="V256" s="260"/>
      <c r="W256" s="260"/>
      <c r="X256" s="260"/>
      <c r="Y256" s="260"/>
      <c r="Z256" s="260"/>
      <c r="AA256" s="264"/>
      <c r="AB256" s="260"/>
      <c r="AC256" s="260"/>
      <c r="AD256" s="260"/>
      <c r="AE256" s="260"/>
      <c r="AF256" s="260"/>
      <c r="AG256" s="260"/>
      <c r="AH256" s="260"/>
    </row>
    <row r="257">
      <c r="A257" s="259"/>
      <c r="B257" s="260"/>
      <c r="C257" s="260"/>
      <c r="D257" s="260"/>
      <c r="E257" s="260"/>
      <c r="F257" s="260"/>
      <c r="G257" s="260"/>
      <c r="H257" s="260"/>
      <c r="I257" s="260"/>
      <c r="J257" s="261"/>
      <c r="K257" s="260"/>
      <c r="L257" s="260"/>
      <c r="M257" s="260"/>
      <c r="N257" s="260"/>
      <c r="O257" s="260"/>
      <c r="P257" s="260"/>
      <c r="Q257" s="260"/>
      <c r="R257" s="260"/>
      <c r="S257" s="260"/>
      <c r="T257" s="279"/>
      <c r="U257" s="260"/>
      <c r="V257" s="260"/>
      <c r="W257" s="260"/>
      <c r="X257" s="260"/>
      <c r="Y257" s="260"/>
      <c r="Z257" s="260"/>
      <c r="AA257" s="264"/>
      <c r="AB257" s="260"/>
      <c r="AC257" s="260"/>
      <c r="AD257" s="260"/>
      <c r="AE257" s="260"/>
      <c r="AF257" s="260"/>
      <c r="AG257" s="260"/>
      <c r="AH257" s="260"/>
    </row>
    <row r="258">
      <c r="A258" s="259"/>
      <c r="B258" s="260"/>
      <c r="C258" s="260"/>
      <c r="D258" s="260"/>
      <c r="E258" s="260"/>
      <c r="F258" s="260"/>
      <c r="G258" s="260"/>
      <c r="H258" s="260"/>
      <c r="I258" s="260"/>
      <c r="J258" s="261"/>
      <c r="K258" s="260"/>
      <c r="L258" s="260"/>
      <c r="M258" s="260"/>
      <c r="N258" s="260"/>
      <c r="O258" s="260"/>
      <c r="P258" s="260"/>
      <c r="Q258" s="260"/>
      <c r="R258" s="260"/>
      <c r="S258" s="260"/>
      <c r="T258" s="279"/>
      <c r="U258" s="260"/>
      <c r="V258" s="260"/>
      <c r="W258" s="260"/>
      <c r="X258" s="260"/>
      <c r="Y258" s="260"/>
      <c r="Z258" s="260"/>
      <c r="AA258" s="264"/>
      <c r="AB258" s="260"/>
      <c r="AC258" s="260"/>
      <c r="AD258" s="260"/>
      <c r="AE258" s="260"/>
      <c r="AF258" s="260"/>
      <c r="AG258" s="260"/>
      <c r="AH258" s="260"/>
    </row>
    <row r="259">
      <c r="A259" s="259"/>
      <c r="B259" s="260"/>
      <c r="C259" s="260"/>
      <c r="D259" s="260"/>
      <c r="E259" s="260"/>
      <c r="F259" s="260"/>
      <c r="G259" s="260"/>
      <c r="H259" s="260"/>
      <c r="I259" s="260"/>
      <c r="J259" s="261"/>
      <c r="K259" s="260"/>
      <c r="L259" s="260"/>
      <c r="M259" s="260"/>
      <c r="N259" s="260"/>
      <c r="O259" s="260"/>
      <c r="P259" s="260"/>
      <c r="Q259" s="260"/>
      <c r="R259" s="260"/>
      <c r="S259" s="260"/>
      <c r="T259" s="279"/>
      <c r="U259" s="260"/>
      <c r="V259" s="260"/>
      <c r="W259" s="260"/>
      <c r="X259" s="260"/>
      <c r="Y259" s="260"/>
      <c r="Z259" s="260"/>
      <c r="AA259" s="264"/>
      <c r="AB259" s="260"/>
      <c r="AC259" s="260"/>
      <c r="AD259" s="260"/>
      <c r="AE259" s="260"/>
      <c r="AF259" s="260"/>
      <c r="AG259" s="260"/>
      <c r="AH259" s="260"/>
    </row>
    <row r="260">
      <c r="A260" s="259"/>
      <c r="B260" s="260"/>
      <c r="C260" s="260"/>
      <c r="D260" s="260"/>
      <c r="E260" s="260"/>
      <c r="F260" s="260"/>
      <c r="G260" s="260"/>
      <c r="H260" s="260"/>
      <c r="I260" s="260"/>
      <c r="J260" s="261"/>
      <c r="K260" s="260"/>
      <c r="L260" s="260"/>
      <c r="M260" s="260"/>
      <c r="N260" s="260"/>
      <c r="O260" s="260"/>
      <c r="P260" s="260"/>
      <c r="Q260" s="260"/>
      <c r="R260" s="260"/>
      <c r="S260" s="260"/>
      <c r="T260" s="279"/>
      <c r="U260" s="260"/>
      <c r="V260" s="260"/>
      <c r="W260" s="260"/>
      <c r="X260" s="260"/>
      <c r="Y260" s="260"/>
      <c r="Z260" s="260"/>
      <c r="AA260" s="264"/>
      <c r="AB260" s="260"/>
      <c r="AC260" s="260"/>
      <c r="AD260" s="260"/>
      <c r="AE260" s="260"/>
      <c r="AF260" s="260"/>
      <c r="AG260" s="260"/>
      <c r="AH260" s="260"/>
    </row>
    <row r="261">
      <c r="A261" s="259"/>
      <c r="B261" s="260"/>
      <c r="C261" s="260"/>
      <c r="D261" s="260"/>
      <c r="E261" s="260"/>
      <c r="F261" s="260"/>
      <c r="G261" s="260"/>
      <c r="H261" s="260"/>
      <c r="I261" s="260"/>
      <c r="J261" s="261"/>
      <c r="K261" s="260"/>
      <c r="L261" s="260"/>
      <c r="M261" s="260"/>
      <c r="N261" s="260"/>
      <c r="O261" s="260"/>
      <c r="P261" s="260"/>
      <c r="Q261" s="260"/>
      <c r="R261" s="260"/>
      <c r="S261" s="260"/>
      <c r="T261" s="279"/>
      <c r="U261" s="260"/>
      <c r="V261" s="260"/>
      <c r="W261" s="260"/>
      <c r="X261" s="260"/>
      <c r="Y261" s="260"/>
      <c r="Z261" s="260"/>
      <c r="AA261" s="264"/>
      <c r="AB261" s="260"/>
      <c r="AC261" s="260"/>
      <c r="AD261" s="260"/>
      <c r="AE261" s="260"/>
      <c r="AF261" s="260"/>
      <c r="AG261" s="260"/>
      <c r="AH261" s="260"/>
    </row>
    <row r="262">
      <c r="A262" s="259"/>
      <c r="B262" s="260"/>
      <c r="C262" s="260"/>
      <c r="D262" s="260"/>
      <c r="E262" s="260"/>
      <c r="F262" s="260"/>
      <c r="G262" s="260"/>
      <c r="H262" s="260"/>
      <c r="I262" s="260"/>
      <c r="J262" s="261"/>
      <c r="K262" s="260"/>
      <c r="L262" s="260"/>
      <c r="M262" s="260"/>
      <c r="N262" s="260"/>
      <c r="O262" s="260"/>
      <c r="P262" s="260"/>
      <c r="Q262" s="260"/>
      <c r="R262" s="260"/>
      <c r="S262" s="260"/>
      <c r="T262" s="279"/>
      <c r="U262" s="260"/>
      <c r="V262" s="260"/>
      <c r="W262" s="260"/>
      <c r="X262" s="260"/>
      <c r="Y262" s="260"/>
      <c r="Z262" s="260"/>
      <c r="AA262" s="264"/>
      <c r="AB262" s="260"/>
      <c r="AC262" s="260"/>
      <c r="AD262" s="260"/>
      <c r="AE262" s="260"/>
      <c r="AF262" s="260"/>
      <c r="AG262" s="260"/>
      <c r="AH262" s="260"/>
    </row>
    <row r="263">
      <c r="A263" s="259"/>
      <c r="B263" s="260"/>
      <c r="C263" s="260"/>
      <c r="D263" s="260"/>
      <c r="E263" s="260"/>
      <c r="F263" s="260"/>
      <c r="G263" s="260"/>
      <c r="H263" s="260"/>
      <c r="I263" s="260"/>
      <c r="J263" s="261"/>
      <c r="K263" s="260"/>
      <c r="L263" s="260"/>
      <c r="M263" s="260"/>
      <c r="N263" s="260"/>
      <c r="O263" s="260"/>
      <c r="P263" s="260"/>
      <c r="Q263" s="260"/>
      <c r="R263" s="260"/>
      <c r="S263" s="260"/>
      <c r="T263" s="279"/>
      <c r="U263" s="260"/>
      <c r="V263" s="260"/>
      <c r="W263" s="260"/>
      <c r="X263" s="260"/>
      <c r="Y263" s="260"/>
      <c r="Z263" s="260"/>
      <c r="AA263" s="264"/>
      <c r="AB263" s="260"/>
      <c r="AC263" s="260"/>
      <c r="AD263" s="260"/>
      <c r="AE263" s="260"/>
      <c r="AF263" s="260"/>
      <c r="AG263" s="260"/>
      <c r="AH263" s="260"/>
    </row>
    <row r="264">
      <c r="A264" s="259"/>
      <c r="B264" s="260"/>
      <c r="C264" s="260"/>
      <c r="D264" s="260"/>
      <c r="E264" s="260"/>
      <c r="F264" s="260"/>
      <c r="G264" s="260"/>
      <c r="H264" s="260"/>
      <c r="I264" s="260"/>
      <c r="J264" s="261"/>
      <c r="K264" s="260"/>
      <c r="L264" s="260"/>
      <c r="M264" s="260"/>
      <c r="N264" s="260"/>
      <c r="O264" s="260"/>
      <c r="P264" s="260"/>
      <c r="Q264" s="260"/>
      <c r="R264" s="260"/>
      <c r="S264" s="260"/>
      <c r="T264" s="279"/>
      <c r="U264" s="260"/>
      <c r="V264" s="260"/>
      <c r="W264" s="260"/>
      <c r="X264" s="260"/>
      <c r="Y264" s="260"/>
      <c r="Z264" s="260"/>
      <c r="AA264" s="264"/>
      <c r="AB264" s="260"/>
      <c r="AC264" s="260"/>
      <c r="AD264" s="260"/>
      <c r="AE264" s="260"/>
      <c r="AF264" s="260"/>
      <c r="AG264" s="260"/>
      <c r="AH264" s="260"/>
    </row>
    <row r="265">
      <c r="A265" s="259"/>
      <c r="B265" s="260"/>
      <c r="C265" s="260"/>
      <c r="D265" s="260"/>
      <c r="E265" s="260"/>
      <c r="F265" s="260"/>
      <c r="G265" s="260"/>
      <c r="H265" s="260"/>
      <c r="I265" s="260"/>
      <c r="J265" s="261"/>
      <c r="K265" s="260"/>
      <c r="L265" s="260"/>
      <c r="M265" s="260"/>
      <c r="N265" s="260"/>
      <c r="O265" s="260"/>
      <c r="P265" s="260"/>
      <c r="Q265" s="260"/>
      <c r="R265" s="260"/>
      <c r="S265" s="260"/>
      <c r="T265" s="279"/>
      <c r="U265" s="260"/>
      <c r="V265" s="260"/>
      <c r="W265" s="260"/>
      <c r="X265" s="260"/>
      <c r="Y265" s="260"/>
      <c r="Z265" s="260"/>
      <c r="AA265" s="264"/>
      <c r="AB265" s="260"/>
      <c r="AC265" s="260"/>
      <c r="AD265" s="260"/>
      <c r="AE265" s="260"/>
      <c r="AF265" s="260"/>
      <c r="AG265" s="260"/>
      <c r="AH265" s="260"/>
    </row>
    <row r="266">
      <c r="A266" s="259"/>
      <c r="B266" s="260"/>
      <c r="C266" s="260"/>
      <c r="D266" s="260"/>
      <c r="E266" s="260"/>
      <c r="F266" s="260"/>
      <c r="G266" s="260"/>
      <c r="H266" s="260"/>
      <c r="I266" s="260"/>
      <c r="J266" s="261"/>
      <c r="K266" s="260"/>
      <c r="L266" s="260"/>
      <c r="M266" s="260"/>
      <c r="N266" s="260"/>
      <c r="O266" s="260"/>
      <c r="P266" s="260"/>
      <c r="Q266" s="260"/>
      <c r="R266" s="260"/>
      <c r="S266" s="260"/>
      <c r="T266" s="279"/>
      <c r="U266" s="260"/>
      <c r="V266" s="260"/>
      <c r="W266" s="260"/>
      <c r="X266" s="260"/>
      <c r="Y266" s="260"/>
      <c r="Z266" s="260"/>
      <c r="AA266" s="264"/>
      <c r="AB266" s="260"/>
      <c r="AC266" s="260"/>
      <c r="AD266" s="260"/>
      <c r="AE266" s="260"/>
      <c r="AF266" s="260"/>
      <c r="AG266" s="260"/>
      <c r="AH266" s="260"/>
    </row>
    <row r="267">
      <c r="A267" s="259"/>
      <c r="B267" s="260"/>
      <c r="C267" s="260"/>
      <c r="D267" s="260"/>
      <c r="E267" s="260"/>
      <c r="F267" s="260"/>
      <c r="G267" s="260"/>
      <c r="H267" s="260"/>
      <c r="I267" s="260"/>
      <c r="J267" s="261"/>
      <c r="K267" s="260"/>
      <c r="L267" s="260"/>
      <c r="M267" s="260"/>
      <c r="N267" s="260"/>
      <c r="O267" s="260"/>
      <c r="P267" s="260"/>
      <c r="Q267" s="260"/>
      <c r="R267" s="260"/>
      <c r="S267" s="260"/>
      <c r="T267" s="279"/>
      <c r="U267" s="260"/>
      <c r="V267" s="260"/>
      <c r="W267" s="260"/>
      <c r="X267" s="260"/>
      <c r="Y267" s="260"/>
      <c r="Z267" s="260"/>
      <c r="AA267" s="264"/>
      <c r="AB267" s="260"/>
      <c r="AC267" s="260"/>
      <c r="AD267" s="260"/>
      <c r="AE267" s="260"/>
      <c r="AF267" s="260"/>
      <c r="AG267" s="260"/>
      <c r="AH267" s="260"/>
    </row>
    <row r="268">
      <c r="A268" s="259"/>
      <c r="B268" s="260"/>
      <c r="C268" s="260"/>
      <c r="D268" s="260"/>
      <c r="E268" s="260"/>
      <c r="F268" s="260"/>
      <c r="G268" s="260"/>
      <c r="H268" s="260"/>
      <c r="I268" s="260"/>
      <c r="J268" s="261"/>
      <c r="K268" s="260"/>
      <c r="L268" s="260"/>
      <c r="M268" s="260"/>
      <c r="N268" s="260"/>
      <c r="O268" s="260"/>
      <c r="P268" s="260"/>
      <c r="Q268" s="260"/>
      <c r="R268" s="260"/>
      <c r="S268" s="260"/>
      <c r="T268" s="279"/>
      <c r="U268" s="260"/>
      <c r="V268" s="260"/>
      <c r="W268" s="260"/>
      <c r="X268" s="260"/>
      <c r="Y268" s="260"/>
      <c r="Z268" s="260"/>
      <c r="AA268" s="264"/>
      <c r="AB268" s="260"/>
      <c r="AC268" s="260"/>
      <c r="AD268" s="260"/>
      <c r="AE268" s="260"/>
      <c r="AF268" s="260"/>
      <c r="AG268" s="260"/>
      <c r="AH268" s="260"/>
    </row>
    <row r="269">
      <c r="A269" s="259"/>
      <c r="B269" s="260"/>
      <c r="C269" s="260"/>
      <c r="D269" s="260"/>
      <c r="E269" s="260"/>
      <c r="F269" s="260"/>
      <c r="G269" s="260"/>
      <c r="H269" s="260"/>
      <c r="I269" s="260"/>
      <c r="J269" s="261"/>
      <c r="K269" s="260"/>
      <c r="L269" s="260"/>
      <c r="M269" s="260"/>
      <c r="N269" s="260"/>
      <c r="O269" s="260"/>
      <c r="P269" s="260"/>
      <c r="Q269" s="260"/>
      <c r="R269" s="260"/>
      <c r="S269" s="260"/>
      <c r="T269" s="279"/>
      <c r="U269" s="260"/>
      <c r="V269" s="260"/>
      <c r="W269" s="260"/>
      <c r="X269" s="260"/>
      <c r="Y269" s="260"/>
      <c r="Z269" s="260"/>
      <c r="AA269" s="264"/>
      <c r="AB269" s="260"/>
      <c r="AC269" s="260"/>
      <c r="AD269" s="260"/>
      <c r="AE269" s="260"/>
      <c r="AF269" s="260"/>
      <c r="AG269" s="260"/>
      <c r="AH269" s="260"/>
    </row>
    <row r="270">
      <c r="A270" s="259"/>
      <c r="B270" s="260"/>
      <c r="C270" s="260"/>
      <c r="D270" s="260"/>
      <c r="E270" s="260"/>
      <c r="F270" s="260"/>
      <c r="G270" s="260"/>
      <c r="H270" s="260"/>
      <c r="I270" s="260"/>
      <c r="J270" s="261"/>
      <c r="K270" s="260"/>
      <c r="L270" s="260"/>
      <c r="M270" s="260"/>
      <c r="N270" s="260"/>
      <c r="O270" s="260"/>
      <c r="P270" s="260"/>
      <c r="Q270" s="260"/>
      <c r="R270" s="260"/>
      <c r="S270" s="260"/>
      <c r="T270" s="279"/>
      <c r="U270" s="260"/>
      <c r="V270" s="260"/>
      <c r="W270" s="260"/>
      <c r="X270" s="260"/>
      <c r="Y270" s="260"/>
      <c r="Z270" s="260"/>
      <c r="AA270" s="264"/>
      <c r="AB270" s="260"/>
      <c r="AC270" s="260"/>
      <c r="AD270" s="260"/>
      <c r="AE270" s="260"/>
      <c r="AF270" s="260"/>
      <c r="AG270" s="260"/>
      <c r="AH270" s="260"/>
    </row>
    <row r="271">
      <c r="A271" s="259"/>
      <c r="B271" s="260"/>
      <c r="C271" s="260"/>
      <c r="D271" s="260"/>
      <c r="E271" s="260"/>
      <c r="F271" s="260"/>
      <c r="G271" s="260"/>
      <c r="H271" s="260"/>
      <c r="I271" s="260"/>
      <c r="J271" s="261"/>
      <c r="K271" s="260"/>
      <c r="L271" s="260"/>
      <c r="M271" s="260"/>
      <c r="N271" s="260"/>
      <c r="O271" s="260"/>
      <c r="P271" s="260"/>
      <c r="Q271" s="260"/>
      <c r="R271" s="260"/>
      <c r="S271" s="260"/>
      <c r="T271" s="279"/>
      <c r="U271" s="260"/>
      <c r="V271" s="260"/>
      <c r="W271" s="260"/>
      <c r="X271" s="260"/>
      <c r="Y271" s="260"/>
      <c r="Z271" s="260"/>
      <c r="AA271" s="264"/>
      <c r="AB271" s="260"/>
      <c r="AC271" s="260"/>
      <c r="AD271" s="260"/>
      <c r="AE271" s="260"/>
      <c r="AF271" s="260"/>
      <c r="AG271" s="260"/>
      <c r="AH271" s="260"/>
    </row>
    <row r="272">
      <c r="A272" s="259"/>
      <c r="B272" s="260"/>
      <c r="C272" s="260"/>
      <c r="D272" s="260"/>
      <c r="E272" s="260"/>
      <c r="F272" s="260"/>
      <c r="G272" s="260"/>
      <c r="H272" s="260"/>
      <c r="I272" s="260"/>
      <c r="J272" s="261"/>
      <c r="K272" s="260"/>
      <c r="L272" s="260"/>
      <c r="M272" s="260"/>
      <c r="N272" s="260"/>
      <c r="O272" s="260"/>
      <c r="P272" s="260"/>
      <c r="Q272" s="260"/>
      <c r="R272" s="260"/>
      <c r="S272" s="260"/>
      <c r="T272" s="279"/>
      <c r="U272" s="260"/>
      <c r="V272" s="260"/>
      <c r="W272" s="260"/>
      <c r="X272" s="260"/>
      <c r="Y272" s="260"/>
      <c r="Z272" s="260"/>
      <c r="AA272" s="264"/>
      <c r="AB272" s="260"/>
      <c r="AC272" s="260"/>
      <c r="AD272" s="260"/>
      <c r="AE272" s="260"/>
      <c r="AF272" s="260"/>
      <c r="AG272" s="260"/>
      <c r="AH272" s="260"/>
    </row>
    <row r="273">
      <c r="A273" s="259"/>
      <c r="B273" s="260"/>
      <c r="C273" s="260"/>
      <c r="D273" s="260"/>
      <c r="E273" s="260"/>
      <c r="F273" s="260"/>
      <c r="G273" s="260"/>
      <c r="H273" s="260"/>
      <c r="I273" s="260"/>
      <c r="J273" s="261"/>
      <c r="K273" s="260"/>
      <c r="L273" s="260"/>
      <c r="M273" s="260"/>
      <c r="N273" s="260"/>
      <c r="O273" s="260"/>
      <c r="P273" s="260"/>
      <c r="Q273" s="260"/>
      <c r="R273" s="260"/>
      <c r="S273" s="260"/>
      <c r="T273" s="279"/>
      <c r="U273" s="260"/>
      <c r="V273" s="260"/>
      <c r="W273" s="260"/>
      <c r="X273" s="260"/>
      <c r="Y273" s="260"/>
      <c r="Z273" s="260"/>
      <c r="AA273" s="264"/>
      <c r="AB273" s="260"/>
      <c r="AC273" s="260"/>
      <c r="AD273" s="260"/>
      <c r="AE273" s="260"/>
      <c r="AF273" s="260"/>
      <c r="AG273" s="260"/>
      <c r="AH273" s="260"/>
    </row>
    <row r="274">
      <c r="A274" s="259"/>
      <c r="B274" s="260"/>
      <c r="C274" s="260"/>
      <c r="D274" s="260"/>
      <c r="E274" s="260"/>
      <c r="F274" s="260"/>
      <c r="G274" s="260"/>
      <c r="H274" s="260"/>
      <c r="I274" s="260"/>
      <c r="J274" s="261"/>
      <c r="K274" s="260"/>
      <c r="L274" s="260"/>
      <c r="M274" s="260"/>
      <c r="N274" s="260"/>
      <c r="O274" s="260"/>
      <c r="P274" s="260"/>
      <c r="Q274" s="260"/>
      <c r="R274" s="260"/>
      <c r="S274" s="260"/>
      <c r="T274" s="279"/>
      <c r="U274" s="260"/>
      <c r="V274" s="260"/>
      <c r="W274" s="260"/>
      <c r="X274" s="260"/>
      <c r="Y274" s="260"/>
      <c r="Z274" s="260"/>
      <c r="AA274" s="264"/>
      <c r="AB274" s="260"/>
      <c r="AC274" s="260"/>
      <c r="AD274" s="260"/>
      <c r="AE274" s="260"/>
      <c r="AF274" s="260"/>
      <c r="AG274" s="260"/>
      <c r="AH274" s="260"/>
    </row>
    <row r="275">
      <c r="A275" s="259"/>
      <c r="B275" s="260"/>
      <c r="C275" s="260"/>
      <c r="D275" s="260"/>
      <c r="E275" s="260"/>
      <c r="F275" s="260"/>
      <c r="G275" s="260"/>
      <c r="H275" s="260"/>
      <c r="I275" s="260"/>
      <c r="J275" s="261"/>
      <c r="K275" s="260"/>
      <c r="L275" s="260"/>
      <c r="M275" s="260"/>
      <c r="N275" s="260"/>
      <c r="O275" s="260"/>
      <c r="P275" s="260"/>
      <c r="Q275" s="260"/>
      <c r="R275" s="260"/>
      <c r="S275" s="260"/>
      <c r="T275" s="279"/>
      <c r="U275" s="260"/>
      <c r="V275" s="260"/>
      <c r="W275" s="260"/>
      <c r="X275" s="260"/>
      <c r="Y275" s="260"/>
      <c r="Z275" s="260"/>
      <c r="AA275" s="264"/>
      <c r="AB275" s="260"/>
      <c r="AC275" s="260"/>
      <c r="AD275" s="260"/>
      <c r="AE275" s="260"/>
      <c r="AF275" s="260"/>
      <c r="AG275" s="260"/>
      <c r="AH275" s="260"/>
    </row>
    <row r="276">
      <c r="A276" s="259"/>
      <c r="B276" s="260"/>
      <c r="C276" s="260"/>
      <c r="D276" s="260"/>
      <c r="E276" s="260"/>
      <c r="F276" s="260"/>
      <c r="G276" s="260"/>
      <c r="H276" s="260"/>
      <c r="I276" s="260"/>
      <c r="J276" s="261"/>
      <c r="K276" s="260"/>
      <c r="L276" s="260"/>
      <c r="M276" s="260"/>
      <c r="N276" s="260"/>
      <c r="O276" s="260"/>
      <c r="P276" s="260"/>
      <c r="Q276" s="260"/>
      <c r="R276" s="260"/>
      <c r="S276" s="260"/>
      <c r="T276" s="279"/>
      <c r="U276" s="260"/>
      <c r="V276" s="260"/>
      <c r="W276" s="260"/>
      <c r="X276" s="260"/>
      <c r="Y276" s="260"/>
      <c r="Z276" s="260"/>
      <c r="AA276" s="264"/>
      <c r="AB276" s="260"/>
      <c r="AC276" s="260"/>
      <c r="AD276" s="260"/>
      <c r="AE276" s="260"/>
      <c r="AF276" s="260"/>
      <c r="AG276" s="260"/>
      <c r="AH276" s="260"/>
    </row>
    <row r="277">
      <c r="A277" s="259"/>
      <c r="B277" s="260"/>
      <c r="C277" s="260"/>
      <c r="D277" s="260"/>
      <c r="E277" s="260"/>
      <c r="F277" s="260"/>
      <c r="G277" s="260"/>
      <c r="H277" s="260"/>
      <c r="I277" s="260"/>
      <c r="J277" s="261"/>
      <c r="K277" s="260"/>
      <c r="L277" s="260"/>
      <c r="M277" s="260"/>
      <c r="N277" s="260"/>
      <c r="O277" s="260"/>
      <c r="P277" s="260"/>
      <c r="Q277" s="260"/>
      <c r="R277" s="260"/>
      <c r="S277" s="260"/>
      <c r="T277" s="279"/>
      <c r="U277" s="260"/>
      <c r="V277" s="260"/>
      <c r="W277" s="260"/>
      <c r="X277" s="260"/>
      <c r="Y277" s="260"/>
      <c r="Z277" s="260"/>
      <c r="AA277" s="264"/>
      <c r="AB277" s="260"/>
      <c r="AC277" s="260"/>
      <c r="AD277" s="260"/>
      <c r="AE277" s="260"/>
      <c r="AF277" s="260"/>
      <c r="AG277" s="260"/>
      <c r="AH277" s="260"/>
    </row>
    <row r="278">
      <c r="A278" s="259"/>
      <c r="B278" s="260"/>
      <c r="C278" s="260"/>
      <c r="D278" s="260"/>
      <c r="E278" s="260"/>
      <c r="F278" s="260"/>
      <c r="G278" s="260"/>
      <c r="H278" s="260"/>
      <c r="I278" s="260"/>
      <c r="J278" s="261"/>
      <c r="K278" s="260"/>
      <c r="L278" s="260"/>
      <c r="M278" s="260"/>
      <c r="N278" s="260"/>
      <c r="O278" s="260"/>
      <c r="P278" s="260"/>
      <c r="Q278" s="260"/>
      <c r="R278" s="260"/>
      <c r="S278" s="260"/>
      <c r="T278" s="279"/>
      <c r="U278" s="260"/>
      <c r="V278" s="260"/>
      <c r="W278" s="260"/>
      <c r="X278" s="260"/>
      <c r="Y278" s="260"/>
      <c r="Z278" s="260"/>
      <c r="AA278" s="264"/>
      <c r="AB278" s="260"/>
      <c r="AC278" s="260"/>
      <c r="AD278" s="260"/>
      <c r="AE278" s="260"/>
      <c r="AF278" s="260"/>
      <c r="AG278" s="260"/>
      <c r="AH278" s="260"/>
    </row>
    <row r="279">
      <c r="A279" s="259"/>
      <c r="B279" s="260"/>
      <c r="C279" s="260"/>
      <c r="D279" s="260"/>
      <c r="E279" s="260"/>
      <c r="F279" s="260"/>
      <c r="G279" s="260"/>
      <c r="H279" s="260"/>
      <c r="I279" s="260"/>
      <c r="J279" s="261"/>
      <c r="K279" s="260"/>
      <c r="L279" s="260"/>
      <c r="M279" s="260"/>
      <c r="N279" s="260"/>
      <c r="O279" s="260"/>
      <c r="P279" s="260"/>
      <c r="Q279" s="260"/>
      <c r="R279" s="260"/>
      <c r="S279" s="260"/>
      <c r="T279" s="279"/>
      <c r="U279" s="260"/>
      <c r="V279" s="260"/>
      <c r="W279" s="260"/>
      <c r="X279" s="260"/>
      <c r="Y279" s="260"/>
      <c r="Z279" s="260"/>
      <c r="AA279" s="264"/>
      <c r="AB279" s="260"/>
      <c r="AC279" s="260"/>
      <c r="AD279" s="260"/>
      <c r="AE279" s="260"/>
      <c r="AF279" s="260"/>
      <c r="AG279" s="260"/>
      <c r="AH279" s="260"/>
    </row>
    <row r="280">
      <c r="A280" s="259"/>
      <c r="B280" s="260"/>
      <c r="C280" s="260"/>
      <c r="D280" s="260"/>
      <c r="E280" s="260"/>
      <c r="F280" s="260"/>
      <c r="G280" s="260"/>
      <c r="H280" s="260"/>
      <c r="I280" s="260"/>
      <c r="J280" s="261"/>
      <c r="K280" s="260"/>
      <c r="L280" s="260"/>
      <c r="M280" s="260"/>
      <c r="N280" s="260"/>
      <c r="O280" s="260"/>
      <c r="P280" s="260"/>
      <c r="Q280" s="260"/>
      <c r="R280" s="260"/>
      <c r="S280" s="260"/>
      <c r="T280" s="279"/>
      <c r="U280" s="260"/>
      <c r="V280" s="260"/>
      <c r="W280" s="260"/>
      <c r="X280" s="260"/>
      <c r="Y280" s="260"/>
      <c r="Z280" s="260"/>
      <c r="AA280" s="264"/>
      <c r="AB280" s="260"/>
      <c r="AC280" s="260"/>
      <c r="AD280" s="260"/>
      <c r="AE280" s="260"/>
      <c r="AF280" s="260"/>
      <c r="AG280" s="260"/>
      <c r="AH280" s="260"/>
    </row>
    <row r="281">
      <c r="A281" s="259"/>
      <c r="B281" s="260"/>
      <c r="C281" s="260"/>
      <c r="D281" s="260"/>
      <c r="E281" s="260"/>
      <c r="F281" s="260"/>
      <c r="G281" s="260"/>
      <c r="H281" s="260"/>
      <c r="I281" s="260"/>
      <c r="J281" s="261"/>
      <c r="K281" s="260"/>
      <c r="L281" s="260"/>
      <c r="M281" s="260"/>
      <c r="N281" s="260"/>
      <c r="O281" s="260"/>
      <c r="P281" s="260"/>
      <c r="Q281" s="260"/>
      <c r="R281" s="260"/>
      <c r="S281" s="260"/>
      <c r="T281" s="279"/>
      <c r="U281" s="260"/>
      <c r="V281" s="260"/>
      <c r="W281" s="260"/>
      <c r="X281" s="260"/>
      <c r="Y281" s="260"/>
      <c r="Z281" s="260"/>
      <c r="AA281" s="264"/>
      <c r="AB281" s="260"/>
      <c r="AC281" s="260"/>
      <c r="AD281" s="260"/>
      <c r="AE281" s="260"/>
      <c r="AF281" s="260"/>
      <c r="AG281" s="260"/>
      <c r="AH281" s="260"/>
    </row>
    <row r="282">
      <c r="A282" s="259"/>
      <c r="B282" s="260"/>
      <c r="C282" s="260"/>
      <c r="D282" s="260"/>
      <c r="E282" s="260"/>
      <c r="F282" s="260"/>
      <c r="G282" s="260"/>
      <c r="H282" s="260"/>
      <c r="I282" s="260"/>
      <c r="J282" s="261"/>
      <c r="K282" s="260"/>
      <c r="L282" s="260"/>
      <c r="M282" s="260"/>
      <c r="N282" s="260"/>
      <c r="O282" s="260"/>
      <c r="P282" s="260"/>
      <c r="Q282" s="260"/>
      <c r="R282" s="260"/>
      <c r="S282" s="260"/>
      <c r="T282" s="279"/>
      <c r="U282" s="260"/>
      <c r="V282" s="260"/>
      <c r="W282" s="260"/>
      <c r="X282" s="260"/>
      <c r="Y282" s="260"/>
      <c r="Z282" s="260"/>
      <c r="AA282" s="264"/>
      <c r="AB282" s="260"/>
      <c r="AC282" s="260"/>
      <c r="AD282" s="260"/>
      <c r="AE282" s="260"/>
      <c r="AF282" s="260"/>
      <c r="AG282" s="260"/>
      <c r="AH282" s="260"/>
    </row>
    <row r="283">
      <c r="A283" s="259"/>
      <c r="B283" s="260"/>
      <c r="C283" s="260"/>
      <c r="D283" s="260"/>
      <c r="E283" s="260"/>
      <c r="F283" s="260"/>
      <c r="G283" s="260"/>
      <c r="H283" s="260"/>
      <c r="I283" s="260"/>
      <c r="J283" s="261"/>
      <c r="K283" s="260"/>
      <c r="L283" s="260"/>
      <c r="M283" s="260"/>
      <c r="N283" s="260"/>
      <c r="O283" s="260"/>
      <c r="P283" s="260"/>
      <c r="Q283" s="260"/>
      <c r="R283" s="260"/>
      <c r="S283" s="260"/>
      <c r="T283" s="279"/>
      <c r="U283" s="260"/>
      <c r="V283" s="260"/>
      <c r="W283" s="260"/>
      <c r="X283" s="260"/>
      <c r="Y283" s="260"/>
      <c r="Z283" s="260"/>
      <c r="AA283" s="264"/>
      <c r="AB283" s="260"/>
      <c r="AC283" s="260"/>
      <c r="AD283" s="260"/>
      <c r="AE283" s="260"/>
      <c r="AF283" s="260"/>
      <c r="AG283" s="260"/>
      <c r="AH283" s="260"/>
    </row>
    <row r="284">
      <c r="A284" s="259"/>
      <c r="B284" s="260"/>
      <c r="C284" s="260"/>
      <c r="D284" s="260"/>
      <c r="E284" s="260"/>
      <c r="F284" s="260"/>
      <c r="G284" s="260"/>
      <c r="H284" s="260"/>
      <c r="I284" s="260"/>
      <c r="J284" s="261"/>
      <c r="K284" s="260"/>
      <c r="L284" s="260"/>
      <c r="M284" s="260"/>
      <c r="N284" s="260"/>
      <c r="O284" s="260"/>
      <c r="P284" s="260"/>
      <c r="Q284" s="260"/>
      <c r="R284" s="260"/>
      <c r="S284" s="260"/>
      <c r="T284" s="279"/>
      <c r="U284" s="260"/>
      <c r="V284" s="260"/>
      <c r="W284" s="260"/>
      <c r="X284" s="260"/>
      <c r="Y284" s="260"/>
      <c r="Z284" s="260"/>
      <c r="AA284" s="264"/>
      <c r="AB284" s="260"/>
      <c r="AC284" s="260"/>
      <c r="AD284" s="260"/>
      <c r="AE284" s="260"/>
      <c r="AF284" s="260"/>
      <c r="AG284" s="260"/>
      <c r="AH284" s="260"/>
    </row>
    <row r="285">
      <c r="A285" s="259"/>
      <c r="B285" s="260"/>
      <c r="C285" s="260"/>
      <c r="D285" s="260"/>
      <c r="E285" s="260"/>
      <c r="F285" s="260"/>
      <c r="G285" s="260"/>
      <c r="H285" s="260"/>
      <c r="I285" s="260"/>
      <c r="J285" s="261"/>
      <c r="K285" s="260"/>
      <c r="L285" s="260"/>
      <c r="M285" s="260"/>
      <c r="N285" s="260"/>
      <c r="O285" s="260"/>
      <c r="P285" s="260"/>
      <c r="Q285" s="260"/>
      <c r="R285" s="260"/>
      <c r="S285" s="260"/>
      <c r="T285" s="279"/>
      <c r="U285" s="260"/>
      <c r="V285" s="260"/>
      <c r="W285" s="260"/>
      <c r="X285" s="260"/>
      <c r="Y285" s="260"/>
      <c r="Z285" s="260"/>
      <c r="AA285" s="264"/>
      <c r="AB285" s="260"/>
      <c r="AC285" s="260"/>
      <c r="AD285" s="260"/>
      <c r="AE285" s="260"/>
      <c r="AF285" s="260"/>
      <c r="AG285" s="260"/>
      <c r="AH285" s="260"/>
    </row>
    <row r="286">
      <c r="A286" s="259"/>
      <c r="B286" s="260"/>
      <c r="C286" s="260"/>
      <c r="D286" s="260"/>
      <c r="E286" s="260"/>
      <c r="F286" s="260"/>
      <c r="G286" s="260"/>
      <c r="H286" s="260"/>
      <c r="I286" s="260"/>
      <c r="J286" s="261"/>
      <c r="K286" s="260"/>
      <c r="L286" s="260"/>
      <c r="M286" s="260"/>
      <c r="N286" s="260"/>
      <c r="O286" s="260"/>
      <c r="P286" s="260"/>
      <c r="Q286" s="260"/>
      <c r="R286" s="260"/>
      <c r="S286" s="260"/>
      <c r="T286" s="279"/>
      <c r="U286" s="260"/>
      <c r="V286" s="260"/>
      <c r="W286" s="260"/>
      <c r="X286" s="260"/>
      <c r="Y286" s="260"/>
      <c r="Z286" s="260"/>
      <c r="AA286" s="264"/>
      <c r="AB286" s="260"/>
      <c r="AC286" s="260"/>
      <c r="AD286" s="260"/>
      <c r="AE286" s="260"/>
      <c r="AF286" s="260"/>
      <c r="AG286" s="260"/>
      <c r="AH286" s="260"/>
    </row>
    <row r="287">
      <c r="A287" s="259"/>
      <c r="B287" s="260"/>
      <c r="C287" s="260"/>
      <c r="D287" s="260"/>
      <c r="E287" s="260"/>
      <c r="F287" s="260"/>
      <c r="G287" s="260"/>
      <c r="H287" s="260"/>
      <c r="I287" s="260"/>
      <c r="J287" s="261"/>
      <c r="K287" s="260"/>
      <c r="L287" s="260"/>
      <c r="M287" s="260"/>
      <c r="N287" s="260"/>
      <c r="O287" s="260"/>
      <c r="P287" s="260"/>
      <c r="Q287" s="260"/>
      <c r="R287" s="260"/>
      <c r="S287" s="260"/>
      <c r="T287" s="279"/>
      <c r="U287" s="260"/>
      <c r="V287" s="260"/>
      <c r="W287" s="260"/>
      <c r="X287" s="260"/>
      <c r="Y287" s="260"/>
      <c r="Z287" s="260"/>
      <c r="AA287" s="264"/>
      <c r="AB287" s="260"/>
      <c r="AC287" s="260"/>
      <c r="AD287" s="260"/>
      <c r="AE287" s="260"/>
      <c r="AF287" s="260"/>
      <c r="AG287" s="260"/>
      <c r="AH287" s="260"/>
    </row>
    <row r="288">
      <c r="A288" s="259"/>
      <c r="B288" s="260"/>
      <c r="C288" s="260"/>
      <c r="D288" s="260"/>
      <c r="E288" s="260"/>
      <c r="F288" s="260"/>
      <c r="G288" s="260"/>
      <c r="H288" s="260"/>
      <c r="I288" s="260"/>
      <c r="J288" s="261"/>
      <c r="K288" s="260"/>
      <c r="L288" s="260"/>
      <c r="M288" s="260"/>
      <c r="N288" s="260"/>
      <c r="O288" s="260"/>
      <c r="P288" s="260"/>
      <c r="Q288" s="260"/>
      <c r="R288" s="260"/>
      <c r="S288" s="260"/>
      <c r="T288" s="279"/>
      <c r="U288" s="260"/>
      <c r="V288" s="260"/>
      <c r="W288" s="260"/>
      <c r="X288" s="260"/>
      <c r="Y288" s="260"/>
      <c r="Z288" s="260"/>
      <c r="AA288" s="264"/>
      <c r="AB288" s="260"/>
      <c r="AC288" s="260"/>
      <c r="AD288" s="260"/>
      <c r="AE288" s="260"/>
      <c r="AF288" s="260"/>
      <c r="AG288" s="260"/>
      <c r="AH288" s="260"/>
    </row>
    <row r="289">
      <c r="A289" s="259"/>
      <c r="B289" s="260"/>
      <c r="C289" s="260"/>
      <c r="D289" s="260"/>
      <c r="E289" s="260"/>
      <c r="F289" s="260"/>
      <c r="G289" s="260"/>
      <c r="H289" s="260"/>
      <c r="I289" s="260"/>
      <c r="J289" s="261"/>
      <c r="K289" s="260"/>
      <c r="L289" s="260"/>
      <c r="M289" s="260"/>
      <c r="N289" s="260"/>
      <c r="O289" s="260"/>
      <c r="P289" s="260"/>
      <c r="Q289" s="260"/>
      <c r="R289" s="260"/>
      <c r="S289" s="260"/>
      <c r="T289" s="279"/>
      <c r="U289" s="260"/>
      <c r="V289" s="260"/>
      <c r="W289" s="260"/>
      <c r="X289" s="260"/>
      <c r="Y289" s="260"/>
      <c r="Z289" s="260"/>
      <c r="AA289" s="264"/>
      <c r="AB289" s="260"/>
      <c r="AC289" s="260"/>
      <c r="AD289" s="260"/>
      <c r="AE289" s="260"/>
      <c r="AF289" s="260"/>
      <c r="AG289" s="260"/>
      <c r="AH289" s="260"/>
    </row>
    <row r="290">
      <c r="A290" s="259"/>
      <c r="B290" s="260"/>
      <c r="C290" s="260"/>
      <c r="D290" s="260"/>
      <c r="E290" s="260"/>
      <c r="F290" s="260"/>
      <c r="G290" s="260"/>
      <c r="H290" s="260"/>
      <c r="I290" s="260"/>
      <c r="J290" s="261"/>
      <c r="K290" s="260"/>
      <c r="L290" s="260"/>
      <c r="M290" s="260"/>
      <c r="N290" s="260"/>
      <c r="O290" s="260"/>
      <c r="P290" s="260"/>
      <c r="Q290" s="260"/>
      <c r="R290" s="260"/>
      <c r="S290" s="260"/>
      <c r="T290" s="279"/>
      <c r="U290" s="260"/>
      <c r="V290" s="260"/>
      <c r="W290" s="260"/>
      <c r="X290" s="260"/>
      <c r="Y290" s="260"/>
      <c r="Z290" s="260"/>
      <c r="AA290" s="264"/>
      <c r="AB290" s="260"/>
      <c r="AC290" s="260"/>
      <c r="AD290" s="260"/>
      <c r="AE290" s="260"/>
      <c r="AF290" s="260"/>
      <c r="AG290" s="260"/>
      <c r="AH290" s="260"/>
    </row>
    <row r="291">
      <c r="A291" s="259"/>
      <c r="B291" s="260"/>
      <c r="C291" s="260"/>
      <c r="D291" s="260"/>
      <c r="E291" s="260"/>
      <c r="F291" s="260"/>
      <c r="G291" s="260"/>
      <c r="H291" s="260"/>
      <c r="I291" s="260"/>
      <c r="J291" s="261"/>
      <c r="K291" s="260"/>
      <c r="L291" s="260"/>
      <c r="M291" s="260"/>
      <c r="N291" s="260"/>
      <c r="O291" s="260"/>
      <c r="P291" s="260"/>
      <c r="Q291" s="260"/>
      <c r="R291" s="260"/>
      <c r="S291" s="260"/>
      <c r="T291" s="279"/>
      <c r="U291" s="260"/>
      <c r="V291" s="260"/>
      <c r="W291" s="260"/>
      <c r="X291" s="260"/>
      <c r="Y291" s="260"/>
      <c r="Z291" s="260"/>
      <c r="AA291" s="264"/>
      <c r="AB291" s="260"/>
      <c r="AC291" s="260"/>
      <c r="AD291" s="260"/>
      <c r="AE291" s="260"/>
      <c r="AF291" s="260"/>
      <c r="AG291" s="260"/>
      <c r="AH291" s="260"/>
    </row>
    <row r="292">
      <c r="A292" s="259"/>
      <c r="B292" s="260"/>
      <c r="C292" s="260"/>
      <c r="D292" s="260"/>
      <c r="E292" s="260"/>
      <c r="F292" s="260"/>
      <c r="G292" s="260"/>
      <c r="H292" s="260"/>
      <c r="I292" s="260"/>
      <c r="J292" s="261"/>
      <c r="K292" s="260"/>
      <c r="L292" s="260"/>
      <c r="M292" s="260"/>
      <c r="N292" s="260"/>
      <c r="O292" s="260"/>
      <c r="P292" s="260"/>
      <c r="Q292" s="260"/>
      <c r="R292" s="260"/>
      <c r="S292" s="260"/>
      <c r="T292" s="279"/>
      <c r="U292" s="260"/>
      <c r="V292" s="260"/>
      <c r="W292" s="260"/>
      <c r="X292" s="260"/>
      <c r="Y292" s="260"/>
      <c r="Z292" s="260"/>
      <c r="AA292" s="264"/>
      <c r="AB292" s="260"/>
      <c r="AC292" s="260"/>
      <c r="AD292" s="260"/>
      <c r="AE292" s="260"/>
      <c r="AF292" s="260"/>
      <c r="AG292" s="260"/>
      <c r="AH292" s="260"/>
    </row>
    <row r="293">
      <c r="A293" s="259"/>
      <c r="B293" s="260"/>
      <c r="C293" s="260"/>
      <c r="D293" s="260"/>
      <c r="E293" s="260"/>
      <c r="F293" s="260"/>
      <c r="G293" s="260"/>
      <c r="H293" s="260"/>
      <c r="I293" s="260"/>
      <c r="J293" s="261"/>
      <c r="K293" s="260"/>
      <c r="L293" s="260"/>
      <c r="M293" s="260"/>
      <c r="N293" s="260"/>
      <c r="O293" s="260"/>
      <c r="P293" s="260"/>
      <c r="Q293" s="260"/>
      <c r="R293" s="260"/>
      <c r="S293" s="260"/>
      <c r="T293" s="279"/>
      <c r="U293" s="260"/>
      <c r="V293" s="260"/>
      <c r="W293" s="260"/>
      <c r="X293" s="260"/>
      <c r="Y293" s="260"/>
      <c r="Z293" s="260"/>
      <c r="AA293" s="264"/>
      <c r="AB293" s="260"/>
      <c r="AC293" s="260"/>
      <c r="AD293" s="260"/>
      <c r="AE293" s="260"/>
      <c r="AF293" s="260"/>
      <c r="AG293" s="260"/>
      <c r="AH293" s="260"/>
    </row>
    <row r="294">
      <c r="A294" s="259"/>
      <c r="B294" s="260"/>
      <c r="C294" s="260"/>
      <c r="D294" s="260"/>
      <c r="E294" s="260"/>
      <c r="F294" s="260"/>
      <c r="G294" s="260"/>
      <c r="H294" s="260"/>
      <c r="I294" s="260"/>
      <c r="J294" s="261"/>
      <c r="K294" s="260"/>
      <c r="L294" s="260"/>
      <c r="M294" s="260"/>
      <c r="N294" s="260"/>
      <c r="O294" s="260"/>
      <c r="P294" s="260"/>
      <c r="Q294" s="260"/>
      <c r="R294" s="260"/>
      <c r="S294" s="260"/>
      <c r="T294" s="279"/>
      <c r="U294" s="260"/>
      <c r="V294" s="260"/>
      <c r="W294" s="260"/>
      <c r="X294" s="260"/>
      <c r="Y294" s="260"/>
      <c r="Z294" s="260"/>
      <c r="AA294" s="264"/>
      <c r="AB294" s="260"/>
      <c r="AC294" s="260"/>
      <c r="AD294" s="260"/>
      <c r="AE294" s="260"/>
      <c r="AF294" s="260"/>
      <c r="AG294" s="260"/>
      <c r="AH294" s="260"/>
    </row>
    <row r="295">
      <c r="A295" s="259"/>
      <c r="B295" s="260"/>
      <c r="C295" s="260"/>
      <c r="D295" s="260"/>
      <c r="E295" s="260"/>
      <c r="F295" s="260"/>
      <c r="G295" s="260"/>
      <c r="H295" s="260"/>
      <c r="I295" s="260"/>
      <c r="J295" s="261"/>
      <c r="K295" s="260"/>
      <c r="L295" s="260"/>
      <c r="M295" s="260"/>
      <c r="N295" s="260"/>
      <c r="O295" s="260"/>
      <c r="P295" s="260"/>
      <c r="Q295" s="260"/>
      <c r="R295" s="260"/>
      <c r="S295" s="260"/>
      <c r="T295" s="279"/>
      <c r="U295" s="260"/>
      <c r="V295" s="260"/>
      <c r="W295" s="260"/>
      <c r="X295" s="260"/>
      <c r="Y295" s="260"/>
      <c r="Z295" s="260"/>
      <c r="AA295" s="264"/>
      <c r="AB295" s="260"/>
      <c r="AC295" s="260"/>
      <c r="AD295" s="260"/>
      <c r="AE295" s="260"/>
      <c r="AF295" s="260"/>
      <c r="AG295" s="260"/>
      <c r="AH295" s="260"/>
    </row>
    <row r="296">
      <c r="A296" s="259"/>
      <c r="B296" s="260"/>
      <c r="C296" s="260"/>
      <c r="D296" s="260"/>
      <c r="E296" s="260"/>
      <c r="F296" s="260"/>
      <c r="G296" s="260"/>
      <c r="H296" s="260"/>
      <c r="I296" s="260"/>
      <c r="J296" s="261"/>
      <c r="K296" s="260"/>
      <c r="L296" s="260"/>
      <c r="M296" s="260"/>
      <c r="N296" s="260"/>
      <c r="O296" s="260"/>
      <c r="P296" s="260"/>
      <c r="Q296" s="260"/>
      <c r="R296" s="260"/>
      <c r="S296" s="260"/>
      <c r="T296" s="279"/>
      <c r="U296" s="260"/>
      <c r="V296" s="260"/>
      <c r="W296" s="260"/>
      <c r="X296" s="260"/>
      <c r="Y296" s="260"/>
      <c r="Z296" s="260"/>
      <c r="AA296" s="264"/>
      <c r="AB296" s="260"/>
      <c r="AC296" s="260"/>
      <c r="AD296" s="260"/>
      <c r="AE296" s="260"/>
      <c r="AF296" s="260"/>
      <c r="AG296" s="260"/>
      <c r="AH296" s="260"/>
    </row>
    <row r="297">
      <c r="A297" s="259"/>
      <c r="B297" s="260"/>
      <c r="C297" s="260"/>
      <c r="D297" s="260"/>
      <c r="E297" s="260"/>
      <c r="F297" s="260"/>
      <c r="G297" s="260"/>
      <c r="H297" s="260"/>
      <c r="I297" s="260"/>
      <c r="J297" s="261"/>
      <c r="K297" s="260"/>
      <c r="L297" s="260"/>
      <c r="M297" s="260"/>
      <c r="N297" s="260"/>
      <c r="O297" s="260"/>
      <c r="P297" s="260"/>
      <c r="Q297" s="260"/>
      <c r="R297" s="260"/>
      <c r="S297" s="260"/>
      <c r="T297" s="279"/>
      <c r="U297" s="260"/>
      <c r="V297" s="260"/>
      <c r="W297" s="260"/>
      <c r="X297" s="260"/>
      <c r="Y297" s="260"/>
      <c r="Z297" s="260"/>
      <c r="AA297" s="264"/>
      <c r="AB297" s="260"/>
      <c r="AC297" s="260"/>
      <c r="AD297" s="260"/>
      <c r="AE297" s="260"/>
      <c r="AF297" s="260"/>
      <c r="AG297" s="260"/>
      <c r="AH297" s="260"/>
    </row>
    <row r="298">
      <c r="A298" s="259"/>
      <c r="B298" s="260"/>
      <c r="C298" s="260"/>
      <c r="D298" s="260"/>
      <c r="E298" s="260"/>
      <c r="F298" s="260"/>
      <c r="G298" s="260"/>
      <c r="H298" s="260"/>
      <c r="I298" s="260"/>
      <c r="J298" s="261"/>
      <c r="K298" s="260"/>
      <c r="L298" s="260"/>
      <c r="M298" s="260"/>
      <c r="N298" s="260"/>
      <c r="O298" s="260"/>
      <c r="P298" s="260"/>
      <c r="Q298" s="260"/>
      <c r="R298" s="260"/>
      <c r="S298" s="260"/>
      <c r="T298" s="279"/>
      <c r="U298" s="260"/>
      <c r="V298" s="260"/>
      <c r="W298" s="260"/>
      <c r="X298" s="260"/>
      <c r="Y298" s="260"/>
      <c r="Z298" s="260"/>
      <c r="AA298" s="264"/>
      <c r="AB298" s="260"/>
      <c r="AC298" s="260"/>
      <c r="AD298" s="260"/>
      <c r="AE298" s="260"/>
      <c r="AF298" s="260"/>
      <c r="AG298" s="260"/>
      <c r="AH298" s="260"/>
    </row>
    <row r="299">
      <c r="A299" s="259"/>
      <c r="B299" s="260"/>
      <c r="C299" s="260"/>
      <c r="D299" s="260"/>
      <c r="E299" s="260"/>
      <c r="F299" s="260"/>
      <c r="G299" s="260"/>
      <c r="H299" s="260"/>
      <c r="I299" s="260"/>
      <c r="J299" s="261"/>
      <c r="K299" s="260"/>
      <c r="L299" s="260"/>
      <c r="M299" s="260"/>
      <c r="N299" s="260"/>
      <c r="O299" s="260"/>
      <c r="P299" s="260"/>
      <c r="Q299" s="260"/>
      <c r="R299" s="260"/>
      <c r="S299" s="260"/>
      <c r="T299" s="279"/>
      <c r="U299" s="260"/>
      <c r="V299" s="260"/>
      <c r="W299" s="260"/>
      <c r="X299" s="260"/>
      <c r="Y299" s="260"/>
      <c r="Z299" s="260"/>
      <c r="AA299" s="264"/>
      <c r="AB299" s="260"/>
      <c r="AC299" s="260"/>
      <c r="AD299" s="260"/>
      <c r="AE299" s="260"/>
      <c r="AF299" s="260"/>
      <c r="AG299" s="260"/>
      <c r="AH299" s="260"/>
    </row>
    <row r="300">
      <c r="A300" s="259"/>
      <c r="B300" s="260"/>
      <c r="C300" s="260"/>
      <c r="D300" s="260"/>
      <c r="E300" s="260"/>
      <c r="F300" s="260"/>
      <c r="G300" s="260"/>
      <c r="H300" s="260"/>
      <c r="I300" s="260"/>
      <c r="J300" s="261"/>
      <c r="K300" s="260"/>
      <c r="L300" s="260"/>
      <c r="M300" s="260"/>
      <c r="N300" s="260"/>
      <c r="O300" s="260"/>
      <c r="P300" s="260"/>
      <c r="Q300" s="260"/>
      <c r="R300" s="260"/>
      <c r="S300" s="260"/>
      <c r="T300" s="279"/>
      <c r="U300" s="260"/>
      <c r="V300" s="260"/>
      <c r="W300" s="260"/>
      <c r="X300" s="260"/>
      <c r="Y300" s="260"/>
      <c r="Z300" s="260"/>
      <c r="AA300" s="264"/>
      <c r="AB300" s="260"/>
      <c r="AC300" s="260"/>
      <c r="AD300" s="260"/>
      <c r="AE300" s="260"/>
      <c r="AF300" s="260"/>
      <c r="AG300" s="260"/>
      <c r="AH300" s="260"/>
    </row>
    <row r="301">
      <c r="A301" s="259"/>
      <c r="B301" s="260"/>
      <c r="C301" s="260"/>
      <c r="D301" s="260"/>
      <c r="E301" s="260"/>
      <c r="F301" s="260"/>
      <c r="G301" s="260"/>
      <c r="H301" s="260"/>
      <c r="I301" s="260"/>
      <c r="J301" s="261"/>
      <c r="K301" s="260"/>
      <c r="L301" s="260"/>
      <c r="M301" s="260"/>
      <c r="N301" s="260"/>
      <c r="O301" s="260"/>
      <c r="P301" s="260"/>
      <c r="Q301" s="260"/>
      <c r="R301" s="260"/>
      <c r="S301" s="260"/>
      <c r="T301" s="279"/>
      <c r="U301" s="260"/>
      <c r="V301" s="260"/>
      <c r="W301" s="260"/>
      <c r="X301" s="260"/>
      <c r="Y301" s="260"/>
      <c r="Z301" s="260"/>
      <c r="AA301" s="264"/>
      <c r="AB301" s="260"/>
      <c r="AC301" s="260"/>
      <c r="AD301" s="260"/>
      <c r="AE301" s="260"/>
      <c r="AF301" s="260"/>
      <c r="AG301" s="260"/>
      <c r="AH301" s="260"/>
    </row>
    <row r="302">
      <c r="A302" s="259"/>
      <c r="B302" s="260"/>
      <c r="C302" s="260"/>
      <c r="D302" s="260"/>
      <c r="E302" s="260"/>
      <c r="F302" s="260"/>
      <c r="G302" s="260"/>
      <c r="H302" s="260"/>
      <c r="I302" s="260"/>
      <c r="J302" s="261"/>
      <c r="K302" s="260"/>
      <c r="L302" s="260"/>
      <c r="M302" s="260"/>
      <c r="N302" s="260"/>
      <c r="O302" s="260"/>
      <c r="P302" s="260"/>
      <c r="Q302" s="260"/>
      <c r="R302" s="260"/>
      <c r="S302" s="260"/>
      <c r="T302" s="279"/>
      <c r="U302" s="260"/>
      <c r="V302" s="260"/>
      <c r="W302" s="260"/>
      <c r="X302" s="260"/>
      <c r="Y302" s="260"/>
      <c r="Z302" s="260"/>
      <c r="AA302" s="264"/>
      <c r="AB302" s="260"/>
      <c r="AC302" s="260"/>
      <c r="AD302" s="260"/>
      <c r="AE302" s="260"/>
      <c r="AF302" s="260"/>
      <c r="AG302" s="260"/>
      <c r="AH302" s="260"/>
    </row>
    <row r="303">
      <c r="A303" s="259"/>
      <c r="B303" s="260"/>
      <c r="C303" s="260"/>
      <c r="D303" s="260"/>
      <c r="E303" s="260"/>
      <c r="F303" s="260"/>
      <c r="G303" s="260"/>
      <c r="H303" s="260"/>
      <c r="I303" s="260"/>
      <c r="J303" s="261"/>
      <c r="K303" s="260"/>
      <c r="L303" s="260"/>
      <c r="M303" s="260"/>
      <c r="N303" s="260"/>
      <c r="O303" s="260"/>
      <c r="P303" s="260"/>
      <c r="Q303" s="260"/>
      <c r="R303" s="260"/>
      <c r="S303" s="260"/>
      <c r="T303" s="279"/>
      <c r="U303" s="260"/>
      <c r="V303" s="260"/>
      <c r="W303" s="260"/>
      <c r="X303" s="260"/>
      <c r="Y303" s="260"/>
      <c r="Z303" s="260"/>
      <c r="AA303" s="264"/>
      <c r="AB303" s="260"/>
      <c r="AC303" s="260"/>
      <c r="AD303" s="260"/>
      <c r="AE303" s="260"/>
      <c r="AF303" s="260"/>
      <c r="AG303" s="260"/>
      <c r="AH303" s="260"/>
    </row>
    <row r="304">
      <c r="A304" s="259"/>
      <c r="B304" s="260"/>
      <c r="C304" s="260"/>
      <c r="D304" s="260"/>
      <c r="E304" s="260"/>
      <c r="F304" s="260"/>
      <c r="G304" s="260"/>
      <c r="H304" s="260"/>
      <c r="I304" s="260"/>
      <c r="J304" s="261"/>
      <c r="K304" s="260"/>
      <c r="L304" s="260"/>
      <c r="M304" s="260"/>
      <c r="N304" s="260"/>
      <c r="O304" s="260"/>
      <c r="P304" s="260"/>
      <c r="Q304" s="260"/>
      <c r="R304" s="260"/>
      <c r="S304" s="260"/>
      <c r="T304" s="279"/>
      <c r="U304" s="260"/>
      <c r="V304" s="260"/>
      <c r="W304" s="260"/>
      <c r="X304" s="260"/>
      <c r="Y304" s="260"/>
      <c r="Z304" s="260"/>
      <c r="AA304" s="264"/>
      <c r="AB304" s="260"/>
      <c r="AC304" s="260"/>
      <c r="AD304" s="260"/>
      <c r="AE304" s="260"/>
      <c r="AF304" s="260"/>
      <c r="AG304" s="260"/>
      <c r="AH304" s="260"/>
    </row>
    <row r="305">
      <c r="A305" s="259"/>
      <c r="B305" s="260"/>
      <c r="C305" s="260"/>
      <c r="D305" s="260"/>
      <c r="E305" s="260"/>
      <c r="F305" s="260"/>
      <c r="G305" s="260"/>
      <c r="H305" s="260"/>
      <c r="I305" s="260"/>
      <c r="J305" s="261"/>
      <c r="K305" s="260"/>
      <c r="L305" s="260"/>
      <c r="M305" s="260"/>
      <c r="N305" s="260"/>
      <c r="O305" s="260"/>
      <c r="P305" s="260"/>
      <c r="Q305" s="260"/>
      <c r="R305" s="260"/>
      <c r="S305" s="260"/>
      <c r="T305" s="279"/>
      <c r="U305" s="260"/>
      <c r="V305" s="260"/>
      <c r="W305" s="260"/>
      <c r="X305" s="260"/>
      <c r="Y305" s="260"/>
      <c r="Z305" s="260"/>
      <c r="AA305" s="264"/>
      <c r="AB305" s="260"/>
      <c r="AC305" s="260"/>
      <c r="AD305" s="260"/>
      <c r="AE305" s="260"/>
      <c r="AF305" s="260"/>
      <c r="AG305" s="260"/>
      <c r="AH305" s="260"/>
    </row>
    <row r="306">
      <c r="A306" s="259"/>
      <c r="B306" s="260"/>
      <c r="C306" s="260"/>
      <c r="D306" s="260"/>
      <c r="E306" s="260"/>
      <c r="F306" s="260"/>
      <c r="G306" s="260"/>
      <c r="H306" s="260"/>
      <c r="I306" s="260"/>
      <c r="J306" s="261"/>
      <c r="K306" s="260"/>
      <c r="L306" s="260"/>
      <c r="M306" s="260"/>
      <c r="N306" s="260"/>
      <c r="O306" s="260"/>
      <c r="P306" s="260"/>
      <c r="Q306" s="260"/>
      <c r="R306" s="260"/>
      <c r="S306" s="260"/>
      <c r="T306" s="279"/>
      <c r="U306" s="260"/>
      <c r="V306" s="260"/>
      <c r="W306" s="260"/>
      <c r="X306" s="260"/>
      <c r="Y306" s="260"/>
      <c r="Z306" s="260"/>
      <c r="AA306" s="264"/>
      <c r="AB306" s="260"/>
      <c r="AC306" s="260"/>
      <c r="AD306" s="260"/>
      <c r="AE306" s="260"/>
      <c r="AF306" s="260"/>
      <c r="AG306" s="260"/>
      <c r="AH306" s="260"/>
    </row>
    <row r="307">
      <c r="A307" s="259"/>
      <c r="B307" s="260"/>
      <c r="C307" s="260"/>
      <c r="D307" s="260"/>
      <c r="E307" s="260"/>
      <c r="F307" s="260"/>
      <c r="G307" s="260"/>
      <c r="H307" s="260"/>
      <c r="I307" s="260"/>
      <c r="J307" s="261"/>
      <c r="K307" s="260"/>
      <c r="L307" s="260"/>
      <c r="M307" s="260"/>
      <c r="N307" s="260"/>
      <c r="O307" s="260"/>
      <c r="P307" s="260"/>
      <c r="Q307" s="260"/>
      <c r="R307" s="260"/>
      <c r="S307" s="260"/>
      <c r="T307" s="279"/>
      <c r="U307" s="260"/>
      <c r="V307" s="260"/>
      <c r="W307" s="260"/>
      <c r="X307" s="260"/>
      <c r="Y307" s="260"/>
      <c r="Z307" s="260"/>
      <c r="AA307" s="264"/>
      <c r="AB307" s="260"/>
      <c r="AC307" s="260"/>
      <c r="AD307" s="260"/>
      <c r="AE307" s="260"/>
      <c r="AF307" s="260"/>
      <c r="AG307" s="260"/>
      <c r="AH307" s="260"/>
    </row>
    <row r="308">
      <c r="A308" s="259"/>
      <c r="B308" s="260"/>
      <c r="C308" s="260"/>
      <c r="D308" s="260"/>
      <c r="E308" s="260"/>
      <c r="F308" s="260"/>
      <c r="G308" s="260"/>
      <c r="H308" s="260"/>
      <c r="I308" s="260"/>
      <c r="J308" s="261"/>
      <c r="K308" s="260"/>
      <c r="L308" s="260"/>
      <c r="M308" s="260"/>
      <c r="N308" s="260"/>
      <c r="O308" s="260"/>
      <c r="P308" s="260"/>
      <c r="Q308" s="260"/>
      <c r="R308" s="260"/>
      <c r="S308" s="260"/>
      <c r="T308" s="279"/>
      <c r="U308" s="260"/>
      <c r="V308" s="260"/>
      <c r="W308" s="260"/>
      <c r="X308" s="260"/>
      <c r="Y308" s="260"/>
      <c r="Z308" s="260"/>
      <c r="AA308" s="264"/>
      <c r="AB308" s="260"/>
      <c r="AC308" s="260"/>
      <c r="AD308" s="260"/>
      <c r="AE308" s="260"/>
      <c r="AF308" s="260"/>
      <c r="AG308" s="260"/>
      <c r="AH308" s="260"/>
    </row>
    <row r="309">
      <c r="A309" s="259"/>
      <c r="B309" s="260"/>
      <c r="C309" s="260"/>
      <c r="D309" s="260"/>
      <c r="E309" s="260"/>
      <c r="F309" s="260"/>
      <c r="G309" s="260"/>
      <c r="H309" s="260"/>
      <c r="I309" s="260"/>
      <c r="J309" s="261"/>
      <c r="K309" s="260"/>
      <c r="L309" s="260"/>
      <c r="M309" s="260"/>
      <c r="N309" s="260"/>
      <c r="O309" s="260"/>
      <c r="P309" s="260"/>
      <c r="Q309" s="260"/>
      <c r="R309" s="260"/>
      <c r="S309" s="260"/>
      <c r="T309" s="279"/>
      <c r="U309" s="260"/>
      <c r="V309" s="260"/>
      <c r="W309" s="260"/>
      <c r="X309" s="260"/>
      <c r="Y309" s="260"/>
      <c r="Z309" s="260"/>
      <c r="AA309" s="264"/>
      <c r="AB309" s="260"/>
      <c r="AC309" s="260"/>
      <c r="AD309" s="260"/>
      <c r="AE309" s="260"/>
      <c r="AF309" s="260"/>
      <c r="AG309" s="260"/>
      <c r="AH309" s="260"/>
    </row>
    <row r="310">
      <c r="A310" s="259"/>
      <c r="B310" s="260"/>
      <c r="C310" s="260"/>
      <c r="D310" s="260"/>
      <c r="E310" s="260"/>
      <c r="F310" s="260"/>
      <c r="G310" s="260"/>
      <c r="H310" s="260"/>
      <c r="I310" s="260"/>
      <c r="J310" s="261"/>
      <c r="K310" s="260"/>
      <c r="L310" s="260"/>
      <c r="M310" s="260"/>
      <c r="N310" s="260"/>
      <c r="O310" s="260"/>
      <c r="P310" s="260"/>
      <c r="Q310" s="260"/>
      <c r="R310" s="260"/>
      <c r="S310" s="260"/>
      <c r="T310" s="279"/>
      <c r="U310" s="260"/>
      <c r="V310" s="260"/>
      <c r="W310" s="260"/>
      <c r="X310" s="260"/>
      <c r="Y310" s="260"/>
      <c r="Z310" s="260"/>
      <c r="AA310" s="264"/>
      <c r="AB310" s="260"/>
      <c r="AC310" s="260"/>
      <c r="AD310" s="260"/>
      <c r="AE310" s="260"/>
      <c r="AF310" s="260"/>
      <c r="AG310" s="260"/>
      <c r="AH310" s="260"/>
    </row>
    <row r="311">
      <c r="A311" s="259"/>
      <c r="B311" s="260"/>
      <c r="C311" s="260"/>
      <c r="D311" s="260"/>
      <c r="E311" s="260"/>
      <c r="F311" s="260"/>
      <c r="G311" s="260"/>
      <c r="H311" s="260"/>
      <c r="I311" s="260"/>
      <c r="J311" s="261"/>
      <c r="K311" s="260"/>
      <c r="L311" s="260"/>
      <c r="M311" s="260"/>
      <c r="N311" s="260"/>
      <c r="O311" s="260"/>
      <c r="P311" s="260"/>
      <c r="Q311" s="260"/>
      <c r="R311" s="260"/>
      <c r="S311" s="260"/>
      <c r="T311" s="279"/>
      <c r="U311" s="260"/>
      <c r="V311" s="260"/>
      <c r="W311" s="260"/>
      <c r="X311" s="260"/>
      <c r="Y311" s="260"/>
      <c r="Z311" s="260"/>
      <c r="AA311" s="264"/>
      <c r="AB311" s="260"/>
      <c r="AC311" s="260"/>
      <c r="AD311" s="260"/>
      <c r="AE311" s="260"/>
      <c r="AF311" s="260"/>
      <c r="AG311" s="260"/>
      <c r="AH311" s="260"/>
    </row>
    <row r="312">
      <c r="A312" s="259"/>
      <c r="B312" s="260"/>
      <c r="C312" s="260"/>
      <c r="D312" s="260"/>
      <c r="E312" s="260"/>
      <c r="F312" s="260"/>
      <c r="G312" s="260"/>
      <c r="H312" s="260"/>
      <c r="I312" s="260"/>
      <c r="J312" s="261"/>
      <c r="K312" s="260"/>
      <c r="L312" s="260"/>
      <c r="M312" s="260"/>
      <c r="N312" s="260"/>
      <c r="O312" s="260"/>
      <c r="P312" s="260"/>
      <c r="Q312" s="260"/>
      <c r="R312" s="260"/>
      <c r="S312" s="260"/>
      <c r="T312" s="279"/>
      <c r="U312" s="260"/>
      <c r="V312" s="260"/>
      <c r="W312" s="260"/>
      <c r="X312" s="260"/>
      <c r="Y312" s="260"/>
      <c r="Z312" s="260"/>
      <c r="AA312" s="264"/>
      <c r="AB312" s="260"/>
      <c r="AC312" s="260"/>
      <c r="AD312" s="260"/>
      <c r="AE312" s="260"/>
      <c r="AF312" s="260"/>
      <c r="AG312" s="260"/>
      <c r="AH312" s="260"/>
    </row>
    <row r="313">
      <c r="A313" s="259"/>
      <c r="B313" s="260"/>
      <c r="C313" s="260"/>
      <c r="D313" s="260"/>
      <c r="E313" s="260"/>
      <c r="F313" s="260"/>
      <c r="G313" s="260"/>
      <c r="H313" s="260"/>
      <c r="I313" s="260"/>
      <c r="J313" s="261"/>
      <c r="K313" s="260"/>
      <c r="L313" s="260"/>
      <c r="M313" s="260"/>
      <c r="N313" s="260"/>
      <c r="O313" s="260"/>
      <c r="P313" s="260"/>
      <c r="Q313" s="260"/>
      <c r="R313" s="260"/>
      <c r="S313" s="260"/>
      <c r="T313" s="279"/>
      <c r="U313" s="260"/>
      <c r="V313" s="260"/>
      <c r="W313" s="260"/>
      <c r="X313" s="260"/>
      <c r="Y313" s="260"/>
      <c r="Z313" s="260"/>
      <c r="AA313" s="264"/>
      <c r="AB313" s="260"/>
      <c r="AC313" s="260"/>
      <c r="AD313" s="260"/>
      <c r="AE313" s="260"/>
      <c r="AF313" s="260"/>
      <c r="AG313" s="260"/>
      <c r="AH313" s="260"/>
    </row>
    <row r="314">
      <c r="A314" s="259"/>
      <c r="B314" s="260"/>
      <c r="C314" s="260"/>
      <c r="D314" s="260"/>
      <c r="E314" s="260"/>
      <c r="F314" s="260"/>
      <c r="G314" s="260"/>
      <c r="H314" s="260"/>
      <c r="I314" s="260"/>
      <c r="J314" s="261"/>
      <c r="K314" s="260"/>
      <c r="L314" s="260"/>
      <c r="M314" s="260"/>
      <c r="N314" s="260"/>
      <c r="O314" s="260"/>
      <c r="P314" s="260"/>
      <c r="Q314" s="260"/>
      <c r="R314" s="260"/>
      <c r="S314" s="260"/>
      <c r="T314" s="279"/>
      <c r="U314" s="260"/>
      <c r="V314" s="260"/>
      <c r="W314" s="260"/>
      <c r="X314" s="260"/>
      <c r="Y314" s="260"/>
      <c r="Z314" s="260"/>
      <c r="AA314" s="264"/>
      <c r="AB314" s="260"/>
      <c r="AC314" s="260"/>
      <c r="AD314" s="260"/>
      <c r="AE314" s="260"/>
      <c r="AF314" s="260"/>
      <c r="AG314" s="260"/>
      <c r="AH314" s="260"/>
    </row>
    <row r="315">
      <c r="A315" s="259"/>
      <c r="B315" s="260"/>
      <c r="C315" s="260"/>
      <c r="D315" s="260"/>
      <c r="E315" s="260"/>
      <c r="F315" s="260"/>
      <c r="G315" s="260"/>
      <c r="H315" s="260"/>
      <c r="I315" s="260"/>
      <c r="J315" s="261"/>
      <c r="K315" s="260"/>
      <c r="L315" s="260"/>
      <c r="M315" s="260"/>
      <c r="N315" s="260"/>
      <c r="O315" s="260"/>
      <c r="P315" s="260"/>
      <c r="Q315" s="260"/>
      <c r="R315" s="260"/>
      <c r="S315" s="260"/>
      <c r="T315" s="279"/>
      <c r="U315" s="260"/>
      <c r="V315" s="260"/>
      <c r="W315" s="260"/>
      <c r="X315" s="260"/>
      <c r="Y315" s="260"/>
      <c r="Z315" s="260"/>
      <c r="AA315" s="264"/>
      <c r="AB315" s="260"/>
      <c r="AC315" s="260"/>
      <c r="AD315" s="260"/>
      <c r="AE315" s="260"/>
      <c r="AF315" s="260"/>
      <c r="AG315" s="260"/>
      <c r="AH315" s="260"/>
    </row>
    <row r="316">
      <c r="A316" s="259"/>
      <c r="B316" s="260"/>
      <c r="C316" s="260"/>
      <c r="D316" s="260"/>
      <c r="E316" s="260"/>
      <c r="F316" s="260"/>
      <c r="G316" s="260"/>
      <c r="H316" s="260"/>
      <c r="I316" s="260"/>
      <c r="J316" s="261"/>
      <c r="K316" s="260"/>
      <c r="L316" s="260"/>
      <c r="M316" s="260"/>
      <c r="N316" s="260"/>
      <c r="O316" s="260"/>
      <c r="P316" s="260"/>
      <c r="Q316" s="260"/>
      <c r="R316" s="260"/>
      <c r="S316" s="260"/>
      <c r="T316" s="279"/>
      <c r="U316" s="260"/>
      <c r="V316" s="260"/>
      <c r="W316" s="260"/>
      <c r="X316" s="260"/>
      <c r="Y316" s="260"/>
      <c r="Z316" s="260"/>
      <c r="AA316" s="264"/>
      <c r="AB316" s="260"/>
      <c r="AC316" s="260"/>
      <c r="AD316" s="260"/>
      <c r="AE316" s="260"/>
      <c r="AF316" s="260"/>
      <c r="AG316" s="260"/>
      <c r="AH316" s="260"/>
    </row>
    <row r="317">
      <c r="A317" s="259"/>
      <c r="B317" s="260"/>
      <c r="C317" s="260"/>
      <c r="D317" s="260"/>
      <c r="E317" s="260"/>
      <c r="F317" s="260"/>
      <c r="G317" s="260"/>
      <c r="H317" s="260"/>
      <c r="I317" s="260"/>
      <c r="J317" s="261"/>
      <c r="K317" s="260"/>
      <c r="L317" s="260"/>
      <c r="M317" s="260"/>
      <c r="N317" s="260"/>
      <c r="O317" s="260"/>
      <c r="P317" s="260"/>
      <c r="Q317" s="260"/>
      <c r="R317" s="260"/>
      <c r="S317" s="260"/>
      <c r="T317" s="279"/>
      <c r="U317" s="260"/>
      <c r="V317" s="260"/>
      <c r="W317" s="260"/>
      <c r="X317" s="260"/>
      <c r="Y317" s="260"/>
      <c r="Z317" s="260"/>
      <c r="AA317" s="264"/>
      <c r="AB317" s="260"/>
      <c r="AC317" s="260"/>
      <c r="AD317" s="260"/>
      <c r="AE317" s="260"/>
      <c r="AF317" s="260"/>
      <c r="AG317" s="260"/>
      <c r="AH317" s="260"/>
    </row>
    <row r="318">
      <c r="A318" s="259"/>
      <c r="B318" s="260"/>
      <c r="C318" s="260"/>
      <c r="D318" s="260"/>
      <c r="E318" s="260"/>
      <c r="F318" s="260"/>
      <c r="G318" s="260"/>
      <c r="H318" s="260"/>
      <c r="I318" s="260"/>
      <c r="J318" s="261"/>
      <c r="K318" s="260"/>
      <c r="L318" s="260"/>
      <c r="M318" s="260"/>
      <c r="N318" s="260"/>
      <c r="O318" s="260"/>
      <c r="P318" s="260"/>
      <c r="Q318" s="260"/>
      <c r="R318" s="260"/>
      <c r="S318" s="260"/>
      <c r="T318" s="279"/>
      <c r="U318" s="260"/>
      <c r="V318" s="260"/>
      <c r="W318" s="260"/>
      <c r="X318" s="260"/>
      <c r="Y318" s="260"/>
      <c r="Z318" s="260"/>
      <c r="AA318" s="264"/>
      <c r="AB318" s="260"/>
      <c r="AC318" s="260"/>
      <c r="AD318" s="260"/>
      <c r="AE318" s="260"/>
      <c r="AF318" s="260"/>
      <c r="AG318" s="260"/>
      <c r="AH318" s="260"/>
    </row>
    <row r="319">
      <c r="A319" s="259"/>
      <c r="B319" s="260"/>
      <c r="C319" s="260"/>
      <c r="D319" s="260"/>
      <c r="E319" s="260"/>
      <c r="F319" s="260"/>
      <c r="G319" s="260"/>
      <c r="H319" s="260"/>
      <c r="I319" s="260"/>
      <c r="J319" s="261"/>
      <c r="K319" s="260"/>
      <c r="L319" s="260"/>
      <c r="M319" s="260"/>
      <c r="N319" s="260"/>
      <c r="O319" s="260"/>
      <c r="P319" s="260"/>
      <c r="Q319" s="260"/>
      <c r="R319" s="260"/>
      <c r="S319" s="260"/>
      <c r="T319" s="279"/>
      <c r="U319" s="260"/>
      <c r="V319" s="260"/>
      <c r="W319" s="260"/>
      <c r="X319" s="260"/>
      <c r="Y319" s="260"/>
      <c r="Z319" s="260"/>
      <c r="AA319" s="264"/>
      <c r="AB319" s="260"/>
      <c r="AC319" s="260"/>
      <c r="AD319" s="260"/>
      <c r="AE319" s="260"/>
      <c r="AF319" s="260"/>
      <c r="AG319" s="260"/>
      <c r="AH319" s="260"/>
    </row>
    <row r="320">
      <c r="A320" s="259"/>
      <c r="B320" s="260"/>
      <c r="C320" s="260"/>
      <c r="D320" s="260"/>
      <c r="E320" s="260"/>
      <c r="F320" s="260"/>
      <c r="G320" s="260"/>
      <c r="H320" s="260"/>
      <c r="I320" s="260"/>
      <c r="J320" s="261"/>
      <c r="K320" s="260"/>
      <c r="L320" s="260"/>
      <c r="M320" s="260"/>
      <c r="N320" s="260"/>
      <c r="O320" s="260"/>
      <c r="P320" s="260"/>
      <c r="Q320" s="260"/>
      <c r="R320" s="260"/>
      <c r="S320" s="260"/>
      <c r="T320" s="279"/>
      <c r="U320" s="260"/>
      <c r="V320" s="260"/>
      <c r="W320" s="260"/>
      <c r="X320" s="260"/>
      <c r="Y320" s="260"/>
      <c r="Z320" s="260"/>
      <c r="AA320" s="264"/>
      <c r="AB320" s="260"/>
      <c r="AC320" s="260"/>
      <c r="AD320" s="260"/>
      <c r="AE320" s="260"/>
      <c r="AF320" s="260"/>
      <c r="AG320" s="260"/>
      <c r="AH320" s="260"/>
    </row>
    <row r="321">
      <c r="A321" s="259"/>
      <c r="B321" s="260"/>
      <c r="C321" s="260"/>
      <c r="D321" s="260"/>
      <c r="E321" s="260"/>
      <c r="F321" s="260"/>
      <c r="G321" s="260"/>
      <c r="H321" s="260"/>
      <c r="I321" s="260"/>
      <c r="J321" s="261"/>
      <c r="K321" s="260"/>
      <c r="L321" s="260"/>
      <c r="M321" s="260"/>
      <c r="N321" s="260"/>
      <c r="O321" s="260"/>
      <c r="P321" s="260"/>
      <c r="Q321" s="260"/>
      <c r="R321" s="260"/>
      <c r="S321" s="260"/>
      <c r="T321" s="279"/>
      <c r="U321" s="260"/>
      <c r="V321" s="260"/>
      <c r="W321" s="260"/>
      <c r="X321" s="260"/>
      <c r="Y321" s="260"/>
      <c r="Z321" s="260"/>
      <c r="AA321" s="264"/>
      <c r="AB321" s="260"/>
      <c r="AC321" s="260"/>
      <c r="AD321" s="260"/>
      <c r="AE321" s="260"/>
      <c r="AF321" s="260"/>
      <c r="AG321" s="260"/>
      <c r="AH321" s="260"/>
    </row>
    <row r="322">
      <c r="A322" s="259"/>
      <c r="B322" s="260"/>
      <c r="C322" s="260"/>
      <c r="D322" s="260"/>
      <c r="E322" s="260"/>
      <c r="F322" s="260"/>
      <c r="G322" s="260"/>
      <c r="H322" s="260"/>
      <c r="I322" s="260"/>
      <c r="J322" s="261"/>
      <c r="K322" s="260"/>
      <c r="L322" s="260"/>
      <c r="M322" s="260"/>
      <c r="N322" s="260"/>
      <c r="O322" s="260"/>
      <c r="P322" s="260"/>
      <c r="Q322" s="260"/>
      <c r="R322" s="260"/>
      <c r="S322" s="260"/>
      <c r="T322" s="279"/>
      <c r="U322" s="260"/>
      <c r="V322" s="260"/>
      <c r="W322" s="260"/>
      <c r="X322" s="260"/>
      <c r="Y322" s="260"/>
      <c r="Z322" s="260"/>
      <c r="AA322" s="264"/>
      <c r="AB322" s="260"/>
      <c r="AC322" s="260"/>
      <c r="AD322" s="260"/>
      <c r="AE322" s="260"/>
      <c r="AF322" s="260"/>
      <c r="AG322" s="260"/>
      <c r="AH322" s="260"/>
    </row>
    <row r="323">
      <c r="A323" s="259"/>
      <c r="B323" s="260"/>
      <c r="C323" s="260"/>
      <c r="D323" s="260"/>
      <c r="E323" s="260"/>
      <c r="F323" s="260"/>
      <c r="G323" s="260"/>
      <c r="H323" s="260"/>
      <c r="I323" s="260"/>
      <c r="J323" s="261"/>
      <c r="K323" s="260"/>
      <c r="L323" s="260"/>
      <c r="M323" s="260"/>
      <c r="N323" s="260"/>
      <c r="O323" s="260"/>
      <c r="P323" s="260"/>
      <c r="Q323" s="260"/>
      <c r="R323" s="260"/>
      <c r="S323" s="260"/>
      <c r="T323" s="279"/>
      <c r="U323" s="260"/>
      <c r="V323" s="260"/>
      <c r="W323" s="260"/>
      <c r="X323" s="260"/>
      <c r="Y323" s="260"/>
      <c r="Z323" s="260"/>
      <c r="AA323" s="264"/>
      <c r="AB323" s="260"/>
      <c r="AC323" s="260"/>
      <c r="AD323" s="260"/>
      <c r="AE323" s="260"/>
      <c r="AF323" s="260"/>
      <c r="AG323" s="260"/>
      <c r="AH323" s="260"/>
    </row>
    <row r="324">
      <c r="A324" s="259"/>
      <c r="B324" s="260"/>
      <c r="C324" s="260"/>
      <c r="D324" s="260"/>
      <c r="E324" s="260"/>
      <c r="F324" s="260"/>
      <c r="G324" s="260"/>
      <c r="H324" s="260"/>
      <c r="I324" s="260"/>
      <c r="J324" s="261"/>
      <c r="K324" s="260"/>
      <c r="L324" s="260"/>
      <c r="M324" s="260"/>
      <c r="N324" s="260"/>
      <c r="O324" s="260"/>
      <c r="P324" s="260"/>
      <c r="Q324" s="260"/>
      <c r="R324" s="260"/>
      <c r="S324" s="260"/>
      <c r="T324" s="279"/>
      <c r="U324" s="260"/>
      <c r="V324" s="260"/>
      <c r="W324" s="260"/>
      <c r="X324" s="260"/>
      <c r="Y324" s="260"/>
      <c r="Z324" s="260"/>
      <c r="AA324" s="264"/>
      <c r="AB324" s="260"/>
      <c r="AC324" s="260"/>
      <c r="AD324" s="260"/>
      <c r="AE324" s="260"/>
      <c r="AF324" s="260"/>
      <c r="AG324" s="260"/>
      <c r="AH324" s="260"/>
    </row>
    <row r="325">
      <c r="A325" s="259"/>
      <c r="B325" s="260"/>
      <c r="C325" s="260"/>
      <c r="D325" s="260"/>
      <c r="E325" s="260"/>
      <c r="F325" s="260"/>
      <c r="G325" s="260"/>
      <c r="H325" s="260"/>
      <c r="I325" s="260"/>
      <c r="J325" s="261"/>
      <c r="K325" s="260"/>
      <c r="L325" s="260"/>
      <c r="M325" s="260"/>
      <c r="N325" s="260"/>
      <c r="O325" s="260"/>
      <c r="P325" s="260"/>
      <c r="Q325" s="260"/>
      <c r="R325" s="260"/>
      <c r="S325" s="260"/>
      <c r="T325" s="279"/>
      <c r="U325" s="260"/>
      <c r="V325" s="260"/>
      <c r="W325" s="260"/>
      <c r="X325" s="260"/>
      <c r="Y325" s="260"/>
      <c r="Z325" s="260"/>
      <c r="AA325" s="264"/>
      <c r="AB325" s="260"/>
      <c r="AC325" s="260"/>
      <c r="AD325" s="260"/>
      <c r="AE325" s="260"/>
      <c r="AF325" s="260"/>
      <c r="AG325" s="260"/>
      <c r="AH325" s="260"/>
    </row>
    <row r="326">
      <c r="A326" s="259"/>
      <c r="B326" s="260"/>
      <c r="C326" s="260"/>
      <c r="D326" s="260"/>
      <c r="E326" s="260"/>
      <c r="F326" s="260"/>
      <c r="G326" s="260"/>
      <c r="H326" s="260"/>
      <c r="I326" s="260"/>
      <c r="J326" s="261"/>
      <c r="K326" s="260"/>
      <c r="L326" s="260"/>
      <c r="M326" s="260"/>
      <c r="N326" s="260"/>
      <c r="O326" s="260"/>
      <c r="P326" s="260"/>
      <c r="Q326" s="260"/>
      <c r="R326" s="260"/>
      <c r="S326" s="260"/>
      <c r="T326" s="279"/>
      <c r="U326" s="260"/>
      <c r="V326" s="260"/>
      <c r="W326" s="260"/>
      <c r="X326" s="260"/>
      <c r="Y326" s="260"/>
      <c r="Z326" s="260"/>
      <c r="AA326" s="264"/>
      <c r="AB326" s="260"/>
      <c r="AC326" s="260"/>
      <c r="AD326" s="260"/>
      <c r="AE326" s="260"/>
      <c r="AF326" s="260"/>
      <c r="AG326" s="260"/>
      <c r="AH326" s="260"/>
    </row>
    <row r="327">
      <c r="A327" s="259"/>
      <c r="B327" s="260"/>
      <c r="C327" s="260"/>
      <c r="D327" s="260"/>
      <c r="E327" s="260"/>
      <c r="F327" s="260"/>
      <c r="G327" s="260"/>
      <c r="H327" s="260"/>
      <c r="I327" s="260"/>
      <c r="J327" s="261"/>
      <c r="K327" s="260"/>
      <c r="L327" s="260"/>
      <c r="M327" s="260"/>
      <c r="N327" s="260"/>
      <c r="O327" s="260"/>
      <c r="P327" s="260"/>
      <c r="Q327" s="260"/>
      <c r="R327" s="260"/>
      <c r="S327" s="260"/>
      <c r="T327" s="279"/>
      <c r="U327" s="260"/>
      <c r="V327" s="260"/>
      <c r="W327" s="260"/>
      <c r="X327" s="260"/>
      <c r="Y327" s="260"/>
      <c r="Z327" s="260"/>
      <c r="AA327" s="264"/>
      <c r="AB327" s="260"/>
      <c r="AC327" s="260"/>
      <c r="AD327" s="260"/>
      <c r="AE327" s="260"/>
      <c r="AF327" s="260"/>
      <c r="AG327" s="260"/>
      <c r="AH327" s="260"/>
    </row>
    <row r="328">
      <c r="A328" s="259"/>
      <c r="B328" s="260"/>
      <c r="C328" s="260"/>
      <c r="D328" s="260"/>
      <c r="E328" s="260"/>
      <c r="F328" s="260"/>
      <c r="G328" s="260"/>
      <c r="H328" s="260"/>
      <c r="I328" s="260"/>
      <c r="J328" s="261"/>
      <c r="K328" s="260"/>
      <c r="L328" s="260"/>
      <c r="M328" s="260"/>
      <c r="N328" s="260"/>
      <c r="O328" s="260"/>
      <c r="P328" s="260"/>
      <c r="Q328" s="260"/>
      <c r="R328" s="260"/>
      <c r="S328" s="260"/>
      <c r="T328" s="279"/>
      <c r="U328" s="260"/>
      <c r="V328" s="260"/>
      <c r="W328" s="260"/>
      <c r="X328" s="260"/>
      <c r="Y328" s="260"/>
      <c r="Z328" s="260"/>
      <c r="AA328" s="264"/>
      <c r="AB328" s="260"/>
      <c r="AC328" s="260"/>
      <c r="AD328" s="260"/>
      <c r="AE328" s="260"/>
      <c r="AF328" s="260"/>
      <c r="AG328" s="260"/>
      <c r="AH328" s="260"/>
    </row>
    <row r="329">
      <c r="A329" s="259"/>
      <c r="B329" s="260"/>
      <c r="C329" s="260"/>
      <c r="D329" s="260"/>
      <c r="E329" s="260"/>
      <c r="F329" s="260"/>
      <c r="G329" s="260"/>
      <c r="H329" s="260"/>
      <c r="I329" s="260"/>
      <c r="J329" s="261"/>
      <c r="K329" s="260"/>
      <c r="L329" s="260"/>
      <c r="M329" s="260"/>
      <c r="N329" s="260"/>
      <c r="O329" s="260"/>
      <c r="P329" s="260"/>
      <c r="Q329" s="260"/>
      <c r="R329" s="260"/>
      <c r="S329" s="260"/>
      <c r="T329" s="279"/>
      <c r="U329" s="260"/>
      <c r="V329" s="260"/>
      <c r="W329" s="260"/>
      <c r="X329" s="260"/>
      <c r="Y329" s="260"/>
      <c r="Z329" s="260"/>
      <c r="AA329" s="264"/>
      <c r="AB329" s="260"/>
      <c r="AC329" s="260"/>
      <c r="AD329" s="260"/>
      <c r="AE329" s="260"/>
      <c r="AF329" s="260"/>
      <c r="AG329" s="260"/>
      <c r="AH329" s="260"/>
    </row>
    <row r="330">
      <c r="A330" s="259"/>
      <c r="B330" s="260"/>
      <c r="C330" s="260"/>
      <c r="D330" s="260"/>
      <c r="E330" s="260"/>
      <c r="F330" s="260"/>
      <c r="G330" s="260"/>
      <c r="H330" s="260"/>
      <c r="I330" s="260"/>
      <c r="J330" s="261"/>
      <c r="K330" s="260"/>
      <c r="L330" s="260"/>
      <c r="M330" s="260"/>
      <c r="N330" s="260"/>
      <c r="O330" s="260"/>
      <c r="P330" s="260"/>
      <c r="Q330" s="260"/>
      <c r="R330" s="260"/>
      <c r="S330" s="260"/>
      <c r="T330" s="279"/>
      <c r="U330" s="260"/>
      <c r="V330" s="260"/>
      <c r="W330" s="260"/>
      <c r="X330" s="260"/>
      <c r="Y330" s="260"/>
      <c r="Z330" s="260"/>
      <c r="AA330" s="264"/>
      <c r="AB330" s="260"/>
      <c r="AC330" s="260"/>
      <c r="AD330" s="260"/>
      <c r="AE330" s="260"/>
      <c r="AF330" s="260"/>
      <c r="AG330" s="260"/>
      <c r="AH330" s="260"/>
    </row>
    <row r="331">
      <c r="A331" s="259"/>
      <c r="B331" s="260"/>
      <c r="C331" s="260"/>
      <c r="D331" s="260"/>
      <c r="E331" s="260"/>
      <c r="F331" s="260"/>
      <c r="G331" s="260"/>
      <c r="H331" s="260"/>
      <c r="I331" s="260"/>
      <c r="J331" s="261"/>
      <c r="K331" s="260"/>
      <c r="L331" s="260"/>
      <c r="M331" s="260"/>
      <c r="N331" s="260"/>
      <c r="O331" s="260"/>
      <c r="P331" s="260"/>
      <c r="Q331" s="260"/>
      <c r="R331" s="260"/>
      <c r="S331" s="260"/>
      <c r="T331" s="279"/>
      <c r="U331" s="260"/>
      <c r="V331" s="260"/>
      <c r="W331" s="260"/>
      <c r="X331" s="260"/>
      <c r="Y331" s="260"/>
      <c r="Z331" s="260"/>
      <c r="AA331" s="264"/>
      <c r="AB331" s="260"/>
      <c r="AC331" s="260"/>
      <c r="AD331" s="260"/>
      <c r="AE331" s="260"/>
      <c r="AF331" s="260"/>
      <c r="AG331" s="260"/>
      <c r="AH331" s="260"/>
    </row>
    <row r="332">
      <c r="A332" s="259"/>
      <c r="B332" s="260"/>
      <c r="C332" s="260"/>
      <c r="D332" s="260"/>
      <c r="E332" s="260"/>
      <c r="F332" s="260"/>
      <c r="G332" s="260"/>
      <c r="H332" s="260"/>
      <c r="I332" s="260"/>
      <c r="J332" s="261"/>
      <c r="K332" s="260"/>
      <c r="L332" s="260"/>
      <c r="M332" s="260"/>
      <c r="N332" s="260"/>
      <c r="O332" s="260"/>
      <c r="P332" s="260"/>
      <c r="Q332" s="260"/>
      <c r="R332" s="260"/>
      <c r="S332" s="260"/>
      <c r="T332" s="279"/>
      <c r="U332" s="260"/>
      <c r="V332" s="260"/>
      <c r="W332" s="260"/>
      <c r="X332" s="260"/>
      <c r="Y332" s="260"/>
      <c r="Z332" s="260"/>
      <c r="AA332" s="264"/>
      <c r="AB332" s="260"/>
      <c r="AC332" s="260"/>
      <c r="AD332" s="260"/>
      <c r="AE332" s="260"/>
      <c r="AF332" s="260"/>
      <c r="AG332" s="260"/>
      <c r="AH332" s="260"/>
    </row>
    <row r="333">
      <c r="A333" s="259"/>
      <c r="B333" s="260"/>
      <c r="C333" s="260"/>
      <c r="D333" s="260"/>
      <c r="E333" s="260"/>
      <c r="F333" s="260"/>
      <c r="G333" s="260"/>
      <c r="H333" s="260"/>
      <c r="I333" s="260"/>
      <c r="J333" s="261"/>
      <c r="K333" s="260"/>
      <c r="L333" s="260"/>
      <c r="M333" s="260"/>
      <c r="N333" s="260"/>
      <c r="O333" s="260"/>
      <c r="P333" s="260"/>
      <c r="Q333" s="260"/>
      <c r="R333" s="260"/>
      <c r="S333" s="260"/>
      <c r="T333" s="279"/>
      <c r="U333" s="260"/>
      <c r="V333" s="260"/>
      <c r="W333" s="260"/>
      <c r="X333" s="260"/>
      <c r="Y333" s="260"/>
      <c r="Z333" s="260"/>
      <c r="AA333" s="264"/>
      <c r="AB333" s="260"/>
      <c r="AC333" s="260"/>
      <c r="AD333" s="260"/>
      <c r="AE333" s="260"/>
      <c r="AF333" s="260"/>
      <c r="AG333" s="260"/>
      <c r="AH333" s="260"/>
    </row>
    <row r="334">
      <c r="A334" s="259"/>
      <c r="B334" s="260"/>
      <c r="C334" s="260"/>
      <c r="D334" s="260"/>
      <c r="E334" s="260"/>
      <c r="F334" s="260"/>
      <c r="G334" s="260"/>
      <c r="H334" s="260"/>
      <c r="I334" s="260"/>
      <c r="J334" s="261"/>
      <c r="K334" s="260"/>
      <c r="L334" s="260"/>
      <c r="M334" s="260"/>
      <c r="N334" s="260"/>
      <c r="O334" s="260"/>
      <c r="P334" s="260"/>
      <c r="Q334" s="260"/>
      <c r="R334" s="260"/>
      <c r="S334" s="260"/>
      <c r="T334" s="279"/>
      <c r="U334" s="260"/>
      <c r="V334" s="260"/>
      <c r="W334" s="260"/>
      <c r="X334" s="260"/>
      <c r="Y334" s="260"/>
      <c r="Z334" s="260"/>
      <c r="AA334" s="264"/>
      <c r="AB334" s="260"/>
      <c r="AC334" s="260"/>
      <c r="AD334" s="260"/>
      <c r="AE334" s="260"/>
      <c r="AF334" s="260"/>
      <c r="AG334" s="260"/>
      <c r="AH334" s="260"/>
    </row>
    <row r="335">
      <c r="A335" s="259"/>
      <c r="B335" s="260"/>
      <c r="C335" s="260"/>
      <c r="D335" s="260"/>
      <c r="E335" s="260"/>
      <c r="F335" s="260"/>
      <c r="G335" s="260"/>
      <c r="H335" s="260"/>
      <c r="I335" s="260"/>
      <c r="J335" s="261"/>
      <c r="K335" s="260"/>
      <c r="L335" s="260"/>
      <c r="M335" s="260"/>
      <c r="N335" s="260"/>
      <c r="O335" s="260"/>
      <c r="P335" s="260"/>
      <c r="Q335" s="260"/>
      <c r="R335" s="260"/>
      <c r="S335" s="260"/>
      <c r="T335" s="279"/>
      <c r="U335" s="260"/>
      <c r="V335" s="260"/>
      <c r="W335" s="260"/>
      <c r="X335" s="260"/>
      <c r="Y335" s="260"/>
      <c r="Z335" s="260"/>
      <c r="AA335" s="264"/>
      <c r="AB335" s="260"/>
      <c r="AC335" s="260"/>
      <c r="AD335" s="260"/>
      <c r="AE335" s="260"/>
      <c r="AF335" s="260"/>
      <c r="AG335" s="260"/>
      <c r="AH335" s="260"/>
    </row>
    <row r="336">
      <c r="A336" s="259"/>
      <c r="B336" s="260"/>
      <c r="C336" s="260"/>
      <c r="D336" s="260"/>
      <c r="E336" s="260"/>
      <c r="F336" s="260"/>
      <c r="G336" s="260"/>
      <c r="H336" s="260"/>
      <c r="I336" s="260"/>
      <c r="J336" s="261"/>
      <c r="K336" s="260"/>
      <c r="L336" s="260"/>
      <c r="M336" s="260"/>
      <c r="N336" s="260"/>
      <c r="O336" s="260"/>
      <c r="P336" s="260"/>
      <c r="Q336" s="260"/>
      <c r="R336" s="260"/>
      <c r="S336" s="260"/>
      <c r="T336" s="279"/>
      <c r="U336" s="260"/>
      <c r="V336" s="260"/>
      <c r="W336" s="260"/>
      <c r="X336" s="260"/>
      <c r="Y336" s="260"/>
      <c r="Z336" s="260"/>
      <c r="AA336" s="264"/>
      <c r="AB336" s="260"/>
      <c r="AC336" s="260"/>
      <c r="AD336" s="260"/>
      <c r="AE336" s="260"/>
      <c r="AF336" s="260"/>
      <c r="AG336" s="260"/>
      <c r="AH336" s="260"/>
    </row>
    <row r="337">
      <c r="A337" s="259"/>
      <c r="B337" s="260"/>
      <c r="C337" s="260"/>
      <c r="D337" s="260"/>
      <c r="E337" s="260"/>
      <c r="F337" s="260"/>
      <c r="G337" s="260"/>
      <c r="H337" s="260"/>
      <c r="I337" s="260"/>
      <c r="J337" s="261"/>
      <c r="K337" s="260"/>
      <c r="L337" s="260"/>
      <c r="M337" s="260"/>
      <c r="N337" s="260"/>
      <c r="O337" s="260"/>
      <c r="P337" s="260"/>
      <c r="Q337" s="260"/>
      <c r="R337" s="260"/>
      <c r="S337" s="260"/>
      <c r="T337" s="279"/>
      <c r="U337" s="260"/>
      <c r="V337" s="260"/>
      <c r="W337" s="260"/>
      <c r="X337" s="260"/>
      <c r="Y337" s="260"/>
      <c r="Z337" s="260"/>
      <c r="AA337" s="264"/>
      <c r="AB337" s="260"/>
      <c r="AC337" s="260"/>
      <c r="AD337" s="260"/>
      <c r="AE337" s="260"/>
      <c r="AF337" s="260"/>
      <c r="AG337" s="260"/>
      <c r="AH337" s="260"/>
    </row>
    <row r="338">
      <c r="A338" s="259"/>
      <c r="B338" s="260"/>
      <c r="C338" s="260"/>
      <c r="D338" s="260"/>
      <c r="E338" s="260"/>
      <c r="F338" s="260"/>
      <c r="G338" s="260"/>
      <c r="H338" s="260"/>
      <c r="I338" s="260"/>
      <c r="J338" s="261"/>
      <c r="K338" s="260"/>
      <c r="L338" s="260"/>
      <c r="M338" s="260"/>
      <c r="N338" s="260"/>
      <c r="O338" s="260"/>
      <c r="P338" s="260"/>
      <c r="Q338" s="260"/>
      <c r="R338" s="260"/>
      <c r="S338" s="260"/>
      <c r="T338" s="279"/>
      <c r="U338" s="260"/>
      <c r="V338" s="260"/>
      <c r="W338" s="260"/>
      <c r="X338" s="260"/>
      <c r="Y338" s="260"/>
      <c r="Z338" s="260"/>
      <c r="AA338" s="264"/>
      <c r="AB338" s="260"/>
      <c r="AC338" s="260"/>
      <c r="AD338" s="260"/>
      <c r="AE338" s="260"/>
      <c r="AF338" s="260"/>
      <c r="AG338" s="260"/>
      <c r="AH338" s="260"/>
    </row>
    <row r="339">
      <c r="A339" s="259"/>
      <c r="B339" s="260"/>
      <c r="C339" s="260"/>
      <c r="D339" s="260"/>
      <c r="E339" s="260"/>
      <c r="F339" s="260"/>
      <c r="G339" s="260"/>
      <c r="H339" s="260"/>
      <c r="I339" s="260"/>
      <c r="J339" s="261"/>
      <c r="K339" s="260"/>
      <c r="L339" s="260"/>
      <c r="M339" s="260"/>
      <c r="N339" s="260"/>
      <c r="O339" s="260"/>
      <c r="P339" s="260"/>
      <c r="Q339" s="260"/>
      <c r="R339" s="260"/>
      <c r="S339" s="260"/>
      <c r="T339" s="279"/>
      <c r="U339" s="260"/>
      <c r="V339" s="260"/>
      <c r="W339" s="260"/>
      <c r="X339" s="260"/>
      <c r="Y339" s="260"/>
      <c r="Z339" s="260"/>
      <c r="AA339" s="264"/>
      <c r="AB339" s="260"/>
      <c r="AC339" s="260"/>
      <c r="AD339" s="260"/>
      <c r="AE339" s="260"/>
      <c r="AF339" s="260"/>
      <c r="AG339" s="260"/>
      <c r="AH339" s="260"/>
    </row>
    <row r="340">
      <c r="A340" s="259"/>
      <c r="B340" s="260"/>
      <c r="C340" s="260"/>
      <c r="D340" s="260"/>
      <c r="E340" s="260"/>
      <c r="F340" s="260"/>
      <c r="G340" s="260"/>
      <c r="H340" s="260"/>
      <c r="I340" s="260"/>
      <c r="J340" s="261"/>
      <c r="K340" s="260"/>
      <c r="L340" s="260"/>
      <c r="M340" s="260"/>
      <c r="N340" s="260"/>
      <c r="O340" s="260"/>
      <c r="P340" s="260"/>
      <c r="Q340" s="260"/>
      <c r="R340" s="260"/>
      <c r="S340" s="260"/>
      <c r="T340" s="279"/>
      <c r="U340" s="260"/>
      <c r="V340" s="260"/>
      <c r="W340" s="260"/>
      <c r="X340" s="260"/>
      <c r="Y340" s="260"/>
      <c r="Z340" s="260"/>
      <c r="AA340" s="264"/>
      <c r="AB340" s="260"/>
      <c r="AC340" s="260"/>
      <c r="AD340" s="260"/>
      <c r="AE340" s="260"/>
      <c r="AF340" s="260"/>
      <c r="AG340" s="260"/>
      <c r="AH340" s="260"/>
    </row>
    <row r="341">
      <c r="A341" s="259"/>
      <c r="B341" s="260"/>
      <c r="C341" s="260"/>
      <c r="D341" s="260"/>
      <c r="E341" s="260"/>
      <c r="F341" s="260"/>
      <c r="G341" s="260"/>
      <c r="H341" s="260"/>
      <c r="I341" s="260"/>
      <c r="J341" s="261"/>
      <c r="K341" s="260"/>
      <c r="L341" s="260"/>
      <c r="M341" s="260"/>
      <c r="N341" s="260"/>
      <c r="O341" s="260"/>
      <c r="P341" s="260"/>
      <c r="Q341" s="260"/>
      <c r="R341" s="260"/>
      <c r="S341" s="260"/>
      <c r="T341" s="279"/>
      <c r="U341" s="260"/>
      <c r="V341" s="260"/>
      <c r="W341" s="260"/>
      <c r="X341" s="260"/>
      <c r="Y341" s="260"/>
      <c r="Z341" s="260"/>
      <c r="AA341" s="264"/>
      <c r="AB341" s="260"/>
      <c r="AC341" s="260"/>
      <c r="AD341" s="260"/>
      <c r="AE341" s="260"/>
      <c r="AF341" s="260"/>
      <c r="AG341" s="260"/>
      <c r="AH341" s="260"/>
    </row>
    <row r="342">
      <c r="A342" s="259"/>
      <c r="B342" s="260"/>
      <c r="C342" s="260"/>
      <c r="D342" s="260"/>
      <c r="E342" s="260"/>
      <c r="F342" s="260"/>
      <c r="G342" s="260"/>
      <c r="H342" s="260"/>
      <c r="I342" s="260"/>
      <c r="J342" s="261"/>
      <c r="K342" s="260"/>
      <c r="L342" s="260"/>
      <c r="M342" s="260"/>
      <c r="N342" s="260"/>
      <c r="O342" s="260"/>
      <c r="P342" s="260"/>
      <c r="Q342" s="260"/>
      <c r="R342" s="260"/>
      <c r="S342" s="260"/>
      <c r="T342" s="279"/>
      <c r="U342" s="260"/>
      <c r="V342" s="260"/>
      <c r="W342" s="260"/>
      <c r="X342" s="260"/>
      <c r="Y342" s="260"/>
      <c r="Z342" s="260"/>
      <c r="AA342" s="264"/>
      <c r="AB342" s="260"/>
      <c r="AC342" s="260"/>
      <c r="AD342" s="260"/>
      <c r="AE342" s="260"/>
      <c r="AF342" s="260"/>
      <c r="AG342" s="260"/>
      <c r="AH342" s="260"/>
    </row>
    <row r="343">
      <c r="A343" s="259"/>
      <c r="B343" s="260"/>
      <c r="C343" s="260"/>
      <c r="D343" s="260"/>
      <c r="E343" s="260"/>
      <c r="F343" s="260"/>
      <c r="G343" s="260"/>
      <c r="H343" s="260"/>
      <c r="I343" s="260"/>
      <c r="J343" s="261"/>
      <c r="K343" s="260"/>
      <c r="L343" s="260"/>
      <c r="M343" s="260"/>
      <c r="N343" s="260"/>
      <c r="O343" s="260"/>
      <c r="P343" s="260"/>
      <c r="Q343" s="260"/>
      <c r="R343" s="260"/>
      <c r="S343" s="260"/>
      <c r="T343" s="279"/>
      <c r="U343" s="260"/>
      <c r="V343" s="260"/>
      <c r="W343" s="260"/>
      <c r="X343" s="260"/>
      <c r="Y343" s="260"/>
      <c r="Z343" s="260"/>
      <c r="AA343" s="264"/>
      <c r="AB343" s="260"/>
      <c r="AC343" s="260"/>
      <c r="AD343" s="260"/>
      <c r="AE343" s="260"/>
      <c r="AF343" s="260"/>
      <c r="AG343" s="260"/>
      <c r="AH343" s="260"/>
    </row>
    <row r="344">
      <c r="A344" s="259"/>
      <c r="B344" s="260"/>
      <c r="C344" s="260"/>
      <c r="D344" s="260"/>
      <c r="E344" s="260"/>
      <c r="F344" s="260"/>
      <c r="G344" s="260"/>
      <c r="H344" s="260"/>
      <c r="I344" s="260"/>
      <c r="J344" s="261"/>
      <c r="K344" s="260"/>
      <c r="L344" s="260"/>
      <c r="M344" s="260"/>
      <c r="N344" s="260"/>
      <c r="O344" s="260"/>
      <c r="P344" s="260"/>
      <c r="Q344" s="260"/>
      <c r="R344" s="260"/>
      <c r="S344" s="260"/>
      <c r="T344" s="279"/>
      <c r="U344" s="260"/>
      <c r="V344" s="260"/>
      <c r="W344" s="260"/>
      <c r="X344" s="260"/>
      <c r="Y344" s="260"/>
      <c r="Z344" s="260"/>
      <c r="AA344" s="264"/>
      <c r="AB344" s="260"/>
      <c r="AC344" s="260"/>
      <c r="AD344" s="260"/>
      <c r="AE344" s="260"/>
      <c r="AF344" s="260"/>
      <c r="AG344" s="260"/>
      <c r="AH344" s="260"/>
    </row>
    <row r="345">
      <c r="A345" s="259"/>
      <c r="B345" s="260"/>
      <c r="C345" s="260"/>
      <c r="D345" s="260"/>
      <c r="E345" s="260"/>
      <c r="F345" s="260"/>
      <c r="G345" s="260"/>
      <c r="H345" s="260"/>
      <c r="I345" s="260"/>
      <c r="J345" s="261"/>
      <c r="K345" s="260"/>
      <c r="L345" s="260"/>
      <c r="M345" s="260"/>
      <c r="N345" s="260"/>
      <c r="O345" s="260"/>
      <c r="P345" s="260"/>
      <c r="Q345" s="260"/>
      <c r="R345" s="260"/>
      <c r="S345" s="260"/>
      <c r="T345" s="279"/>
      <c r="U345" s="260"/>
      <c r="V345" s="260"/>
      <c r="W345" s="260"/>
      <c r="X345" s="260"/>
      <c r="Y345" s="260"/>
      <c r="Z345" s="260"/>
      <c r="AA345" s="264"/>
      <c r="AB345" s="260"/>
      <c r="AC345" s="260"/>
      <c r="AD345" s="260"/>
      <c r="AE345" s="260"/>
      <c r="AF345" s="260"/>
      <c r="AG345" s="260"/>
      <c r="AH345" s="260"/>
    </row>
    <row r="346">
      <c r="A346" s="259"/>
      <c r="B346" s="260"/>
      <c r="C346" s="260"/>
      <c r="D346" s="260"/>
      <c r="E346" s="260"/>
      <c r="F346" s="260"/>
      <c r="G346" s="260"/>
      <c r="H346" s="260"/>
      <c r="I346" s="260"/>
      <c r="J346" s="261"/>
      <c r="K346" s="260"/>
      <c r="L346" s="260"/>
      <c r="M346" s="260"/>
      <c r="N346" s="260"/>
      <c r="O346" s="260"/>
      <c r="P346" s="260"/>
      <c r="Q346" s="260"/>
      <c r="R346" s="260"/>
      <c r="S346" s="260"/>
      <c r="T346" s="279"/>
      <c r="U346" s="260"/>
      <c r="V346" s="260"/>
      <c r="W346" s="260"/>
      <c r="X346" s="260"/>
      <c r="Y346" s="260"/>
      <c r="Z346" s="260"/>
      <c r="AA346" s="264"/>
      <c r="AB346" s="260"/>
      <c r="AC346" s="260"/>
      <c r="AD346" s="260"/>
      <c r="AE346" s="260"/>
      <c r="AF346" s="260"/>
      <c r="AG346" s="260"/>
      <c r="AH346" s="260"/>
    </row>
    <row r="347">
      <c r="A347" s="259"/>
      <c r="B347" s="260"/>
      <c r="C347" s="260"/>
      <c r="D347" s="260"/>
      <c r="E347" s="260"/>
      <c r="F347" s="260"/>
      <c r="G347" s="260"/>
      <c r="H347" s="260"/>
      <c r="I347" s="260"/>
      <c r="J347" s="261"/>
      <c r="K347" s="260"/>
      <c r="L347" s="260"/>
      <c r="M347" s="260"/>
      <c r="N347" s="260"/>
      <c r="O347" s="260"/>
      <c r="P347" s="260"/>
      <c r="Q347" s="260"/>
      <c r="R347" s="260"/>
      <c r="S347" s="260"/>
      <c r="T347" s="279"/>
      <c r="U347" s="260"/>
      <c r="V347" s="260"/>
      <c r="W347" s="260"/>
      <c r="X347" s="260"/>
      <c r="Y347" s="260"/>
      <c r="Z347" s="260"/>
      <c r="AA347" s="264"/>
      <c r="AB347" s="260"/>
      <c r="AC347" s="260"/>
      <c r="AD347" s="260"/>
      <c r="AE347" s="260"/>
      <c r="AF347" s="260"/>
      <c r="AG347" s="260"/>
      <c r="AH347" s="260"/>
    </row>
    <row r="348">
      <c r="A348" s="259"/>
      <c r="B348" s="260"/>
      <c r="C348" s="260"/>
      <c r="D348" s="260"/>
      <c r="E348" s="260"/>
      <c r="F348" s="260"/>
      <c r="G348" s="260"/>
      <c r="H348" s="260"/>
      <c r="I348" s="260"/>
      <c r="J348" s="261"/>
      <c r="K348" s="260"/>
      <c r="L348" s="260"/>
      <c r="M348" s="260"/>
      <c r="N348" s="260"/>
      <c r="O348" s="260"/>
      <c r="P348" s="260"/>
      <c r="Q348" s="260"/>
      <c r="R348" s="260"/>
      <c r="S348" s="260"/>
      <c r="T348" s="279"/>
      <c r="U348" s="260"/>
      <c r="V348" s="260"/>
      <c r="W348" s="260"/>
      <c r="X348" s="260"/>
      <c r="Y348" s="260"/>
      <c r="Z348" s="260"/>
      <c r="AA348" s="264"/>
      <c r="AB348" s="260"/>
      <c r="AC348" s="260"/>
      <c r="AD348" s="260"/>
      <c r="AE348" s="260"/>
      <c r="AF348" s="260"/>
      <c r="AG348" s="260"/>
      <c r="AH348" s="260"/>
    </row>
    <row r="349">
      <c r="A349" s="259"/>
      <c r="B349" s="260"/>
      <c r="C349" s="260"/>
      <c r="D349" s="260"/>
      <c r="E349" s="260"/>
      <c r="F349" s="260"/>
      <c r="G349" s="260"/>
      <c r="H349" s="260"/>
      <c r="I349" s="260"/>
      <c r="J349" s="261"/>
      <c r="K349" s="260"/>
      <c r="L349" s="260"/>
      <c r="M349" s="260"/>
      <c r="N349" s="260"/>
      <c r="O349" s="260"/>
      <c r="P349" s="260"/>
      <c r="Q349" s="260"/>
      <c r="R349" s="260"/>
      <c r="S349" s="260"/>
      <c r="T349" s="279"/>
      <c r="U349" s="260"/>
      <c r="V349" s="260"/>
      <c r="W349" s="260"/>
      <c r="X349" s="260"/>
      <c r="Y349" s="260"/>
      <c r="Z349" s="260"/>
      <c r="AA349" s="264"/>
      <c r="AB349" s="260"/>
      <c r="AC349" s="260"/>
      <c r="AD349" s="260"/>
      <c r="AE349" s="260"/>
      <c r="AF349" s="260"/>
      <c r="AG349" s="260"/>
      <c r="AH349" s="260"/>
    </row>
    <row r="350">
      <c r="A350" s="259"/>
      <c r="B350" s="260"/>
      <c r="C350" s="260"/>
      <c r="D350" s="260"/>
      <c r="E350" s="260"/>
      <c r="F350" s="260"/>
      <c r="G350" s="260"/>
      <c r="H350" s="260"/>
      <c r="I350" s="260"/>
      <c r="J350" s="261"/>
      <c r="K350" s="260"/>
      <c r="L350" s="260"/>
      <c r="M350" s="260"/>
      <c r="N350" s="260"/>
      <c r="O350" s="260"/>
      <c r="P350" s="260"/>
      <c r="Q350" s="260"/>
      <c r="R350" s="260"/>
      <c r="S350" s="260"/>
      <c r="T350" s="279"/>
      <c r="U350" s="260"/>
      <c r="V350" s="260"/>
      <c r="W350" s="260"/>
      <c r="X350" s="260"/>
      <c r="Y350" s="260"/>
      <c r="Z350" s="260"/>
      <c r="AA350" s="264"/>
      <c r="AB350" s="260"/>
      <c r="AC350" s="260"/>
      <c r="AD350" s="260"/>
      <c r="AE350" s="260"/>
      <c r="AF350" s="260"/>
      <c r="AG350" s="260"/>
      <c r="AH350" s="260"/>
    </row>
    <row r="351">
      <c r="A351" s="259"/>
      <c r="B351" s="260"/>
      <c r="C351" s="260"/>
      <c r="D351" s="260"/>
      <c r="E351" s="260"/>
      <c r="F351" s="260"/>
      <c r="G351" s="260"/>
      <c r="H351" s="260"/>
      <c r="I351" s="260"/>
      <c r="J351" s="261"/>
      <c r="K351" s="260"/>
      <c r="L351" s="260"/>
      <c r="M351" s="260"/>
      <c r="N351" s="260"/>
      <c r="O351" s="260"/>
      <c r="P351" s="260"/>
      <c r="Q351" s="260"/>
      <c r="R351" s="260"/>
      <c r="S351" s="260"/>
      <c r="T351" s="279"/>
      <c r="U351" s="260"/>
      <c r="V351" s="260"/>
      <c r="W351" s="260"/>
      <c r="X351" s="260"/>
      <c r="Y351" s="260"/>
      <c r="Z351" s="260"/>
      <c r="AA351" s="264"/>
      <c r="AB351" s="260"/>
      <c r="AC351" s="260"/>
      <c r="AD351" s="260"/>
      <c r="AE351" s="260"/>
      <c r="AF351" s="260"/>
      <c r="AG351" s="260"/>
      <c r="AH351" s="260"/>
    </row>
    <row r="352">
      <c r="A352" s="259"/>
      <c r="B352" s="260"/>
      <c r="C352" s="260"/>
      <c r="D352" s="260"/>
      <c r="E352" s="260"/>
      <c r="F352" s="260"/>
      <c r="G352" s="260"/>
      <c r="H352" s="260"/>
      <c r="I352" s="260"/>
      <c r="J352" s="261"/>
      <c r="K352" s="260"/>
      <c r="L352" s="260"/>
      <c r="M352" s="260"/>
      <c r="N352" s="260"/>
      <c r="O352" s="260"/>
      <c r="P352" s="260"/>
      <c r="Q352" s="260"/>
      <c r="R352" s="260"/>
      <c r="S352" s="260"/>
      <c r="T352" s="279"/>
      <c r="U352" s="260"/>
      <c r="V352" s="260"/>
      <c r="W352" s="260"/>
      <c r="X352" s="260"/>
      <c r="Y352" s="260"/>
      <c r="Z352" s="260"/>
      <c r="AA352" s="264"/>
      <c r="AB352" s="260"/>
      <c r="AC352" s="260"/>
      <c r="AD352" s="260"/>
      <c r="AE352" s="260"/>
      <c r="AF352" s="260"/>
      <c r="AG352" s="260"/>
      <c r="AH352" s="260"/>
    </row>
    <row r="353">
      <c r="A353" s="259"/>
      <c r="B353" s="260"/>
      <c r="C353" s="260"/>
      <c r="D353" s="260"/>
      <c r="E353" s="260"/>
      <c r="F353" s="260"/>
      <c r="G353" s="260"/>
      <c r="H353" s="260"/>
      <c r="I353" s="260"/>
      <c r="J353" s="261"/>
      <c r="K353" s="260"/>
      <c r="L353" s="260"/>
      <c r="M353" s="260"/>
      <c r="N353" s="260"/>
      <c r="O353" s="260"/>
      <c r="P353" s="260"/>
      <c r="Q353" s="260"/>
      <c r="R353" s="260"/>
      <c r="S353" s="260"/>
      <c r="T353" s="279"/>
      <c r="U353" s="260"/>
      <c r="V353" s="260"/>
      <c r="W353" s="260"/>
      <c r="X353" s="260"/>
      <c r="Y353" s="260"/>
      <c r="Z353" s="260"/>
      <c r="AA353" s="264"/>
      <c r="AB353" s="260"/>
      <c r="AC353" s="260"/>
      <c r="AD353" s="260"/>
      <c r="AE353" s="260"/>
      <c r="AF353" s="260"/>
      <c r="AG353" s="260"/>
      <c r="AH353" s="260"/>
    </row>
    <row r="354">
      <c r="A354" s="259"/>
      <c r="B354" s="260"/>
      <c r="C354" s="260"/>
      <c r="D354" s="260"/>
      <c r="E354" s="260"/>
      <c r="F354" s="260"/>
      <c r="G354" s="260"/>
      <c r="H354" s="260"/>
      <c r="I354" s="260"/>
      <c r="J354" s="261"/>
      <c r="K354" s="260"/>
      <c r="L354" s="260"/>
      <c r="M354" s="260"/>
      <c r="N354" s="260"/>
      <c r="O354" s="260"/>
      <c r="P354" s="260"/>
      <c r="Q354" s="260"/>
      <c r="R354" s="260"/>
      <c r="S354" s="260"/>
      <c r="T354" s="279"/>
      <c r="U354" s="260"/>
      <c r="V354" s="260"/>
      <c r="W354" s="260"/>
      <c r="X354" s="260"/>
      <c r="Y354" s="260"/>
      <c r="Z354" s="260"/>
      <c r="AA354" s="264"/>
      <c r="AB354" s="260"/>
      <c r="AC354" s="260"/>
      <c r="AD354" s="260"/>
      <c r="AE354" s="260"/>
      <c r="AF354" s="260"/>
      <c r="AG354" s="260"/>
      <c r="AH354" s="260"/>
    </row>
    <row r="355">
      <c r="A355" s="259"/>
      <c r="B355" s="260"/>
      <c r="C355" s="260"/>
      <c r="D355" s="260"/>
      <c r="E355" s="260"/>
      <c r="F355" s="260"/>
      <c r="G355" s="260"/>
      <c r="H355" s="260"/>
      <c r="I355" s="260"/>
      <c r="J355" s="261"/>
      <c r="K355" s="260"/>
      <c r="L355" s="260"/>
      <c r="M355" s="260"/>
      <c r="N355" s="260"/>
      <c r="O355" s="260"/>
      <c r="P355" s="260"/>
      <c r="Q355" s="260"/>
      <c r="R355" s="260"/>
      <c r="S355" s="260"/>
      <c r="T355" s="279"/>
      <c r="U355" s="260"/>
      <c r="V355" s="260"/>
      <c r="W355" s="260"/>
      <c r="X355" s="260"/>
      <c r="Y355" s="260"/>
      <c r="Z355" s="260"/>
      <c r="AA355" s="264"/>
      <c r="AB355" s="260"/>
      <c r="AC355" s="260"/>
      <c r="AD355" s="260"/>
      <c r="AE355" s="260"/>
      <c r="AF355" s="260"/>
      <c r="AG355" s="260"/>
      <c r="AH355" s="260"/>
    </row>
    <row r="356">
      <c r="A356" s="259"/>
      <c r="B356" s="260"/>
      <c r="C356" s="260"/>
      <c r="D356" s="260"/>
      <c r="E356" s="260"/>
      <c r="F356" s="260"/>
      <c r="G356" s="260"/>
      <c r="H356" s="260"/>
      <c r="I356" s="260"/>
      <c r="J356" s="261"/>
      <c r="K356" s="260"/>
      <c r="L356" s="260"/>
      <c r="M356" s="260"/>
      <c r="N356" s="260"/>
      <c r="O356" s="260"/>
      <c r="P356" s="260"/>
      <c r="Q356" s="260"/>
      <c r="R356" s="260"/>
      <c r="S356" s="260"/>
      <c r="T356" s="279"/>
      <c r="U356" s="260"/>
      <c r="V356" s="260"/>
      <c r="W356" s="260"/>
      <c r="X356" s="260"/>
      <c r="Y356" s="260"/>
      <c r="Z356" s="260"/>
      <c r="AA356" s="264"/>
      <c r="AB356" s="260"/>
      <c r="AC356" s="260"/>
      <c r="AD356" s="260"/>
      <c r="AE356" s="260"/>
      <c r="AF356" s="260"/>
      <c r="AG356" s="260"/>
      <c r="AH356" s="260"/>
    </row>
    <row r="357">
      <c r="A357" s="259"/>
      <c r="B357" s="260"/>
      <c r="C357" s="260"/>
      <c r="D357" s="260"/>
      <c r="E357" s="260"/>
      <c r="F357" s="260"/>
      <c r="G357" s="260"/>
      <c r="H357" s="260"/>
      <c r="I357" s="260"/>
      <c r="J357" s="261"/>
      <c r="K357" s="260"/>
      <c r="L357" s="260"/>
      <c r="M357" s="260"/>
      <c r="N357" s="260"/>
      <c r="O357" s="260"/>
      <c r="P357" s="260"/>
      <c r="Q357" s="260"/>
      <c r="R357" s="260"/>
      <c r="S357" s="260"/>
      <c r="T357" s="279"/>
      <c r="U357" s="260"/>
      <c r="V357" s="260"/>
      <c r="W357" s="260"/>
      <c r="X357" s="260"/>
      <c r="Y357" s="260"/>
      <c r="Z357" s="260"/>
      <c r="AA357" s="264"/>
      <c r="AB357" s="260"/>
      <c r="AC357" s="260"/>
      <c r="AD357" s="260"/>
      <c r="AE357" s="260"/>
      <c r="AF357" s="260"/>
      <c r="AG357" s="260"/>
      <c r="AH357" s="260"/>
    </row>
    <row r="358">
      <c r="A358" s="259"/>
      <c r="B358" s="260"/>
      <c r="C358" s="260"/>
      <c r="D358" s="260"/>
      <c r="E358" s="260"/>
      <c r="F358" s="260"/>
      <c r="G358" s="260"/>
      <c r="H358" s="260"/>
      <c r="I358" s="260"/>
      <c r="J358" s="261"/>
      <c r="K358" s="260"/>
      <c r="L358" s="260"/>
      <c r="M358" s="260"/>
      <c r="N358" s="260"/>
      <c r="O358" s="260"/>
      <c r="P358" s="260"/>
      <c r="Q358" s="260"/>
      <c r="R358" s="260"/>
      <c r="S358" s="260"/>
      <c r="T358" s="279"/>
      <c r="U358" s="260"/>
      <c r="V358" s="260"/>
      <c r="W358" s="260"/>
      <c r="X358" s="260"/>
      <c r="Y358" s="260"/>
      <c r="Z358" s="260"/>
      <c r="AA358" s="264"/>
      <c r="AB358" s="260"/>
      <c r="AC358" s="260"/>
      <c r="AD358" s="260"/>
      <c r="AE358" s="260"/>
      <c r="AF358" s="260"/>
      <c r="AG358" s="260"/>
      <c r="AH358" s="260"/>
    </row>
    <row r="359">
      <c r="A359" s="259"/>
      <c r="B359" s="260"/>
      <c r="C359" s="260"/>
      <c r="D359" s="260"/>
      <c r="E359" s="260"/>
      <c r="F359" s="260"/>
      <c r="G359" s="260"/>
      <c r="H359" s="260"/>
      <c r="I359" s="260"/>
      <c r="J359" s="261"/>
      <c r="K359" s="260"/>
      <c r="L359" s="260"/>
      <c r="M359" s="260"/>
      <c r="N359" s="260"/>
      <c r="O359" s="260"/>
      <c r="P359" s="260"/>
      <c r="Q359" s="260"/>
      <c r="R359" s="260"/>
      <c r="S359" s="260"/>
      <c r="T359" s="279"/>
      <c r="U359" s="260"/>
      <c r="V359" s="260"/>
      <c r="W359" s="260"/>
      <c r="X359" s="260"/>
      <c r="Y359" s="260"/>
      <c r="Z359" s="260"/>
      <c r="AA359" s="264"/>
      <c r="AB359" s="260"/>
      <c r="AC359" s="260"/>
      <c r="AD359" s="260"/>
      <c r="AE359" s="260"/>
      <c r="AF359" s="260"/>
      <c r="AG359" s="260"/>
      <c r="AH359" s="260"/>
    </row>
    <row r="360">
      <c r="A360" s="259"/>
      <c r="B360" s="260"/>
      <c r="C360" s="260"/>
      <c r="D360" s="260"/>
      <c r="E360" s="260"/>
      <c r="F360" s="260"/>
      <c r="G360" s="260"/>
      <c r="H360" s="260"/>
      <c r="I360" s="260"/>
      <c r="J360" s="261"/>
      <c r="K360" s="260"/>
      <c r="L360" s="260"/>
      <c r="M360" s="260"/>
      <c r="N360" s="260"/>
      <c r="O360" s="260"/>
      <c r="P360" s="260"/>
      <c r="Q360" s="260"/>
      <c r="R360" s="260"/>
      <c r="S360" s="260"/>
      <c r="T360" s="279"/>
      <c r="U360" s="260"/>
      <c r="V360" s="260"/>
      <c r="W360" s="260"/>
      <c r="X360" s="260"/>
      <c r="Y360" s="260"/>
      <c r="Z360" s="260"/>
      <c r="AA360" s="264"/>
      <c r="AB360" s="260"/>
      <c r="AC360" s="260"/>
      <c r="AD360" s="260"/>
      <c r="AE360" s="260"/>
      <c r="AF360" s="260"/>
      <c r="AG360" s="260"/>
      <c r="AH360" s="260"/>
    </row>
    <row r="361">
      <c r="A361" s="259"/>
      <c r="B361" s="260"/>
      <c r="C361" s="260"/>
      <c r="D361" s="260"/>
      <c r="E361" s="260"/>
      <c r="F361" s="260"/>
      <c r="G361" s="260"/>
      <c r="H361" s="260"/>
      <c r="I361" s="260"/>
      <c r="J361" s="261"/>
      <c r="K361" s="260"/>
      <c r="L361" s="260"/>
      <c r="M361" s="260"/>
      <c r="N361" s="260"/>
      <c r="O361" s="260"/>
      <c r="P361" s="260"/>
      <c r="Q361" s="260"/>
      <c r="R361" s="260"/>
      <c r="S361" s="260"/>
      <c r="T361" s="279"/>
      <c r="U361" s="260"/>
      <c r="V361" s="260"/>
      <c r="W361" s="260"/>
      <c r="X361" s="260"/>
      <c r="Y361" s="260"/>
      <c r="Z361" s="260"/>
      <c r="AA361" s="264"/>
      <c r="AB361" s="260"/>
      <c r="AC361" s="260"/>
      <c r="AD361" s="260"/>
      <c r="AE361" s="260"/>
      <c r="AF361" s="260"/>
      <c r="AG361" s="260"/>
      <c r="AH361" s="260"/>
    </row>
    <row r="362">
      <c r="A362" s="259"/>
      <c r="B362" s="260"/>
      <c r="C362" s="260"/>
      <c r="D362" s="260"/>
      <c r="E362" s="260"/>
      <c r="F362" s="260"/>
      <c r="G362" s="260"/>
      <c r="H362" s="260"/>
      <c r="I362" s="260"/>
      <c r="J362" s="261"/>
      <c r="K362" s="260"/>
      <c r="L362" s="260"/>
      <c r="M362" s="260"/>
      <c r="N362" s="260"/>
      <c r="O362" s="260"/>
      <c r="P362" s="260"/>
      <c r="Q362" s="260"/>
      <c r="R362" s="260"/>
      <c r="S362" s="260"/>
      <c r="T362" s="279"/>
      <c r="U362" s="260"/>
      <c r="V362" s="260"/>
      <c r="W362" s="260"/>
      <c r="X362" s="260"/>
      <c r="Y362" s="260"/>
      <c r="Z362" s="260"/>
      <c r="AA362" s="264"/>
      <c r="AB362" s="260"/>
      <c r="AC362" s="260"/>
      <c r="AD362" s="260"/>
      <c r="AE362" s="260"/>
      <c r="AF362" s="260"/>
      <c r="AG362" s="260"/>
      <c r="AH362" s="260"/>
    </row>
    <row r="363">
      <c r="A363" s="259"/>
      <c r="B363" s="260"/>
      <c r="C363" s="260"/>
      <c r="D363" s="260"/>
      <c r="E363" s="260"/>
      <c r="F363" s="260"/>
      <c r="G363" s="260"/>
      <c r="H363" s="260"/>
      <c r="I363" s="260"/>
      <c r="J363" s="261"/>
      <c r="K363" s="260"/>
      <c r="L363" s="260"/>
      <c r="M363" s="260"/>
      <c r="N363" s="260"/>
      <c r="O363" s="260"/>
      <c r="P363" s="260"/>
      <c r="Q363" s="260"/>
      <c r="R363" s="260"/>
      <c r="S363" s="260"/>
      <c r="T363" s="279"/>
      <c r="U363" s="260"/>
      <c r="V363" s="260"/>
      <c r="W363" s="260"/>
      <c r="X363" s="260"/>
      <c r="Y363" s="260"/>
      <c r="Z363" s="260"/>
      <c r="AA363" s="264"/>
      <c r="AB363" s="260"/>
      <c r="AC363" s="260"/>
      <c r="AD363" s="260"/>
      <c r="AE363" s="260"/>
      <c r="AF363" s="260"/>
      <c r="AG363" s="260"/>
      <c r="AH363" s="260"/>
    </row>
    <row r="364">
      <c r="A364" s="259"/>
      <c r="B364" s="260"/>
      <c r="C364" s="260"/>
      <c r="D364" s="260"/>
      <c r="E364" s="260"/>
      <c r="F364" s="260"/>
      <c r="G364" s="260"/>
      <c r="H364" s="260"/>
      <c r="I364" s="260"/>
      <c r="J364" s="261"/>
      <c r="K364" s="260"/>
      <c r="L364" s="260"/>
      <c r="M364" s="260"/>
      <c r="N364" s="260"/>
      <c r="O364" s="260"/>
      <c r="P364" s="260"/>
      <c r="Q364" s="260"/>
      <c r="R364" s="260"/>
      <c r="S364" s="260"/>
      <c r="T364" s="279"/>
      <c r="U364" s="260"/>
      <c r="V364" s="260"/>
      <c r="W364" s="260"/>
      <c r="X364" s="260"/>
      <c r="Y364" s="260"/>
      <c r="Z364" s="260"/>
      <c r="AA364" s="264"/>
      <c r="AB364" s="260"/>
      <c r="AC364" s="260"/>
      <c r="AD364" s="260"/>
      <c r="AE364" s="260"/>
      <c r="AF364" s="260"/>
      <c r="AG364" s="260"/>
      <c r="AH364" s="260"/>
    </row>
    <row r="365">
      <c r="A365" s="259"/>
      <c r="B365" s="260"/>
      <c r="C365" s="260"/>
      <c r="D365" s="260"/>
      <c r="E365" s="260"/>
      <c r="F365" s="260"/>
      <c r="G365" s="260"/>
      <c r="H365" s="260"/>
      <c r="I365" s="260"/>
      <c r="J365" s="261"/>
      <c r="K365" s="260"/>
      <c r="L365" s="260"/>
      <c r="M365" s="260"/>
      <c r="N365" s="260"/>
      <c r="O365" s="260"/>
      <c r="P365" s="260"/>
      <c r="Q365" s="260"/>
      <c r="R365" s="260"/>
      <c r="S365" s="260"/>
      <c r="T365" s="279"/>
      <c r="U365" s="260"/>
      <c r="V365" s="260"/>
      <c r="W365" s="260"/>
      <c r="X365" s="260"/>
      <c r="Y365" s="260"/>
      <c r="Z365" s="260"/>
      <c r="AA365" s="264"/>
      <c r="AB365" s="260"/>
      <c r="AC365" s="260"/>
      <c r="AD365" s="260"/>
      <c r="AE365" s="260"/>
      <c r="AF365" s="260"/>
      <c r="AG365" s="260"/>
      <c r="AH365" s="260"/>
    </row>
    <row r="366">
      <c r="A366" s="259"/>
      <c r="B366" s="260"/>
      <c r="C366" s="260"/>
      <c r="D366" s="260"/>
      <c r="E366" s="260"/>
      <c r="F366" s="260"/>
      <c r="G366" s="260"/>
      <c r="H366" s="260"/>
      <c r="I366" s="260"/>
      <c r="J366" s="261"/>
      <c r="K366" s="260"/>
      <c r="L366" s="260"/>
      <c r="M366" s="260"/>
      <c r="N366" s="260"/>
      <c r="O366" s="260"/>
      <c r="P366" s="260"/>
      <c r="Q366" s="260"/>
      <c r="R366" s="260"/>
      <c r="S366" s="260"/>
      <c r="T366" s="279"/>
      <c r="U366" s="260"/>
      <c r="V366" s="260"/>
      <c r="W366" s="260"/>
      <c r="X366" s="260"/>
      <c r="Y366" s="260"/>
      <c r="Z366" s="260"/>
      <c r="AA366" s="264"/>
      <c r="AB366" s="260"/>
      <c r="AC366" s="260"/>
      <c r="AD366" s="260"/>
      <c r="AE366" s="260"/>
      <c r="AF366" s="260"/>
      <c r="AG366" s="260"/>
      <c r="AH366" s="260"/>
    </row>
    <row r="367">
      <c r="A367" s="259"/>
      <c r="B367" s="260"/>
      <c r="C367" s="260"/>
      <c r="D367" s="260"/>
      <c r="E367" s="260"/>
      <c r="F367" s="260"/>
      <c r="G367" s="260"/>
      <c r="H367" s="260"/>
      <c r="I367" s="260"/>
      <c r="J367" s="261"/>
      <c r="K367" s="260"/>
      <c r="L367" s="260"/>
      <c r="M367" s="260"/>
      <c r="N367" s="260"/>
      <c r="O367" s="260"/>
      <c r="P367" s="260"/>
      <c r="Q367" s="260"/>
      <c r="R367" s="260"/>
      <c r="S367" s="260"/>
      <c r="T367" s="279"/>
      <c r="U367" s="260"/>
      <c r="V367" s="260"/>
      <c r="W367" s="260"/>
      <c r="X367" s="260"/>
      <c r="Y367" s="260"/>
      <c r="Z367" s="260"/>
      <c r="AA367" s="264"/>
      <c r="AB367" s="260"/>
      <c r="AC367" s="260"/>
      <c r="AD367" s="260"/>
      <c r="AE367" s="260"/>
      <c r="AF367" s="260"/>
      <c r="AG367" s="260"/>
      <c r="AH367" s="260"/>
    </row>
    <row r="368">
      <c r="A368" s="259"/>
      <c r="B368" s="260"/>
      <c r="C368" s="260"/>
      <c r="D368" s="260"/>
      <c r="E368" s="260"/>
      <c r="F368" s="260"/>
      <c r="G368" s="260"/>
      <c r="H368" s="260"/>
      <c r="I368" s="260"/>
      <c r="J368" s="261"/>
      <c r="K368" s="260"/>
      <c r="L368" s="260"/>
      <c r="M368" s="260"/>
      <c r="N368" s="260"/>
      <c r="O368" s="260"/>
      <c r="P368" s="260"/>
      <c r="Q368" s="260"/>
      <c r="R368" s="260"/>
      <c r="S368" s="260"/>
      <c r="T368" s="279"/>
      <c r="U368" s="260"/>
      <c r="V368" s="260"/>
      <c r="W368" s="260"/>
      <c r="X368" s="260"/>
      <c r="Y368" s="260"/>
      <c r="Z368" s="260"/>
      <c r="AA368" s="264"/>
      <c r="AB368" s="260"/>
      <c r="AC368" s="260"/>
      <c r="AD368" s="260"/>
      <c r="AE368" s="260"/>
      <c r="AF368" s="260"/>
      <c r="AG368" s="260"/>
      <c r="AH368" s="260"/>
    </row>
    <row r="369">
      <c r="A369" s="259"/>
      <c r="B369" s="260"/>
      <c r="C369" s="260"/>
      <c r="D369" s="260"/>
      <c r="E369" s="260"/>
      <c r="F369" s="260"/>
      <c r="G369" s="260"/>
      <c r="H369" s="260"/>
      <c r="I369" s="260"/>
      <c r="J369" s="261"/>
      <c r="K369" s="260"/>
      <c r="L369" s="260"/>
      <c r="M369" s="260"/>
      <c r="N369" s="260"/>
      <c r="O369" s="260"/>
      <c r="P369" s="260"/>
      <c r="Q369" s="260"/>
      <c r="R369" s="260"/>
      <c r="S369" s="260"/>
      <c r="T369" s="279"/>
      <c r="U369" s="260"/>
      <c r="V369" s="260"/>
      <c r="W369" s="260"/>
      <c r="X369" s="260"/>
      <c r="Y369" s="260"/>
      <c r="Z369" s="260"/>
      <c r="AA369" s="264"/>
      <c r="AB369" s="260"/>
      <c r="AC369" s="260"/>
      <c r="AD369" s="260"/>
      <c r="AE369" s="260"/>
      <c r="AF369" s="260"/>
      <c r="AG369" s="260"/>
      <c r="AH369" s="260"/>
    </row>
    <row r="370">
      <c r="A370" s="259"/>
      <c r="B370" s="260"/>
      <c r="C370" s="260"/>
      <c r="D370" s="260"/>
      <c r="E370" s="260"/>
      <c r="F370" s="260"/>
      <c r="G370" s="260"/>
      <c r="H370" s="260"/>
      <c r="I370" s="260"/>
      <c r="J370" s="261"/>
      <c r="K370" s="260"/>
      <c r="L370" s="260"/>
      <c r="M370" s="260"/>
      <c r="N370" s="260"/>
      <c r="O370" s="260"/>
      <c r="P370" s="260"/>
      <c r="Q370" s="260"/>
      <c r="R370" s="260"/>
      <c r="S370" s="260"/>
      <c r="T370" s="279"/>
      <c r="U370" s="260"/>
      <c r="V370" s="260"/>
      <c r="W370" s="260"/>
      <c r="X370" s="260"/>
      <c r="Y370" s="260"/>
      <c r="Z370" s="260"/>
      <c r="AA370" s="264"/>
      <c r="AB370" s="260"/>
      <c r="AC370" s="260"/>
      <c r="AD370" s="260"/>
      <c r="AE370" s="260"/>
      <c r="AF370" s="260"/>
      <c r="AG370" s="260"/>
      <c r="AH370" s="260"/>
    </row>
    <row r="371">
      <c r="A371" s="259"/>
      <c r="B371" s="260"/>
      <c r="C371" s="260"/>
      <c r="D371" s="260"/>
      <c r="E371" s="260"/>
      <c r="F371" s="260"/>
      <c r="G371" s="260"/>
      <c r="H371" s="260"/>
      <c r="I371" s="260"/>
      <c r="J371" s="261"/>
      <c r="K371" s="260"/>
      <c r="L371" s="260"/>
      <c r="M371" s="260"/>
      <c r="N371" s="260"/>
      <c r="O371" s="260"/>
      <c r="P371" s="260"/>
      <c r="Q371" s="260"/>
      <c r="R371" s="260"/>
      <c r="S371" s="260"/>
      <c r="T371" s="279"/>
      <c r="U371" s="260"/>
      <c r="V371" s="260"/>
      <c r="W371" s="260"/>
      <c r="X371" s="260"/>
      <c r="Y371" s="260"/>
      <c r="Z371" s="260"/>
      <c r="AA371" s="264"/>
      <c r="AB371" s="260"/>
      <c r="AC371" s="260"/>
      <c r="AD371" s="260"/>
      <c r="AE371" s="260"/>
      <c r="AF371" s="260"/>
      <c r="AG371" s="260"/>
      <c r="AH371" s="260"/>
    </row>
    <row r="372">
      <c r="A372" s="259"/>
      <c r="B372" s="260"/>
      <c r="C372" s="260"/>
      <c r="D372" s="260"/>
      <c r="E372" s="260"/>
      <c r="F372" s="260"/>
      <c r="G372" s="260"/>
      <c r="H372" s="260"/>
      <c r="I372" s="260"/>
      <c r="J372" s="261"/>
      <c r="K372" s="260"/>
      <c r="L372" s="260"/>
      <c r="M372" s="260"/>
      <c r="N372" s="260"/>
      <c r="O372" s="260"/>
      <c r="P372" s="260"/>
      <c r="Q372" s="260"/>
      <c r="R372" s="260"/>
      <c r="S372" s="260"/>
      <c r="T372" s="279"/>
      <c r="U372" s="260"/>
      <c r="V372" s="260"/>
      <c r="W372" s="260"/>
      <c r="X372" s="260"/>
      <c r="Y372" s="260"/>
      <c r="Z372" s="260"/>
      <c r="AA372" s="264"/>
      <c r="AB372" s="260"/>
      <c r="AC372" s="260"/>
      <c r="AD372" s="260"/>
      <c r="AE372" s="260"/>
      <c r="AF372" s="260"/>
      <c r="AG372" s="260"/>
      <c r="AH372" s="260"/>
    </row>
    <row r="373">
      <c r="A373" s="259"/>
      <c r="B373" s="260"/>
      <c r="C373" s="260"/>
      <c r="D373" s="260"/>
      <c r="E373" s="260"/>
      <c r="F373" s="260"/>
      <c r="G373" s="260"/>
      <c r="H373" s="260"/>
      <c r="I373" s="260"/>
      <c r="J373" s="261"/>
      <c r="K373" s="260"/>
      <c r="L373" s="260"/>
      <c r="M373" s="260"/>
      <c r="N373" s="260"/>
      <c r="O373" s="260"/>
      <c r="P373" s="260"/>
      <c r="Q373" s="260"/>
      <c r="R373" s="260"/>
      <c r="S373" s="260"/>
      <c r="T373" s="279"/>
      <c r="U373" s="260"/>
      <c r="V373" s="260"/>
      <c r="W373" s="260"/>
      <c r="X373" s="260"/>
      <c r="Y373" s="260"/>
      <c r="Z373" s="260"/>
      <c r="AA373" s="264"/>
      <c r="AB373" s="260"/>
      <c r="AC373" s="260"/>
      <c r="AD373" s="260"/>
      <c r="AE373" s="260"/>
      <c r="AF373" s="260"/>
      <c r="AG373" s="260"/>
      <c r="AH373" s="260"/>
    </row>
    <row r="374">
      <c r="A374" s="259"/>
      <c r="B374" s="260"/>
      <c r="C374" s="260"/>
      <c r="D374" s="260"/>
      <c r="E374" s="260"/>
      <c r="F374" s="260"/>
      <c r="G374" s="260"/>
      <c r="H374" s="260"/>
      <c r="I374" s="260"/>
      <c r="J374" s="261"/>
      <c r="K374" s="260"/>
      <c r="L374" s="260"/>
      <c r="M374" s="260"/>
      <c r="N374" s="260"/>
      <c r="O374" s="260"/>
      <c r="P374" s="260"/>
      <c r="Q374" s="260"/>
      <c r="R374" s="260"/>
      <c r="S374" s="260"/>
      <c r="T374" s="279"/>
      <c r="U374" s="260"/>
      <c r="V374" s="260"/>
      <c r="W374" s="260"/>
      <c r="X374" s="260"/>
      <c r="Y374" s="260"/>
      <c r="Z374" s="260"/>
      <c r="AA374" s="264"/>
      <c r="AB374" s="260"/>
      <c r="AC374" s="260"/>
      <c r="AD374" s="260"/>
      <c r="AE374" s="260"/>
      <c r="AF374" s="260"/>
      <c r="AG374" s="260"/>
      <c r="AH374" s="260"/>
    </row>
    <row r="375">
      <c r="A375" s="259"/>
      <c r="B375" s="260"/>
      <c r="C375" s="260"/>
      <c r="D375" s="260"/>
      <c r="E375" s="260"/>
      <c r="F375" s="260"/>
      <c r="G375" s="260"/>
      <c r="H375" s="260"/>
      <c r="I375" s="260"/>
      <c r="J375" s="261"/>
      <c r="K375" s="260"/>
      <c r="L375" s="260"/>
      <c r="M375" s="260"/>
      <c r="N375" s="260"/>
      <c r="O375" s="260"/>
      <c r="P375" s="260"/>
      <c r="Q375" s="260"/>
      <c r="R375" s="260"/>
      <c r="S375" s="260"/>
      <c r="T375" s="279"/>
      <c r="U375" s="260"/>
      <c r="V375" s="260"/>
      <c r="W375" s="260"/>
      <c r="X375" s="260"/>
      <c r="Y375" s="260"/>
      <c r="Z375" s="260"/>
      <c r="AA375" s="264"/>
      <c r="AB375" s="260"/>
      <c r="AC375" s="260"/>
      <c r="AD375" s="260"/>
      <c r="AE375" s="260"/>
      <c r="AF375" s="260"/>
      <c r="AG375" s="260"/>
      <c r="AH375" s="260"/>
    </row>
    <row r="376">
      <c r="A376" s="259"/>
      <c r="B376" s="260"/>
      <c r="C376" s="260"/>
      <c r="D376" s="260"/>
      <c r="E376" s="260"/>
      <c r="F376" s="260"/>
      <c r="G376" s="260"/>
      <c r="H376" s="260"/>
      <c r="I376" s="260"/>
      <c r="J376" s="261"/>
      <c r="K376" s="260"/>
      <c r="L376" s="260"/>
      <c r="M376" s="260"/>
      <c r="N376" s="260"/>
      <c r="O376" s="260"/>
      <c r="P376" s="260"/>
      <c r="Q376" s="260"/>
      <c r="R376" s="260"/>
      <c r="S376" s="260"/>
      <c r="T376" s="279"/>
      <c r="U376" s="260"/>
      <c r="V376" s="260"/>
      <c r="W376" s="260"/>
      <c r="X376" s="260"/>
      <c r="Y376" s="260"/>
      <c r="Z376" s="260"/>
      <c r="AA376" s="264"/>
      <c r="AB376" s="260"/>
      <c r="AC376" s="260"/>
      <c r="AD376" s="260"/>
      <c r="AE376" s="260"/>
      <c r="AF376" s="260"/>
      <c r="AG376" s="260"/>
      <c r="AH376" s="260"/>
    </row>
    <row r="377">
      <c r="A377" s="259"/>
      <c r="B377" s="260"/>
      <c r="C377" s="260"/>
      <c r="D377" s="260"/>
      <c r="E377" s="260"/>
      <c r="F377" s="260"/>
      <c r="G377" s="260"/>
      <c r="H377" s="260"/>
      <c r="I377" s="260"/>
      <c r="J377" s="261"/>
      <c r="K377" s="260"/>
      <c r="L377" s="260"/>
      <c r="M377" s="260"/>
      <c r="N377" s="260"/>
      <c r="O377" s="260"/>
      <c r="P377" s="260"/>
      <c r="Q377" s="260"/>
      <c r="R377" s="260"/>
      <c r="S377" s="260"/>
      <c r="T377" s="279"/>
      <c r="U377" s="260"/>
      <c r="V377" s="260"/>
      <c r="W377" s="260"/>
      <c r="X377" s="260"/>
      <c r="Y377" s="260"/>
      <c r="Z377" s="260"/>
      <c r="AA377" s="264"/>
      <c r="AB377" s="260"/>
      <c r="AC377" s="260"/>
      <c r="AD377" s="260"/>
      <c r="AE377" s="260"/>
      <c r="AF377" s="260"/>
      <c r="AG377" s="260"/>
      <c r="AH377" s="260"/>
    </row>
    <row r="378">
      <c r="A378" s="259"/>
      <c r="B378" s="260"/>
      <c r="C378" s="260"/>
      <c r="D378" s="260"/>
      <c r="E378" s="260"/>
      <c r="F378" s="260"/>
      <c r="G378" s="260"/>
      <c r="H378" s="260"/>
      <c r="I378" s="260"/>
      <c r="J378" s="261"/>
      <c r="K378" s="260"/>
      <c r="L378" s="260"/>
      <c r="M378" s="260"/>
      <c r="N378" s="260"/>
      <c r="O378" s="260"/>
      <c r="P378" s="260"/>
      <c r="Q378" s="260"/>
      <c r="R378" s="260"/>
      <c r="S378" s="260"/>
      <c r="T378" s="279"/>
      <c r="U378" s="260"/>
      <c r="V378" s="260"/>
      <c r="W378" s="260"/>
      <c r="X378" s="260"/>
      <c r="Y378" s="260"/>
      <c r="Z378" s="260"/>
      <c r="AA378" s="264"/>
      <c r="AB378" s="260"/>
      <c r="AC378" s="260"/>
      <c r="AD378" s="260"/>
      <c r="AE378" s="260"/>
      <c r="AF378" s="260"/>
      <c r="AG378" s="260"/>
      <c r="AH378" s="260"/>
    </row>
    <row r="379">
      <c r="A379" s="259"/>
      <c r="B379" s="260"/>
      <c r="C379" s="260"/>
      <c r="D379" s="260"/>
      <c r="E379" s="260"/>
      <c r="F379" s="260"/>
      <c r="G379" s="260"/>
      <c r="H379" s="260"/>
      <c r="I379" s="260"/>
      <c r="J379" s="261"/>
      <c r="K379" s="260"/>
      <c r="L379" s="260"/>
      <c r="M379" s="260"/>
      <c r="N379" s="260"/>
      <c r="O379" s="260"/>
      <c r="P379" s="260"/>
      <c r="Q379" s="260"/>
      <c r="R379" s="260"/>
      <c r="S379" s="260"/>
      <c r="T379" s="279"/>
      <c r="U379" s="260"/>
      <c r="V379" s="260"/>
      <c r="W379" s="260"/>
      <c r="X379" s="260"/>
      <c r="Y379" s="260"/>
      <c r="Z379" s="260"/>
      <c r="AA379" s="264"/>
      <c r="AB379" s="260"/>
      <c r="AC379" s="260"/>
      <c r="AD379" s="260"/>
      <c r="AE379" s="260"/>
      <c r="AF379" s="260"/>
      <c r="AG379" s="260"/>
      <c r="AH379" s="260"/>
    </row>
    <row r="380">
      <c r="A380" s="259"/>
      <c r="B380" s="260"/>
      <c r="C380" s="260"/>
      <c r="D380" s="260"/>
      <c r="E380" s="260"/>
      <c r="F380" s="260"/>
      <c r="G380" s="260"/>
      <c r="H380" s="260"/>
      <c r="I380" s="260"/>
      <c r="J380" s="261"/>
      <c r="K380" s="260"/>
      <c r="L380" s="260"/>
      <c r="M380" s="260"/>
      <c r="N380" s="260"/>
      <c r="O380" s="260"/>
      <c r="P380" s="260"/>
      <c r="Q380" s="260"/>
      <c r="R380" s="260"/>
      <c r="S380" s="260"/>
      <c r="T380" s="279"/>
      <c r="U380" s="260"/>
      <c r="V380" s="260"/>
      <c r="W380" s="260"/>
      <c r="X380" s="260"/>
      <c r="Y380" s="260"/>
      <c r="Z380" s="260"/>
      <c r="AA380" s="264"/>
      <c r="AB380" s="260"/>
      <c r="AC380" s="260"/>
      <c r="AD380" s="260"/>
      <c r="AE380" s="260"/>
      <c r="AF380" s="260"/>
      <c r="AG380" s="260"/>
      <c r="AH380" s="260"/>
    </row>
    <row r="381">
      <c r="A381" s="259"/>
      <c r="B381" s="260"/>
      <c r="C381" s="260"/>
      <c r="D381" s="260"/>
      <c r="E381" s="260"/>
      <c r="F381" s="260"/>
      <c r="G381" s="260"/>
      <c r="H381" s="260"/>
      <c r="I381" s="260"/>
      <c r="J381" s="261"/>
      <c r="K381" s="260"/>
      <c r="L381" s="260"/>
      <c r="M381" s="260"/>
      <c r="N381" s="260"/>
      <c r="O381" s="260"/>
      <c r="P381" s="260"/>
      <c r="Q381" s="260"/>
      <c r="R381" s="260"/>
      <c r="S381" s="260"/>
      <c r="T381" s="279"/>
      <c r="U381" s="260"/>
      <c r="V381" s="260"/>
      <c r="W381" s="260"/>
      <c r="X381" s="260"/>
      <c r="Y381" s="260"/>
      <c r="Z381" s="260"/>
      <c r="AA381" s="264"/>
      <c r="AB381" s="260"/>
      <c r="AC381" s="260"/>
      <c r="AD381" s="260"/>
      <c r="AE381" s="260"/>
      <c r="AF381" s="260"/>
      <c r="AG381" s="260"/>
      <c r="AH381" s="260"/>
    </row>
    <row r="382">
      <c r="A382" s="259"/>
      <c r="B382" s="260"/>
      <c r="C382" s="260"/>
      <c r="D382" s="260"/>
      <c r="E382" s="260"/>
      <c r="F382" s="260"/>
      <c r="G382" s="260"/>
      <c r="H382" s="260"/>
      <c r="I382" s="260"/>
      <c r="J382" s="261"/>
      <c r="K382" s="260"/>
      <c r="L382" s="260"/>
      <c r="M382" s="260"/>
      <c r="N382" s="260"/>
      <c r="O382" s="260"/>
      <c r="P382" s="260"/>
      <c r="Q382" s="260"/>
      <c r="R382" s="260"/>
      <c r="S382" s="260"/>
      <c r="T382" s="279"/>
      <c r="U382" s="260"/>
      <c r="V382" s="260"/>
      <c r="W382" s="260"/>
      <c r="X382" s="260"/>
      <c r="Y382" s="260"/>
      <c r="Z382" s="260"/>
      <c r="AA382" s="264"/>
      <c r="AB382" s="260"/>
      <c r="AC382" s="260"/>
      <c r="AD382" s="260"/>
      <c r="AE382" s="260"/>
      <c r="AF382" s="260"/>
      <c r="AG382" s="260"/>
      <c r="AH382" s="260"/>
    </row>
    <row r="383">
      <c r="A383" s="259"/>
      <c r="B383" s="260"/>
      <c r="C383" s="260"/>
      <c r="D383" s="260"/>
      <c r="E383" s="260"/>
      <c r="F383" s="260"/>
      <c r="G383" s="260"/>
      <c r="H383" s="260"/>
      <c r="I383" s="260"/>
      <c r="J383" s="261"/>
      <c r="K383" s="260"/>
      <c r="L383" s="260"/>
      <c r="M383" s="260"/>
      <c r="N383" s="260"/>
      <c r="O383" s="260"/>
      <c r="P383" s="260"/>
      <c r="Q383" s="260"/>
      <c r="R383" s="260"/>
      <c r="S383" s="260"/>
      <c r="T383" s="279"/>
      <c r="U383" s="260"/>
      <c r="V383" s="260"/>
      <c r="W383" s="260"/>
      <c r="X383" s="260"/>
      <c r="Y383" s="260"/>
      <c r="Z383" s="260"/>
      <c r="AA383" s="264"/>
      <c r="AB383" s="260"/>
      <c r="AC383" s="260"/>
      <c r="AD383" s="260"/>
      <c r="AE383" s="260"/>
      <c r="AF383" s="260"/>
      <c r="AG383" s="260"/>
      <c r="AH383" s="260"/>
    </row>
    <row r="384">
      <c r="A384" s="259"/>
      <c r="B384" s="260"/>
      <c r="C384" s="260"/>
      <c r="D384" s="260"/>
      <c r="E384" s="260"/>
      <c r="F384" s="260"/>
      <c r="G384" s="260"/>
      <c r="H384" s="260"/>
      <c r="I384" s="260"/>
      <c r="J384" s="261"/>
      <c r="K384" s="260"/>
      <c r="L384" s="260"/>
      <c r="M384" s="260"/>
      <c r="N384" s="260"/>
      <c r="O384" s="260"/>
      <c r="P384" s="260"/>
      <c r="Q384" s="260"/>
      <c r="R384" s="260"/>
      <c r="S384" s="260"/>
      <c r="T384" s="279"/>
      <c r="U384" s="260"/>
      <c r="V384" s="260"/>
      <c r="W384" s="260"/>
      <c r="X384" s="260"/>
      <c r="Y384" s="260"/>
      <c r="Z384" s="260"/>
      <c r="AA384" s="264"/>
      <c r="AB384" s="260"/>
      <c r="AC384" s="260"/>
      <c r="AD384" s="260"/>
      <c r="AE384" s="260"/>
      <c r="AF384" s="260"/>
      <c r="AG384" s="260"/>
      <c r="AH384" s="260"/>
    </row>
    <row r="385">
      <c r="A385" s="259"/>
      <c r="B385" s="260"/>
      <c r="C385" s="260"/>
      <c r="D385" s="260"/>
      <c r="E385" s="260"/>
      <c r="F385" s="260"/>
      <c r="G385" s="260"/>
      <c r="H385" s="260"/>
      <c r="I385" s="260"/>
      <c r="J385" s="261"/>
      <c r="K385" s="260"/>
      <c r="L385" s="260"/>
      <c r="M385" s="260"/>
      <c r="N385" s="260"/>
      <c r="O385" s="260"/>
      <c r="P385" s="260"/>
      <c r="Q385" s="260"/>
      <c r="R385" s="260"/>
      <c r="S385" s="260"/>
      <c r="T385" s="279"/>
      <c r="U385" s="260"/>
      <c r="V385" s="260"/>
      <c r="W385" s="260"/>
      <c r="X385" s="260"/>
      <c r="Y385" s="260"/>
      <c r="Z385" s="260"/>
      <c r="AA385" s="264"/>
      <c r="AB385" s="260"/>
      <c r="AC385" s="260"/>
      <c r="AD385" s="260"/>
      <c r="AE385" s="260"/>
      <c r="AF385" s="260"/>
      <c r="AG385" s="260"/>
      <c r="AH385" s="260"/>
    </row>
    <row r="386">
      <c r="A386" s="259"/>
      <c r="B386" s="260"/>
      <c r="C386" s="260"/>
      <c r="D386" s="260"/>
      <c r="E386" s="260"/>
      <c r="F386" s="260"/>
      <c r="G386" s="260"/>
      <c r="H386" s="260"/>
      <c r="I386" s="260"/>
      <c r="J386" s="261"/>
      <c r="K386" s="260"/>
      <c r="L386" s="260"/>
      <c r="M386" s="260"/>
      <c r="N386" s="260"/>
      <c r="O386" s="260"/>
      <c r="P386" s="260"/>
      <c r="Q386" s="260"/>
      <c r="R386" s="260"/>
      <c r="S386" s="260"/>
      <c r="T386" s="279"/>
      <c r="U386" s="260"/>
      <c r="V386" s="260"/>
      <c r="W386" s="260"/>
      <c r="X386" s="260"/>
      <c r="Y386" s="260"/>
      <c r="Z386" s="260"/>
      <c r="AA386" s="264"/>
      <c r="AB386" s="260"/>
      <c r="AC386" s="260"/>
      <c r="AD386" s="260"/>
      <c r="AE386" s="260"/>
      <c r="AF386" s="260"/>
      <c r="AG386" s="260"/>
      <c r="AH386" s="260"/>
    </row>
    <row r="387">
      <c r="A387" s="259"/>
      <c r="B387" s="260"/>
      <c r="C387" s="260"/>
      <c r="D387" s="260"/>
      <c r="E387" s="260"/>
      <c r="F387" s="260"/>
      <c r="G387" s="260"/>
      <c r="H387" s="260"/>
      <c r="I387" s="260"/>
      <c r="J387" s="261"/>
      <c r="K387" s="260"/>
      <c r="L387" s="260"/>
      <c r="M387" s="260"/>
      <c r="N387" s="260"/>
      <c r="O387" s="260"/>
      <c r="P387" s="260"/>
      <c r="Q387" s="260"/>
      <c r="R387" s="260"/>
      <c r="S387" s="260"/>
      <c r="T387" s="279"/>
      <c r="U387" s="260"/>
      <c r="V387" s="260"/>
      <c r="W387" s="260"/>
      <c r="X387" s="260"/>
      <c r="Y387" s="260"/>
      <c r="Z387" s="260"/>
      <c r="AA387" s="264"/>
      <c r="AB387" s="260"/>
      <c r="AC387" s="260"/>
      <c r="AD387" s="260"/>
      <c r="AE387" s="260"/>
      <c r="AF387" s="260"/>
      <c r="AG387" s="260"/>
      <c r="AH387" s="260"/>
    </row>
    <row r="388">
      <c r="A388" s="259"/>
      <c r="B388" s="260"/>
      <c r="C388" s="260"/>
      <c r="D388" s="260"/>
      <c r="E388" s="260"/>
      <c r="F388" s="260"/>
      <c r="G388" s="260"/>
      <c r="H388" s="260"/>
      <c r="I388" s="260"/>
      <c r="J388" s="261"/>
      <c r="K388" s="260"/>
      <c r="L388" s="260"/>
      <c r="M388" s="260"/>
      <c r="N388" s="260"/>
      <c r="O388" s="260"/>
      <c r="P388" s="260"/>
      <c r="Q388" s="260"/>
      <c r="R388" s="260"/>
      <c r="S388" s="260"/>
      <c r="T388" s="279"/>
      <c r="U388" s="260"/>
      <c r="V388" s="260"/>
      <c r="W388" s="260"/>
      <c r="X388" s="260"/>
      <c r="Y388" s="260"/>
      <c r="Z388" s="260"/>
      <c r="AA388" s="264"/>
      <c r="AB388" s="260"/>
      <c r="AC388" s="260"/>
      <c r="AD388" s="260"/>
      <c r="AE388" s="260"/>
      <c r="AF388" s="260"/>
      <c r="AG388" s="260"/>
      <c r="AH388" s="260"/>
    </row>
    <row r="389">
      <c r="A389" s="259"/>
      <c r="B389" s="260"/>
      <c r="C389" s="260"/>
      <c r="D389" s="260"/>
      <c r="E389" s="260"/>
      <c r="F389" s="260"/>
      <c r="G389" s="260"/>
      <c r="H389" s="260"/>
      <c r="I389" s="260"/>
      <c r="J389" s="261"/>
      <c r="K389" s="260"/>
      <c r="L389" s="260"/>
      <c r="M389" s="260"/>
      <c r="N389" s="260"/>
      <c r="O389" s="260"/>
      <c r="P389" s="260"/>
      <c r="Q389" s="260"/>
      <c r="R389" s="260"/>
      <c r="S389" s="260"/>
      <c r="T389" s="279"/>
      <c r="U389" s="260"/>
      <c r="V389" s="260"/>
      <c r="W389" s="260"/>
      <c r="X389" s="260"/>
      <c r="Y389" s="260"/>
      <c r="Z389" s="260"/>
      <c r="AA389" s="264"/>
      <c r="AB389" s="260"/>
      <c r="AC389" s="260"/>
      <c r="AD389" s="260"/>
      <c r="AE389" s="260"/>
      <c r="AF389" s="260"/>
      <c r="AG389" s="260"/>
      <c r="AH389" s="260"/>
    </row>
    <row r="390">
      <c r="A390" s="259"/>
      <c r="B390" s="260"/>
      <c r="C390" s="260"/>
      <c r="D390" s="260"/>
      <c r="E390" s="260"/>
      <c r="F390" s="260"/>
      <c r="G390" s="260"/>
      <c r="H390" s="260"/>
      <c r="I390" s="260"/>
      <c r="J390" s="261"/>
      <c r="K390" s="260"/>
      <c r="L390" s="260"/>
      <c r="M390" s="260"/>
      <c r="N390" s="260"/>
      <c r="O390" s="260"/>
      <c r="P390" s="260"/>
      <c r="Q390" s="260"/>
      <c r="R390" s="260"/>
      <c r="S390" s="260"/>
      <c r="T390" s="279"/>
      <c r="U390" s="260"/>
      <c r="V390" s="260"/>
      <c r="W390" s="260"/>
      <c r="X390" s="260"/>
      <c r="Y390" s="260"/>
      <c r="Z390" s="260"/>
      <c r="AA390" s="264"/>
      <c r="AB390" s="260"/>
      <c r="AC390" s="260"/>
      <c r="AD390" s="260"/>
      <c r="AE390" s="260"/>
      <c r="AF390" s="260"/>
      <c r="AG390" s="260"/>
      <c r="AH390" s="260"/>
    </row>
    <row r="391">
      <c r="A391" s="259"/>
      <c r="B391" s="260"/>
      <c r="C391" s="260"/>
      <c r="D391" s="260"/>
      <c r="E391" s="260"/>
      <c r="F391" s="260"/>
      <c r="G391" s="260"/>
      <c r="H391" s="260"/>
      <c r="I391" s="260"/>
      <c r="J391" s="261"/>
      <c r="K391" s="260"/>
      <c r="L391" s="260"/>
      <c r="M391" s="260"/>
      <c r="N391" s="260"/>
      <c r="O391" s="260"/>
      <c r="P391" s="260"/>
      <c r="Q391" s="260"/>
      <c r="R391" s="260"/>
      <c r="S391" s="260"/>
      <c r="T391" s="279"/>
      <c r="U391" s="260"/>
      <c r="V391" s="260"/>
      <c r="W391" s="260"/>
      <c r="X391" s="260"/>
      <c r="Y391" s="260"/>
      <c r="Z391" s="260"/>
      <c r="AA391" s="264"/>
      <c r="AB391" s="260"/>
      <c r="AC391" s="260"/>
      <c r="AD391" s="260"/>
      <c r="AE391" s="260"/>
      <c r="AF391" s="260"/>
      <c r="AG391" s="260"/>
      <c r="AH391" s="260"/>
    </row>
    <row r="392">
      <c r="A392" s="259"/>
      <c r="B392" s="260"/>
      <c r="C392" s="260"/>
      <c r="D392" s="260"/>
      <c r="E392" s="260"/>
      <c r="F392" s="260"/>
      <c r="G392" s="260"/>
      <c r="H392" s="260"/>
      <c r="I392" s="260"/>
      <c r="J392" s="261"/>
      <c r="K392" s="260"/>
      <c r="L392" s="260"/>
      <c r="M392" s="260"/>
      <c r="N392" s="260"/>
      <c r="O392" s="260"/>
      <c r="P392" s="260"/>
      <c r="Q392" s="260"/>
      <c r="R392" s="260"/>
      <c r="S392" s="260"/>
      <c r="T392" s="279"/>
      <c r="U392" s="260"/>
      <c r="V392" s="260"/>
      <c r="W392" s="260"/>
      <c r="X392" s="260"/>
      <c r="Y392" s="260"/>
      <c r="Z392" s="260"/>
      <c r="AA392" s="264"/>
      <c r="AB392" s="260"/>
      <c r="AC392" s="260"/>
      <c r="AD392" s="260"/>
      <c r="AE392" s="260"/>
      <c r="AF392" s="260"/>
      <c r="AG392" s="260"/>
      <c r="AH392" s="260"/>
    </row>
    <row r="393">
      <c r="A393" s="259"/>
      <c r="B393" s="260"/>
      <c r="C393" s="260"/>
      <c r="D393" s="260"/>
      <c r="E393" s="260"/>
      <c r="F393" s="260"/>
      <c r="G393" s="260"/>
      <c r="H393" s="260"/>
      <c r="I393" s="260"/>
      <c r="J393" s="261"/>
      <c r="K393" s="260"/>
      <c r="L393" s="260"/>
      <c r="M393" s="260"/>
      <c r="N393" s="260"/>
      <c r="O393" s="260"/>
      <c r="P393" s="260"/>
      <c r="Q393" s="260"/>
      <c r="R393" s="260"/>
      <c r="S393" s="260"/>
      <c r="T393" s="279"/>
      <c r="U393" s="260"/>
      <c r="V393" s="260"/>
      <c r="W393" s="260"/>
      <c r="X393" s="260"/>
      <c r="Y393" s="260"/>
      <c r="Z393" s="260"/>
      <c r="AA393" s="264"/>
      <c r="AB393" s="260"/>
      <c r="AC393" s="260"/>
      <c r="AD393" s="260"/>
      <c r="AE393" s="260"/>
      <c r="AF393" s="260"/>
      <c r="AG393" s="260"/>
      <c r="AH393" s="260"/>
    </row>
    <row r="394">
      <c r="A394" s="259"/>
      <c r="B394" s="260"/>
      <c r="C394" s="260"/>
      <c r="D394" s="260"/>
      <c r="E394" s="260"/>
      <c r="F394" s="260"/>
      <c r="G394" s="260"/>
      <c r="H394" s="260"/>
      <c r="I394" s="260"/>
      <c r="J394" s="261"/>
      <c r="K394" s="260"/>
      <c r="L394" s="260"/>
      <c r="M394" s="260"/>
      <c r="N394" s="260"/>
      <c r="O394" s="260"/>
      <c r="P394" s="260"/>
      <c r="Q394" s="260"/>
      <c r="R394" s="260"/>
      <c r="S394" s="260"/>
      <c r="T394" s="279"/>
      <c r="U394" s="260"/>
      <c r="V394" s="260"/>
      <c r="W394" s="260"/>
      <c r="X394" s="260"/>
      <c r="Y394" s="260"/>
      <c r="Z394" s="260"/>
      <c r="AA394" s="264"/>
      <c r="AB394" s="260"/>
      <c r="AC394" s="260"/>
      <c r="AD394" s="260"/>
      <c r="AE394" s="260"/>
      <c r="AF394" s="260"/>
      <c r="AG394" s="260"/>
      <c r="AH394" s="260"/>
    </row>
    <row r="395">
      <c r="A395" s="259"/>
      <c r="B395" s="260"/>
      <c r="C395" s="260"/>
      <c r="D395" s="260"/>
      <c r="E395" s="260"/>
      <c r="F395" s="260"/>
      <c r="G395" s="260"/>
      <c r="H395" s="260"/>
      <c r="I395" s="260"/>
      <c r="J395" s="261"/>
      <c r="K395" s="260"/>
      <c r="L395" s="260"/>
      <c r="M395" s="260"/>
      <c r="N395" s="260"/>
      <c r="O395" s="260"/>
      <c r="P395" s="260"/>
      <c r="Q395" s="260"/>
      <c r="R395" s="260"/>
      <c r="S395" s="260"/>
      <c r="T395" s="279"/>
      <c r="U395" s="260"/>
      <c r="V395" s="260"/>
      <c r="W395" s="260"/>
      <c r="X395" s="260"/>
      <c r="Y395" s="260"/>
      <c r="Z395" s="260"/>
      <c r="AA395" s="264"/>
      <c r="AB395" s="260"/>
      <c r="AC395" s="260"/>
      <c r="AD395" s="260"/>
      <c r="AE395" s="260"/>
      <c r="AF395" s="260"/>
      <c r="AG395" s="260"/>
      <c r="AH395" s="260"/>
    </row>
    <row r="396">
      <c r="A396" s="259"/>
      <c r="B396" s="260"/>
      <c r="C396" s="260"/>
      <c r="D396" s="260"/>
      <c r="E396" s="260"/>
      <c r="F396" s="260"/>
      <c r="G396" s="260"/>
      <c r="H396" s="260"/>
      <c r="I396" s="260"/>
      <c r="J396" s="261"/>
      <c r="K396" s="260"/>
      <c r="L396" s="260"/>
      <c r="M396" s="260"/>
      <c r="N396" s="260"/>
      <c r="O396" s="260"/>
      <c r="P396" s="260"/>
      <c r="Q396" s="260"/>
      <c r="R396" s="260"/>
      <c r="S396" s="260"/>
      <c r="T396" s="279"/>
      <c r="U396" s="260"/>
      <c r="V396" s="260"/>
      <c r="W396" s="260"/>
      <c r="X396" s="260"/>
      <c r="Y396" s="260"/>
      <c r="Z396" s="260"/>
      <c r="AA396" s="264"/>
      <c r="AB396" s="260"/>
      <c r="AC396" s="260"/>
      <c r="AD396" s="260"/>
      <c r="AE396" s="260"/>
      <c r="AF396" s="260"/>
      <c r="AG396" s="260"/>
      <c r="AH396" s="260"/>
    </row>
    <row r="397">
      <c r="A397" s="259"/>
      <c r="B397" s="260"/>
      <c r="C397" s="260"/>
      <c r="D397" s="260"/>
      <c r="E397" s="260"/>
      <c r="F397" s="260"/>
      <c r="G397" s="260"/>
      <c r="H397" s="260"/>
      <c r="I397" s="260"/>
      <c r="J397" s="261"/>
      <c r="K397" s="260"/>
      <c r="L397" s="260"/>
      <c r="M397" s="260"/>
      <c r="N397" s="260"/>
      <c r="O397" s="260"/>
      <c r="P397" s="260"/>
      <c r="Q397" s="260"/>
      <c r="R397" s="260"/>
      <c r="S397" s="260"/>
      <c r="T397" s="279"/>
      <c r="U397" s="260"/>
      <c r="V397" s="260"/>
      <c r="W397" s="260"/>
      <c r="X397" s="260"/>
      <c r="Y397" s="260"/>
      <c r="Z397" s="260"/>
      <c r="AA397" s="264"/>
      <c r="AB397" s="260"/>
      <c r="AC397" s="260"/>
      <c r="AD397" s="260"/>
      <c r="AE397" s="260"/>
      <c r="AF397" s="260"/>
      <c r="AG397" s="260"/>
      <c r="AH397" s="260"/>
    </row>
    <row r="398">
      <c r="A398" s="259"/>
      <c r="B398" s="260"/>
      <c r="C398" s="260"/>
      <c r="D398" s="260"/>
      <c r="E398" s="260"/>
      <c r="F398" s="260"/>
      <c r="G398" s="260"/>
      <c r="H398" s="260"/>
      <c r="I398" s="260"/>
      <c r="J398" s="261"/>
      <c r="K398" s="260"/>
      <c r="L398" s="260"/>
      <c r="M398" s="260"/>
      <c r="N398" s="260"/>
      <c r="O398" s="260"/>
      <c r="P398" s="260"/>
      <c r="Q398" s="260"/>
      <c r="R398" s="260"/>
      <c r="S398" s="260"/>
      <c r="T398" s="279"/>
      <c r="U398" s="260"/>
      <c r="V398" s="260"/>
      <c r="W398" s="260"/>
      <c r="X398" s="260"/>
      <c r="Y398" s="260"/>
      <c r="Z398" s="260"/>
      <c r="AA398" s="264"/>
      <c r="AB398" s="260"/>
      <c r="AC398" s="260"/>
      <c r="AD398" s="260"/>
      <c r="AE398" s="260"/>
      <c r="AF398" s="260"/>
      <c r="AG398" s="260"/>
      <c r="AH398" s="260"/>
    </row>
    <row r="399">
      <c r="A399" s="259"/>
      <c r="B399" s="260"/>
      <c r="C399" s="260"/>
      <c r="D399" s="260"/>
      <c r="E399" s="260"/>
      <c r="F399" s="260"/>
      <c r="G399" s="260"/>
      <c r="H399" s="260"/>
      <c r="I399" s="260"/>
      <c r="J399" s="261"/>
      <c r="K399" s="260"/>
      <c r="L399" s="260"/>
      <c r="M399" s="260"/>
      <c r="N399" s="260"/>
      <c r="O399" s="260"/>
      <c r="P399" s="260"/>
      <c r="Q399" s="260"/>
      <c r="R399" s="260"/>
      <c r="S399" s="260"/>
      <c r="T399" s="279"/>
      <c r="U399" s="260"/>
      <c r="V399" s="260"/>
      <c r="W399" s="260"/>
      <c r="X399" s="260"/>
      <c r="Y399" s="260"/>
      <c r="Z399" s="260"/>
      <c r="AA399" s="264"/>
      <c r="AB399" s="260"/>
      <c r="AC399" s="260"/>
      <c r="AD399" s="260"/>
      <c r="AE399" s="260"/>
      <c r="AF399" s="260"/>
      <c r="AG399" s="260"/>
      <c r="AH399" s="260"/>
    </row>
    <row r="400">
      <c r="A400" s="259"/>
      <c r="B400" s="260"/>
      <c r="C400" s="260"/>
      <c r="D400" s="260"/>
      <c r="E400" s="260"/>
      <c r="F400" s="260"/>
      <c r="G400" s="260"/>
      <c r="H400" s="260"/>
      <c r="I400" s="260"/>
      <c r="J400" s="261"/>
      <c r="K400" s="260"/>
      <c r="L400" s="260"/>
      <c r="M400" s="260"/>
      <c r="N400" s="260"/>
      <c r="O400" s="260"/>
      <c r="P400" s="260"/>
      <c r="Q400" s="260"/>
      <c r="R400" s="260"/>
      <c r="S400" s="260"/>
      <c r="T400" s="279"/>
      <c r="U400" s="260"/>
      <c r="V400" s="260"/>
      <c r="W400" s="260"/>
      <c r="X400" s="260"/>
      <c r="Y400" s="260"/>
      <c r="Z400" s="260"/>
      <c r="AA400" s="264"/>
      <c r="AB400" s="260"/>
      <c r="AC400" s="260"/>
      <c r="AD400" s="260"/>
      <c r="AE400" s="260"/>
      <c r="AF400" s="260"/>
      <c r="AG400" s="260"/>
      <c r="AH400" s="260"/>
    </row>
    <row r="401">
      <c r="A401" s="259"/>
      <c r="B401" s="260"/>
      <c r="C401" s="260"/>
      <c r="D401" s="260"/>
      <c r="E401" s="260"/>
      <c r="F401" s="260"/>
      <c r="G401" s="260"/>
      <c r="H401" s="260"/>
      <c r="I401" s="260"/>
      <c r="J401" s="261"/>
      <c r="K401" s="260"/>
      <c r="L401" s="260"/>
      <c r="M401" s="260"/>
      <c r="N401" s="260"/>
      <c r="O401" s="260"/>
      <c r="P401" s="260"/>
      <c r="Q401" s="260"/>
      <c r="R401" s="260"/>
      <c r="S401" s="260"/>
      <c r="T401" s="279"/>
      <c r="U401" s="260"/>
      <c r="V401" s="260"/>
      <c r="W401" s="260"/>
      <c r="X401" s="260"/>
      <c r="Y401" s="260"/>
      <c r="Z401" s="260"/>
      <c r="AA401" s="264"/>
      <c r="AB401" s="260"/>
      <c r="AC401" s="260"/>
      <c r="AD401" s="260"/>
      <c r="AE401" s="260"/>
      <c r="AF401" s="260"/>
      <c r="AG401" s="260"/>
      <c r="AH401" s="260"/>
    </row>
    <row r="402">
      <c r="A402" s="259"/>
      <c r="B402" s="260"/>
      <c r="C402" s="260"/>
      <c r="D402" s="260"/>
      <c r="E402" s="260"/>
      <c r="F402" s="260"/>
      <c r="G402" s="260"/>
      <c r="H402" s="260"/>
      <c r="I402" s="260"/>
      <c r="J402" s="261"/>
      <c r="K402" s="260"/>
      <c r="L402" s="260"/>
      <c r="M402" s="260"/>
      <c r="N402" s="260"/>
      <c r="O402" s="260"/>
      <c r="P402" s="260"/>
      <c r="Q402" s="260"/>
      <c r="R402" s="260"/>
      <c r="S402" s="260"/>
      <c r="T402" s="279"/>
      <c r="U402" s="260"/>
      <c r="V402" s="260"/>
      <c r="W402" s="260"/>
      <c r="X402" s="260"/>
      <c r="Y402" s="260"/>
      <c r="Z402" s="260"/>
      <c r="AA402" s="264"/>
      <c r="AB402" s="260"/>
      <c r="AC402" s="260"/>
      <c r="AD402" s="260"/>
      <c r="AE402" s="260"/>
      <c r="AF402" s="260"/>
      <c r="AG402" s="260"/>
      <c r="AH402" s="260"/>
    </row>
    <row r="403">
      <c r="A403" s="259"/>
      <c r="B403" s="260"/>
      <c r="C403" s="260"/>
      <c r="D403" s="260"/>
      <c r="E403" s="260"/>
      <c r="F403" s="260"/>
      <c r="G403" s="260"/>
      <c r="H403" s="260"/>
      <c r="I403" s="260"/>
      <c r="J403" s="261"/>
      <c r="K403" s="260"/>
      <c r="L403" s="260"/>
      <c r="M403" s="260"/>
      <c r="N403" s="260"/>
      <c r="O403" s="260"/>
      <c r="P403" s="260"/>
      <c r="Q403" s="260"/>
      <c r="R403" s="260"/>
      <c r="S403" s="260"/>
      <c r="T403" s="279"/>
      <c r="U403" s="260"/>
      <c r="V403" s="260"/>
      <c r="W403" s="260"/>
      <c r="X403" s="260"/>
      <c r="Y403" s="260"/>
      <c r="Z403" s="260"/>
      <c r="AA403" s="264"/>
      <c r="AB403" s="260"/>
      <c r="AC403" s="260"/>
      <c r="AD403" s="260"/>
      <c r="AE403" s="260"/>
      <c r="AF403" s="260"/>
      <c r="AG403" s="260"/>
      <c r="AH403" s="260"/>
    </row>
    <row r="404">
      <c r="A404" s="259"/>
      <c r="B404" s="260"/>
      <c r="C404" s="260"/>
      <c r="D404" s="260"/>
      <c r="E404" s="260"/>
      <c r="F404" s="260"/>
      <c r="G404" s="260"/>
      <c r="H404" s="260"/>
      <c r="I404" s="260"/>
      <c r="J404" s="261"/>
      <c r="K404" s="260"/>
      <c r="L404" s="260"/>
      <c r="M404" s="260"/>
      <c r="N404" s="260"/>
      <c r="O404" s="260"/>
      <c r="P404" s="260"/>
      <c r="Q404" s="260"/>
      <c r="R404" s="260"/>
      <c r="S404" s="260"/>
      <c r="T404" s="279"/>
      <c r="U404" s="260"/>
      <c r="V404" s="260"/>
      <c r="W404" s="260"/>
      <c r="X404" s="260"/>
      <c r="Y404" s="260"/>
      <c r="Z404" s="260"/>
      <c r="AA404" s="264"/>
      <c r="AB404" s="260"/>
      <c r="AC404" s="260"/>
      <c r="AD404" s="260"/>
      <c r="AE404" s="260"/>
      <c r="AF404" s="260"/>
      <c r="AG404" s="260"/>
      <c r="AH404" s="260"/>
    </row>
    <row r="405">
      <c r="A405" s="259"/>
      <c r="B405" s="260"/>
      <c r="C405" s="260"/>
      <c r="D405" s="260"/>
      <c r="E405" s="260"/>
      <c r="F405" s="260"/>
      <c r="G405" s="260"/>
      <c r="H405" s="260"/>
      <c r="I405" s="260"/>
      <c r="J405" s="261"/>
      <c r="K405" s="260"/>
      <c r="L405" s="260"/>
      <c r="M405" s="260"/>
      <c r="N405" s="260"/>
      <c r="O405" s="260"/>
      <c r="P405" s="260"/>
      <c r="Q405" s="260"/>
      <c r="R405" s="260"/>
      <c r="S405" s="260"/>
      <c r="T405" s="279"/>
      <c r="U405" s="260"/>
      <c r="V405" s="260"/>
      <c r="W405" s="260"/>
      <c r="X405" s="260"/>
      <c r="Y405" s="260"/>
      <c r="Z405" s="260"/>
      <c r="AA405" s="264"/>
      <c r="AB405" s="260"/>
      <c r="AC405" s="260"/>
      <c r="AD405" s="260"/>
      <c r="AE405" s="260"/>
      <c r="AF405" s="260"/>
      <c r="AG405" s="260"/>
      <c r="AH405" s="260"/>
    </row>
    <row r="406">
      <c r="A406" s="259"/>
      <c r="B406" s="260"/>
      <c r="C406" s="260"/>
      <c r="D406" s="260"/>
      <c r="E406" s="260"/>
      <c r="F406" s="260"/>
      <c r="G406" s="260"/>
      <c r="H406" s="260"/>
      <c r="I406" s="260"/>
      <c r="J406" s="261"/>
      <c r="K406" s="260"/>
      <c r="L406" s="260"/>
      <c r="M406" s="260"/>
      <c r="N406" s="260"/>
      <c r="O406" s="260"/>
      <c r="P406" s="260"/>
      <c r="Q406" s="260"/>
      <c r="R406" s="260"/>
      <c r="S406" s="260"/>
      <c r="T406" s="279"/>
      <c r="U406" s="260"/>
      <c r="V406" s="260"/>
      <c r="W406" s="260"/>
      <c r="X406" s="260"/>
      <c r="Y406" s="260"/>
      <c r="Z406" s="260"/>
      <c r="AA406" s="264"/>
      <c r="AB406" s="260"/>
      <c r="AC406" s="260"/>
      <c r="AD406" s="260"/>
      <c r="AE406" s="260"/>
      <c r="AF406" s="260"/>
      <c r="AG406" s="260"/>
      <c r="AH406" s="260"/>
    </row>
    <row r="407">
      <c r="A407" s="259"/>
      <c r="B407" s="260"/>
      <c r="C407" s="260"/>
      <c r="D407" s="260"/>
      <c r="E407" s="260"/>
      <c r="F407" s="260"/>
      <c r="G407" s="260"/>
      <c r="H407" s="260"/>
      <c r="I407" s="260"/>
      <c r="J407" s="261"/>
      <c r="K407" s="260"/>
      <c r="L407" s="260"/>
      <c r="M407" s="260"/>
      <c r="N407" s="260"/>
      <c r="O407" s="260"/>
      <c r="P407" s="260"/>
      <c r="Q407" s="260"/>
      <c r="R407" s="260"/>
      <c r="S407" s="260"/>
      <c r="T407" s="279"/>
      <c r="U407" s="260"/>
      <c r="V407" s="260"/>
      <c r="W407" s="260"/>
      <c r="X407" s="260"/>
      <c r="Y407" s="260"/>
      <c r="Z407" s="260"/>
      <c r="AA407" s="264"/>
      <c r="AB407" s="260"/>
      <c r="AC407" s="260"/>
      <c r="AD407" s="260"/>
      <c r="AE407" s="260"/>
      <c r="AF407" s="260"/>
      <c r="AG407" s="260"/>
      <c r="AH407" s="260"/>
    </row>
    <row r="408">
      <c r="A408" s="259"/>
      <c r="B408" s="260"/>
      <c r="C408" s="260"/>
      <c r="D408" s="260"/>
      <c r="E408" s="260"/>
      <c r="F408" s="260"/>
      <c r="G408" s="260"/>
      <c r="H408" s="260"/>
      <c r="I408" s="260"/>
      <c r="J408" s="261"/>
      <c r="K408" s="260"/>
      <c r="L408" s="260"/>
      <c r="M408" s="260"/>
      <c r="N408" s="260"/>
      <c r="O408" s="260"/>
      <c r="P408" s="260"/>
      <c r="Q408" s="260"/>
      <c r="R408" s="260"/>
      <c r="S408" s="260"/>
      <c r="T408" s="279"/>
      <c r="U408" s="260"/>
      <c r="V408" s="260"/>
      <c r="W408" s="260"/>
      <c r="X408" s="260"/>
      <c r="Y408" s="260"/>
      <c r="Z408" s="260"/>
      <c r="AA408" s="264"/>
      <c r="AB408" s="260"/>
      <c r="AC408" s="260"/>
      <c r="AD408" s="260"/>
      <c r="AE408" s="260"/>
      <c r="AF408" s="260"/>
      <c r="AG408" s="260"/>
      <c r="AH408" s="260"/>
    </row>
    <row r="409">
      <c r="A409" s="259"/>
      <c r="B409" s="260"/>
      <c r="C409" s="260"/>
      <c r="D409" s="260"/>
      <c r="E409" s="260"/>
      <c r="F409" s="260"/>
      <c r="G409" s="260"/>
      <c r="H409" s="260"/>
      <c r="I409" s="260"/>
      <c r="J409" s="261"/>
      <c r="K409" s="260"/>
      <c r="L409" s="260"/>
      <c r="M409" s="260"/>
      <c r="N409" s="260"/>
      <c r="O409" s="260"/>
      <c r="P409" s="260"/>
      <c r="Q409" s="260"/>
      <c r="R409" s="260"/>
      <c r="S409" s="260"/>
      <c r="T409" s="279"/>
      <c r="U409" s="260"/>
      <c r="V409" s="260"/>
      <c r="W409" s="260"/>
      <c r="X409" s="260"/>
      <c r="Y409" s="260"/>
      <c r="Z409" s="260"/>
      <c r="AA409" s="264"/>
      <c r="AB409" s="260"/>
      <c r="AC409" s="260"/>
      <c r="AD409" s="260"/>
      <c r="AE409" s="260"/>
      <c r="AF409" s="260"/>
      <c r="AG409" s="260"/>
      <c r="AH409" s="260"/>
    </row>
    <row r="410">
      <c r="A410" s="259"/>
      <c r="B410" s="260"/>
      <c r="C410" s="260"/>
      <c r="D410" s="260"/>
      <c r="E410" s="260"/>
      <c r="F410" s="260"/>
      <c r="G410" s="260"/>
      <c r="H410" s="260"/>
      <c r="I410" s="260"/>
      <c r="J410" s="261"/>
      <c r="K410" s="260"/>
      <c r="L410" s="260"/>
      <c r="M410" s="260"/>
      <c r="N410" s="260"/>
      <c r="O410" s="260"/>
      <c r="P410" s="260"/>
      <c r="Q410" s="260"/>
      <c r="R410" s="260"/>
      <c r="S410" s="260"/>
      <c r="T410" s="279"/>
      <c r="U410" s="260"/>
      <c r="V410" s="260"/>
      <c r="W410" s="260"/>
      <c r="X410" s="260"/>
      <c r="Y410" s="260"/>
      <c r="Z410" s="260"/>
      <c r="AA410" s="264"/>
      <c r="AB410" s="260"/>
      <c r="AC410" s="260"/>
      <c r="AD410" s="260"/>
      <c r="AE410" s="260"/>
      <c r="AF410" s="260"/>
      <c r="AG410" s="260"/>
      <c r="AH410" s="260"/>
    </row>
    <row r="411">
      <c r="A411" s="259"/>
      <c r="B411" s="260"/>
      <c r="C411" s="260"/>
      <c r="D411" s="260"/>
      <c r="E411" s="260"/>
      <c r="F411" s="260"/>
      <c r="G411" s="260"/>
      <c r="H411" s="260"/>
      <c r="I411" s="260"/>
      <c r="J411" s="261"/>
      <c r="K411" s="260"/>
      <c r="L411" s="260"/>
      <c r="M411" s="260"/>
      <c r="N411" s="260"/>
      <c r="O411" s="260"/>
      <c r="P411" s="260"/>
      <c r="Q411" s="260"/>
      <c r="R411" s="260"/>
      <c r="S411" s="260"/>
      <c r="T411" s="279"/>
      <c r="U411" s="260"/>
      <c r="V411" s="260"/>
      <c r="W411" s="260"/>
      <c r="X411" s="260"/>
      <c r="Y411" s="260"/>
      <c r="Z411" s="260"/>
      <c r="AA411" s="264"/>
      <c r="AB411" s="260"/>
      <c r="AC411" s="260"/>
      <c r="AD411" s="260"/>
      <c r="AE411" s="260"/>
      <c r="AF411" s="260"/>
      <c r="AG411" s="260"/>
      <c r="AH411" s="260"/>
    </row>
    <row r="412">
      <c r="A412" s="259"/>
      <c r="B412" s="260"/>
      <c r="C412" s="260"/>
      <c r="D412" s="260"/>
      <c r="E412" s="260"/>
      <c r="F412" s="260"/>
      <c r="G412" s="260"/>
      <c r="H412" s="260"/>
      <c r="I412" s="260"/>
      <c r="J412" s="261"/>
      <c r="K412" s="260"/>
      <c r="L412" s="260"/>
      <c r="M412" s="260"/>
      <c r="N412" s="260"/>
      <c r="O412" s="260"/>
      <c r="P412" s="260"/>
      <c r="Q412" s="260"/>
      <c r="R412" s="260"/>
      <c r="S412" s="260"/>
      <c r="T412" s="279"/>
      <c r="U412" s="260"/>
      <c r="V412" s="260"/>
      <c r="W412" s="260"/>
      <c r="X412" s="260"/>
      <c r="Y412" s="260"/>
      <c r="Z412" s="260"/>
      <c r="AA412" s="264"/>
      <c r="AB412" s="260"/>
      <c r="AC412" s="260"/>
      <c r="AD412" s="260"/>
      <c r="AE412" s="260"/>
      <c r="AF412" s="260"/>
      <c r="AG412" s="260"/>
      <c r="AH412" s="260"/>
    </row>
    <row r="413">
      <c r="A413" s="259"/>
      <c r="B413" s="260"/>
      <c r="C413" s="260"/>
      <c r="D413" s="260"/>
      <c r="E413" s="260"/>
      <c r="F413" s="260"/>
      <c r="G413" s="260"/>
      <c r="H413" s="260"/>
      <c r="I413" s="260"/>
      <c r="J413" s="261"/>
      <c r="K413" s="260"/>
      <c r="L413" s="260"/>
      <c r="M413" s="260"/>
      <c r="N413" s="260"/>
      <c r="O413" s="260"/>
      <c r="P413" s="260"/>
      <c r="Q413" s="260"/>
      <c r="R413" s="260"/>
      <c r="S413" s="260"/>
      <c r="T413" s="279"/>
      <c r="U413" s="260"/>
      <c r="V413" s="260"/>
      <c r="W413" s="260"/>
      <c r="X413" s="260"/>
      <c r="Y413" s="260"/>
      <c r="Z413" s="260"/>
      <c r="AA413" s="264"/>
      <c r="AB413" s="260"/>
      <c r="AC413" s="260"/>
      <c r="AD413" s="260"/>
      <c r="AE413" s="260"/>
      <c r="AF413" s="260"/>
      <c r="AG413" s="260"/>
      <c r="AH413" s="260"/>
    </row>
    <row r="414">
      <c r="A414" s="259"/>
      <c r="B414" s="260"/>
      <c r="C414" s="260"/>
      <c r="D414" s="260"/>
      <c r="E414" s="260"/>
      <c r="F414" s="260"/>
      <c r="G414" s="260"/>
      <c r="H414" s="260"/>
      <c r="I414" s="260"/>
      <c r="J414" s="261"/>
      <c r="K414" s="260"/>
      <c r="L414" s="260"/>
      <c r="M414" s="260"/>
      <c r="N414" s="260"/>
      <c r="O414" s="260"/>
      <c r="P414" s="260"/>
      <c r="Q414" s="260"/>
      <c r="R414" s="260"/>
      <c r="S414" s="260"/>
      <c r="T414" s="279"/>
      <c r="U414" s="260"/>
      <c r="V414" s="260"/>
      <c r="W414" s="260"/>
      <c r="X414" s="260"/>
      <c r="Y414" s="260"/>
      <c r="Z414" s="260"/>
      <c r="AA414" s="264"/>
      <c r="AB414" s="260"/>
      <c r="AC414" s="260"/>
      <c r="AD414" s="260"/>
      <c r="AE414" s="260"/>
      <c r="AF414" s="260"/>
      <c r="AG414" s="260"/>
      <c r="AH414" s="260"/>
    </row>
    <row r="415">
      <c r="A415" s="259"/>
      <c r="B415" s="260"/>
      <c r="C415" s="260"/>
      <c r="D415" s="260"/>
      <c r="E415" s="260"/>
      <c r="F415" s="260"/>
      <c r="G415" s="260"/>
      <c r="H415" s="260"/>
      <c r="I415" s="260"/>
      <c r="J415" s="261"/>
      <c r="K415" s="260"/>
      <c r="L415" s="260"/>
      <c r="M415" s="260"/>
      <c r="N415" s="260"/>
      <c r="O415" s="260"/>
      <c r="P415" s="260"/>
      <c r="Q415" s="260"/>
      <c r="R415" s="260"/>
      <c r="S415" s="260"/>
      <c r="T415" s="279"/>
      <c r="U415" s="260"/>
      <c r="V415" s="260"/>
      <c r="W415" s="260"/>
      <c r="X415" s="260"/>
      <c r="Y415" s="260"/>
      <c r="Z415" s="260"/>
      <c r="AA415" s="264"/>
      <c r="AB415" s="260"/>
      <c r="AC415" s="260"/>
      <c r="AD415" s="260"/>
      <c r="AE415" s="260"/>
      <c r="AF415" s="260"/>
      <c r="AG415" s="260"/>
      <c r="AH415" s="260"/>
    </row>
    <row r="416">
      <c r="A416" s="259"/>
      <c r="B416" s="260"/>
      <c r="C416" s="260"/>
      <c r="D416" s="260"/>
      <c r="E416" s="260"/>
      <c r="F416" s="260"/>
      <c r="G416" s="260"/>
      <c r="H416" s="260"/>
      <c r="I416" s="260"/>
      <c r="J416" s="261"/>
      <c r="K416" s="260"/>
      <c r="L416" s="260"/>
      <c r="M416" s="260"/>
      <c r="N416" s="260"/>
      <c r="O416" s="260"/>
      <c r="P416" s="260"/>
      <c r="Q416" s="260"/>
      <c r="R416" s="260"/>
      <c r="S416" s="260"/>
      <c r="T416" s="279"/>
      <c r="U416" s="260"/>
      <c r="V416" s="260"/>
      <c r="W416" s="260"/>
      <c r="X416" s="260"/>
      <c r="Y416" s="260"/>
      <c r="Z416" s="260"/>
      <c r="AA416" s="264"/>
      <c r="AB416" s="260"/>
      <c r="AC416" s="260"/>
      <c r="AD416" s="260"/>
      <c r="AE416" s="260"/>
      <c r="AF416" s="260"/>
      <c r="AG416" s="260"/>
      <c r="AH416" s="260"/>
    </row>
    <row r="417">
      <c r="A417" s="259"/>
      <c r="B417" s="260"/>
      <c r="C417" s="260"/>
      <c r="D417" s="260"/>
      <c r="E417" s="260"/>
      <c r="F417" s="260"/>
      <c r="G417" s="260"/>
      <c r="H417" s="260"/>
      <c r="I417" s="260"/>
      <c r="J417" s="261"/>
      <c r="K417" s="260"/>
      <c r="L417" s="260"/>
      <c r="M417" s="260"/>
      <c r="N417" s="260"/>
      <c r="O417" s="260"/>
      <c r="P417" s="260"/>
      <c r="Q417" s="260"/>
      <c r="R417" s="260"/>
      <c r="S417" s="260"/>
      <c r="T417" s="279"/>
      <c r="U417" s="260"/>
      <c r="V417" s="260"/>
      <c r="W417" s="260"/>
      <c r="X417" s="260"/>
      <c r="Y417" s="260"/>
      <c r="Z417" s="260"/>
      <c r="AA417" s="264"/>
      <c r="AB417" s="260"/>
      <c r="AC417" s="260"/>
      <c r="AD417" s="260"/>
      <c r="AE417" s="260"/>
      <c r="AF417" s="260"/>
      <c r="AG417" s="260"/>
      <c r="AH417" s="260"/>
    </row>
    <row r="418">
      <c r="A418" s="259"/>
      <c r="B418" s="260"/>
      <c r="C418" s="260"/>
      <c r="D418" s="260"/>
      <c r="E418" s="260"/>
      <c r="F418" s="260"/>
      <c r="G418" s="260"/>
      <c r="H418" s="260"/>
      <c r="I418" s="260"/>
      <c r="J418" s="261"/>
      <c r="K418" s="260"/>
      <c r="L418" s="260"/>
      <c r="M418" s="260"/>
      <c r="N418" s="260"/>
      <c r="O418" s="260"/>
      <c r="P418" s="260"/>
      <c r="Q418" s="260"/>
      <c r="R418" s="260"/>
      <c r="S418" s="260"/>
      <c r="T418" s="279"/>
      <c r="U418" s="260"/>
      <c r="V418" s="260"/>
      <c r="W418" s="260"/>
      <c r="X418" s="260"/>
      <c r="Y418" s="260"/>
      <c r="Z418" s="260"/>
      <c r="AA418" s="264"/>
      <c r="AB418" s="260"/>
      <c r="AC418" s="260"/>
      <c r="AD418" s="260"/>
      <c r="AE418" s="260"/>
      <c r="AF418" s="260"/>
      <c r="AG418" s="260"/>
      <c r="AH418" s="260"/>
    </row>
    <row r="419">
      <c r="A419" s="259"/>
      <c r="B419" s="260"/>
      <c r="C419" s="260"/>
      <c r="D419" s="260"/>
      <c r="E419" s="260"/>
      <c r="F419" s="260"/>
      <c r="G419" s="260"/>
      <c r="H419" s="260"/>
      <c r="I419" s="260"/>
      <c r="J419" s="261"/>
      <c r="K419" s="260"/>
      <c r="L419" s="260"/>
      <c r="M419" s="260"/>
      <c r="N419" s="260"/>
      <c r="O419" s="260"/>
      <c r="P419" s="260"/>
      <c r="Q419" s="260"/>
      <c r="R419" s="260"/>
      <c r="S419" s="260"/>
      <c r="T419" s="279"/>
      <c r="U419" s="260"/>
      <c r="V419" s="260"/>
      <c r="W419" s="260"/>
      <c r="X419" s="260"/>
      <c r="Y419" s="260"/>
      <c r="Z419" s="260"/>
      <c r="AA419" s="264"/>
      <c r="AB419" s="260"/>
      <c r="AC419" s="260"/>
      <c r="AD419" s="260"/>
      <c r="AE419" s="260"/>
      <c r="AF419" s="260"/>
      <c r="AG419" s="260"/>
      <c r="AH419" s="260"/>
    </row>
    <row r="420">
      <c r="A420" s="259"/>
      <c r="B420" s="260"/>
      <c r="C420" s="260"/>
      <c r="D420" s="260"/>
      <c r="E420" s="260"/>
      <c r="F420" s="260"/>
      <c r="G420" s="260"/>
      <c r="H420" s="260"/>
      <c r="I420" s="260"/>
      <c r="J420" s="261"/>
      <c r="K420" s="260"/>
      <c r="L420" s="260"/>
      <c r="M420" s="260"/>
      <c r="N420" s="260"/>
      <c r="O420" s="260"/>
      <c r="P420" s="260"/>
      <c r="Q420" s="260"/>
      <c r="R420" s="260"/>
      <c r="S420" s="260"/>
      <c r="T420" s="279"/>
      <c r="U420" s="260"/>
      <c r="V420" s="260"/>
      <c r="W420" s="260"/>
      <c r="X420" s="260"/>
      <c r="Y420" s="260"/>
      <c r="Z420" s="260"/>
      <c r="AA420" s="264"/>
      <c r="AB420" s="260"/>
      <c r="AC420" s="260"/>
      <c r="AD420" s="260"/>
      <c r="AE420" s="260"/>
      <c r="AF420" s="260"/>
      <c r="AG420" s="260"/>
      <c r="AH420" s="260"/>
    </row>
    <row r="421">
      <c r="A421" s="259"/>
      <c r="B421" s="260"/>
      <c r="C421" s="260"/>
      <c r="D421" s="260"/>
      <c r="E421" s="260"/>
      <c r="F421" s="260"/>
      <c r="G421" s="260"/>
      <c r="H421" s="260"/>
      <c r="I421" s="260"/>
      <c r="J421" s="261"/>
      <c r="K421" s="260"/>
      <c r="L421" s="260"/>
      <c r="M421" s="260"/>
      <c r="N421" s="260"/>
      <c r="O421" s="260"/>
      <c r="P421" s="260"/>
      <c r="Q421" s="260"/>
      <c r="R421" s="260"/>
      <c r="S421" s="260"/>
      <c r="T421" s="279"/>
      <c r="U421" s="260"/>
      <c r="V421" s="260"/>
      <c r="W421" s="260"/>
      <c r="X421" s="260"/>
      <c r="Y421" s="260"/>
      <c r="Z421" s="260"/>
      <c r="AA421" s="264"/>
      <c r="AB421" s="260"/>
      <c r="AC421" s="260"/>
      <c r="AD421" s="260"/>
      <c r="AE421" s="260"/>
      <c r="AF421" s="260"/>
      <c r="AG421" s="260"/>
      <c r="AH421" s="260"/>
    </row>
    <row r="422">
      <c r="A422" s="259"/>
      <c r="B422" s="260"/>
      <c r="C422" s="260"/>
      <c r="D422" s="260"/>
      <c r="E422" s="260"/>
      <c r="F422" s="260"/>
      <c r="G422" s="260"/>
      <c r="H422" s="260"/>
      <c r="I422" s="260"/>
      <c r="J422" s="261"/>
      <c r="K422" s="260"/>
      <c r="L422" s="260"/>
      <c r="M422" s="260"/>
      <c r="N422" s="260"/>
      <c r="O422" s="260"/>
      <c r="P422" s="260"/>
      <c r="Q422" s="260"/>
      <c r="R422" s="260"/>
      <c r="S422" s="260"/>
      <c r="T422" s="279"/>
      <c r="U422" s="260"/>
      <c r="V422" s="260"/>
      <c r="W422" s="260"/>
      <c r="X422" s="260"/>
      <c r="Y422" s="260"/>
      <c r="Z422" s="260"/>
      <c r="AA422" s="264"/>
      <c r="AB422" s="260"/>
      <c r="AC422" s="260"/>
      <c r="AD422" s="260"/>
      <c r="AE422" s="260"/>
      <c r="AF422" s="260"/>
      <c r="AG422" s="260"/>
      <c r="AH422" s="260"/>
    </row>
    <row r="423">
      <c r="A423" s="259"/>
      <c r="B423" s="260"/>
      <c r="C423" s="260"/>
      <c r="D423" s="260"/>
      <c r="E423" s="260"/>
      <c r="F423" s="260"/>
      <c r="G423" s="260"/>
      <c r="H423" s="260"/>
      <c r="I423" s="260"/>
      <c r="J423" s="261"/>
      <c r="K423" s="260"/>
      <c r="L423" s="260"/>
      <c r="M423" s="260"/>
      <c r="N423" s="260"/>
      <c r="O423" s="260"/>
      <c r="P423" s="260"/>
      <c r="Q423" s="260"/>
      <c r="R423" s="260"/>
      <c r="S423" s="260"/>
      <c r="T423" s="279"/>
      <c r="U423" s="260"/>
      <c r="V423" s="260"/>
      <c r="W423" s="260"/>
      <c r="X423" s="260"/>
      <c r="Y423" s="260"/>
      <c r="Z423" s="260"/>
      <c r="AA423" s="264"/>
      <c r="AB423" s="260"/>
      <c r="AC423" s="260"/>
      <c r="AD423" s="260"/>
      <c r="AE423" s="260"/>
      <c r="AF423" s="260"/>
      <c r="AG423" s="260"/>
      <c r="AH423" s="260"/>
    </row>
    <row r="424">
      <c r="A424" s="259"/>
      <c r="B424" s="260"/>
      <c r="C424" s="260"/>
      <c r="D424" s="260"/>
      <c r="E424" s="260"/>
      <c r="F424" s="260"/>
      <c r="G424" s="260"/>
      <c r="H424" s="260"/>
      <c r="I424" s="260"/>
      <c r="J424" s="261"/>
      <c r="K424" s="260"/>
      <c r="L424" s="260"/>
      <c r="M424" s="260"/>
      <c r="N424" s="260"/>
      <c r="O424" s="260"/>
      <c r="P424" s="260"/>
      <c r="Q424" s="260"/>
      <c r="R424" s="260"/>
      <c r="S424" s="260"/>
      <c r="T424" s="279"/>
      <c r="U424" s="260"/>
      <c r="V424" s="260"/>
      <c r="W424" s="260"/>
      <c r="X424" s="260"/>
      <c r="Y424" s="260"/>
      <c r="Z424" s="260"/>
      <c r="AA424" s="264"/>
      <c r="AB424" s="260"/>
      <c r="AC424" s="260"/>
      <c r="AD424" s="260"/>
      <c r="AE424" s="260"/>
      <c r="AF424" s="260"/>
      <c r="AG424" s="260"/>
      <c r="AH424" s="260"/>
    </row>
    <row r="425">
      <c r="A425" s="259"/>
      <c r="B425" s="260"/>
      <c r="C425" s="260"/>
      <c r="D425" s="260"/>
      <c r="E425" s="260"/>
      <c r="F425" s="260"/>
      <c r="G425" s="260"/>
      <c r="H425" s="260"/>
      <c r="I425" s="260"/>
      <c r="J425" s="261"/>
      <c r="K425" s="260"/>
      <c r="L425" s="260"/>
      <c r="M425" s="260"/>
      <c r="N425" s="260"/>
      <c r="O425" s="260"/>
      <c r="P425" s="260"/>
      <c r="Q425" s="260"/>
      <c r="R425" s="260"/>
      <c r="S425" s="260"/>
      <c r="T425" s="279"/>
      <c r="U425" s="260"/>
      <c r="V425" s="260"/>
      <c r="W425" s="260"/>
      <c r="X425" s="260"/>
      <c r="Y425" s="260"/>
      <c r="Z425" s="260"/>
      <c r="AA425" s="264"/>
      <c r="AB425" s="260"/>
      <c r="AC425" s="260"/>
      <c r="AD425" s="260"/>
      <c r="AE425" s="260"/>
      <c r="AF425" s="260"/>
      <c r="AG425" s="260"/>
      <c r="AH425" s="260"/>
    </row>
    <row r="426">
      <c r="A426" s="259"/>
      <c r="B426" s="260"/>
      <c r="C426" s="260"/>
      <c r="D426" s="260"/>
      <c r="E426" s="260"/>
      <c r="F426" s="260"/>
      <c r="G426" s="260"/>
      <c r="H426" s="260"/>
      <c r="I426" s="260"/>
      <c r="J426" s="261"/>
      <c r="K426" s="260"/>
      <c r="L426" s="260"/>
      <c r="M426" s="260"/>
      <c r="N426" s="260"/>
      <c r="O426" s="260"/>
      <c r="P426" s="260"/>
      <c r="Q426" s="260"/>
      <c r="R426" s="260"/>
      <c r="S426" s="260"/>
      <c r="T426" s="279"/>
      <c r="U426" s="260"/>
      <c r="V426" s="260"/>
      <c r="W426" s="260"/>
      <c r="X426" s="260"/>
      <c r="Y426" s="260"/>
      <c r="Z426" s="260"/>
      <c r="AA426" s="264"/>
      <c r="AB426" s="260"/>
      <c r="AC426" s="260"/>
      <c r="AD426" s="260"/>
      <c r="AE426" s="260"/>
      <c r="AF426" s="260"/>
      <c r="AG426" s="260"/>
      <c r="AH426" s="260"/>
    </row>
    <row r="427">
      <c r="A427" s="259"/>
      <c r="B427" s="260"/>
      <c r="C427" s="260"/>
      <c r="D427" s="260"/>
      <c r="E427" s="260"/>
      <c r="F427" s="260"/>
      <c r="G427" s="260"/>
      <c r="H427" s="260"/>
      <c r="I427" s="260"/>
      <c r="J427" s="261"/>
      <c r="K427" s="260"/>
      <c r="L427" s="260"/>
      <c r="M427" s="260"/>
      <c r="N427" s="260"/>
      <c r="O427" s="260"/>
      <c r="P427" s="260"/>
      <c r="Q427" s="260"/>
      <c r="R427" s="260"/>
      <c r="S427" s="260"/>
      <c r="T427" s="279"/>
      <c r="U427" s="260"/>
      <c r="V427" s="260"/>
      <c r="W427" s="260"/>
      <c r="X427" s="260"/>
      <c r="Y427" s="260"/>
      <c r="Z427" s="260"/>
      <c r="AA427" s="264"/>
      <c r="AB427" s="260"/>
      <c r="AC427" s="260"/>
      <c r="AD427" s="260"/>
      <c r="AE427" s="260"/>
      <c r="AF427" s="260"/>
      <c r="AG427" s="260"/>
      <c r="AH427" s="260"/>
    </row>
    <row r="428">
      <c r="A428" s="259"/>
      <c r="B428" s="260"/>
      <c r="C428" s="260"/>
      <c r="D428" s="260"/>
      <c r="E428" s="260"/>
      <c r="F428" s="260"/>
      <c r="G428" s="260"/>
      <c r="H428" s="260"/>
      <c r="I428" s="260"/>
      <c r="J428" s="261"/>
      <c r="K428" s="260"/>
      <c r="L428" s="260"/>
      <c r="M428" s="260"/>
      <c r="N428" s="260"/>
      <c r="O428" s="260"/>
      <c r="P428" s="260"/>
      <c r="Q428" s="260"/>
      <c r="R428" s="260"/>
      <c r="S428" s="260"/>
      <c r="T428" s="279"/>
      <c r="U428" s="260"/>
      <c r="V428" s="260"/>
      <c r="W428" s="260"/>
      <c r="X428" s="260"/>
      <c r="Y428" s="260"/>
      <c r="Z428" s="260"/>
      <c r="AA428" s="264"/>
      <c r="AB428" s="260"/>
      <c r="AC428" s="260"/>
      <c r="AD428" s="260"/>
      <c r="AE428" s="260"/>
      <c r="AF428" s="260"/>
      <c r="AG428" s="260"/>
      <c r="AH428" s="260"/>
    </row>
    <row r="429">
      <c r="A429" s="259"/>
      <c r="B429" s="260"/>
      <c r="C429" s="260"/>
      <c r="D429" s="260"/>
      <c r="E429" s="260"/>
      <c r="F429" s="260"/>
      <c r="G429" s="260"/>
      <c r="H429" s="260"/>
      <c r="I429" s="260"/>
      <c r="J429" s="261"/>
      <c r="K429" s="260"/>
      <c r="L429" s="260"/>
      <c r="M429" s="260"/>
      <c r="N429" s="260"/>
      <c r="O429" s="260"/>
      <c r="P429" s="260"/>
      <c r="Q429" s="260"/>
      <c r="R429" s="260"/>
      <c r="S429" s="260"/>
      <c r="T429" s="279"/>
      <c r="U429" s="260"/>
      <c r="V429" s="260"/>
      <c r="W429" s="260"/>
      <c r="X429" s="260"/>
      <c r="Y429" s="260"/>
      <c r="Z429" s="260"/>
      <c r="AA429" s="264"/>
      <c r="AB429" s="260"/>
      <c r="AC429" s="260"/>
      <c r="AD429" s="260"/>
      <c r="AE429" s="260"/>
      <c r="AF429" s="260"/>
      <c r="AG429" s="260"/>
      <c r="AH429" s="260"/>
    </row>
    <row r="430">
      <c r="A430" s="259"/>
      <c r="B430" s="260"/>
      <c r="C430" s="260"/>
      <c r="D430" s="260"/>
      <c r="E430" s="260"/>
      <c r="F430" s="260"/>
      <c r="G430" s="260"/>
      <c r="H430" s="260"/>
      <c r="I430" s="260"/>
      <c r="J430" s="261"/>
      <c r="K430" s="260"/>
      <c r="L430" s="260"/>
      <c r="M430" s="260"/>
      <c r="N430" s="260"/>
      <c r="O430" s="260"/>
      <c r="P430" s="260"/>
      <c r="Q430" s="260"/>
      <c r="R430" s="260"/>
      <c r="S430" s="260"/>
      <c r="T430" s="279"/>
      <c r="U430" s="260"/>
      <c r="V430" s="260"/>
      <c r="W430" s="260"/>
      <c r="X430" s="260"/>
      <c r="Y430" s="260"/>
      <c r="Z430" s="260"/>
      <c r="AA430" s="264"/>
      <c r="AB430" s="260"/>
      <c r="AC430" s="260"/>
      <c r="AD430" s="260"/>
      <c r="AE430" s="260"/>
      <c r="AF430" s="260"/>
      <c r="AG430" s="260"/>
      <c r="AH430" s="260"/>
    </row>
    <row r="431">
      <c r="A431" s="259"/>
      <c r="B431" s="260"/>
      <c r="C431" s="260"/>
      <c r="D431" s="260"/>
      <c r="E431" s="260"/>
      <c r="F431" s="260"/>
      <c r="G431" s="260"/>
      <c r="H431" s="260"/>
      <c r="I431" s="260"/>
      <c r="J431" s="261"/>
      <c r="K431" s="260"/>
      <c r="L431" s="260"/>
      <c r="M431" s="260"/>
      <c r="N431" s="260"/>
      <c r="O431" s="260"/>
      <c r="P431" s="260"/>
      <c r="Q431" s="260"/>
      <c r="R431" s="260"/>
      <c r="S431" s="260"/>
      <c r="T431" s="279"/>
      <c r="U431" s="260"/>
      <c r="V431" s="260"/>
      <c r="W431" s="260"/>
      <c r="X431" s="260"/>
      <c r="Y431" s="260"/>
      <c r="Z431" s="260"/>
      <c r="AA431" s="264"/>
      <c r="AB431" s="260"/>
      <c r="AC431" s="260"/>
      <c r="AD431" s="260"/>
      <c r="AE431" s="260"/>
      <c r="AF431" s="260"/>
      <c r="AG431" s="260"/>
      <c r="AH431" s="260"/>
    </row>
    <row r="432">
      <c r="A432" s="259"/>
      <c r="B432" s="260"/>
      <c r="C432" s="260"/>
      <c r="D432" s="260"/>
      <c r="E432" s="260"/>
      <c r="F432" s="260"/>
      <c r="G432" s="260"/>
      <c r="H432" s="260"/>
      <c r="I432" s="260"/>
      <c r="J432" s="261"/>
      <c r="K432" s="260"/>
      <c r="L432" s="260"/>
      <c r="M432" s="260"/>
      <c r="N432" s="260"/>
      <c r="O432" s="260"/>
      <c r="P432" s="260"/>
      <c r="Q432" s="260"/>
      <c r="R432" s="260"/>
      <c r="S432" s="260"/>
      <c r="T432" s="279"/>
      <c r="U432" s="260"/>
      <c r="V432" s="260"/>
      <c r="W432" s="260"/>
      <c r="X432" s="260"/>
      <c r="Y432" s="260"/>
      <c r="Z432" s="260"/>
      <c r="AA432" s="264"/>
      <c r="AB432" s="260"/>
      <c r="AC432" s="260"/>
      <c r="AD432" s="260"/>
      <c r="AE432" s="260"/>
      <c r="AF432" s="260"/>
      <c r="AG432" s="260"/>
      <c r="AH432" s="260"/>
    </row>
    <row r="433">
      <c r="A433" s="259"/>
      <c r="B433" s="260"/>
      <c r="C433" s="260"/>
      <c r="D433" s="260"/>
      <c r="E433" s="260"/>
      <c r="F433" s="260"/>
      <c r="G433" s="260"/>
      <c r="H433" s="260"/>
      <c r="I433" s="260"/>
      <c r="J433" s="261"/>
      <c r="K433" s="260"/>
      <c r="L433" s="260"/>
      <c r="M433" s="260"/>
      <c r="N433" s="260"/>
      <c r="O433" s="260"/>
      <c r="P433" s="260"/>
      <c r="Q433" s="260"/>
      <c r="R433" s="260"/>
      <c r="S433" s="260"/>
      <c r="T433" s="279"/>
      <c r="U433" s="260"/>
      <c r="V433" s="260"/>
      <c r="W433" s="260"/>
      <c r="X433" s="260"/>
      <c r="Y433" s="260"/>
      <c r="Z433" s="260"/>
      <c r="AA433" s="264"/>
      <c r="AB433" s="260"/>
      <c r="AC433" s="260"/>
      <c r="AD433" s="260"/>
      <c r="AE433" s="260"/>
      <c r="AF433" s="260"/>
      <c r="AG433" s="260"/>
      <c r="AH433" s="260"/>
    </row>
    <row r="434">
      <c r="A434" s="259"/>
      <c r="B434" s="260"/>
      <c r="C434" s="260"/>
      <c r="D434" s="260"/>
      <c r="E434" s="260"/>
      <c r="F434" s="260"/>
      <c r="G434" s="260"/>
      <c r="H434" s="260"/>
      <c r="I434" s="260"/>
      <c r="J434" s="261"/>
      <c r="K434" s="260"/>
      <c r="L434" s="260"/>
      <c r="M434" s="260"/>
      <c r="N434" s="260"/>
      <c r="O434" s="260"/>
      <c r="P434" s="260"/>
      <c r="Q434" s="260"/>
      <c r="R434" s="260"/>
      <c r="S434" s="260"/>
      <c r="T434" s="279"/>
      <c r="U434" s="260"/>
      <c r="V434" s="260"/>
      <c r="W434" s="260"/>
      <c r="X434" s="260"/>
      <c r="Y434" s="260"/>
      <c r="Z434" s="260"/>
      <c r="AA434" s="264"/>
      <c r="AB434" s="260"/>
      <c r="AC434" s="260"/>
      <c r="AD434" s="260"/>
      <c r="AE434" s="260"/>
      <c r="AF434" s="260"/>
      <c r="AG434" s="260"/>
      <c r="AH434" s="260"/>
    </row>
    <row r="435">
      <c r="A435" s="259"/>
      <c r="B435" s="260"/>
      <c r="C435" s="260"/>
      <c r="D435" s="260"/>
      <c r="E435" s="260"/>
      <c r="F435" s="260"/>
      <c r="G435" s="260"/>
      <c r="H435" s="260"/>
      <c r="I435" s="260"/>
      <c r="J435" s="261"/>
      <c r="K435" s="260"/>
      <c r="L435" s="260"/>
      <c r="M435" s="260"/>
      <c r="N435" s="260"/>
      <c r="O435" s="260"/>
      <c r="P435" s="260"/>
      <c r="Q435" s="260"/>
      <c r="R435" s="260"/>
      <c r="S435" s="260"/>
      <c r="T435" s="279"/>
      <c r="U435" s="260"/>
      <c r="V435" s="260"/>
      <c r="W435" s="260"/>
      <c r="X435" s="260"/>
      <c r="Y435" s="260"/>
      <c r="Z435" s="260"/>
      <c r="AA435" s="264"/>
      <c r="AB435" s="260"/>
      <c r="AC435" s="260"/>
      <c r="AD435" s="260"/>
      <c r="AE435" s="260"/>
      <c r="AF435" s="260"/>
      <c r="AG435" s="260"/>
      <c r="AH435" s="260"/>
    </row>
    <row r="436">
      <c r="A436" s="259"/>
      <c r="B436" s="260"/>
      <c r="C436" s="260"/>
      <c r="D436" s="260"/>
      <c r="E436" s="260"/>
      <c r="F436" s="260"/>
      <c r="G436" s="260"/>
      <c r="H436" s="260"/>
      <c r="I436" s="260"/>
      <c r="J436" s="261"/>
      <c r="K436" s="260"/>
      <c r="L436" s="260"/>
      <c r="M436" s="260"/>
      <c r="N436" s="260"/>
      <c r="O436" s="260"/>
      <c r="P436" s="260"/>
      <c r="Q436" s="260"/>
      <c r="R436" s="260"/>
      <c r="S436" s="260"/>
      <c r="T436" s="279"/>
      <c r="U436" s="260"/>
      <c r="V436" s="260"/>
      <c r="W436" s="260"/>
      <c r="X436" s="260"/>
      <c r="Y436" s="260"/>
      <c r="Z436" s="260"/>
      <c r="AA436" s="264"/>
      <c r="AB436" s="260"/>
      <c r="AC436" s="260"/>
      <c r="AD436" s="260"/>
      <c r="AE436" s="260"/>
      <c r="AF436" s="260"/>
      <c r="AG436" s="260"/>
      <c r="AH436" s="260"/>
    </row>
    <row r="437">
      <c r="A437" s="259"/>
      <c r="B437" s="260"/>
      <c r="C437" s="260"/>
      <c r="D437" s="260"/>
      <c r="E437" s="260"/>
      <c r="F437" s="260"/>
      <c r="G437" s="260"/>
      <c r="H437" s="260"/>
      <c r="I437" s="260"/>
      <c r="J437" s="261"/>
      <c r="K437" s="260"/>
      <c r="L437" s="260"/>
      <c r="M437" s="260"/>
      <c r="N437" s="260"/>
      <c r="O437" s="260"/>
      <c r="P437" s="260"/>
      <c r="Q437" s="260"/>
      <c r="R437" s="260"/>
      <c r="S437" s="260"/>
      <c r="T437" s="279"/>
      <c r="U437" s="260"/>
      <c r="V437" s="260"/>
      <c r="W437" s="260"/>
      <c r="X437" s="260"/>
      <c r="Y437" s="260"/>
      <c r="Z437" s="260"/>
      <c r="AA437" s="264"/>
      <c r="AB437" s="260"/>
      <c r="AC437" s="260"/>
      <c r="AD437" s="260"/>
      <c r="AE437" s="260"/>
      <c r="AF437" s="260"/>
      <c r="AG437" s="260"/>
      <c r="AH437" s="260"/>
    </row>
    <row r="438">
      <c r="A438" s="259"/>
      <c r="B438" s="260"/>
      <c r="C438" s="260"/>
      <c r="D438" s="260"/>
      <c r="E438" s="260"/>
      <c r="F438" s="260"/>
      <c r="G438" s="260"/>
      <c r="H438" s="260"/>
      <c r="I438" s="260"/>
      <c r="J438" s="261"/>
      <c r="K438" s="260"/>
      <c r="L438" s="260"/>
      <c r="M438" s="260"/>
      <c r="N438" s="260"/>
      <c r="O438" s="260"/>
      <c r="P438" s="260"/>
      <c r="Q438" s="260"/>
      <c r="R438" s="260"/>
      <c r="S438" s="260"/>
      <c r="T438" s="279"/>
      <c r="U438" s="260"/>
      <c r="V438" s="260"/>
      <c r="W438" s="260"/>
      <c r="X438" s="260"/>
      <c r="Y438" s="260"/>
      <c r="Z438" s="260"/>
      <c r="AA438" s="264"/>
      <c r="AB438" s="260"/>
      <c r="AC438" s="260"/>
      <c r="AD438" s="260"/>
      <c r="AE438" s="260"/>
      <c r="AF438" s="260"/>
      <c r="AG438" s="260"/>
      <c r="AH438" s="260"/>
    </row>
    <row r="439">
      <c r="A439" s="259"/>
      <c r="B439" s="260"/>
      <c r="C439" s="260"/>
      <c r="D439" s="260"/>
      <c r="E439" s="260"/>
      <c r="F439" s="260"/>
      <c r="G439" s="260"/>
      <c r="H439" s="260"/>
      <c r="I439" s="260"/>
      <c r="J439" s="261"/>
      <c r="K439" s="260"/>
      <c r="L439" s="260"/>
      <c r="M439" s="260"/>
      <c r="N439" s="260"/>
      <c r="O439" s="260"/>
      <c r="P439" s="260"/>
      <c r="Q439" s="260"/>
      <c r="R439" s="260"/>
      <c r="S439" s="260"/>
      <c r="T439" s="279"/>
      <c r="U439" s="260"/>
      <c r="V439" s="260"/>
      <c r="W439" s="260"/>
      <c r="X439" s="260"/>
      <c r="Y439" s="260"/>
      <c r="Z439" s="260"/>
      <c r="AA439" s="264"/>
      <c r="AB439" s="260"/>
      <c r="AC439" s="260"/>
      <c r="AD439" s="260"/>
      <c r="AE439" s="260"/>
      <c r="AF439" s="260"/>
      <c r="AG439" s="260"/>
      <c r="AH439" s="260"/>
    </row>
    <row r="440">
      <c r="A440" s="259"/>
      <c r="B440" s="260"/>
      <c r="C440" s="260"/>
      <c r="D440" s="260"/>
      <c r="E440" s="260"/>
      <c r="F440" s="260"/>
      <c r="G440" s="260"/>
      <c r="H440" s="260"/>
      <c r="I440" s="260"/>
      <c r="J440" s="261"/>
      <c r="K440" s="260"/>
      <c r="L440" s="260"/>
      <c r="M440" s="260"/>
      <c r="N440" s="260"/>
      <c r="O440" s="260"/>
      <c r="P440" s="260"/>
      <c r="Q440" s="260"/>
      <c r="R440" s="260"/>
      <c r="S440" s="260"/>
      <c r="T440" s="279"/>
      <c r="U440" s="260"/>
      <c r="V440" s="260"/>
      <c r="W440" s="260"/>
      <c r="X440" s="260"/>
      <c r="Y440" s="260"/>
      <c r="Z440" s="260"/>
      <c r="AA440" s="264"/>
      <c r="AB440" s="260"/>
      <c r="AC440" s="260"/>
      <c r="AD440" s="260"/>
      <c r="AE440" s="260"/>
      <c r="AF440" s="260"/>
      <c r="AG440" s="260"/>
      <c r="AH440" s="260"/>
    </row>
    <row r="441">
      <c r="A441" s="259"/>
      <c r="B441" s="260"/>
      <c r="C441" s="260"/>
      <c r="D441" s="260"/>
      <c r="E441" s="260"/>
      <c r="F441" s="260"/>
      <c r="G441" s="260"/>
      <c r="H441" s="260"/>
      <c r="I441" s="260"/>
      <c r="J441" s="261"/>
      <c r="K441" s="260"/>
      <c r="L441" s="260"/>
      <c r="M441" s="260"/>
      <c r="N441" s="260"/>
      <c r="O441" s="260"/>
      <c r="P441" s="260"/>
      <c r="Q441" s="260"/>
      <c r="R441" s="260"/>
      <c r="S441" s="260"/>
      <c r="T441" s="279"/>
      <c r="U441" s="260"/>
      <c r="V441" s="260"/>
      <c r="W441" s="260"/>
      <c r="X441" s="260"/>
      <c r="Y441" s="260"/>
      <c r="Z441" s="260"/>
      <c r="AA441" s="264"/>
      <c r="AB441" s="260"/>
      <c r="AC441" s="260"/>
      <c r="AD441" s="260"/>
      <c r="AE441" s="260"/>
      <c r="AF441" s="260"/>
      <c r="AG441" s="260"/>
      <c r="AH441" s="260"/>
    </row>
    <row r="442">
      <c r="A442" s="259"/>
      <c r="B442" s="260"/>
      <c r="C442" s="260"/>
      <c r="D442" s="260"/>
      <c r="E442" s="260"/>
      <c r="F442" s="260"/>
      <c r="G442" s="260"/>
      <c r="H442" s="260"/>
      <c r="I442" s="260"/>
      <c r="J442" s="261"/>
      <c r="K442" s="260"/>
      <c r="L442" s="260"/>
      <c r="M442" s="260"/>
      <c r="N442" s="260"/>
      <c r="O442" s="260"/>
      <c r="P442" s="260"/>
      <c r="Q442" s="260"/>
      <c r="R442" s="260"/>
      <c r="S442" s="260"/>
      <c r="T442" s="279"/>
      <c r="U442" s="260"/>
      <c r="V442" s="260"/>
      <c r="W442" s="260"/>
      <c r="X442" s="260"/>
      <c r="Y442" s="260"/>
      <c r="Z442" s="260"/>
      <c r="AA442" s="264"/>
      <c r="AB442" s="260"/>
      <c r="AC442" s="260"/>
      <c r="AD442" s="260"/>
      <c r="AE442" s="260"/>
      <c r="AF442" s="260"/>
      <c r="AG442" s="260"/>
      <c r="AH442" s="260"/>
    </row>
    <row r="443">
      <c r="A443" s="259"/>
      <c r="B443" s="260"/>
      <c r="C443" s="260"/>
      <c r="D443" s="260"/>
      <c r="E443" s="260"/>
      <c r="F443" s="260"/>
      <c r="G443" s="260"/>
      <c r="H443" s="260"/>
      <c r="I443" s="260"/>
      <c r="J443" s="261"/>
      <c r="K443" s="260"/>
      <c r="L443" s="260"/>
      <c r="M443" s="260"/>
      <c r="N443" s="260"/>
      <c r="O443" s="260"/>
      <c r="P443" s="260"/>
      <c r="Q443" s="260"/>
      <c r="R443" s="260"/>
      <c r="S443" s="260"/>
      <c r="T443" s="279"/>
      <c r="U443" s="260"/>
      <c r="V443" s="260"/>
      <c r="W443" s="260"/>
      <c r="X443" s="260"/>
      <c r="Y443" s="260"/>
      <c r="Z443" s="260"/>
      <c r="AA443" s="264"/>
      <c r="AB443" s="260"/>
      <c r="AC443" s="260"/>
      <c r="AD443" s="260"/>
      <c r="AE443" s="260"/>
      <c r="AF443" s="260"/>
      <c r="AG443" s="260"/>
      <c r="AH443" s="260"/>
    </row>
    <row r="444">
      <c r="A444" s="259"/>
      <c r="B444" s="260"/>
      <c r="C444" s="260"/>
      <c r="D444" s="260"/>
      <c r="E444" s="260"/>
      <c r="F444" s="260"/>
      <c r="G444" s="260"/>
      <c r="H444" s="260"/>
      <c r="I444" s="260"/>
      <c r="J444" s="261"/>
      <c r="K444" s="260"/>
      <c r="L444" s="260"/>
      <c r="M444" s="260"/>
      <c r="N444" s="260"/>
      <c r="O444" s="260"/>
      <c r="P444" s="260"/>
      <c r="Q444" s="260"/>
      <c r="R444" s="260"/>
      <c r="S444" s="260"/>
      <c r="T444" s="279"/>
      <c r="U444" s="260"/>
      <c r="V444" s="260"/>
      <c r="W444" s="260"/>
      <c r="X444" s="260"/>
      <c r="Y444" s="260"/>
      <c r="Z444" s="260"/>
      <c r="AA444" s="264"/>
      <c r="AB444" s="260"/>
      <c r="AC444" s="260"/>
      <c r="AD444" s="260"/>
      <c r="AE444" s="260"/>
      <c r="AF444" s="260"/>
      <c r="AG444" s="260"/>
      <c r="AH444" s="260"/>
    </row>
    <row r="445">
      <c r="A445" s="259"/>
      <c r="B445" s="260"/>
      <c r="C445" s="260"/>
      <c r="D445" s="260"/>
      <c r="E445" s="260"/>
      <c r="F445" s="260"/>
      <c r="G445" s="260"/>
      <c r="H445" s="260"/>
      <c r="I445" s="260"/>
      <c r="J445" s="261"/>
      <c r="K445" s="260"/>
      <c r="L445" s="260"/>
      <c r="M445" s="260"/>
      <c r="N445" s="260"/>
      <c r="O445" s="260"/>
      <c r="P445" s="260"/>
      <c r="Q445" s="260"/>
      <c r="R445" s="260"/>
      <c r="S445" s="260"/>
      <c r="T445" s="279"/>
      <c r="U445" s="260"/>
      <c r="V445" s="260"/>
      <c r="W445" s="260"/>
      <c r="X445" s="260"/>
      <c r="Y445" s="260"/>
      <c r="Z445" s="260"/>
      <c r="AA445" s="264"/>
      <c r="AB445" s="260"/>
      <c r="AC445" s="260"/>
      <c r="AD445" s="260"/>
      <c r="AE445" s="260"/>
      <c r="AF445" s="260"/>
      <c r="AG445" s="260"/>
      <c r="AH445" s="260"/>
    </row>
    <row r="446">
      <c r="A446" s="259"/>
      <c r="B446" s="260"/>
      <c r="C446" s="260"/>
      <c r="D446" s="260"/>
      <c r="E446" s="260"/>
      <c r="F446" s="260"/>
      <c r="G446" s="260"/>
      <c r="H446" s="260"/>
      <c r="I446" s="260"/>
      <c r="J446" s="261"/>
      <c r="K446" s="260"/>
      <c r="L446" s="260"/>
      <c r="M446" s="260"/>
      <c r="N446" s="260"/>
      <c r="O446" s="260"/>
      <c r="P446" s="260"/>
      <c r="Q446" s="260"/>
      <c r="R446" s="260"/>
      <c r="S446" s="260"/>
      <c r="T446" s="279"/>
      <c r="U446" s="260"/>
      <c r="V446" s="260"/>
      <c r="W446" s="260"/>
      <c r="X446" s="260"/>
      <c r="Y446" s="260"/>
      <c r="Z446" s="260"/>
      <c r="AA446" s="264"/>
      <c r="AB446" s="260"/>
      <c r="AC446" s="260"/>
      <c r="AD446" s="260"/>
      <c r="AE446" s="260"/>
      <c r="AF446" s="260"/>
      <c r="AG446" s="260"/>
      <c r="AH446" s="260"/>
    </row>
    <row r="447">
      <c r="A447" s="259"/>
      <c r="B447" s="260"/>
      <c r="C447" s="260"/>
      <c r="D447" s="260"/>
      <c r="E447" s="260"/>
      <c r="F447" s="260"/>
      <c r="G447" s="260"/>
      <c r="H447" s="260"/>
      <c r="I447" s="260"/>
      <c r="J447" s="261"/>
      <c r="K447" s="260"/>
      <c r="L447" s="260"/>
      <c r="M447" s="260"/>
      <c r="N447" s="260"/>
      <c r="O447" s="260"/>
      <c r="P447" s="260"/>
      <c r="Q447" s="260"/>
      <c r="R447" s="260"/>
      <c r="S447" s="260"/>
      <c r="T447" s="279"/>
      <c r="U447" s="260"/>
      <c r="V447" s="260"/>
      <c r="W447" s="260"/>
      <c r="X447" s="260"/>
      <c r="Y447" s="260"/>
      <c r="Z447" s="260"/>
      <c r="AA447" s="264"/>
      <c r="AB447" s="260"/>
      <c r="AC447" s="260"/>
      <c r="AD447" s="260"/>
      <c r="AE447" s="260"/>
      <c r="AF447" s="260"/>
      <c r="AG447" s="260"/>
      <c r="AH447" s="260"/>
    </row>
    <row r="448">
      <c r="A448" s="259"/>
      <c r="B448" s="260"/>
      <c r="C448" s="260"/>
      <c r="D448" s="260"/>
      <c r="E448" s="260"/>
      <c r="F448" s="260"/>
      <c r="G448" s="260"/>
      <c r="H448" s="260"/>
      <c r="I448" s="260"/>
      <c r="J448" s="261"/>
      <c r="K448" s="260"/>
      <c r="L448" s="260"/>
      <c r="M448" s="260"/>
      <c r="N448" s="260"/>
      <c r="O448" s="260"/>
      <c r="P448" s="260"/>
      <c r="Q448" s="260"/>
      <c r="R448" s="260"/>
      <c r="S448" s="260"/>
      <c r="T448" s="279"/>
      <c r="U448" s="260"/>
      <c r="V448" s="260"/>
      <c r="W448" s="260"/>
      <c r="X448" s="260"/>
      <c r="Y448" s="260"/>
      <c r="Z448" s="260"/>
      <c r="AA448" s="264"/>
      <c r="AB448" s="260"/>
      <c r="AC448" s="260"/>
      <c r="AD448" s="260"/>
      <c r="AE448" s="260"/>
      <c r="AF448" s="260"/>
      <c r="AG448" s="260"/>
      <c r="AH448" s="260"/>
    </row>
    <row r="449">
      <c r="A449" s="259"/>
      <c r="B449" s="260"/>
      <c r="C449" s="260"/>
      <c r="D449" s="260"/>
      <c r="E449" s="260"/>
      <c r="F449" s="260"/>
      <c r="G449" s="260"/>
      <c r="H449" s="260"/>
      <c r="I449" s="260"/>
      <c r="J449" s="261"/>
      <c r="K449" s="260"/>
      <c r="L449" s="260"/>
      <c r="M449" s="260"/>
      <c r="N449" s="260"/>
      <c r="O449" s="260"/>
      <c r="P449" s="260"/>
      <c r="Q449" s="260"/>
      <c r="R449" s="260"/>
      <c r="S449" s="260"/>
      <c r="T449" s="279"/>
      <c r="U449" s="260"/>
      <c r="V449" s="260"/>
      <c r="W449" s="260"/>
      <c r="X449" s="260"/>
      <c r="Y449" s="260"/>
      <c r="Z449" s="260"/>
      <c r="AA449" s="264"/>
      <c r="AB449" s="260"/>
      <c r="AC449" s="260"/>
      <c r="AD449" s="260"/>
      <c r="AE449" s="260"/>
      <c r="AF449" s="260"/>
      <c r="AG449" s="260"/>
      <c r="AH449" s="260"/>
    </row>
    <row r="450">
      <c r="A450" s="259"/>
      <c r="B450" s="260"/>
      <c r="C450" s="260"/>
      <c r="D450" s="260"/>
      <c r="E450" s="260"/>
      <c r="F450" s="260"/>
      <c r="G450" s="260"/>
      <c r="H450" s="260"/>
      <c r="I450" s="260"/>
      <c r="J450" s="261"/>
      <c r="K450" s="260"/>
      <c r="L450" s="260"/>
      <c r="M450" s="260"/>
      <c r="N450" s="260"/>
      <c r="O450" s="260"/>
      <c r="P450" s="260"/>
      <c r="Q450" s="260"/>
      <c r="R450" s="260"/>
      <c r="S450" s="260"/>
      <c r="T450" s="279"/>
      <c r="U450" s="260"/>
      <c r="V450" s="260"/>
      <c r="W450" s="260"/>
      <c r="X450" s="260"/>
      <c r="Y450" s="260"/>
      <c r="Z450" s="260"/>
      <c r="AA450" s="264"/>
      <c r="AB450" s="260"/>
      <c r="AC450" s="260"/>
      <c r="AD450" s="260"/>
      <c r="AE450" s="260"/>
      <c r="AF450" s="260"/>
      <c r="AG450" s="260"/>
      <c r="AH450" s="260"/>
    </row>
    <row r="451">
      <c r="A451" s="259"/>
      <c r="B451" s="260"/>
      <c r="C451" s="260"/>
      <c r="D451" s="260"/>
      <c r="E451" s="260"/>
      <c r="F451" s="260"/>
      <c r="G451" s="260"/>
      <c r="H451" s="260"/>
      <c r="I451" s="260"/>
      <c r="J451" s="261"/>
      <c r="K451" s="260"/>
      <c r="L451" s="260"/>
      <c r="M451" s="260"/>
      <c r="N451" s="260"/>
      <c r="O451" s="260"/>
      <c r="P451" s="260"/>
      <c r="Q451" s="260"/>
      <c r="R451" s="260"/>
      <c r="S451" s="260"/>
      <c r="T451" s="279"/>
      <c r="U451" s="260"/>
      <c r="V451" s="260"/>
      <c r="W451" s="260"/>
      <c r="X451" s="260"/>
      <c r="Y451" s="260"/>
      <c r="Z451" s="260"/>
      <c r="AA451" s="264"/>
      <c r="AB451" s="260"/>
      <c r="AC451" s="260"/>
      <c r="AD451" s="260"/>
      <c r="AE451" s="260"/>
      <c r="AF451" s="260"/>
      <c r="AG451" s="260"/>
      <c r="AH451" s="260"/>
    </row>
    <row r="452">
      <c r="A452" s="259"/>
      <c r="B452" s="260"/>
      <c r="C452" s="260"/>
      <c r="D452" s="260"/>
      <c r="E452" s="260"/>
      <c r="F452" s="260"/>
      <c r="G452" s="260"/>
      <c r="H452" s="260"/>
      <c r="I452" s="260"/>
      <c r="J452" s="261"/>
      <c r="K452" s="260"/>
      <c r="L452" s="260"/>
      <c r="M452" s="260"/>
      <c r="N452" s="260"/>
      <c r="O452" s="260"/>
      <c r="P452" s="260"/>
      <c r="Q452" s="260"/>
      <c r="R452" s="260"/>
      <c r="S452" s="260"/>
      <c r="T452" s="279"/>
      <c r="U452" s="260"/>
      <c r="V452" s="260"/>
      <c r="W452" s="260"/>
      <c r="X452" s="260"/>
      <c r="Y452" s="260"/>
      <c r="Z452" s="260"/>
      <c r="AA452" s="264"/>
      <c r="AB452" s="260"/>
      <c r="AC452" s="260"/>
      <c r="AD452" s="260"/>
      <c r="AE452" s="260"/>
      <c r="AF452" s="260"/>
      <c r="AG452" s="260"/>
      <c r="AH452" s="260"/>
    </row>
    <row r="453">
      <c r="A453" s="259"/>
      <c r="B453" s="260"/>
      <c r="C453" s="260"/>
      <c r="D453" s="260"/>
      <c r="E453" s="260"/>
      <c r="F453" s="260"/>
      <c r="G453" s="260"/>
      <c r="H453" s="260"/>
      <c r="I453" s="260"/>
      <c r="J453" s="261"/>
      <c r="K453" s="260"/>
      <c r="L453" s="260"/>
      <c r="M453" s="260"/>
      <c r="N453" s="260"/>
      <c r="O453" s="260"/>
      <c r="P453" s="260"/>
      <c r="Q453" s="260"/>
      <c r="R453" s="260"/>
      <c r="S453" s="260"/>
      <c r="T453" s="279"/>
      <c r="U453" s="260"/>
      <c r="V453" s="260"/>
      <c r="W453" s="260"/>
      <c r="X453" s="260"/>
      <c r="Y453" s="260"/>
      <c r="Z453" s="260"/>
      <c r="AA453" s="264"/>
      <c r="AB453" s="260"/>
      <c r="AC453" s="260"/>
      <c r="AD453" s="260"/>
      <c r="AE453" s="260"/>
      <c r="AF453" s="260"/>
      <c r="AG453" s="260"/>
      <c r="AH453" s="260"/>
    </row>
    <row r="454">
      <c r="A454" s="259"/>
      <c r="B454" s="260"/>
      <c r="C454" s="260"/>
      <c r="D454" s="260"/>
      <c r="E454" s="260"/>
      <c r="F454" s="260"/>
      <c r="G454" s="260"/>
      <c r="H454" s="260"/>
      <c r="I454" s="260"/>
      <c r="J454" s="261"/>
      <c r="K454" s="260"/>
      <c r="L454" s="260"/>
      <c r="M454" s="260"/>
      <c r="N454" s="260"/>
      <c r="O454" s="260"/>
      <c r="P454" s="260"/>
      <c r="Q454" s="260"/>
      <c r="R454" s="260"/>
      <c r="S454" s="260"/>
      <c r="T454" s="279"/>
      <c r="U454" s="260"/>
      <c r="V454" s="260"/>
      <c r="W454" s="260"/>
      <c r="X454" s="260"/>
      <c r="Y454" s="260"/>
      <c r="Z454" s="260"/>
      <c r="AA454" s="264"/>
      <c r="AB454" s="260"/>
      <c r="AC454" s="260"/>
      <c r="AD454" s="260"/>
      <c r="AE454" s="260"/>
      <c r="AF454" s="260"/>
      <c r="AG454" s="260"/>
      <c r="AH454" s="260"/>
    </row>
    <row r="455">
      <c r="A455" s="259"/>
      <c r="B455" s="260"/>
      <c r="C455" s="260"/>
      <c r="D455" s="260"/>
      <c r="E455" s="260"/>
      <c r="F455" s="260"/>
      <c r="G455" s="260"/>
      <c r="H455" s="260"/>
      <c r="I455" s="260"/>
      <c r="J455" s="261"/>
      <c r="K455" s="260"/>
      <c r="L455" s="260"/>
      <c r="M455" s="260"/>
      <c r="N455" s="260"/>
      <c r="O455" s="260"/>
      <c r="P455" s="260"/>
      <c r="Q455" s="260"/>
      <c r="R455" s="260"/>
      <c r="S455" s="260"/>
      <c r="T455" s="279"/>
      <c r="U455" s="260"/>
      <c r="V455" s="260"/>
      <c r="W455" s="260"/>
      <c r="X455" s="260"/>
      <c r="Y455" s="260"/>
      <c r="Z455" s="260"/>
      <c r="AA455" s="264"/>
      <c r="AB455" s="260"/>
      <c r="AC455" s="260"/>
      <c r="AD455" s="260"/>
      <c r="AE455" s="260"/>
      <c r="AF455" s="260"/>
      <c r="AG455" s="260"/>
      <c r="AH455" s="260"/>
    </row>
    <row r="456">
      <c r="A456" s="259"/>
      <c r="B456" s="260"/>
      <c r="C456" s="260"/>
      <c r="D456" s="260"/>
      <c r="E456" s="260"/>
      <c r="F456" s="260"/>
      <c r="G456" s="260"/>
      <c r="H456" s="260"/>
      <c r="I456" s="260"/>
      <c r="J456" s="261"/>
      <c r="K456" s="260"/>
      <c r="L456" s="260"/>
      <c r="M456" s="260"/>
      <c r="N456" s="260"/>
      <c r="O456" s="260"/>
      <c r="P456" s="260"/>
      <c r="Q456" s="260"/>
      <c r="R456" s="260"/>
      <c r="S456" s="260"/>
      <c r="T456" s="279"/>
      <c r="U456" s="260"/>
      <c r="V456" s="260"/>
      <c r="W456" s="260"/>
      <c r="X456" s="260"/>
      <c r="Y456" s="260"/>
      <c r="Z456" s="260"/>
      <c r="AA456" s="264"/>
      <c r="AB456" s="260"/>
      <c r="AC456" s="260"/>
      <c r="AD456" s="260"/>
      <c r="AE456" s="260"/>
      <c r="AF456" s="260"/>
      <c r="AG456" s="260"/>
      <c r="AH456" s="260"/>
    </row>
    <row r="457">
      <c r="A457" s="259"/>
      <c r="B457" s="260"/>
      <c r="C457" s="260"/>
      <c r="D457" s="260"/>
      <c r="E457" s="260"/>
      <c r="F457" s="260"/>
      <c r="G457" s="260"/>
      <c r="H457" s="260"/>
      <c r="I457" s="260"/>
      <c r="J457" s="261"/>
      <c r="K457" s="260"/>
      <c r="L457" s="260"/>
      <c r="M457" s="260"/>
      <c r="N457" s="260"/>
      <c r="O457" s="260"/>
      <c r="P457" s="260"/>
      <c r="Q457" s="260"/>
      <c r="R457" s="260"/>
      <c r="S457" s="260"/>
      <c r="T457" s="279"/>
      <c r="U457" s="260"/>
      <c r="V457" s="260"/>
      <c r="W457" s="260"/>
      <c r="X457" s="260"/>
      <c r="Y457" s="260"/>
      <c r="Z457" s="260"/>
      <c r="AA457" s="264"/>
      <c r="AB457" s="260"/>
      <c r="AC457" s="260"/>
      <c r="AD457" s="260"/>
      <c r="AE457" s="260"/>
      <c r="AF457" s="260"/>
      <c r="AG457" s="260"/>
      <c r="AH457" s="260"/>
    </row>
    <row r="458">
      <c r="A458" s="259"/>
      <c r="B458" s="260"/>
      <c r="C458" s="260"/>
      <c r="D458" s="260"/>
      <c r="E458" s="260"/>
      <c r="F458" s="260"/>
      <c r="G458" s="260"/>
      <c r="H458" s="260"/>
      <c r="I458" s="260"/>
      <c r="J458" s="261"/>
      <c r="K458" s="260"/>
      <c r="L458" s="260"/>
      <c r="M458" s="260"/>
      <c r="N458" s="260"/>
      <c r="O458" s="260"/>
      <c r="P458" s="260"/>
      <c r="Q458" s="260"/>
      <c r="R458" s="260"/>
      <c r="S458" s="260"/>
      <c r="T458" s="279"/>
      <c r="U458" s="260"/>
      <c r="V458" s="260"/>
      <c r="W458" s="260"/>
      <c r="X458" s="260"/>
      <c r="Y458" s="260"/>
      <c r="Z458" s="260"/>
      <c r="AA458" s="264"/>
      <c r="AB458" s="260"/>
      <c r="AC458" s="260"/>
      <c r="AD458" s="260"/>
      <c r="AE458" s="260"/>
      <c r="AF458" s="260"/>
      <c r="AG458" s="260"/>
      <c r="AH458" s="260"/>
    </row>
    <row r="459">
      <c r="A459" s="259"/>
      <c r="B459" s="260"/>
      <c r="C459" s="260"/>
      <c r="D459" s="260"/>
      <c r="E459" s="260"/>
      <c r="F459" s="260"/>
      <c r="G459" s="260"/>
      <c r="H459" s="260"/>
      <c r="I459" s="260"/>
      <c r="J459" s="261"/>
      <c r="K459" s="260"/>
      <c r="L459" s="260"/>
      <c r="M459" s="260"/>
      <c r="N459" s="260"/>
      <c r="O459" s="260"/>
      <c r="P459" s="260"/>
      <c r="Q459" s="260"/>
      <c r="R459" s="260"/>
      <c r="S459" s="260"/>
      <c r="T459" s="279"/>
      <c r="U459" s="260"/>
      <c r="V459" s="260"/>
      <c r="W459" s="260"/>
      <c r="X459" s="260"/>
      <c r="Y459" s="260"/>
      <c r="Z459" s="260"/>
      <c r="AA459" s="264"/>
      <c r="AB459" s="260"/>
      <c r="AC459" s="260"/>
      <c r="AD459" s="260"/>
      <c r="AE459" s="260"/>
      <c r="AF459" s="260"/>
      <c r="AG459" s="260"/>
      <c r="AH459" s="260"/>
    </row>
    <row r="460">
      <c r="A460" s="259"/>
      <c r="B460" s="260"/>
      <c r="C460" s="260"/>
      <c r="D460" s="260"/>
      <c r="E460" s="260"/>
      <c r="F460" s="260"/>
      <c r="G460" s="260"/>
      <c r="H460" s="260"/>
      <c r="I460" s="260"/>
      <c r="J460" s="261"/>
      <c r="K460" s="260"/>
      <c r="L460" s="260"/>
      <c r="M460" s="260"/>
      <c r="N460" s="260"/>
      <c r="O460" s="260"/>
      <c r="P460" s="260"/>
      <c r="Q460" s="260"/>
      <c r="R460" s="260"/>
      <c r="S460" s="260"/>
      <c r="T460" s="279"/>
      <c r="U460" s="260"/>
      <c r="V460" s="260"/>
      <c r="W460" s="260"/>
      <c r="X460" s="260"/>
      <c r="Y460" s="260"/>
      <c r="Z460" s="260"/>
      <c r="AA460" s="264"/>
      <c r="AB460" s="260"/>
      <c r="AC460" s="260"/>
      <c r="AD460" s="260"/>
      <c r="AE460" s="260"/>
      <c r="AF460" s="260"/>
      <c r="AG460" s="260"/>
      <c r="AH460" s="260"/>
    </row>
    <row r="461">
      <c r="A461" s="259"/>
      <c r="B461" s="260"/>
      <c r="C461" s="260"/>
      <c r="D461" s="260"/>
      <c r="E461" s="260"/>
      <c r="F461" s="260"/>
      <c r="G461" s="260"/>
      <c r="H461" s="260"/>
      <c r="I461" s="260"/>
      <c r="J461" s="261"/>
      <c r="K461" s="260"/>
      <c r="L461" s="260"/>
      <c r="M461" s="260"/>
      <c r="N461" s="260"/>
      <c r="O461" s="260"/>
      <c r="P461" s="260"/>
      <c r="Q461" s="260"/>
      <c r="R461" s="260"/>
      <c r="S461" s="260"/>
      <c r="T461" s="279"/>
      <c r="U461" s="260"/>
      <c r="V461" s="260"/>
      <c r="W461" s="260"/>
      <c r="X461" s="260"/>
      <c r="Y461" s="260"/>
      <c r="Z461" s="260"/>
      <c r="AA461" s="264"/>
      <c r="AB461" s="260"/>
      <c r="AC461" s="260"/>
      <c r="AD461" s="260"/>
      <c r="AE461" s="260"/>
      <c r="AF461" s="260"/>
      <c r="AG461" s="260"/>
      <c r="AH461" s="260"/>
    </row>
    <row r="462">
      <c r="A462" s="259"/>
      <c r="B462" s="260"/>
      <c r="C462" s="260"/>
      <c r="D462" s="260"/>
      <c r="E462" s="260"/>
      <c r="F462" s="260"/>
      <c r="G462" s="260"/>
      <c r="H462" s="260"/>
      <c r="I462" s="260"/>
      <c r="J462" s="261"/>
      <c r="K462" s="260"/>
      <c r="L462" s="260"/>
      <c r="M462" s="260"/>
      <c r="N462" s="260"/>
      <c r="O462" s="260"/>
      <c r="P462" s="260"/>
      <c r="Q462" s="260"/>
      <c r="R462" s="260"/>
      <c r="S462" s="260"/>
      <c r="T462" s="279"/>
      <c r="U462" s="260"/>
      <c r="V462" s="260"/>
      <c r="W462" s="260"/>
      <c r="X462" s="260"/>
      <c r="Y462" s="260"/>
      <c r="Z462" s="260"/>
      <c r="AA462" s="264"/>
      <c r="AB462" s="260"/>
      <c r="AC462" s="260"/>
      <c r="AD462" s="260"/>
      <c r="AE462" s="260"/>
      <c r="AF462" s="260"/>
      <c r="AG462" s="260"/>
      <c r="AH462" s="260"/>
    </row>
    <row r="463">
      <c r="A463" s="259"/>
      <c r="B463" s="260"/>
      <c r="C463" s="260"/>
      <c r="D463" s="260"/>
      <c r="E463" s="260"/>
      <c r="F463" s="260"/>
      <c r="G463" s="260"/>
      <c r="H463" s="260"/>
      <c r="I463" s="260"/>
      <c r="J463" s="261"/>
      <c r="K463" s="260"/>
      <c r="L463" s="260"/>
      <c r="M463" s="260"/>
      <c r="N463" s="260"/>
      <c r="O463" s="260"/>
      <c r="P463" s="260"/>
      <c r="Q463" s="260"/>
      <c r="R463" s="260"/>
      <c r="S463" s="260"/>
      <c r="T463" s="279"/>
      <c r="U463" s="260"/>
      <c r="V463" s="260"/>
      <c r="W463" s="260"/>
      <c r="X463" s="260"/>
      <c r="Y463" s="260"/>
      <c r="Z463" s="260"/>
      <c r="AA463" s="264"/>
      <c r="AB463" s="260"/>
      <c r="AC463" s="260"/>
      <c r="AD463" s="260"/>
      <c r="AE463" s="260"/>
      <c r="AF463" s="260"/>
      <c r="AG463" s="260"/>
      <c r="AH463" s="260"/>
    </row>
    <row r="464">
      <c r="A464" s="259"/>
      <c r="B464" s="260"/>
      <c r="C464" s="260"/>
      <c r="D464" s="260"/>
      <c r="E464" s="260"/>
      <c r="F464" s="260"/>
      <c r="G464" s="260"/>
      <c r="H464" s="260"/>
      <c r="I464" s="260"/>
      <c r="J464" s="261"/>
      <c r="K464" s="260"/>
      <c r="L464" s="260"/>
      <c r="M464" s="260"/>
      <c r="N464" s="260"/>
      <c r="O464" s="260"/>
      <c r="P464" s="260"/>
      <c r="Q464" s="260"/>
      <c r="R464" s="260"/>
      <c r="S464" s="260"/>
      <c r="T464" s="279"/>
      <c r="U464" s="260"/>
      <c r="V464" s="260"/>
      <c r="W464" s="260"/>
      <c r="X464" s="260"/>
      <c r="Y464" s="260"/>
      <c r="Z464" s="260"/>
      <c r="AA464" s="264"/>
      <c r="AB464" s="260"/>
      <c r="AC464" s="260"/>
      <c r="AD464" s="260"/>
      <c r="AE464" s="260"/>
      <c r="AF464" s="260"/>
      <c r="AG464" s="260"/>
      <c r="AH464" s="260"/>
    </row>
    <row r="465">
      <c r="A465" s="259"/>
      <c r="B465" s="260"/>
      <c r="C465" s="260"/>
      <c r="D465" s="260"/>
      <c r="E465" s="260"/>
      <c r="F465" s="260"/>
      <c r="G465" s="260"/>
      <c r="H465" s="260"/>
      <c r="I465" s="260"/>
      <c r="J465" s="261"/>
      <c r="K465" s="260"/>
      <c r="L465" s="260"/>
      <c r="M465" s="260"/>
      <c r="N465" s="260"/>
      <c r="O465" s="260"/>
      <c r="P465" s="260"/>
      <c r="Q465" s="260"/>
      <c r="R465" s="260"/>
      <c r="S465" s="260"/>
      <c r="T465" s="279"/>
      <c r="U465" s="260"/>
      <c r="V465" s="260"/>
      <c r="W465" s="260"/>
      <c r="X465" s="260"/>
      <c r="Y465" s="260"/>
      <c r="Z465" s="260"/>
      <c r="AA465" s="264"/>
      <c r="AB465" s="260"/>
      <c r="AC465" s="260"/>
      <c r="AD465" s="260"/>
      <c r="AE465" s="260"/>
      <c r="AF465" s="260"/>
      <c r="AG465" s="260"/>
      <c r="AH465" s="260"/>
    </row>
    <row r="466">
      <c r="A466" s="259"/>
      <c r="B466" s="260"/>
      <c r="C466" s="260"/>
      <c r="D466" s="260"/>
      <c r="E466" s="260"/>
      <c r="F466" s="260"/>
      <c r="G466" s="260"/>
      <c r="H466" s="260"/>
      <c r="I466" s="260"/>
      <c r="J466" s="261"/>
      <c r="K466" s="260"/>
      <c r="L466" s="260"/>
      <c r="M466" s="260"/>
      <c r="N466" s="260"/>
      <c r="O466" s="260"/>
      <c r="P466" s="260"/>
      <c r="Q466" s="260"/>
      <c r="R466" s="260"/>
      <c r="S466" s="260"/>
      <c r="T466" s="279"/>
      <c r="U466" s="260"/>
      <c r="V466" s="260"/>
      <c r="W466" s="260"/>
      <c r="X466" s="260"/>
      <c r="Y466" s="260"/>
      <c r="Z466" s="260"/>
      <c r="AA466" s="264"/>
      <c r="AB466" s="260"/>
      <c r="AC466" s="260"/>
      <c r="AD466" s="260"/>
      <c r="AE466" s="260"/>
      <c r="AF466" s="260"/>
      <c r="AG466" s="260"/>
      <c r="AH466" s="260"/>
    </row>
    <row r="467">
      <c r="A467" s="259"/>
      <c r="B467" s="260"/>
      <c r="C467" s="260"/>
      <c r="D467" s="260"/>
      <c r="E467" s="260"/>
      <c r="F467" s="260"/>
      <c r="G467" s="260"/>
      <c r="H467" s="260"/>
      <c r="I467" s="260"/>
      <c r="J467" s="261"/>
      <c r="K467" s="260"/>
      <c r="L467" s="260"/>
      <c r="M467" s="260"/>
      <c r="N467" s="260"/>
      <c r="O467" s="260"/>
      <c r="P467" s="260"/>
      <c r="Q467" s="260"/>
      <c r="R467" s="260"/>
      <c r="S467" s="260"/>
      <c r="T467" s="279"/>
      <c r="U467" s="260"/>
      <c r="V467" s="260"/>
      <c r="W467" s="260"/>
      <c r="X467" s="260"/>
      <c r="Y467" s="260"/>
      <c r="Z467" s="260"/>
      <c r="AA467" s="264"/>
      <c r="AB467" s="260"/>
      <c r="AC467" s="260"/>
      <c r="AD467" s="260"/>
      <c r="AE467" s="260"/>
      <c r="AF467" s="260"/>
      <c r="AG467" s="260"/>
      <c r="AH467" s="260"/>
    </row>
    <row r="468">
      <c r="A468" s="259"/>
      <c r="B468" s="260"/>
      <c r="C468" s="260"/>
      <c r="D468" s="260"/>
      <c r="E468" s="260"/>
      <c r="F468" s="260"/>
      <c r="G468" s="260"/>
      <c r="H468" s="260"/>
      <c r="I468" s="260"/>
      <c r="J468" s="261"/>
      <c r="K468" s="260"/>
      <c r="L468" s="260"/>
      <c r="M468" s="260"/>
      <c r="N468" s="260"/>
      <c r="O468" s="260"/>
      <c r="P468" s="260"/>
      <c r="Q468" s="260"/>
      <c r="R468" s="260"/>
      <c r="S468" s="260"/>
      <c r="T468" s="279"/>
      <c r="U468" s="260"/>
      <c r="V468" s="260"/>
      <c r="W468" s="260"/>
      <c r="X468" s="260"/>
      <c r="Y468" s="260"/>
      <c r="Z468" s="260"/>
      <c r="AA468" s="264"/>
      <c r="AB468" s="260"/>
      <c r="AC468" s="260"/>
      <c r="AD468" s="260"/>
      <c r="AE468" s="260"/>
      <c r="AF468" s="260"/>
      <c r="AG468" s="260"/>
      <c r="AH468" s="260"/>
    </row>
    <row r="469">
      <c r="A469" s="259"/>
      <c r="B469" s="260"/>
      <c r="C469" s="260"/>
      <c r="D469" s="260"/>
      <c r="E469" s="260"/>
      <c r="F469" s="260"/>
      <c r="G469" s="260"/>
      <c r="H469" s="260"/>
      <c r="I469" s="260"/>
      <c r="J469" s="261"/>
      <c r="K469" s="260"/>
      <c r="L469" s="260"/>
      <c r="M469" s="260"/>
      <c r="N469" s="260"/>
      <c r="O469" s="260"/>
      <c r="P469" s="260"/>
      <c r="Q469" s="260"/>
      <c r="R469" s="260"/>
      <c r="S469" s="260"/>
      <c r="T469" s="279"/>
      <c r="U469" s="260"/>
      <c r="V469" s="260"/>
      <c r="W469" s="260"/>
      <c r="X469" s="260"/>
      <c r="Y469" s="260"/>
      <c r="Z469" s="260"/>
      <c r="AA469" s="264"/>
      <c r="AB469" s="260"/>
      <c r="AC469" s="260"/>
      <c r="AD469" s="260"/>
      <c r="AE469" s="260"/>
      <c r="AF469" s="260"/>
      <c r="AG469" s="260"/>
      <c r="AH469" s="260"/>
    </row>
    <row r="470">
      <c r="A470" s="259"/>
      <c r="B470" s="260"/>
      <c r="C470" s="260"/>
      <c r="D470" s="260"/>
      <c r="E470" s="260"/>
      <c r="F470" s="260"/>
      <c r="G470" s="260"/>
      <c r="H470" s="260"/>
      <c r="I470" s="260"/>
      <c r="J470" s="261"/>
      <c r="K470" s="260"/>
      <c r="L470" s="260"/>
      <c r="M470" s="260"/>
      <c r="N470" s="260"/>
      <c r="O470" s="260"/>
      <c r="P470" s="260"/>
      <c r="Q470" s="260"/>
      <c r="R470" s="260"/>
      <c r="S470" s="260"/>
      <c r="T470" s="279"/>
      <c r="U470" s="260"/>
      <c r="V470" s="260"/>
      <c r="W470" s="260"/>
      <c r="X470" s="260"/>
      <c r="Y470" s="260"/>
      <c r="Z470" s="260"/>
      <c r="AA470" s="264"/>
      <c r="AB470" s="260"/>
      <c r="AC470" s="260"/>
      <c r="AD470" s="260"/>
      <c r="AE470" s="260"/>
      <c r="AF470" s="260"/>
      <c r="AG470" s="260"/>
      <c r="AH470" s="260"/>
    </row>
    <row r="471">
      <c r="A471" s="259"/>
      <c r="B471" s="260"/>
      <c r="C471" s="260"/>
      <c r="D471" s="260"/>
      <c r="E471" s="260"/>
      <c r="F471" s="260"/>
      <c r="G471" s="260"/>
      <c r="H471" s="260"/>
      <c r="I471" s="260"/>
      <c r="J471" s="261"/>
      <c r="K471" s="260"/>
      <c r="L471" s="260"/>
      <c r="M471" s="260"/>
      <c r="N471" s="260"/>
      <c r="O471" s="260"/>
      <c r="P471" s="260"/>
      <c r="Q471" s="260"/>
      <c r="R471" s="260"/>
      <c r="S471" s="260"/>
      <c r="T471" s="279"/>
      <c r="U471" s="260"/>
      <c r="V471" s="260"/>
      <c r="W471" s="260"/>
      <c r="X471" s="260"/>
      <c r="Y471" s="260"/>
      <c r="Z471" s="260"/>
      <c r="AA471" s="264"/>
      <c r="AB471" s="260"/>
      <c r="AC471" s="260"/>
      <c r="AD471" s="260"/>
      <c r="AE471" s="260"/>
      <c r="AF471" s="260"/>
      <c r="AG471" s="260"/>
      <c r="AH471" s="260"/>
    </row>
    <row r="472">
      <c r="A472" s="259"/>
      <c r="B472" s="260"/>
      <c r="C472" s="260"/>
      <c r="D472" s="260"/>
      <c r="E472" s="260"/>
      <c r="F472" s="260"/>
      <c r="G472" s="260"/>
      <c r="H472" s="260"/>
      <c r="I472" s="260"/>
      <c r="J472" s="261"/>
      <c r="K472" s="260"/>
      <c r="L472" s="260"/>
      <c r="M472" s="260"/>
      <c r="N472" s="260"/>
      <c r="O472" s="260"/>
      <c r="P472" s="260"/>
      <c r="Q472" s="260"/>
      <c r="R472" s="260"/>
      <c r="S472" s="260"/>
      <c r="T472" s="279"/>
      <c r="U472" s="260"/>
      <c r="V472" s="260"/>
      <c r="W472" s="260"/>
      <c r="X472" s="260"/>
      <c r="Y472" s="260"/>
      <c r="Z472" s="260"/>
      <c r="AA472" s="264"/>
      <c r="AB472" s="260"/>
      <c r="AC472" s="260"/>
      <c r="AD472" s="260"/>
      <c r="AE472" s="260"/>
      <c r="AF472" s="260"/>
      <c r="AG472" s="260"/>
      <c r="AH472" s="260"/>
    </row>
    <row r="473">
      <c r="A473" s="259"/>
      <c r="B473" s="260"/>
      <c r="C473" s="260"/>
      <c r="D473" s="260"/>
      <c r="E473" s="260"/>
      <c r="F473" s="260"/>
      <c r="G473" s="260"/>
      <c r="H473" s="260"/>
      <c r="I473" s="260"/>
      <c r="J473" s="261"/>
      <c r="K473" s="260"/>
      <c r="L473" s="260"/>
      <c r="M473" s="260"/>
      <c r="N473" s="260"/>
      <c r="O473" s="260"/>
      <c r="P473" s="260"/>
      <c r="Q473" s="260"/>
      <c r="R473" s="260"/>
      <c r="S473" s="260"/>
      <c r="T473" s="279"/>
      <c r="U473" s="260"/>
      <c r="V473" s="260"/>
      <c r="W473" s="260"/>
      <c r="X473" s="260"/>
      <c r="Y473" s="260"/>
      <c r="Z473" s="260"/>
      <c r="AA473" s="264"/>
      <c r="AB473" s="260"/>
      <c r="AC473" s="260"/>
      <c r="AD473" s="260"/>
      <c r="AE473" s="260"/>
      <c r="AF473" s="260"/>
      <c r="AG473" s="260"/>
      <c r="AH473" s="260"/>
    </row>
    <row r="474">
      <c r="A474" s="259"/>
      <c r="B474" s="260"/>
      <c r="C474" s="260"/>
      <c r="D474" s="260"/>
      <c r="E474" s="260"/>
      <c r="F474" s="260"/>
      <c r="G474" s="260"/>
      <c r="H474" s="260"/>
      <c r="I474" s="260"/>
      <c r="J474" s="261"/>
      <c r="K474" s="260"/>
      <c r="L474" s="260"/>
      <c r="M474" s="260"/>
      <c r="N474" s="260"/>
      <c r="O474" s="260"/>
      <c r="P474" s="260"/>
      <c r="Q474" s="260"/>
      <c r="R474" s="260"/>
      <c r="S474" s="260"/>
      <c r="T474" s="279"/>
      <c r="U474" s="260"/>
      <c r="V474" s="260"/>
      <c r="W474" s="260"/>
      <c r="X474" s="260"/>
      <c r="Y474" s="260"/>
      <c r="Z474" s="260"/>
      <c r="AA474" s="264"/>
      <c r="AB474" s="260"/>
      <c r="AC474" s="260"/>
      <c r="AD474" s="260"/>
      <c r="AE474" s="260"/>
      <c r="AF474" s="260"/>
      <c r="AG474" s="260"/>
      <c r="AH474" s="260"/>
    </row>
    <row r="475">
      <c r="A475" s="259"/>
      <c r="B475" s="260"/>
      <c r="C475" s="260"/>
      <c r="D475" s="260"/>
      <c r="E475" s="260"/>
      <c r="F475" s="260"/>
      <c r="G475" s="260"/>
      <c r="H475" s="260"/>
      <c r="I475" s="260"/>
      <c r="J475" s="261"/>
      <c r="K475" s="260"/>
      <c r="L475" s="260"/>
      <c r="M475" s="260"/>
      <c r="N475" s="260"/>
      <c r="O475" s="260"/>
      <c r="P475" s="260"/>
      <c r="Q475" s="260"/>
      <c r="R475" s="260"/>
      <c r="S475" s="260"/>
      <c r="T475" s="279"/>
      <c r="U475" s="260"/>
      <c r="V475" s="260"/>
      <c r="W475" s="260"/>
      <c r="X475" s="260"/>
      <c r="Y475" s="260"/>
      <c r="Z475" s="260"/>
      <c r="AA475" s="264"/>
      <c r="AB475" s="260"/>
      <c r="AC475" s="260"/>
      <c r="AD475" s="260"/>
      <c r="AE475" s="260"/>
      <c r="AF475" s="260"/>
      <c r="AG475" s="260"/>
      <c r="AH475" s="260"/>
    </row>
    <row r="476">
      <c r="A476" s="259"/>
      <c r="B476" s="260"/>
      <c r="C476" s="260"/>
      <c r="D476" s="260"/>
      <c r="E476" s="260"/>
      <c r="F476" s="260"/>
      <c r="G476" s="260"/>
      <c r="H476" s="260"/>
      <c r="I476" s="260"/>
      <c r="J476" s="261"/>
      <c r="K476" s="260"/>
      <c r="L476" s="260"/>
      <c r="M476" s="260"/>
      <c r="N476" s="260"/>
      <c r="O476" s="260"/>
      <c r="P476" s="260"/>
      <c r="Q476" s="260"/>
      <c r="R476" s="260"/>
      <c r="S476" s="260"/>
      <c r="T476" s="279"/>
      <c r="U476" s="260"/>
      <c r="V476" s="260"/>
      <c r="W476" s="260"/>
      <c r="X476" s="260"/>
      <c r="Y476" s="260"/>
      <c r="Z476" s="260"/>
      <c r="AA476" s="264"/>
      <c r="AB476" s="260"/>
      <c r="AC476" s="260"/>
      <c r="AD476" s="260"/>
      <c r="AE476" s="260"/>
      <c r="AF476" s="260"/>
      <c r="AG476" s="260"/>
      <c r="AH476" s="260"/>
    </row>
    <row r="477">
      <c r="A477" s="259"/>
      <c r="B477" s="260"/>
      <c r="C477" s="260"/>
      <c r="D477" s="260"/>
      <c r="E477" s="260"/>
      <c r="F477" s="260"/>
      <c r="G477" s="260"/>
      <c r="H477" s="260"/>
      <c r="I477" s="260"/>
      <c r="J477" s="261"/>
      <c r="K477" s="260"/>
      <c r="L477" s="260"/>
      <c r="M477" s="260"/>
      <c r="N477" s="260"/>
      <c r="O477" s="260"/>
      <c r="P477" s="260"/>
      <c r="Q477" s="260"/>
      <c r="R477" s="260"/>
      <c r="S477" s="260"/>
      <c r="T477" s="279"/>
      <c r="U477" s="260"/>
      <c r="V477" s="260"/>
      <c r="W477" s="260"/>
      <c r="X477" s="260"/>
      <c r="Y477" s="260"/>
      <c r="Z477" s="260"/>
      <c r="AA477" s="264"/>
      <c r="AB477" s="260"/>
      <c r="AC477" s="260"/>
      <c r="AD477" s="260"/>
      <c r="AE477" s="260"/>
      <c r="AF477" s="260"/>
      <c r="AG477" s="260"/>
      <c r="AH477" s="260"/>
    </row>
    <row r="478">
      <c r="A478" s="259"/>
      <c r="B478" s="260"/>
      <c r="C478" s="260"/>
      <c r="D478" s="260"/>
      <c r="E478" s="260"/>
      <c r="F478" s="260"/>
      <c r="G478" s="260"/>
      <c r="H478" s="260"/>
      <c r="I478" s="260"/>
      <c r="J478" s="261"/>
      <c r="K478" s="260"/>
      <c r="L478" s="260"/>
      <c r="M478" s="260"/>
      <c r="N478" s="260"/>
      <c r="O478" s="260"/>
      <c r="P478" s="260"/>
      <c r="Q478" s="260"/>
      <c r="R478" s="260"/>
      <c r="S478" s="260"/>
      <c r="T478" s="279"/>
      <c r="U478" s="260"/>
      <c r="V478" s="260"/>
      <c r="W478" s="260"/>
      <c r="X478" s="260"/>
      <c r="Y478" s="260"/>
      <c r="Z478" s="260"/>
      <c r="AA478" s="264"/>
      <c r="AB478" s="260"/>
      <c r="AC478" s="260"/>
      <c r="AD478" s="260"/>
      <c r="AE478" s="260"/>
      <c r="AF478" s="260"/>
      <c r="AG478" s="260"/>
      <c r="AH478" s="260"/>
    </row>
    <row r="479">
      <c r="A479" s="259"/>
      <c r="B479" s="260"/>
      <c r="C479" s="260"/>
      <c r="D479" s="260"/>
      <c r="E479" s="260"/>
      <c r="F479" s="260"/>
      <c r="G479" s="260"/>
      <c r="H479" s="260"/>
      <c r="I479" s="260"/>
      <c r="J479" s="261"/>
      <c r="K479" s="260"/>
      <c r="L479" s="260"/>
      <c r="M479" s="260"/>
      <c r="N479" s="260"/>
      <c r="O479" s="260"/>
      <c r="P479" s="260"/>
      <c r="Q479" s="260"/>
      <c r="R479" s="260"/>
      <c r="S479" s="260"/>
      <c r="T479" s="279"/>
      <c r="U479" s="260"/>
      <c r="V479" s="260"/>
      <c r="W479" s="260"/>
      <c r="X479" s="260"/>
      <c r="Y479" s="260"/>
      <c r="Z479" s="260"/>
      <c r="AA479" s="264"/>
      <c r="AB479" s="260"/>
      <c r="AC479" s="260"/>
      <c r="AD479" s="260"/>
      <c r="AE479" s="260"/>
      <c r="AF479" s="260"/>
      <c r="AG479" s="260"/>
      <c r="AH479" s="260"/>
    </row>
    <row r="480">
      <c r="A480" s="259"/>
      <c r="B480" s="260"/>
      <c r="C480" s="260"/>
      <c r="D480" s="260"/>
      <c r="E480" s="260"/>
      <c r="F480" s="260"/>
      <c r="G480" s="260"/>
      <c r="H480" s="260"/>
      <c r="I480" s="260"/>
      <c r="J480" s="261"/>
      <c r="K480" s="260"/>
      <c r="L480" s="260"/>
      <c r="M480" s="260"/>
      <c r="N480" s="260"/>
      <c r="O480" s="260"/>
      <c r="P480" s="260"/>
      <c r="Q480" s="260"/>
      <c r="R480" s="260"/>
      <c r="S480" s="260"/>
      <c r="T480" s="279"/>
      <c r="U480" s="260"/>
      <c r="V480" s="260"/>
      <c r="W480" s="260"/>
      <c r="X480" s="260"/>
      <c r="Y480" s="260"/>
      <c r="Z480" s="260"/>
      <c r="AA480" s="264"/>
      <c r="AB480" s="260"/>
      <c r="AC480" s="260"/>
      <c r="AD480" s="260"/>
      <c r="AE480" s="260"/>
      <c r="AF480" s="260"/>
      <c r="AG480" s="260"/>
      <c r="AH480" s="260"/>
    </row>
    <row r="481">
      <c r="A481" s="259"/>
      <c r="B481" s="260"/>
      <c r="C481" s="260"/>
      <c r="D481" s="260"/>
      <c r="E481" s="260"/>
      <c r="F481" s="260"/>
      <c r="G481" s="260"/>
      <c r="H481" s="260"/>
      <c r="I481" s="260"/>
      <c r="J481" s="261"/>
      <c r="K481" s="260"/>
      <c r="L481" s="260"/>
      <c r="M481" s="260"/>
      <c r="N481" s="260"/>
      <c r="O481" s="260"/>
      <c r="P481" s="260"/>
      <c r="Q481" s="260"/>
      <c r="R481" s="260"/>
      <c r="S481" s="260"/>
      <c r="T481" s="279"/>
      <c r="U481" s="260"/>
      <c r="V481" s="260"/>
      <c r="W481" s="260"/>
      <c r="X481" s="260"/>
      <c r="Y481" s="260"/>
      <c r="Z481" s="260"/>
      <c r="AA481" s="264"/>
      <c r="AB481" s="260"/>
      <c r="AC481" s="260"/>
      <c r="AD481" s="260"/>
      <c r="AE481" s="260"/>
      <c r="AF481" s="260"/>
      <c r="AG481" s="260"/>
      <c r="AH481" s="260"/>
    </row>
    <row r="482">
      <c r="A482" s="259"/>
      <c r="B482" s="260"/>
      <c r="C482" s="260"/>
      <c r="D482" s="260"/>
      <c r="E482" s="260"/>
      <c r="F482" s="260"/>
      <c r="G482" s="260"/>
      <c r="H482" s="260"/>
      <c r="I482" s="260"/>
      <c r="J482" s="261"/>
      <c r="K482" s="260"/>
      <c r="L482" s="260"/>
      <c r="M482" s="260"/>
      <c r="N482" s="260"/>
      <c r="O482" s="260"/>
      <c r="P482" s="260"/>
      <c r="Q482" s="260"/>
      <c r="R482" s="260"/>
      <c r="S482" s="260"/>
      <c r="T482" s="279"/>
      <c r="U482" s="260"/>
      <c r="V482" s="260"/>
      <c r="W482" s="260"/>
      <c r="X482" s="260"/>
      <c r="Y482" s="260"/>
      <c r="Z482" s="260"/>
      <c r="AA482" s="264"/>
      <c r="AB482" s="260"/>
      <c r="AC482" s="260"/>
      <c r="AD482" s="260"/>
      <c r="AE482" s="260"/>
      <c r="AF482" s="260"/>
      <c r="AG482" s="260"/>
      <c r="AH482" s="260"/>
    </row>
    <row r="483">
      <c r="A483" s="259"/>
      <c r="B483" s="260"/>
      <c r="C483" s="260"/>
      <c r="D483" s="260"/>
      <c r="E483" s="260"/>
      <c r="F483" s="260"/>
      <c r="G483" s="260"/>
      <c r="H483" s="260"/>
      <c r="I483" s="260"/>
      <c r="J483" s="261"/>
      <c r="K483" s="260"/>
      <c r="L483" s="260"/>
      <c r="M483" s="260"/>
      <c r="N483" s="260"/>
      <c r="O483" s="260"/>
      <c r="P483" s="260"/>
      <c r="Q483" s="260"/>
      <c r="R483" s="260"/>
      <c r="S483" s="260"/>
      <c r="T483" s="279"/>
      <c r="U483" s="260"/>
      <c r="V483" s="260"/>
      <c r="W483" s="260"/>
      <c r="X483" s="260"/>
      <c r="Y483" s="260"/>
      <c r="Z483" s="260"/>
      <c r="AA483" s="264"/>
      <c r="AB483" s="260"/>
      <c r="AC483" s="260"/>
      <c r="AD483" s="260"/>
      <c r="AE483" s="260"/>
      <c r="AF483" s="260"/>
      <c r="AG483" s="260"/>
      <c r="AH483" s="260"/>
    </row>
    <row r="484">
      <c r="A484" s="259"/>
      <c r="B484" s="260"/>
      <c r="C484" s="260"/>
      <c r="D484" s="260"/>
      <c r="E484" s="260"/>
      <c r="F484" s="260"/>
      <c r="G484" s="260"/>
      <c r="H484" s="260"/>
      <c r="I484" s="260"/>
      <c r="J484" s="261"/>
      <c r="K484" s="260"/>
      <c r="L484" s="260"/>
      <c r="M484" s="260"/>
      <c r="N484" s="260"/>
      <c r="O484" s="260"/>
      <c r="P484" s="260"/>
      <c r="Q484" s="260"/>
      <c r="R484" s="260"/>
      <c r="S484" s="260"/>
      <c r="T484" s="279"/>
      <c r="U484" s="260"/>
      <c r="V484" s="260"/>
      <c r="W484" s="260"/>
      <c r="X484" s="260"/>
      <c r="Y484" s="260"/>
      <c r="Z484" s="260"/>
      <c r="AA484" s="264"/>
      <c r="AB484" s="260"/>
      <c r="AC484" s="260"/>
      <c r="AD484" s="260"/>
      <c r="AE484" s="260"/>
      <c r="AF484" s="260"/>
      <c r="AG484" s="260"/>
      <c r="AH484" s="260"/>
    </row>
    <row r="485">
      <c r="A485" s="259"/>
      <c r="B485" s="260"/>
      <c r="C485" s="260"/>
      <c r="D485" s="260"/>
      <c r="E485" s="260"/>
      <c r="F485" s="260"/>
      <c r="G485" s="260"/>
      <c r="H485" s="260"/>
      <c r="I485" s="260"/>
      <c r="J485" s="261"/>
      <c r="K485" s="260"/>
      <c r="L485" s="260"/>
      <c r="M485" s="260"/>
      <c r="N485" s="260"/>
      <c r="O485" s="260"/>
      <c r="P485" s="260"/>
      <c r="Q485" s="260"/>
      <c r="R485" s="260"/>
      <c r="S485" s="260"/>
      <c r="T485" s="279"/>
      <c r="U485" s="260"/>
      <c r="V485" s="260"/>
      <c r="W485" s="260"/>
      <c r="X485" s="260"/>
      <c r="Y485" s="260"/>
      <c r="Z485" s="260"/>
      <c r="AA485" s="264"/>
      <c r="AB485" s="260"/>
      <c r="AC485" s="260"/>
      <c r="AD485" s="260"/>
      <c r="AE485" s="260"/>
      <c r="AF485" s="260"/>
      <c r="AG485" s="260"/>
      <c r="AH485" s="260"/>
    </row>
    <row r="486">
      <c r="A486" s="259"/>
      <c r="B486" s="260"/>
      <c r="C486" s="260"/>
      <c r="D486" s="260"/>
      <c r="E486" s="260"/>
      <c r="F486" s="260"/>
      <c r="G486" s="260"/>
      <c r="H486" s="260"/>
      <c r="I486" s="260"/>
      <c r="J486" s="261"/>
      <c r="K486" s="260"/>
      <c r="L486" s="260"/>
      <c r="M486" s="260"/>
      <c r="N486" s="260"/>
      <c r="O486" s="260"/>
      <c r="P486" s="260"/>
      <c r="Q486" s="260"/>
      <c r="R486" s="260"/>
      <c r="S486" s="260"/>
      <c r="T486" s="279"/>
      <c r="U486" s="260"/>
      <c r="V486" s="260"/>
      <c r="W486" s="260"/>
      <c r="X486" s="260"/>
      <c r="Y486" s="260"/>
      <c r="Z486" s="260"/>
      <c r="AA486" s="264"/>
      <c r="AB486" s="260"/>
      <c r="AC486" s="260"/>
      <c r="AD486" s="260"/>
      <c r="AE486" s="260"/>
      <c r="AF486" s="260"/>
      <c r="AG486" s="260"/>
      <c r="AH486" s="260"/>
    </row>
    <row r="487">
      <c r="A487" s="259"/>
      <c r="B487" s="260"/>
      <c r="C487" s="260"/>
      <c r="D487" s="260"/>
      <c r="E487" s="260"/>
      <c r="F487" s="260"/>
      <c r="G487" s="260"/>
      <c r="H487" s="260"/>
      <c r="I487" s="260"/>
      <c r="J487" s="261"/>
      <c r="K487" s="260"/>
      <c r="L487" s="260"/>
      <c r="M487" s="260"/>
      <c r="N487" s="260"/>
      <c r="O487" s="260"/>
      <c r="P487" s="260"/>
      <c r="Q487" s="260"/>
      <c r="R487" s="260"/>
      <c r="S487" s="260"/>
      <c r="T487" s="279"/>
      <c r="U487" s="260"/>
      <c r="V487" s="260"/>
      <c r="W487" s="260"/>
      <c r="X487" s="260"/>
      <c r="Y487" s="260"/>
      <c r="Z487" s="260"/>
      <c r="AA487" s="264"/>
      <c r="AB487" s="260"/>
      <c r="AC487" s="260"/>
      <c r="AD487" s="260"/>
      <c r="AE487" s="260"/>
      <c r="AF487" s="260"/>
      <c r="AG487" s="260"/>
      <c r="AH487" s="260"/>
    </row>
    <row r="488">
      <c r="A488" s="259"/>
      <c r="B488" s="260"/>
      <c r="C488" s="260"/>
      <c r="D488" s="260"/>
      <c r="E488" s="260"/>
      <c r="F488" s="260"/>
      <c r="G488" s="260"/>
      <c r="H488" s="260"/>
      <c r="I488" s="260"/>
      <c r="J488" s="261"/>
      <c r="K488" s="260"/>
      <c r="L488" s="260"/>
      <c r="M488" s="260"/>
      <c r="N488" s="260"/>
      <c r="O488" s="260"/>
      <c r="P488" s="260"/>
      <c r="Q488" s="260"/>
      <c r="R488" s="260"/>
      <c r="S488" s="260"/>
      <c r="T488" s="279"/>
      <c r="U488" s="260"/>
      <c r="V488" s="260"/>
      <c r="W488" s="260"/>
      <c r="X488" s="260"/>
      <c r="Y488" s="260"/>
      <c r="Z488" s="260"/>
      <c r="AA488" s="264"/>
      <c r="AB488" s="260"/>
      <c r="AC488" s="260"/>
      <c r="AD488" s="260"/>
      <c r="AE488" s="260"/>
      <c r="AF488" s="260"/>
      <c r="AG488" s="260"/>
      <c r="AH488" s="260"/>
    </row>
    <row r="489">
      <c r="A489" s="259"/>
      <c r="B489" s="260"/>
      <c r="C489" s="260"/>
      <c r="D489" s="260"/>
      <c r="E489" s="260"/>
      <c r="F489" s="260"/>
      <c r="G489" s="260"/>
      <c r="H489" s="260"/>
      <c r="I489" s="260"/>
      <c r="J489" s="261"/>
      <c r="K489" s="260"/>
      <c r="L489" s="260"/>
      <c r="M489" s="260"/>
      <c r="N489" s="260"/>
      <c r="O489" s="260"/>
      <c r="P489" s="260"/>
      <c r="Q489" s="260"/>
      <c r="R489" s="260"/>
      <c r="S489" s="260"/>
      <c r="T489" s="279"/>
      <c r="U489" s="260"/>
      <c r="V489" s="260"/>
      <c r="W489" s="260"/>
      <c r="X489" s="260"/>
      <c r="Y489" s="260"/>
      <c r="Z489" s="260"/>
      <c r="AA489" s="264"/>
      <c r="AB489" s="260"/>
      <c r="AC489" s="260"/>
      <c r="AD489" s="260"/>
      <c r="AE489" s="260"/>
      <c r="AF489" s="260"/>
      <c r="AG489" s="260"/>
      <c r="AH489" s="260"/>
    </row>
    <row r="490">
      <c r="A490" s="259"/>
      <c r="B490" s="260"/>
      <c r="C490" s="260"/>
      <c r="D490" s="260"/>
      <c r="E490" s="260"/>
      <c r="F490" s="260"/>
      <c r="G490" s="260"/>
      <c r="H490" s="260"/>
      <c r="I490" s="260"/>
      <c r="J490" s="261"/>
      <c r="K490" s="260"/>
      <c r="L490" s="260"/>
      <c r="M490" s="260"/>
      <c r="N490" s="260"/>
      <c r="O490" s="260"/>
      <c r="P490" s="260"/>
      <c r="Q490" s="260"/>
      <c r="R490" s="260"/>
      <c r="S490" s="260"/>
      <c r="T490" s="279"/>
      <c r="U490" s="260"/>
      <c r="V490" s="260"/>
      <c r="W490" s="260"/>
      <c r="X490" s="260"/>
      <c r="Y490" s="260"/>
      <c r="Z490" s="260"/>
      <c r="AA490" s="264"/>
      <c r="AB490" s="260"/>
      <c r="AC490" s="260"/>
      <c r="AD490" s="260"/>
      <c r="AE490" s="260"/>
      <c r="AF490" s="260"/>
      <c r="AG490" s="260"/>
      <c r="AH490" s="260"/>
    </row>
    <row r="491">
      <c r="A491" s="259"/>
      <c r="B491" s="260"/>
      <c r="C491" s="260"/>
      <c r="D491" s="260"/>
      <c r="E491" s="260"/>
      <c r="F491" s="260"/>
      <c r="G491" s="260"/>
      <c r="H491" s="260"/>
      <c r="I491" s="260"/>
      <c r="J491" s="261"/>
      <c r="K491" s="260"/>
      <c r="L491" s="260"/>
      <c r="M491" s="260"/>
      <c r="N491" s="260"/>
      <c r="O491" s="260"/>
      <c r="P491" s="260"/>
      <c r="Q491" s="260"/>
      <c r="R491" s="260"/>
      <c r="S491" s="260"/>
      <c r="T491" s="279"/>
      <c r="U491" s="260"/>
      <c r="V491" s="260"/>
      <c r="W491" s="260"/>
      <c r="X491" s="260"/>
      <c r="Y491" s="260"/>
      <c r="Z491" s="260"/>
      <c r="AA491" s="264"/>
      <c r="AB491" s="260"/>
      <c r="AC491" s="260"/>
      <c r="AD491" s="260"/>
      <c r="AE491" s="260"/>
      <c r="AF491" s="260"/>
      <c r="AG491" s="260"/>
      <c r="AH491" s="260"/>
    </row>
    <row r="492">
      <c r="A492" s="259"/>
      <c r="B492" s="260"/>
      <c r="C492" s="260"/>
      <c r="D492" s="260"/>
      <c r="E492" s="260"/>
      <c r="F492" s="260"/>
      <c r="G492" s="260"/>
      <c r="H492" s="260"/>
      <c r="I492" s="260"/>
      <c r="J492" s="261"/>
      <c r="K492" s="260"/>
      <c r="L492" s="260"/>
      <c r="M492" s="260"/>
      <c r="N492" s="260"/>
      <c r="O492" s="260"/>
      <c r="P492" s="260"/>
      <c r="Q492" s="260"/>
      <c r="R492" s="260"/>
      <c r="S492" s="260"/>
      <c r="T492" s="279"/>
      <c r="U492" s="260"/>
      <c r="V492" s="260"/>
      <c r="W492" s="260"/>
      <c r="X492" s="260"/>
      <c r="Y492" s="260"/>
      <c r="Z492" s="260"/>
      <c r="AA492" s="264"/>
      <c r="AB492" s="260"/>
      <c r="AC492" s="260"/>
      <c r="AD492" s="260"/>
      <c r="AE492" s="260"/>
      <c r="AF492" s="260"/>
      <c r="AG492" s="260"/>
      <c r="AH492" s="260"/>
    </row>
    <row r="493">
      <c r="A493" s="259"/>
      <c r="B493" s="260"/>
      <c r="C493" s="260"/>
      <c r="D493" s="260"/>
      <c r="E493" s="260"/>
      <c r="F493" s="260"/>
      <c r="G493" s="260"/>
      <c r="H493" s="260"/>
      <c r="I493" s="260"/>
      <c r="J493" s="261"/>
      <c r="K493" s="260"/>
      <c r="L493" s="260"/>
      <c r="M493" s="260"/>
      <c r="N493" s="260"/>
      <c r="O493" s="260"/>
      <c r="P493" s="260"/>
      <c r="Q493" s="260"/>
      <c r="R493" s="260"/>
      <c r="S493" s="260"/>
      <c r="T493" s="279"/>
      <c r="U493" s="260"/>
      <c r="V493" s="260"/>
      <c r="W493" s="260"/>
      <c r="X493" s="260"/>
      <c r="Y493" s="260"/>
      <c r="Z493" s="260"/>
      <c r="AA493" s="264"/>
      <c r="AB493" s="260"/>
      <c r="AC493" s="260"/>
      <c r="AD493" s="260"/>
      <c r="AE493" s="260"/>
      <c r="AF493" s="260"/>
      <c r="AG493" s="260"/>
      <c r="AH493" s="260"/>
    </row>
    <row r="494">
      <c r="A494" s="259"/>
      <c r="B494" s="260"/>
      <c r="C494" s="260"/>
      <c r="D494" s="260"/>
      <c r="E494" s="260"/>
      <c r="F494" s="260"/>
      <c r="G494" s="260"/>
      <c r="H494" s="260"/>
      <c r="I494" s="260"/>
      <c r="J494" s="261"/>
      <c r="K494" s="260"/>
      <c r="L494" s="260"/>
      <c r="M494" s="260"/>
      <c r="N494" s="260"/>
      <c r="O494" s="260"/>
      <c r="P494" s="260"/>
      <c r="Q494" s="260"/>
      <c r="R494" s="260"/>
      <c r="S494" s="260"/>
      <c r="T494" s="279"/>
      <c r="U494" s="260"/>
      <c r="V494" s="260"/>
      <c r="W494" s="260"/>
      <c r="X494" s="260"/>
      <c r="Y494" s="260"/>
      <c r="Z494" s="260"/>
      <c r="AA494" s="264"/>
      <c r="AB494" s="260"/>
      <c r="AC494" s="260"/>
      <c r="AD494" s="260"/>
      <c r="AE494" s="260"/>
      <c r="AF494" s="260"/>
      <c r="AG494" s="260"/>
      <c r="AH494" s="260"/>
    </row>
    <row r="495">
      <c r="A495" s="259"/>
      <c r="B495" s="260"/>
      <c r="C495" s="260"/>
      <c r="D495" s="260"/>
      <c r="E495" s="260"/>
      <c r="F495" s="260"/>
      <c r="G495" s="260"/>
      <c r="H495" s="260"/>
      <c r="I495" s="260"/>
      <c r="J495" s="261"/>
      <c r="K495" s="260"/>
      <c r="L495" s="260"/>
      <c r="M495" s="260"/>
      <c r="N495" s="260"/>
      <c r="O495" s="260"/>
      <c r="P495" s="260"/>
      <c r="Q495" s="260"/>
      <c r="R495" s="260"/>
      <c r="S495" s="260"/>
      <c r="T495" s="279"/>
      <c r="U495" s="260"/>
      <c r="V495" s="260"/>
      <c r="W495" s="260"/>
      <c r="X495" s="260"/>
      <c r="Y495" s="260"/>
      <c r="Z495" s="260"/>
      <c r="AA495" s="264"/>
      <c r="AB495" s="260"/>
      <c r="AC495" s="260"/>
      <c r="AD495" s="260"/>
      <c r="AE495" s="260"/>
      <c r="AF495" s="260"/>
      <c r="AG495" s="260"/>
      <c r="AH495" s="260"/>
    </row>
    <row r="496">
      <c r="A496" s="259"/>
      <c r="B496" s="260"/>
      <c r="C496" s="260"/>
      <c r="D496" s="260"/>
      <c r="E496" s="260"/>
      <c r="F496" s="260"/>
      <c r="G496" s="260"/>
      <c r="H496" s="260"/>
      <c r="I496" s="260"/>
      <c r="J496" s="261"/>
      <c r="K496" s="260"/>
      <c r="L496" s="260"/>
      <c r="M496" s="260"/>
      <c r="N496" s="260"/>
      <c r="O496" s="260"/>
      <c r="P496" s="260"/>
      <c r="Q496" s="260"/>
      <c r="R496" s="260"/>
      <c r="S496" s="260"/>
      <c r="T496" s="279"/>
      <c r="U496" s="260"/>
      <c r="V496" s="260"/>
      <c r="W496" s="260"/>
      <c r="X496" s="260"/>
      <c r="Y496" s="260"/>
      <c r="Z496" s="260"/>
      <c r="AA496" s="264"/>
      <c r="AB496" s="260"/>
      <c r="AC496" s="260"/>
      <c r="AD496" s="260"/>
      <c r="AE496" s="260"/>
      <c r="AF496" s="260"/>
      <c r="AG496" s="260"/>
      <c r="AH496" s="260"/>
    </row>
    <row r="497">
      <c r="A497" s="259"/>
      <c r="B497" s="260"/>
      <c r="C497" s="260"/>
      <c r="D497" s="260"/>
      <c r="E497" s="260"/>
      <c r="F497" s="260"/>
      <c r="G497" s="260"/>
      <c r="H497" s="260"/>
      <c r="I497" s="260"/>
      <c r="J497" s="261"/>
      <c r="K497" s="260"/>
      <c r="L497" s="260"/>
      <c r="M497" s="260"/>
      <c r="N497" s="260"/>
      <c r="O497" s="260"/>
      <c r="P497" s="260"/>
      <c r="Q497" s="260"/>
      <c r="R497" s="260"/>
      <c r="S497" s="260"/>
      <c r="T497" s="279"/>
      <c r="U497" s="260"/>
      <c r="V497" s="260"/>
      <c r="W497" s="260"/>
      <c r="X497" s="260"/>
      <c r="Y497" s="260"/>
      <c r="Z497" s="260"/>
      <c r="AA497" s="264"/>
      <c r="AB497" s="260"/>
      <c r="AC497" s="260"/>
      <c r="AD497" s="260"/>
      <c r="AE497" s="260"/>
      <c r="AF497" s="260"/>
      <c r="AG497" s="260"/>
      <c r="AH497" s="260"/>
    </row>
    <row r="498">
      <c r="A498" s="259"/>
      <c r="B498" s="260"/>
      <c r="C498" s="260"/>
      <c r="D498" s="260"/>
      <c r="E498" s="260"/>
      <c r="F498" s="260"/>
      <c r="G498" s="260"/>
      <c r="H498" s="260"/>
      <c r="I498" s="260"/>
      <c r="J498" s="261"/>
      <c r="K498" s="260"/>
      <c r="L498" s="260"/>
      <c r="M498" s="260"/>
      <c r="N498" s="260"/>
      <c r="O498" s="260"/>
      <c r="P498" s="260"/>
      <c r="Q498" s="260"/>
      <c r="R498" s="260"/>
      <c r="S498" s="260"/>
      <c r="T498" s="279"/>
      <c r="U498" s="260"/>
      <c r="V498" s="260"/>
      <c r="W498" s="260"/>
      <c r="X498" s="260"/>
      <c r="Y498" s="260"/>
      <c r="Z498" s="260"/>
      <c r="AA498" s="264"/>
      <c r="AB498" s="260"/>
      <c r="AC498" s="260"/>
      <c r="AD498" s="260"/>
      <c r="AE498" s="260"/>
      <c r="AF498" s="260"/>
      <c r="AG498" s="260"/>
      <c r="AH498" s="260"/>
    </row>
    <row r="499">
      <c r="A499" s="259"/>
      <c r="B499" s="260"/>
      <c r="C499" s="260"/>
      <c r="D499" s="260"/>
      <c r="E499" s="260"/>
      <c r="F499" s="260"/>
      <c r="G499" s="260"/>
      <c r="H499" s="260"/>
      <c r="I499" s="260"/>
      <c r="J499" s="261"/>
      <c r="K499" s="260"/>
      <c r="L499" s="260"/>
      <c r="M499" s="260"/>
      <c r="N499" s="260"/>
      <c r="O499" s="260"/>
      <c r="P499" s="260"/>
      <c r="Q499" s="260"/>
      <c r="R499" s="260"/>
      <c r="S499" s="260"/>
      <c r="T499" s="279"/>
      <c r="U499" s="260"/>
      <c r="V499" s="260"/>
      <c r="W499" s="260"/>
      <c r="X499" s="260"/>
      <c r="Y499" s="260"/>
      <c r="Z499" s="260"/>
      <c r="AA499" s="264"/>
      <c r="AB499" s="260"/>
      <c r="AC499" s="260"/>
      <c r="AD499" s="260"/>
      <c r="AE499" s="260"/>
      <c r="AF499" s="260"/>
      <c r="AG499" s="260"/>
      <c r="AH499" s="260"/>
    </row>
    <row r="500">
      <c r="A500" s="259"/>
      <c r="B500" s="260"/>
      <c r="C500" s="260"/>
      <c r="D500" s="260"/>
      <c r="E500" s="260"/>
      <c r="F500" s="260"/>
      <c r="G500" s="260"/>
      <c r="H500" s="260"/>
      <c r="I500" s="260"/>
      <c r="J500" s="261"/>
      <c r="K500" s="260"/>
      <c r="L500" s="260"/>
      <c r="M500" s="260"/>
      <c r="N500" s="260"/>
      <c r="O500" s="260"/>
      <c r="P500" s="260"/>
      <c r="Q500" s="260"/>
      <c r="R500" s="260"/>
      <c r="S500" s="260"/>
      <c r="T500" s="279"/>
      <c r="U500" s="260"/>
      <c r="V500" s="260"/>
      <c r="W500" s="260"/>
      <c r="X500" s="260"/>
      <c r="Y500" s="260"/>
      <c r="Z500" s="260"/>
      <c r="AA500" s="264"/>
      <c r="AB500" s="260"/>
      <c r="AC500" s="260"/>
      <c r="AD500" s="260"/>
      <c r="AE500" s="260"/>
      <c r="AF500" s="260"/>
      <c r="AG500" s="260"/>
      <c r="AH500" s="260"/>
    </row>
    <row r="501">
      <c r="A501" s="259"/>
      <c r="B501" s="260"/>
      <c r="C501" s="260"/>
      <c r="D501" s="260"/>
      <c r="E501" s="260"/>
      <c r="F501" s="260"/>
      <c r="G501" s="260"/>
      <c r="H501" s="260"/>
      <c r="I501" s="260"/>
      <c r="J501" s="261"/>
      <c r="K501" s="260"/>
      <c r="L501" s="260"/>
      <c r="M501" s="260"/>
      <c r="N501" s="260"/>
      <c r="O501" s="260"/>
      <c r="P501" s="260"/>
      <c r="Q501" s="260"/>
      <c r="R501" s="260"/>
      <c r="S501" s="260"/>
      <c r="T501" s="279"/>
      <c r="U501" s="260"/>
      <c r="V501" s="260"/>
      <c r="W501" s="260"/>
      <c r="X501" s="260"/>
      <c r="Y501" s="260"/>
      <c r="Z501" s="260"/>
      <c r="AA501" s="264"/>
      <c r="AB501" s="260"/>
      <c r="AC501" s="260"/>
      <c r="AD501" s="260"/>
      <c r="AE501" s="260"/>
      <c r="AF501" s="260"/>
      <c r="AG501" s="260"/>
      <c r="AH501" s="260"/>
    </row>
    <row r="502">
      <c r="A502" s="259"/>
      <c r="B502" s="260"/>
      <c r="C502" s="260"/>
      <c r="D502" s="260"/>
      <c r="E502" s="260"/>
      <c r="F502" s="260"/>
      <c r="G502" s="260"/>
      <c r="H502" s="260"/>
      <c r="I502" s="260"/>
      <c r="J502" s="261"/>
      <c r="K502" s="260"/>
      <c r="L502" s="260"/>
      <c r="M502" s="260"/>
      <c r="N502" s="260"/>
      <c r="O502" s="260"/>
      <c r="P502" s="260"/>
      <c r="Q502" s="260"/>
      <c r="R502" s="260"/>
      <c r="S502" s="260"/>
      <c r="T502" s="279"/>
      <c r="U502" s="260"/>
      <c r="V502" s="260"/>
      <c r="W502" s="260"/>
      <c r="X502" s="260"/>
      <c r="Y502" s="260"/>
      <c r="Z502" s="260"/>
      <c r="AA502" s="264"/>
      <c r="AB502" s="260"/>
      <c r="AC502" s="260"/>
      <c r="AD502" s="260"/>
      <c r="AE502" s="260"/>
      <c r="AF502" s="260"/>
      <c r="AG502" s="260"/>
      <c r="AH502" s="260"/>
    </row>
    <row r="503">
      <c r="A503" s="259"/>
      <c r="B503" s="260"/>
      <c r="C503" s="260"/>
      <c r="D503" s="260"/>
      <c r="E503" s="260"/>
      <c r="F503" s="260"/>
      <c r="G503" s="260"/>
      <c r="H503" s="260"/>
      <c r="I503" s="260"/>
      <c r="J503" s="261"/>
      <c r="K503" s="260"/>
      <c r="L503" s="260"/>
      <c r="M503" s="260"/>
      <c r="N503" s="260"/>
      <c r="O503" s="260"/>
      <c r="P503" s="260"/>
      <c r="Q503" s="260"/>
      <c r="R503" s="260"/>
      <c r="S503" s="260"/>
      <c r="T503" s="279"/>
      <c r="U503" s="260"/>
      <c r="V503" s="260"/>
      <c r="W503" s="260"/>
      <c r="X503" s="260"/>
      <c r="Y503" s="260"/>
      <c r="Z503" s="260"/>
      <c r="AA503" s="264"/>
      <c r="AB503" s="260"/>
      <c r="AC503" s="260"/>
      <c r="AD503" s="260"/>
      <c r="AE503" s="260"/>
      <c r="AF503" s="260"/>
      <c r="AG503" s="260"/>
      <c r="AH503" s="260"/>
    </row>
    <row r="504">
      <c r="A504" s="259"/>
      <c r="B504" s="260"/>
      <c r="C504" s="260"/>
      <c r="D504" s="260"/>
      <c r="E504" s="260"/>
      <c r="F504" s="260"/>
      <c r="G504" s="260"/>
      <c r="H504" s="260"/>
      <c r="I504" s="260"/>
      <c r="J504" s="261"/>
      <c r="K504" s="260"/>
      <c r="L504" s="260"/>
      <c r="M504" s="260"/>
      <c r="N504" s="260"/>
      <c r="O504" s="260"/>
      <c r="P504" s="260"/>
      <c r="Q504" s="260"/>
      <c r="R504" s="260"/>
      <c r="S504" s="260"/>
      <c r="T504" s="279"/>
      <c r="U504" s="260"/>
      <c r="V504" s="260"/>
      <c r="W504" s="260"/>
      <c r="X504" s="260"/>
      <c r="Y504" s="260"/>
      <c r="Z504" s="260"/>
      <c r="AA504" s="264"/>
      <c r="AB504" s="260"/>
      <c r="AC504" s="260"/>
      <c r="AD504" s="260"/>
      <c r="AE504" s="260"/>
      <c r="AF504" s="260"/>
      <c r="AG504" s="260"/>
      <c r="AH504" s="260"/>
    </row>
    <row r="505">
      <c r="A505" s="259"/>
      <c r="B505" s="260"/>
      <c r="C505" s="260"/>
      <c r="D505" s="260"/>
      <c r="E505" s="260"/>
      <c r="F505" s="260"/>
      <c r="G505" s="260"/>
      <c r="H505" s="260"/>
      <c r="I505" s="260"/>
      <c r="J505" s="261"/>
      <c r="K505" s="260"/>
      <c r="L505" s="260"/>
      <c r="M505" s="260"/>
      <c r="N505" s="260"/>
      <c r="O505" s="260"/>
      <c r="P505" s="260"/>
      <c r="Q505" s="260"/>
      <c r="R505" s="260"/>
      <c r="S505" s="260"/>
      <c r="T505" s="279"/>
      <c r="U505" s="260"/>
      <c r="V505" s="260"/>
      <c r="W505" s="260"/>
      <c r="X505" s="260"/>
      <c r="Y505" s="260"/>
      <c r="Z505" s="260"/>
      <c r="AA505" s="264"/>
      <c r="AB505" s="260"/>
      <c r="AC505" s="260"/>
      <c r="AD505" s="260"/>
      <c r="AE505" s="260"/>
      <c r="AF505" s="260"/>
      <c r="AG505" s="260"/>
      <c r="AH505" s="260"/>
    </row>
    <row r="506">
      <c r="A506" s="259"/>
      <c r="B506" s="260"/>
      <c r="C506" s="260"/>
      <c r="D506" s="260"/>
      <c r="E506" s="260"/>
      <c r="F506" s="260"/>
      <c r="G506" s="260"/>
      <c r="H506" s="260"/>
      <c r="I506" s="260"/>
      <c r="J506" s="261"/>
      <c r="K506" s="260"/>
      <c r="L506" s="260"/>
      <c r="M506" s="260"/>
      <c r="N506" s="260"/>
      <c r="O506" s="260"/>
      <c r="P506" s="260"/>
      <c r="Q506" s="260"/>
      <c r="R506" s="260"/>
      <c r="S506" s="260"/>
      <c r="T506" s="279"/>
      <c r="U506" s="260"/>
      <c r="V506" s="260"/>
      <c r="W506" s="260"/>
      <c r="X506" s="260"/>
      <c r="Y506" s="260"/>
      <c r="Z506" s="260"/>
      <c r="AA506" s="264"/>
      <c r="AB506" s="260"/>
      <c r="AC506" s="260"/>
      <c r="AD506" s="260"/>
      <c r="AE506" s="260"/>
      <c r="AF506" s="260"/>
      <c r="AG506" s="260"/>
      <c r="AH506" s="260"/>
    </row>
    <row r="507">
      <c r="A507" s="259"/>
      <c r="B507" s="260"/>
      <c r="C507" s="260"/>
      <c r="D507" s="260"/>
      <c r="E507" s="260"/>
      <c r="F507" s="260"/>
      <c r="G507" s="260"/>
      <c r="H507" s="260"/>
      <c r="I507" s="260"/>
      <c r="J507" s="261"/>
      <c r="K507" s="260"/>
      <c r="L507" s="260"/>
      <c r="M507" s="260"/>
      <c r="N507" s="260"/>
      <c r="O507" s="260"/>
      <c r="P507" s="260"/>
      <c r="Q507" s="260"/>
      <c r="R507" s="260"/>
      <c r="S507" s="260"/>
      <c r="T507" s="279"/>
      <c r="U507" s="260"/>
      <c r="V507" s="260"/>
      <c r="W507" s="260"/>
      <c r="X507" s="260"/>
      <c r="Y507" s="260"/>
      <c r="Z507" s="260"/>
      <c r="AA507" s="264"/>
      <c r="AB507" s="260"/>
      <c r="AC507" s="260"/>
      <c r="AD507" s="260"/>
      <c r="AE507" s="260"/>
      <c r="AF507" s="260"/>
      <c r="AG507" s="260"/>
      <c r="AH507" s="260"/>
    </row>
    <row r="508">
      <c r="A508" s="259"/>
      <c r="B508" s="260"/>
      <c r="C508" s="260"/>
      <c r="D508" s="260"/>
      <c r="E508" s="260"/>
      <c r="F508" s="260"/>
      <c r="G508" s="260"/>
      <c r="H508" s="260"/>
      <c r="I508" s="260"/>
      <c r="J508" s="261"/>
      <c r="K508" s="260"/>
      <c r="L508" s="260"/>
      <c r="M508" s="260"/>
      <c r="N508" s="260"/>
      <c r="O508" s="260"/>
      <c r="P508" s="260"/>
      <c r="Q508" s="260"/>
      <c r="R508" s="260"/>
      <c r="S508" s="260"/>
      <c r="T508" s="279"/>
      <c r="U508" s="260"/>
      <c r="V508" s="260"/>
      <c r="W508" s="260"/>
      <c r="X508" s="260"/>
      <c r="Y508" s="260"/>
      <c r="Z508" s="260"/>
      <c r="AA508" s="264"/>
      <c r="AB508" s="260"/>
      <c r="AC508" s="260"/>
      <c r="AD508" s="260"/>
      <c r="AE508" s="260"/>
      <c r="AF508" s="260"/>
      <c r="AG508" s="260"/>
      <c r="AH508" s="260"/>
    </row>
    <row r="509">
      <c r="A509" s="259"/>
      <c r="B509" s="260"/>
      <c r="C509" s="260"/>
      <c r="D509" s="260"/>
      <c r="E509" s="260"/>
      <c r="F509" s="260"/>
      <c r="G509" s="260"/>
      <c r="H509" s="260"/>
      <c r="I509" s="260"/>
      <c r="J509" s="261"/>
      <c r="K509" s="260"/>
      <c r="L509" s="260"/>
      <c r="M509" s="260"/>
      <c r="N509" s="260"/>
      <c r="O509" s="260"/>
      <c r="P509" s="260"/>
      <c r="Q509" s="260"/>
      <c r="R509" s="260"/>
      <c r="S509" s="260"/>
      <c r="T509" s="279"/>
      <c r="U509" s="260"/>
      <c r="V509" s="260"/>
      <c r="W509" s="260"/>
      <c r="X509" s="260"/>
      <c r="Y509" s="260"/>
      <c r="Z509" s="260"/>
      <c r="AA509" s="264"/>
      <c r="AB509" s="260"/>
      <c r="AC509" s="260"/>
      <c r="AD509" s="260"/>
      <c r="AE509" s="260"/>
      <c r="AF509" s="260"/>
      <c r="AG509" s="260"/>
      <c r="AH509" s="260"/>
    </row>
    <row r="510">
      <c r="A510" s="259"/>
      <c r="B510" s="260"/>
      <c r="C510" s="260"/>
      <c r="D510" s="260"/>
      <c r="E510" s="260"/>
      <c r="F510" s="260"/>
      <c r="G510" s="260"/>
      <c r="H510" s="260"/>
      <c r="I510" s="260"/>
      <c r="J510" s="261"/>
      <c r="K510" s="260"/>
      <c r="L510" s="260"/>
      <c r="M510" s="260"/>
      <c r="N510" s="260"/>
      <c r="O510" s="260"/>
      <c r="P510" s="260"/>
      <c r="Q510" s="260"/>
      <c r="R510" s="260"/>
      <c r="S510" s="260"/>
      <c r="T510" s="279"/>
      <c r="U510" s="260"/>
      <c r="V510" s="260"/>
      <c r="W510" s="260"/>
      <c r="X510" s="260"/>
      <c r="Y510" s="260"/>
      <c r="Z510" s="260"/>
      <c r="AA510" s="264"/>
      <c r="AB510" s="260"/>
      <c r="AC510" s="260"/>
      <c r="AD510" s="260"/>
      <c r="AE510" s="260"/>
      <c r="AF510" s="260"/>
      <c r="AG510" s="260"/>
      <c r="AH510" s="260"/>
    </row>
    <row r="511">
      <c r="A511" s="259"/>
      <c r="B511" s="260"/>
      <c r="C511" s="260"/>
      <c r="D511" s="260"/>
      <c r="E511" s="260"/>
      <c r="F511" s="260"/>
      <c r="G511" s="260"/>
      <c r="H511" s="260"/>
      <c r="I511" s="260"/>
      <c r="J511" s="261"/>
      <c r="K511" s="260"/>
      <c r="L511" s="260"/>
      <c r="M511" s="260"/>
      <c r="N511" s="260"/>
      <c r="O511" s="260"/>
      <c r="P511" s="260"/>
      <c r="Q511" s="260"/>
      <c r="R511" s="260"/>
      <c r="S511" s="260"/>
      <c r="T511" s="279"/>
      <c r="U511" s="260"/>
      <c r="V511" s="260"/>
      <c r="W511" s="260"/>
      <c r="X511" s="260"/>
      <c r="Y511" s="260"/>
      <c r="Z511" s="260"/>
      <c r="AA511" s="264"/>
      <c r="AB511" s="260"/>
      <c r="AC511" s="260"/>
      <c r="AD511" s="260"/>
      <c r="AE511" s="260"/>
      <c r="AF511" s="260"/>
      <c r="AG511" s="260"/>
      <c r="AH511" s="260"/>
    </row>
    <row r="512">
      <c r="A512" s="259"/>
      <c r="B512" s="260"/>
      <c r="C512" s="260"/>
      <c r="D512" s="260"/>
      <c r="E512" s="260"/>
      <c r="F512" s="260"/>
      <c r="G512" s="260"/>
      <c r="H512" s="260"/>
      <c r="I512" s="260"/>
      <c r="J512" s="261"/>
      <c r="K512" s="260"/>
      <c r="L512" s="260"/>
      <c r="M512" s="260"/>
      <c r="N512" s="260"/>
      <c r="O512" s="260"/>
      <c r="P512" s="260"/>
      <c r="Q512" s="260"/>
      <c r="R512" s="260"/>
      <c r="S512" s="260"/>
      <c r="T512" s="279"/>
      <c r="U512" s="260"/>
      <c r="V512" s="260"/>
      <c r="W512" s="260"/>
      <c r="X512" s="260"/>
      <c r="Y512" s="260"/>
      <c r="Z512" s="260"/>
      <c r="AA512" s="264"/>
      <c r="AB512" s="260"/>
      <c r="AC512" s="260"/>
      <c r="AD512" s="260"/>
      <c r="AE512" s="260"/>
      <c r="AF512" s="260"/>
      <c r="AG512" s="260"/>
      <c r="AH512" s="260"/>
    </row>
    <row r="513">
      <c r="A513" s="259"/>
      <c r="B513" s="260"/>
      <c r="C513" s="260"/>
      <c r="D513" s="260"/>
      <c r="E513" s="260"/>
      <c r="F513" s="260"/>
      <c r="G513" s="260"/>
      <c r="H513" s="260"/>
      <c r="I513" s="260"/>
      <c r="J513" s="261"/>
      <c r="K513" s="260"/>
      <c r="L513" s="260"/>
      <c r="M513" s="260"/>
      <c r="N513" s="260"/>
      <c r="O513" s="260"/>
      <c r="P513" s="260"/>
      <c r="Q513" s="260"/>
      <c r="R513" s="260"/>
      <c r="S513" s="260"/>
      <c r="T513" s="279"/>
      <c r="U513" s="260"/>
      <c r="V513" s="260"/>
      <c r="W513" s="260"/>
      <c r="X513" s="260"/>
      <c r="Y513" s="260"/>
      <c r="Z513" s="260"/>
      <c r="AA513" s="264"/>
      <c r="AB513" s="260"/>
      <c r="AC513" s="260"/>
      <c r="AD513" s="260"/>
      <c r="AE513" s="260"/>
      <c r="AF513" s="260"/>
      <c r="AG513" s="260"/>
      <c r="AH513" s="260"/>
    </row>
    <row r="514">
      <c r="A514" s="259"/>
      <c r="B514" s="260"/>
      <c r="C514" s="260"/>
      <c r="D514" s="260"/>
      <c r="E514" s="260"/>
      <c r="F514" s="260"/>
      <c r="G514" s="260"/>
      <c r="H514" s="260"/>
      <c r="I514" s="260"/>
      <c r="J514" s="261"/>
      <c r="K514" s="260"/>
      <c r="L514" s="260"/>
      <c r="M514" s="260"/>
      <c r="N514" s="260"/>
      <c r="O514" s="260"/>
      <c r="P514" s="260"/>
      <c r="Q514" s="260"/>
      <c r="R514" s="260"/>
      <c r="S514" s="260"/>
      <c r="T514" s="279"/>
      <c r="U514" s="260"/>
      <c r="V514" s="260"/>
      <c r="W514" s="260"/>
      <c r="X514" s="260"/>
      <c r="Y514" s="260"/>
      <c r="Z514" s="260"/>
      <c r="AA514" s="264"/>
      <c r="AB514" s="260"/>
      <c r="AC514" s="260"/>
      <c r="AD514" s="260"/>
      <c r="AE514" s="260"/>
      <c r="AF514" s="260"/>
      <c r="AG514" s="260"/>
      <c r="AH514" s="260"/>
    </row>
    <row r="515">
      <c r="A515" s="259"/>
      <c r="B515" s="260"/>
      <c r="C515" s="260"/>
      <c r="D515" s="260"/>
      <c r="E515" s="260"/>
      <c r="F515" s="260"/>
      <c r="G515" s="260"/>
      <c r="H515" s="260"/>
      <c r="I515" s="260"/>
      <c r="J515" s="261"/>
      <c r="K515" s="260"/>
      <c r="L515" s="260"/>
      <c r="M515" s="260"/>
      <c r="N515" s="260"/>
      <c r="O515" s="260"/>
      <c r="P515" s="260"/>
      <c r="Q515" s="260"/>
      <c r="R515" s="260"/>
      <c r="S515" s="260"/>
      <c r="T515" s="279"/>
      <c r="U515" s="260"/>
      <c r="V515" s="260"/>
      <c r="W515" s="260"/>
      <c r="X515" s="260"/>
      <c r="Y515" s="260"/>
      <c r="Z515" s="260"/>
      <c r="AA515" s="264"/>
      <c r="AB515" s="260"/>
      <c r="AC515" s="260"/>
      <c r="AD515" s="260"/>
      <c r="AE515" s="260"/>
      <c r="AF515" s="260"/>
      <c r="AG515" s="260"/>
      <c r="AH515" s="260"/>
    </row>
    <row r="516">
      <c r="A516" s="259"/>
      <c r="B516" s="260"/>
      <c r="C516" s="260"/>
      <c r="D516" s="260"/>
      <c r="E516" s="260"/>
      <c r="F516" s="260"/>
      <c r="G516" s="260"/>
      <c r="H516" s="260"/>
      <c r="I516" s="260"/>
      <c r="J516" s="261"/>
      <c r="K516" s="260"/>
      <c r="L516" s="260"/>
      <c r="M516" s="260"/>
      <c r="N516" s="260"/>
      <c r="O516" s="260"/>
      <c r="P516" s="260"/>
      <c r="Q516" s="260"/>
      <c r="R516" s="260"/>
      <c r="S516" s="260"/>
      <c r="T516" s="279"/>
      <c r="U516" s="260"/>
      <c r="V516" s="260"/>
      <c r="W516" s="260"/>
      <c r="X516" s="260"/>
      <c r="Y516" s="260"/>
      <c r="Z516" s="260"/>
      <c r="AA516" s="264"/>
      <c r="AB516" s="260"/>
      <c r="AC516" s="260"/>
      <c r="AD516" s="260"/>
      <c r="AE516" s="260"/>
      <c r="AF516" s="260"/>
      <c r="AG516" s="260"/>
      <c r="AH516" s="260"/>
    </row>
    <row r="517">
      <c r="A517" s="259"/>
      <c r="B517" s="260"/>
      <c r="C517" s="260"/>
      <c r="D517" s="260"/>
      <c r="E517" s="260"/>
      <c r="F517" s="260"/>
      <c r="G517" s="260"/>
      <c r="H517" s="260"/>
      <c r="I517" s="260"/>
      <c r="J517" s="261"/>
      <c r="K517" s="260"/>
      <c r="L517" s="260"/>
      <c r="M517" s="260"/>
      <c r="N517" s="260"/>
      <c r="O517" s="260"/>
      <c r="P517" s="260"/>
      <c r="Q517" s="260"/>
      <c r="R517" s="260"/>
      <c r="S517" s="260"/>
      <c r="T517" s="279"/>
      <c r="U517" s="260"/>
      <c r="V517" s="260"/>
      <c r="W517" s="260"/>
      <c r="X517" s="260"/>
      <c r="Y517" s="260"/>
      <c r="Z517" s="260"/>
      <c r="AA517" s="264"/>
      <c r="AB517" s="260"/>
      <c r="AC517" s="260"/>
      <c r="AD517" s="260"/>
      <c r="AE517" s="260"/>
      <c r="AF517" s="260"/>
      <c r="AG517" s="260"/>
      <c r="AH517" s="260"/>
    </row>
    <row r="518">
      <c r="A518" s="259"/>
      <c r="B518" s="260"/>
      <c r="C518" s="260"/>
      <c r="D518" s="260"/>
      <c r="E518" s="260"/>
      <c r="F518" s="260"/>
      <c r="G518" s="260"/>
      <c r="H518" s="260"/>
      <c r="I518" s="260"/>
      <c r="J518" s="261"/>
      <c r="K518" s="260"/>
      <c r="L518" s="260"/>
      <c r="M518" s="260"/>
      <c r="N518" s="260"/>
      <c r="O518" s="260"/>
      <c r="P518" s="260"/>
      <c r="Q518" s="260"/>
      <c r="R518" s="260"/>
      <c r="S518" s="260"/>
      <c r="T518" s="279"/>
      <c r="U518" s="260"/>
      <c r="V518" s="260"/>
      <c r="W518" s="260"/>
      <c r="X518" s="260"/>
      <c r="Y518" s="260"/>
      <c r="Z518" s="260"/>
      <c r="AA518" s="264"/>
      <c r="AB518" s="260"/>
      <c r="AC518" s="260"/>
      <c r="AD518" s="260"/>
      <c r="AE518" s="260"/>
      <c r="AF518" s="260"/>
      <c r="AG518" s="260"/>
      <c r="AH518" s="260"/>
    </row>
    <row r="519">
      <c r="A519" s="259"/>
      <c r="B519" s="260"/>
      <c r="C519" s="260"/>
      <c r="D519" s="260"/>
      <c r="E519" s="260"/>
      <c r="F519" s="260"/>
      <c r="G519" s="260"/>
      <c r="H519" s="260"/>
      <c r="I519" s="260"/>
      <c r="J519" s="261"/>
      <c r="K519" s="260"/>
      <c r="L519" s="260"/>
      <c r="M519" s="260"/>
      <c r="N519" s="260"/>
      <c r="O519" s="260"/>
      <c r="P519" s="260"/>
      <c r="Q519" s="260"/>
      <c r="R519" s="260"/>
      <c r="S519" s="260"/>
      <c r="T519" s="279"/>
      <c r="U519" s="260"/>
      <c r="V519" s="260"/>
      <c r="W519" s="260"/>
      <c r="X519" s="260"/>
      <c r="Y519" s="260"/>
      <c r="Z519" s="260"/>
      <c r="AA519" s="264"/>
      <c r="AB519" s="260"/>
      <c r="AC519" s="260"/>
      <c r="AD519" s="260"/>
      <c r="AE519" s="260"/>
      <c r="AF519" s="260"/>
      <c r="AG519" s="260"/>
      <c r="AH519" s="260"/>
    </row>
    <row r="520">
      <c r="A520" s="259"/>
      <c r="B520" s="260"/>
      <c r="C520" s="260"/>
      <c r="D520" s="260"/>
      <c r="E520" s="260"/>
      <c r="F520" s="260"/>
      <c r="G520" s="260"/>
      <c r="H520" s="260"/>
      <c r="I520" s="260"/>
      <c r="J520" s="261"/>
      <c r="K520" s="260"/>
      <c r="L520" s="260"/>
      <c r="M520" s="260"/>
      <c r="N520" s="260"/>
      <c r="O520" s="260"/>
      <c r="P520" s="260"/>
      <c r="Q520" s="260"/>
      <c r="R520" s="260"/>
      <c r="S520" s="260"/>
      <c r="T520" s="279"/>
      <c r="U520" s="260"/>
      <c r="V520" s="260"/>
      <c r="W520" s="260"/>
      <c r="X520" s="260"/>
      <c r="Y520" s="260"/>
      <c r="Z520" s="260"/>
      <c r="AA520" s="264"/>
      <c r="AB520" s="260"/>
      <c r="AC520" s="260"/>
      <c r="AD520" s="260"/>
      <c r="AE520" s="260"/>
      <c r="AF520" s="260"/>
      <c r="AG520" s="260"/>
      <c r="AH520" s="260"/>
    </row>
    <row r="521">
      <c r="A521" s="259"/>
      <c r="B521" s="260"/>
      <c r="C521" s="260"/>
      <c r="D521" s="260"/>
      <c r="E521" s="260"/>
      <c r="F521" s="260"/>
      <c r="G521" s="260"/>
      <c r="H521" s="260"/>
      <c r="I521" s="260"/>
      <c r="J521" s="261"/>
      <c r="K521" s="260"/>
      <c r="L521" s="260"/>
      <c r="M521" s="260"/>
      <c r="N521" s="260"/>
      <c r="O521" s="260"/>
      <c r="P521" s="260"/>
      <c r="Q521" s="260"/>
      <c r="R521" s="260"/>
      <c r="S521" s="260"/>
      <c r="T521" s="279"/>
      <c r="U521" s="260"/>
      <c r="V521" s="260"/>
      <c r="W521" s="260"/>
      <c r="X521" s="260"/>
      <c r="Y521" s="260"/>
      <c r="Z521" s="260"/>
      <c r="AA521" s="264"/>
      <c r="AB521" s="260"/>
      <c r="AC521" s="260"/>
      <c r="AD521" s="260"/>
      <c r="AE521" s="260"/>
      <c r="AF521" s="260"/>
      <c r="AG521" s="260"/>
      <c r="AH521" s="260"/>
    </row>
    <row r="522">
      <c r="A522" s="259"/>
      <c r="B522" s="260"/>
      <c r="C522" s="260"/>
      <c r="D522" s="260"/>
      <c r="E522" s="260"/>
      <c r="F522" s="260"/>
      <c r="G522" s="260"/>
      <c r="H522" s="260"/>
      <c r="I522" s="260"/>
      <c r="J522" s="261"/>
      <c r="K522" s="260"/>
      <c r="L522" s="260"/>
      <c r="M522" s="260"/>
      <c r="N522" s="260"/>
      <c r="O522" s="260"/>
      <c r="P522" s="260"/>
      <c r="Q522" s="260"/>
      <c r="R522" s="260"/>
      <c r="S522" s="260"/>
      <c r="T522" s="279"/>
      <c r="U522" s="260"/>
      <c r="V522" s="260"/>
      <c r="W522" s="260"/>
      <c r="X522" s="260"/>
      <c r="Y522" s="260"/>
      <c r="Z522" s="260"/>
      <c r="AA522" s="264"/>
      <c r="AB522" s="260"/>
      <c r="AC522" s="260"/>
      <c r="AD522" s="260"/>
      <c r="AE522" s="260"/>
      <c r="AF522" s="260"/>
      <c r="AG522" s="260"/>
      <c r="AH522" s="260"/>
    </row>
    <row r="523">
      <c r="A523" s="259"/>
      <c r="B523" s="260"/>
      <c r="C523" s="260"/>
      <c r="D523" s="260"/>
      <c r="E523" s="260"/>
      <c r="F523" s="260"/>
      <c r="G523" s="260"/>
      <c r="H523" s="260"/>
      <c r="I523" s="260"/>
      <c r="J523" s="261"/>
      <c r="K523" s="260"/>
      <c r="L523" s="260"/>
      <c r="M523" s="260"/>
      <c r="N523" s="260"/>
      <c r="O523" s="260"/>
      <c r="P523" s="260"/>
      <c r="Q523" s="260"/>
      <c r="R523" s="260"/>
      <c r="S523" s="260"/>
      <c r="T523" s="279"/>
      <c r="U523" s="260"/>
      <c r="V523" s="260"/>
      <c r="W523" s="260"/>
      <c r="X523" s="260"/>
      <c r="Y523" s="260"/>
      <c r="Z523" s="260"/>
      <c r="AA523" s="264"/>
      <c r="AB523" s="260"/>
      <c r="AC523" s="260"/>
      <c r="AD523" s="260"/>
      <c r="AE523" s="260"/>
      <c r="AF523" s="260"/>
      <c r="AG523" s="260"/>
      <c r="AH523" s="260"/>
    </row>
    <row r="524">
      <c r="A524" s="259"/>
      <c r="B524" s="260"/>
      <c r="C524" s="260"/>
      <c r="D524" s="260"/>
      <c r="E524" s="260"/>
      <c r="F524" s="260"/>
      <c r="G524" s="260"/>
      <c r="H524" s="260"/>
      <c r="I524" s="260"/>
      <c r="J524" s="261"/>
      <c r="K524" s="260"/>
      <c r="L524" s="260"/>
      <c r="M524" s="260"/>
      <c r="N524" s="260"/>
      <c r="O524" s="260"/>
      <c r="P524" s="260"/>
      <c r="Q524" s="260"/>
      <c r="R524" s="260"/>
      <c r="S524" s="260"/>
      <c r="T524" s="279"/>
      <c r="U524" s="260"/>
      <c r="V524" s="260"/>
      <c r="W524" s="260"/>
      <c r="X524" s="260"/>
      <c r="Y524" s="260"/>
      <c r="Z524" s="260"/>
      <c r="AA524" s="264"/>
      <c r="AB524" s="260"/>
      <c r="AC524" s="260"/>
      <c r="AD524" s="260"/>
      <c r="AE524" s="260"/>
      <c r="AF524" s="260"/>
      <c r="AG524" s="260"/>
      <c r="AH524" s="260"/>
    </row>
    <row r="525">
      <c r="A525" s="259"/>
      <c r="B525" s="260"/>
      <c r="C525" s="260"/>
      <c r="D525" s="260"/>
      <c r="E525" s="260"/>
      <c r="F525" s="260"/>
      <c r="G525" s="260"/>
      <c r="H525" s="260"/>
      <c r="I525" s="260"/>
      <c r="J525" s="261"/>
      <c r="K525" s="260"/>
      <c r="L525" s="260"/>
      <c r="M525" s="260"/>
      <c r="N525" s="260"/>
      <c r="O525" s="260"/>
      <c r="P525" s="260"/>
      <c r="Q525" s="260"/>
      <c r="R525" s="260"/>
      <c r="S525" s="260"/>
      <c r="T525" s="279"/>
      <c r="U525" s="260"/>
      <c r="V525" s="260"/>
      <c r="W525" s="260"/>
      <c r="X525" s="260"/>
      <c r="Y525" s="260"/>
      <c r="Z525" s="260"/>
      <c r="AA525" s="264"/>
      <c r="AB525" s="260"/>
      <c r="AC525" s="260"/>
      <c r="AD525" s="260"/>
      <c r="AE525" s="260"/>
      <c r="AF525" s="260"/>
      <c r="AG525" s="260"/>
      <c r="AH525" s="260"/>
    </row>
    <row r="526">
      <c r="A526" s="259"/>
      <c r="B526" s="260"/>
      <c r="C526" s="260"/>
      <c r="D526" s="260"/>
      <c r="E526" s="260"/>
      <c r="F526" s="260"/>
      <c r="G526" s="260"/>
      <c r="H526" s="260"/>
      <c r="I526" s="260"/>
      <c r="J526" s="261"/>
      <c r="K526" s="260"/>
      <c r="L526" s="260"/>
      <c r="M526" s="260"/>
      <c r="N526" s="260"/>
      <c r="O526" s="260"/>
      <c r="P526" s="260"/>
      <c r="Q526" s="260"/>
      <c r="R526" s="260"/>
      <c r="S526" s="260"/>
      <c r="T526" s="279"/>
      <c r="U526" s="260"/>
      <c r="V526" s="260"/>
      <c r="W526" s="260"/>
      <c r="X526" s="260"/>
      <c r="Y526" s="260"/>
      <c r="Z526" s="260"/>
      <c r="AA526" s="264"/>
      <c r="AB526" s="260"/>
      <c r="AC526" s="260"/>
      <c r="AD526" s="260"/>
      <c r="AE526" s="260"/>
      <c r="AF526" s="260"/>
      <c r="AG526" s="260"/>
      <c r="AH526" s="260"/>
    </row>
    <row r="527">
      <c r="A527" s="259"/>
      <c r="B527" s="260"/>
      <c r="C527" s="260"/>
      <c r="D527" s="260"/>
      <c r="E527" s="260"/>
      <c r="F527" s="260"/>
      <c r="G527" s="260"/>
      <c r="H527" s="260"/>
      <c r="I527" s="260"/>
      <c r="J527" s="261"/>
      <c r="K527" s="260"/>
      <c r="L527" s="260"/>
      <c r="M527" s="260"/>
      <c r="N527" s="260"/>
      <c r="O527" s="260"/>
      <c r="P527" s="260"/>
      <c r="Q527" s="260"/>
      <c r="R527" s="260"/>
      <c r="S527" s="260"/>
      <c r="T527" s="279"/>
      <c r="U527" s="260"/>
      <c r="V527" s="260"/>
      <c r="W527" s="260"/>
      <c r="X527" s="260"/>
      <c r="Y527" s="260"/>
      <c r="Z527" s="260"/>
      <c r="AA527" s="264"/>
      <c r="AB527" s="260"/>
      <c r="AC527" s="260"/>
      <c r="AD527" s="260"/>
      <c r="AE527" s="260"/>
      <c r="AF527" s="260"/>
      <c r="AG527" s="260"/>
      <c r="AH527" s="260"/>
    </row>
    <row r="528">
      <c r="A528" s="259"/>
      <c r="B528" s="260"/>
      <c r="C528" s="260"/>
      <c r="D528" s="260"/>
      <c r="E528" s="260"/>
      <c r="F528" s="260"/>
      <c r="G528" s="260"/>
      <c r="H528" s="260"/>
      <c r="I528" s="260"/>
      <c r="J528" s="261"/>
      <c r="K528" s="260"/>
      <c r="L528" s="260"/>
      <c r="M528" s="260"/>
      <c r="N528" s="260"/>
      <c r="O528" s="260"/>
      <c r="P528" s="260"/>
      <c r="Q528" s="260"/>
      <c r="R528" s="260"/>
      <c r="S528" s="260"/>
      <c r="T528" s="279"/>
      <c r="U528" s="260"/>
      <c r="V528" s="260"/>
      <c r="W528" s="260"/>
      <c r="X528" s="260"/>
      <c r="Y528" s="260"/>
      <c r="Z528" s="260"/>
      <c r="AA528" s="264"/>
      <c r="AB528" s="260"/>
      <c r="AC528" s="260"/>
      <c r="AD528" s="260"/>
      <c r="AE528" s="260"/>
      <c r="AF528" s="260"/>
      <c r="AG528" s="260"/>
      <c r="AH528" s="260"/>
    </row>
    <row r="529">
      <c r="A529" s="259"/>
      <c r="B529" s="260"/>
      <c r="C529" s="260"/>
      <c r="D529" s="260"/>
      <c r="E529" s="260"/>
      <c r="F529" s="260"/>
      <c r="G529" s="260"/>
      <c r="H529" s="260"/>
      <c r="I529" s="260"/>
      <c r="J529" s="261"/>
      <c r="K529" s="260"/>
      <c r="L529" s="260"/>
      <c r="M529" s="260"/>
      <c r="N529" s="260"/>
      <c r="O529" s="260"/>
      <c r="P529" s="260"/>
      <c r="Q529" s="260"/>
      <c r="R529" s="260"/>
      <c r="S529" s="260"/>
      <c r="T529" s="279"/>
      <c r="U529" s="260"/>
      <c r="V529" s="260"/>
      <c r="W529" s="260"/>
      <c r="X529" s="260"/>
      <c r="Y529" s="260"/>
      <c r="Z529" s="260"/>
      <c r="AA529" s="264"/>
      <c r="AB529" s="260"/>
      <c r="AC529" s="260"/>
      <c r="AD529" s="260"/>
      <c r="AE529" s="260"/>
      <c r="AF529" s="260"/>
      <c r="AG529" s="260"/>
      <c r="AH529" s="260"/>
    </row>
    <row r="530">
      <c r="A530" s="259"/>
      <c r="B530" s="260"/>
      <c r="C530" s="260"/>
      <c r="D530" s="260"/>
      <c r="E530" s="260"/>
      <c r="F530" s="260"/>
      <c r="G530" s="260"/>
      <c r="H530" s="260"/>
      <c r="I530" s="260"/>
      <c r="J530" s="261"/>
      <c r="K530" s="260"/>
      <c r="L530" s="260"/>
      <c r="M530" s="260"/>
      <c r="N530" s="260"/>
      <c r="O530" s="260"/>
      <c r="P530" s="260"/>
      <c r="Q530" s="260"/>
      <c r="R530" s="260"/>
      <c r="S530" s="260"/>
      <c r="T530" s="279"/>
      <c r="U530" s="260"/>
      <c r="V530" s="260"/>
      <c r="W530" s="260"/>
      <c r="X530" s="260"/>
      <c r="Y530" s="260"/>
      <c r="Z530" s="260"/>
      <c r="AA530" s="264"/>
      <c r="AB530" s="260"/>
      <c r="AC530" s="260"/>
      <c r="AD530" s="260"/>
      <c r="AE530" s="260"/>
      <c r="AF530" s="260"/>
      <c r="AG530" s="260"/>
      <c r="AH530" s="260"/>
    </row>
    <row r="531">
      <c r="A531" s="259"/>
      <c r="B531" s="260"/>
      <c r="C531" s="260"/>
      <c r="D531" s="260"/>
      <c r="E531" s="260"/>
      <c r="F531" s="260"/>
      <c r="G531" s="260"/>
      <c r="H531" s="260"/>
      <c r="I531" s="260"/>
      <c r="J531" s="261"/>
      <c r="K531" s="260"/>
      <c r="L531" s="260"/>
      <c r="M531" s="260"/>
      <c r="N531" s="260"/>
      <c r="O531" s="260"/>
      <c r="P531" s="260"/>
      <c r="Q531" s="260"/>
      <c r="R531" s="260"/>
      <c r="S531" s="260"/>
      <c r="T531" s="279"/>
      <c r="U531" s="260"/>
      <c r="V531" s="260"/>
      <c r="W531" s="260"/>
      <c r="X531" s="260"/>
      <c r="Y531" s="260"/>
      <c r="Z531" s="260"/>
      <c r="AA531" s="264"/>
      <c r="AB531" s="260"/>
      <c r="AC531" s="260"/>
      <c r="AD531" s="260"/>
      <c r="AE531" s="260"/>
      <c r="AF531" s="260"/>
      <c r="AG531" s="260"/>
      <c r="AH531" s="260"/>
    </row>
    <row r="532">
      <c r="A532" s="259"/>
      <c r="B532" s="260"/>
      <c r="C532" s="260"/>
      <c r="D532" s="260"/>
      <c r="E532" s="260"/>
      <c r="F532" s="260"/>
      <c r="G532" s="260"/>
      <c r="H532" s="260"/>
      <c r="I532" s="260"/>
      <c r="J532" s="261"/>
      <c r="K532" s="260"/>
      <c r="L532" s="260"/>
      <c r="M532" s="260"/>
      <c r="N532" s="260"/>
      <c r="O532" s="260"/>
      <c r="P532" s="260"/>
      <c r="Q532" s="260"/>
      <c r="R532" s="260"/>
      <c r="S532" s="260"/>
      <c r="T532" s="279"/>
      <c r="U532" s="260"/>
      <c r="V532" s="260"/>
      <c r="W532" s="260"/>
      <c r="X532" s="260"/>
      <c r="Y532" s="260"/>
      <c r="Z532" s="260"/>
      <c r="AA532" s="264"/>
      <c r="AB532" s="260"/>
      <c r="AC532" s="260"/>
      <c r="AD532" s="260"/>
      <c r="AE532" s="260"/>
      <c r="AF532" s="260"/>
      <c r="AG532" s="260"/>
      <c r="AH532" s="260"/>
    </row>
    <row r="533">
      <c r="A533" s="259"/>
      <c r="B533" s="260"/>
      <c r="C533" s="260"/>
      <c r="D533" s="260"/>
      <c r="E533" s="260"/>
      <c r="F533" s="260"/>
      <c r="G533" s="260"/>
      <c r="H533" s="260"/>
      <c r="I533" s="260"/>
      <c r="J533" s="261"/>
      <c r="K533" s="260"/>
      <c r="L533" s="260"/>
      <c r="M533" s="260"/>
      <c r="N533" s="260"/>
      <c r="O533" s="260"/>
      <c r="P533" s="260"/>
      <c r="Q533" s="260"/>
      <c r="R533" s="260"/>
      <c r="S533" s="260"/>
      <c r="T533" s="279"/>
      <c r="U533" s="260"/>
      <c r="V533" s="260"/>
      <c r="W533" s="260"/>
      <c r="X533" s="260"/>
      <c r="Y533" s="260"/>
      <c r="Z533" s="260"/>
      <c r="AA533" s="264"/>
      <c r="AB533" s="260"/>
      <c r="AC533" s="260"/>
      <c r="AD533" s="260"/>
      <c r="AE533" s="260"/>
      <c r="AF533" s="260"/>
      <c r="AG533" s="260"/>
      <c r="AH533" s="260"/>
    </row>
    <row r="534">
      <c r="A534" s="259"/>
      <c r="B534" s="260"/>
      <c r="C534" s="260"/>
      <c r="D534" s="260"/>
      <c r="E534" s="260"/>
      <c r="F534" s="260"/>
      <c r="G534" s="260"/>
      <c r="H534" s="260"/>
      <c r="I534" s="260"/>
      <c r="J534" s="261"/>
      <c r="K534" s="260"/>
      <c r="L534" s="260"/>
      <c r="M534" s="260"/>
      <c r="N534" s="260"/>
      <c r="O534" s="260"/>
      <c r="P534" s="260"/>
      <c r="Q534" s="260"/>
      <c r="R534" s="260"/>
      <c r="S534" s="260"/>
      <c r="T534" s="279"/>
      <c r="U534" s="260"/>
      <c r="V534" s="260"/>
      <c r="W534" s="260"/>
      <c r="X534" s="260"/>
      <c r="Y534" s="260"/>
      <c r="Z534" s="260"/>
      <c r="AA534" s="264"/>
      <c r="AB534" s="260"/>
      <c r="AC534" s="260"/>
      <c r="AD534" s="260"/>
      <c r="AE534" s="260"/>
      <c r="AF534" s="260"/>
      <c r="AG534" s="260"/>
      <c r="AH534" s="260"/>
    </row>
    <row r="535">
      <c r="A535" s="259"/>
      <c r="B535" s="260"/>
      <c r="C535" s="260"/>
      <c r="D535" s="260"/>
      <c r="E535" s="260"/>
      <c r="F535" s="260"/>
      <c r="G535" s="260"/>
      <c r="H535" s="260"/>
      <c r="I535" s="260"/>
      <c r="J535" s="261"/>
      <c r="K535" s="260"/>
      <c r="L535" s="260"/>
      <c r="M535" s="260"/>
      <c r="N535" s="260"/>
      <c r="O535" s="260"/>
      <c r="P535" s="260"/>
      <c r="Q535" s="260"/>
      <c r="R535" s="260"/>
      <c r="S535" s="260"/>
      <c r="T535" s="279"/>
      <c r="U535" s="260"/>
      <c r="V535" s="260"/>
      <c r="W535" s="260"/>
      <c r="X535" s="260"/>
      <c r="Y535" s="260"/>
      <c r="Z535" s="260"/>
      <c r="AA535" s="264"/>
      <c r="AB535" s="260"/>
      <c r="AC535" s="260"/>
      <c r="AD535" s="260"/>
      <c r="AE535" s="260"/>
      <c r="AF535" s="260"/>
      <c r="AG535" s="260"/>
      <c r="AH535" s="260"/>
    </row>
    <row r="536">
      <c r="A536" s="259"/>
      <c r="B536" s="260"/>
      <c r="C536" s="260"/>
      <c r="D536" s="260"/>
      <c r="E536" s="260"/>
      <c r="F536" s="260"/>
      <c r="G536" s="260"/>
      <c r="H536" s="260"/>
      <c r="I536" s="260"/>
      <c r="J536" s="261"/>
      <c r="K536" s="260"/>
      <c r="L536" s="260"/>
      <c r="M536" s="260"/>
      <c r="N536" s="260"/>
      <c r="O536" s="260"/>
      <c r="P536" s="260"/>
      <c r="Q536" s="260"/>
      <c r="R536" s="260"/>
      <c r="S536" s="260"/>
      <c r="T536" s="279"/>
      <c r="U536" s="260"/>
      <c r="V536" s="260"/>
      <c r="W536" s="260"/>
      <c r="X536" s="260"/>
      <c r="Y536" s="260"/>
      <c r="Z536" s="260"/>
      <c r="AA536" s="264"/>
      <c r="AB536" s="260"/>
      <c r="AC536" s="260"/>
      <c r="AD536" s="260"/>
      <c r="AE536" s="260"/>
      <c r="AF536" s="260"/>
      <c r="AG536" s="260"/>
      <c r="AH536" s="260"/>
    </row>
    <row r="537">
      <c r="A537" s="259"/>
      <c r="B537" s="260"/>
      <c r="C537" s="260"/>
      <c r="D537" s="260"/>
      <c r="E537" s="260"/>
      <c r="F537" s="260"/>
      <c r="G537" s="260"/>
      <c r="H537" s="260"/>
      <c r="I537" s="260"/>
      <c r="J537" s="261"/>
      <c r="K537" s="260"/>
      <c r="L537" s="260"/>
      <c r="M537" s="260"/>
      <c r="N537" s="260"/>
      <c r="O537" s="260"/>
      <c r="P537" s="260"/>
      <c r="Q537" s="260"/>
      <c r="R537" s="260"/>
      <c r="S537" s="260"/>
      <c r="T537" s="279"/>
      <c r="U537" s="260"/>
      <c r="V537" s="260"/>
      <c r="W537" s="260"/>
      <c r="X537" s="260"/>
      <c r="Y537" s="260"/>
      <c r="Z537" s="260"/>
      <c r="AA537" s="264"/>
      <c r="AB537" s="260"/>
      <c r="AC537" s="260"/>
      <c r="AD537" s="260"/>
      <c r="AE537" s="260"/>
      <c r="AF537" s="260"/>
      <c r="AG537" s="260"/>
      <c r="AH537" s="260"/>
    </row>
    <row r="538">
      <c r="A538" s="259"/>
      <c r="B538" s="260"/>
      <c r="C538" s="260"/>
      <c r="D538" s="260"/>
      <c r="E538" s="260"/>
      <c r="F538" s="260"/>
      <c r="G538" s="260"/>
      <c r="H538" s="260"/>
      <c r="I538" s="260"/>
      <c r="J538" s="261"/>
      <c r="K538" s="260"/>
      <c r="L538" s="260"/>
      <c r="M538" s="260"/>
      <c r="N538" s="260"/>
      <c r="O538" s="260"/>
      <c r="P538" s="260"/>
      <c r="Q538" s="260"/>
      <c r="R538" s="260"/>
      <c r="S538" s="260"/>
      <c r="T538" s="279"/>
      <c r="U538" s="260"/>
      <c r="V538" s="260"/>
      <c r="W538" s="260"/>
      <c r="X538" s="260"/>
      <c r="Y538" s="260"/>
      <c r="Z538" s="260"/>
      <c r="AA538" s="264"/>
      <c r="AB538" s="260"/>
      <c r="AC538" s="260"/>
      <c r="AD538" s="260"/>
      <c r="AE538" s="260"/>
      <c r="AF538" s="260"/>
      <c r="AG538" s="260"/>
      <c r="AH538" s="260"/>
    </row>
    <row r="539">
      <c r="A539" s="259"/>
      <c r="B539" s="260"/>
      <c r="C539" s="260"/>
      <c r="D539" s="260"/>
      <c r="E539" s="260"/>
      <c r="F539" s="260"/>
      <c r="G539" s="260"/>
      <c r="H539" s="260"/>
      <c r="I539" s="260"/>
      <c r="J539" s="261"/>
      <c r="K539" s="260"/>
      <c r="L539" s="260"/>
      <c r="M539" s="260"/>
      <c r="N539" s="260"/>
      <c r="O539" s="260"/>
      <c r="P539" s="260"/>
      <c r="Q539" s="260"/>
      <c r="R539" s="260"/>
      <c r="S539" s="260"/>
      <c r="T539" s="279"/>
      <c r="U539" s="260"/>
      <c r="V539" s="260"/>
      <c r="W539" s="260"/>
      <c r="X539" s="260"/>
      <c r="Y539" s="260"/>
      <c r="Z539" s="260"/>
      <c r="AA539" s="264"/>
      <c r="AB539" s="260"/>
      <c r="AC539" s="260"/>
      <c r="AD539" s="260"/>
      <c r="AE539" s="260"/>
      <c r="AF539" s="260"/>
      <c r="AG539" s="260"/>
      <c r="AH539" s="260"/>
    </row>
    <row r="540">
      <c r="A540" s="259"/>
      <c r="B540" s="260"/>
      <c r="C540" s="260"/>
      <c r="D540" s="260"/>
      <c r="E540" s="260"/>
      <c r="F540" s="260"/>
      <c r="G540" s="260"/>
      <c r="H540" s="260"/>
      <c r="I540" s="260"/>
      <c r="J540" s="261"/>
      <c r="K540" s="260"/>
      <c r="L540" s="260"/>
      <c r="M540" s="260"/>
      <c r="N540" s="260"/>
      <c r="O540" s="260"/>
      <c r="P540" s="260"/>
      <c r="Q540" s="260"/>
      <c r="R540" s="260"/>
      <c r="S540" s="260"/>
      <c r="T540" s="279"/>
      <c r="U540" s="260"/>
      <c r="V540" s="260"/>
      <c r="W540" s="260"/>
      <c r="X540" s="260"/>
      <c r="Y540" s="260"/>
      <c r="Z540" s="260"/>
      <c r="AA540" s="264"/>
      <c r="AB540" s="260"/>
      <c r="AC540" s="260"/>
      <c r="AD540" s="260"/>
      <c r="AE540" s="260"/>
      <c r="AF540" s="260"/>
      <c r="AG540" s="260"/>
      <c r="AH540" s="260"/>
    </row>
    <row r="541">
      <c r="A541" s="259"/>
      <c r="B541" s="260"/>
      <c r="C541" s="260"/>
      <c r="D541" s="260"/>
      <c r="E541" s="260"/>
      <c r="F541" s="260"/>
      <c r="G541" s="260"/>
      <c r="H541" s="260"/>
      <c r="I541" s="260"/>
      <c r="J541" s="261"/>
      <c r="K541" s="260"/>
      <c r="L541" s="260"/>
      <c r="M541" s="260"/>
      <c r="N541" s="260"/>
      <c r="O541" s="260"/>
      <c r="P541" s="260"/>
      <c r="Q541" s="260"/>
      <c r="R541" s="260"/>
      <c r="S541" s="260"/>
      <c r="T541" s="279"/>
      <c r="U541" s="260"/>
      <c r="V541" s="260"/>
      <c r="W541" s="260"/>
      <c r="X541" s="260"/>
      <c r="Y541" s="260"/>
      <c r="Z541" s="260"/>
      <c r="AA541" s="264"/>
      <c r="AB541" s="260"/>
      <c r="AC541" s="260"/>
      <c r="AD541" s="260"/>
      <c r="AE541" s="260"/>
      <c r="AF541" s="260"/>
      <c r="AG541" s="260"/>
      <c r="AH541" s="260"/>
    </row>
    <row r="542">
      <c r="A542" s="259"/>
      <c r="B542" s="260"/>
      <c r="C542" s="260"/>
      <c r="D542" s="260"/>
      <c r="E542" s="260"/>
      <c r="F542" s="260"/>
      <c r="G542" s="260"/>
      <c r="H542" s="260"/>
      <c r="I542" s="260"/>
      <c r="J542" s="261"/>
      <c r="K542" s="260"/>
      <c r="L542" s="260"/>
      <c r="M542" s="260"/>
      <c r="N542" s="260"/>
      <c r="O542" s="260"/>
      <c r="P542" s="260"/>
      <c r="Q542" s="260"/>
      <c r="R542" s="260"/>
      <c r="S542" s="260"/>
      <c r="T542" s="279"/>
      <c r="U542" s="260"/>
      <c r="V542" s="260"/>
      <c r="W542" s="260"/>
      <c r="X542" s="260"/>
      <c r="Y542" s="260"/>
      <c r="Z542" s="260"/>
      <c r="AA542" s="264"/>
      <c r="AB542" s="260"/>
      <c r="AC542" s="260"/>
      <c r="AD542" s="260"/>
      <c r="AE542" s="260"/>
      <c r="AF542" s="260"/>
      <c r="AG542" s="260"/>
      <c r="AH542" s="260"/>
    </row>
    <row r="543">
      <c r="A543" s="259"/>
      <c r="B543" s="260"/>
      <c r="C543" s="260"/>
      <c r="D543" s="260"/>
      <c r="E543" s="260"/>
      <c r="F543" s="260"/>
      <c r="G543" s="260"/>
      <c r="H543" s="260"/>
      <c r="I543" s="260"/>
      <c r="J543" s="261"/>
      <c r="K543" s="260"/>
      <c r="L543" s="260"/>
      <c r="M543" s="260"/>
      <c r="N543" s="260"/>
      <c r="O543" s="260"/>
      <c r="P543" s="260"/>
      <c r="Q543" s="260"/>
      <c r="R543" s="260"/>
      <c r="S543" s="260"/>
      <c r="T543" s="279"/>
      <c r="U543" s="260"/>
      <c r="V543" s="260"/>
      <c r="W543" s="260"/>
      <c r="X543" s="260"/>
      <c r="Y543" s="260"/>
      <c r="Z543" s="260"/>
      <c r="AA543" s="264"/>
      <c r="AB543" s="260"/>
      <c r="AC543" s="260"/>
      <c r="AD543" s="260"/>
      <c r="AE543" s="260"/>
      <c r="AF543" s="260"/>
      <c r="AG543" s="260"/>
      <c r="AH543" s="260"/>
    </row>
    <row r="544">
      <c r="A544" s="259"/>
      <c r="B544" s="260"/>
      <c r="C544" s="260"/>
      <c r="D544" s="260"/>
      <c r="E544" s="260"/>
      <c r="F544" s="260"/>
      <c r="G544" s="260"/>
      <c r="H544" s="260"/>
      <c r="I544" s="260"/>
      <c r="J544" s="261"/>
      <c r="K544" s="260"/>
      <c r="L544" s="260"/>
      <c r="M544" s="260"/>
      <c r="N544" s="260"/>
      <c r="O544" s="260"/>
      <c r="P544" s="260"/>
      <c r="Q544" s="260"/>
      <c r="R544" s="260"/>
      <c r="S544" s="260"/>
      <c r="T544" s="279"/>
      <c r="U544" s="260"/>
      <c r="V544" s="260"/>
      <c r="W544" s="260"/>
      <c r="X544" s="260"/>
      <c r="Y544" s="260"/>
      <c r="Z544" s="260"/>
      <c r="AA544" s="264"/>
      <c r="AB544" s="260"/>
      <c r="AC544" s="260"/>
      <c r="AD544" s="260"/>
      <c r="AE544" s="260"/>
      <c r="AF544" s="260"/>
      <c r="AG544" s="260"/>
      <c r="AH544" s="260"/>
    </row>
    <row r="545">
      <c r="A545" s="259"/>
      <c r="B545" s="260"/>
      <c r="C545" s="260"/>
      <c r="D545" s="260"/>
      <c r="E545" s="260"/>
      <c r="F545" s="260"/>
      <c r="G545" s="260"/>
      <c r="H545" s="260"/>
      <c r="I545" s="260"/>
      <c r="J545" s="261"/>
      <c r="K545" s="260"/>
      <c r="L545" s="260"/>
      <c r="M545" s="260"/>
      <c r="N545" s="260"/>
      <c r="O545" s="260"/>
      <c r="P545" s="260"/>
      <c r="Q545" s="260"/>
      <c r="R545" s="260"/>
      <c r="S545" s="260"/>
      <c r="T545" s="279"/>
      <c r="U545" s="260"/>
      <c r="V545" s="260"/>
      <c r="W545" s="260"/>
      <c r="X545" s="260"/>
      <c r="Y545" s="260"/>
      <c r="Z545" s="260"/>
      <c r="AA545" s="264"/>
      <c r="AB545" s="260"/>
      <c r="AC545" s="260"/>
      <c r="AD545" s="260"/>
      <c r="AE545" s="260"/>
      <c r="AF545" s="260"/>
      <c r="AG545" s="260"/>
      <c r="AH545" s="260"/>
    </row>
    <row r="546">
      <c r="A546" s="259"/>
      <c r="B546" s="260"/>
      <c r="C546" s="260"/>
      <c r="D546" s="260"/>
      <c r="E546" s="260"/>
      <c r="F546" s="260"/>
      <c r="G546" s="260"/>
      <c r="H546" s="260"/>
      <c r="I546" s="260"/>
      <c r="J546" s="261"/>
      <c r="K546" s="260"/>
      <c r="L546" s="260"/>
      <c r="M546" s="260"/>
      <c r="N546" s="260"/>
      <c r="O546" s="260"/>
      <c r="P546" s="260"/>
      <c r="Q546" s="260"/>
      <c r="R546" s="260"/>
      <c r="S546" s="260"/>
      <c r="T546" s="279"/>
      <c r="U546" s="260"/>
      <c r="V546" s="260"/>
      <c r="W546" s="260"/>
      <c r="X546" s="260"/>
      <c r="Y546" s="260"/>
      <c r="Z546" s="260"/>
      <c r="AA546" s="264"/>
      <c r="AB546" s="260"/>
      <c r="AC546" s="260"/>
      <c r="AD546" s="260"/>
      <c r="AE546" s="260"/>
      <c r="AF546" s="260"/>
      <c r="AG546" s="260"/>
      <c r="AH546" s="260"/>
    </row>
    <row r="547">
      <c r="A547" s="259"/>
      <c r="B547" s="260"/>
      <c r="C547" s="260"/>
      <c r="D547" s="260"/>
      <c r="E547" s="260"/>
      <c r="F547" s="260"/>
      <c r="G547" s="260"/>
      <c r="H547" s="260"/>
      <c r="I547" s="260"/>
      <c r="J547" s="261"/>
      <c r="K547" s="260"/>
      <c r="L547" s="260"/>
      <c r="M547" s="260"/>
      <c r="N547" s="260"/>
      <c r="O547" s="260"/>
      <c r="P547" s="260"/>
      <c r="Q547" s="260"/>
      <c r="R547" s="260"/>
      <c r="S547" s="260"/>
      <c r="T547" s="279"/>
      <c r="U547" s="260"/>
      <c r="V547" s="260"/>
      <c r="W547" s="260"/>
      <c r="X547" s="260"/>
      <c r="Y547" s="260"/>
      <c r="Z547" s="260"/>
      <c r="AA547" s="264"/>
      <c r="AB547" s="260"/>
      <c r="AC547" s="260"/>
      <c r="AD547" s="260"/>
      <c r="AE547" s="260"/>
      <c r="AF547" s="260"/>
      <c r="AG547" s="260"/>
      <c r="AH547" s="260"/>
    </row>
    <row r="548">
      <c r="A548" s="259"/>
      <c r="B548" s="260"/>
      <c r="C548" s="260"/>
      <c r="D548" s="260"/>
      <c r="E548" s="260"/>
      <c r="F548" s="260"/>
      <c r="G548" s="260"/>
      <c r="H548" s="260"/>
      <c r="I548" s="260"/>
      <c r="J548" s="261"/>
      <c r="K548" s="260"/>
      <c r="L548" s="260"/>
      <c r="M548" s="260"/>
      <c r="N548" s="260"/>
      <c r="O548" s="260"/>
      <c r="P548" s="260"/>
      <c r="Q548" s="260"/>
      <c r="R548" s="260"/>
      <c r="S548" s="260"/>
      <c r="T548" s="279"/>
      <c r="U548" s="260"/>
      <c r="V548" s="260"/>
      <c r="W548" s="260"/>
      <c r="X548" s="260"/>
      <c r="Y548" s="260"/>
      <c r="Z548" s="260"/>
      <c r="AA548" s="264"/>
      <c r="AB548" s="260"/>
      <c r="AC548" s="260"/>
      <c r="AD548" s="260"/>
      <c r="AE548" s="260"/>
      <c r="AF548" s="260"/>
      <c r="AG548" s="260"/>
      <c r="AH548" s="260"/>
    </row>
    <row r="549">
      <c r="A549" s="259"/>
      <c r="B549" s="260"/>
      <c r="C549" s="260"/>
      <c r="D549" s="260"/>
      <c r="E549" s="260"/>
      <c r="F549" s="260"/>
      <c r="G549" s="260"/>
      <c r="H549" s="260"/>
      <c r="I549" s="260"/>
      <c r="J549" s="261"/>
      <c r="K549" s="260"/>
      <c r="L549" s="260"/>
      <c r="M549" s="260"/>
      <c r="N549" s="260"/>
      <c r="O549" s="260"/>
      <c r="P549" s="260"/>
      <c r="Q549" s="260"/>
      <c r="R549" s="260"/>
      <c r="S549" s="260"/>
      <c r="T549" s="279"/>
      <c r="U549" s="260"/>
      <c r="V549" s="260"/>
      <c r="W549" s="260"/>
      <c r="X549" s="260"/>
      <c r="Y549" s="260"/>
      <c r="Z549" s="260"/>
      <c r="AA549" s="264"/>
      <c r="AB549" s="260"/>
      <c r="AC549" s="260"/>
      <c r="AD549" s="260"/>
      <c r="AE549" s="260"/>
      <c r="AF549" s="260"/>
      <c r="AG549" s="260"/>
      <c r="AH549" s="260"/>
    </row>
    <row r="550">
      <c r="A550" s="259"/>
      <c r="B550" s="260"/>
      <c r="C550" s="260"/>
      <c r="D550" s="260"/>
      <c r="E550" s="260"/>
      <c r="F550" s="260"/>
      <c r="G550" s="260"/>
      <c r="H550" s="260"/>
      <c r="I550" s="260"/>
      <c r="J550" s="261"/>
      <c r="K550" s="260"/>
      <c r="L550" s="260"/>
      <c r="M550" s="260"/>
      <c r="N550" s="260"/>
      <c r="O550" s="260"/>
      <c r="P550" s="260"/>
      <c r="Q550" s="260"/>
      <c r="R550" s="260"/>
      <c r="S550" s="260"/>
      <c r="T550" s="279"/>
      <c r="U550" s="260"/>
      <c r="V550" s="260"/>
      <c r="W550" s="260"/>
      <c r="X550" s="260"/>
      <c r="Y550" s="260"/>
      <c r="Z550" s="260"/>
      <c r="AA550" s="264"/>
      <c r="AB550" s="260"/>
      <c r="AC550" s="260"/>
      <c r="AD550" s="260"/>
      <c r="AE550" s="260"/>
      <c r="AF550" s="260"/>
      <c r="AG550" s="260"/>
      <c r="AH550" s="260"/>
    </row>
    <row r="551">
      <c r="A551" s="259"/>
      <c r="B551" s="260"/>
      <c r="C551" s="260"/>
      <c r="D551" s="260"/>
      <c r="E551" s="260"/>
      <c r="F551" s="260"/>
      <c r="G551" s="260"/>
      <c r="H551" s="260"/>
      <c r="I551" s="260"/>
      <c r="J551" s="261"/>
      <c r="K551" s="260"/>
      <c r="L551" s="260"/>
      <c r="M551" s="260"/>
      <c r="N551" s="260"/>
      <c r="O551" s="260"/>
      <c r="P551" s="260"/>
      <c r="Q551" s="260"/>
      <c r="R551" s="260"/>
      <c r="S551" s="260"/>
      <c r="T551" s="279"/>
      <c r="U551" s="260"/>
      <c r="V551" s="260"/>
      <c r="W551" s="260"/>
      <c r="X551" s="260"/>
      <c r="Y551" s="260"/>
      <c r="Z551" s="260"/>
      <c r="AA551" s="264"/>
      <c r="AB551" s="260"/>
      <c r="AC551" s="260"/>
      <c r="AD551" s="260"/>
      <c r="AE551" s="260"/>
      <c r="AF551" s="260"/>
      <c r="AG551" s="260"/>
      <c r="AH551" s="260"/>
    </row>
    <row r="552">
      <c r="A552" s="259"/>
      <c r="B552" s="260"/>
      <c r="C552" s="260"/>
      <c r="D552" s="260"/>
      <c r="E552" s="260"/>
      <c r="F552" s="260"/>
      <c r="G552" s="260"/>
      <c r="H552" s="260"/>
      <c r="I552" s="260"/>
      <c r="J552" s="261"/>
      <c r="K552" s="260"/>
      <c r="L552" s="260"/>
      <c r="M552" s="260"/>
      <c r="N552" s="260"/>
      <c r="O552" s="260"/>
      <c r="P552" s="260"/>
      <c r="Q552" s="260"/>
      <c r="R552" s="260"/>
      <c r="S552" s="260"/>
      <c r="T552" s="279"/>
      <c r="U552" s="260"/>
      <c r="V552" s="260"/>
      <c r="W552" s="260"/>
      <c r="X552" s="260"/>
      <c r="Y552" s="260"/>
      <c r="Z552" s="260"/>
      <c r="AA552" s="264"/>
      <c r="AB552" s="260"/>
      <c r="AC552" s="260"/>
      <c r="AD552" s="260"/>
      <c r="AE552" s="260"/>
      <c r="AF552" s="260"/>
      <c r="AG552" s="260"/>
      <c r="AH552" s="260"/>
    </row>
    <row r="553">
      <c r="A553" s="259"/>
      <c r="B553" s="260"/>
      <c r="C553" s="260"/>
      <c r="D553" s="260"/>
      <c r="E553" s="260"/>
      <c r="F553" s="260"/>
      <c r="G553" s="260"/>
      <c r="H553" s="260"/>
      <c r="I553" s="260"/>
      <c r="J553" s="261"/>
      <c r="K553" s="260"/>
      <c r="L553" s="260"/>
      <c r="M553" s="260"/>
      <c r="N553" s="260"/>
      <c r="O553" s="260"/>
      <c r="P553" s="260"/>
      <c r="Q553" s="260"/>
      <c r="R553" s="260"/>
      <c r="S553" s="260"/>
      <c r="T553" s="279"/>
      <c r="U553" s="260"/>
      <c r="V553" s="260"/>
      <c r="W553" s="260"/>
      <c r="X553" s="260"/>
      <c r="Y553" s="260"/>
      <c r="Z553" s="260"/>
      <c r="AA553" s="264"/>
      <c r="AB553" s="260"/>
      <c r="AC553" s="260"/>
      <c r="AD553" s="260"/>
      <c r="AE553" s="260"/>
      <c r="AF553" s="260"/>
      <c r="AG553" s="260"/>
      <c r="AH553" s="260"/>
    </row>
    <row r="554">
      <c r="A554" s="259"/>
      <c r="B554" s="260"/>
      <c r="C554" s="260"/>
      <c r="D554" s="260"/>
      <c r="E554" s="260"/>
      <c r="F554" s="260"/>
      <c r="G554" s="260"/>
      <c r="H554" s="260"/>
      <c r="I554" s="260"/>
      <c r="J554" s="261"/>
      <c r="K554" s="260"/>
      <c r="L554" s="260"/>
      <c r="M554" s="260"/>
      <c r="N554" s="260"/>
      <c r="O554" s="260"/>
      <c r="P554" s="260"/>
      <c r="Q554" s="260"/>
      <c r="R554" s="260"/>
      <c r="S554" s="260"/>
      <c r="T554" s="279"/>
      <c r="U554" s="260"/>
      <c r="V554" s="260"/>
      <c r="W554" s="260"/>
      <c r="X554" s="260"/>
      <c r="Y554" s="260"/>
      <c r="Z554" s="260"/>
      <c r="AA554" s="264"/>
      <c r="AB554" s="260"/>
      <c r="AC554" s="260"/>
      <c r="AD554" s="260"/>
      <c r="AE554" s="260"/>
      <c r="AF554" s="260"/>
      <c r="AG554" s="260"/>
      <c r="AH554" s="260"/>
    </row>
    <row r="555">
      <c r="A555" s="259"/>
      <c r="B555" s="260"/>
      <c r="C555" s="260"/>
      <c r="D555" s="260"/>
      <c r="E555" s="260"/>
      <c r="F555" s="260"/>
      <c r="G555" s="260"/>
      <c r="H555" s="260"/>
      <c r="I555" s="260"/>
      <c r="J555" s="261"/>
      <c r="K555" s="260"/>
      <c r="L555" s="260"/>
      <c r="M555" s="260"/>
      <c r="N555" s="260"/>
      <c r="O555" s="260"/>
      <c r="P555" s="260"/>
      <c r="Q555" s="260"/>
      <c r="R555" s="260"/>
      <c r="S555" s="260"/>
      <c r="T555" s="279"/>
      <c r="U555" s="260"/>
      <c r="V555" s="260"/>
      <c r="W555" s="260"/>
      <c r="X555" s="260"/>
      <c r="Y555" s="260"/>
      <c r="Z555" s="260"/>
      <c r="AA555" s="264"/>
      <c r="AB555" s="260"/>
      <c r="AC555" s="260"/>
      <c r="AD555" s="260"/>
      <c r="AE555" s="260"/>
      <c r="AF555" s="260"/>
      <c r="AG555" s="260"/>
      <c r="AH555" s="260"/>
    </row>
    <row r="556">
      <c r="A556" s="259"/>
      <c r="B556" s="260"/>
      <c r="C556" s="260"/>
      <c r="D556" s="260"/>
      <c r="E556" s="260"/>
      <c r="F556" s="260"/>
      <c r="G556" s="260"/>
      <c r="H556" s="260"/>
      <c r="I556" s="260"/>
      <c r="J556" s="261"/>
      <c r="K556" s="260"/>
      <c r="L556" s="260"/>
      <c r="M556" s="260"/>
      <c r="N556" s="260"/>
      <c r="O556" s="260"/>
      <c r="P556" s="260"/>
      <c r="Q556" s="260"/>
      <c r="R556" s="260"/>
      <c r="S556" s="260"/>
      <c r="T556" s="279"/>
      <c r="U556" s="260"/>
      <c r="V556" s="260"/>
      <c r="W556" s="260"/>
      <c r="X556" s="260"/>
      <c r="Y556" s="260"/>
      <c r="Z556" s="260"/>
      <c r="AA556" s="264"/>
      <c r="AB556" s="260"/>
      <c r="AC556" s="260"/>
      <c r="AD556" s="260"/>
      <c r="AE556" s="260"/>
      <c r="AF556" s="260"/>
      <c r="AG556" s="260"/>
      <c r="AH556" s="260"/>
    </row>
    <row r="557">
      <c r="A557" s="259"/>
      <c r="B557" s="260"/>
      <c r="C557" s="260"/>
      <c r="D557" s="260"/>
      <c r="E557" s="260"/>
      <c r="F557" s="260"/>
      <c r="G557" s="260"/>
      <c r="H557" s="260"/>
      <c r="I557" s="260"/>
      <c r="J557" s="261"/>
      <c r="K557" s="260"/>
      <c r="L557" s="260"/>
      <c r="M557" s="260"/>
      <c r="N557" s="260"/>
      <c r="O557" s="260"/>
      <c r="P557" s="260"/>
      <c r="Q557" s="260"/>
      <c r="R557" s="260"/>
      <c r="S557" s="260"/>
      <c r="T557" s="279"/>
      <c r="U557" s="260"/>
      <c r="V557" s="260"/>
      <c r="W557" s="260"/>
      <c r="X557" s="260"/>
      <c r="Y557" s="260"/>
      <c r="Z557" s="260"/>
      <c r="AA557" s="264"/>
      <c r="AB557" s="260"/>
      <c r="AC557" s="260"/>
      <c r="AD557" s="260"/>
      <c r="AE557" s="260"/>
      <c r="AF557" s="260"/>
      <c r="AG557" s="260"/>
      <c r="AH557" s="260"/>
    </row>
    <row r="558">
      <c r="A558" s="259"/>
      <c r="B558" s="260"/>
      <c r="C558" s="260"/>
      <c r="D558" s="260"/>
      <c r="E558" s="260"/>
      <c r="F558" s="260"/>
      <c r="G558" s="260"/>
      <c r="H558" s="260"/>
      <c r="I558" s="260"/>
      <c r="J558" s="261"/>
      <c r="K558" s="260"/>
      <c r="L558" s="260"/>
      <c r="M558" s="260"/>
      <c r="N558" s="260"/>
      <c r="O558" s="260"/>
      <c r="P558" s="260"/>
      <c r="Q558" s="260"/>
      <c r="R558" s="260"/>
      <c r="S558" s="260"/>
      <c r="T558" s="279"/>
      <c r="U558" s="260"/>
      <c r="V558" s="260"/>
      <c r="W558" s="260"/>
      <c r="X558" s="260"/>
      <c r="Y558" s="260"/>
      <c r="Z558" s="260"/>
      <c r="AA558" s="264"/>
      <c r="AB558" s="260"/>
      <c r="AC558" s="260"/>
      <c r="AD558" s="260"/>
      <c r="AE558" s="260"/>
      <c r="AF558" s="260"/>
      <c r="AG558" s="260"/>
      <c r="AH558" s="260"/>
    </row>
    <row r="559">
      <c r="A559" s="259"/>
      <c r="B559" s="260"/>
      <c r="C559" s="260"/>
      <c r="D559" s="260"/>
      <c r="E559" s="260"/>
      <c r="F559" s="260"/>
      <c r="G559" s="260"/>
      <c r="H559" s="260"/>
      <c r="I559" s="260"/>
      <c r="J559" s="261"/>
      <c r="K559" s="260"/>
      <c r="L559" s="260"/>
      <c r="M559" s="260"/>
      <c r="N559" s="260"/>
      <c r="O559" s="260"/>
      <c r="P559" s="260"/>
      <c r="Q559" s="260"/>
      <c r="R559" s="260"/>
      <c r="S559" s="260"/>
      <c r="T559" s="279"/>
      <c r="U559" s="260"/>
      <c r="V559" s="260"/>
      <c r="W559" s="260"/>
      <c r="X559" s="260"/>
      <c r="Y559" s="260"/>
      <c r="Z559" s="260"/>
      <c r="AA559" s="264"/>
      <c r="AB559" s="260"/>
      <c r="AC559" s="260"/>
      <c r="AD559" s="260"/>
      <c r="AE559" s="260"/>
      <c r="AF559" s="260"/>
      <c r="AG559" s="260"/>
      <c r="AH559" s="260"/>
    </row>
    <row r="560">
      <c r="A560" s="259"/>
      <c r="B560" s="260"/>
      <c r="C560" s="260"/>
      <c r="D560" s="260"/>
      <c r="E560" s="260"/>
      <c r="F560" s="260"/>
      <c r="G560" s="260"/>
      <c r="H560" s="260"/>
      <c r="I560" s="260"/>
      <c r="J560" s="261"/>
      <c r="K560" s="260"/>
      <c r="L560" s="260"/>
      <c r="M560" s="260"/>
      <c r="N560" s="260"/>
      <c r="O560" s="260"/>
      <c r="P560" s="260"/>
      <c r="Q560" s="260"/>
      <c r="R560" s="260"/>
      <c r="S560" s="260"/>
      <c r="T560" s="279"/>
      <c r="U560" s="260"/>
      <c r="V560" s="260"/>
      <c r="W560" s="260"/>
      <c r="X560" s="260"/>
      <c r="Y560" s="260"/>
      <c r="Z560" s="260"/>
      <c r="AA560" s="264"/>
      <c r="AB560" s="260"/>
      <c r="AC560" s="260"/>
      <c r="AD560" s="260"/>
      <c r="AE560" s="260"/>
      <c r="AF560" s="260"/>
      <c r="AG560" s="260"/>
      <c r="AH560" s="260"/>
    </row>
    <row r="561">
      <c r="A561" s="259"/>
      <c r="B561" s="260"/>
      <c r="C561" s="260"/>
      <c r="D561" s="260"/>
      <c r="E561" s="260"/>
      <c r="F561" s="260"/>
      <c r="G561" s="260"/>
      <c r="H561" s="260"/>
      <c r="I561" s="260"/>
      <c r="J561" s="261"/>
      <c r="K561" s="260"/>
      <c r="L561" s="260"/>
      <c r="M561" s="260"/>
      <c r="N561" s="260"/>
      <c r="O561" s="260"/>
      <c r="P561" s="260"/>
      <c r="Q561" s="260"/>
      <c r="R561" s="260"/>
      <c r="S561" s="260"/>
      <c r="T561" s="279"/>
      <c r="U561" s="260"/>
      <c r="V561" s="260"/>
      <c r="W561" s="260"/>
      <c r="X561" s="260"/>
      <c r="Y561" s="260"/>
      <c r="Z561" s="260"/>
      <c r="AA561" s="264"/>
      <c r="AB561" s="260"/>
      <c r="AC561" s="260"/>
      <c r="AD561" s="260"/>
      <c r="AE561" s="260"/>
      <c r="AF561" s="260"/>
      <c r="AG561" s="260"/>
      <c r="AH561" s="260"/>
    </row>
    <row r="562">
      <c r="A562" s="259"/>
      <c r="B562" s="260"/>
      <c r="C562" s="260"/>
      <c r="D562" s="260"/>
      <c r="E562" s="260"/>
      <c r="F562" s="260"/>
      <c r="G562" s="260"/>
      <c r="H562" s="260"/>
      <c r="I562" s="260"/>
      <c r="J562" s="261"/>
      <c r="K562" s="260"/>
      <c r="L562" s="260"/>
      <c r="M562" s="260"/>
      <c r="N562" s="260"/>
      <c r="O562" s="260"/>
      <c r="P562" s="260"/>
      <c r="Q562" s="260"/>
      <c r="R562" s="260"/>
      <c r="S562" s="260"/>
      <c r="T562" s="279"/>
      <c r="U562" s="260"/>
      <c r="V562" s="260"/>
      <c r="W562" s="260"/>
      <c r="X562" s="260"/>
      <c r="Y562" s="260"/>
      <c r="Z562" s="260"/>
      <c r="AA562" s="264"/>
      <c r="AB562" s="260"/>
      <c r="AC562" s="260"/>
      <c r="AD562" s="260"/>
      <c r="AE562" s="260"/>
      <c r="AF562" s="260"/>
      <c r="AG562" s="260"/>
      <c r="AH562" s="260"/>
    </row>
    <row r="563">
      <c r="A563" s="259"/>
      <c r="B563" s="260"/>
      <c r="C563" s="260"/>
      <c r="D563" s="260"/>
      <c r="E563" s="260"/>
      <c r="F563" s="260"/>
      <c r="G563" s="260"/>
      <c r="H563" s="260"/>
      <c r="I563" s="260"/>
      <c r="J563" s="261"/>
      <c r="K563" s="260"/>
      <c r="L563" s="260"/>
      <c r="M563" s="260"/>
      <c r="N563" s="260"/>
      <c r="O563" s="260"/>
      <c r="P563" s="260"/>
      <c r="Q563" s="260"/>
      <c r="R563" s="260"/>
      <c r="S563" s="260"/>
      <c r="T563" s="279"/>
      <c r="U563" s="260"/>
      <c r="V563" s="260"/>
      <c r="W563" s="260"/>
      <c r="X563" s="260"/>
      <c r="Y563" s="260"/>
      <c r="Z563" s="260"/>
      <c r="AA563" s="264"/>
      <c r="AB563" s="260"/>
      <c r="AC563" s="260"/>
      <c r="AD563" s="260"/>
      <c r="AE563" s="260"/>
      <c r="AF563" s="260"/>
      <c r="AG563" s="260"/>
      <c r="AH563" s="260"/>
    </row>
    <row r="564">
      <c r="A564" s="259"/>
      <c r="B564" s="260"/>
      <c r="C564" s="260"/>
      <c r="D564" s="260"/>
      <c r="E564" s="260"/>
      <c r="F564" s="260"/>
      <c r="G564" s="260"/>
      <c r="H564" s="260"/>
      <c r="I564" s="260"/>
      <c r="J564" s="261"/>
      <c r="K564" s="260"/>
      <c r="L564" s="260"/>
      <c r="M564" s="260"/>
      <c r="N564" s="260"/>
      <c r="O564" s="260"/>
      <c r="P564" s="260"/>
      <c r="Q564" s="260"/>
      <c r="R564" s="260"/>
      <c r="S564" s="260"/>
      <c r="T564" s="279"/>
      <c r="U564" s="260"/>
      <c r="V564" s="260"/>
      <c r="W564" s="260"/>
      <c r="X564" s="260"/>
      <c r="Y564" s="260"/>
      <c r="Z564" s="260"/>
      <c r="AA564" s="264"/>
      <c r="AB564" s="260"/>
      <c r="AC564" s="260"/>
      <c r="AD564" s="260"/>
      <c r="AE564" s="260"/>
      <c r="AF564" s="260"/>
      <c r="AG564" s="260"/>
      <c r="AH564" s="260"/>
    </row>
    <row r="565">
      <c r="A565" s="259"/>
      <c r="B565" s="260"/>
      <c r="C565" s="260"/>
      <c r="D565" s="260"/>
      <c r="E565" s="260"/>
      <c r="F565" s="260"/>
      <c r="G565" s="260"/>
      <c r="H565" s="260"/>
      <c r="I565" s="260"/>
      <c r="J565" s="261"/>
      <c r="K565" s="260"/>
      <c r="L565" s="260"/>
      <c r="M565" s="260"/>
      <c r="N565" s="260"/>
      <c r="O565" s="260"/>
      <c r="P565" s="260"/>
      <c r="Q565" s="260"/>
      <c r="R565" s="260"/>
      <c r="S565" s="260"/>
      <c r="T565" s="279"/>
      <c r="U565" s="260"/>
      <c r="V565" s="260"/>
      <c r="W565" s="260"/>
      <c r="X565" s="260"/>
      <c r="Y565" s="260"/>
      <c r="Z565" s="260"/>
      <c r="AA565" s="264"/>
      <c r="AB565" s="260"/>
      <c r="AC565" s="260"/>
      <c r="AD565" s="260"/>
      <c r="AE565" s="260"/>
      <c r="AF565" s="260"/>
      <c r="AG565" s="260"/>
      <c r="AH565" s="260"/>
    </row>
    <row r="566">
      <c r="A566" s="259"/>
      <c r="B566" s="260"/>
      <c r="C566" s="260"/>
      <c r="D566" s="260"/>
      <c r="E566" s="260"/>
      <c r="F566" s="260"/>
      <c r="G566" s="260"/>
      <c r="H566" s="260"/>
      <c r="I566" s="260"/>
      <c r="J566" s="261"/>
      <c r="K566" s="260"/>
      <c r="L566" s="260"/>
      <c r="M566" s="260"/>
      <c r="N566" s="260"/>
      <c r="O566" s="260"/>
      <c r="P566" s="260"/>
      <c r="Q566" s="260"/>
      <c r="R566" s="260"/>
      <c r="S566" s="260"/>
      <c r="T566" s="279"/>
      <c r="U566" s="260"/>
      <c r="V566" s="260"/>
      <c r="W566" s="260"/>
      <c r="X566" s="260"/>
      <c r="Y566" s="260"/>
      <c r="Z566" s="260"/>
      <c r="AA566" s="264"/>
      <c r="AB566" s="260"/>
      <c r="AC566" s="260"/>
      <c r="AD566" s="260"/>
      <c r="AE566" s="260"/>
      <c r="AF566" s="260"/>
      <c r="AG566" s="260"/>
      <c r="AH566" s="260"/>
    </row>
    <row r="567">
      <c r="A567" s="259"/>
      <c r="B567" s="260"/>
      <c r="C567" s="260"/>
      <c r="D567" s="260"/>
      <c r="E567" s="260"/>
      <c r="F567" s="260"/>
      <c r="G567" s="260"/>
      <c r="H567" s="260"/>
      <c r="I567" s="260"/>
      <c r="J567" s="261"/>
      <c r="K567" s="260"/>
      <c r="L567" s="260"/>
      <c r="M567" s="260"/>
      <c r="N567" s="260"/>
      <c r="O567" s="260"/>
      <c r="P567" s="260"/>
      <c r="Q567" s="260"/>
      <c r="R567" s="260"/>
      <c r="S567" s="260"/>
      <c r="T567" s="279"/>
      <c r="U567" s="260"/>
      <c r="V567" s="260"/>
      <c r="W567" s="260"/>
      <c r="X567" s="260"/>
      <c r="Y567" s="260"/>
      <c r="Z567" s="260"/>
      <c r="AA567" s="264"/>
      <c r="AB567" s="260"/>
      <c r="AC567" s="260"/>
      <c r="AD567" s="260"/>
      <c r="AE567" s="260"/>
      <c r="AF567" s="260"/>
      <c r="AG567" s="260"/>
      <c r="AH567" s="260"/>
    </row>
    <row r="568">
      <c r="A568" s="259"/>
      <c r="B568" s="260"/>
      <c r="C568" s="260"/>
      <c r="D568" s="260"/>
      <c r="E568" s="260"/>
      <c r="F568" s="260"/>
      <c r="G568" s="260"/>
      <c r="H568" s="260"/>
      <c r="I568" s="260"/>
      <c r="J568" s="261"/>
      <c r="K568" s="260"/>
      <c r="L568" s="260"/>
      <c r="M568" s="260"/>
      <c r="N568" s="260"/>
      <c r="O568" s="260"/>
      <c r="P568" s="260"/>
      <c r="Q568" s="260"/>
      <c r="R568" s="260"/>
      <c r="S568" s="260"/>
      <c r="T568" s="279"/>
      <c r="U568" s="260"/>
      <c r="V568" s="260"/>
      <c r="W568" s="260"/>
      <c r="X568" s="260"/>
      <c r="Y568" s="260"/>
      <c r="Z568" s="260"/>
      <c r="AA568" s="264"/>
      <c r="AB568" s="260"/>
      <c r="AC568" s="260"/>
      <c r="AD568" s="260"/>
      <c r="AE568" s="260"/>
      <c r="AF568" s="260"/>
      <c r="AG568" s="260"/>
      <c r="AH568" s="260"/>
    </row>
    <row r="569">
      <c r="A569" s="259"/>
      <c r="B569" s="260"/>
      <c r="C569" s="260"/>
      <c r="D569" s="260"/>
      <c r="E569" s="260"/>
      <c r="F569" s="260"/>
      <c r="G569" s="260"/>
      <c r="H569" s="260"/>
      <c r="I569" s="260"/>
      <c r="J569" s="261"/>
      <c r="K569" s="260"/>
      <c r="L569" s="260"/>
      <c r="M569" s="260"/>
      <c r="N569" s="260"/>
      <c r="O569" s="260"/>
      <c r="P569" s="260"/>
      <c r="Q569" s="260"/>
      <c r="R569" s="260"/>
      <c r="S569" s="260"/>
      <c r="T569" s="279"/>
      <c r="U569" s="260"/>
      <c r="V569" s="260"/>
      <c r="W569" s="260"/>
      <c r="X569" s="260"/>
      <c r="Y569" s="260"/>
      <c r="Z569" s="260"/>
      <c r="AA569" s="264"/>
      <c r="AB569" s="260"/>
      <c r="AC569" s="260"/>
      <c r="AD569" s="260"/>
      <c r="AE569" s="260"/>
      <c r="AF569" s="260"/>
      <c r="AG569" s="260"/>
      <c r="AH569" s="260"/>
    </row>
    <row r="570">
      <c r="A570" s="259"/>
      <c r="B570" s="260"/>
      <c r="C570" s="260"/>
      <c r="D570" s="260"/>
      <c r="E570" s="260"/>
      <c r="F570" s="260"/>
      <c r="G570" s="260"/>
      <c r="H570" s="260"/>
      <c r="I570" s="260"/>
      <c r="J570" s="261"/>
      <c r="K570" s="260"/>
      <c r="L570" s="260"/>
      <c r="M570" s="260"/>
      <c r="N570" s="260"/>
      <c r="O570" s="260"/>
      <c r="P570" s="260"/>
      <c r="Q570" s="260"/>
      <c r="R570" s="260"/>
      <c r="S570" s="260"/>
      <c r="T570" s="279"/>
      <c r="U570" s="260"/>
      <c r="V570" s="260"/>
      <c r="W570" s="260"/>
      <c r="X570" s="260"/>
      <c r="Y570" s="260"/>
      <c r="Z570" s="260"/>
      <c r="AA570" s="264"/>
      <c r="AB570" s="260"/>
      <c r="AC570" s="260"/>
      <c r="AD570" s="260"/>
      <c r="AE570" s="260"/>
      <c r="AF570" s="260"/>
      <c r="AG570" s="260"/>
      <c r="AH570" s="260"/>
    </row>
    <row r="571">
      <c r="A571" s="259"/>
      <c r="B571" s="260"/>
      <c r="C571" s="260"/>
      <c r="D571" s="260"/>
      <c r="E571" s="260"/>
      <c r="F571" s="260"/>
      <c r="G571" s="260"/>
      <c r="H571" s="260"/>
      <c r="I571" s="260"/>
      <c r="J571" s="261"/>
      <c r="K571" s="260"/>
      <c r="L571" s="260"/>
      <c r="M571" s="260"/>
      <c r="N571" s="260"/>
      <c r="O571" s="260"/>
      <c r="P571" s="260"/>
      <c r="Q571" s="260"/>
      <c r="R571" s="260"/>
      <c r="S571" s="260"/>
      <c r="T571" s="279"/>
      <c r="U571" s="260"/>
      <c r="V571" s="260"/>
      <c r="W571" s="260"/>
      <c r="X571" s="260"/>
      <c r="Y571" s="260"/>
      <c r="Z571" s="260"/>
      <c r="AA571" s="264"/>
      <c r="AB571" s="260"/>
      <c r="AC571" s="260"/>
      <c r="AD571" s="260"/>
      <c r="AE571" s="260"/>
      <c r="AF571" s="260"/>
      <c r="AG571" s="260"/>
      <c r="AH571" s="260"/>
    </row>
    <row r="572">
      <c r="A572" s="259"/>
      <c r="B572" s="260"/>
      <c r="C572" s="260"/>
      <c r="D572" s="260"/>
      <c r="E572" s="260"/>
      <c r="F572" s="260"/>
      <c r="G572" s="260"/>
      <c r="H572" s="260"/>
      <c r="I572" s="260"/>
      <c r="J572" s="261"/>
      <c r="K572" s="260"/>
      <c r="L572" s="260"/>
      <c r="M572" s="260"/>
      <c r="N572" s="260"/>
      <c r="O572" s="260"/>
      <c r="P572" s="260"/>
      <c r="Q572" s="260"/>
      <c r="R572" s="260"/>
      <c r="S572" s="260"/>
      <c r="T572" s="279"/>
      <c r="U572" s="260"/>
      <c r="V572" s="260"/>
      <c r="W572" s="260"/>
      <c r="X572" s="260"/>
      <c r="Y572" s="260"/>
      <c r="Z572" s="260"/>
      <c r="AA572" s="264"/>
      <c r="AB572" s="260"/>
      <c r="AC572" s="260"/>
      <c r="AD572" s="260"/>
      <c r="AE572" s="260"/>
      <c r="AF572" s="260"/>
      <c r="AG572" s="260"/>
      <c r="AH572" s="260"/>
    </row>
    <row r="573">
      <c r="A573" s="259"/>
      <c r="B573" s="260"/>
      <c r="C573" s="260"/>
      <c r="D573" s="260"/>
      <c r="E573" s="260"/>
      <c r="F573" s="260"/>
      <c r="G573" s="260"/>
      <c r="H573" s="260"/>
      <c r="I573" s="260"/>
      <c r="J573" s="261"/>
      <c r="K573" s="260"/>
      <c r="L573" s="260"/>
      <c r="M573" s="260"/>
      <c r="N573" s="260"/>
      <c r="O573" s="260"/>
      <c r="P573" s="260"/>
      <c r="Q573" s="260"/>
      <c r="R573" s="260"/>
      <c r="S573" s="260"/>
      <c r="T573" s="279"/>
      <c r="U573" s="260"/>
      <c r="V573" s="260"/>
      <c r="W573" s="260"/>
      <c r="X573" s="260"/>
      <c r="Y573" s="260"/>
      <c r="Z573" s="260"/>
      <c r="AA573" s="264"/>
      <c r="AB573" s="260"/>
      <c r="AC573" s="260"/>
      <c r="AD573" s="260"/>
      <c r="AE573" s="260"/>
      <c r="AF573" s="260"/>
      <c r="AG573" s="260"/>
      <c r="AH573" s="260"/>
    </row>
    <row r="574">
      <c r="A574" s="259"/>
      <c r="B574" s="260"/>
      <c r="C574" s="260"/>
      <c r="D574" s="260"/>
      <c r="E574" s="260"/>
      <c r="F574" s="260"/>
      <c r="G574" s="260"/>
      <c r="H574" s="260"/>
      <c r="I574" s="260"/>
      <c r="J574" s="261"/>
      <c r="K574" s="260"/>
      <c r="L574" s="260"/>
      <c r="M574" s="260"/>
      <c r="N574" s="260"/>
      <c r="O574" s="260"/>
      <c r="P574" s="260"/>
      <c r="Q574" s="260"/>
      <c r="R574" s="260"/>
      <c r="S574" s="260"/>
      <c r="T574" s="279"/>
      <c r="U574" s="260"/>
      <c r="V574" s="260"/>
      <c r="W574" s="260"/>
      <c r="X574" s="260"/>
      <c r="Y574" s="260"/>
      <c r="Z574" s="260"/>
      <c r="AA574" s="264"/>
      <c r="AB574" s="260"/>
      <c r="AC574" s="260"/>
      <c r="AD574" s="260"/>
      <c r="AE574" s="260"/>
      <c r="AF574" s="260"/>
      <c r="AG574" s="260"/>
      <c r="AH574" s="260"/>
    </row>
    <row r="575">
      <c r="A575" s="259"/>
      <c r="B575" s="260"/>
      <c r="C575" s="260"/>
      <c r="D575" s="260"/>
      <c r="E575" s="260"/>
      <c r="F575" s="260"/>
      <c r="G575" s="260"/>
      <c r="H575" s="260"/>
      <c r="I575" s="260"/>
      <c r="J575" s="261"/>
      <c r="K575" s="260"/>
      <c r="L575" s="260"/>
      <c r="M575" s="260"/>
      <c r="N575" s="260"/>
      <c r="O575" s="260"/>
      <c r="P575" s="260"/>
      <c r="Q575" s="260"/>
      <c r="R575" s="260"/>
      <c r="S575" s="260"/>
      <c r="T575" s="279"/>
      <c r="U575" s="260"/>
      <c r="V575" s="260"/>
      <c r="W575" s="260"/>
      <c r="X575" s="260"/>
      <c r="Y575" s="260"/>
      <c r="Z575" s="260"/>
      <c r="AA575" s="264"/>
      <c r="AB575" s="260"/>
      <c r="AC575" s="260"/>
      <c r="AD575" s="260"/>
      <c r="AE575" s="260"/>
      <c r="AF575" s="260"/>
      <c r="AG575" s="260"/>
      <c r="AH575" s="260"/>
    </row>
    <row r="576">
      <c r="A576" s="259"/>
      <c r="B576" s="260"/>
      <c r="C576" s="260"/>
      <c r="D576" s="260"/>
      <c r="E576" s="260"/>
      <c r="F576" s="260"/>
      <c r="G576" s="260"/>
      <c r="H576" s="260"/>
      <c r="I576" s="260"/>
      <c r="J576" s="261"/>
      <c r="K576" s="260"/>
      <c r="L576" s="260"/>
      <c r="M576" s="260"/>
      <c r="N576" s="260"/>
      <c r="O576" s="260"/>
      <c r="P576" s="260"/>
      <c r="Q576" s="260"/>
      <c r="R576" s="260"/>
      <c r="S576" s="260"/>
      <c r="T576" s="279"/>
      <c r="U576" s="260"/>
      <c r="V576" s="260"/>
      <c r="W576" s="260"/>
      <c r="X576" s="260"/>
      <c r="Y576" s="260"/>
      <c r="Z576" s="260"/>
      <c r="AA576" s="264"/>
      <c r="AB576" s="260"/>
      <c r="AC576" s="260"/>
      <c r="AD576" s="260"/>
      <c r="AE576" s="260"/>
      <c r="AF576" s="260"/>
      <c r="AG576" s="260"/>
      <c r="AH576" s="260"/>
    </row>
    <row r="577">
      <c r="A577" s="259"/>
      <c r="B577" s="260"/>
      <c r="C577" s="260"/>
      <c r="D577" s="260"/>
      <c r="E577" s="260"/>
      <c r="F577" s="260"/>
      <c r="G577" s="260"/>
      <c r="H577" s="260"/>
      <c r="I577" s="260"/>
      <c r="J577" s="261"/>
      <c r="K577" s="260"/>
      <c r="L577" s="260"/>
      <c r="M577" s="260"/>
      <c r="N577" s="260"/>
      <c r="O577" s="260"/>
      <c r="P577" s="260"/>
      <c r="Q577" s="260"/>
      <c r="R577" s="260"/>
      <c r="S577" s="260"/>
      <c r="T577" s="279"/>
      <c r="U577" s="260"/>
      <c r="V577" s="260"/>
      <c r="W577" s="260"/>
      <c r="X577" s="260"/>
      <c r="Y577" s="260"/>
      <c r="Z577" s="260"/>
      <c r="AA577" s="264"/>
      <c r="AB577" s="260"/>
      <c r="AC577" s="260"/>
      <c r="AD577" s="260"/>
      <c r="AE577" s="260"/>
      <c r="AF577" s="260"/>
      <c r="AG577" s="260"/>
      <c r="AH577" s="260"/>
    </row>
    <row r="578">
      <c r="A578" s="259"/>
      <c r="B578" s="260"/>
      <c r="C578" s="260"/>
      <c r="D578" s="260"/>
      <c r="E578" s="260"/>
      <c r="F578" s="260"/>
      <c r="G578" s="260"/>
      <c r="H578" s="260"/>
      <c r="I578" s="260"/>
      <c r="J578" s="261"/>
      <c r="K578" s="260"/>
      <c r="L578" s="260"/>
      <c r="M578" s="260"/>
      <c r="N578" s="260"/>
      <c r="O578" s="260"/>
      <c r="P578" s="260"/>
      <c r="Q578" s="260"/>
      <c r="R578" s="260"/>
      <c r="S578" s="260"/>
      <c r="T578" s="279"/>
      <c r="U578" s="260"/>
      <c r="V578" s="260"/>
      <c r="W578" s="260"/>
      <c r="X578" s="260"/>
      <c r="Y578" s="260"/>
      <c r="Z578" s="260"/>
      <c r="AA578" s="264"/>
      <c r="AB578" s="260"/>
      <c r="AC578" s="260"/>
      <c r="AD578" s="260"/>
      <c r="AE578" s="260"/>
      <c r="AF578" s="260"/>
      <c r="AG578" s="260"/>
      <c r="AH578" s="260"/>
    </row>
    <row r="579">
      <c r="A579" s="259"/>
      <c r="B579" s="260"/>
      <c r="C579" s="260"/>
      <c r="D579" s="260"/>
      <c r="E579" s="260"/>
      <c r="F579" s="260"/>
      <c r="G579" s="260"/>
      <c r="H579" s="260"/>
      <c r="I579" s="260"/>
      <c r="J579" s="261"/>
      <c r="K579" s="260"/>
      <c r="L579" s="260"/>
      <c r="M579" s="260"/>
      <c r="N579" s="260"/>
      <c r="O579" s="260"/>
      <c r="P579" s="260"/>
      <c r="Q579" s="260"/>
      <c r="R579" s="260"/>
      <c r="S579" s="260"/>
      <c r="T579" s="279"/>
      <c r="U579" s="260"/>
      <c r="V579" s="260"/>
      <c r="W579" s="260"/>
      <c r="X579" s="260"/>
      <c r="Y579" s="260"/>
      <c r="Z579" s="260"/>
      <c r="AA579" s="264"/>
      <c r="AB579" s="260"/>
      <c r="AC579" s="260"/>
      <c r="AD579" s="260"/>
      <c r="AE579" s="260"/>
      <c r="AF579" s="260"/>
      <c r="AG579" s="260"/>
      <c r="AH579" s="260"/>
    </row>
    <row r="580">
      <c r="A580" s="259"/>
      <c r="B580" s="260"/>
      <c r="C580" s="260"/>
      <c r="D580" s="260"/>
      <c r="E580" s="260"/>
      <c r="F580" s="260"/>
      <c r="G580" s="260"/>
      <c r="H580" s="260"/>
      <c r="I580" s="260"/>
      <c r="J580" s="261"/>
      <c r="K580" s="260"/>
      <c r="L580" s="260"/>
      <c r="M580" s="260"/>
      <c r="N580" s="260"/>
      <c r="O580" s="260"/>
      <c r="P580" s="260"/>
      <c r="Q580" s="260"/>
      <c r="R580" s="260"/>
      <c r="S580" s="260"/>
      <c r="T580" s="279"/>
      <c r="U580" s="260"/>
      <c r="V580" s="260"/>
      <c r="W580" s="260"/>
      <c r="X580" s="260"/>
      <c r="Y580" s="260"/>
      <c r="Z580" s="260"/>
      <c r="AA580" s="264"/>
      <c r="AB580" s="260"/>
      <c r="AC580" s="260"/>
      <c r="AD580" s="260"/>
      <c r="AE580" s="260"/>
      <c r="AF580" s="260"/>
      <c r="AG580" s="260"/>
      <c r="AH580" s="260"/>
    </row>
    <row r="581">
      <c r="A581" s="259"/>
      <c r="B581" s="260"/>
      <c r="C581" s="260"/>
      <c r="D581" s="260"/>
      <c r="E581" s="260"/>
      <c r="F581" s="260"/>
      <c r="G581" s="260"/>
      <c r="H581" s="260"/>
      <c r="I581" s="260"/>
      <c r="J581" s="261"/>
      <c r="K581" s="260"/>
      <c r="L581" s="260"/>
      <c r="M581" s="260"/>
      <c r="N581" s="260"/>
      <c r="O581" s="260"/>
      <c r="P581" s="260"/>
      <c r="Q581" s="260"/>
      <c r="R581" s="260"/>
      <c r="S581" s="260"/>
      <c r="T581" s="279"/>
      <c r="U581" s="260"/>
      <c r="V581" s="260"/>
      <c r="W581" s="260"/>
      <c r="X581" s="260"/>
      <c r="Y581" s="260"/>
      <c r="Z581" s="260"/>
      <c r="AA581" s="264"/>
      <c r="AB581" s="260"/>
      <c r="AC581" s="260"/>
      <c r="AD581" s="260"/>
      <c r="AE581" s="260"/>
      <c r="AF581" s="260"/>
      <c r="AG581" s="260"/>
      <c r="AH581" s="260"/>
    </row>
    <row r="582">
      <c r="A582" s="259"/>
      <c r="B582" s="260"/>
      <c r="C582" s="260"/>
      <c r="D582" s="260"/>
      <c r="E582" s="260"/>
      <c r="F582" s="260"/>
      <c r="G582" s="260"/>
      <c r="H582" s="260"/>
      <c r="I582" s="260"/>
      <c r="J582" s="261"/>
      <c r="K582" s="260"/>
      <c r="L582" s="260"/>
      <c r="M582" s="260"/>
      <c r="N582" s="260"/>
      <c r="O582" s="260"/>
      <c r="P582" s="260"/>
      <c r="Q582" s="260"/>
      <c r="R582" s="260"/>
      <c r="S582" s="260"/>
      <c r="T582" s="279"/>
      <c r="U582" s="260"/>
      <c r="V582" s="260"/>
      <c r="W582" s="260"/>
      <c r="X582" s="260"/>
      <c r="Y582" s="260"/>
      <c r="Z582" s="260"/>
      <c r="AA582" s="264"/>
      <c r="AB582" s="260"/>
      <c r="AC582" s="260"/>
      <c r="AD582" s="260"/>
      <c r="AE582" s="260"/>
      <c r="AF582" s="260"/>
      <c r="AG582" s="260"/>
      <c r="AH582" s="260"/>
    </row>
    <row r="583">
      <c r="A583" s="259"/>
      <c r="B583" s="260"/>
      <c r="C583" s="260"/>
      <c r="D583" s="260"/>
      <c r="E583" s="260"/>
      <c r="F583" s="260"/>
      <c r="G583" s="260"/>
      <c r="H583" s="260"/>
      <c r="I583" s="260"/>
      <c r="J583" s="261"/>
      <c r="K583" s="260"/>
      <c r="L583" s="260"/>
      <c r="M583" s="260"/>
      <c r="N583" s="260"/>
      <c r="O583" s="260"/>
      <c r="P583" s="260"/>
      <c r="Q583" s="260"/>
      <c r="R583" s="260"/>
      <c r="S583" s="260"/>
      <c r="T583" s="279"/>
      <c r="U583" s="260"/>
      <c r="V583" s="260"/>
      <c r="W583" s="260"/>
      <c r="X583" s="260"/>
      <c r="Y583" s="260"/>
      <c r="Z583" s="260"/>
      <c r="AA583" s="264"/>
      <c r="AB583" s="260"/>
      <c r="AC583" s="260"/>
      <c r="AD583" s="260"/>
      <c r="AE583" s="260"/>
      <c r="AF583" s="260"/>
      <c r="AG583" s="260"/>
      <c r="AH583" s="260"/>
    </row>
    <row r="584">
      <c r="A584" s="259"/>
      <c r="B584" s="260"/>
      <c r="C584" s="260"/>
      <c r="D584" s="260"/>
      <c r="E584" s="260"/>
      <c r="F584" s="260"/>
      <c r="G584" s="260"/>
      <c r="H584" s="260"/>
      <c r="I584" s="260"/>
      <c r="J584" s="261"/>
      <c r="K584" s="260"/>
      <c r="L584" s="260"/>
      <c r="M584" s="260"/>
      <c r="N584" s="260"/>
      <c r="O584" s="260"/>
      <c r="P584" s="260"/>
      <c r="Q584" s="260"/>
      <c r="R584" s="260"/>
      <c r="S584" s="260"/>
      <c r="T584" s="279"/>
      <c r="U584" s="260"/>
      <c r="V584" s="260"/>
      <c r="W584" s="260"/>
      <c r="X584" s="260"/>
      <c r="Y584" s="260"/>
      <c r="Z584" s="260"/>
      <c r="AA584" s="264"/>
      <c r="AB584" s="260"/>
      <c r="AC584" s="260"/>
      <c r="AD584" s="260"/>
      <c r="AE584" s="260"/>
      <c r="AF584" s="260"/>
      <c r="AG584" s="260"/>
      <c r="AH584" s="260"/>
    </row>
    <row r="585">
      <c r="A585" s="259"/>
      <c r="B585" s="260"/>
      <c r="C585" s="260"/>
      <c r="D585" s="260"/>
      <c r="E585" s="260"/>
      <c r="F585" s="260"/>
      <c r="G585" s="260"/>
      <c r="H585" s="260"/>
      <c r="I585" s="260"/>
      <c r="J585" s="261"/>
      <c r="K585" s="260"/>
      <c r="L585" s="260"/>
      <c r="M585" s="260"/>
      <c r="N585" s="260"/>
      <c r="O585" s="260"/>
      <c r="P585" s="260"/>
      <c r="Q585" s="260"/>
      <c r="R585" s="260"/>
      <c r="S585" s="260"/>
      <c r="T585" s="279"/>
      <c r="U585" s="260"/>
      <c r="V585" s="260"/>
      <c r="W585" s="260"/>
      <c r="X585" s="260"/>
      <c r="Y585" s="260"/>
      <c r="Z585" s="260"/>
      <c r="AA585" s="264"/>
      <c r="AB585" s="260"/>
      <c r="AC585" s="260"/>
      <c r="AD585" s="260"/>
      <c r="AE585" s="260"/>
      <c r="AF585" s="260"/>
      <c r="AG585" s="260"/>
      <c r="AH585" s="260"/>
    </row>
    <row r="586">
      <c r="A586" s="259"/>
      <c r="B586" s="260"/>
      <c r="C586" s="260"/>
      <c r="D586" s="260"/>
      <c r="E586" s="260"/>
      <c r="F586" s="260"/>
      <c r="G586" s="260"/>
      <c r="H586" s="260"/>
      <c r="I586" s="260"/>
      <c r="J586" s="261"/>
      <c r="K586" s="260"/>
      <c r="L586" s="260"/>
      <c r="M586" s="260"/>
      <c r="N586" s="260"/>
      <c r="O586" s="260"/>
      <c r="P586" s="260"/>
      <c r="Q586" s="260"/>
      <c r="R586" s="260"/>
      <c r="S586" s="260"/>
      <c r="T586" s="279"/>
      <c r="U586" s="260"/>
      <c r="V586" s="260"/>
      <c r="W586" s="260"/>
      <c r="X586" s="260"/>
      <c r="Y586" s="260"/>
      <c r="Z586" s="260"/>
      <c r="AA586" s="264"/>
      <c r="AB586" s="260"/>
      <c r="AC586" s="260"/>
      <c r="AD586" s="260"/>
      <c r="AE586" s="260"/>
      <c r="AF586" s="260"/>
      <c r="AG586" s="260"/>
      <c r="AH586" s="260"/>
    </row>
    <row r="587">
      <c r="A587" s="259"/>
      <c r="B587" s="260"/>
      <c r="C587" s="260"/>
      <c r="D587" s="260"/>
      <c r="E587" s="260"/>
      <c r="F587" s="260"/>
      <c r="G587" s="260"/>
      <c r="H587" s="260"/>
      <c r="I587" s="260"/>
      <c r="J587" s="261"/>
      <c r="K587" s="260"/>
      <c r="L587" s="260"/>
      <c r="M587" s="260"/>
      <c r="N587" s="260"/>
      <c r="O587" s="260"/>
      <c r="P587" s="260"/>
      <c r="Q587" s="260"/>
      <c r="R587" s="260"/>
      <c r="S587" s="260"/>
      <c r="T587" s="279"/>
      <c r="U587" s="260"/>
      <c r="V587" s="260"/>
      <c r="W587" s="260"/>
      <c r="X587" s="260"/>
      <c r="Y587" s="260"/>
      <c r="Z587" s="260"/>
      <c r="AA587" s="264"/>
      <c r="AB587" s="260"/>
      <c r="AC587" s="260"/>
      <c r="AD587" s="260"/>
      <c r="AE587" s="260"/>
      <c r="AF587" s="260"/>
      <c r="AG587" s="260"/>
      <c r="AH587" s="260"/>
    </row>
    <row r="588">
      <c r="A588" s="259"/>
      <c r="B588" s="260"/>
      <c r="C588" s="260"/>
      <c r="D588" s="260"/>
      <c r="E588" s="260"/>
      <c r="F588" s="260"/>
      <c r="G588" s="260"/>
      <c r="H588" s="260"/>
      <c r="I588" s="260"/>
      <c r="J588" s="261"/>
      <c r="K588" s="260"/>
      <c r="L588" s="260"/>
      <c r="M588" s="260"/>
      <c r="N588" s="260"/>
      <c r="O588" s="260"/>
      <c r="P588" s="260"/>
      <c r="Q588" s="260"/>
      <c r="R588" s="260"/>
      <c r="S588" s="260"/>
      <c r="T588" s="279"/>
      <c r="U588" s="260"/>
      <c r="V588" s="260"/>
      <c r="W588" s="260"/>
      <c r="X588" s="260"/>
      <c r="Y588" s="260"/>
      <c r="Z588" s="260"/>
      <c r="AA588" s="264"/>
      <c r="AB588" s="260"/>
      <c r="AC588" s="260"/>
      <c r="AD588" s="260"/>
      <c r="AE588" s="260"/>
      <c r="AF588" s="260"/>
      <c r="AG588" s="260"/>
      <c r="AH588" s="260"/>
    </row>
    <row r="589">
      <c r="A589" s="259"/>
      <c r="B589" s="260"/>
      <c r="C589" s="260"/>
      <c r="D589" s="260"/>
      <c r="E589" s="260"/>
      <c r="F589" s="260"/>
      <c r="G589" s="260"/>
      <c r="H589" s="260"/>
      <c r="I589" s="260"/>
      <c r="J589" s="261"/>
      <c r="K589" s="260"/>
      <c r="L589" s="260"/>
      <c r="M589" s="260"/>
      <c r="N589" s="260"/>
      <c r="O589" s="260"/>
      <c r="P589" s="260"/>
      <c r="Q589" s="260"/>
      <c r="R589" s="260"/>
      <c r="S589" s="260"/>
      <c r="T589" s="279"/>
      <c r="U589" s="260"/>
      <c r="V589" s="260"/>
      <c r="W589" s="260"/>
      <c r="X589" s="260"/>
      <c r="Y589" s="260"/>
      <c r="Z589" s="260"/>
      <c r="AA589" s="264"/>
      <c r="AB589" s="260"/>
      <c r="AC589" s="260"/>
      <c r="AD589" s="260"/>
      <c r="AE589" s="260"/>
      <c r="AF589" s="260"/>
      <c r="AG589" s="260"/>
      <c r="AH589" s="260"/>
    </row>
    <row r="590">
      <c r="A590" s="259"/>
      <c r="B590" s="260"/>
      <c r="C590" s="260"/>
      <c r="D590" s="260"/>
      <c r="E590" s="260"/>
      <c r="F590" s="260"/>
      <c r="G590" s="260"/>
      <c r="H590" s="260"/>
      <c r="I590" s="260"/>
      <c r="J590" s="261"/>
      <c r="K590" s="260"/>
      <c r="L590" s="260"/>
      <c r="M590" s="260"/>
      <c r="N590" s="260"/>
      <c r="O590" s="260"/>
      <c r="P590" s="260"/>
      <c r="Q590" s="260"/>
      <c r="R590" s="260"/>
      <c r="S590" s="260"/>
      <c r="T590" s="279"/>
      <c r="U590" s="260"/>
      <c r="V590" s="260"/>
      <c r="W590" s="260"/>
      <c r="X590" s="260"/>
      <c r="Y590" s="260"/>
      <c r="Z590" s="260"/>
      <c r="AA590" s="264"/>
      <c r="AB590" s="260"/>
      <c r="AC590" s="260"/>
      <c r="AD590" s="260"/>
      <c r="AE590" s="260"/>
      <c r="AF590" s="260"/>
      <c r="AG590" s="260"/>
      <c r="AH590" s="260"/>
    </row>
    <row r="591">
      <c r="A591" s="259"/>
      <c r="B591" s="260"/>
      <c r="C591" s="260"/>
      <c r="D591" s="260"/>
      <c r="E591" s="260"/>
      <c r="F591" s="260"/>
      <c r="G591" s="260"/>
      <c r="H591" s="260"/>
      <c r="I591" s="260"/>
      <c r="J591" s="261"/>
      <c r="K591" s="260"/>
      <c r="L591" s="260"/>
      <c r="M591" s="260"/>
      <c r="N591" s="260"/>
      <c r="O591" s="260"/>
      <c r="P591" s="260"/>
      <c r="Q591" s="260"/>
      <c r="R591" s="260"/>
      <c r="S591" s="260"/>
      <c r="T591" s="279"/>
      <c r="U591" s="260"/>
      <c r="V591" s="260"/>
      <c r="W591" s="260"/>
      <c r="X591" s="260"/>
      <c r="Y591" s="260"/>
      <c r="Z591" s="260"/>
      <c r="AA591" s="264"/>
      <c r="AB591" s="260"/>
      <c r="AC591" s="260"/>
      <c r="AD591" s="260"/>
      <c r="AE591" s="260"/>
      <c r="AF591" s="260"/>
      <c r="AG591" s="260"/>
      <c r="AH591" s="260"/>
    </row>
    <row r="592">
      <c r="A592" s="259"/>
      <c r="B592" s="260"/>
      <c r="C592" s="260"/>
      <c r="D592" s="260"/>
      <c r="E592" s="260"/>
      <c r="F592" s="260"/>
      <c r="G592" s="260"/>
      <c r="H592" s="260"/>
      <c r="I592" s="260"/>
      <c r="J592" s="261"/>
      <c r="K592" s="260"/>
      <c r="L592" s="260"/>
      <c r="M592" s="260"/>
      <c r="N592" s="260"/>
      <c r="O592" s="260"/>
      <c r="P592" s="260"/>
      <c r="Q592" s="260"/>
      <c r="R592" s="260"/>
      <c r="S592" s="260"/>
      <c r="T592" s="279"/>
      <c r="U592" s="260"/>
      <c r="V592" s="260"/>
      <c r="W592" s="260"/>
      <c r="X592" s="260"/>
      <c r="Y592" s="260"/>
      <c r="Z592" s="260"/>
      <c r="AA592" s="264"/>
      <c r="AB592" s="260"/>
      <c r="AC592" s="260"/>
      <c r="AD592" s="260"/>
      <c r="AE592" s="260"/>
      <c r="AF592" s="260"/>
      <c r="AG592" s="260"/>
      <c r="AH592" s="260"/>
    </row>
    <row r="593">
      <c r="A593" s="259"/>
      <c r="B593" s="260"/>
      <c r="C593" s="260"/>
      <c r="D593" s="260"/>
      <c r="E593" s="260"/>
      <c r="F593" s="260"/>
      <c r="G593" s="260"/>
      <c r="H593" s="260"/>
      <c r="I593" s="260"/>
      <c r="J593" s="261"/>
      <c r="K593" s="260"/>
      <c r="L593" s="260"/>
      <c r="M593" s="260"/>
      <c r="N593" s="260"/>
      <c r="O593" s="260"/>
      <c r="P593" s="260"/>
      <c r="Q593" s="260"/>
      <c r="R593" s="260"/>
      <c r="S593" s="260"/>
      <c r="T593" s="279"/>
      <c r="U593" s="260"/>
      <c r="V593" s="260"/>
      <c r="W593" s="260"/>
      <c r="X593" s="260"/>
      <c r="Y593" s="260"/>
      <c r="Z593" s="260"/>
      <c r="AA593" s="264"/>
      <c r="AB593" s="260"/>
      <c r="AC593" s="260"/>
      <c r="AD593" s="260"/>
      <c r="AE593" s="260"/>
      <c r="AF593" s="260"/>
      <c r="AG593" s="260"/>
      <c r="AH593" s="260"/>
    </row>
    <row r="594">
      <c r="A594" s="259"/>
      <c r="B594" s="260"/>
      <c r="C594" s="260"/>
      <c r="D594" s="260"/>
      <c r="E594" s="260"/>
      <c r="F594" s="260"/>
      <c r="G594" s="260"/>
      <c r="H594" s="260"/>
      <c r="I594" s="260"/>
      <c r="J594" s="261"/>
      <c r="K594" s="260"/>
      <c r="L594" s="260"/>
      <c r="M594" s="260"/>
      <c r="N594" s="260"/>
      <c r="O594" s="260"/>
      <c r="P594" s="260"/>
      <c r="Q594" s="260"/>
      <c r="R594" s="260"/>
      <c r="S594" s="260"/>
      <c r="T594" s="279"/>
      <c r="U594" s="260"/>
      <c r="V594" s="260"/>
      <c r="W594" s="260"/>
      <c r="X594" s="260"/>
      <c r="Y594" s="260"/>
      <c r="Z594" s="260"/>
      <c r="AA594" s="264"/>
      <c r="AB594" s="260"/>
      <c r="AC594" s="260"/>
      <c r="AD594" s="260"/>
      <c r="AE594" s="260"/>
      <c r="AF594" s="260"/>
      <c r="AG594" s="260"/>
      <c r="AH594" s="260"/>
    </row>
    <row r="595">
      <c r="A595" s="259"/>
      <c r="B595" s="260"/>
      <c r="C595" s="260"/>
      <c r="D595" s="260"/>
      <c r="E595" s="260"/>
      <c r="F595" s="260"/>
      <c r="G595" s="260"/>
      <c r="H595" s="260"/>
      <c r="I595" s="260"/>
      <c r="J595" s="261"/>
      <c r="K595" s="260"/>
      <c r="L595" s="260"/>
      <c r="M595" s="260"/>
      <c r="N595" s="260"/>
      <c r="O595" s="260"/>
      <c r="P595" s="260"/>
      <c r="Q595" s="260"/>
      <c r="R595" s="260"/>
      <c r="S595" s="260"/>
      <c r="T595" s="279"/>
      <c r="U595" s="260"/>
      <c r="V595" s="260"/>
      <c r="W595" s="260"/>
      <c r="X595" s="260"/>
      <c r="Y595" s="260"/>
      <c r="Z595" s="260"/>
      <c r="AA595" s="264"/>
      <c r="AB595" s="260"/>
      <c r="AC595" s="260"/>
      <c r="AD595" s="260"/>
      <c r="AE595" s="260"/>
      <c r="AF595" s="260"/>
      <c r="AG595" s="260"/>
      <c r="AH595" s="260"/>
    </row>
    <row r="596">
      <c r="A596" s="259"/>
      <c r="B596" s="260"/>
      <c r="C596" s="260"/>
      <c r="D596" s="260"/>
      <c r="E596" s="260"/>
      <c r="F596" s="260"/>
      <c r="G596" s="260"/>
      <c r="H596" s="260"/>
      <c r="I596" s="260"/>
      <c r="J596" s="261"/>
      <c r="K596" s="260"/>
      <c r="L596" s="260"/>
      <c r="M596" s="260"/>
      <c r="N596" s="260"/>
      <c r="O596" s="260"/>
      <c r="P596" s="260"/>
      <c r="Q596" s="260"/>
      <c r="R596" s="260"/>
      <c r="S596" s="260"/>
      <c r="T596" s="279"/>
      <c r="U596" s="260"/>
      <c r="V596" s="260"/>
      <c r="W596" s="260"/>
      <c r="X596" s="260"/>
      <c r="Y596" s="260"/>
      <c r="Z596" s="260"/>
      <c r="AA596" s="264"/>
      <c r="AB596" s="260"/>
      <c r="AC596" s="260"/>
      <c r="AD596" s="260"/>
      <c r="AE596" s="260"/>
      <c r="AF596" s="260"/>
      <c r="AG596" s="260"/>
      <c r="AH596" s="260"/>
    </row>
    <row r="597">
      <c r="A597" s="259"/>
      <c r="B597" s="260"/>
      <c r="C597" s="260"/>
      <c r="D597" s="260"/>
      <c r="E597" s="260"/>
      <c r="F597" s="260"/>
      <c r="G597" s="260"/>
      <c r="H597" s="260"/>
      <c r="I597" s="260"/>
      <c r="J597" s="261"/>
      <c r="K597" s="260"/>
      <c r="L597" s="260"/>
      <c r="M597" s="260"/>
      <c r="N597" s="260"/>
      <c r="O597" s="260"/>
      <c r="P597" s="260"/>
      <c r="Q597" s="260"/>
      <c r="R597" s="260"/>
      <c r="S597" s="260"/>
      <c r="T597" s="279"/>
      <c r="U597" s="260"/>
      <c r="V597" s="260"/>
      <c r="W597" s="260"/>
      <c r="X597" s="260"/>
      <c r="Y597" s="260"/>
      <c r="Z597" s="260"/>
      <c r="AA597" s="264"/>
      <c r="AB597" s="260"/>
      <c r="AC597" s="260"/>
      <c r="AD597" s="260"/>
      <c r="AE597" s="260"/>
      <c r="AF597" s="260"/>
      <c r="AG597" s="260"/>
      <c r="AH597" s="260"/>
    </row>
    <row r="598">
      <c r="A598" s="259"/>
      <c r="B598" s="260"/>
      <c r="C598" s="260"/>
      <c r="D598" s="260"/>
      <c r="E598" s="260"/>
      <c r="F598" s="260"/>
      <c r="G598" s="260"/>
      <c r="H598" s="260"/>
      <c r="I598" s="260"/>
      <c r="J598" s="261"/>
      <c r="K598" s="260"/>
      <c r="L598" s="260"/>
      <c r="M598" s="260"/>
      <c r="N598" s="260"/>
      <c r="O598" s="260"/>
      <c r="P598" s="260"/>
      <c r="Q598" s="260"/>
      <c r="R598" s="260"/>
      <c r="S598" s="260"/>
      <c r="T598" s="279"/>
      <c r="U598" s="260"/>
      <c r="V598" s="260"/>
      <c r="W598" s="260"/>
      <c r="X598" s="260"/>
      <c r="Y598" s="260"/>
      <c r="Z598" s="260"/>
      <c r="AA598" s="264"/>
      <c r="AB598" s="260"/>
      <c r="AC598" s="260"/>
      <c r="AD598" s="260"/>
      <c r="AE598" s="260"/>
      <c r="AF598" s="260"/>
      <c r="AG598" s="260"/>
      <c r="AH598" s="260"/>
    </row>
    <row r="599">
      <c r="A599" s="259"/>
      <c r="B599" s="260"/>
      <c r="C599" s="260"/>
      <c r="D599" s="260"/>
      <c r="E599" s="260"/>
      <c r="F599" s="260"/>
      <c r="G599" s="260"/>
      <c r="H599" s="260"/>
      <c r="I599" s="260"/>
      <c r="J599" s="261"/>
      <c r="K599" s="260"/>
      <c r="L599" s="260"/>
      <c r="M599" s="260"/>
      <c r="N599" s="260"/>
      <c r="O599" s="260"/>
      <c r="P599" s="260"/>
      <c r="Q599" s="260"/>
      <c r="R599" s="260"/>
      <c r="S599" s="260"/>
      <c r="T599" s="279"/>
      <c r="U599" s="260"/>
      <c r="V599" s="260"/>
      <c r="W599" s="260"/>
      <c r="X599" s="260"/>
      <c r="Y599" s="260"/>
      <c r="Z599" s="260"/>
      <c r="AA599" s="264"/>
      <c r="AB599" s="260"/>
      <c r="AC599" s="260"/>
      <c r="AD599" s="260"/>
      <c r="AE599" s="260"/>
      <c r="AF599" s="260"/>
      <c r="AG599" s="260"/>
      <c r="AH599" s="260"/>
    </row>
    <row r="600">
      <c r="A600" s="259"/>
      <c r="B600" s="260"/>
      <c r="C600" s="260"/>
      <c r="D600" s="260"/>
      <c r="E600" s="260"/>
      <c r="F600" s="260"/>
      <c r="G600" s="260"/>
      <c r="H600" s="260"/>
      <c r="I600" s="260"/>
      <c r="J600" s="261"/>
      <c r="K600" s="260"/>
      <c r="L600" s="260"/>
      <c r="M600" s="260"/>
      <c r="N600" s="260"/>
      <c r="O600" s="260"/>
      <c r="P600" s="260"/>
      <c r="Q600" s="260"/>
      <c r="R600" s="260"/>
      <c r="S600" s="260"/>
      <c r="T600" s="279"/>
      <c r="U600" s="260"/>
      <c r="V600" s="260"/>
      <c r="W600" s="260"/>
      <c r="X600" s="260"/>
      <c r="Y600" s="260"/>
      <c r="Z600" s="260"/>
      <c r="AA600" s="264"/>
      <c r="AB600" s="260"/>
      <c r="AC600" s="260"/>
      <c r="AD600" s="260"/>
      <c r="AE600" s="260"/>
      <c r="AF600" s="260"/>
      <c r="AG600" s="260"/>
      <c r="AH600" s="260"/>
    </row>
    <row r="601">
      <c r="A601" s="259"/>
      <c r="B601" s="260"/>
      <c r="C601" s="260"/>
      <c r="D601" s="260"/>
      <c r="E601" s="260"/>
      <c r="F601" s="260"/>
      <c r="G601" s="260"/>
      <c r="H601" s="260"/>
      <c r="I601" s="260"/>
      <c r="J601" s="261"/>
      <c r="K601" s="260"/>
      <c r="L601" s="260"/>
      <c r="M601" s="260"/>
      <c r="N601" s="260"/>
      <c r="O601" s="260"/>
      <c r="P601" s="260"/>
      <c r="Q601" s="260"/>
      <c r="R601" s="260"/>
      <c r="S601" s="260"/>
      <c r="T601" s="279"/>
      <c r="U601" s="260"/>
      <c r="V601" s="260"/>
      <c r="W601" s="260"/>
      <c r="X601" s="260"/>
      <c r="Y601" s="260"/>
      <c r="Z601" s="260"/>
      <c r="AA601" s="264"/>
      <c r="AB601" s="260"/>
      <c r="AC601" s="260"/>
      <c r="AD601" s="260"/>
      <c r="AE601" s="260"/>
      <c r="AF601" s="260"/>
      <c r="AG601" s="260"/>
      <c r="AH601" s="260"/>
    </row>
    <row r="602">
      <c r="A602" s="259"/>
      <c r="B602" s="260"/>
      <c r="C602" s="260"/>
      <c r="D602" s="260"/>
      <c r="E602" s="260"/>
      <c r="F602" s="260"/>
      <c r="G602" s="260"/>
      <c r="H602" s="260"/>
      <c r="I602" s="260"/>
      <c r="J602" s="261"/>
      <c r="K602" s="260"/>
      <c r="L602" s="260"/>
      <c r="M602" s="260"/>
      <c r="N602" s="260"/>
      <c r="O602" s="260"/>
      <c r="P602" s="260"/>
      <c r="Q602" s="260"/>
      <c r="R602" s="260"/>
      <c r="S602" s="260"/>
      <c r="T602" s="279"/>
      <c r="U602" s="260"/>
      <c r="V602" s="260"/>
      <c r="W602" s="260"/>
      <c r="X602" s="260"/>
      <c r="Y602" s="260"/>
      <c r="Z602" s="260"/>
      <c r="AA602" s="264"/>
      <c r="AB602" s="260"/>
      <c r="AC602" s="260"/>
      <c r="AD602" s="260"/>
      <c r="AE602" s="260"/>
      <c r="AF602" s="260"/>
      <c r="AG602" s="260"/>
      <c r="AH602" s="260"/>
    </row>
    <row r="603">
      <c r="A603" s="259"/>
      <c r="B603" s="260"/>
      <c r="C603" s="260"/>
      <c r="D603" s="260"/>
      <c r="E603" s="260"/>
      <c r="F603" s="260"/>
      <c r="G603" s="260"/>
      <c r="H603" s="260"/>
      <c r="I603" s="260"/>
      <c r="J603" s="261"/>
      <c r="K603" s="260"/>
      <c r="L603" s="260"/>
      <c r="M603" s="260"/>
      <c r="N603" s="260"/>
      <c r="O603" s="260"/>
      <c r="P603" s="260"/>
      <c r="Q603" s="260"/>
      <c r="R603" s="260"/>
      <c r="S603" s="260"/>
      <c r="T603" s="279"/>
      <c r="U603" s="260"/>
      <c r="V603" s="260"/>
      <c r="W603" s="260"/>
      <c r="X603" s="260"/>
      <c r="Y603" s="260"/>
      <c r="Z603" s="260"/>
      <c r="AA603" s="264"/>
      <c r="AB603" s="260"/>
      <c r="AC603" s="260"/>
      <c r="AD603" s="260"/>
      <c r="AE603" s="260"/>
      <c r="AF603" s="260"/>
      <c r="AG603" s="260"/>
      <c r="AH603" s="260"/>
    </row>
    <row r="604">
      <c r="A604" s="259"/>
      <c r="B604" s="260"/>
      <c r="C604" s="260"/>
      <c r="D604" s="260"/>
      <c r="E604" s="260"/>
      <c r="F604" s="260"/>
      <c r="G604" s="260"/>
      <c r="H604" s="260"/>
      <c r="I604" s="260"/>
      <c r="J604" s="261"/>
      <c r="K604" s="260"/>
      <c r="L604" s="260"/>
      <c r="M604" s="260"/>
      <c r="N604" s="260"/>
      <c r="O604" s="260"/>
      <c r="P604" s="260"/>
      <c r="Q604" s="260"/>
      <c r="R604" s="260"/>
      <c r="S604" s="260"/>
      <c r="T604" s="279"/>
      <c r="U604" s="260"/>
      <c r="V604" s="260"/>
      <c r="W604" s="260"/>
      <c r="X604" s="260"/>
      <c r="Y604" s="260"/>
      <c r="Z604" s="260"/>
      <c r="AA604" s="264"/>
      <c r="AB604" s="260"/>
      <c r="AC604" s="260"/>
      <c r="AD604" s="260"/>
      <c r="AE604" s="260"/>
      <c r="AF604" s="260"/>
      <c r="AG604" s="260"/>
      <c r="AH604" s="260"/>
    </row>
    <row r="605">
      <c r="A605" s="259"/>
      <c r="B605" s="260"/>
      <c r="C605" s="260"/>
      <c r="D605" s="260"/>
      <c r="E605" s="260"/>
      <c r="F605" s="260"/>
      <c r="G605" s="260"/>
      <c r="H605" s="260"/>
      <c r="I605" s="260"/>
      <c r="J605" s="261"/>
      <c r="K605" s="260"/>
      <c r="L605" s="260"/>
      <c r="M605" s="260"/>
      <c r="N605" s="260"/>
      <c r="O605" s="260"/>
      <c r="P605" s="260"/>
      <c r="Q605" s="260"/>
      <c r="R605" s="260"/>
      <c r="S605" s="260"/>
      <c r="T605" s="279"/>
      <c r="U605" s="260"/>
      <c r="V605" s="260"/>
      <c r="W605" s="260"/>
      <c r="X605" s="260"/>
      <c r="Y605" s="260"/>
      <c r="Z605" s="260"/>
      <c r="AA605" s="264"/>
      <c r="AB605" s="260"/>
      <c r="AC605" s="260"/>
      <c r="AD605" s="260"/>
      <c r="AE605" s="260"/>
      <c r="AF605" s="260"/>
      <c r="AG605" s="260"/>
      <c r="AH605" s="260"/>
    </row>
    <row r="606">
      <c r="A606" s="259"/>
      <c r="B606" s="260"/>
      <c r="C606" s="260"/>
      <c r="D606" s="260"/>
      <c r="E606" s="260"/>
      <c r="F606" s="260"/>
      <c r="G606" s="260"/>
      <c r="H606" s="260"/>
      <c r="I606" s="260"/>
      <c r="J606" s="261"/>
      <c r="K606" s="260"/>
      <c r="L606" s="260"/>
      <c r="M606" s="260"/>
      <c r="N606" s="260"/>
      <c r="O606" s="260"/>
      <c r="P606" s="260"/>
      <c r="Q606" s="260"/>
      <c r="R606" s="260"/>
      <c r="S606" s="260"/>
      <c r="T606" s="279"/>
      <c r="U606" s="260"/>
      <c r="V606" s="260"/>
      <c r="W606" s="260"/>
      <c r="X606" s="260"/>
      <c r="Y606" s="260"/>
      <c r="Z606" s="260"/>
      <c r="AA606" s="264"/>
      <c r="AB606" s="260"/>
      <c r="AC606" s="260"/>
      <c r="AD606" s="260"/>
      <c r="AE606" s="260"/>
      <c r="AF606" s="260"/>
      <c r="AG606" s="260"/>
      <c r="AH606" s="260"/>
    </row>
    <row r="607">
      <c r="A607" s="259"/>
      <c r="B607" s="260"/>
      <c r="C607" s="260"/>
      <c r="D607" s="260"/>
      <c r="E607" s="260"/>
      <c r="F607" s="260"/>
      <c r="G607" s="260"/>
      <c r="H607" s="260"/>
      <c r="I607" s="260"/>
      <c r="J607" s="261"/>
      <c r="K607" s="260"/>
      <c r="L607" s="260"/>
      <c r="M607" s="260"/>
      <c r="N607" s="260"/>
      <c r="O607" s="260"/>
      <c r="P607" s="260"/>
      <c r="Q607" s="260"/>
      <c r="R607" s="260"/>
      <c r="S607" s="260"/>
      <c r="T607" s="279"/>
      <c r="U607" s="260"/>
      <c r="V607" s="260"/>
      <c r="W607" s="260"/>
      <c r="X607" s="260"/>
      <c r="Y607" s="260"/>
      <c r="Z607" s="260"/>
      <c r="AA607" s="264"/>
      <c r="AB607" s="260"/>
      <c r="AC607" s="260"/>
      <c r="AD607" s="260"/>
      <c r="AE607" s="260"/>
      <c r="AF607" s="260"/>
      <c r="AG607" s="260"/>
      <c r="AH607" s="260"/>
    </row>
    <row r="608">
      <c r="A608" s="259"/>
      <c r="B608" s="260"/>
      <c r="C608" s="260"/>
      <c r="D608" s="260"/>
      <c r="E608" s="260"/>
      <c r="F608" s="260"/>
      <c r="G608" s="260"/>
      <c r="H608" s="260"/>
      <c r="I608" s="260"/>
      <c r="J608" s="261"/>
      <c r="K608" s="260"/>
      <c r="L608" s="260"/>
      <c r="M608" s="260"/>
      <c r="N608" s="260"/>
      <c r="O608" s="260"/>
      <c r="P608" s="260"/>
      <c r="Q608" s="260"/>
      <c r="R608" s="260"/>
      <c r="S608" s="260"/>
      <c r="T608" s="279"/>
      <c r="U608" s="260"/>
      <c r="V608" s="260"/>
      <c r="W608" s="260"/>
      <c r="X608" s="260"/>
      <c r="Y608" s="260"/>
      <c r="Z608" s="260"/>
      <c r="AA608" s="264"/>
      <c r="AB608" s="260"/>
      <c r="AC608" s="260"/>
      <c r="AD608" s="260"/>
      <c r="AE608" s="260"/>
      <c r="AF608" s="260"/>
      <c r="AG608" s="260"/>
      <c r="AH608" s="260"/>
    </row>
    <row r="609">
      <c r="A609" s="259"/>
      <c r="B609" s="260"/>
      <c r="C609" s="260"/>
      <c r="D609" s="260"/>
      <c r="E609" s="260"/>
      <c r="F609" s="260"/>
      <c r="G609" s="260"/>
      <c r="H609" s="260"/>
      <c r="I609" s="260"/>
      <c r="J609" s="261"/>
      <c r="K609" s="260"/>
      <c r="L609" s="260"/>
      <c r="M609" s="260"/>
      <c r="N609" s="260"/>
      <c r="O609" s="260"/>
      <c r="P609" s="260"/>
      <c r="Q609" s="260"/>
      <c r="R609" s="260"/>
      <c r="S609" s="260"/>
      <c r="T609" s="279"/>
      <c r="U609" s="260"/>
      <c r="V609" s="260"/>
      <c r="W609" s="260"/>
      <c r="X609" s="260"/>
      <c r="Y609" s="260"/>
      <c r="Z609" s="260"/>
      <c r="AA609" s="264"/>
      <c r="AB609" s="260"/>
      <c r="AC609" s="260"/>
      <c r="AD609" s="260"/>
      <c r="AE609" s="260"/>
      <c r="AF609" s="260"/>
      <c r="AG609" s="260"/>
      <c r="AH609" s="260"/>
    </row>
    <row r="610">
      <c r="A610" s="259"/>
      <c r="B610" s="260"/>
      <c r="C610" s="260"/>
      <c r="D610" s="260"/>
      <c r="E610" s="260"/>
      <c r="F610" s="260"/>
      <c r="G610" s="260"/>
      <c r="H610" s="260"/>
      <c r="I610" s="260"/>
      <c r="J610" s="261"/>
      <c r="K610" s="260"/>
      <c r="L610" s="260"/>
      <c r="M610" s="260"/>
      <c r="N610" s="260"/>
      <c r="O610" s="260"/>
      <c r="P610" s="260"/>
      <c r="Q610" s="260"/>
      <c r="R610" s="260"/>
      <c r="S610" s="260"/>
      <c r="T610" s="279"/>
      <c r="U610" s="260"/>
      <c r="V610" s="260"/>
      <c r="W610" s="260"/>
      <c r="X610" s="260"/>
      <c r="Y610" s="260"/>
      <c r="Z610" s="260"/>
      <c r="AA610" s="264"/>
      <c r="AB610" s="260"/>
      <c r="AC610" s="260"/>
      <c r="AD610" s="260"/>
      <c r="AE610" s="260"/>
      <c r="AF610" s="260"/>
      <c r="AG610" s="260"/>
      <c r="AH610" s="260"/>
    </row>
    <row r="611">
      <c r="A611" s="259"/>
      <c r="B611" s="260"/>
      <c r="C611" s="260"/>
      <c r="D611" s="260"/>
      <c r="E611" s="260"/>
      <c r="F611" s="260"/>
      <c r="G611" s="260"/>
      <c r="H611" s="260"/>
      <c r="I611" s="260"/>
      <c r="J611" s="261"/>
      <c r="K611" s="260"/>
      <c r="L611" s="260"/>
      <c r="M611" s="260"/>
      <c r="N611" s="260"/>
      <c r="O611" s="260"/>
      <c r="P611" s="260"/>
      <c r="Q611" s="260"/>
      <c r="R611" s="260"/>
      <c r="S611" s="260"/>
      <c r="T611" s="279"/>
      <c r="U611" s="260"/>
      <c r="V611" s="260"/>
      <c r="W611" s="260"/>
      <c r="X611" s="260"/>
      <c r="Y611" s="260"/>
      <c r="Z611" s="260"/>
      <c r="AA611" s="264"/>
      <c r="AB611" s="260"/>
      <c r="AC611" s="260"/>
      <c r="AD611" s="260"/>
      <c r="AE611" s="260"/>
      <c r="AF611" s="260"/>
      <c r="AG611" s="260"/>
      <c r="AH611" s="260"/>
    </row>
    <row r="612">
      <c r="A612" s="259"/>
      <c r="B612" s="260"/>
      <c r="C612" s="260"/>
      <c r="D612" s="260"/>
      <c r="E612" s="260"/>
      <c r="F612" s="260"/>
      <c r="G612" s="260"/>
      <c r="H612" s="260"/>
      <c r="I612" s="260"/>
      <c r="J612" s="261"/>
      <c r="K612" s="260"/>
      <c r="L612" s="260"/>
      <c r="M612" s="260"/>
      <c r="N612" s="260"/>
      <c r="O612" s="260"/>
      <c r="P612" s="260"/>
      <c r="Q612" s="260"/>
      <c r="R612" s="260"/>
      <c r="S612" s="260"/>
      <c r="T612" s="279"/>
      <c r="U612" s="260"/>
      <c r="V612" s="260"/>
      <c r="W612" s="260"/>
      <c r="X612" s="260"/>
      <c r="Y612" s="260"/>
      <c r="Z612" s="260"/>
      <c r="AA612" s="264"/>
      <c r="AB612" s="260"/>
      <c r="AC612" s="260"/>
      <c r="AD612" s="260"/>
      <c r="AE612" s="260"/>
      <c r="AF612" s="260"/>
      <c r="AG612" s="260"/>
      <c r="AH612" s="260"/>
    </row>
    <row r="613">
      <c r="A613" s="259"/>
      <c r="B613" s="260"/>
      <c r="C613" s="260"/>
      <c r="D613" s="260"/>
      <c r="E613" s="260"/>
      <c r="F613" s="260"/>
      <c r="G613" s="260"/>
      <c r="H613" s="260"/>
      <c r="I613" s="260"/>
      <c r="J613" s="261"/>
      <c r="K613" s="260"/>
      <c r="L613" s="260"/>
      <c r="M613" s="260"/>
      <c r="N613" s="260"/>
      <c r="O613" s="260"/>
      <c r="P613" s="260"/>
      <c r="Q613" s="260"/>
      <c r="R613" s="260"/>
      <c r="S613" s="260"/>
      <c r="T613" s="279"/>
      <c r="U613" s="260"/>
      <c r="V613" s="260"/>
      <c r="W613" s="260"/>
      <c r="X613" s="260"/>
      <c r="Y613" s="260"/>
      <c r="Z613" s="260"/>
      <c r="AA613" s="264"/>
      <c r="AB613" s="260"/>
      <c r="AC613" s="260"/>
      <c r="AD613" s="260"/>
      <c r="AE613" s="260"/>
      <c r="AF613" s="260"/>
      <c r="AG613" s="260"/>
      <c r="AH613" s="260"/>
    </row>
    <row r="614">
      <c r="A614" s="259"/>
      <c r="B614" s="260"/>
      <c r="C614" s="260"/>
      <c r="D614" s="260"/>
      <c r="E614" s="260"/>
      <c r="F614" s="260"/>
      <c r="G614" s="260"/>
      <c r="H614" s="260"/>
      <c r="I614" s="260"/>
      <c r="J614" s="261"/>
      <c r="K614" s="260"/>
      <c r="L614" s="260"/>
      <c r="M614" s="260"/>
      <c r="N614" s="260"/>
      <c r="O614" s="260"/>
      <c r="P614" s="260"/>
      <c r="Q614" s="260"/>
      <c r="R614" s="260"/>
      <c r="S614" s="260"/>
      <c r="T614" s="279"/>
      <c r="U614" s="260"/>
      <c r="V614" s="260"/>
      <c r="W614" s="260"/>
      <c r="X614" s="260"/>
      <c r="Y614" s="260"/>
      <c r="Z614" s="260"/>
      <c r="AA614" s="264"/>
      <c r="AB614" s="260"/>
      <c r="AC614" s="260"/>
      <c r="AD614" s="260"/>
      <c r="AE614" s="260"/>
      <c r="AF614" s="260"/>
      <c r="AG614" s="260"/>
      <c r="AH614" s="260"/>
    </row>
    <row r="615">
      <c r="A615" s="259"/>
      <c r="B615" s="260"/>
      <c r="C615" s="260"/>
      <c r="D615" s="260"/>
      <c r="E615" s="260"/>
      <c r="F615" s="260"/>
      <c r="G615" s="260"/>
      <c r="H615" s="260"/>
      <c r="I615" s="260"/>
      <c r="J615" s="261"/>
      <c r="K615" s="260"/>
      <c r="L615" s="260"/>
      <c r="M615" s="260"/>
      <c r="N615" s="260"/>
      <c r="O615" s="260"/>
      <c r="P615" s="260"/>
      <c r="Q615" s="260"/>
      <c r="R615" s="260"/>
      <c r="S615" s="260"/>
      <c r="T615" s="279"/>
      <c r="U615" s="260"/>
      <c r="V615" s="260"/>
      <c r="W615" s="260"/>
      <c r="X615" s="260"/>
      <c r="Y615" s="260"/>
      <c r="Z615" s="260"/>
      <c r="AA615" s="264"/>
      <c r="AB615" s="260"/>
      <c r="AC615" s="260"/>
      <c r="AD615" s="260"/>
      <c r="AE615" s="260"/>
      <c r="AF615" s="260"/>
      <c r="AG615" s="260"/>
      <c r="AH615" s="260"/>
    </row>
    <row r="616">
      <c r="A616" s="259"/>
      <c r="B616" s="260"/>
      <c r="C616" s="260"/>
      <c r="D616" s="260"/>
      <c r="E616" s="260"/>
      <c r="F616" s="260"/>
      <c r="G616" s="260"/>
      <c r="H616" s="260"/>
      <c r="I616" s="260"/>
      <c r="J616" s="261"/>
      <c r="K616" s="260"/>
      <c r="L616" s="260"/>
      <c r="M616" s="260"/>
      <c r="N616" s="260"/>
      <c r="O616" s="260"/>
      <c r="P616" s="260"/>
      <c r="Q616" s="260"/>
      <c r="R616" s="260"/>
      <c r="S616" s="260"/>
      <c r="T616" s="279"/>
      <c r="U616" s="260"/>
      <c r="V616" s="260"/>
      <c r="W616" s="260"/>
      <c r="X616" s="260"/>
      <c r="Y616" s="260"/>
      <c r="Z616" s="260"/>
      <c r="AA616" s="264"/>
      <c r="AB616" s="260"/>
      <c r="AC616" s="260"/>
      <c r="AD616" s="260"/>
      <c r="AE616" s="260"/>
      <c r="AF616" s="260"/>
      <c r="AG616" s="260"/>
      <c r="AH616" s="260"/>
    </row>
    <row r="617">
      <c r="A617" s="259"/>
      <c r="B617" s="260"/>
      <c r="C617" s="260"/>
      <c r="D617" s="260"/>
      <c r="E617" s="260"/>
      <c r="F617" s="260"/>
      <c r="G617" s="260"/>
      <c r="H617" s="260"/>
      <c r="I617" s="260"/>
      <c r="J617" s="261"/>
      <c r="K617" s="260"/>
      <c r="L617" s="260"/>
      <c r="M617" s="260"/>
      <c r="N617" s="260"/>
      <c r="O617" s="260"/>
      <c r="P617" s="260"/>
      <c r="Q617" s="260"/>
      <c r="R617" s="260"/>
      <c r="S617" s="260"/>
      <c r="T617" s="279"/>
      <c r="U617" s="260"/>
      <c r="V617" s="260"/>
      <c r="W617" s="260"/>
      <c r="X617" s="260"/>
      <c r="Y617" s="260"/>
      <c r="Z617" s="260"/>
      <c r="AA617" s="264"/>
      <c r="AB617" s="260"/>
      <c r="AC617" s="260"/>
      <c r="AD617" s="260"/>
      <c r="AE617" s="260"/>
      <c r="AF617" s="260"/>
      <c r="AG617" s="260"/>
      <c r="AH617" s="260"/>
    </row>
    <row r="618">
      <c r="A618" s="259"/>
      <c r="B618" s="260"/>
      <c r="C618" s="260"/>
      <c r="D618" s="260"/>
      <c r="E618" s="260"/>
      <c r="F618" s="260"/>
      <c r="G618" s="260"/>
      <c r="H618" s="260"/>
      <c r="I618" s="260"/>
      <c r="J618" s="261"/>
      <c r="K618" s="260"/>
      <c r="L618" s="260"/>
      <c r="M618" s="260"/>
      <c r="N618" s="260"/>
      <c r="O618" s="260"/>
      <c r="P618" s="260"/>
      <c r="Q618" s="260"/>
      <c r="R618" s="260"/>
      <c r="S618" s="260"/>
      <c r="T618" s="279"/>
      <c r="U618" s="260"/>
      <c r="V618" s="260"/>
      <c r="W618" s="260"/>
      <c r="X618" s="260"/>
      <c r="Y618" s="260"/>
      <c r="Z618" s="260"/>
      <c r="AA618" s="264"/>
      <c r="AB618" s="260"/>
      <c r="AC618" s="260"/>
      <c r="AD618" s="260"/>
      <c r="AE618" s="260"/>
      <c r="AF618" s="260"/>
      <c r="AG618" s="260"/>
      <c r="AH618" s="260"/>
    </row>
    <row r="619">
      <c r="A619" s="259"/>
      <c r="B619" s="260"/>
      <c r="C619" s="260"/>
      <c r="D619" s="260"/>
      <c r="E619" s="260"/>
      <c r="F619" s="260"/>
      <c r="G619" s="260"/>
      <c r="H619" s="260"/>
      <c r="I619" s="260"/>
      <c r="J619" s="261"/>
      <c r="K619" s="260"/>
      <c r="L619" s="260"/>
      <c r="M619" s="260"/>
      <c r="N619" s="260"/>
      <c r="O619" s="260"/>
      <c r="P619" s="260"/>
      <c r="Q619" s="260"/>
      <c r="R619" s="260"/>
      <c r="S619" s="260"/>
      <c r="T619" s="279"/>
      <c r="U619" s="260"/>
      <c r="V619" s="260"/>
      <c r="W619" s="260"/>
      <c r="X619" s="260"/>
      <c r="Y619" s="260"/>
      <c r="Z619" s="260"/>
      <c r="AA619" s="264"/>
      <c r="AB619" s="260"/>
      <c r="AC619" s="260"/>
      <c r="AD619" s="260"/>
      <c r="AE619" s="260"/>
      <c r="AF619" s="260"/>
      <c r="AG619" s="260"/>
      <c r="AH619" s="260"/>
    </row>
    <row r="620">
      <c r="A620" s="259"/>
      <c r="B620" s="260"/>
      <c r="C620" s="260"/>
      <c r="D620" s="260"/>
      <c r="E620" s="260"/>
      <c r="F620" s="260"/>
      <c r="G620" s="260"/>
      <c r="H620" s="260"/>
      <c r="I620" s="260"/>
      <c r="J620" s="261"/>
      <c r="K620" s="260"/>
      <c r="L620" s="260"/>
      <c r="M620" s="260"/>
      <c r="N620" s="260"/>
      <c r="O620" s="260"/>
      <c r="P620" s="260"/>
      <c r="Q620" s="260"/>
      <c r="R620" s="260"/>
      <c r="S620" s="260"/>
      <c r="T620" s="279"/>
      <c r="U620" s="260"/>
      <c r="V620" s="260"/>
      <c r="W620" s="260"/>
      <c r="X620" s="260"/>
      <c r="Y620" s="260"/>
      <c r="Z620" s="260"/>
      <c r="AA620" s="264"/>
      <c r="AB620" s="260"/>
      <c r="AC620" s="260"/>
      <c r="AD620" s="260"/>
      <c r="AE620" s="260"/>
      <c r="AF620" s="260"/>
      <c r="AG620" s="260"/>
      <c r="AH620" s="260"/>
    </row>
    <row r="621">
      <c r="A621" s="259"/>
      <c r="B621" s="260"/>
      <c r="C621" s="260"/>
      <c r="D621" s="260"/>
      <c r="E621" s="260"/>
      <c r="F621" s="260"/>
      <c r="G621" s="260"/>
      <c r="H621" s="260"/>
      <c r="I621" s="260"/>
      <c r="J621" s="261"/>
      <c r="K621" s="260"/>
      <c r="L621" s="260"/>
      <c r="M621" s="260"/>
      <c r="N621" s="260"/>
      <c r="O621" s="260"/>
      <c r="P621" s="260"/>
      <c r="Q621" s="260"/>
      <c r="R621" s="260"/>
      <c r="S621" s="260"/>
      <c r="T621" s="279"/>
      <c r="U621" s="260"/>
      <c r="V621" s="260"/>
      <c r="W621" s="260"/>
      <c r="X621" s="260"/>
      <c r="Y621" s="260"/>
      <c r="Z621" s="260"/>
      <c r="AA621" s="264"/>
      <c r="AB621" s="260"/>
      <c r="AC621" s="260"/>
      <c r="AD621" s="260"/>
      <c r="AE621" s="260"/>
      <c r="AF621" s="260"/>
      <c r="AG621" s="260"/>
      <c r="AH621" s="260"/>
    </row>
    <row r="622">
      <c r="A622" s="259"/>
      <c r="B622" s="260"/>
      <c r="C622" s="260"/>
      <c r="D622" s="260"/>
      <c r="E622" s="260"/>
      <c r="F622" s="260"/>
      <c r="G622" s="260"/>
      <c r="H622" s="260"/>
      <c r="I622" s="260"/>
      <c r="J622" s="261"/>
      <c r="K622" s="260"/>
      <c r="L622" s="260"/>
      <c r="M622" s="260"/>
      <c r="N622" s="260"/>
      <c r="O622" s="260"/>
      <c r="P622" s="260"/>
      <c r="Q622" s="260"/>
      <c r="R622" s="260"/>
      <c r="S622" s="260"/>
      <c r="T622" s="279"/>
      <c r="U622" s="260"/>
      <c r="V622" s="260"/>
      <c r="W622" s="260"/>
      <c r="X622" s="260"/>
      <c r="Y622" s="260"/>
      <c r="Z622" s="260"/>
      <c r="AA622" s="264"/>
      <c r="AB622" s="260"/>
      <c r="AC622" s="260"/>
      <c r="AD622" s="260"/>
      <c r="AE622" s="260"/>
      <c r="AF622" s="260"/>
      <c r="AG622" s="260"/>
      <c r="AH622" s="260"/>
    </row>
    <row r="623">
      <c r="A623" s="259"/>
      <c r="B623" s="260"/>
      <c r="C623" s="260"/>
      <c r="D623" s="260"/>
      <c r="E623" s="260"/>
      <c r="F623" s="260"/>
      <c r="G623" s="260"/>
      <c r="H623" s="260"/>
      <c r="I623" s="260"/>
      <c r="J623" s="261"/>
      <c r="K623" s="260"/>
      <c r="L623" s="260"/>
      <c r="M623" s="260"/>
      <c r="N623" s="260"/>
      <c r="O623" s="260"/>
      <c r="P623" s="260"/>
      <c r="Q623" s="260"/>
      <c r="R623" s="260"/>
      <c r="S623" s="260"/>
      <c r="T623" s="279"/>
      <c r="U623" s="260"/>
      <c r="V623" s="260"/>
      <c r="W623" s="260"/>
      <c r="X623" s="260"/>
      <c r="Y623" s="260"/>
      <c r="Z623" s="260"/>
      <c r="AA623" s="264"/>
      <c r="AB623" s="260"/>
      <c r="AC623" s="260"/>
      <c r="AD623" s="260"/>
      <c r="AE623" s="260"/>
      <c r="AF623" s="260"/>
      <c r="AG623" s="260"/>
      <c r="AH623" s="260"/>
    </row>
    <row r="624">
      <c r="A624" s="259"/>
      <c r="B624" s="260"/>
      <c r="C624" s="260"/>
      <c r="D624" s="260"/>
      <c r="E624" s="260"/>
      <c r="F624" s="260"/>
      <c r="G624" s="260"/>
      <c r="H624" s="260"/>
      <c r="I624" s="260"/>
      <c r="J624" s="261"/>
      <c r="K624" s="260"/>
      <c r="L624" s="260"/>
      <c r="M624" s="260"/>
      <c r="N624" s="260"/>
      <c r="O624" s="260"/>
      <c r="P624" s="260"/>
      <c r="Q624" s="260"/>
      <c r="R624" s="260"/>
      <c r="S624" s="260"/>
      <c r="T624" s="279"/>
      <c r="U624" s="260"/>
      <c r="V624" s="260"/>
      <c r="W624" s="260"/>
      <c r="X624" s="260"/>
      <c r="Y624" s="260"/>
      <c r="Z624" s="260"/>
      <c r="AA624" s="264"/>
      <c r="AB624" s="260"/>
      <c r="AC624" s="260"/>
      <c r="AD624" s="260"/>
      <c r="AE624" s="260"/>
      <c r="AF624" s="260"/>
      <c r="AG624" s="260"/>
      <c r="AH624" s="260"/>
    </row>
    <row r="625">
      <c r="A625" s="259"/>
      <c r="B625" s="260"/>
      <c r="C625" s="260"/>
      <c r="D625" s="260"/>
      <c r="E625" s="260"/>
      <c r="F625" s="260"/>
      <c r="G625" s="260"/>
      <c r="H625" s="260"/>
      <c r="I625" s="260"/>
      <c r="J625" s="261"/>
      <c r="K625" s="260"/>
      <c r="L625" s="260"/>
      <c r="M625" s="260"/>
      <c r="N625" s="260"/>
      <c r="O625" s="260"/>
      <c r="P625" s="260"/>
      <c r="Q625" s="260"/>
      <c r="R625" s="260"/>
      <c r="S625" s="260"/>
      <c r="T625" s="279"/>
      <c r="U625" s="260"/>
      <c r="V625" s="260"/>
      <c r="W625" s="260"/>
      <c r="X625" s="260"/>
      <c r="Y625" s="260"/>
      <c r="Z625" s="260"/>
      <c r="AA625" s="264"/>
      <c r="AB625" s="260"/>
      <c r="AC625" s="260"/>
      <c r="AD625" s="260"/>
      <c r="AE625" s="260"/>
      <c r="AF625" s="260"/>
      <c r="AG625" s="260"/>
      <c r="AH625" s="260"/>
    </row>
    <row r="626">
      <c r="A626" s="259"/>
      <c r="B626" s="260"/>
      <c r="C626" s="260"/>
      <c r="D626" s="260"/>
      <c r="E626" s="260"/>
      <c r="F626" s="260"/>
      <c r="G626" s="260"/>
      <c r="H626" s="260"/>
      <c r="I626" s="260"/>
      <c r="J626" s="261"/>
      <c r="K626" s="260"/>
      <c r="L626" s="260"/>
      <c r="M626" s="260"/>
      <c r="N626" s="260"/>
      <c r="O626" s="260"/>
      <c r="P626" s="260"/>
      <c r="Q626" s="260"/>
      <c r="R626" s="260"/>
      <c r="S626" s="260"/>
      <c r="T626" s="279"/>
      <c r="U626" s="260"/>
      <c r="V626" s="260"/>
      <c r="W626" s="260"/>
      <c r="X626" s="260"/>
      <c r="Y626" s="260"/>
      <c r="Z626" s="260"/>
      <c r="AA626" s="264"/>
      <c r="AB626" s="260"/>
      <c r="AC626" s="260"/>
      <c r="AD626" s="260"/>
      <c r="AE626" s="260"/>
      <c r="AF626" s="260"/>
      <c r="AG626" s="260"/>
      <c r="AH626" s="260"/>
    </row>
    <row r="627">
      <c r="A627" s="259"/>
      <c r="B627" s="260"/>
      <c r="C627" s="260"/>
      <c r="D627" s="260"/>
      <c r="E627" s="260"/>
      <c r="F627" s="260"/>
      <c r="G627" s="260"/>
      <c r="H627" s="260"/>
      <c r="I627" s="260"/>
      <c r="J627" s="261"/>
      <c r="K627" s="260"/>
      <c r="L627" s="260"/>
      <c r="M627" s="260"/>
      <c r="N627" s="260"/>
      <c r="O627" s="260"/>
      <c r="P627" s="260"/>
      <c r="Q627" s="260"/>
      <c r="R627" s="260"/>
      <c r="S627" s="260"/>
      <c r="T627" s="279"/>
      <c r="U627" s="260"/>
      <c r="V627" s="260"/>
      <c r="W627" s="260"/>
      <c r="X627" s="260"/>
      <c r="Y627" s="260"/>
      <c r="Z627" s="260"/>
      <c r="AA627" s="264"/>
      <c r="AB627" s="260"/>
      <c r="AC627" s="260"/>
      <c r="AD627" s="260"/>
      <c r="AE627" s="260"/>
      <c r="AF627" s="260"/>
      <c r="AG627" s="260"/>
      <c r="AH627" s="260"/>
    </row>
    <row r="628">
      <c r="A628" s="259"/>
      <c r="B628" s="260"/>
      <c r="C628" s="260"/>
      <c r="D628" s="260"/>
      <c r="E628" s="260"/>
      <c r="F628" s="260"/>
      <c r="G628" s="260"/>
      <c r="H628" s="260"/>
      <c r="I628" s="260"/>
      <c r="J628" s="261"/>
      <c r="K628" s="260"/>
      <c r="L628" s="260"/>
      <c r="M628" s="260"/>
      <c r="N628" s="260"/>
      <c r="O628" s="260"/>
      <c r="P628" s="260"/>
      <c r="Q628" s="260"/>
      <c r="R628" s="260"/>
      <c r="S628" s="260"/>
      <c r="T628" s="279"/>
      <c r="U628" s="260"/>
      <c r="V628" s="260"/>
      <c r="W628" s="260"/>
      <c r="X628" s="260"/>
      <c r="Y628" s="260"/>
      <c r="Z628" s="260"/>
      <c r="AA628" s="264"/>
      <c r="AB628" s="260"/>
      <c r="AC628" s="260"/>
      <c r="AD628" s="260"/>
      <c r="AE628" s="260"/>
      <c r="AF628" s="260"/>
      <c r="AG628" s="260"/>
      <c r="AH628" s="260"/>
    </row>
    <row r="629">
      <c r="A629" s="259"/>
      <c r="B629" s="260"/>
      <c r="C629" s="260"/>
      <c r="D629" s="260"/>
      <c r="E629" s="260"/>
      <c r="F629" s="260"/>
      <c r="G629" s="260"/>
      <c r="H629" s="260"/>
      <c r="I629" s="260"/>
      <c r="J629" s="261"/>
      <c r="K629" s="260"/>
      <c r="L629" s="260"/>
      <c r="M629" s="260"/>
      <c r="N629" s="260"/>
      <c r="O629" s="260"/>
      <c r="P629" s="260"/>
      <c r="Q629" s="260"/>
      <c r="R629" s="260"/>
      <c r="S629" s="260"/>
      <c r="T629" s="279"/>
      <c r="U629" s="260"/>
      <c r="V629" s="260"/>
      <c r="W629" s="260"/>
      <c r="X629" s="260"/>
      <c r="Y629" s="260"/>
      <c r="Z629" s="260"/>
      <c r="AA629" s="264"/>
      <c r="AB629" s="260"/>
      <c r="AC629" s="260"/>
      <c r="AD629" s="260"/>
      <c r="AE629" s="260"/>
      <c r="AF629" s="260"/>
      <c r="AG629" s="260"/>
      <c r="AH629" s="260"/>
    </row>
    <row r="630">
      <c r="A630" s="259"/>
      <c r="B630" s="260"/>
      <c r="C630" s="260"/>
      <c r="D630" s="260"/>
      <c r="E630" s="260"/>
      <c r="F630" s="260"/>
      <c r="G630" s="260"/>
      <c r="H630" s="260"/>
      <c r="I630" s="260"/>
      <c r="J630" s="261"/>
      <c r="K630" s="260"/>
      <c r="L630" s="260"/>
      <c r="M630" s="260"/>
      <c r="N630" s="260"/>
      <c r="O630" s="260"/>
      <c r="P630" s="260"/>
      <c r="Q630" s="260"/>
      <c r="R630" s="260"/>
      <c r="S630" s="260"/>
      <c r="T630" s="279"/>
      <c r="U630" s="260"/>
      <c r="V630" s="260"/>
      <c r="W630" s="260"/>
      <c r="X630" s="260"/>
      <c r="Y630" s="260"/>
      <c r="Z630" s="260"/>
      <c r="AA630" s="264"/>
      <c r="AB630" s="260"/>
      <c r="AC630" s="260"/>
      <c r="AD630" s="260"/>
      <c r="AE630" s="260"/>
      <c r="AF630" s="260"/>
      <c r="AG630" s="260"/>
      <c r="AH630" s="260"/>
    </row>
    <row r="631">
      <c r="A631" s="259"/>
      <c r="B631" s="260"/>
      <c r="C631" s="260"/>
      <c r="D631" s="260"/>
      <c r="E631" s="260"/>
      <c r="F631" s="260"/>
      <c r="G631" s="260"/>
      <c r="H631" s="260"/>
      <c r="I631" s="260"/>
      <c r="J631" s="261"/>
      <c r="K631" s="260"/>
      <c r="L631" s="260"/>
      <c r="M631" s="260"/>
      <c r="N631" s="260"/>
      <c r="O631" s="260"/>
      <c r="P631" s="260"/>
      <c r="Q631" s="260"/>
      <c r="R631" s="260"/>
      <c r="S631" s="260"/>
      <c r="T631" s="279"/>
      <c r="U631" s="260"/>
      <c r="V631" s="260"/>
      <c r="W631" s="260"/>
      <c r="X631" s="260"/>
      <c r="Y631" s="260"/>
      <c r="Z631" s="260"/>
      <c r="AA631" s="264"/>
      <c r="AB631" s="260"/>
      <c r="AC631" s="260"/>
      <c r="AD631" s="260"/>
      <c r="AE631" s="260"/>
      <c r="AF631" s="260"/>
      <c r="AG631" s="260"/>
      <c r="AH631" s="260"/>
    </row>
    <row r="632">
      <c r="A632" s="259"/>
      <c r="B632" s="260"/>
      <c r="C632" s="260"/>
      <c r="D632" s="260"/>
      <c r="E632" s="260"/>
      <c r="F632" s="260"/>
      <c r="G632" s="260"/>
      <c r="H632" s="260"/>
      <c r="I632" s="260"/>
      <c r="J632" s="261"/>
      <c r="K632" s="260"/>
      <c r="L632" s="260"/>
      <c r="M632" s="260"/>
      <c r="N632" s="260"/>
      <c r="O632" s="260"/>
      <c r="P632" s="260"/>
      <c r="Q632" s="260"/>
      <c r="R632" s="260"/>
      <c r="S632" s="260"/>
      <c r="T632" s="279"/>
      <c r="U632" s="260"/>
      <c r="V632" s="260"/>
      <c r="W632" s="260"/>
      <c r="X632" s="260"/>
      <c r="Y632" s="260"/>
      <c r="Z632" s="260"/>
      <c r="AA632" s="264"/>
      <c r="AB632" s="260"/>
      <c r="AC632" s="260"/>
      <c r="AD632" s="260"/>
      <c r="AE632" s="260"/>
      <c r="AF632" s="260"/>
      <c r="AG632" s="260"/>
      <c r="AH632" s="260"/>
    </row>
    <row r="633">
      <c r="A633" s="259"/>
      <c r="B633" s="260"/>
      <c r="C633" s="260"/>
      <c r="D633" s="260"/>
      <c r="E633" s="260"/>
      <c r="F633" s="260"/>
      <c r="G633" s="260"/>
      <c r="H633" s="260"/>
      <c r="I633" s="260"/>
      <c r="J633" s="261"/>
      <c r="K633" s="260"/>
      <c r="L633" s="260"/>
      <c r="M633" s="260"/>
      <c r="N633" s="260"/>
      <c r="O633" s="260"/>
      <c r="P633" s="260"/>
      <c r="Q633" s="260"/>
      <c r="R633" s="260"/>
      <c r="S633" s="260"/>
      <c r="T633" s="279"/>
      <c r="U633" s="260"/>
      <c r="V633" s="260"/>
      <c r="W633" s="260"/>
      <c r="X633" s="260"/>
      <c r="Y633" s="260"/>
      <c r="Z633" s="260"/>
      <c r="AA633" s="264"/>
      <c r="AB633" s="260"/>
      <c r="AC633" s="260"/>
      <c r="AD633" s="260"/>
      <c r="AE633" s="260"/>
      <c r="AF633" s="260"/>
      <c r="AG633" s="260"/>
      <c r="AH633" s="260"/>
    </row>
    <row r="634">
      <c r="A634" s="259"/>
      <c r="B634" s="260"/>
      <c r="C634" s="260"/>
      <c r="D634" s="260"/>
      <c r="E634" s="260"/>
      <c r="F634" s="260"/>
      <c r="G634" s="260"/>
      <c r="H634" s="260"/>
      <c r="I634" s="260"/>
      <c r="J634" s="261"/>
      <c r="K634" s="260"/>
      <c r="L634" s="260"/>
      <c r="M634" s="260"/>
      <c r="N634" s="260"/>
      <c r="O634" s="260"/>
      <c r="P634" s="260"/>
      <c r="Q634" s="260"/>
      <c r="R634" s="260"/>
      <c r="S634" s="260"/>
      <c r="T634" s="279"/>
      <c r="U634" s="260"/>
      <c r="V634" s="260"/>
      <c r="W634" s="260"/>
      <c r="X634" s="260"/>
      <c r="Y634" s="260"/>
      <c r="Z634" s="260"/>
      <c r="AA634" s="264"/>
      <c r="AB634" s="260"/>
      <c r="AC634" s="260"/>
      <c r="AD634" s="260"/>
      <c r="AE634" s="260"/>
      <c r="AF634" s="260"/>
      <c r="AG634" s="260"/>
      <c r="AH634" s="260"/>
    </row>
    <row r="635">
      <c r="A635" s="259"/>
      <c r="B635" s="260"/>
      <c r="C635" s="260"/>
      <c r="D635" s="260"/>
      <c r="E635" s="260"/>
      <c r="F635" s="260"/>
      <c r="G635" s="260"/>
      <c r="H635" s="260"/>
      <c r="I635" s="260"/>
      <c r="J635" s="261"/>
      <c r="K635" s="260"/>
      <c r="L635" s="260"/>
      <c r="M635" s="260"/>
      <c r="N635" s="260"/>
      <c r="O635" s="260"/>
      <c r="P635" s="260"/>
      <c r="Q635" s="260"/>
      <c r="R635" s="260"/>
      <c r="S635" s="260"/>
      <c r="T635" s="279"/>
      <c r="U635" s="260"/>
      <c r="V635" s="260"/>
      <c r="W635" s="260"/>
      <c r="X635" s="260"/>
      <c r="Y635" s="260"/>
      <c r="Z635" s="260"/>
      <c r="AA635" s="264"/>
      <c r="AB635" s="260"/>
      <c r="AC635" s="260"/>
      <c r="AD635" s="260"/>
      <c r="AE635" s="260"/>
      <c r="AF635" s="260"/>
      <c r="AG635" s="260"/>
      <c r="AH635" s="260"/>
    </row>
    <row r="636">
      <c r="A636" s="259"/>
      <c r="B636" s="260"/>
      <c r="C636" s="260"/>
      <c r="D636" s="260"/>
      <c r="E636" s="260"/>
      <c r="F636" s="260"/>
      <c r="G636" s="260"/>
      <c r="H636" s="260"/>
      <c r="I636" s="260"/>
      <c r="J636" s="261"/>
      <c r="K636" s="260"/>
      <c r="L636" s="260"/>
      <c r="M636" s="260"/>
      <c r="N636" s="260"/>
      <c r="O636" s="260"/>
      <c r="P636" s="260"/>
      <c r="Q636" s="260"/>
      <c r="R636" s="260"/>
      <c r="S636" s="260"/>
      <c r="T636" s="279"/>
      <c r="U636" s="260"/>
      <c r="V636" s="260"/>
      <c r="W636" s="260"/>
      <c r="X636" s="260"/>
      <c r="Y636" s="260"/>
      <c r="Z636" s="260"/>
      <c r="AA636" s="264"/>
      <c r="AB636" s="260"/>
      <c r="AC636" s="260"/>
      <c r="AD636" s="260"/>
      <c r="AE636" s="260"/>
      <c r="AF636" s="260"/>
      <c r="AG636" s="260"/>
      <c r="AH636" s="260"/>
    </row>
    <row r="637">
      <c r="A637" s="259"/>
      <c r="B637" s="260"/>
      <c r="C637" s="260"/>
      <c r="D637" s="260"/>
      <c r="E637" s="260"/>
      <c r="F637" s="260"/>
      <c r="G637" s="260"/>
      <c r="H637" s="260"/>
      <c r="I637" s="260"/>
      <c r="J637" s="261"/>
      <c r="K637" s="260"/>
      <c r="L637" s="260"/>
      <c r="M637" s="260"/>
      <c r="N637" s="260"/>
      <c r="O637" s="260"/>
      <c r="P637" s="260"/>
      <c r="Q637" s="260"/>
      <c r="R637" s="260"/>
      <c r="S637" s="260"/>
      <c r="T637" s="279"/>
      <c r="U637" s="260"/>
      <c r="V637" s="260"/>
      <c r="W637" s="260"/>
      <c r="X637" s="260"/>
      <c r="Y637" s="260"/>
      <c r="Z637" s="260"/>
      <c r="AA637" s="264"/>
      <c r="AB637" s="260"/>
      <c r="AC637" s="260"/>
      <c r="AD637" s="260"/>
      <c r="AE637" s="260"/>
      <c r="AF637" s="260"/>
      <c r="AG637" s="260"/>
      <c r="AH637" s="260"/>
    </row>
    <row r="638">
      <c r="A638" s="259"/>
      <c r="B638" s="260"/>
      <c r="C638" s="260"/>
      <c r="D638" s="260"/>
      <c r="E638" s="260"/>
      <c r="F638" s="260"/>
      <c r="G638" s="260"/>
      <c r="H638" s="260"/>
      <c r="I638" s="260"/>
      <c r="J638" s="261"/>
      <c r="K638" s="260"/>
      <c r="L638" s="260"/>
      <c r="M638" s="260"/>
      <c r="N638" s="260"/>
      <c r="O638" s="260"/>
      <c r="P638" s="260"/>
      <c r="Q638" s="260"/>
      <c r="R638" s="260"/>
      <c r="S638" s="260"/>
      <c r="T638" s="279"/>
      <c r="U638" s="260"/>
      <c r="V638" s="260"/>
      <c r="W638" s="260"/>
      <c r="X638" s="260"/>
      <c r="Y638" s="260"/>
      <c r="Z638" s="260"/>
      <c r="AA638" s="264"/>
      <c r="AB638" s="260"/>
      <c r="AC638" s="260"/>
      <c r="AD638" s="260"/>
      <c r="AE638" s="260"/>
      <c r="AF638" s="260"/>
      <c r="AG638" s="260"/>
      <c r="AH638" s="260"/>
    </row>
    <row r="639">
      <c r="A639" s="259"/>
      <c r="B639" s="260"/>
      <c r="C639" s="260"/>
      <c r="D639" s="260"/>
      <c r="E639" s="260"/>
      <c r="F639" s="260"/>
      <c r="G639" s="260"/>
      <c r="H639" s="260"/>
      <c r="I639" s="260"/>
      <c r="J639" s="261"/>
      <c r="K639" s="260"/>
      <c r="L639" s="260"/>
      <c r="M639" s="260"/>
      <c r="N639" s="260"/>
      <c r="O639" s="260"/>
      <c r="P639" s="260"/>
      <c r="Q639" s="260"/>
      <c r="R639" s="260"/>
      <c r="S639" s="260"/>
      <c r="T639" s="279"/>
      <c r="U639" s="260"/>
      <c r="V639" s="260"/>
      <c r="W639" s="260"/>
      <c r="X639" s="260"/>
      <c r="Y639" s="260"/>
      <c r="Z639" s="260"/>
      <c r="AA639" s="264"/>
      <c r="AB639" s="260"/>
      <c r="AC639" s="260"/>
      <c r="AD639" s="260"/>
      <c r="AE639" s="260"/>
      <c r="AF639" s="260"/>
      <c r="AG639" s="260"/>
      <c r="AH639" s="260"/>
    </row>
    <row r="640">
      <c r="A640" s="259"/>
      <c r="B640" s="260"/>
      <c r="C640" s="260"/>
      <c r="D640" s="260"/>
      <c r="E640" s="260"/>
      <c r="F640" s="260"/>
      <c r="G640" s="260"/>
      <c r="H640" s="260"/>
      <c r="I640" s="260"/>
      <c r="J640" s="261"/>
      <c r="K640" s="260"/>
      <c r="L640" s="260"/>
      <c r="M640" s="260"/>
      <c r="N640" s="260"/>
      <c r="O640" s="260"/>
      <c r="P640" s="260"/>
      <c r="Q640" s="260"/>
      <c r="R640" s="260"/>
      <c r="S640" s="260"/>
      <c r="T640" s="279"/>
      <c r="U640" s="260"/>
      <c r="V640" s="260"/>
      <c r="W640" s="260"/>
      <c r="X640" s="260"/>
      <c r="Y640" s="260"/>
      <c r="Z640" s="260"/>
      <c r="AA640" s="264"/>
      <c r="AB640" s="260"/>
      <c r="AC640" s="260"/>
      <c r="AD640" s="260"/>
      <c r="AE640" s="260"/>
      <c r="AF640" s="260"/>
      <c r="AG640" s="260"/>
      <c r="AH640" s="260"/>
    </row>
    <row r="641">
      <c r="A641" s="259"/>
      <c r="B641" s="260"/>
      <c r="C641" s="260"/>
      <c r="D641" s="260"/>
      <c r="E641" s="260"/>
      <c r="F641" s="260"/>
      <c r="G641" s="260"/>
      <c r="H641" s="260"/>
      <c r="I641" s="260"/>
      <c r="J641" s="261"/>
      <c r="K641" s="260"/>
      <c r="L641" s="260"/>
      <c r="M641" s="260"/>
      <c r="N641" s="260"/>
      <c r="O641" s="260"/>
      <c r="P641" s="260"/>
      <c r="Q641" s="260"/>
      <c r="R641" s="260"/>
      <c r="S641" s="260"/>
      <c r="T641" s="279"/>
      <c r="U641" s="260"/>
      <c r="V641" s="260"/>
      <c r="W641" s="260"/>
      <c r="X641" s="260"/>
      <c r="Y641" s="260"/>
      <c r="Z641" s="260"/>
      <c r="AA641" s="264"/>
      <c r="AB641" s="260"/>
      <c r="AC641" s="260"/>
      <c r="AD641" s="260"/>
      <c r="AE641" s="260"/>
      <c r="AF641" s="260"/>
      <c r="AG641" s="260"/>
      <c r="AH641" s="260"/>
    </row>
    <row r="642">
      <c r="A642" s="259"/>
      <c r="B642" s="260"/>
      <c r="C642" s="260"/>
      <c r="D642" s="260"/>
      <c r="E642" s="260"/>
      <c r="F642" s="260"/>
      <c r="G642" s="260"/>
      <c r="H642" s="260"/>
      <c r="I642" s="260"/>
      <c r="J642" s="261"/>
      <c r="K642" s="260"/>
      <c r="L642" s="260"/>
      <c r="M642" s="260"/>
      <c r="N642" s="260"/>
      <c r="O642" s="260"/>
      <c r="P642" s="260"/>
      <c r="Q642" s="260"/>
      <c r="R642" s="260"/>
      <c r="S642" s="260"/>
      <c r="T642" s="279"/>
      <c r="U642" s="260"/>
      <c r="V642" s="260"/>
      <c r="W642" s="260"/>
      <c r="X642" s="260"/>
      <c r="Y642" s="260"/>
      <c r="Z642" s="260"/>
      <c r="AA642" s="264"/>
      <c r="AB642" s="260"/>
      <c r="AC642" s="260"/>
      <c r="AD642" s="260"/>
      <c r="AE642" s="260"/>
      <c r="AF642" s="260"/>
      <c r="AG642" s="260"/>
      <c r="AH642" s="260"/>
    </row>
    <row r="643">
      <c r="A643" s="259"/>
      <c r="B643" s="260"/>
      <c r="C643" s="260"/>
      <c r="D643" s="260"/>
      <c r="E643" s="260"/>
      <c r="F643" s="260"/>
      <c r="G643" s="260"/>
      <c r="H643" s="260"/>
      <c r="I643" s="260"/>
      <c r="J643" s="261"/>
      <c r="K643" s="260"/>
      <c r="L643" s="260"/>
      <c r="M643" s="260"/>
      <c r="N643" s="260"/>
      <c r="O643" s="260"/>
      <c r="P643" s="260"/>
      <c r="Q643" s="260"/>
      <c r="R643" s="260"/>
      <c r="S643" s="260"/>
      <c r="T643" s="279"/>
      <c r="U643" s="260"/>
      <c r="V643" s="260"/>
      <c r="W643" s="260"/>
      <c r="X643" s="260"/>
      <c r="Y643" s="260"/>
      <c r="Z643" s="260"/>
      <c r="AA643" s="264"/>
      <c r="AB643" s="260"/>
      <c r="AC643" s="260"/>
      <c r="AD643" s="260"/>
      <c r="AE643" s="260"/>
      <c r="AF643" s="260"/>
      <c r="AG643" s="260"/>
      <c r="AH643" s="260"/>
    </row>
    <row r="644">
      <c r="A644" s="259"/>
      <c r="B644" s="260"/>
      <c r="C644" s="260"/>
      <c r="D644" s="260"/>
      <c r="E644" s="260"/>
      <c r="F644" s="260"/>
      <c r="G644" s="260"/>
      <c r="H644" s="260"/>
      <c r="I644" s="260"/>
      <c r="J644" s="261"/>
      <c r="K644" s="260"/>
      <c r="L644" s="260"/>
      <c r="M644" s="260"/>
      <c r="N644" s="260"/>
      <c r="O644" s="260"/>
      <c r="P644" s="260"/>
      <c r="Q644" s="260"/>
      <c r="R644" s="260"/>
      <c r="S644" s="260"/>
      <c r="T644" s="279"/>
      <c r="U644" s="260"/>
      <c r="V644" s="260"/>
      <c r="W644" s="260"/>
      <c r="X644" s="260"/>
      <c r="Y644" s="260"/>
      <c r="Z644" s="260"/>
      <c r="AA644" s="264"/>
      <c r="AB644" s="260"/>
      <c r="AC644" s="260"/>
      <c r="AD644" s="260"/>
      <c r="AE644" s="260"/>
      <c r="AF644" s="260"/>
      <c r="AG644" s="260"/>
      <c r="AH644" s="260"/>
    </row>
    <row r="645">
      <c r="A645" s="259"/>
      <c r="B645" s="260"/>
      <c r="C645" s="260"/>
      <c r="D645" s="260"/>
      <c r="E645" s="260"/>
      <c r="F645" s="260"/>
      <c r="G645" s="260"/>
      <c r="H645" s="260"/>
      <c r="I645" s="260"/>
      <c r="J645" s="261"/>
      <c r="K645" s="260"/>
      <c r="L645" s="260"/>
      <c r="M645" s="260"/>
      <c r="N645" s="260"/>
      <c r="O645" s="260"/>
      <c r="P645" s="260"/>
      <c r="Q645" s="260"/>
      <c r="R645" s="260"/>
      <c r="S645" s="260"/>
      <c r="T645" s="279"/>
      <c r="U645" s="260"/>
      <c r="V645" s="260"/>
      <c r="W645" s="260"/>
      <c r="X645" s="260"/>
      <c r="Y645" s="260"/>
      <c r="Z645" s="260"/>
      <c r="AA645" s="264"/>
      <c r="AB645" s="260"/>
      <c r="AC645" s="260"/>
      <c r="AD645" s="260"/>
      <c r="AE645" s="260"/>
      <c r="AF645" s="260"/>
      <c r="AG645" s="260"/>
      <c r="AH645" s="260"/>
    </row>
    <row r="646">
      <c r="A646" s="259"/>
      <c r="B646" s="260"/>
      <c r="C646" s="260"/>
      <c r="D646" s="260"/>
      <c r="E646" s="260"/>
      <c r="F646" s="260"/>
      <c r="G646" s="260"/>
      <c r="H646" s="260"/>
      <c r="I646" s="260"/>
      <c r="J646" s="261"/>
      <c r="K646" s="260"/>
      <c r="L646" s="260"/>
      <c r="M646" s="260"/>
      <c r="N646" s="260"/>
      <c r="O646" s="260"/>
      <c r="P646" s="260"/>
      <c r="Q646" s="260"/>
      <c r="R646" s="260"/>
      <c r="S646" s="260"/>
      <c r="T646" s="279"/>
      <c r="U646" s="260"/>
      <c r="V646" s="260"/>
      <c r="W646" s="260"/>
      <c r="X646" s="260"/>
      <c r="Y646" s="260"/>
      <c r="Z646" s="260"/>
      <c r="AA646" s="264"/>
      <c r="AB646" s="260"/>
      <c r="AC646" s="260"/>
      <c r="AD646" s="260"/>
      <c r="AE646" s="260"/>
      <c r="AF646" s="260"/>
      <c r="AG646" s="260"/>
      <c r="AH646" s="260"/>
    </row>
    <row r="647">
      <c r="A647" s="259"/>
      <c r="B647" s="260"/>
      <c r="C647" s="260"/>
      <c r="D647" s="260"/>
      <c r="E647" s="260"/>
      <c r="F647" s="260"/>
      <c r="G647" s="260"/>
      <c r="H647" s="260"/>
      <c r="I647" s="260"/>
      <c r="J647" s="261"/>
      <c r="K647" s="260"/>
      <c r="L647" s="260"/>
      <c r="M647" s="260"/>
      <c r="N647" s="260"/>
      <c r="O647" s="260"/>
      <c r="P647" s="260"/>
      <c r="Q647" s="260"/>
      <c r="R647" s="260"/>
      <c r="S647" s="260"/>
      <c r="T647" s="279"/>
      <c r="U647" s="260"/>
      <c r="V647" s="260"/>
      <c r="W647" s="260"/>
      <c r="X647" s="260"/>
      <c r="Y647" s="260"/>
      <c r="Z647" s="260"/>
      <c r="AA647" s="264"/>
      <c r="AB647" s="260"/>
      <c r="AC647" s="260"/>
      <c r="AD647" s="260"/>
      <c r="AE647" s="260"/>
      <c r="AF647" s="260"/>
      <c r="AG647" s="260"/>
      <c r="AH647" s="260"/>
    </row>
    <row r="648">
      <c r="A648" s="259"/>
      <c r="B648" s="260"/>
      <c r="C648" s="260"/>
      <c r="D648" s="260"/>
      <c r="E648" s="260"/>
      <c r="F648" s="260"/>
      <c r="G648" s="260"/>
      <c r="H648" s="260"/>
      <c r="I648" s="260"/>
      <c r="J648" s="261"/>
      <c r="K648" s="260"/>
      <c r="L648" s="260"/>
      <c r="M648" s="260"/>
      <c r="N648" s="260"/>
      <c r="O648" s="260"/>
      <c r="P648" s="260"/>
      <c r="Q648" s="260"/>
      <c r="R648" s="260"/>
      <c r="S648" s="260"/>
      <c r="T648" s="279"/>
      <c r="U648" s="260"/>
      <c r="V648" s="260"/>
      <c r="W648" s="260"/>
      <c r="X648" s="260"/>
      <c r="Y648" s="260"/>
      <c r="Z648" s="260"/>
      <c r="AA648" s="264"/>
      <c r="AB648" s="260"/>
      <c r="AC648" s="260"/>
      <c r="AD648" s="260"/>
      <c r="AE648" s="260"/>
      <c r="AF648" s="260"/>
      <c r="AG648" s="260"/>
      <c r="AH648" s="260"/>
    </row>
    <row r="649">
      <c r="A649" s="259"/>
      <c r="B649" s="260"/>
      <c r="C649" s="260"/>
      <c r="D649" s="260"/>
      <c r="E649" s="260"/>
      <c r="F649" s="260"/>
      <c r="G649" s="260"/>
      <c r="H649" s="260"/>
      <c r="I649" s="260"/>
      <c r="J649" s="261"/>
      <c r="K649" s="260"/>
      <c r="L649" s="260"/>
      <c r="M649" s="260"/>
      <c r="N649" s="260"/>
      <c r="O649" s="260"/>
      <c r="P649" s="260"/>
      <c r="Q649" s="260"/>
      <c r="R649" s="260"/>
      <c r="S649" s="260"/>
      <c r="T649" s="279"/>
      <c r="U649" s="260"/>
      <c r="V649" s="260"/>
      <c r="W649" s="260"/>
      <c r="X649" s="260"/>
      <c r="Y649" s="260"/>
      <c r="Z649" s="260"/>
      <c r="AA649" s="264"/>
      <c r="AB649" s="260"/>
      <c r="AC649" s="260"/>
      <c r="AD649" s="260"/>
      <c r="AE649" s="260"/>
      <c r="AF649" s="260"/>
      <c r="AG649" s="260"/>
      <c r="AH649" s="260"/>
    </row>
    <row r="650">
      <c r="A650" s="259"/>
      <c r="B650" s="260"/>
      <c r="C650" s="260"/>
      <c r="D650" s="260"/>
      <c r="E650" s="260"/>
      <c r="F650" s="260"/>
      <c r="G650" s="260"/>
      <c r="H650" s="260"/>
      <c r="I650" s="260"/>
      <c r="J650" s="261"/>
      <c r="K650" s="260"/>
      <c r="L650" s="260"/>
      <c r="M650" s="260"/>
      <c r="N650" s="260"/>
      <c r="O650" s="260"/>
      <c r="P650" s="260"/>
      <c r="Q650" s="260"/>
      <c r="R650" s="260"/>
      <c r="S650" s="260"/>
      <c r="T650" s="279"/>
      <c r="U650" s="260"/>
      <c r="V650" s="260"/>
      <c r="W650" s="260"/>
      <c r="X650" s="260"/>
      <c r="Y650" s="260"/>
      <c r="Z650" s="260"/>
      <c r="AA650" s="264"/>
      <c r="AB650" s="260"/>
      <c r="AC650" s="260"/>
      <c r="AD650" s="260"/>
      <c r="AE650" s="260"/>
      <c r="AF650" s="260"/>
      <c r="AG650" s="260"/>
      <c r="AH650" s="260"/>
    </row>
    <row r="651">
      <c r="A651" s="259"/>
      <c r="B651" s="260"/>
      <c r="C651" s="260"/>
      <c r="D651" s="260"/>
      <c r="E651" s="260"/>
      <c r="F651" s="260"/>
      <c r="G651" s="260"/>
      <c r="H651" s="260"/>
      <c r="I651" s="260"/>
      <c r="J651" s="261"/>
      <c r="K651" s="260"/>
      <c r="L651" s="260"/>
      <c r="M651" s="260"/>
      <c r="N651" s="260"/>
      <c r="O651" s="260"/>
      <c r="P651" s="260"/>
      <c r="Q651" s="260"/>
      <c r="R651" s="260"/>
      <c r="S651" s="260"/>
      <c r="T651" s="279"/>
      <c r="U651" s="260"/>
      <c r="V651" s="260"/>
      <c r="W651" s="260"/>
      <c r="X651" s="260"/>
      <c r="Y651" s="260"/>
      <c r="Z651" s="260"/>
      <c r="AA651" s="264"/>
      <c r="AB651" s="260"/>
      <c r="AC651" s="260"/>
      <c r="AD651" s="260"/>
      <c r="AE651" s="260"/>
      <c r="AF651" s="260"/>
      <c r="AG651" s="260"/>
      <c r="AH651" s="260"/>
    </row>
    <row r="652">
      <c r="A652" s="259"/>
      <c r="B652" s="260"/>
      <c r="C652" s="260"/>
      <c r="D652" s="260"/>
      <c r="E652" s="260"/>
      <c r="F652" s="260"/>
      <c r="G652" s="260"/>
      <c r="H652" s="260"/>
      <c r="I652" s="260"/>
      <c r="J652" s="261"/>
      <c r="K652" s="260"/>
      <c r="L652" s="260"/>
      <c r="M652" s="260"/>
      <c r="N652" s="260"/>
      <c r="O652" s="260"/>
      <c r="P652" s="260"/>
      <c r="Q652" s="260"/>
      <c r="R652" s="260"/>
      <c r="S652" s="260"/>
      <c r="T652" s="279"/>
      <c r="U652" s="260"/>
      <c r="V652" s="260"/>
      <c r="W652" s="260"/>
      <c r="X652" s="260"/>
      <c r="Y652" s="260"/>
      <c r="Z652" s="260"/>
      <c r="AA652" s="264"/>
      <c r="AB652" s="260"/>
      <c r="AC652" s="260"/>
      <c r="AD652" s="260"/>
      <c r="AE652" s="260"/>
      <c r="AF652" s="260"/>
      <c r="AG652" s="260"/>
      <c r="AH652" s="260"/>
    </row>
    <row r="653">
      <c r="A653" s="259"/>
      <c r="B653" s="260"/>
      <c r="C653" s="260"/>
      <c r="D653" s="260"/>
      <c r="E653" s="260"/>
      <c r="F653" s="260"/>
      <c r="G653" s="260"/>
      <c r="H653" s="260"/>
      <c r="I653" s="260"/>
      <c r="J653" s="261"/>
      <c r="K653" s="260"/>
      <c r="L653" s="260"/>
      <c r="M653" s="260"/>
      <c r="N653" s="260"/>
      <c r="O653" s="260"/>
      <c r="P653" s="260"/>
      <c r="Q653" s="260"/>
      <c r="R653" s="260"/>
      <c r="S653" s="260"/>
      <c r="T653" s="279"/>
      <c r="U653" s="260"/>
      <c r="V653" s="260"/>
      <c r="W653" s="260"/>
      <c r="X653" s="260"/>
      <c r="Y653" s="260"/>
      <c r="Z653" s="260"/>
      <c r="AA653" s="264"/>
      <c r="AB653" s="260"/>
      <c r="AC653" s="260"/>
      <c r="AD653" s="260"/>
      <c r="AE653" s="260"/>
      <c r="AF653" s="260"/>
      <c r="AG653" s="260"/>
      <c r="AH653" s="260"/>
    </row>
    <row r="654">
      <c r="A654" s="259"/>
      <c r="B654" s="260"/>
      <c r="C654" s="260"/>
      <c r="D654" s="260"/>
      <c r="E654" s="260"/>
      <c r="F654" s="260"/>
      <c r="G654" s="260"/>
      <c r="H654" s="260"/>
      <c r="I654" s="260"/>
      <c r="J654" s="261"/>
      <c r="K654" s="260"/>
      <c r="L654" s="260"/>
      <c r="M654" s="260"/>
      <c r="N654" s="260"/>
      <c r="O654" s="260"/>
      <c r="P654" s="260"/>
      <c r="Q654" s="260"/>
      <c r="R654" s="260"/>
      <c r="S654" s="260"/>
      <c r="T654" s="279"/>
      <c r="U654" s="260"/>
      <c r="V654" s="260"/>
      <c r="W654" s="260"/>
      <c r="X654" s="260"/>
      <c r="Y654" s="260"/>
      <c r="Z654" s="260"/>
      <c r="AA654" s="264"/>
      <c r="AB654" s="260"/>
      <c r="AC654" s="260"/>
      <c r="AD654" s="260"/>
      <c r="AE654" s="260"/>
      <c r="AF654" s="260"/>
      <c r="AG654" s="260"/>
      <c r="AH654" s="260"/>
    </row>
    <row r="655">
      <c r="A655" s="259"/>
      <c r="B655" s="260"/>
      <c r="C655" s="260"/>
      <c r="D655" s="260"/>
      <c r="E655" s="260"/>
      <c r="F655" s="260"/>
      <c r="G655" s="260"/>
      <c r="H655" s="260"/>
      <c r="I655" s="260"/>
      <c r="J655" s="261"/>
      <c r="K655" s="260"/>
      <c r="L655" s="260"/>
      <c r="M655" s="260"/>
      <c r="N655" s="260"/>
      <c r="O655" s="260"/>
      <c r="P655" s="260"/>
      <c r="Q655" s="260"/>
      <c r="R655" s="260"/>
      <c r="S655" s="260"/>
      <c r="T655" s="279"/>
      <c r="U655" s="260"/>
      <c r="V655" s="260"/>
      <c r="W655" s="260"/>
      <c r="X655" s="260"/>
      <c r="Y655" s="260"/>
      <c r="Z655" s="260"/>
      <c r="AA655" s="264"/>
      <c r="AB655" s="260"/>
      <c r="AC655" s="260"/>
      <c r="AD655" s="260"/>
      <c r="AE655" s="260"/>
      <c r="AF655" s="260"/>
      <c r="AG655" s="260"/>
      <c r="AH655" s="260"/>
    </row>
    <row r="656">
      <c r="A656" s="259"/>
      <c r="B656" s="260"/>
      <c r="C656" s="260"/>
      <c r="D656" s="260"/>
      <c r="E656" s="260"/>
      <c r="F656" s="260"/>
      <c r="G656" s="260"/>
      <c r="H656" s="260"/>
      <c r="I656" s="260"/>
      <c r="J656" s="261"/>
      <c r="K656" s="260"/>
      <c r="L656" s="260"/>
      <c r="M656" s="260"/>
      <c r="N656" s="260"/>
      <c r="O656" s="260"/>
      <c r="P656" s="260"/>
      <c r="Q656" s="260"/>
      <c r="R656" s="260"/>
      <c r="S656" s="260"/>
      <c r="T656" s="279"/>
      <c r="U656" s="260"/>
      <c r="V656" s="260"/>
      <c r="W656" s="260"/>
      <c r="X656" s="260"/>
      <c r="Y656" s="260"/>
      <c r="Z656" s="260"/>
      <c r="AA656" s="264"/>
      <c r="AB656" s="260"/>
      <c r="AC656" s="260"/>
      <c r="AD656" s="260"/>
      <c r="AE656" s="260"/>
      <c r="AF656" s="260"/>
      <c r="AG656" s="260"/>
      <c r="AH656" s="260"/>
    </row>
    <row r="657">
      <c r="A657" s="259"/>
      <c r="B657" s="260"/>
      <c r="C657" s="260"/>
      <c r="D657" s="260"/>
      <c r="E657" s="260"/>
      <c r="F657" s="260"/>
      <c r="G657" s="260"/>
      <c r="H657" s="260"/>
      <c r="I657" s="260"/>
      <c r="J657" s="261"/>
      <c r="K657" s="260"/>
      <c r="L657" s="260"/>
      <c r="M657" s="260"/>
      <c r="N657" s="260"/>
      <c r="O657" s="260"/>
      <c r="P657" s="260"/>
      <c r="Q657" s="260"/>
      <c r="R657" s="260"/>
      <c r="S657" s="260"/>
      <c r="T657" s="279"/>
      <c r="U657" s="260"/>
      <c r="V657" s="260"/>
      <c r="W657" s="260"/>
      <c r="X657" s="260"/>
      <c r="Y657" s="260"/>
      <c r="Z657" s="260"/>
      <c r="AA657" s="264"/>
      <c r="AB657" s="260"/>
      <c r="AC657" s="260"/>
      <c r="AD657" s="260"/>
      <c r="AE657" s="260"/>
      <c r="AF657" s="260"/>
      <c r="AG657" s="260"/>
      <c r="AH657" s="260"/>
    </row>
    <row r="658">
      <c r="A658" s="259"/>
      <c r="B658" s="260"/>
      <c r="C658" s="260"/>
      <c r="D658" s="260"/>
      <c r="E658" s="260"/>
      <c r="F658" s="260"/>
      <c r="G658" s="260"/>
      <c r="H658" s="260"/>
      <c r="I658" s="260"/>
      <c r="J658" s="261"/>
      <c r="K658" s="260"/>
      <c r="L658" s="260"/>
      <c r="M658" s="260"/>
      <c r="N658" s="260"/>
      <c r="O658" s="260"/>
      <c r="P658" s="260"/>
      <c r="Q658" s="260"/>
      <c r="R658" s="260"/>
      <c r="S658" s="260"/>
      <c r="T658" s="279"/>
      <c r="U658" s="260"/>
      <c r="V658" s="260"/>
      <c r="W658" s="260"/>
      <c r="X658" s="260"/>
      <c r="Y658" s="260"/>
      <c r="Z658" s="260"/>
      <c r="AA658" s="264"/>
      <c r="AB658" s="260"/>
      <c r="AC658" s="260"/>
      <c r="AD658" s="260"/>
      <c r="AE658" s="260"/>
      <c r="AF658" s="260"/>
      <c r="AG658" s="260"/>
      <c r="AH658" s="260"/>
    </row>
    <row r="659">
      <c r="A659" s="259"/>
      <c r="B659" s="260"/>
      <c r="C659" s="260"/>
      <c r="D659" s="260"/>
      <c r="E659" s="260"/>
      <c r="F659" s="260"/>
      <c r="G659" s="260"/>
      <c r="H659" s="260"/>
      <c r="I659" s="260"/>
      <c r="J659" s="261"/>
      <c r="K659" s="260"/>
      <c r="L659" s="260"/>
      <c r="M659" s="260"/>
      <c r="N659" s="260"/>
      <c r="O659" s="260"/>
      <c r="P659" s="260"/>
      <c r="Q659" s="260"/>
      <c r="R659" s="260"/>
      <c r="S659" s="260"/>
      <c r="T659" s="279"/>
      <c r="U659" s="260"/>
      <c r="V659" s="260"/>
      <c r="W659" s="260"/>
      <c r="X659" s="260"/>
      <c r="Y659" s="260"/>
      <c r="Z659" s="260"/>
      <c r="AA659" s="264"/>
      <c r="AB659" s="260"/>
      <c r="AC659" s="260"/>
      <c r="AD659" s="260"/>
      <c r="AE659" s="260"/>
      <c r="AF659" s="260"/>
      <c r="AG659" s="260"/>
      <c r="AH659" s="260"/>
    </row>
    <row r="660">
      <c r="A660" s="259"/>
      <c r="B660" s="260"/>
      <c r="C660" s="260"/>
      <c r="D660" s="260"/>
      <c r="E660" s="260"/>
      <c r="F660" s="260"/>
      <c r="G660" s="260"/>
      <c r="H660" s="260"/>
      <c r="I660" s="260"/>
      <c r="J660" s="261"/>
      <c r="K660" s="260"/>
      <c r="L660" s="260"/>
      <c r="M660" s="260"/>
      <c r="N660" s="260"/>
      <c r="O660" s="260"/>
      <c r="P660" s="260"/>
      <c r="Q660" s="260"/>
      <c r="R660" s="260"/>
      <c r="S660" s="260"/>
      <c r="T660" s="279"/>
      <c r="U660" s="260"/>
      <c r="V660" s="260"/>
      <c r="W660" s="260"/>
      <c r="X660" s="260"/>
      <c r="Y660" s="260"/>
      <c r="Z660" s="260"/>
      <c r="AA660" s="264"/>
      <c r="AB660" s="260"/>
      <c r="AC660" s="260"/>
      <c r="AD660" s="260"/>
      <c r="AE660" s="260"/>
      <c r="AF660" s="260"/>
      <c r="AG660" s="260"/>
      <c r="AH660" s="260"/>
    </row>
    <row r="661">
      <c r="A661" s="259"/>
      <c r="B661" s="260"/>
      <c r="C661" s="260"/>
      <c r="D661" s="260"/>
      <c r="E661" s="260"/>
      <c r="F661" s="260"/>
      <c r="G661" s="260"/>
      <c r="H661" s="260"/>
      <c r="I661" s="260"/>
      <c r="J661" s="261"/>
      <c r="K661" s="260"/>
      <c r="L661" s="260"/>
      <c r="M661" s="260"/>
      <c r="N661" s="260"/>
      <c r="O661" s="260"/>
      <c r="P661" s="260"/>
      <c r="Q661" s="260"/>
      <c r="R661" s="260"/>
      <c r="S661" s="260"/>
      <c r="T661" s="279"/>
      <c r="U661" s="260"/>
      <c r="V661" s="260"/>
      <c r="W661" s="260"/>
      <c r="X661" s="260"/>
      <c r="Y661" s="260"/>
      <c r="Z661" s="260"/>
      <c r="AA661" s="264"/>
      <c r="AB661" s="260"/>
      <c r="AC661" s="260"/>
      <c r="AD661" s="260"/>
      <c r="AE661" s="260"/>
      <c r="AF661" s="260"/>
      <c r="AG661" s="260"/>
      <c r="AH661" s="260"/>
    </row>
    <row r="662">
      <c r="A662" s="259"/>
      <c r="B662" s="260"/>
      <c r="C662" s="260"/>
      <c r="D662" s="260"/>
      <c r="E662" s="260"/>
      <c r="F662" s="260"/>
      <c r="G662" s="260"/>
      <c r="H662" s="260"/>
      <c r="I662" s="260"/>
      <c r="J662" s="261"/>
      <c r="K662" s="260"/>
      <c r="L662" s="260"/>
      <c r="M662" s="260"/>
      <c r="N662" s="260"/>
      <c r="O662" s="260"/>
      <c r="P662" s="260"/>
      <c r="Q662" s="260"/>
      <c r="R662" s="260"/>
      <c r="S662" s="260"/>
      <c r="T662" s="279"/>
      <c r="U662" s="260"/>
      <c r="V662" s="260"/>
      <c r="W662" s="260"/>
      <c r="X662" s="260"/>
      <c r="Y662" s="260"/>
      <c r="Z662" s="260"/>
      <c r="AA662" s="264"/>
      <c r="AB662" s="260"/>
      <c r="AC662" s="260"/>
      <c r="AD662" s="260"/>
      <c r="AE662" s="260"/>
      <c r="AF662" s="260"/>
      <c r="AG662" s="260"/>
      <c r="AH662" s="260"/>
    </row>
    <row r="663">
      <c r="A663" s="259"/>
      <c r="B663" s="260"/>
      <c r="C663" s="260"/>
      <c r="D663" s="260"/>
      <c r="E663" s="260"/>
      <c r="F663" s="260"/>
      <c r="G663" s="260"/>
      <c r="H663" s="260"/>
      <c r="I663" s="260"/>
      <c r="J663" s="261"/>
      <c r="K663" s="260"/>
      <c r="L663" s="260"/>
      <c r="M663" s="260"/>
      <c r="N663" s="260"/>
      <c r="O663" s="260"/>
      <c r="P663" s="260"/>
      <c r="Q663" s="260"/>
      <c r="R663" s="260"/>
      <c r="S663" s="260"/>
      <c r="T663" s="279"/>
      <c r="U663" s="260"/>
      <c r="V663" s="260"/>
      <c r="W663" s="260"/>
      <c r="X663" s="260"/>
      <c r="Y663" s="260"/>
      <c r="Z663" s="260"/>
      <c r="AA663" s="264"/>
      <c r="AB663" s="260"/>
      <c r="AC663" s="260"/>
      <c r="AD663" s="260"/>
      <c r="AE663" s="260"/>
      <c r="AF663" s="260"/>
      <c r="AG663" s="260"/>
      <c r="AH663" s="260"/>
    </row>
    <row r="664">
      <c r="A664" s="259"/>
      <c r="B664" s="260"/>
      <c r="C664" s="260"/>
      <c r="D664" s="260"/>
      <c r="E664" s="260"/>
      <c r="F664" s="260"/>
      <c r="G664" s="260"/>
      <c r="H664" s="260"/>
      <c r="I664" s="260"/>
      <c r="J664" s="261"/>
      <c r="K664" s="260"/>
      <c r="L664" s="260"/>
      <c r="M664" s="260"/>
      <c r="N664" s="260"/>
      <c r="O664" s="260"/>
      <c r="P664" s="260"/>
      <c r="Q664" s="260"/>
      <c r="R664" s="260"/>
      <c r="S664" s="260"/>
      <c r="T664" s="279"/>
      <c r="U664" s="260"/>
      <c r="V664" s="260"/>
      <c r="W664" s="260"/>
      <c r="X664" s="260"/>
      <c r="Y664" s="260"/>
      <c r="Z664" s="260"/>
      <c r="AA664" s="264"/>
      <c r="AB664" s="260"/>
      <c r="AC664" s="260"/>
      <c r="AD664" s="260"/>
      <c r="AE664" s="260"/>
      <c r="AF664" s="260"/>
      <c r="AG664" s="260"/>
      <c r="AH664" s="260"/>
    </row>
    <row r="665">
      <c r="A665" s="259"/>
      <c r="B665" s="260"/>
      <c r="C665" s="260"/>
      <c r="D665" s="260"/>
      <c r="E665" s="260"/>
      <c r="F665" s="260"/>
      <c r="G665" s="260"/>
      <c r="H665" s="260"/>
      <c r="I665" s="260"/>
      <c r="J665" s="261"/>
      <c r="K665" s="260"/>
      <c r="L665" s="260"/>
      <c r="M665" s="260"/>
      <c r="N665" s="260"/>
      <c r="O665" s="260"/>
      <c r="P665" s="260"/>
      <c r="Q665" s="260"/>
      <c r="R665" s="260"/>
      <c r="S665" s="260"/>
      <c r="T665" s="279"/>
      <c r="U665" s="260"/>
      <c r="V665" s="260"/>
      <c r="W665" s="260"/>
      <c r="X665" s="260"/>
      <c r="Y665" s="260"/>
      <c r="Z665" s="260"/>
      <c r="AA665" s="264"/>
      <c r="AB665" s="260"/>
      <c r="AC665" s="260"/>
      <c r="AD665" s="260"/>
      <c r="AE665" s="260"/>
      <c r="AF665" s="260"/>
      <c r="AG665" s="260"/>
      <c r="AH665" s="260"/>
    </row>
    <row r="666">
      <c r="A666" s="259"/>
      <c r="B666" s="260"/>
      <c r="C666" s="260"/>
      <c r="D666" s="260"/>
      <c r="E666" s="260"/>
      <c r="F666" s="260"/>
      <c r="G666" s="260"/>
      <c r="H666" s="260"/>
      <c r="I666" s="260"/>
      <c r="J666" s="261"/>
      <c r="K666" s="260"/>
      <c r="L666" s="260"/>
      <c r="M666" s="260"/>
      <c r="N666" s="260"/>
      <c r="O666" s="260"/>
      <c r="P666" s="260"/>
      <c r="Q666" s="260"/>
      <c r="R666" s="260"/>
      <c r="S666" s="260"/>
      <c r="T666" s="279"/>
      <c r="U666" s="260"/>
      <c r="V666" s="260"/>
      <c r="W666" s="260"/>
      <c r="X666" s="260"/>
      <c r="Y666" s="260"/>
      <c r="Z666" s="260"/>
      <c r="AA666" s="264"/>
      <c r="AB666" s="260"/>
      <c r="AC666" s="260"/>
      <c r="AD666" s="260"/>
      <c r="AE666" s="260"/>
      <c r="AF666" s="260"/>
      <c r="AG666" s="260"/>
      <c r="AH666" s="260"/>
    </row>
    <row r="667">
      <c r="A667" s="259"/>
      <c r="B667" s="260"/>
      <c r="C667" s="260"/>
      <c r="D667" s="260"/>
      <c r="E667" s="260"/>
      <c r="F667" s="260"/>
      <c r="G667" s="260"/>
      <c r="H667" s="260"/>
      <c r="I667" s="260"/>
      <c r="J667" s="261"/>
      <c r="K667" s="260"/>
      <c r="L667" s="260"/>
      <c r="M667" s="260"/>
      <c r="N667" s="260"/>
      <c r="O667" s="260"/>
      <c r="P667" s="260"/>
      <c r="Q667" s="260"/>
      <c r="R667" s="260"/>
      <c r="S667" s="260"/>
      <c r="T667" s="279"/>
      <c r="U667" s="260"/>
      <c r="V667" s="260"/>
      <c r="W667" s="260"/>
      <c r="X667" s="260"/>
      <c r="Y667" s="260"/>
      <c r="Z667" s="260"/>
      <c r="AA667" s="264"/>
      <c r="AB667" s="260"/>
      <c r="AC667" s="260"/>
      <c r="AD667" s="260"/>
      <c r="AE667" s="260"/>
      <c r="AF667" s="260"/>
      <c r="AG667" s="260"/>
      <c r="AH667" s="260"/>
    </row>
    <row r="668">
      <c r="A668" s="259"/>
      <c r="B668" s="260"/>
      <c r="C668" s="260"/>
      <c r="D668" s="260"/>
      <c r="E668" s="260"/>
      <c r="F668" s="260"/>
      <c r="G668" s="260"/>
      <c r="H668" s="260"/>
      <c r="I668" s="260"/>
      <c r="J668" s="261"/>
      <c r="K668" s="260"/>
      <c r="L668" s="260"/>
      <c r="M668" s="260"/>
      <c r="N668" s="260"/>
      <c r="O668" s="260"/>
      <c r="P668" s="260"/>
      <c r="Q668" s="260"/>
      <c r="R668" s="260"/>
      <c r="S668" s="260"/>
      <c r="T668" s="279"/>
      <c r="U668" s="260"/>
      <c r="V668" s="260"/>
      <c r="W668" s="260"/>
      <c r="X668" s="260"/>
      <c r="Y668" s="260"/>
      <c r="Z668" s="260"/>
      <c r="AA668" s="264"/>
      <c r="AB668" s="260"/>
      <c r="AC668" s="260"/>
      <c r="AD668" s="260"/>
      <c r="AE668" s="260"/>
      <c r="AF668" s="260"/>
      <c r="AG668" s="260"/>
      <c r="AH668" s="260"/>
    </row>
    <row r="669">
      <c r="A669" s="259"/>
      <c r="B669" s="260"/>
      <c r="C669" s="260"/>
      <c r="D669" s="260"/>
      <c r="E669" s="260"/>
      <c r="F669" s="260"/>
      <c r="G669" s="260"/>
      <c r="H669" s="260"/>
      <c r="I669" s="260"/>
      <c r="J669" s="261"/>
      <c r="K669" s="260"/>
      <c r="L669" s="260"/>
      <c r="M669" s="260"/>
      <c r="N669" s="260"/>
      <c r="O669" s="260"/>
      <c r="P669" s="260"/>
      <c r="Q669" s="260"/>
      <c r="R669" s="260"/>
      <c r="S669" s="260"/>
      <c r="T669" s="279"/>
      <c r="U669" s="260"/>
      <c r="V669" s="260"/>
      <c r="W669" s="260"/>
      <c r="X669" s="260"/>
      <c r="Y669" s="260"/>
      <c r="Z669" s="260"/>
      <c r="AA669" s="264"/>
      <c r="AB669" s="260"/>
      <c r="AC669" s="260"/>
      <c r="AD669" s="260"/>
      <c r="AE669" s="260"/>
      <c r="AF669" s="260"/>
      <c r="AG669" s="260"/>
      <c r="AH669" s="260"/>
    </row>
    <row r="670">
      <c r="A670" s="259"/>
      <c r="B670" s="260"/>
      <c r="C670" s="260"/>
      <c r="D670" s="260"/>
      <c r="E670" s="260"/>
      <c r="F670" s="260"/>
      <c r="G670" s="260"/>
      <c r="H670" s="260"/>
      <c r="I670" s="260"/>
      <c r="J670" s="261"/>
      <c r="K670" s="260"/>
      <c r="L670" s="260"/>
      <c r="M670" s="260"/>
      <c r="N670" s="260"/>
      <c r="O670" s="260"/>
      <c r="P670" s="260"/>
      <c r="Q670" s="260"/>
      <c r="R670" s="260"/>
      <c r="S670" s="260"/>
      <c r="T670" s="279"/>
      <c r="U670" s="260"/>
      <c r="V670" s="260"/>
      <c r="W670" s="260"/>
      <c r="X670" s="260"/>
      <c r="Y670" s="260"/>
      <c r="Z670" s="260"/>
      <c r="AA670" s="264"/>
      <c r="AB670" s="260"/>
      <c r="AC670" s="260"/>
      <c r="AD670" s="260"/>
      <c r="AE670" s="260"/>
      <c r="AF670" s="260"/>
      <c r="AG670" s="260"/>
      <c r="AH670" s="260"/>
    </row>
    <row r="671">
      <c r="A671" s="259"/>
      <c r="B671" s="260"/>
      <c r="C671" s="260"/>
      <c r="D671" s="260"/>
      <c r="E671" s="260"/>
      <c r="F671" s="260"/>
      <c r="G671" s="260"/>
      <c r="H671" s="260"/>
      <c r="I671" s="260"/>
      <c r="J671" s="261"/>
      <c r="K671" s="260"/>
      <c r="L671" s="260"/>
      <c r="M671" s="260"/>
      <c r="N671" s="260"/>
      <c r="O671" s="260"/>
      <c r="P671" s="260"/>
      <c r="Q671" s="260"/>
      <c r="R671" s="260"/>
      <c r="S671" s="260"/>
      <c r="T671" s="279"/>
      <c r="U671" s="260"/>
      <c r="V671" s="260"/>
      <c r="W671" s="260"/>
      <c r="X671" s="260"/>
      <c r="Y671" s="260"/>
      <c r="Z671" s="260"/>
      <c r="AA671" s="264"/>
      <c r="AB671" s="260"/>
      <c r="AC671" s="260"/>
      <c r="AD671" s="260"/>
      <c r="AE671" s="260"/>
      <c r="AF671" s="260"/>
      <c r="AG671" s="260"/>
      <c r="AH671" s="260"/>
    </row>
    <row r="672">
      <c r="A672" s="259"/>
      <c r="B672" s="260"/>
      <c r="C672" s="260"/>
      <c r="D672" s="260"/>
      <c r="E672" s="260"/>
      <c r="F672" s="260"/>
      <c r="G672" s="260"/>
      <c r="H672" s="260"/>
      <c r="I672" s="260"/>
      <c r="J672" s="261"/>
      <c r="K672" s="260"/>
      <c r="L672" s="260"/>
      <c r="M672" s="260"/>
      <c r="N672" s="260"/>
      <c r="O672" s="260"/>
      <c r="P672" s="260"/>
      <c r="Q672" s="260"/>
      <c r="R672" s="260"/>
      <c r="S672" s="260"/>
      <c r="T672" s="279"/>
      <c r="U672" s="260"/>
      <c r="V672" s="260"/>
      <c r="W672" s="260"/>
      <c r="X672" s="260"/>
      <c r="Y672" s="260"/>
      <c r="Z672" s="260"/>
      <c r="AA672" s="264"/>
      <c r="AB672" s="260"/>
      <c r="AC672" s="260"/>
      <c r="AD672" s="260"/>
      <c r="AE672" s="260"/>
      <c r="AF672" s="260"/>
      <c r="AG672" s="260"/>
      <c r="AH672" s="260"/>
    </row>
    <row r="673">
      <c r="A673" s="259"/>
      <c r="B673" s="260"/>
      <c r="C673" s="260"/>
      <c r="D673" s="260"/>
      <c r="E673" s="260"/>
      <c r="F673" s="260"/>
      <c r="G673" s="260"/>
      <c r="H673" s="260"/>
      <c r="I673" s="260"/>
      <c r="J673" s="261"/>
      <c r="K673" s="260"/>
      <c r="L673" s="260"/>
      <c r="M673" s="260"/>
      <c r="N673" s="260"/>
      <c r="O673" s="260"/>
      <c r="P673" s="260"/>
      <c r="Q673" s="260"/>
      <c r="R673" s="260"/>
      <c r="S673" s="260"/>
      <c r="T673" s="279"/>
      <c r="U673" s="260"/>
      <c r="V673" s="260"/>
      <c r="W673" s="260"/>
      <c r="X673" s="260"/>
      <c r="Y673" s="260"/>
      <c r="Z673" s="260"/>
      <c r="AA673" s="264"/>
      <c r="AB673" s="260"/>
      <c r="AC673" s="260"/>
      <c r="AD673" s="260"/>
      <c r="AE673" s="260"/>
      <c r="AF673" s="260"/>
      <c r="AG673" s="260"/>
      <c r="AH673" s="260"/>
    </row>
    <row r="674">
      <c r="A674" s="259"/>
      <c r="B674" s="260"/>
      <c r="C674" s="260"/>
      <c r="D674" s="260"/>
      <c r="E674" s="260"/>
      <c r="F674" s="260"/>
      <c r="G674" s="260"/>
      <c r="H674" s="260"/>
      <c r="I674" s="260"/>
      <c r="J674" s="261"/>
      <c r="K674" s="260"/>
      <c r="L674" s="260"/>
      <c r="M674" s="260"/>
      <c r="N674" s="260"/>
      <c r="O674" s="260"/>
      <c r="P674" s="260"/>
      <c r="Q674" s="260"/>
      <c r="R674" s="260"/>
      <c r="S674" s="260"/>
      <c r="T674" s="279"/>
      <c r="U674" s="260"/>
      <c r="V674" s="260"/>
      <c r="W674" s="260"/>
      <c r="X674" s="260"/>
      <c r="Y674" s="260"/>
      <c r="Z674" s="260"/>
      <c r="AA674" s="264"/>
      <c r="AB674" s="260"/>
      <c r="AC674" s="260"/>
      <c r="AD674" s="260"/>
      <c r="AE674" s="260"/>
      <c r="AF674" s="260"/>
      <c r="AG674" s="260"/>
      <c r="AH674" s="260"/>
    </row>
    <row r="675">
      <c r="A675" s="259"/>
      <c r="B675" s="260"/>
      <c r="C675" s="260"/>
      <c r="D675" s="260"/>
      <c r="E675" s="260"/>
      <c r="F675" s="260"/>
      <c r="G675" s="260"/>
      <c r="H675" s="260"/>
      <c r="I675" s="260"/>
      <c r="J675" s="261"/>
      <c r="K675" s="260"/>
      <c r="L675" s="260"/>
      <c r="M675" s="260"/>
      <c r="N675" s="260"/>
      <c r="O675" s="260"/>
      <c r="P675" s="260"/>
      <c r="Q675" s="260"/>
      <c r="R675" s="260"/>
      <c r="S675" s="260"/>
      <c r="T675" s="279"/>
      <c r="U675" s="260"/>
      <c r="V675" s="260"/>
      <c r="W675" s="260"/>
      <c r="X675" s="260"/>
      <c r="Y675" s="260"/>
      <c r="Z675" s="260"/>
      <c r="AA675" s="264"/>
      <c r="AB675" s="260"/>
      <c r="AC675" s="260"/>
      <c r="AD675" s="260"/>
      <c r="AE675" s="260"/>
      <c r="AF675" s="260"/>
      <c r="AG675" s="260"/>
      <c r="AH675" s="260"/>
    </row>
    <row r="676">
      <c r="A676" s="259"/>
      <c r="B676" s="260"/>
      <c r="C676" s="260"/>
      <c r="D676" s="260"/>
      <c r="E676" s="260"/>
      <c r="F676" s="260"/>
      <c r="G676" s="260"/>
      <c r="H676" s="260"/>
      <c r="I676" s="260"/>
      <c r="J676" s="261"/>
      <c r="K676" s="260"/>
      <c r="L676" s="260"/>
      <c r="M676" s="260"/>
      <c r="N676" s="260"/>
      <c r="O676" s="260"/>
      <c r="P676" s="260"/>
      <c r="Q676" s="260"/>
      <c r="R676" s="260"/>
      <c r="S676" s="260"/>
      <c r="T676" s="279"/>
      <c r="U676" s="260"/>
      <c r="V676" s="260"/>
      <c r="W676" s="260"/>
      <c r="X676" s="260"/>
      <c r="Y676" s="260"/>
      <c r="Z676" s="260"/>
      <c r="AA676" s="264"/>
      <c r="AB676" s="260"/>
      <c r="AC676" s="260"/>
      <c r="AD676" s="260"/>
      <c r="AE676" s="260"/>
      <c r="AF676" s="260"/>
      <c r="AG676" s="260"/>
      <c r="AH676" s="260"/>
    </row>
    <row r="677">
      <c r="A677" s="259"/>
      <c r="B677" s="260"/>
      <c r="C677" s="260"/>
      <c r="D677" s="260"/>
      <c r="E677" s="260"/>
      <c r="F677" s="260"/>
      <c r="G677" s="260"/>
      <c r="H677" s="260"/>
      <c r="I677" s="260"/>
      <c r="J677" s="261"/>
      <c r="K677" s="260"/>
      <c r="L677" s="260"/>
      <c r="M677" s="260"/>
      <c r="N677" s="260"/>
      <c r="O677" s="260"/>
      <c r="P677" s="260"/>
      <c r="Q677" s="260"/>
      <c r="R677" s="260"/>
      <c r="S677" s="260"/>
      <c r="T677" s="279"/>
      <c r="U677" s="260"/>
      <c r="V677" s="260"/>
      <c r="W677" s="260"/>
      <c r="X677" s="260"/>
      <c r="Y677" s="260"/>
      <c r="Z677" s="260"/>
      <c r="AA677" s="264"/>
      <c r="AB677" s="260"/>
      <c r="AC677" s="260"/>
      <c r="AD677" s="260"/>
      <c r="AE677" s="260"/>
      <c r="AF677" s="260"/>
      <c r="AG677" s="260"/>
      <c r="AH677" s="260"/>
    </row>
    <row r="678">
      <c r="A678" s="259"/>
      <c r="B678" s="260"/>
      <c r="C678" s="260"/>
      <c r="D678" s="260"/>
      <c r="E678" s="260"/>
      <c r="F678" s="260"/>
      <c r="G678" s="260"/>
      <c r="H678" s="260"/>
      <c r="I678" s="260"/>
      <c r="J678" s="261"/>
      <c r="K678" s="260"/>
      <c r="L678" s="260"/>
      <c r="M678" s="260"/>
      <c r="N678" s="260"/>
      <c r="O678" s="260"/>
      <c r="P678" s="260"/>
      <c r="Q678" s="260"/>
      <c r="R678" s="260"/>
      <c r="S678" s="260"/>
      <c r="T678" s="279"/>
      <c r="U678" s="260"/>
      <c r="V678" s="260"/>
      <c r="W678" s="260"/>
      <c r="X678" s="260"/>
      <c r="Y678" s="260"/>
      <c r="Z678" s="260"/>
      <c r="AA678" s="264"/>
      <c r="AB678" s="260"/>
      <c r="AC678" s="260"/>
      <c r="AD678" s="260"/>
      <c r="AE678" s="260"/>
      <c r="AF678" s="260"/>
      <c r="AG678" s="260"/>
      <c r="AH678" s="260"/>
    </row>
    <row r="679">
      <c r="A679" s="259"/>
      <c r="B679" s="260"/>
      <c r="C679" s="260"/>
      <c r="D679" s="260"/>
      <c r="E679" s="260"/>
      <c r="F679" s="260"/>
      <c r="G679" s="260"/>
      <c r="H679" s="260"/>
      <c r="I679" s="260"/>
      <c r="J679" s="261"/>
      <c r="K679" s="260"/>
      <c r="L679" s="260"/>
      <c r="M679" s="260"/>
      <c r="N679" s="260"/>
      <c r="O679" s="260"/>
      <c r="P679" s="260"/>
      <c r="Q679" s="260"/>
      <c r="R679" s="260"/>
      <c r="S679" s="260"/>
      <c r="T679" s="279"/>
      <c r="U679" s="260"/>
      <c r="V679" s="260"/>
      <c r="W679" s="260"/>
      <c r="X679" s="260"/>
      <c r="Y679" s="260"/>
      <c r="Z679" s="260"/>
      <c r="AA679" s="264"/>
      <c r="AB679" s="260"/>
      <c r="AC679" s="260"/>
      <c r="AD679" s="260"/>
      <c r="AE679" s="260"/>
      <c r="AF679" s="260"/>
      <c r="AG679" s="260"/>
      <c r="AH679" s="260"/>
    </row>
    <row r="680">
      <c r="A680" s="259"/>
      <c r="B680" s="260"/>
      <c r="C680" s="260"/>
      <c r="D680" s="260"/>
      <c r="E680" s="260"/>
      <c r="F680" s="260"/>
      <c r="G680" s="260"/>
      <c r="H680" s="260"/>
      <c r="I680" s="260"/>
      <c r="J680" s="261"/>
      <c r="K680" s="260"/>
      <c r="L680" s="260"/>
      <c r="M680" s="260"/>
      <c r="N680" s="260"/>
      <c r="O680" s="260"/>
      <c r="P680" s="260"/>
      <c r="Q680" s="260"/>
      <c r="R680" s="260"/>
      <c r="S680" s="260"/>
      <c r="T680" s="279"/>
      <c r="U680" s="260"/>
      <c r="V680" s="260"/>
      <c r="W680" s="260"/>
      <c r="X680" s="260"/>
      <c r="Y680" s="260"/>
      <c r="Z680" s="260"/>
      <c r="AA680" s="264"/>
      <c r="AB680" s="260"/>
      <c r="AC680" s="260"/>
      <c r="AD680" s="260"/>
      <c r="AE680" s="260"/>
      <c r="AF680" s="260"/>
      <c r="AG680" s="260"/>
      <c r="AH680" s="260"/>
    </row>
    <row r="681">
      <c r="A681" s="259"/>
      <c r="B681" s="260"/>
      <c r="C681" s="260"/>
      <c r="D681" s="260"/>
      <c r="E681" s="260"/>
      <c r="F681" s="260"/>
      <c r="G681" s="260"/>
      <c r="H681" s="260"/>
      <c r="I681" s="260"/>
      <c r="J681" s="261"/>
      <c r="K681" s="260"/>
      <c r="L681" s="260"/>
      <c r="M681" s="260"/>
      <c r="N681" s="260"/>
      <c r="O681" s="260"/>
      <c r="P681" s="260"/>
      <c r="Q681" s="260"/>
      <c r="R681" s="260"/>
      <c r="S681" s="260"/>
      <c r="T681" s="279"/>
      <c r="U681" s="260"/>
      <c r="V681" s="260"/>
      <c r="W681" s="260"/>
      <c r="X681" s="260"/>
      <c r="Y681" s="260"/>
      <c r="Z681" s="260"/>
      <c r="AA681" s="264"/>
      <c r="AB681" s="260"/>
      <c r="AC681" s="260"/>
      <c r="AD681" s="260"/>
      <c r="AE681" s="260"/>
      <c r="AF681" s="260"/>
      <c r="AG681" s="260"/>
      <c r="AH681" s="260"/>
    </row>
    <row r="682">
      <c r="A682" s="259"/>
      <c r="B682" s="260"/>
      <c r="C682" s="260"/>
      <c r="D682" s="260"/>
      <c r="E682" s="260"/>
      <c r="F682" s="260"/>
      <c r="G682" s="260"/>
      <c r="H682" s="260"/>
      <c r="I682" s="260"/>
      <c r="J682" s="261"/>
      <c r="K682" s="260"/>
      <c r="L682" s="260"/>
      <c r="M682" s="260"/>
      <c r="N682" s="260"/>
      <c r="O682" s="260"/>
      <c r="P682" s="260"/>
      <c r="Q682" s="260"/>
      <c r="R682" s="260"/>
      <c r="S682" s="260"/>
      <c r="T682" s="279"/>
      <c r="U682" s="260"/>
      <c r="V682" s="260"/>
      <c r="W682" s="260"/>
      <c r="X682" s="260"/>
      <c r="Y682" s="260"/>
      <c r="Z682" s="260"/>
      <c r="AA682" s="264"/>
      <c r="AB682" s="260"/>
      <c r="AC682" s="260"/>
      <c r="AD682" s="260"/>
      <c r="AE682" s="260"/>
      <c r="AF682" s="260"/>
      <c r="AG682" s="260"/>
      <c r="AH682" s="260"/>
    </row>
    <row r="683">
      <c r="A683" s="259"/>
      <c r="B683" s="260"/>
      <c r="C683" s="260"/>
      <c r="D683" s="260"/>
      <c r="E683" s="260"/>
      <c r="F683" s="260"/>
      <c r="G683" s="260"/>
      <c r="H683" s="260"/>
      <c r="I683" s="260"/>
      <c r="J683" s="261"/>
      <c r="K683" s="260"/>
      <c r="L683" s="260"/>
      <c r="M683" s="260"/>
      <c r="N683" s="260"/>
      <c r="O683" s="260"/>
      <c r="P683" s="260"/>
      <c r="Q683" s="260"/>
      <c r="R683" s="260"/>
      <c r="S683" s="260"/>
      <c r="T683" s="279"/>
      <c r="U683" s="260"/>
      <c r="V683" s="260"/>
      <c r="W683" s="260"/>
      <c r="X683" s="260"/>
      <c r="Y683" s="260"/>
      <c r="Z683" s="260"/>
      <c r="AA683" s="264"/>
      <c r="AB683" s="260"/>
      <c r="AC683" s="260"/>
      <c r="AD683" s="260"/>
      <c r="AE683" s="260"/>
      <c r="AF683" s="260"/>
      <c r="AG683" s="260"/>
      <c r="AH683" s="260"/>
    </row>
    <row r="684">
      <c r="A684" s="259"/>
      <c r="B684" s="260"/>
      <c r="C684" s="260"/>
      <c r="D684" s="260"/>
      <c r="E684" s="260"/>
      <c r="F684" s="260"/>
      <c r="G684" s="260"/>
      <c r="H684" s="260"/>
      <c r="I684" s="260"/>
      <c r="J684" s="261"/>
      <c r="K684" s="260"/>
      <c r="L684" s="260"/>
      <c r="M684" s="260"/>
      <c r="N684" s="260"/>
      <c r="O684" s="260"/>
      <c r="P684" s="260"/>
      <c r="Q684" s="260"/>
      <c r="R684" s="260"/>
      <c r="S684" s="260"/>
      <c r="T684" s="279"/>
      <c r="U684" s="260"/>
      <c r="V684" s="260"/>
      <c r="W684" s="260"/>
      <c r="X684" s="260"/>
      <c r="Y684" s="260"/>
      <c r="Z684" s="260"/>
      <c r="AA684" s="264"/>
      <c r="AB684" s="260"/>
      <c r="AC684" s="260"/>
      <c r="AD684" s="260"/>
      <c r="AE684" s="260"/>
      <c r="AF684" s="260"/>
      <c r="AG684" s="260"/>
      <c r="AH684" s="260"/>
    </row>
    <row r="685">
      <c r="A685" s="259"/>
      <c r="B685" s="260"/>
      <c r="C685" s="260"/>
      <c r="D685" s="260"/>
      <c r="E685" s="260"/>
      <c r="F685" s="260"/>
      <c r="G685" s="260"/>
      <c r="H685" s="260"/>
      <c r="I685" s="260"/>
      <c r="J685" s="261"/>
      <c r="K685" s="260"/>
      <c r="L685" s="260"/>
      <c r="M685" s="260"/>
      <c r="N685" s="260"/>
      <c r="O685" s="260"/>
      <c r="P685" s="260"/>
      <c r="Q685" s="260"/>
      <c r="R685" s="260"/>
      <c r="S685" s="260"/>
      <c r="T685" s="279"/>
      <c r="U685" s="260"/>
      <c r="V685" s="260"/>
      <c r="W685" s="260"/>
      <c r="X685" s="260"/>
      <c r="Y685" s="260"/>
      <c r="Z685" s="260"/>
      <c r="AA685" s="264"/>
      <c r="AB685" s="260"/>
      <c r="AC685" s="260"/>
      <c r="AD685" s="260"/>
      <c r="AE685" s="260"/>
      <c r="AF685" s="260"/>
      <c r="AG685" s="260"/>
      <c r="AH685" s="260"/>
    </row>
    <row r="686">
      <c r="A686" s="259"/>
      <c r="B686" s="260"/>
      <c r="C686" s="260"/>
      <c r="D686" s="260"/>
      <c r="E686" s="260"/>
      <c r="F686" s="260"/>
      <c r="G686" s="260"/>
      <c r="H686" s="260"/>
      <c r="I686" s="260"/>
      <c r="J686" s="261"/>
      <c r="K686" s="260"/>
      <c r="L686" s="260"/>
      <c r="M686" s="260"/>
      <c r="N686" s="260"/>
      <c r="O686" s="260"/>
      <c r="P686" s="260"/>
      <c r="Q686" s="260"/>
      <c r="R686" s="260"/>
      <c r="S686" s="260"/>
      <c r="T686" s="279"/>
      <c r="U686" s="260"/>
      <c r="V686" s="260"/>
      <c r="W686" s="260"/>
      <c r="X686" s="260"/>
      <c r="Y686" s="260"/>
      <c r="Z686" s="260"/>
      <c r="AA686" s="264"/>
      <c r="AB686" s="260"/>
      <c r="AC686" s="260"/>
      <c r="AD686" s="260"/>
      <c r="AE686" s="260"/>
      <c r="AF686" s="260"/>
      <c r="AG686" s="260"/>
      <c r="AH686" s="260"/>
    </row>
    <row r="687">
      <c r="A687" s="259"/>
      <c r="B687" s="260"/>
      <c r="C687" s="260"/>
      <c r="D687" s="260"/>
      <c r="E687" s="260"/>
      <c r="F687" s="260"/>
      <c r="G687" s="260"/>
      <c r="H687" s="260"/>
      <c r="I687" s="260"/>
      <c r="J687" s="261"/>
      <c r="K687" s="260"/>
      <c r="L687" s="260"/>
      <c r="M687" s="260"/>
      <c r="N687" s="260"/>
      <c r="O687" s="260"/>
      <c r="P687" s="260"/>
      <c r="Q687" s="260"/>
      <c r="R687" s="260"/>
      <c r="S687" s="260"/>
      <c r="T687" s="279"/>
      <c r="U687" s="260"/>
      <c r="V687" s="260"/>
      <c r="W687" s="260"/>
      <c r="X687" s="260"/>
      <c r="Y687" s="260"/>
      <c r="Z687" s="260"/>
      <c r="AA687" s="264"/>
      <c r="AB687" s="260"/>
      <c r="AC687" s="260"/>
      <c r="AD687" s="260"/>
      <c r="AE687" s="260"/>
      <c r="AF687" s="260"/>
      <c r="AG687" s="260"/>
      <c r="AH687" s="260"/>
    </row>
    <row r="688">
      <c r="A688" s="259"/>
      <c r="B688" s="260"/>
      <c r="C688" s="260"/>
      <c r="D688" s="260"/>
      <c r="E688" s="260"/>
      <c r="F688" s="260"/>
      <c r="G688" s="260"/>
      <c r="H688" s="260"/>
      <c r="I688" s="260"/>
      <c r="J688" s="261"/>
      <c r="K688" s="260"/>
      <c r="L688" s="260"/>
      <c r="M688" s="260"/>
      <c r="N688" s="260"/>
      <c r="O688" s="260"/>
      <c r="P688" s="260"/>
      <c r="Q688" s="260"/>
      <c r="R688" s="260"/>
      <c r="S688" s="260"/>
      <c r="T688" s="279"/>
      <c r="U688" s="260"/>
      <c r="V688" s="260"/>
      <c r="W688" s="260"/>
      <c r="X688" s="260"/>
      <c r="Y688" s="260"/>
      <c r="Z688" s="260"/>
      <c r="AA688" s="264"/>
      <c r="AB688" s="260"/>
      <c r="AC688" s="260"/>
      <c r="AD688" s="260"/>
      <c r="AE688" s="260"/>
      <c r="AF688" s="260"/>
      <c r="AG688" s="260"/>
      <c r="AH688" s="260"/>
    </row>
    <row r="689">
      <c r="A689" s="259"/>
      <c r="B689" s="260"/>
      <c r="C689" s="260"/>
      <c r="D689" s="260"/>
      <c r="E689" s="260"/>
      <c r="F689" s="260"/>
      <c r="G689" s="260"/>
      <c r="H689" s="260"/>
      <c r="I689" s="260"/>
      <c r="J689" s="261"/>
      <c r="K689" s="260"/>
      <c r="L689" s="260"/>
      <c r="M689" s="260"/>
      <c r="N689" s="260"/>
      <c r="O689" s="260"/>
      <c r="P689" s="260"/>
      <c r="Q689" s="260"/>
      <c r="R689" s="260"/>
      <c r="S689" s="260"/>
      <c r="T689" s="279"/>
      <c r="U689" s="260"/>
      <c r="V689" s="260"/>
      <c r="W689" s="260"/>
      <c r="X689" s="260"/>
      <c r="Y689" s="260"/>
      <c r="Z689" s="260"/>
      <c r="AA689" s="264"/>
      <c r="AB689" s="260"/>
      <c r="AC689" s="260"/>
      <c r="AD689" s="260"/>
      <c r="AE689" s="260"/>
      <c r="AF689" s="260"/>
      <c r="AG689" s="260"/>
      <c r="AH689" s="260"/>
    </row>
    <row r="690">
      <c r="A690" s="259"/>
      <c r="B690" s="260"/>
      <c r="C690" s="260"/>
      <c r="D690" s="260"/>
      <c r="E690" s="260"/>
      <c r="F690" s="260"/>
      <c r="G690" s="260"/>
      <c r="H690" s="260"/>
      <c r="I690" s="260"/>
      <c r="J690" s="261"/>
      <c r="K690" s="260"/>
      <c r="L690" s="260"/>
      <c r="M690" s="260"/>
      <c r="N690" s="260"/>
      <c r="O690" s="260"/>
      <c r="P690" s="260"/>
      <c r="Q690" s="260"/>
      <c r="R690" s="260"/>
      <c r="S690" s="260"/>
      <c r="T690" s="279"/>
      <c r="U690" s="260"/>
      <c r="V690" s="260"/>
      <c r="W690" s="260"/>
      <c r="X690" s="260"/>
      <c r="Y690" s="260"/>
      <c r="Z690" s="260"/>
      <c r="AA690" s="264"/>
      <c r="AB690" s="260"/>
      <c r="AC690" s="260"/>
      <c r="AD690" s="260"/>
      <c r="AE690" s="260"/>
      <c r="AF690" s="260"/>
      <c r="AG690" s="260"/>
      <c r="AH690" s="260"/>
    </row>
    <row r="691">
      <c r="A691" s="259"/>
      <c r="B691" s="260"/>
      <c r="C691" s="260"/>
      <c r="D691" s="260"/>
      <c r="E691" s="260"/>
      <c r="F691" s="260"/>
      <c r="G691" s="260"/>
      <c r="H691" s="260"/>
      <c r="I691" s="260"/>
      <c r="J691" s="261"/>
      <c r="K691" s="260"/>
      <c r="L691" s="260"/>
      <c r="M691" s="260"/>
      <c r="N691" s="260"/>
      <c r="O691" s="260"/>
      <c r="P691" s="260"/>
      <c r="Q691" s="260"/>
      <c r="R691" s="260"/>
      <c r="S691" s="260"/>
      <c r="T691" s="279"/>
      <c r="U691" s="260"/>
      <c r="V691" s="260"/>
      <c r="W691" s="260"/>
      <c r="X691" s="260"/>
      <c r="Y691" s="260"/>
      <c r="Z691" s="260"/>
      <c r="AA691" s="264"/>
      <c r="AB691" s="260"/>
      <c r="AC691" s="260"/>
      <c r="AD691" s="260"/>
      <c r="AE691" s="260"/>
      <c r="AF691" s="260"/>
      <c r="AG691" s="260"/>
      <c r="AH691" s="260"/>
    </row>
    <row r="692">
      <c r="A692" s="259"/>
      <c r="B692" s="260"/>
      <c r="C692" s="260"/>
      <c r="D692" s="260"/>
      <c r="E692" s="260"/>
      <c r="F692" s="260"/>
      <c r="G692" s="260"/>
      <c r="H692" s="260"/>
      <c r="I692" s="260"/>
      <c r="J692" s="261"/>
      <c r="K692" s="260"/>
      <c r="L692" s="260"/>
      <c r="M692" s="260"/>
      <c r="N692" s="260"/>
      <c r="O692" s="260"/>
      <c r="P692" s="260"/>
      <c r="Q692" s="260"/>
      <c r="R692" s="260"/>
      <c r="S692" s="260"/>
      <c r="T692" s="279"/>
      <c r="U692" s="260"/>
      <c r="V692" s="260"/>
      <c r="W692" s="260"/>
      <c r="X692" s="260"/>
      <c r="Y692" s="260"/>
      <c r="Z692" s="260"/>
      <c r="AA692" s="264"/>
      <c r="AB692" s="260"/>
      <c r="AC692" s="260"/>
      <c r="AD692" s="260"/>
      <c r="AE692" s="260"/>
      <c r="AF692" s="260"/>
      <c r="AG692" s="260"/>
      <c r="AH692" s="260"/>
    </row>
    <row r="693">
      <c r="A693" s="259"/>
      <c r="B693" s="260"/>
      <c r="C693" s="260"/>
      <c r="D693" s="260"/>
      <c r="E693" s="260"/>
      <c r="F693" s="260"/>
      <c r="G693" s="260"/>
      <c r="H693" s="260"/>
      <c r="I693" s="260"/>
      <c r="J693" s="261"/>
      <c r="K693" s="260"/>
      <c r="L693" s="260"/>
      <c r="M693" s="260"/>
      <c r="N693" s="260"/>
      <c r="O693" s="260"/>
      <c r="P693" s="260"/>
      <c r="Q693" s="260"/>
      <c r="R693" s="260"/>
      <c r="S693" s="260"/>
      <c r="T693" s="279"/>
      <c r="U693" s="260"/>
      <c r="V693" s="260"/>
      <c r="W693" s="260"/>
      <c r="X693" s="260"/>
      <c r="Y693" s="260"/>
      <c r="Z693" s="260"/>
      <c r="AA693" s="264"/>
      <c r="AB693" s="260"/>
      <c r="AC693" s="260"/>
      <c r="AD693" s="260"/>
      <c r="AE693" s="260"/>
      <c r="AF693" s="260"/>
      <c r="AG693" s="260"/>
      <c r="AH693" s="260"/>
    </row>
    <row r="694">
      <c r="A694" s="259"/>
      <c r="B694" s="260"/>
      <c r="C694" s="260"/>
      <c r="D694" s="260"/>
      <c r="E694" s="260"/>
      <c r="F694" s="260"/>
      <c r="G694" s="260"/>
      <c r="H694" s="260"/>
      <c r="I694" s="260"/>
      <c r="J694" s="261"/>
      <c r="K694" s="260"/>
      <c r="L694" s="260"/>
      <c r="M694" s="260"/>
      <c r="N694" s="260"/>
      <c r="O694" s="260"/>
      <c r="P694" s="260"/>
      <c r="Q694" s="260"/>
      <c r="R694" s="260"/>
      <c r="S694" s="260"/>
      <c r="T694" s="279"/>
      <c r="U694" s="260"/>
      <c r="V694" s="260"/>
      <c r="W694" s="260"/>
      <c r="X694" s="260"/>
      <c r="Y694" s="260"/>
      <c r="Z694" s="260"/>
      <c r="AA694" s="264"/>
      <c r="AB694" s="260"/>
      <c r="AC694" s="260"/>
      <c r="AD694" s="260"/>
      <c r="AE694" s="260"/>
      <c r="AF694" s="260"/>
      <c r="AG694" s="260"/>
      <c r="AH694" s="260"/>
    </row>
    <row r="695">
      <c r="A695" s="259"/>
      <c r="B695" s="260"/>
      <c r="C695" s="260"/>
      <c r="D695" s="260"/>
      <c r="E695" s="260"/>
      <c r="F695" s="260"/>
      <c r="G695" s="260"/>
      <c r="H695" s="260"/>
      <c r="I695" s="260"/>
      <c r="J695" s="261"/>
      <c r="K695" s="260"/>
      <c r="L695" s="260"/>
      <c r="M695" s="260"/>
      <c r="N695" s="260"/>
      <c r="O695" s="260"/>
      <c r="P695" s="260"/>
      <c r="Q695" s="260"/>
      <c r="R695" s="260"/>
      <c r="S695" s="260"/>
      <c r="T695" s="279"/>
      <c r="U695" s="260"/>
      <c r="V695" s="260"/>
      <c r="W695" s="260"/>
      <c r="X695" s="260"/>
      <c r="Y695" s="260"/>
      <c r="Z695" s="260"/>
      <c r="AA695" s="264"/>
      <c r="AB695" s="260"/>
      <c r="AC695" s="260"/>
      <c r="AD695" s="260"/>
      <c r="AE695" s="260"/>
      <c r="AF695" s="260"/>
      <c r="AG695" s="260"/>
      <c r="AH695" s="260"/>
    </row>
    <row r="696">
      <c r="A696" s="259"/>
      <c r="B696" s="260"/>
      <c r="C696" s="260"/>
      <c r="D696" s="260"/>
      <c r="E696" s="260"/>
      <c r="F696" s="260"/>
      <c r="G696" s="260"/>
      <c r="H696" s="260"/>
      <c r="I696" s="260"/>
      <c r="J696" s="261"/>
      <c r="K696" s="260"/>
      <c r="L696" s="260"/>
      <c r="M696" s="260"/>
      <c r="N696" s="260"/>
      <c r="O696" s="260"/>
      <c r="P696" s="260"/>
      <c r="Q696" s="260"/>
      <c r="R696" s="260"/>
      <c r="S696" s="260"/>
      <c r="T696" s="279"/>
      <c r="U696" s="260"/>
      <c r="V696" s="260"/>
      <c r="W696" s="260"/>
      <c r="X696" s="260"/>
      <c r="Y696" s="260"/>
      <c r="Z696" s="260"/>
      <c r="AA696" s="264"/>
      <c r="AB696" s="260"/>
      <c r="AC696" s="260"/>
      <c r="AD696" s="260"/>
      <c r="AE696" s="260"/>
      <c r="AF696" s="260"/>
      <c r="AG696" s="260"/>
      <c r="AH696" s="260"/>
    </row>
    <row r="697">
      <c r="A697" s="259"/>
      <c r="B697" s="260"/>
      <c r="C697" s="260"/>
      <c r="D697" s="260"/>
      <c r="E697" s="260"/>
      <c r="F697" s="260"/>
      <c r="G697" s="260"/>
      <c r="H697" s="260"/>
      <c r="I697" s="260"/>
      <c r="J697" s="261"/>
      <c r="K697" s="260"/>
      <c r="L697" s="260"/>
      <c r="M697" s="260"/>
      <c r="N697" s="260"/>
      <c r="O697" s="260"/>
      <c r="P697" s="260"/>
      <c r="Q697" s="260"/>
      <c r="R697" s="260"/>
      <c r="S697" s="260"/>
      <c r="T697" s="279"/>
      <c r="U697" s="260"/>
      <c r="V697" s="260"/>
      <c r="W697" s="260"/>
      <c r="X697" s="260"/>
      <c r="Y697" s="260"/>
      <c r="Z697" s="260"/>
      <c r="AA697" s="264"/>
      <c r="AB697" s="260"/>
      <c r="AC697" s="260"/>
      <c r="AD697" s="260"/>
      <c r="AE697" s="260"/>
      <c r="AF697" s="260"/>
      <c r="AG697" s="260"/>
      <c r="AH697" s="260"/>
    </row>
    <row r="698">
      <c r="A698" s="259"/>
      <c r="B698" s="260"/>
      <c r="C698" s="260"/>
      <c r="D698" s="260"/>
      <c r="E698" s="260"/>
      <c r="F698" s="260"/>
      <c r="G698" s="260"/>
      <c r="H698" s="260"/>
      <c r="I698" s="260"/>
      <c r="J698" s="261"/>
      <c r="K698" s="260"/>
      <c r="L698" s="260"/>
      <c r="M698" s="260"/>
      <c r="N698" s="260"/>
      <c r="O698" s="260"/>
      <c r="P698" s="260"/>
      <c r="Q698" s="260"/>
      <c r="R698" s="260"/>
      <c r="S698" s="260"/>
      <c r="T698" s="279"/>
      <c r="U698" s="260"/>
      <c r="V698" s="260"/>
      <c r="W698" s="260"/>
      <c r="X698" s="260"/>
      <c r="Y698" s="260"/>
      <c r="Z698" s="260"/>
      <c r="AA698" s="264"/>
      <c r="AB698" s="260"/>
      <c r="AC698" s="260"/>
      <c r="AD698" s="260"/>
      <c r="AE698" s="260"/>
      <c r="AF698" s="260"/>
      <c r="AG698" s="260"/>
      <c r="AH698" s="260"/>
    </row>
    <row r="699">
      <c r="A699" s="259"/>
      <c r="B699" s="260"/>
      <c r="C699" s="260"/>
      <c r="D699" s="260"/>
      <c r="E699" s="260"/>
      <c r="F699" s="260"/>
      <c r="G699" s="260"/>
      <c r="H699" s="260"/>
      <c r="I699" s="260"/>
      <c r="J699" s="261"/>
      <c r="K699" s="260"/>
      <c r="L699" s="260"/>
      <c r="M699" s="260"/>
      <c r="N699" s="260"/>
      <c r="O699" s="260"/>
      <c r="P699" s="260"/>
      <c r="Q699" s="260"/>
      <c r="R699" s="260"/>
      <c r="S699" s="260"/>
      <c r="T699" s="279"/>
      <c r="U699" s="260"/>
      <c r="V699" s="260"/>
      <c r="W699" s="260"/>
      <c r="X699" s="260"/>
      <c r="Y699" s="260"/>
      <c r="Z699" s="260"/>
      <c r="AA699" s="264"/>
      <c r="AB699" s="260"/>
      <c r="AC699" s="260"/>
      <c r="AD699" s="260"/>
      <c r="AE699" s="260"/>
      <c r="AF699" s="260"/>
      <c r="AG699" s="260"/>
      <c r="AH699" s="260"/>
    </row>
    <row r="700">
      <c r="A700" s="259"/>
      <c r="B700" s="260"/>
      <c r="C700" s="260"/>
      <c r="D700" s="260"/>
      <c r="E700" s="260"/>
      <c r="F700" s="260"/>
      <c r="G700" s="260"/>
      <c r="H700" s="260"/>
      <c r="I700" s="260"/>
      <c r="J700" s="261"/>
      <c r="K700" s="260"/>
      <c r="L700" s="260"/>
      <c r="M700" s="260"/>
      <c r="N700" s="260"/>
      <c r="O700" s="260"/>
      <c r="P700" s="260"/>
      <c r="Q700" s="260"/>
      <c r="R700" s="260"/>
      <c r="S700" s="260"/>
      <c r="T700" s="279"/>
      <c r="U700" s="260"/>
      <c r="V700" s="260"/>
      <c r="W700" s="260"/>
      <c r="X700" s="260"/>
      <c r="Y700" s="260"/>
      <c r="Z700" s="260"/>
      <c r="AA700" s="264"/>
      <c r="AB700" s="260"/>
      <c r="AC700" s="260"/>
      <c r="AD700" s="260"/>
      <c r="AE700" s="260"/>
      <c r="AF700" s="260"/>
      <c r="AG700" s="260"/>
      <c r="AH700" s="260"/>
    </row>
    <row r="701">
      <c r="A701" s="259"/>
      <c r="B701" s="260"/>
      <c r="C701" s="260"/>
      <c r="D701" s="260"/>
      <c r="E701" s="260"/>
      <c r="F701" s="260"/>
      <c r="G701" s="260"/>
      <c r="H701" s="260"/>
      <c r="I701" s="260"/>
      <c r="J701" s="261"/>
      <c r="K701" s="260"/>
      <c r="L701" s="260"/>
      <c r="M701" s="260"/>
      <c r="N701" s="260"/>
      <c r="O701" s="260"/>
      <c r="P701" s="260"/>
      <c r="Q701" s="260"/>
      <c r="R701" s="260"/>
      <c r="S701" s="260"/>
      <c r="T701" s="279"/>
      <c r="U701" s="260"/>
      <c r="V701" s="260"/>
      <c r="W701" s="260"/>
      <c r="X701" s="260"/>
      <c r="Y701" s="260"/>
      <c r="Z701" s="260"/>
      <c r="AA701" s="264"/>
      <c r="AB701" s="260"/>
      <c r="AC701" s="260"/>
      <c r="AD701" s="260"/>
      <c r="AE701" s="260"/>
      <c r="AF701" s="260"/>
      <c r="AG701" s="260"/>
      <c r="AH701" s="260"/>
    </row>
    <row r="702">
      <c r="A702" s="259"/>
      <c r="B702" s="260"/>
      <c r="C702" s="260"/>
      <c r="D702" s="260"/>
      <c r="E702" s="260"/>
      <c r="F702" s="260"/>
      <c r="G702" s="260"/>
      <c r="H702" s="260"/>
      <c r="I702" s="260"/>
      <c r="J702" s="261"/>
      <c r="K702" s="260"/>
      <c r="L702" s="260"/>
      <c r="M702" s="260"/>
      <c r="N702" s="260"/>
      <c r="O702" s="260"/>
      <c r="P702" s="260"/>
      <c r="Q702" s="260"/>
      <c r="R702" s="260"/>
      <c r="S702" s="260"/>
      <c r="T702" s="279"/>
      <c r="U702" s="260"/>
      <c r="V702" s="260"/>
      <c r="W702" s="260"/>
      <c r="X702" s="260"/>
      <c r="Y702" s="260"/>
      <c r="Z702" s="260"/>
      <c r="AA702" s="264"/>
      <c r="AB702" s="260"/>
      <c r="AC702" s="260"/>
      <c r="AD702" s="260"/>
      <c r="AE702" s="260"/>
      <c r="AF702" s="260"/>
      <c r="AG702" s="260"/>
      <c r="AH702" s="260"/>
    </row>
    <row r="703">
      <c r="A703" s="259"/>
      <c r="B703" s="260"/>
      <c r="C703" s="260"/>
      <c r="D703" s="260"/>
      <c r="E703" s="260"/>
      <c r="F703" s="260"/>
      <c r="G703" s="260"/>
      <c r="H703" s="260"/>
      <c r="I703" s="260"/>
      <c r="J703" s="261"/>
      <c r="K703" s="260"/>
      <c r="L703" s="260"/>
      <c r="M703" s="260"/>
      <c r="N703" s="260"/>
      <c r="O703" s="260"/>
      <c r="P703" s="260"/>
      <c r="Q703" s="260"/>
      <c r="R703" s="260"/>
      <c r="S703" s="260"/>
      <c r="T703" s="279"/>
      <c r="U703" s="260"/>
      <c r="V703" s="260"/>
      <c r="W703" s="260"/>
      <c r="X703" s="260"/>
      <c r="Y703" s="260"/>
      <c r="Z703" s="260"/>
      <c r="AA703" s="264"/>
      <c r="AB703" s="260"/>
      <c r="AC703" s="260"/>
      <c r="AD703" s="260"/>
      <c r="AE703" s="260"/>
      <c r="AF703" s="260"/>
      <c r="AG703" s="260"/>
      <c r="AH703" s="260"/>
    </row>
    <row r="704">
      <c r="A704" s="259"/>
      <c r="B704" s="260"/>
      <c r="C704" s="260"/>
      <c r="D704" s="260"/>
      <c r="E704" s="260"/>
      <c r="F704" s="260"/>
      <c r="G704" s="260"/>
      <c r="H704" s="260"/>
      <c r="I704" s="260"/>
      <c r="J704" s="261"/>
      <c r="K704" s="260"/>
      <c r="L704" s="260"/>
      <c r="M704" s="260"/>
      <c r="N704" s="260"/>
      <c r="O704" s="260"/>
      <c r="P704" s="260"/>
      <c r="Q704" s="260"/>
      <c r="R704" s="260"/>
      <c r="S704" s="260"/>
      <c r="T704" s="279"/>
      <c r="U704" s="260"/>
      <c r="V704" s="260"/>
      <c r="W704" s="260"/>
      <c r="X704" s="260"/>
      <c r="Y704" s="260"/>
      <c r="Z704" s="260"/>
      <c r="AA704" s="264"/>
      <c r="AB704" s="260"/>
      <c r="AC704" s="260"/>
      <c r="AD704" s="260"/>
      <c r="AE704" s="260"/>
      <c r="AF704" s="260"/>
      <c r="AG704" s="260"/>
      <c r="AH704" s="260"/>
    </row>
    <row r="705">
      <c r="A705" s="259"/>
      <c r="B705" s="260"/>
      <c r="C705" s="260"/>
      <c r="D705" s="260"/>
      <c r="E705" s="260"/>
      <c r="F705" s="260"/>
      <c r="G705" s="260"/>
      <c r="H705" s="260"/>
      <c r="I705" s="260"/>
      <c r="J705" s="261"/>
      <c r="K705" s="260"/>
      <c r="L705" s="260"/>
      <c r="M705" s="260"/>
      <c r="N705" s="260"/>
      <c r="O705" s="260"/>
      <c r="P705" s="260"/>
      <c r="Q705" s="260"/>
      <c r="R705" s="260"/>
      <c r="S705" s="260"/>
      <c r="T705" s="279"/>
      <c r="U705" s="260"/>
      <c r="V705" s="260"/>
      <c r="W705" s="260"/>
      <c r="X705" s="260"/>
      <c r="Y705" s="260"/>
      <c r="Z705" s="260"/>
      <c r="AA705" s="264"/>
      <c r="AB705" s="260"/>
      <c r="AC705" s="260"/>
      <c r="AD705" s="260"/>
      <c r="AE705" s="260"/>
      <c r="AF705" s="260"/>
      <c r="AG705" s="260"/>
      <c r="AH705" s="260"/>
    </row>
    <row r="706">
      <c r="A706" s="259"/>
      <c r="B706" s="260"/>
      <c r="C706" s="260"/>
      <c r="D706" s="260"/>
      <c r="E706" s="260"/>
      <c r="F706" s="260"/>
      <c r="G706" s="260"/>
      <c r="H706" s="260"/>
      <c r="I706" s="260"/>
      <c r="J706" s="261"/>
      <c r="K706" s="260"/>
      <c r="L706" s="260"/>
      <c r="M706" s="260"/>
      <c r="N706" s="260"/>
      <c r="O706" s="260"/>
      <c r="P706" s="260"/>
      <c r="Q706" s="260"/>
      <c r="R706" s="260"/>
      <c r="S706" s="260"/>
      <c r="T706" s="279"/>
      <c r="U706" s="260"/>
      <c r="V706" s="260"/>
      <c r="W706" s="260"/>
      <c r="X706" s="260"/>
      <c r="Y706" s="260"/>
      <c r="Z706" s="260"/>
      <c r="AA706" s="264"/>
      <c r="AB706" s="260"/>
      <c r="AC706" s="260"/>
      <c r="AD706" s="260"/>
      <c r="AE706" s="260"/>
      <c r="AF706" s="260"/>
      <c r="AG706" s="260"/>
      <c r="AH706" s="260"/>
    </row>
    <row r="707">
      <c r="A707" s="259"/>
      <c r="B707" s="260"/>
      <c r="C707" s="260"/>
      <c r="D707" s="260"/>
      <c r="E707" s="260"/>
      <c r="F707" s="260"/>
      <c r="G707" s="260"/>
      <c r="H707" s="260"/>
      <c r="I707" s="260"/>
      <c r="J707" s="261"/>
      <c r="K707" s="260"/>
      <c r="L707" s="260"/>
      <c r="M707" s="260"/>
      <c r="N707" s="260"/>
      <c r="O707" s="260"/>
      <c r="P707" s="260"/>
      <c r="Q707" s="260"/>
      <c r="R707" s="260"/>
      <c r="S707" s="260"/>
      <c r="T707" s="279"/>
      <c r="U707" s="260"/>
      <c r="V707" s="260"/>
      <c r="W707" s="260"/>
      <c r="X707" s="260"/>
      <c r="Y707" s="260"/>
      <c r="Z707" s="260"/>
      <c r="AA707" s="264"/>
      <c r="AB707" s="260"/>
      <c r="AC707" s="260"/>
      <c r="AD707" s="260"/>
      <c r="AE707" s="260"/>
      <c r="AF707" s="260"/>
      <c r="AG707" s="260"/>
      <c r="AH707" s="260"/>
    </row>
    <row r="708">
      <c r="A708" s="259"/>
      <c r="B708" s="260"/>
      <c r="C708" s="260"/>
      <c r="D708" s="260"/>
      <c r="E708" s="260"/>
      <c r="F708" s="260"/>
      <c r="G708" s="260"/>
      <c r="H708" s="260"/>
      <c r="I708" s="260"/>
      <c r="J708" s="261"/>
      <c r="K708" s="260"/>
      <c r="L708" s="260"/>
      <c r="M708" s="260"/>
      <c r="N708" s="260"/>
      <c r="O708" s="260"/>
      <c r="P708" s="260"/>
      <c r="Q708" s="260"/>
      <c r="R708" s="260"/>
      <c r="S708" s="260"/>
      <c r="T708" s="279"/>
      <c r="U708" s="260"/>
      <c r="V708" s="260"/>
      <c r="W708" s="260"/>
      <c r="X708" s="260"/>
      <c r="Y708" s="260"/>
      <c r="Z708" s="260"/>
      <c r="AA708" s="264"/>
      <c r="AB708" s="260"/>
      <c r="AC708" s="260"/>
      <c r="AD708" s="260"/>
      <c r="AE708" s="260"/>
      <c r="AF708" s="260"/>
      <c r="AG708" s="260"/>
      <c r="AH708" s="260"/>
    </row>
    <row r="709">
      <c r="A709" s="259"/>
      <c r="B709" s="260"/>
      <c r="C709" s="260"/>
      <c r="D709" s="260"/>
      <c r="E709" s="260"/>
      <c r="F709" s="260"/>
      <c r="G709" s="260"/>
      <c r="H709" s="260"/>
      <c r="I709" s="260"/>
      <c r="J709" s="261"/>
      <c r="K709" s="260"/>
      <c r="L709" s="260"/>
      <c r="M709" s="260"/>
      <c r="N709" s="260"/>
      <c r="O709" s="260"/>
      <c r="P709" s="260"/>
      <c r="Q709" s="260"/>
      <c r="R709" s="260"/>
      <c r="S709" s="260"/>
      <c r="T709" s="279"/>
      <c r="U709" s="260"/>
      <c r="V709" s="260"/>
      <c r="W709" s="260"/>
      <c r="X709" s="260"/>
      <c r="Y709" s="260"/>
      <c r="Z709" s="260"/>
      <c r="AA709" s="264"/>
      <c r="AB709" s="260"/>
      <c r="AC709" s="260"/>
      <c r="AD709" s="260"/>
      <c r="AE709" s="260"/>
      <c r="AF709" s="260"/>
      <c r="AG709" s="260"/>
      <c r="AH709" s="260"/>
    </row>
    <row r="710">
      <c r="A710" s="259"/>
      <c r="B710" s="260"/>
      <c r="C710" s="260"/>
      <c r="D710" s="260"/>
      <c r="E710" s="260"/>
      <c r="F710" s="260"/>
      <c r="G710" s="260"/>
      <c r="H710" s="260"/>
      <c r="I710" s="260"/>
      <c r="J710" s="261"/>
      <c r="K710" s="260"/>
      <c r="L710" s="260"/>
      <c r="M710" s="260"/>
      <c r="N710" s="260"/>
      <c r="O710" s="260"/>
      <c r="P710" s="260"/>
      <c r="Q710" s="260"/>
      <c r="R710" s="260"/>
      <c r="S710" s="260"/>
      <c r="T710" s="279"/>
      <c r="U710" s="260"/>
      <c r="V710" s="260"/>
      <c r="W710" s="260"/>
      <c r="X710" s="260"/>
      <c r="Y710" s="260"/>
      <c r="Z710" s="260"/>
      <c r="AA710" s="264"/>
      <c r="AB710" s="260"/>
      <c r="AC710" s="260"/>
      <c r="AD710" s="260"/>
      <c r="AE710" s="260"/>
      <c r="AF710" s="260"/>
      <c r="AG710" s="260"/>
      <c r="AH710" s="260"/>
    </row>
    <row r="711">
      <c r="A711" s="259"/>
      <c r="B711" s="260"/>
      <c r="C711" s="260"/>
      <c r="D711" s="260"/>
      <c r="E711" s="260"/>
      <c r="F711" s="260"/>
      <c r="G711" s="260"/>
      <c r="H711" s="260"/>
      <c r="I711" s="260"/>
      <c r="J711" s="261"/>
      <c r="K711" s="260"/>
      <c r="L711" s="260"/>
      <c r="M711" s="260"/>
      <c r="N711" s="260"/>
      <c r="O711" s="260"/>
      <c r="P711" s="260"/>
      <c r="Q711" s="260"/>
      <c r="R711" s="260"/>
      <c r="S711" s="260"/>
      <c r="T711" s="279"/>
      <c r="U711" s="260"/>
      <c r="V711" s="260"/>
      <c r="W711" s="260"/>
      <c r="X711" s="260"/>
      <c r="Y711" s="260"/>
      <c r="Z711" s="260"/>
      <c r="AA711" s="264"/>
      <c r="AB711" s="260"/>
      <c r="AC711" s="260"/>
      <c r="AD711" s="260"/>
      <c r="AE711" s="260"/>
      <c r="AF711" s="260"/>
      <c r="AG711" s="260"/>
      <c r="AH711" s="260"/>
    </row>
    <row r="712">
      <c r="A712" s="259"/>
      <c r="B712" s="260"/>
      <c r="C712" s="260"/>
      <c r="D712" s="260"/>
      <c r="E712" s="260"/>
      <c r="F712" s="260"/>
      <c r="G712" s="260"/>
      <c r="H712" s="260"/>
      <c r="I712" s="260"/>
      <c r="J712" s="261"/>
      <c r="K712" s="260"/>
      <c r="L712" s="260"/>
      <c r="M712" s="260"/>
      <c r="N712" s="260"/>
      <c r="O712" s="260"/>
      <c r="P712" s="260"/>
      <c r="Q712" s="260"/>
      <c r="R712" s="260"/>
      <c r="S712" s="260"/>
      <c r="T712" s="279"/>
      <c r="U712" s="260"/>
      <c r="V712" s="260"/>
      <c r="W712" s="260"/>
      <c r="X712" s="260"/>
      <c r="Y712" s="260"/>
      <c r="Z712" s="260"/>
      <c r="AA712" s="264"/>
      <c r="AB712" s="260"/>
      <c r="AC712" s="260"/>
      <c r="AD712" s="260"/>
      <c r="AE712" s="260"/>
      <c r="AF712" s="260"/>
      <c r="AG712" s="260"/>
      <c r="AH712" s="260"/>
    </row>
    <row r="713">
      <c r="A713" s="259"/>
      <c r="B713" s="260"/>
      <c r="C713" s="260"/>
      <c r="D713" s="260"/>
      <c r="E713" s="260"/>
      <c r="F713" s="260"/>
      <c r="G713" s="260"/>
      <c r="H713" s="260"/>
      <c r="I713" s="260"/>
      <c r="J713" s="261"/>
      <c r="K713" s="260"/>
      <c r="L713" s="260"/>
      <c r="M713" s="260"/>
      <c r="N713" s="260"/>
      <c r="O713" s="260"/>
      <c r="P713" s="260"/>
      <c r="Q713" s="260"/>
      <c r="R713" s="260"/>
      <c r="S713" s="260"/>
      <c r="T713" s="279"/>
      <c r="U713" s="260"/>
      <c r="V713" s="260"/>
      <c r="W713" s="260"/>
      <c r="X713" s="260"/>
      <c r="Y713" s="260"/>
      <c r="Z713" s="260"/>
      <c r="AA713" s="264"/>
      <c r="AB713" s="260"/>
      <c r="AC713" s="260"/>
      <c r="AD713" s="260"/>
      <c r="AE713" s="260"/>
      <c r="AF713" s="260"/>
      <c r="AG713" s="260"/>
      <c r="AH713" s="260"/>
    </row>
    <row r="714">
      <c r="A714" s="259"/>
      <c r="B714" s="260"/>
      <c r="C714" s="260"/>
      <c r="D714" s="260"/>
      <c r="E714" s="260"/>
      <c r="F714" s="260"/>
      <c r="G714" s="260"/>
      <c r="H714" s="260"/>
      <c r="I714" s="260"/>
      <c r="J714" s="261"/>
      <c r="K714" s="260"/>
      <c r="L714" s="260"/>
      <c r="M714" s="260"/>
      <c r="N714" s="260"/>
      <c r="O714" s="260"/>
      <c r="P714" s="260"/>
      <c r="Q714" s="260"/>
      <c r="R714" s="260"/>
      <c r="S714" s="260"/>
      <c r="T714" s="279"/>
      <c r="U714" s="260"/>
      <c r="V714" s="260"/>
      <c r="W714" s="260"/>
      <c r="X714" s="260"/>
      <c r="Y714" s="260"/>
      <c r="Z714" s="260"/>
      <c r="AA714" s="264"/>
      <c r="AB714" s="260"/>
      <c r="AC714" s="260"/>
      <c r="AD714" s="260"/>
      <c r="AE714" s="260"/>
      <c r="AF714" s="260"/>
      <c r="AG714" s="260"/>
      <c r="AH714" s="260"/>
    </row>
    <row r="715">
      <c r="A715" s="259"/>
      <c r="B715" s="260"/>
      <c r="C715" s="260"/>
      <c r="D715" s="260"/>
      <c r="E715" s="260"/>
      <c r="F715" s="260"/>
      <c r="G715" s="260"/>
      <c r="H715" s="260"/>
      <c r="I715" s="260"/>
      <c r="J715" s="261"/>
      <c r="K715" s="260"/>
      <c r="L715" s="260"/>
      <c r="M715" s="260"/>
      <c r="N715" s="260"/>
      <c r="O715" s="260"/>
      <c r="P715" s="260"/>
      <c r="Q715" s="260"/>
      <c r="R715" s="260"/>
      <c r="S715" s="260"/>
      <c r="T715" s="279"/>
      <c r="U715" s="260"/>
      <c r="V715" s="260"/>
      <c r="W715" s="260"/>
      <c r="X715" s="260"/>
      <c r="Y715" s="260"/>
      <c r="Z715" s="260"/>
      <c r="AA715" s="264"/>
      <c r="AB715" s="260"/>
      <c r="AC715" s="260"/>
      <c r="AD715" s="260"/>
      <c r="AE715" s="260"/>
      <c r="AF715" s="260"/>
      <c r="AG715" s="260"/>
      <c r="AH715" s="260"/>
    </row>
    <row r="716">
      <c r="A716" s="259"/>
      <c r="B716" s="260"/>
      <c r="C716" s="260"/>
      <c r="D716" s="260"/>
      <c r="E716" s="260"/>
      <c r="F716" s="260"/>
      <c r="G716" s="260"/>
      <c r="H716" s="260"/>
      <c r="I716" s="260"/>
      <c r="J716" s="261"/>
      <c r="K716" s="260"/>
      <c r="L716" s="260"/>
      <c r="M716" s="260"/>
      <c r="N716" s="260"/>
      <c r="O716" s="260"/>
      <c r="P716" s="260"/>
      <c r="Q716" s="260"/>
      <c r="R716" s="260"/>
      <c r="S716" s="260"/>
      <c r="T716" s="279"/>
      <c r="U716" s="260"/>
      <c r="V716" s="260"/>
      <c r="W716" s="260"/>
      <c r="X716" s="260"/>
      <c r="Y716" s="260"/>
      <c r="Z716" s="260"/>
      <c r="AA716" s="264"/>
      <c r="AB716" s="260"/>
      <c r="AC716" s="260"/>
      <c r="AD716" s="260"/>
      <c r="AE716" s="260"/>
      <c r="AF716" s="260"/>
      <c r="AG716" s="260"/>
      <c r="AH716" s="260"/>
    </row>
    <row r="717">
      <c r="A717" s="259"/>
      <c r="B717" s="260"/>
      <c r="C717" s="260"/>
      <c r="D717" s="260"/>
      <c r="E717" s="260"/>
      <c r="F717" s="260"/>
      <c r="G717" s="260"/>
      <c r="H717" s="260"/>
      <c r="I717" s="260"/>
      <c r="J717" s="261"/>
      <c r="K717" s="260"/>
      <c r="L717" s="260"/>
      <c r="M717" s="260"/>
      <c r="N717" s="260"/>
      <c r="O717" s="260"/>
      <c r="P717" s="260"/>
      <c r="Q717" s="260"/>
      <c r="R717" s="260"/>
      <c r="S717" s="260"/>
      <c r="T717" s="279"/>
      <c r="U717" s="260"/>
      <c r="V717" s="260"/>
      <c r="W717" s="260"/>
      <c r="X717" s="260"/>
      <c r="Y717" s="260"/>
      <c r="Z717" s="260"/>
      <c r="AA717" s="264"/>
      <c r="AB717" s="260"/>
      <c r="AC717" s="260"/>
      <c r="AD717" s="260"/>
      <c r="AE717" s="260"/>
      <c r="AF717" s="260"/>
      <c r="AG717" s="260"/>
      <c r="AH717" s="260"/>
    </row>
    <row r="718">
      <c r="A718" s="259"/>
      <c r="B718" s="260"/>
      <c r="C718" s="260"/>
      <c r="D718" s="260"/>
      <c r="E718" s="260"/>
      <c r="F718" s="260"/>
      <c r="G718" s="260"/>
      <c r="H718" s="260"/>
      <c r="I718" s="260"/>
      <c r="J718" s="261"/>
      <c r="K718" s="260"/>
      <c r="L718" s="260"/>
      <c r="M718" s="260"/>
      <c r="N718" s="260"/>
      <c r="O718" s="260"/>
      <c r="P718" s="260"/>
      <c r="Q718" s="260"/>
      <c r="R718" s="260"/>
      <c r="S718" s="260"/>
      <c r="T718" s="279"/>
      <c r="U718" s="260"/>
      <c r="V718" s="260"/>
      <c r="W718" s="260"/>
      <c r="X718" s="260"/>
      <c r="Y718" s="260"/>
      <c r="Z718" s="260"/>
      <c r="AA718" s="264"/>
      <c r="AB718" s="260"/>
      <c r="AC718" s="260"/>
      <c r="AD718" s="260"/>
      <c r="AE718" s="260"/>
      <c r="AF718" s="260"/>
      <c r="AG718" s="260"/>
      <c r="AH718" s="260"/>
    </row>
    <row r="719">
      <c r="A719" s="259"/>
      <c r="B719" s="260"/>
      <c r="C719" s="260"/>
      <c r="D719" s="260"/>
      <c r="E719" s="260"/>
      <c r="F719" s="260"/>
      <c r="G719" s="260"/>
      <c r="H719" s="260"/>
      <c r="I719" s="260"/>
      <c r="J719" s="261"/>
      <c r="K719" s="260"/>
      <c r="L719" s="260"/>
      <c r="M719" s="260"/>
      <c r="N719" s="260"/>
      <c r="O719" s="260"/>
      <c r="P719" s="260"/>
      <c r="Q719" s="260"/>
      <c r="R719" s="260"/>
      <c r="S719" s="260"/>
      <c r="T719" s="279"/>
      <c r="U719" s="260"/>
      <c r="V719" s="260"/>
      <c r="W719" s="260"/>
      <c r="X719" s="260"/>
      <c r="Y719" s="260"/>
      <c r="Z719" s="260"/>
      <c r="AA719" s="264"/>
      <c r="AB719" s="260"/>
      <c r="AC719" s="260"/>
      <c r="AD719" s="260"/>
      <c r="AE719" s="260"/>
      <c r="AF719" s="260"/>
      <c r="AG719" s="260"/>
      <c r="AH719" s="260"/>
    </row>
    <row r="720">
      <c r="A720" s="259"/>
      <c r="B720" s="260"/>
      <c r="C720" s="260"/>
      <c r="D720" s="260"/>
      <c r="E720" s="260"/>
      <c r="F720" s="260"/>
      <c r="G720" s="260"/>
      <c r="H720" s="260"/>
      <c r="I720" s="260"/>
      <c r="J720" s="261"/>
      <c r="K720" s="260"/>
      <c r="L720" s="260"/>
      <c r="M720" s="260"/>
      <c r="N720" s="260"/>
      <c r="O720" s="260"/>
      <c r="P720" s="260"/>
      <c r="Q720" s="260"/>
      <c r="R720" s="260"/>
      <c r="S720" s="260"/>
      <c r="T720" s="279"/>
      <c r="U720" s="260"/>
      <c r="V720" s="260"/>
      <c r="W720" s="260"/>
      <c r="X720" s="260"/>
      <c r="Y720" s="260"/>
      <c r="Z720" s="260"/>
      <c r="AA720" s="264"/>
      <c r="AB720" s="260"/>
      <c r="AC720" s="260"/>
      <c r="AD720" s="260"/>
      <c r="AE720" s="260"/>
      <c r="AF720" s="260"/>
      <c r="AG720" s="260"/>
      <c r="AH720" s="260"/>
    </row>
    <row r="721">
      <c r="A721" s="259"/>
      <c r="B721" s="260"/>
      <c r="C721" s="260"/>
      <c r="D721" s="260"/>
      <c r="E721" s="260"/>
      <c r="F721" s="260"/>
      <c r="G721" s="260"/>
      <c r="H721" s="260"/>
      <c r="I721" s="260"/>
      <c r="J721" s="261"/>
      <c r="K721" s="260"/>
      <c r="L721" s="260"/>
      <c r="M721" s="260"/>
      <c r="N721" s="260"/>
      <c r="O721" s="260"/>
      <c r="P721" s="260"/>
      <c r="Q721" s="260"/>
      <c r="R721" s="260"/>
      <c r="S721" s="260"/>
      <c r="T721" s="279"/>
      <c r="U721" s="260"/>
      <c r="V721" s="260"/>
      <c r="W721" s="260"/>
      <c r="X721" s="260"/>
      <c r="Y721" s="260"/>
      <c r="Z721" s="260"/>
      <c r="AA721" s="264"/>
      <c r="AB721" s="260"/>
      <c r="AC721" s="260"/>
      <c r="AD721" s="260"/>
      <c r="AE721" s="260"/>
      <c r="AF721" s="260"/>
      <c r="AG721" s="260"/>
      <c r="AH721" s="260"/>
    </row>
    <row r="722">
      <c r="A722" s="259"/>
      <c r="B722" s="260"/>
      <c r="C722" s="260"/>
      <c r="D722" s="260"/>
      <c r="E722" s="260"/>
      <c r="F722" s="260"/>
      <c r="G722" s="260"/>
      <c r="H722" s="260"/>
      <c r="I722" s="260"/>
      <c r="J722" s="261"/>
      <c r="K722" s="260"/>
      <c r="L722" s="260"/>
      <c r="M722" s="260"/>
      <c r="N722" s="260"/>
      <c r="O722" s="260"/>
      <c r="P722" s="260"/>
      <c r="Q722" s="260"/>
      <c r="R722" s="260"/>
      <c r="S722" s="260"/>
      <c r="T722" s="279"/>
      <c r="U722" s="260"/>
      <c r="V722" s="260"/>
      <c r="W722" s="260"/>
      <c r="X722" s="260"/>
      <c r="Y722" s="260"/>
      <c r="Z722" s="260"/>
      <c r="AA722" s="264"/>
      <c r="AB722" s="260"/>
      <c r="AC722" s="260"/>
      <c r="AD722" s="260"/>
      <c r="AE722" s="260"/>
      <c r="AF722" s="260"/>
      <c r="AG722" s="260"/>
      <c r="AH722" s="260"/>
    </row>
    <row r="723">
      <c r="A723" s="259"/>
      <c r="B723" s="260"/>
      <c r="C723" s="260"/>
      <c r="D723" s="260"/>
      <c r="E723" s="260"/>
      <c r="F723" s="260"/>
      <c r="G723" s="260"/>
      <c r="H723" s="260"/>
      <c r="I723" s="260"/>
      <c r="J723" s="261"/>
      <c r="K723" s="260"/>
      <c r="L723" s="260"/>
      <c r="M723" s="260"/>
      <c r="N723" s="260"/>
      <c r="O723" s="260"/>
      <c r="P723" s="260"/>
      <c r="Q723" s="260"/>
      <c r="R723" s="260"/>
      <c r="S723" s="260"/>
      <c r="T723" s="279"/>
      <c r="U723" s="260"/>
      <c r="V723" s="260"/>
      <c r="W723" s="260"/>
      <c r="X723" s="260"/>
      <c r="Y723" s="260"/>
      <c r="Z723" s="260"/>
      <c r="AA723" s="264"/>
      <c r="AB723" s="260"/>
      <c r="AC723" s="260"/>
      <c r="AD723" s="260"/>
      <c r="AE723" s="260"/>
      <c r="AF723" s="260"/>
      <c r="AG723" s="260"/>
      <c r="AH723" s="260"/>
    </row>
    <row r="724">
      <c r="A724" s="259"/>
      <c r="B724" s="260"/>
      <c r="C724" s="260"/>
      <c r="D724" s="260"/>
      <c r="E724" s="260"/>
      <c r="F724" s="260"/>
      <c r="G724" s="260"/>
      <c r="H724" s="260"/>
      <c r="I724" s="260"/>
      <c r="J724" s="261"/>
      <c r="K724" s="260"/>
      <c r="L724" s="260"/>
      <c r="M724" s="260"/>
      <c r="N724" s="260"/>
      <c r="O724" s="260"/>
      <c r="P724" s="260"/>
      <c r="Q724" s="260"/>
      <c r="R724" s="260"/>
      <c r="S724" s="260"/>
      <c r="T724" s="279"/>
      <c r="U724" s="260"/>
      <c r="V724" s="260"/>
      <c r="W724" s="260"/>
      <c r="X724" s="260"/>
      <c r="Y724" s="260"/>
      <c r="Z724" s="260"/>
      <c r="AA724" s="264"/>
      <c r="AB724" s="260"/>
      <c r="AC724" s="260"/>
      <c r="AD724" s="260"/>
      <c r="AE724" s="260"/>
      <c r="AF724" s="260"/>
      <c r="AG724" s="260"/>
      <c r="AH724" s="260"/>
    </row>
    <row r="725">
      <c r="A725" s="259"/>
      <c r="B725" s="260"/>
      <c r="C725" s="260"/>
      <c r="D725" s="260"/>
      <c r="E725" s="260"/>
      <c r="F725" s="260"/>
      <c r="G725" s="260"/>
      <c r="H725" s="260"/>
      <c r="I725" s="260"/>
      <c r="J725" s="261"/>
      <c r="K725" s="260"/>
      <c r="L725" s="260"/>
      <c r="M725" s="260"/>
      <c r="N725" s="260"/>
      <c r="O725" s="260"/>
      <c r="P725" s="260"/>
      <c r="Q725" s="260"/>
      <c r="R725" s="260"/>
      <c r="S725" s="260"/>
      <c r="T725" s="279"/>
      <c r="U725" s="260"/>
      <c r="V725" s="260"/>
      <c r="W725" s="260"/>
      <c r="X725" s="260"/>
      <c r="Y725" s="260"/>
      <c r="Z725" s="260"/>
      <c r="AA725" s="264"/>
      <c r="AB725" s="260"/>
      <c r="AC725" s="260"/>
      <c r="AD725" s="260"/>
      <c r="AE725" s="260"/>
      <c r="AF725" s="260"/>
      <c r="AG725" s="260"/>
      <c r="AH725" s="260"/>
    </row>
    <row r="726">
      <c r="A726" s="259"/>
      <c r="B726" s="260"/>
      <c r="C726" s="260"/>
      <c r="D726" s="260"/>
      <c r="E726" s="260"/>
      <c r="F726" s="260"/>
      <c r="G726" s="260"/>
      <c r="H726" s="260"/>
      <c r="I726" s="260"/>
      <c r="J726" s="261"/>
      <c r="K726" s="260"/>
      <c r="L726" s="260"/>
      <c r="M726" s="260"/>
      <c r="N726" s="260"/>
      <c r="O726" s="260"/>
      <c r="P726" s="260"/>
      <c r="Q726" s="260"/>
      <c r="R726" s="260"/>
      <c r="S726" s="260"/>
      <c r="T726" s="279"/>
      <c r="U726" s="260"/>
      <c r="V726" s="260"/>
      <c r="W726" s="260"/>
      <c r="X726" s="260"/>
      <c r="Y726" s="260"/>
      <c r="Z726" s="260"/>
      <c r="AA726" s="264"/>
      <c r="AB726" s="260"/>
      <c r="AC726" s="260"/>
      <c r="AD726" s="260"/>
      <c r="AE726" s="260"/>
      <c r="AF726" s="260"/>
      <c r="AG726" s="260"/>
      <c r="AH726" s="260"/>
    </row>
    <row r="727">
      <c r="A727" s="259"/>
      <c r="B727" s="260"/>
      <c r="C727" s="260"/>
      <c r="D727" s="260"/>
      <c r="E727" s="260"/>
      <c r="F727" s="260"/>
      <c r="G727" s="260"/>
      <c r="H727" s="260"/>
      <c r="I727" s="260"/>
      <c r="J727" s="261"/>
      <c r="K727" s="260"/>
      <c r="L727" s="260"/>
      <c r="M727" s="260"/>
      <c r="N727" s="260"/>
      <c r="O727" s="260"/>
      <c r="P727" s="260"/>
      <c r="Q727" s="260"/>
      <c r="R727" s="260"/>
      <c r="S727" s="260"/>
      <c r="T727" s="279"/>
      <c r="U727" s="260"/>
      <c r="V727" s="260"/>
      <c r="W727" s="260"/>
      <c r="X727" s="260"/>
      <c r="Y727" s="260"/>
      <c r="Z727" s="260"/>
      <c r="AA727" s="264"/>
      <c r="AB727" s="260"/>
      <c r="AC727" s="260"/>
      <c r="AD727" s="260"/>
      <c r="AE727" s="260"/>
      <c r="AF727" s="260"/>
      <c r="AG727" s="260"/>
      <c r="AH727" s="260"/>
    </row>
    <row r="728">
      <c r="A728" s="259"/>
      <c r="B728" s="260"/>
      <c r="C728" s="260"/>
      <c r="D728" s="260"/>
      <c r="E728" s="260"/>
      <c r="F728" s="260"/>
      <c r="G728" s="260"/>
      <c r="H728" s="260"/>
      <c r="I728" s="260"/>
      <c r="J728" s="261"/>
      <c r="K728" s="260"/>
      <c r="L728" s="260"/>
      <c r="M728" s="260"/>
      <c r="N728" s="260"/>
      <c r="O728" s="260"/>
      <c r="P728" s="260"/>
      <c r="Q728" s="260"/>
      <c r="R728" s="260"/>
      <c r="S728" s="260"/>
      <c r="T728" s="279"/>
      <c r="U728" s="260"/>
      <c r="V728" s="260"/>
      <c r="W728" s="260"/>
      <c r="X728" s="260"/>
      <c r="Y728" s="260"/>
      <c r="Z728" s="260"/>
      <c r="AA728" s="264"/>
      <c r="AB728" s="260"/>
      <c r="AC728" s="260"/>
      <c r="AD728" s="260"/>
      <c r="AE728" s="260"/>
      <c r="AF728" s="260"/>
      <c r="AG728" s="260"/>
      <c r="AH728" s="260"/>
    </row>
    <row r="729">
      <c r="A729" s="259"/>
      <c r="B729" s="260"/>
      <c r="C729" s="260"/>
      <c r="D729" s="260"/>
      <c r="E729" s="260"/>
      <c r="F729" s="260"/>
      <c r="G729" s="260"/>
      <c r="H729" s="260"/>
      <c r="I729" s="260"/>
      <c r="J729" s="261"/>
      <c r="K729" s="260"/>
      <c r="L729" s="260"/>
      <c r="M729" s="260"/>
      <c r="N729" s="260"/>
      <c r="O729" s="260"/>
      <c r="P729" s="260"/>
      <c r="Q729" s="260"/>
      <c r="R729" s="260"/>
      <c r="S729" s="260"/>
      <c r="T729" s="279"/>
      <c r="U729" s="260"/>
      <c r="V729" s="260"/>
      <c r="W729" s="260"/>
      <c r="X729" s="260"/>
      <c r="Y729" s="260"/>
      <c r="Z729" s="260"/>
      <c r="AA729" s="264"/>
      <c r="AB729" s="260"/>
      <c r="AC729" s="260"/>
      <c r="AD729" s="260"/>
      <c r="AE729" s="260"/>
      <c r="AF729" s="260"/>
      <c r="AG729" s="260"/>
      <c r="AH729" s="260"/>
    </row>
    <row r="730">
      <c r="A730" s="259"/>
      <c r="B730" s="260"/>
      <c r="C730" s="260"/>
      <c r="D730" s="260"/>
      <c r="E730" s="260"/>
      <c r="F730" s="260"/>
      <c r="G730" s="260"/>
      <c r="H730" s="260"/>
      <c r="I730" s="260"/>
      <c r="J730" s="261"/>
      <c r="K730" s="260"/>
      <c r="L730" s="260"/>
      <c r="M730" s="260"/>
      <c r="N730" s="260"/>
      <c r="O730" s="260"/>
      <c r="P730" s="260"/>
      <c r="Q730" s="260"/>
      <c r="R730" s="260"/>
      <c r="S730" s="260"/>
      <c r="T730" s="279"/>
      <c r="U730" s="260"/>
      <c r="V730" s="260"/>
      <c r="W730" s="260"/>
      <c r="X730" s="260"/>
      <c r="Y730" s="260"/>
      <c r="Z730" s="260"/>
      <c r="AA730" s="264"/>
      <c r="AB730" s="260"/>
      <c r="AC730" s="260"/>
      <c r="AD730" s="260"/>
      <c r="AE730" s="260"/>
      <c r="AF730" s="260"/>
      <c r="AG730" s="260"/>
      <c r="AH730" s="260"/>
    </row>
    <row r="731">
      <c r="A731" s="259"/>
      <c r="B731" s="260"/>
      <c r="C731" s="260"/>
      <c r="D731" s="260"/>
      <c r="E731" s="260"/>
      <c r="F731" s="260"/>
      <c r="G731" s="260"/>
      <c r="H731" s="260"/>
      <c r="I731" s="260"/>
      <c r="J731" s="261"/>
      <c r="K731" s="260"/>
      <c r="L731" s="260"/>
      <c r="M731" s="260"/>
      <c r="N731" s="260"/>
      <c r="O731" s="260"/>
      <c r="P731" s="260"/>
      <c r="Q731" s="260"/>
      <c r="R731" s="260"/>
      <c r="S731" s="260"/>
      <c r="T731" s="279"/>
      <c r="U731" s="260"/>
      <c r="V731" s="260"/>
      <c r="W731" s="260"/>
      <c r="X731" s="260"/>
      <c r="Y731" s="260"/>
      <c r="Z731" s="260"/>
      <c r="AA731" s="264"/>
      <c r="AB731" s="260"/>
      <c r="AC731" s="260"/>
      <c r="AD731" s="260"/>
      <c r="AE731" s="260"/>
      <c r="AF731" s="260"/>
      <c r="AG731" s="260"/>
      <c r="AH731" s="260"/>
    </row>
    <row r="732">
      <c r="A732" s="259"/>
      <c r="B732" s="260"/>
      <c r="C732" s="260"/>
      <c r="D732" s="260"/>
      <c r="E732" s="260"/>
      <c r="F732" s="260"/>
      <c r="G732" s="260"/>
      <c r="H732" s="260"/>
      <c r="I732" s="260"/>
      <c r="J732" s="261"/>
      <c r="K732" s="260"/>
      <c r="L732" s="260"/>
      <c r="M732" s="260"/>
      <c r="N732" s="260"/>
      <c r="O732" s="260"/>
      <c r="P732" s="260"/>
      <c r="Q732" s="260"/>
      <c r="R732" s="260"/>
      <c r="S732" s="260"/>
      <c r="T732" s="279"/>
      <c r="U732" s="260"/>
      <c r="V732" s="260"/>
      <c r="W732" s="260"/>
      <c r="X732" s="260"/>
      <c r="Y732" s="260"/>
      <c r="Z732" s="260"/>
      <c r="AA732" s="264"/>
      <c r="AB732" s="260"/>
      <c r="AC732" s="260"/>
      <c r="AD732" s="260"/>
      <c r="AE732" s="260"/>
      <c r="AF732" s="260"/>
      <c r="AG732" s="260"/>
      <c r="AH732" s="260"/>
    </row>
    <row r="733">
      <c r="A733" s="259"/>
      <c r="B733" s="260"/>
      <c r="C733" s="260"/>
      <c r="D733" s="260"/>
      <c r="E733" s="260"/>
      <c r="F733" s="260"/>
      <c r="G733" s="260"/>
      <c r="H733" s="260"/>
      <c r="I733" s="260"/>
      <c r="J733" s="261"/>
      <c r="K733" s="260"/>
      <c r="L733" s="260"/>
      <c r="M733" s="260"/>
      <c r="N733" s="260"/>
      <c r="O733" s="260"/>
      <c r="P733" s="260"/>
      <c r="Q733" s="260"/>
      <c r="R733" s="260"/>
      <c r="S733" s="260"/>
      <c r="T733" s="279"/>
      <c r="U733" s="260"/>
      <c r="V733" s="260"/>
      <c r="W733" s="260"/>
      <c r="X733" s="260"/>
      <c r="Y733" s="260"/>
      <c r="Z733" s="260"/>
      <c r="AA733" s="264"/>
      <c r="AB733" s="260"/>
      <c r="AC733" s="260"/>
      <c r="AD733" s="260"/>
      <c r="AE733" s="260"/>
      <c r="AF733" s="260"/>
      <c r="AG733" s="260"/>
      <c r="AH733" s="260"/>
    </row>
    <row r="734">
      <c r="A734" s="259"/>
      <c r="B734" s="260"/>
      <c r="C734" s="260"/>
      <c r="D734" s="260"/>
      <c r="E734" s="260"/>
      <c r="F734" s="260"/>
      <c r="G734" s="260"/>
      <c r="H734" s="260"/>
      <c r="I734" s="260"/>
      <c r="J734" s="261"/>
      <c r="K734" s="260"/>
      <c r="L734" s="260"/>
      <c r="M734" s="260"/>
      <c r="N734" s="260"/>
      <c r="O734" s="260"/>
      <c r="P734" s="260"/>
      <c r="Q734" s="260"/>
      <c r="R734" s="260"/>
      <c r="S734" s="260"/>
      <c r="T734" s="279"/>
      <c r="U734" s="260"/>
      <c r="V734" s="260"/>
      <c r="W734" s="260"/>
      <c r="X734" s="260"/>
      <c r="Y734" s="260"/>
      <c r="Z734" s="260"/>
      <c r="AA734" s="264"/>
      <c r="AB734" s="260"/>
      <c r="AC734" s="260"/>
      <c r="AD734" s="260"/>
      <c r="AE734" s="260"/>
      <c r="AF734" s="260"/>
      <c r="AG734" s="260"/>
      <c r="AH734" s="260"/>
    </row>
    <row r="735">
      <c r="A735" s="259"/>
      <c r="B735" s="260"/>
      <c r="C735" s="260"/>
      <c r="D735" s="260"/>
      <c r="E735" s="260"/>
      <c r="F735" s="260"/>
      <c r="G735" s="260"/>
      <c r="H735" s="260"/>
      <c r="I735" s="260"/>
      <c r="J735" s="261"/>
      <c r="K735" s="260"/>
      <c r="L735" s="260"/>
      <c r="M735" s="260"/>
      <c r="N735" s="260"/>
      <c r="O735" s="260"/>
      <c r="P735" s="260"/>
      <c r="Q735" s="260"/>
      <c r="R735" s="260"/>
      <c r="S735" s="260"/>
      <c r="T735" s="279"/>
      <c r="U735" s="260"/>
      <c r="V735" s="260"/>
      <c r="W735" s="260"/>
      <c r="X735" s="260"/>
      <c r="Y735" s="260"/>
      <c r="Z735" s="260"/>
      <c r="AA735" s="264"/>
      <c r="AB735" s="260"/>
      <c r="AC735" s="260"/>
      <c r="AD735" s="260"/>
      <c r="AE735" s="260"/>
      <c r="AF735" s="260"/>
      <c r="AG735" s="260"/>
      <c r="AH735" s="260"/>
    </row>
    <row r="736">
      <c r="A736" s="259"/>
      <c r="B736" s="260"/>
      <c r="C736" s="260"/>
      <c r="D736" s="260"/>
      <c r="E736" s="260"/>
      <c r="F736" s="260"/>
      <c r="G736" s="260"/>
      <c r="H736" s="260"/>
      <c r="I736" s="260"/>
      <c r="J736" s="261"/>
      <c r="K736" s="260"/>
      <c r="L736" s="260"/>
      <c r="M736" s="260"/>
      <c r="N736" s="260"/>
      <c r="O736" s="260"/>
      <c r="P736" s="260"/>
      <c r="Q736" s="260"/>
      <c r="R736" s="260"/>
      <c r="S736" s="260"/>
      <c r="T736" s="279"/>
      <c r="U736" s="260"/>
      <c r="V736" s="260"/>
      <c r="W736" s="260"/>
      <c r="X736" s="260"/>
      <c r="Y736" s="260"/>
      <c r="Z736" s="260"/>
      <c r="AA736" s="264"/>
      <c r="AB736" s="260"/>
      <c r="AC736" s="260"/>
      <c r="AD736" s="260"/>
      <c r="AE736" s="260"/>
      <c r="AF736" s="260"/>
      <c r="AG736" s="260"/>
      <c r="AH736" s="260"/>
    </row>
    <row r="737">
      <c r="A737" s="259"/>
      <c r="B737" s="260"/>
      <c r="C737" s="260"/>
      <c r="D737" s="260"/>
      <c r="E737" s="260"/>
      <c r="F737" s="260"/>
      <c r="G737" s="260"/>
      <c r="H737" s="260"/>
      <c r="I737" s="260"/>
      <c r="J737" s="261"/>
      <c r="K737" s="260"/>
      <c r="L737" s="260"/>
      <c r="M737" s="260"/>
      <c r="N737" s="260"/>
      <c r="O737" s="260"/>
      <c r="P737" s="260"/>
      <c r="Q737" s="260"/>
      <c r="R737" s="260"/>
      <c r="S737" s="260"/>
      <c r="T737" s="279"/>
      <c r="U737" s="260"/>
      <c r="V737" s="260"/>
      <c r="W737" s="260"/>
      <c r="X737" s="260"/>
      <c r="Y737" s="260"/>
      <c r="Z737" s="260"/>
      <c r="AA737" s="264"/>
      <c r="AB737" s="260"/>
      <c r="AC737" s="260"/>
      <c r="AD737" s="260"/>
      <c r="AE737" s="260"/>
      <c r="AF737" s="260"/>
      <c r="AG737" s="260"/>
      <c r="AH737" s="260"/>
    </row>
    <row r="738">
      <c r="A738" s="259"/>
      <c r="B738" s="260"/>
      <c r="C738" s="260"/>
      <c r="D738" s="260"/>
      <c r="E738" s="260"/>
      <c r="F738" s="260"/>
      <c r="G738" s="260"/>
      <c r="H738" s="260"/>
      <c r="I738" s="260"/>
      <c r="J738" s="261"/>
      <c r="K738" s="260"/>
      <c r="L738" s="260"/>
      <c r="M738" s="260"/>
      <c r="N738" s="260"/>
      <c r="O738" s="260"/>
      <c r="P738" s="260"/>
      <c r="Q738" s="260"/>
      <c r="R738" s="260"/>
      <c r="S738" s="260"/>
      <c r="T738" s="279"/>
      <c r="U738" s="260"/>
      <c r="V738" s="260"/>
      <c r="W738" s="260"/>
      <c r="X738" s="260"/>
      <c r="Y738" s="260"/>
      <c r="Z738" s="260"/>
      <c r="AA738" s="264"/>
      <c r="AB738" s="260"/>
      <c r="AC738" s="260"/>
      <c r="AD738" s="260"/>
      <c r="AE738" s="260"/>
      <c r="AF738" s="260"/>
      <c r="AG738" s="260"/>
      <c r="AH738" s="260"/>
    </row>
    <row r="739">
      <c r="A739" s="259"/>
      <c r="B739" s="260"/>
      <c r="C739" s="260"/>
      <c r="D739" s="260"/>
      <c r="E739" s="260"/>
      <c r="F739" s="260"/>
      <c r="G739" s="260"/>
      <c r="H739" s="260"/>
      <c r="I739" s="260"/>
      <c r="J739" s="261"/>
      <c r="K739" s="260"/>
      <c r="L739" s="260"/>
      <c r="M739" s="260"/>
      <c r="N739" s="260"/>
      <c r="O739" s="260"/>
      <c r="P739" s="260"/>
      <c r="Q739" s="260"/>
      <c r="R739" s="260"/>
      <c r="S739" s="260"/>
      <c r="T739" s="279"/>
      <c r="U739" s="260"/>
      <c r="V739" s="260"/>
      <c r="W739" s="260"/>
      <c r="X739" s="260"/>
      <c r="Y739" s="260"/>
      <c r="Z739" s="260"/>
      <c r="AA739" s="264"/>
      <c r="AB739" s="260"/>
      <c r="AC739" s="260"/>
      <c r="AD739" s="260"/>
      <c r="AE739" s="260"/>
      <c r="AF739" s="260"/>
      <c r="AG739" s="260"/>
      <c r="AH739" s="260"/>
    </row>
    <row r="740">
      <c r="A740" s="259"/>
      <c r="B740" s="260"/>
      <c r="C740" s="260"/>
      <c r="D740" s="260"/>
      <c r="E740" s="260"/>
      <c r="F740" s="260"/>
      <c r="G740" s="260"/>
      <c r="H740" s="260"/>
      <c r="I740" s="260"/>
      <c r="J740" s="261"/>
      <c r="K740" s="260"/>
      <c r="L740" s="260"/>
      <c r="M740" s="260"/>
      <c r="N740" s="260"/>
      <c r="O740" s="260"/>
      <c r="P740" s="260"/>
      <c r="Q740" s="260"/>
      <c r="R740" s="260"/>
      <c r="S740" s="260"/>
      <c r="T740" s="279"/>
      <c r="U740" s="260"/>
      <c r="V740" s="260"/>
      <c r="W740" s="260"/>
      <c r="X740" s="260"/>
      <c r="Y740" s="260"/>
      <c r="Z740" s="260"/>
      <c r="AA740" s="264"/>
      <c r="AB740" s="260"/>
      <c r="AC740" s="260"/>
      <c r="AD740" s="260"/>
      <c r="AE740" s="260"/>
      <c r="AF740" s="260"/>
      <c r="AG740" s="260"/>
      <c r="AH740" s="260"/>
    </row>
    <row r="741">
      <c r="A741" s="259"/>
      <c r="B741" s="260"/>
      <c r="C741" s="260"/>
      <c r="D741" s="260"/>
      <c r="E741" s="260"/>
      <c r="F741" s="260"/>
      <c r="G741" s="260"/>
      <c r="H741" s="260"/>
      <c r="I741" s="260"/>
      <c r="J741" s="261"/>
      <c r="K741" s="260"/>
      <c r="L741" s="260"/>
      <c r="M741" s="260"/>
      <c r="N741" s="260"/>
      <c r="O741" s="260"/>
      <c r="P741" s="260"/>
      <c r="Q741" s="260"/>
      <c r="R741" s="260"/>
      <c r="S741" s="260"/>
      <c r="T741" s="279"/>
      <c r="U741" s="260"/>
      <c r="V741" s="260"/>
      <c r="W741" s="260"/>
      <c r="X741" s="260"/>
      <c r="Y741" s="260"/>
      <c r="Z741" s="260"/>
      <c r="AA741" s="264"/>
      <c r="AB741" s="260"/>
      <c r="AC741" s="260"/>
      <c r="AD741" s="260"/>
      <c r="AE741" s="260"/>
      <c r="AF741" s="260"/>
      <c r="AG741" s="260"/>
      <c r="AH741" s="260"/>
    </row>
    <row r="742">
      <c r="A742" s="259"/>
      <c r="B742" s="260"/>
      <c r="C742" s="260"/>
      <c r="D742" s="260"/>
      <c r="E742" s="260"/>
      <c r="F742" s="260"/>
      <c r="G742" s="260"/>
      <c r="H742" s="260"/>
      <c r="I742" s="260"/>
      <c r="J742" s="261"/>
      <c r="K742" s="260"/>
      <c r="L742" s="260"/>
      <c r="M742" s="260"/>
      <c r="N742" s="260"/>
      <c r="O742" s="260"/>
      <c r="P742" s="260"/>
      <c r="Q742" s="260"/>
      <c r="R742" s="260"/>
      <c r="S742" s="260"/>
      <c r="T742" s="279"/>
      <c r="U742" s="260"/>
      <c r="V742" s="260"/>
      <c r="W742" s="260"/>
      <c r="X742" s="260"/>
      <c r="Y742" s="260"/>
      <c r="Z742" s="260"/>
      <c r="AA742" s="264"/>
      <c r="AB742" s="260"/>
      <c r="AC742" s="260"/>
      <c r="AD742" s="260"/>
      <c r="AE742" s="260"/>
      <c r="AF742" s="260"/>
      <c r="AG742" s="260"/>
      <c r="AH742" s="260"/>
    </row>
    <row r="743">
      <c r="A743" s="259"/>
      <c r="B743" s="260"/>
      <c r="C743" s="260"/>
      <c r="D743" s="260"/>
      <c r="E743" s="260"/>
      <c r="F743" s="260"/>
      <c r="G743" s="260"/>
      <c r="H743" s="260"/>
      <c r="I743" s="260"/>
      <c r="J743" s="261"/>
      <c r="K743" s="260"/>
      <c r="L743" s="260"/>
      <c r="M743" s="260"/>
      <c r="N743" s="260"/>
      <c r="O743" s="260"/>
      <c r="P743" s="260"/>
      <c r="Q743" s="260"/>
      <c r="R743" s="260"/>
      <c r="S743" s="260"/>
      <c r="T743" s="279"/>
      <c r="U743" s="260"/>
      <c r="V743" s="260"/>
      <c r="W743" s="260"/>
      <c r="X743" s="260"/>
      <c r="Y743" s="260"/>
      <c r="Z743" s="260"/>
      <c r="AA743" s="264"/>
      <c r="AB743" s="260"/>
      <c r="AC743" s="260"/>
      <c r="AD743" s="260"/>
      <c r="AE743" s="260"/>
      <c r="AF743" s="260"/>
      <c r="AG743" s="260"/>
      <c r="AH743" s="260"/>
    </row>
    <row r="744">
      <c r="A744" s="259"/>
      <c r="B744" s="260"/>
      <c r="C744" s="260"/>
      <c r="D744" s="260"/>
      <c r="E744" s="260"/>
      <c r="F744" s="260"/>
      <c r="G744" s="260"/>
      <c r="H744" s="260"/>
      <c r="I744" s="260"/>
      <c r="J744" s="261"/>
      <c r="K744" s="260"/>
      <c r="L744" s="260"/>
      <c r="M744" s="260"/>
      <c r="N744" s="260"/>
      <c r="O744" s="260"/>
      <c r="P744" s="260"/>
      <c r="Q744" s="260"/>
      <c r="R744" s="260"/>
      <c r="S744" s="260"/>
      <c r="T744" s="279"/>
      <c r="U744" s="260"/>
      <c r="V744" s="260"/>
      <c r="W744" s="260"/>
      <c r="X744" s="260"/>
      <c r="Y744" s="260"/>
      <c r="Z744" s="260"/>
      <c r="AA744" s="264"/>
      <c r="AB744" s="260"/>
      <c r="AC744" s="260"/>
      <c r="AD744" s="260"/>
      <c r="AE744" s="260"/>
      <c r="AF744" s="260"/>
      <c r="AG744" s="260"/>
      <c r="AH744" s="260"/>
    </row>
    <row r="745">
      <c r="A745" s="259"/>
      <c r="B745" s="260"/>
      <c r="C745" s="260"/>
      <c r="D745" s="260"/>
      <c r="E745" s="260"/>
      <c r="F745" s="260"/>
      <c r="G745" s="260"/>
      <c r="H745" s="260"/>
      <c r="I745" s="260"/>
      <c r="J745" s="261"/>
      <c r="K745" s="260"/>
      <c r="L745" s="260"/>
      <c r="M745" s="260"/>
      <c r="N745" s="260"/>
      <c r="O745" s="260"/>
      <c r="P745" s="260"/>
      <c r="Q745" s="260"/>
      <c r="R745" s="260"/>
      <c r="S745" s="260"/>
      <c r="T745" s="279"/>
      <c r="U745" s="260"/>
      <c r="V745" s="260"/>
      <c r="W745" s="260"/>
      <c r="X745" s="260"/>
      <c r="Y745" s="260"/>
      <c r="Z745" s="260"/>
      <c r="AA745" s="264"/>
      <c r="AB745" s="260"/>
      <c r="AC745" s="260"/>
      <c r="AD745" s="260"/>
      <c r="AE745" s="260"/>
      <c r="AF745" s="260"/>
      <c r="AG745" s="260"/>
      <c r="AH745" s="260"/>
    </row>
    <row r="746">
      <c r="A746" s="259"/>
      <c r="B746" s="260"/>
      <c r="C746" s="260"/>
      <c r="D746" s="260"/>
      <c r="E746" s="260"/>
      <c r="F746" s="260"/>
      <c r="G746" s="260"/>
      <c r="H746" s="260"/>
      <c r="I746" s="260"/>
      <c r="J746" s="261"/>
      <c r="K746" s="260"/>
      <c r="L746" s="260"/>
      <c r="M746" s="260"/>
      <c r="N746" s="260"/>
      <c r="O746" s="260"/>
      <c r="P746" s="260"/>
      <c r="Q746" s="260"/>
      <c r="R746" s="260"/>
      <c r="S746" s="260"/>
      <c r="T746" s="279"/>
      <c r="U746" s="260"/>
      <c r="V746" s="260"/>
      <c r="W746" s="260"/>
      <c r="X746" s="260"/>
      <c r="Y746" s="260"/>
      <c r="Z746" s="260"/>
      <c r="AA746" s="264"/>
      <c r="AB746" s="260"/>
      <c r="AC746" s="260"/>
      <c r="AD746" s="260"/>
      <c r="AE746" s="260"/>
      <c r="AF746" s="260"/>
      <c r="AG746" s="260"/>
      <c r="AH746" s="260"/>
    </row>
    <row r="747">
      <c r="A747" s="259"/>
      <c r="B747" s="260"/>
      <c r="C747" s="260"/>
      <c r="D747" s="260"/>
      <c r="E747" s="260"/>
      <c r="F747" s="260"/>
      <c r="G747" s="260"/>
      <c r="H747" s="260"/>
      <c r="I747" s="260"/>
      <c r="J747" s="261"/>
      <c r="K747" s="260"/>
      <c r="L747" s="260"/>
      <c r="M747" s="260"/>
      <c r="N747" s="260"/>
      <c r="O747" s="260"/>
      <c r="P747" s="260"/>
      <c r="Q747" s="260"/>
      <c r="R747" s="260"/>
      <c r="S747" s="260"/>
      <c r="T747" s="279"/>
      <c r="U747" s="260"/>
      <c r="V747" s="260"/>
      <c r="W747" s="260"/>
      <c r="X747" s="260"/>
      <c r="Y747" s="260"/>
      <c r="Z747" s="260"/>
      <c r="AA747" s="264"/>
      <c r="AB747" s="260"/>
      <c r="AC747" s="260"/>
      <c r="AD747" s="260"/>
      <c r="AE747" s="260"/>
      <c r="AF747" s="260"/>
      <c r="AG747" s="260"/>
      <c r="AH747" s="260"/>
    </row>
    <row r="748">
      <c r="A748" s="259"/>
      <c r="B748" s="260"/>
      <c r="C748" s="260"/>
      <c r="D748" s="260"/>
      <c r="E748" s="260"/>
      <c r="F748" s="260"/>
      <c r="G748" s="260"/>
      <c r="H748" s="260"/>
      <c r="I748" s="260"/>
      <c r="J748" s="261"/>
      <c r="K748" s="260"/>
      <c r="L748" s="260"/>
      <c r="M748" s="260"/>
      <c r="N748" s="260"/>
      <c r="O748" s="260"/>
      <c r="P748" s="260"/>
      <c r="Q748" s="260"/>
      <c r="R748" s="260"/>
      <c r="S748" s="260"/>
      <c r="T748" s="279"/>
      <c r="U748" s="260"/>
      <c r="V748" s="260"/>
      <c r="W748" s="260"/>
      <c r="X748" s="260"/>
      <c r="Y748" s="260"/>
      <c r="Z748" s="260"/>
      <c r="AA748" s="264"/>
      <c r="AB748" s="260"/>
      <c r="AC748" s="260"/>
      <c r="AD748" s="260"/>
      <c r="AE748" s="260"/>
      <c r="AF748" s="260"/>
      <c r="AG748" s="260"/>
      <c r="AH748" s="260"/>
    </row>
    <row r="749">
      <c r="A749" s="259"/>
      <c r="B749" s="260"/>
      <c r="C749" s="260"/>
      <c r="D749" s="260"/>
      <c r="E749" s="260"/>
      <c r="F749" s="260"/>
      <c r="G749" s="260"/>
      <c r="H749" s="260"/>
      <c r="I749" s="260"/>
      <c r="J749" s="261"/>
      <c r="K749" s="260"/>
      <c r="L749" s="260"/>
      <c r="M749" s="260"/>
      <c r="N749" s="260"/>
      <c r="O749" s="260"/>
      <c r="P749" s="260"/>
      <c r="Q749" s="260"/>
      <c r="R749" s="260"/>
      <c r="S749" s="260"/>
      <c r="T749" s="279"/>
      <c r="U749" s="260"/>
      <c r="V749" s="260"/>
      <c r="W749" s="260"/>
      <c r="X749" s="260"/>
      <c r="Y749" s="260"/>
      <c r="Z749" s="260"/>
      <c r="AA749" s="264"/>
      <c r="AB749" s="260"/>
      <c r="AC749" s="260"/>
      <c r="AD749" s="260"/>
      <c r="AE749" s="260"/>
      <c r="AF749" s="260"/>
      <c r="AG749" s="260"/>
      <c r="AH749" s="260"/>
    </row>
    <row r="750">
      <c r="A750" s="259"/>
      <c r="B750" s="260"/>
      <c r="C750" s="260"/>
      <c r="D750" s="260"/>
      <c r="E750" s="260"/>
      <c r="F750" s="260"/>
      <c r="G750" s="260"/>
      <c r="H750" s="260"/>
      <c r="I750" s="260"/>
      <c r="J750" s="261"/>
      <c r="K750" s="260"/>
      <c r="L750" s="260"/>
      <c r="M750" s="260"/>
      <c r="N750" s="260"/>
      <c r="O750" s="260"/>
      <c r="P750" s="260"/>
      <c r="Q750" s="260"/>
      <c r="R750" s="260"/>
      <c r="S750" s="260"/>
      <c r="T750" s="279"/>
      <c r="U750" s="260"/>
      <c r="V750" s="260"/>
      <c r="W750" s="260"/>
      <c r="X750" s="260"/>
      <c r="Y750" s="260"/>
      <c r="Z750" s="260"/>
      <c r="AA750" s="264"/>
      <c r="AB750" s="260"/>
      <c r="AC750" s="260"/>
      <c r="AD750" s="260"/>
      <c r="AE750" s="260"/>
      <c r="AF750" s="260"/>
      <c r="AG750" s="260"/>
      <c r="AH750" s="260"/>
    </row>
    <row r="751">
      <c r="A751" s="259"/>
      <c r="B751" s="260"/>
      <c r="C751" s="260"/>
      <c r="D751" s="260"/>
      <c r="E751" s="260"/>
      <c r="F751" s="260"/>
      <c r="G751" s="260"/>
      <c r="H751" s="260"/>
      <c r="I751" s="260"/>
      <c r="J751" s="261"/>
      <c r="K751" s="260"/>
      <c r="L751" s="260"/>
      <c r="M751" s="260"/>
      <c r="N751" s="260"/>
      <c r="O751" s="260"/>
      <c r="P751" s="260"/>
      <c r="Q751" s="260"/>
      <c r="R751" s="260"/>
      <c r="S751" s="260"/>
      <c r="T751" s="279"/>
      <c r="U751" s="260"/>
      <c r="V751" s="260"/>
      <c r="W751" s="260"/>
      <c r="X751" s="260"/>
      <c r="Y751" s="260"/>
      <c r="Z751" s="260"/>
      <c r="AA751" s="264"/>
      <c r="AB751" s="260"/>
      <c r="AC751" s="260"/>
      <c r="AD751" s="260"/>
      <c r="AE751" s="260"/>
      <c r="AF751" s="260"/>
      <c r="AG751" s="260"/>
      <c r="AH751" s="260"/>
    </row>
    <row r="752">
      <c r="A752" s="259"/>
      <c r="B752" s="260"/>
      <c r="C752" s="260"/>
      <c r="D752" s="260"/>
      <c r="E752" s="260"/>
      <c r="F752" s="260"/>
      <c r="G752" s="260"/>
      <c r="H752" s="260"/>
      <c r="I752" s="260"/>
      <c r="J752" s="261"/>
      <c r="K752" s="260"/>
      <c r="L752" s="260"/>
      <c r="M752" s="260"/>
      <c r="N752" s="260"/>
      <c r="O752" s="260"/>
      <c r="P752" s="260"/>
      <c r="Q752" s="260"/>
      <c r="R752" s="260"/>
      <c r="S752" s="260"/>
      <c r="T752" s="279"/>
      <c r="U752" s="260"/>
      <c r="V752" s="260"/>
      <c r="W752" s="260"/>
      <c r="X752" s="260"/>
      <c r="Y752" s="260"/>
      <c r="Z752" s="260"/>
      <c r="AA752" s="264"/>
      <c r="AB752" s="260"/>
      <c r="AC752" s="260"/>
      <c r="AD752" s="260"/>
      <c r="AE752" s="260"/>
      <c r="AF752" s="260"/>
      <c r="AG752" s="260"/>
      <c r="AH752" s="260"/>
    </row>
    <row r="753">
      <c r="A753" s="259"/>
      <c r="B753" s="260"/>
      <c r="C753" s="260"/>
      <c r="D753" s="260"/>
      <c r="E753" s="260"/>
      <c r="F753" s="260"/>
      <c r="G753" s="260"/>
      <c r="H753" s="260"/>
      <c r="I753" s="260"/>
      <c r="J753" s="261"/>
      <c r="K753" s="260"/>
      <c r="L753" s="260"/>
      <c r="M753" s="260"/>
      <c r="N753" s="260"/>
      <c r="O753" s="260"/>
      <c r="P753" s="260"/>
      <c r="Q753" s="260"/>
      <c r="R753" s="260"/>
      <c r="S753" s="260"/>
      <c r="T753" s="279"/>
      <c r="U753" s="260"/>
      <c r="V753" s="260"/>
      <c r="W753" s="260"/>
      <c r="X753" s="260"/>
      <c r="Y753" s="260"/>
      <c r="Z753" s="260"/>
      <c r="AA753" s="264"/>
      <c r="AB753" s="260"/>
      <c r="AC753" s="260"/>
      <c r="AD753" s="260"/>
      <c r="AE753" s="260"/>
      <c r="AF753" s="260"/>
      <c r="AG753" s="260"/>
      <c r="AH753" s="260"/>
    </row>
    <row r="754">
      <c r="A754" s="259"/>
      <c r="B754" s="260"/>
      <c r="C754" s="260"/>
      <c r="D754" s="260"/>
      <c r="E754" s="260"/>
      <c r="F754" s="260"/>
      <c r="G754" s="260"/>
      <c r="H754" s="260"/>
      <c r="I754" s="260"/>
      <c r="J754" s="261"/>
      <c r="K754" s="260"/>
      <c r="L754" s="260"/>
      <c r="M754" s="260"/>
      <c r="N754" s="260"/>
      <c r="O754" s="260"/>
      <c r="P754" s="260"/>
      <c r="Q754" s="260"/>
      <c r="R754" s="260"/>
      <c r="S754" s="260"/>
      <c r="T754" s="279"/>
      <c r="U754" s="260"/>
      <c r="V754" s="260"/>
      <c r="W754" s="260"/>
      <c r="X754" s="260"/>
      <c r="Y754" s="260"/>
      <c r="Z754" s="260"/>
      <c r="AA754" s="264"/>
      <c r="AB754" s="260"/>
      <c r="AC754" s="260"/>
      <c r="AD754" s="260"/>
      <c r="AE754" s="260"/>
      <c r="AF754" s="260"/>
      <c r="AG754" s="260"/>
      <c r="AH754" s="260"/>
    </row>
    <row r="755">
      <c r="A755" s="259"/>
      <c r="B755" s="260"/>
      <c r="C755" s="260"/>
      <c r="D755" s="260"/>
      <c r="E755" s="260"/>
      <c r="F755" s="260"/>
      <c r="G755" s="260"/>
      <c r="H755" s="260"/>
      <c r="I755" s="260"/>
      <c r="J755" s="261"/>
      <c r="K755" s="260"/>
      <c r="L755" s="260"/>
      <c r="M755" s="260"/>
      <c r="N755" s="260"/>
      <c r="O755" s="260"/>
      <c r="P755" s="260"/>
      <c r="Q755" s="260"/>
      <c r="R755" s="260"/>
      <c r="S755" s="260"/>
      <c r="T755" s="279"/>
      <c r="U755" s="260"/>
      <c r="V755" s="260"/>
      <c r="W755" s="260"/>
      <c r="X755" s="260"/>
      <c r="Y755" s="260"/>
      <c r="Z755" s="260"/>
      <c r="AA755" s="264"/>
      <c r="AB755" s="260"/>
      <c r="AC755" s="260"/>
      <c r="AD755" s="260"/>
      <c r="AE755" s="260"/>
      <c r="AF755" s="260"/>
      <c r="AG755" s="260"/>
      <c r="AH755" s="260"/>
    </row>
    <row r="756">
      <c r="A756" s="259"/>
      <c r="B756" s="260"/>
      <c r="C756" s="260"/>
      <c r="D756" s="260"/>
      <c r="E756" s="260"/>
      <c r="F756" s="260"/>
      <c r="G756" s="260"/>
      <c r="H756" s="260"/>
      <c r="I756" s="260"/>
      <c r="J756" s="261"/>
      <c r="K756" s="260"/>
      <c r="L756" s="260"/>
      <c r="M756" s="260"/>
      <c r="N756" s="260"/>
      <c r="O756" s="260"/>
      <c r="P756" s="260"/>
      <c r="Q756" s="260"/>
      <c r="R756" s="260"/>
      <c r="S756" s="260"/>
      <c r="T756" s="279"/>
      <c r="U756" s="260"/>
      <c r="V756" s="260"/>
      <c r="W756" s="260"/>
      <c r="X756" s="260"/>
      <c r="Y756" s="260"/>
      <c r="Z756" s="260"/>
      <c r="AA756" s="264"/>
      <c r="AB756" s="260"/>
      <c r="AC756" s="260"/>
      <c r="AD756" s="260"/>
      <c r="AE756" s="260"/>
      <c r="AF756" s="260"/>
      <c r="AG756" s="260"/>
      <c r="AH756" s="260"/>
    </row>
    <row r="757">
      <c r="A757" s="259"/>
      <c r="B757" s="260"/>
      <c r="C757" s="260"/>
      <c r="D757" s="260"/>
      <c r="E757" s="260"/>
      <c r="F757" s="260"/>
      <c r="G757" s="260"/>
      <c r="H757" s="260"/>
      <c r="I757" s="260"/>
      <c r="J757" s="261"/>
      <c r="K757" s="260"/>
      <c r="L757" s="260"/>
      <c r="M757" s="260"/>
      <c r="N757" s="260"/>
      <c r="O757" s="260"/>
      <c r="P757" s="260"/>
      <c r="Q757" s="260"/>
      <c r="R757" s="260"/>
      <c r="S757" s="260"/>
      <c r="T757" s="279"/>
      <c r="U757" s="260"/>
      <c r="V757" s="260"/>
      <c r="W757" s="260"/>
      <c r="X757" s="260"/>
      <c r="Y757" s="260"/>
      <c r="Z757" s="260"/>
      <c r="AA757" s="264"/>
      <c r="AB757" s="260"/>
      <c r="AC757" s="260"/>
      <c r="AD757" s="260"/>
      <c r="AE757" s="260"/>
      <c r="AF757" s="260"/>
      <c r="AG757" s="260"/>
      <c r="AH757" s="260"/>
    </row>
    <row r="758">
      <c r="A758" s="259"/>
      <c r="B758" s="260"/>
      <c r="C758" s="260"/>
      <c r="D758" s="260"/>
      <c r="E758" s="260"/>
      <c r="F758" s="260"/>
      <c r="G758" s="260"/>
      <c r="H758" s="260"/>
      <c r="I758" s="260"/>
      <c r="J758" s="261"/>
      <c r="K758" s="260"/>
      <c r="L758" s="260"/>
      <c r="M758" s="260"/>
      <c r="N758" s="260"/>
      <c r="O758" s="260"/>
      <c r="P758" s="260"/>
      <c r="Q758" s="260"/>
      <c r="R758" s="260"/>
      <c r="S758" s="260"/>
      <c r="T758" s="279"/>
      <c r="U758" s="260"/>
      <c r="V758" s="260"/>
      <c r="W758" s="260"/>
      <c r="X758" s="260"/>
      <c r="Y758" s="260"/>
      <c r="Z758" s="260"/>
      <c r="AA758" s="264"/>
      <c r="AB758" s="260"/>
      <c r="AC758" s="260"/>
      <c r="AD758" s="260"/>
      <c r="AE758" s="260"/>
      <c r="AF758" s="260"/>
      <c r="AG758" s="260"/>
      <c r="AH758" s="260"/>
    </row>
    <row r="759">
      <c r="A759" s="259"/>
      <c r="B759" s="260"/>
      <c r="C759" s="260"/>
      <c r="D759" s="260"/>
      <c r="E759" s="260"/>
      <c r="F759" s="260"/>
      <c r="G759" s="260"/>
      <c r="H759" s="260"/>
      <c r="I759" s="260"/>
      <c r="J759" s="261"/>
      <c r="K759" s="260"/>
      <c r="L759" s="260"/>
      <c r="M759" s="260"/>
      <c r="N759" s="260"/>
      <c r="O759" s="260"/>
      <c r="P759" s="260"/>
      <c r="Q759" s="260"/>
      <c r="R759" s="260"/>
      <c r="S759" s="260"/>
      <c r="T759" s="279"/>
      <c r="U759" s="260"/>
      <c r="V759" s="260"/>
      <c r="W759" s="260"/>
      <c r="X759" s="260"/>
      <c r="Y759" s="260"/>
      <c r="Z759" s="260"/>
      <c r="AA759" s="264"/>
      <c r="AB759" s="260"/>
      <c r="AC759" s="260"/>
      <c r="AD759" s="260"/>
      <c r="AE759" s="260"/>
      <c r="AF759" s="260"/>
      <c r="AG759" s="260"/>
      <c r="AH759" s="260"/>
    </row>
    <row r="760">
      <c r="A760" s="259"/>
      <c r="B760" s="260"/>
      <c r="C760" s="260"/>
      <c r="D760" s="260"/>
      <c r="E760" s="260"/>
      <c r="F760" s="260"/>
      <c r="G760" s="260"/>
      <c r="H760" s="260"/>
      <c r="I760" s="260"/>
      <c r="J760" s="261"/>
      <c r="K760" s="260"/>
      <c r="L760" s="260"/>
      <c r="M760" s="260"/>
      <c r="N760" s="260"/>
      <c r="O760" s="260"/>
      <c r="P760" s="260"/>
      <c r="Q760" s="260"/>
      <c r="R760" s="260"/>
      <c r="S760" s="260"/>
      <c r="T760" s="279"/>
      <c r="U760" s="260"/>
      <c r="V760" s="260"/>
      <c r="W760" s="260"/>
      <c r="X760" s="260"/>
      <c r="Y760" s="260"/>
      <c r="Z760" s="260"/>
      <c r="AA760" s="264"/>
      <c r="AB760" s="260"/>
      <c r="AC760" s="260"/>
      <c r="AD760" s="260"/>
      <c r="AE760" s="260"/>
      <c r="AF760" s="260"/>
      <c r="AG760" s="260"/>
      <c r="AH760" s="260"/>
    </row>
    <row r="761">
      <c r="A761" s="259"/>
      <c r="B761" s="260"/>
      <c r="C761" s="260"/>
      <c r="D761" s="260"/>
      <c r="E761" s="260"/>
      <c r="F761" s="260"/>
      <c r="G761" s="260"/>
      <c r="H761" s="260"/>
      <c r="I761" s="260"/>
      <c r="J761" s="261"/>
      <c r="K761" s="260"/>
      <c r="L761" s="260"/>
      <c r="M761" s="260"/>
      <c r="N761" s="260"/>
      <c r="O761" s="260"/>
      <c r="P761" s="260"/>
      <c r="Q761" s="260"/>
      <c r="R761" s="260"/>
      <c r="S761" s="260"/>
      <c r="T761" s="279"/>
      <c r="U761" s="260"/>
      <c r="V761" s="260"/>
      <c r="W761" s="260"/>
      <c r="X761" s="260"/>
      <c r="Y761" s="260"/>
      <c r="Z761" s="260"/>
      <c r="AA761" s="264"/>
      <c r="AB761" s="260"/>
      <c r="AC761" s="260"/>
      <c r="AD761" s="260"/>
      <c r="AE761" s="260"/>
      <c r="AF761" s="260"/>
      <c r="AG761" s="260"/>
      <c r="AH761" s="260"/>
    </row>
    <row r="762">
      <c r="A762" s="259"/>
      <c r="B762" s="260"/>
      <c r="C762" s="260"/>
      <c r="D762" s="260"/>
      <c r="E762" s="260"/>
      <c r="F762" s="260"/>
      <c r="G762" s="260"/>
      <c r="H762" s="260"/>
      <c r="I762" s="260"/>
      <c r="J762" s="261"/>
      <c r="K762" s="260"/>
      <c r="L762" s="260"/>
      <c r="M762" s="260"/>
      <c r="N762" s="260"/>
      <c r="O762" s="260"/>
      <c r="P762" s="260"/>
      <c r="Q762" s="260"/>
      <c r="R762" s="260"/>
      <c r="S762" s="260"/>
      <c r="T762" s="279"/>
      <c r="U762" s="260"/>
      <c r="V762" s="260"/>
      <c r="W762" s="260"/>
      <c r="X762" s="260"/>
      <c r="Y762" s="260"/>
      <c r="Z762" s="260"/>
      <c r="AA762" s="264"/>
      <c r="AB762" s="260"/>
      <c r="AC762" s="260"/>
      <c r="AD762" s="260"/>
      <c r="AE762" s="260"/>
      <c r="AF762" s="260"/>
      <c r="AG762" s="260"/>
      <c r="AH762" s="260"/>
    </row>
    <row r="763">
      <c r="A763" s="259"/>
      <c r="B763" s="260"/>
      <c r="C763" s="260"/>
      <c r="D763" s="260"/>
      <c r="E763" s="260"/>
      <c r="F763" s="260"/>
      <c r="G763" s="260"/>
      <c r="H763" s="260"/>
      <c r="I763" s="260"/>
      <c r="J763" s="261"/>
      <c r="K763" s="260"/>
      <c r="L763" s="260"/>
      <c r="M763" s="260"/>
      <c r="N763" s="260"/>
      <c r="O763" s="260"/>
      <c r="P763" s="260"/>
      <c r="Q763" s="260"/>
      <c r="R763" s="260"/>
      <c r="S763" s="260"/>
      <c r="T763" s="279"/>
      <c r="U763" s="260"/>
      <c r="V763" s="260"/>
      <c r="W763" s="260"/>
      <c r="X763" s="260"/>
      <c r="Y763" s="260"/>
      <c r="Z763" s="260"/>
      <c r="AA763" s="264"/>
      <c r="AB763" s="260"/>
      <c r="AC763" s="260"/>
      <c r="AD763" s="260"/>
      <c r="AE763" s="260"/>
      <c r="AF763" s="260"/>
      <c r="AG763" s="260"/>
      <c r="AH763" s="260"/>
    </row>
    <row r="764">
      <c r="A764" s="259"/>
      <c r="B764" s="260"/>
      <c r="C764" s="260"/>
      <c r="D764" s="260"/>
      <c r="E764" s="260"/>
      <c r="F764" s="260"/>
      <c r="G764" s="260"/>
      <c r="H764" s="260"/>
      <c r="I764" s="260"/>
      <c r="J764" s="261"/>
      <c r="K764" s="260"/>
      <c r="L764" s="260"/>
      <c r="M764" s="260"/>
      <c r="N764" s="260"/>
      <c r="O764" s="260"/>
      <c r="P764" s="260"/>
      <c r="Q764" s="260"/>
      <c r="R764" s="260"/>
      <c r="S764" s="260"/>
      <c r="T764" s="279"/>
      <c r="U764" s="260"/>
      <c r="V764" s="260"/>
      <c r="W764" s="260"/>
      <c r="X764" s="260"/>
      <c r="Y764" s="260"/>
      <c r="Z764" s="260"/>
      <c r="AA764" s="264"/>
      <c r="AB764" s="260"/>
      <c r="AC764" s="260"/>
      <c r="AD764" s="260"/>
      <c r="AE764" s="260"/>
      <c r="AF764" s="260"/>
      <c r="AG764" s="260"/>
      <c r="AH764" s="260"/>
    </row>
    <row r="765">
      <c r="A765" s="259"/>
      <c r="B765" s="260"/>
      <c r="C765" s="260"/>
      <c r="D765" s="260"/>
      <c r="E765" s="260"/>
      <c r="F765" s="260"/>
      <c r="G765" s="260"/>
      <c r="H765" s="260"/>
      <c r="I765" s="260"/>
      <c r="J765" s="261"/>
      <c r="K765" s="260"/>
      <c r="L765" s="260"/>
      <c r="M765" s="260"/>
      <c r="N765" s="260"/>
      <c r="O765" s="260"/>
      <c r="P765" s="260"/>
      <c r="Q765" s="260"/>
      <c r="R765" s="260"/>
      <c r="S765" s="260"/>
      <c r="T765" s="279"/>
      <c r="U765" s="260"/>
      <c r="V765" s="260"/>
      <c r="W765" s="260"/>
      <c r="X765" s="260"/>
      <c r="Y765" s="260"/>
      <c r="Z765" s="260"/>
      <c r="AA765" s="264"/>
      <c r="AB765" s="260"/>
      <c r="AC765" s="260"/>
      <c r="AD765" s="260"/>
      <c r="AE765" s="260"/>
      <c r="AF765" s="260"/>
      <c r="AG765" s="260"/>
      <c r="AH765" s="260"/>
    </row>
    <row r="766">
      <c r="A766" s="259"/>
      <c r="B766" s="260"/>
      <c r="C766" s="260"/>
      <c r="D766" s="260"/>
      <c r="E766" s="260"/>
      <c r="F766" s="260"/>
      <c r="G766" s="260"/>
      <c r="H766" s="260"/>
      <c r="I766" s="260"/>
      <c r="J766" s="261"/>
      <c r="K766" s="260"/>
      <c r="L766" s="260"/>
      <c r="M766" s="260"/>
      <c r="N766" s="260"/>
      <c r="O766" s="260"/>
      <c r="P766" s="260"/>
      <c r="Q766" s="260"/>
      <c r="R766" s="260"/>
      <c r="S766" s="260"/>
      <c r="T766" s="279"/>
      <c r="U766" s="260"/>
      <c r="V766" s="260"/>
      <c r="W766" s="260"/>
      <c r="X766" s="260"/>
      <c r="Y766" s="260"/>
      <c r="Z766" s="260"/>
      <c r="AA766" s="264"/>
      <c r="AB766" s="260"/>
      <c r="AC766" s="260"/>
      <c r="AD766" s="260"/>
      <c r="AE766" s="260"/>
      <c r="AF766" s="260"/>
      <c r="AG766" s="260"/>
      <c r="AH766" s="260"/>
    </row>
    <row r="767">
      <c r="A767" s="259"/>
      <c r="B767" s="260"/>
      <c r="C767" s="260"/>
      <c r="D767" s="260"/>
      <c r="E767" s="260"/>
      <c r="F767" s="260"/>
      <c r="G767" s="260"/>
      <c r="H767" s="260"/>
      <c r="I767" s="260"/>
      <c r="J767" s="261"/>
      <c r="K767" s="260"/>
      <c r="L767" s="260"/>
      <c r="M767" s="260"/>
      <c r="N767" s="260"/>
      <c r="O767" s="260"/>
      <c r="P767" s="260"/>
      <c r="Q767" s="260"/>
      <c r="R767" s="260"/>
      <c r="S767" s="260"/>
      <c r="T767" s="279"/>
      <c r="U767" s="260"/>
      <c r="V767" s="260"/>
      <c r="W767" s="260"/>
      <c r="X767" s="260"/>
      <c r="Y767" s="260"/>
      <c r="Z767" s="260"/>
      <c r="AA767" s="264"/>
      <c r="AB767" s="260"/>
      <c r="AC767" s="260"/>
      <c r="AD767" s="260"/>
      <c r="AE767" s="260"/>
      <c r="AF767" s="260"/>
      <c r="AG767" s="260"/>
      <c r="AH767" s="260"/>
    </row>
    <row r="768">
      <c r="A768" s="259"/>
      <c r="B768" s="260"/>
      <c r="C768" s="260"/>
      <c r="D768" s="260"/>
      <c r="E768" s="260"/>
      <c r="F768" s="260"/>
      <c r="G768" s="260"/>
      <c r="H768" s="260"/>
      <c r="I768" s="260"/>
      <c r="J768" s="261"/>
      <c r="K768" s="260"/>
      <c r="L768" s="260"/>
      <c r="M768" s="260"/>
      <c r="N768" s="260"/>
      <c r="O768" s="260"/>
      <c r="P768" s="260"/>
      <c r="Q768" s="260"/>
      <c r="R768" s="260"/>
      <c r="S768" s="260"/>
      <c r="T768" s="279"/>
      <c r="U768" s="260"/>
      <c r="V768" s="260"/>
      <c r="W768" s="260"/>
      <c r="X768" s="260"/>
      <c r="Y768" s="260"/>
      <c r="Z768" s="260"/>
      <c r="AA768" s="264"/>
      <c r="AB768" s="260"/>
      <c r="AC768" s="260"/>
      <c r="AD768" s="260"/>
      <c r="AE768" s="260"/>
      <c r="AF768" s="260"/>
      <c r="AG768" s="260"/>
      <c r="AH768" s="260"/>
    </row>
    <row r="769">
      <c r="A769" s="259"/>
      <c r="B769" s="260"/>
      <c r="C769" s="260"/>
      <c r="D769" s="260"/>
      <c r="E769" s="260"/>
      <c r="F769" s="260"/>
      <c r="G769" s="260"/>
      <c r="H769" s="260"/>
      <c r="I769" s="260"/>
      <c r="J769" s="261"/>
      <c r="K769" s="260"/>
      <c r="L769" s="260"/>
      <c r="M769" s="260"/>
      <c r="N769" s="260"/>
      <c r="O769" s="260"/>
      <c r="P769" s="260"/>
      <c r="Q769" s="260"/>
      <c r="R769" s="260"/>
      <c r="S769" s="260"/>
      <c r="T769" s="279"/>
      <c r="U769" s="260"/>
      <c r="V769" s="260"/>
      <c r="W769" s="260"/>
      <c r="X769" s="260"/>
      <c r="Y769" s="260"/>
      <c r="Z769" s="260"/>
      <c r="AA769" s="264"/>
      <c r="AB769" s="260"/>
      <c r="AC769" s="260"/>
      <c r="AD769" s="260"/>
      <c r="AE769" s="260"/>
      <c r="AF769" s="260"/>
      <c r="AG769" s="260"/>
      <c r="AH769" s="260"/>
    </row>
    <row r="770">
      <c r="A770" s="259"/>
      <c r="B770" s="260"/>
      <c r="C770" s="260"/>
      <c r="D770" s="260"/>
      <c r="E770" s="260"/>
      <c r="F770" s="260"/>
      <c r="G770" s="260"/>
      <c r="H770" s="260"/>
      <c r="I770" s="260"/>
      <c r="J770" s="261"/>
      <c r="K770" s="260"/>
      <c r="L770" s="260"/>
      <c r="M770" s="260"/>
      <c r="N770" s="260"/>
      <c r="O770" s="260"/>
      <c r="P770" s="260"/>
      <c r="Q770" s="260"/>
      <c r="R770" s="260"/>
      <c r="S770" s="260"/>
      <c r="T770" s="279"/>
      <c r="U770" s="260"/>
      <c r="V770" s="260"/>
      <c r="W770" s="260"/>
      <c r="X770" s="260"/>
      <c r="Y770" s="260"/>
      <c r="Z770" s="260"/>
      <c r="AA770" s="264"/>
      <c r="AB770" s="260"/>
      <c r="AC770" s="260"/>
      <c r="AD770" s="260"/>
      <c r="AE770" s="260"/>
      <c r="AF770" s="260"/>
      <c r="AG770" s="260"/>
      <c r="AH770" s="260"/>
    </row>
    <row r="771">
      <c r="A771" s="259"/>
      <c r="B771" s="260"/>
      <c r="C771" s="260"/>
      <c r="D771" s="260"/>
      <c r="E771" s="260"/>
      <c r="F771" s="260"/>
      <c r="G771" s="260"/>
      <c r="H771" s="260"/>
      <c r="I771" s="260"/>
      <c r="J771" s="261"/>
      <c r="K771" s="260"/>
      <c r="L771" s="260"/>
      <c r="M771" s="260"/>
      <c r="N771" s="260"/>
      <c r="O771" s="260"/>
      <c r="P771" s="260"/>
      <c r="Q771" s="260"/>
      <c r="R771" s="260"/>
      <c r="S771" s="260"/>
      <c r="T771" s="279"/>
      <c r="U771" s="260"/>
      <c r="V771" s="260"/>
      <c r="W771" s="260"/>
      <c r="X771" s="260"/>
      <c r="Y771" s="260"/>
      <c r="Z771" s="260"/>
      <c r="AA771" s="264"/>
      <c r="AB771" s="260"/>
      <c r="AC771" s="260"/>
      <c r="AD771" s="260"/>
      <c r="AE771" s="260"/>
      <c r="AF771" s="260"/>
      <c r="AG771" s="260"/>
      <c r="AH771" s="260"/>
    </row>
    <row r="772">
      <c r="A772" s="259"/>
      <c r="B772" s="260"/>
      <c r="C772" s="260"/>
      <c r="D772" s="260"/>
      <c r="E772" s="260"/>
      <c r="F772" s="260"/>
      <c r="G772" s="260"/>
      <c r="H772" s="260"/>
      <c r="I772" s="260"/>
      <c r="J772" s="261"/>
      <c r="K772" s="260"/>
      <c r="L772" s="260"/>
      <c r="M772" s="260"/>
      <c r="N772" s="260"/>
      <c r="O772" s="260"/>
      <c r="P772" s="260"/>
      <c r="Q772" s="260"/>
      <c r="R772" s="260"/>
      <c r="S772" s="260"/>
      <c r="T772" s="279"/>
      <c r="U772" s="260"/>
      <c r="V772" s="260"/>
      <c r="W772" s="260"/>
      <c r="X772" s="260"/>
      <c r="Y772" s="260"/>
      <c r="Z772" s="260"/>
      <c r="AA772" s="264"/>
      <c r="AB772" s="260"/>
      <c r="AC772" s="260"/>
      <c r="AD772" s="260"/>
      <c r="AE772" s="260"/>
      <c r="AF772" s="260"/>
      <c r="AG772" s="260"/>
      <c r="AH772" s="260"/>
    </row>
    <row r="773">
      <c r="A773" s="259"/>
      <c r="B773" s="260"/>
      <c r="C773" s="260"/>
      <c r="D773" s="260"/>
      <c r="E773" s="260"/>
      <c r="F773" s="260"/>
      <c r="G773" s="260"/>
      <c r="H773" s="260"/>
      <c r="I773" s="260"/>
      <c r="J773" s="261"/>
      <c r="K773" s="260"/>
      <c r="L773" s="260"/>
      <c r="M773" s="260"/>
      <c r="N773" s="260"/>
      <c r="O773" s="260"/>
      <c r="P773" s="260"/>
      <c r="Q773" s="260"/>
      <c r="R773" s="260"/>
      <c r="S773" s="260"/>
      <c r="T773" s="279"/>
      <c r="U773" s="260"/>
      <c r="V773" s="260"/>
      <c r="W773" s="260"/>
      <c r="X773" s="260"/>
      <c r="Y773" s="260"/>
      <c r="Z773" s="260"/>
      <c r="AA773" s="264"/>
      <c r="AB773" s="260"/>
      <c r="AC773" s="260"/>
      <c r="AD773" s="260"/>
      <c r="AE773" s="260"/>
      <c r="AF773" s="260"/>
      <c r="AG773" s="260"/>
      <c r="AH773" s="260"/>
    </row>
    <row r="774">
      <c r="A774" s="259"/>
      <c r="B774" s="260"/>
      <c r="C774" s="260"/>
      <c r="D774" s="260"/>
      <c r="E774" s="260"/>
      <c r="F774" s="260"/>
      <c r="G774" s="260"/>
      <c r="H774" s="260"/>
      <c r="I774" s="260"/>
      <c r="J774" s="261"/>
      <c r="K774" s="260"/>
      <c r="L774" s="260"/>
      <c r="M774" s="260"/>
      <c r="N774" s="260"/>
      <c r="O774" s="260"/>
      <c r="P774" s="260"/>
      <c r="Q774" s="260"/>
      <c r="R774" s="260"/>
      <c r="S774" s="260"/>
      <c r="T774" s="279"/>
      <c r="U774" s="260"/>
      <c r="V774" s="260"/>
      <c r="W774" s="260"/>
      <c r="X774" s="260"/>
      <c r="Y774" s="260"/>
      <c r="Z774" s="260"/>
      <c r="AA774" s="264"/>
      <c r="AB774" s="260"/>
      <c r="AC774" s="260"/>
      <c r="AD774" s="260"/>
      <c r="AE774" s="260"/>
      <c r="AF774" s="260"/>
      <c r="AG774" s="260"/>
      <c r="AH774" s="260"/>
    </row>
    <row r="775">
      <c r="A775" s="259"/>
      <c r="B775" s="260"/>
      <c r="C775" s="260"/>
      <c r="D775" s="260"/>
      <c r="E775" s="260"/>
      <c r="F775" s="260"/>
      <c r="G775" s="260"/>
      <c r="H775" s="260"/>
      <c r="I775" s="260"/>
      <c r="J775" s="261"/>
      <c r="K775" s="260"/>
      <c r="L775" s="260"/>
      <c r="M775" s="260"/>
      <c r="N775" s="260"/>
      <c r="O775" s="260"/>
      <c r="P775" s="260"/>
      <c r="Q775" s="260"/>
      <c r="R775" s="260"/>
      <c r="S775" s="260"/>
      <c r="T775" s="279"/>
      <c r="U775" s="260"/>
      <c r="V775" s="260"/>
      <c r="W775" s="260"/>
      <c r="X775" s="260"/>
      <c r="Y775" s="260"/>
      <c r="Z775" s="260"/>
      <c r="AA775" s="264"/>
      <c r="AB775" s="260"/>
      <c r="AC775" s="260"/>
      <c r="AD775" s="260"/>
      <c r="AE775" s="260"/>
      <c r="AF775" s="260"/>
      <c r="AG775" s="260"/>
      <c r="AH775" s="260"/>
    </row>
    <row r="776">
      <c r="A776" s="259"/>
      <c r="B776" s="260"/>
      <c r="C776" s="260"/>
      <c r="D776" s="260"/>
      <c r="E776" s="260"/>
      <c r="F776" s="260"/>
      <c r="G776" s="260"/>
      <c r="H776" s="260"/>
      <c r="I776" s="260"/>
      <c r="J776" s="261"/>
      <c r="K776" s="260"/>
      <c r="L776" s="260"/>
      <c r="M776" s="260"/>
      <c r="N776" s="260"/>
      <c r="O776" s="260"/>
      <c r="P776" s="260"/>
      <c r="Q776" s="260"/>
      <c r="R776" s="260"/>
      <c r="S776" s="260"/>
      <c r="T776" s="279"/>
      <c r="U776" s="260"/>
      <c r="V776" s="260"/>
      <c r="W776" s="260"/>
      <c r="X776" s="260"/>
      <c r="Y776" s="260"/>
      <c r="Z776" s="260"/>
      <c r="AA776" s="264"/>
      <c r="AB776" s="260"/>
      <c r="AC776" s="260"/>
      <c r="AD776" s="260"/>
      <c r="AE776" s="260"/>
      <c r="AF776" s="260"/>
      <c r="AG776" s="260"/>
      <c r="AH776" s="260"/>
    </row>
    <row r="777">
      <c r="A777" s="259"/>
      <c r="B777" s="260"/>
      <c r="C777" s="260"/>
      <c r="D777" s="260"/>
      <c r="E777" s="260"/>
      <c r="F777" s="260"/>
      <c r="G777" s="260"/>
      <c r="H777" s="260"/>
      <c r="I777" s="260"/>
      <c r="J777" s="261"/>
      <c r="K777" s="260"/>
      <c r="L777" s="260"/>
      <c r="M777" s="260"/>
      <c r="N777" s="260"/>
      <c r="O777" s="260"/>
      <c r="P777" s="260"/>
      <c r="Q777" s="260"/>
      <c r="R777" s="260"/>
      <c r="S777" s="260"/>
      <c r="T777" s="279"/>
      <c r="U777" s="260"/>
      <c r="V777" s="260"/>
      <c r="W777" s="260"/>
      <c r="X777" s="260"/>
      <c r="Y777" s="260"/>
      <c r="Z777" s="260"/>
      <c r="AA777" s="264"/>
      <c r="AB777" s="260"/>
      <c r="AC777" s="260"/>
      <c r="AD777" s="260"/>
      <c r="AE777" s="260"/>
      <c r="AF777" s="260"/>
      <c r="AG777" s="260"/>
      <c r="AH777" s="260"/>
    </row>
    <row r="778">
      <c r="A778" s="259"/>
      <c r="B778" s="260"/>
      <c r="C778" s="260"/>
      <c r="D778" s="260"/>
      <c r="E778" s="260"/>
      <c r="F778" s="260"/>
      <c r="G778" s="260"/>
      <c r="H778" s="260"/>
      <c r="I778" s="260"/>
      <c r="J778" s="261"/>
      <c r="K778" s="260"/>
      <c r="L778" s="260"/>
      <c r="M778" s="260"/>
      <c r="N778" s="260"/>
      <c r="O778" s="260"/>
      <c r="P778" s="260"/>
      <c r="Q778" s="260"/>
      <c r="R778" s="260"/>
      <c r="S778" s="260"/>
      <c r="T778" s="279"/>
      <c r="U778" s="260"/>
      <c r="V778" s="260"/>
      <c r="W778" s="260"/>
      <c r="X778" s="260"/>
      <c r="Y778" s="260"/>
      <c r="Z778" s="260"/>
      <c r="AA778" s="264"/>
      <c r="AB778" s="260"/>
      <c r="AC778" s="260"/>
      <c r="AD778" s="260"/>
      <c r="AE778" s="260"/>
      <c r="AF778" s="260"/>
      <c r="AG778" s="260"/>
      <c r="AH778" s="260"/>
    </row>
    <row r="779">
      <c r="A779" s="259"/>
      <c r="B779" s="260"/>
      <c r="C779" s="260"/>
      <c r="D779" s="260"/>
      <c r="E779" s="260"/>
      <c r="F779" s="260"/>
      <c r="G779" s="260"/>
      <c r="H779" s="260"/>
      <c r="I779" s="260"/>
      <c r="J779" s="261"/>
      <c r="K779" s="260"/>
      <c r="L779" s="260"/>
      <c r="M779" s="260"/>
      <c r="N779" s="260"/>
      <c r="O779" s="260"/>
      <c r="P779" s="260"/>
      <c r="Q779" s="260"/>
      <c r="R779" s="260"/>
      <c r="S779" s="260"/>
      <c r="T779" s="279"/>
      <c r="U779" s="260"/>
      <c r="V779" s="260"/>
      <c r="W779" s="260"/>
      <c r="X779" s="260"/>
      <c r="Y779" s="260"/>
      <c r="Z779" s="260"/>
      <c r="AA779" s="264"/>
      <c r="AB779" s="260"/>
      <c r="AC779" s="260"/>
      <c r="AD779" s="260"/>
      <c r="AE779" s="260"/>
      <c r="AF779" s="260"/>
      <c r="AG779" s="260"/>
      <c r="AH779" s="260"/>
    </row>
    <row r="780">
      <c r="A780" s="259"/>
      <c r="B780" s="260"/>
      <c r="C780" s="260"/>
      <c r="D780" s="260"/>
      <c r="E780" s="260"/>
      <c r="F780" s="260"/>
      <c r="G780" s="260"/>
      <c r="H780" s="260"/>
      <c r="I780" s="260"/>
      <c r="J780" s="261"/>
      <c r="K780" s="260"/>
      <c r="L780" s="260"/>
      <c r="M780" s="260"/>
      <c r="N780" s="260"/>
      <c r="O780" s="260"/>
      <c r="P780" s="260"/>
      <c r="Q780" s="260"/>
      <c r="R780" s="260"/>
      <c r="S780" s="260"/>
      <c r="T780" s="279"/>
      <c r="U780" s="260"/>
      <c r="V780" s="260"/>
      <c r="W780" s="260"/>
      <c r="X780" s="260"/>
      <c r="Y780" s="260"/>
      <c r="Z780" s="260"/>
      <c r="AA780" s="264"/>
      <c r="AB780" s="260"/>
      <c r="AC780" s="260"/>
      <c r="AD780" s="260"/>
      <c r="AE780" s="260"/>
      <c r="AF780" s="260"/>
      <c r="AG780" s="260"/>
      <c r="AH780" s="260"/>
    </row>
    <row r="781">
      <c r="A781" s="259"/>
      <c r="B781" s="260"/>
      <c r="C781" s="260"/>
      <c r="D781" s="260"/>
      <c r="E781" s="260"/>
      <c r="F781" s="260"/>
      <c r="G781" s="260"/>
      <c r="H781" s="260"/>
      <c r="I781" s="260"/>
      <c r="J781" s="261"/>
      <c r="K781" s="260"/>
      <c r="L781" s="260"/>
      <c r="M781" s="260"/>
      <c r="N781" s="260"/>
      <c r="O781" s="260"/>
      <c r="P781" s="260"/>
      <c r="Q781" s="260"/>
      <c r="R781" s="260"/>
      <c r="S781" s="260"/>
      <c r="T781" s="279"/>
      <c r="U781" s="260"/>
      <c r="V781" s="260"/>
      <c r="W781" s="260"/>
      <c r="X781" s="260"/>
      <c r="Y781" s="260"/>
      <c r="Z781" s="260"/>
      <c r="AA781" s="264"/>
      <c r="AB781" s="260"/>
      <c r="AC781" s="260"/>
      <c r="AD781" s="260"/>
      <c r="AE781" s="260"/>
      <c r="AF781" s="260"/>
      <c r="AG781" s="260"/>
      <c r="AH781" s="260"/>
    </row>
    <row r="782">
      <c r="A782" s="259"/>
      <c r="B782" s="260"/>
      <c r="C782" s="260"/>
      <c r="D782" s="260"/>
      <c r="E782" s="260"/>
      <c r="F782" s="260"/>
      <c r="G782" s="260"/>
      <c r="H782" s="260"/>
      <c r="I782" s="260"/>
      <c r="J782" s="261"/>
      <c r="K782" s="260"/>
      <c r="L782" s="260"/>
      <c r="M782" s="260"/>
      <c r="N782" s="260"/>
      <c r="O782" s="260"/>
      <c r="P782" s="260"/>
      <c r="Q782" s="260"/>
      <c r="R782" s="260"/>
      <c r="S782" s="260"/>
      <c r="T782" s="279"/>
      <c r="U782" s="260"/>
      <c r="V782" s="260"/>
      <c r="W782" s="260"/>
      <c r="X782" s="260"/>
      <c r="Y782" s="260"/>
      <c r="Z782" s="260"/>
      <c r="AA782" s="264"/>
      <c r="AB782" s="260"/>
      <c r="AC782" s="260"/>
      <c r="AD782" s="260"/>
      <c r="AE782" s="260"/>
      <c r="AF782" s="260"/>
      <c r="AG782" s="260"/>
      <c r="AH782" s="260"/>
    </row>
    <row r="783">
      <c r="A783" s="259"/>
      <c r="B783" s="260"/>
      <c r="C783" s="260"/>
      <c r="D783" s="260"/>
      <c r="E783" s="260"/>
      <c r="F783" s="260"/>
      <c r="G783" s="260"/>
      <c r="H783" s="260"/>
      <c r="I783" s="260"/>
      <c r="J783" s="261"/>
      <c r="K783" s="260"/>
      <c r="L783" s="260"/>
      <c r="M783" s="260"/>
      <c r="N783" s="260"/>
      <c r="O783" s="260"/>
      <c r="P783" s="260"/>
      <c r="Q783" s="260"/>
      <c r="R783" s="260"/>
      <c r="S783" s="260"/>
      <c r="T783" s="279"/>
      <c r="U783" s="260"/>
      <c r="V783" s="260"/>
      <c r="W783" s="260"/>
      <c r="X783" s="260"/>
      <c r="Y783" s="260"/>
      <c r="Z783" s="260"/>
      <c r="AA783" s="264"/>
      <c r="AB783" s="260"/>
      <c r="AC783" s="260"/>
      <c r="AD783" s="260"/>
      <c r="AE783" s="260"/>
      <c r="AF783" s="260"/>
      <c r="AG783" s="260"/>
      <c r="AH783" s="260"/>
    </row>
    <row r="784">
      <c r="A784" s="259"/>
      <c r="B784" s="260"/>
      <c r="C784" s="260"/>
      <c r="D784" s="260"/>
      <c r="E784" s="260"/>
      <c r="F784" s="260"/>
      <c r="G784" s="260"/>
      <c r="H784" s="260"/>
      <c r="I784" s="260"/>
      <c r="J784" s="261"/>
      <c r="K784" s="260"/>
      <c r="L784" s="260"/>
      <c r="M784" s="260"/>
      <c r="N784" s="260"/>
      <c r="O784" s="260"/>
      <c r="P784" s="260"/>
      <c r="Q784" s="260"/>
      <c r="R784" s="260"/>
      <c r="S784" s="260"/>
      <c r="T784" s="279"/>
      <c r="U784" s="260"/>
      <c r="V784" s="260"/>
      <c r="W784" s="260"/>
      <c r="X784" s="260"/>
      <c r="Y784" s="260"/>
      <c r="Z784" s="260"/>
      <c r="AA784" s="264"/>
      <c r="AB784" s="260"/>
      <c r="AC784" s="260"/>
      <c r="AD784" s="260"/>
      <c r="AE784" s="260"/>
      <c r="AF784" s="260"/>
      <c r="AG784" s="260"/>
      <c r="AH784" s="260"/>
    </row>
    <row r="785">
      <c r="A785" s="259"/>
      <c r="B785" s="260"/>
      <c r="C785" s="260"/>
      <c r="D785" s="260"/>
      <c r="E785" s="260"/>
      <c r="F785" s="260"/>
      <c r="G785" s="260"/>
      <c r="H785" s="260"/>
      <c r="I785" s="260"/>
      <c r="J785" s="261"/>
      <c r="K785" s="260"/>
      <c r="L785" s="260"/>
      <c r="M785" s="260"/>
      <c r="N785" s="260"/>
      <c r="O785" s="260"/>
      <c r="P785" s="260"/>
      <c r="Q785" s="260"/>
      <c r="R785" s="260"/>
      <c r="S785" s="260"/>
      <c r="T785" s="279"/>
      <c r="U785" s="260"/>
      <c r="V785" s="260"/>
      <c r="W785" s="260"/>
      <c r="X785" s="260"/>
      <c r="Y785" s="260"/>
      <c r="Z785" s="260"/>
      <c r="AA785" s="264"/>
      <c r="AB785" s="260"/>
      <c r="AC785" s="260"/>
      <c r="AD785" s="260"/>
      <c r="AE785" s="260"/>
      <c r="AF785" s="260"/>
      <c r="AG785" s="260"/>
      <c r="AH785" s="260"/>
    </row>
    <row r="786">
      <c r="A786" s="259"/>
      <c r="B786" s="260"/>
      <c r="C786" s="260"/>
      <c r="D786" s="260"/>
      <c r="E786" s="260"/>
      <c r="F786" s="260"/>
      <c r="G786" s="260"/>
      <c r="H786" s="260"/>
      <c r="I786" s="260"/>
      <c r="J786" s="261"/>
      <c r="K786" s="260"/>
      <c r="L786" s="260"/>
      <c r="M786" s="260"/>
      <c r="N786" s="260"/>
      <c r="O786" s="260"/>
      <c r="P786" s="260"/>
      <c r="Q786" s="260"/>
      <c r="R786" s="260"/>
      <c r="S786" s="260"/>
      <c r="T786" s="279"/>
      <c r="U786" s="260"/>
      <c r="V786" s="260"/>
      <c r="W786" s="260"/>
      <c r="X786" s="260"/>
      <c r="Y786" s="260"/>
      <c r="Z786" s="260"/>
      <c r="AA786" s="264"/>
      <c r="AB786" s="260"/>
      <c r="AC786" s="260"/>
      <c r="AD786" s="260"/>
      <c r="AE786" s="260"/>
      <c r="AF786" s="260"/>
      <c r="AG786" s="260"/>
      <c r="AH786" s="260"/>
    </row>
    <row r="787">
      <c r="A787" s="259"/>
      <c r="B787" s="260"/>
      <c r="C787" s="260"/>
      <c r="D787" s="260"/>
      <c r="E787" s="260"/>
      <c r="F787" s="260"/>
      <c r="G787" s="260"/>
      <c r="H787" s="260"/>
      <c r="I787" s="260"/>
      <c r="J787" s="261"/>
      <c r="K787" s="260"/>
      <c r="L787" s="260"/>
      <c r="M787" s="260"/>
      <c r="N787" s="260"/>
      <c r="O787" s="260"/>
      <c r="P787" s="260"/>
      <c r="Q787" s="260"/>
      <c r="R787" s="260"/>
      <c r="S787" s="260"/>
      <c r="T787" s="279"/>
      <c r="U787" s="260"/>
      <c r="V787" s="260"/>
      <c r="W787" s="260"/>
      <c r="X787" s="260"/>
      <c r="Y787" s="260"/>
      <c r="Z787" s="260"/>
      <c r="AA787" s="264"/>
      <c r="AB787" s="260"/>
      <c r="AC787" s="260"/>
      <c r="AD787" s="260"/>
      <c r="AE787" s="260"/>
      <c r="AF787" s="260"/>
      <c r="AG787" s="260"/>
      <c r="AH787" s="260"/>
    </row>
    <row r="788">
      <c r="A788" s="259"/>
      <c r="B788" s="260"/>
      <c r="C788" s="260"/>
      <c r="D788" s="260"/>
      <c r="E788" s="260"/>
      <c r="F788" s="260"/>
      <c r="G788" s="260"/>
      <c r="H788" s="260"/>
      <c r="I788" s="260"/>
      <c r="J788" s="261"/>
      <c r="K788" s="260"/>
      <c r="L788" s="260"/>
      <c r="M788" s="260"/>
      <c r="N788" s="260"/>
      <c r="O788" s="260"/>
      <c r="P788" s="260"/>
      <c r="Q788" s="260"/>
      <c r="R788" s="260"/>
      <c r="S788" s="260"/>
      <c r="T788" s="279"/>
      <c r="U788" s="260"/>
      <c r="V788" s="260"/>
      <c r="W788" s="260"/>
      <c r="X788" s="260"/>
      <c r="Y788" s="260"/>
      <c r="Z788" s="260"/>
      <c r="AA788" s="264"/>
      <c r="AB788" s="260"/>
      <c r="AC788" s="260"/>
      <c r="AD788" s="260"/>
      <c r="AE788" s="260"/>
      <c r="AF788" s="260"/>
      <c r="AG788" s="260"/>
      <c r="AH788" s="260"/>
    </row>
    <row r="789">
      <c r="A789" s="259"/>
      <c r="B789" s="260"/>
      <c r="C789" s="260"/>
      <c r="D789" s="260"/>
      <c r="E789" s="260"/>
      <c r="F789" s="260"/>
      <c r="G789" s="260"/>
      <c r="H789" s="260"/>
      <c r="I789" s="260"/>
      <c r="J789" s="261"/>
      <c r="K789" s="260"/>
      <c r="L789" s="260"/>
      <c r="M789" s="260"/>
      <c r="N789" s="260"/>
      <c r="O789" s="260"/>
      <c r="P789" s="260"/>
      <c r="Q789" s="260"/>
      <c r="R789" s="260"/>
      <c r="S789" s="260"/>
      <c r="T789" s="279"/>
      <c r="U789" s="260"/>
      <c r="V789" s="260"/>
      <c r="W789" s="260"/>
      <c r="X789" s="260"/>
      <c r="Y789" s="260"/>
      <c r="Z789" s="260"/>
      <c r="AA789" s="264"/>
      <c r="AB789" s="260"/>
      <c r="AC789" s="260"/>
      <c r="AD789" s="260"/>
      <c r="AE789" s="260"/>
      <c r="AF789" s="260"/>
      <c r="AG789" s="260"/>
      <c r="AH789" s="260"/>
    </row>
    <row r="790">
      <c r="A790" s="259"/>
      <c r="B790" s="260"/>
      <c r="C790" s="260"/>
      <c r="D790" s="260"/>
      <c r="E790" s="260"/>
      <c r="F790" s="260"/>
      <c r="G790" s="260"/>
      <c r="H790" s="260"/>
      <c r="I790" s="260"/>
      <c r="J790" s="261"/>
      <c r="K790" s="260"/>
      <c r="L790" s="260"/>
      <c r="M790" s="260"/>
      <c r="N790" s="260"/>
      <c r="O790" s="260"/>
      <c r="P790" s="260"/>
      <c r="Q790" s="260"/>
      <c r="R790" s="260"/>
      <c r="S790" s="260"/>
      <c r="T790" s="279"/>
      <c r="U790" s="260"/>
      <c r="V790" s="260"/>
      <c r="W790" s="260"/>
      <c r="X790" s="260"/>
      <c r="Y790" s="260"/>
      <c r="Z790" s="260"/>
      <c r="AA790" s="264"/>
      <c r="AB790" s="260"/>
      <c r="AC790" s="260"/>
      <c r="AD790" s="260"/>
      <c r="AE790" s="260"/>
      <c r="AF790" s="260"/>
      <c r="AG790" s="260"/>
      <c r="AH790" s="260"/>
    </row>
    <row r="791">
      <c r="A791" s="259"/>
      <c r="B791" s="260"/>
      <c r="C791" s="260"/>
      <c r="D791" s="260"/>
      <c r="E791" s="260"/>
      <c r="F791" s="260"/>
      <c r="G791" s="260"/>
      <c r="H791" s="260"/>
      <c r="I791" s="260"/>
      <c r="J791" s="261"/>
      <c r="K791" s="260"/>
      <c r="L791" s="260"/>
      <c r="M791" s="260"/>
      <c r="N791" s="260"/>
      <c r="O791" s="260"/>
      <c r="P791" s="260"/>
      <c r="Q791" s="260"/>
      <c r="R791" s="260"/>
      <c r="S791" s="260"/>
      <c r="T791" s="279"/>
      <c r="U791" s="260"/>
      <c r="V791" s="260"/>
      <c r="W791" s="260"/>
      <c r="X791" s="260"/>
      <c r="Y791" s="260"/>
      <c r="Z791" s="260"/>
      <c r="AA791" s="264"/>
      <c r="AB791" s="260"/>
      <c r="AC791" s="260"/>
      <c r="AD791" s="260"/>
      <c r="AE791" s="260"/>
      <c r="AF791" s="260"/>
      <c r="AG791" s="260"/>
      <c r="AH791" s="260"/>
    </row>
    <row r="792">
      <c r="A792" s="259"/>
      <c r="B792" s="260"/>
      <c r="C792" s="260"/>
      <c r="D792" s="260"/>
      <c r="E792" s="260"/>
      <c r="F792" s="260"/>
      <c r="G792" s="260"/>
      <c r="H792" s="260"/>
      <c r="I792" s="260"/>
      <c r="J792" s="261"/>
      <c r="K792" s="260"/>
      <c r="L792" s="260"/>
      <c r="M792" s="260"/>
      <c r="N792" s="260"/>
      <c r="O792" s="260"/>
      <c r="P792" s="260"/>
      <c r="Q792" s="260"/>
      <c r="R792" s="260"/>
      <c r="S792" s="260"/>
      <c r="T792" s="279"/>
      <c r="U792" s="260"/>
      <c r="V792" s="260"/>
      <c r="W792" s="260"/>
      <c r="X792" s="260"/>
      <c r="Y792" s="260"/>
      <c r="Z792" s="260"/>
      <c r="AA792" s="264"/>
      <c r="AB792" s="260"/>
      <c r="AC792" s="260"/>
      <c r="AD792" s="260"/>
      <c r="AE792" s="260"/>
      <c r="AF792" s="260"/>
      <c r="AG792" s="260"/>
      <c r="AH792" s="260"/>
    </row>
    <row r="793">
      <c r="A793" s="259"/>
      <c r="B793" s="260"/>
      <c r="C793" s="260"/>
      <c r="D793" s="260"/>
      <c r="E793" s="260"/>
      <c r="F793" s="260"/>
      <c r="G793" s="260"/>
      <c r="H793" s="260"/>
      <c r="I793" s="260"/>
      <c r="J793" s="261"/>
      <c r="K793" s="260"/>
      <c r="L793" s="260"/>
      <c r="M793" s="260"/>
      <c r="N793" s="260"/>
      <c r="O793" s="260"/>
      <c r="P793" s="260"/>
      <c r="Q793" s="260"/>
      <c r="R793" s="260"/>
      <c r="S793" s="260"/>
      <c r="T793" s="279"/>
      <c r="U793" s="260"/>
      <c r="V793" s="260"/>
      <c r="W793" s="260"/>
      <c r="X793" s="260"/>
      <c r="Y793" s="260"/>
      <c r="Z793" s="260"/>
      <c r="AA793" s="264"/>
      <c r="AB793" s="260"/>
      <c r="AC793" s="260"/>
      <c r="AD793" s="260"/>
      <c r="AE793" s="260"/>
      <c r="AF793" s="260"/>
      <c r="AG793" s="260"/>
      <c r="AH793" s="260"/>
    </row>
    <row r="794">
      <c r="A794" s="259"/>
      <c r="B794" s="260"/>
      <c r="C794" s="260"/>
      <c r="D794" s="260"/>
      <c r="E794" s="260"/>
      <c r="F794" s="260"/>
      <c r="G794" s="260"/>
      <c r="H794" s="260"/>
      <c r="I794" s="260"/>
      <c r="J794" s="261"/>
      <c r="K794" s="260"/>
      <c r="L794" s="260"/>
      <c r="M794" s="260"/>
      <c r="N794" s="260"/>
      <c r="O794" s="260"/>
      <c r="P794" s="260"/>
      <c r="Q794" s="260"/>
      <c r="R794" s="260"/>
      <c r="S794" s="260"/>
      <c r="T794" s="279"/>
      <c r="U794" s="260"/>
      <c r="V794" s="260"/>
      <c r="W794" s="260"/>
      <c r="X794" s="260"/>
      <c r="Y794" s="260"/>
      <c r="Z794" s="260"/>
      <c r="AA794" s="264"/>
      <c r="AB794" s="260"/>
      <c r="AC794" s="260"/>
      <c r="AD794" s="260"/>
      <c r="AE794" s="260"/>
      <c r="AF794" s="260"/>
      <c r="AG794" s="260"/>
      <c r="AH794" s="260"/>
    </row>
    <row r="795">
      <c r="A795" s="259"/>
      <c r="B795" s="260"/>
      <c r="C795" s="260"/>
      <c r="D795" s="260"/>
      <c r="E795" s="260"/>
      <c r="F795" s="260"/>
      <c r="G795" s="260"/>
      <c r="H795" s="260"/>
      <c r="I795" s="260"/>
      <c r="J795" s="261"/>
      <c r="K795" s="260"/>
      <c r="L795" s="260"/>
      <c r="M795" s="260"/>
      <c r="N795" s="260"/>
      <c r="O795" s="260"/>
      <c r="P795" s="260"/>
      <c r="Q795" s="260"/>
      <c r="R795" s="260"/>
      <c r="S795" s="260"/>
      <c r="T795" s="279"/>
      <c r="U795" s="260"/>
      <c r="V795" s="260"/>
      <c r="W795" s="260"/>
      <c r="X795" s="260"/>
      <c r="Y795" s="260"/>
      <c r="Z795" s="260"/>
      <c r="AA795" s="264"/>
      <c r="AB795" s="260"/>
      <c r="AC795" s="260"/>
      <c r="AD795" s="260"/>
      <c r="AE795" s="260"/>
      <c r="AF795" s="260"/>
      <c r="AG795" s="260"/>
      <c r="AH795" s="260"/>
    </row>
    <row r="796">
      <c r="A796" s="259"/>
      <c r="B796" s="260"/>
      <c r="C796" s="260"/>
      <c r="D796" s="260"/>
      <c r="E796" s="260"/>
      <c r="F796" s="260"/>
      <c r="G796" s="260"/>
      <c r="H796" s="260"/>
      <c r="I796" s="260"/>
      <c r="J796" s="261"/>
      <c r="K796" s="260"/>
      <c r="L796" s="260"/>
      <c r="M796" s="260"/>
      <c r="N796" s="260"/>
      <c r="O796" s="260"/>
      <c r="P796" s="260"/>
      <c r="Q796" s="260"/>
      <c r="R796" s="260"/>
      <c r="S796" s="260"/>
      <c r="T796" s="279"/>
      <c r="U796" s="260"/>
      <c r="V796" s="260"/>
      <c r="W796" s="260"/>
      <c r="X796" s="260"/>
      <c r="Y796" s="260"/>
      <c r="Z796" s="260"/>
      <c r="AA796" s="264"/>
      <c r="AB796" s="260"/>
      <c r="AC796" s="260"/>
      <c r="AD796" s="260"/>
      <c r="AE796" s="260"/>
      <c r="AF796" s="260"/>
      <c r="AG796" s="260"/>
      <c r="AH796" s="260"/>
    </row>
    <row r="797">
      <c r="A797" s="259"/>
      <c r="B797" s="260"/>
      <c r="C797" s="260"/>
      <c r="D797" s="260"/>
      <c r="E797" s="260"/>
      <c r="F797" s="260"/>
      <c r="G797" s="260"/>
      <c r="H797" s="260"/>
      <c r="I797" s="260"/>
      <c r="J797" s="261"/>
      <c r="K797" s="260"/>
      <c r="L797" s="260"/>
      <c r="M797" s="260"/>
      <c r="N797" s="260"/>
      <c r="O797" s="260"/>
      <c r="P797" s="260"/>
      <c r="Q797" s="260"/>
      <c r="R797" s="260"/>
      <c r="S797" s="260"/>
      <c r="T797" s="279"/>
      <c r="U797" s="260"/>
      <c r="V797" s="260"/>
      <c r="W797" s="260"/>
      <c r="X797" s="260"/>
      <c r="Y797" s="260"/>
      <c r="Z797" s="260"/>
      <c r="AA797" s="264"/>
      <c r="AB797" s="260"/>
      <c r="AC797" s="260"/>
      <c r="AD797" s="260"/>
      <c r="AE797" s="260"/>
      <c r="AF797" s="260"/>
      <c r="AG797" s="260"/>
      <c r="AH797" s="260"/>
    </row>
    <row r="798">
      <c r="A798" s="259"/>
      <c r="B798" s="260"/>
      <c r="C798" s="260"/>
      <c r="D798" s="260"/>
      <c r="E798" s="260"/>
      <c r="F798" s="260"/>
      <c r="G798" s="260"/>
      <c r="H798" s="260"/>
      <c r="I798" s="260"/>
      <c r="J798" s="261"/>
      <c r="K798" s="260"/>
      <c r="L798" s="260"/>
      <c r="M798" s="260"/>
      <c r="N798" s="260"/>
      <c r="O798" s="260"/>
      <c r="P798" s="260"/>
      <c r="Q798" s="260"/>
      <c r="R798" s="260"/>
      <c r="S798" s="260"/>
      <c r="T798" s="279"/>
      <c r="U798" s="260"/>
      <c r="V798" s="260"/>
      <c r="W798" s="260"/>
      <c r="X798" s="260"/>
      <c r="Y798" s="260"/>
      <c r="Z798" s="260"/>
      <c r="AA798" s="264"/>
      <c r="AB798" s="260"/>
      <c r="AC798" s="260"/>
      <c r="AD798" s="260"/>
      <c r="AE798" s="260"/>
      <c r="AF798" s="260"/>
      <c r="AG798" s="260"/>
      <c r="AH798" s="260"/>
    </row>
    <row r="799">
      <c r="A799" s="259"/>
      <c r="B799" s="260"/>
      <c r="C799" s="260"/>
      <c r="D799" s="260"/>
      <c r="E799" s="260"/>
      <c r="F799" s="260"/>
      <c r="G799" s="260"/>
      <c r="H799" s="260"/>
      <c r="I799" s="260"/>
      <c r="J799" s="261"/>
      <c r="K799" s="260"/>
      <c r="L799" s="260"/>
      <c r="M799" s="260"/>
      <c r="N799" s="260"/>
      <c r="O799" s="260"/>
      <c r="P799" s="260"/>
      <c r="Q799" s="260"/>
      <c r="R799" s="260"/>
      <c r="S799" s="260"/>
      <c r="T799" s="279"/>
      <c r="U799" s="260"/>
      <c r="V799" s="260"/>
      <c r="W799" s="260"/>
      <c r="X799" s="260"/>
      <c r="Y799" s="260"/>
      <c r="Z799" s="260"/>
      <c r="AA799" s="264"/>
      <c r="AB799" s="260"/>
      <c r="AC799" s="260"/>
      <c r="AD799" s="260"/>
      <c r="AE799" s="260"/>
      <c r="AF799" s="260"/>
      <c r="AG799" s="260"/>
      <c r="AH799" s="260"/>
    </row>
    <row r="800">
      <c r="A800" s="259"/>
      <c r="B800" s="260"/>
      <c r="C800" s="260"/>
      <c r="D800" s="260"/>
      <c r="E800" s="260"/>
      <c r="F800" s="260"/>
      <c r="G800" s="260"/>
      <c r="H800" s="260"/>
      <c r="I800" s="260"/>
      <c r="J800" s="261"/>
      <c r="K800" s="260"/>
      <c r="L800" s="260"/>
      <c r="M800" s="260"/>
      <c r="N800" s="260"/>
      <c r="O800" s="260"/>
      <c r="P800" s="260"/>
      <c r="Q800" s="260"/>
      <c r="R800" s="260"/>
      <c r="S800" s="260"/>
      <c r="T800" s="279"/>
      <c r="U800" s="260"/>
      <c r="V800" s="260"/>
      <c r="W800" s="260"/>
      <c r="X800" s="260"/>
      <c r="Y800" s="260"/>
      <c r="Z800" s="260"/>
      <c r="AA800" s="264"/>
      <c r="AB800" s="260"/>
      <c r="AC800" s="260"/>
      <c r="AD800" s="260"/>
      <c r="AE800" s="260"/>
      <c r="AF800" s="260"/>
      <c r="AG800" s="260"/>
      <c r="AH800" s="260"/>
    </row>
    <row r="801">
      <c r="A801" s="259"/>
      <c r="B801" s="260"/>
      <c r="C801" s="260"/>
      <c r="D801" s="260"/>
      <c r="E801" s="260"/>
      <c r="F801" s="260"/>
      <c r="G801" s="260"/>
      <c r="H801" s="260"/>
      <c r="I801" s="260"/>
      <c r="J801" s="261"/>
      <c r="K801" s="260"/>
      <c r="L801" s="260"/>
      <c r="M801" s="260"/>
      <c r="N801" s="260"/>
      <c r="O801" s="260"/>
      <c r="P801" s="260"/>
      <c r="Q801" s="260"/>
      <c r="R801" s="260"/>
      <c r="S801" s="260"/>
      <c r="T801" s="279"/>
      <c r="U801" s="260"/>
      <c r="V801" s="260"/>
      <c r="W801" s="260"/>
      <c r="X801" s="260"/>
      <c r="Y801" s="260"/>
      <c r="Z801" s="260"/>
      <c r="AA801" s="264"/>
      <c r="AB801" s="260"/>
      <c r="AC801" s="260"/>
      <c r="AD801" s="260"/>
      <c r="AE801" s="260"/>
      <c r="AF801" s="260"/>
      <c r="AG801" s="260"/>
      <c r="AH801" s="260"/>
    </row>
    <row r="802">
      <c r="A802" s="259"/>
      <c r="B802" s="260"/>
      <c r="C802" s="260"/>
      <c r="D802" s="260"/>
      <c r="E802" s="260"/>
      <c r="F802" s="260"/>
      <c r="G802" s="260"/>
      <c r="H802" s="260"/>
      <c r="I802" s="260"/>
      <c r="J802" s="261"/>
      <c r="K802" s="260"/>
      <c r="L802" s="260"/>
      <c r="M802" s="260"/>
      <c r="N802" s="260"/>
      <c r="O802" s="260"/>
      <c r="P802" s="260"/>
      <c r="Q802" s="260"/>
      <c r="R802" s="260"/>
      <c r="S802" s="260"/>
      <c r="T802" s="279"/>
      <c r="U802" s="260"/>
      <c r="V802" s="260"/>
      <c r="W802" s="260"/>
      <c r="X802" s="260"/>
      <c r="Y802" s="260"/>
      <c r="Z802" s="260"/>
      <c r="AA802" s="264"/>
      <c r="AB802" s="260"/>
      <c r="AC802" s="260"/>
      <c r="AD802" s="260"/>
      <c r="AE802" s="260"/>
      <c r="AF802" s="260"/>
      <c r="AG802" s="260"/>
      <c r="AH802" s="260"/>
    </row>
    <row r="803">
      <c r="A803" s="259"/>
      <c r="B803" s="260"/>
      <c r="C803" s="260"/>
      <c r="D803" s="260"/>
      <c r="E803" s="260"/>
      <c r="F803" s="260"/>
      <c r="G803" s="260"/>
      <c r="H803" s="260"/>
      <c r="I803" s="260"/>
      <c r="J803" s="261"/>
      <c r="K803" s="260"/>
      <c r="L803" s="260"/>
      <c r="M803" s="260"/>
      <c r="N803" s="260"/>
      <c r="O803" s="260"/>
      <c r="P803" s="260"/>
      <c r="Q803" s="260"/>
      <c r="R803" s="260"/>
      <c r="S803" s="260"/>
      <c r="T803" s="279"/>
      <c r="U803" s="260"/>
      <c r="V803" s="260"/>
      <c r="W803" s="260"/>
      <c r="X803" s="260"/>
      <c r="Y803" s="260"/>
      <c r="Z803" s="260"/>
      <c r="AA803" s="264"/>
      <c r="AB803" s="260"/>
      <c r="AC803" s="260"/>
      <c r="AD803" s="260"/>
      <c r="AE803" s="260"/>
      <c r="AF803" s="260"/>
      <c r="AG803" s="260"/>
      <c r="AH803" s="260"/>
    </row>
    <row r="804">
      <c r="A804" s="259"/>
      <c r="B804" s="260"/>
      <c r="C804" s="260"/>
      <c r="D804" s="260"/>
      <c r="E804" s="260"/>
      <c r="F804" s="260"/>
      <c r="G804" s="260"/>
      <c r="H804" s="260"/>
      <c r="I804" s="260"/>
      <c r="J804" s="261"/>
      <c r="K804" s="260"/>
      <c r="L804" s="260"/>
      <c r="M804" s="260"/>
      <c r="N804" s="260"/>
      <c r="O804" s="260"/>
      <c r="P804" s="260"/>
      <c r="Q804" s="260"/>
      <c r="R804" s="260"/>
      <c r="S804" s="260"/>
      <c r="T804" s="279"/>
      <c r="U804" s="260"/>
      <c r="V804" s="260"/>
      <c r="W804" s="260"/>
      <c r="X804" s="260"/>
      <c r="Y804" s="260"/>
      <c r="Z804" s="260"/>
      <c r="AA804" s="264"/>
      <c r="AB804" s="260"/>
      <c r="AC804" s="260"/>
      <c r="AD804" s="260"/>
      <c r="AE804" s="260"/>
      <c r="AF804" s="260"/>
      <c r="AG804" s="260"/>
      <c r="AH804" s="260"/>
    </row>
    <row r="805">
      <c r="A805" s="259"/>
      <c r="B805" s="260"/>
      <c r="C805" s="260"/>
      <c r="D805" s="260"/>
      <c r="E805" s="260"/>
      <c r="F805" s="260"/>
      <c r="G805" s="260"/>
      <c r="H805" s="260"/>
      <c r="I805" s="260"/>
      <c r="J805" s="261"/>
      <c r="K805" s="260"/>
      <c r="L805" s="260"/>
      <c r="M805" s="260"/>
      <c r="N805" s="260"/>
      <c r="O805" s="260"/>
      <c r="P805" s="260"/>
      <c r="Q805" s="260"/>
      <c r="R805" s="260"/>
      <c r="S805" s="260"/>
      <c r="T805" s="279"/>
      <c r="U805" s="260"/>
      <c r="V805" s="260"/>
      <c r="W805" s="260"/>
      <c r="X805" s="260"/>
      <c r="Y805" s="260"/>
      <c r="Z805" s="260"/>
      <c r="AA805" s="264"/>
      <c r="AB805" s="260"/>
      <c r="AC805" s="260"/>
      <c r="AD805" s="260"/>
      <c r="AE805" s="260"/>
      <c r="AF805" s="260"/>
      <c r="AG805" s="260"/>
      <c r="AH805" s="260"/>
    </row>
    <row r="806">
      <c r="A806" s="259"/>
      <c r="B806" s="260"/>
      <c r="C806" s="260"/>
      <c r="D806" s="260"/>
      <c r="E806" s="260"/>
      <c r="F806" s="260"/>
      <c r="G806" s="260"/>
      <c r="H806" s="260"/>
      <c r="I806" s="260"/>
      <c r="J806" s="261"/>
      <c r="K806" s="260"/>
      <c r="L806" s="260"/>
      <c r="M806" s="260"/>
      <c r="N806" s="260"/>
      <c r="O806" s="260"/>
      <c r="P806" s="260"/>
      <c r="Q806" s="260"/>
      <c r="R806" s="260"/>
      <c r="S806" s="260"/>
      <c r="T806" s="279"/>
      <c r="U806" s="260"/>
      <c r="V806" s="260"/>
      <c r="W806" s="260"/>
      <c r="X806" s="260"/>
      <c r="Y806" s="260"/>
      <c r="Z806" s="260"/>
      <c r="AA806" s="264"/>
      <c r="AB806" s="260"/>
      <c r="AC806" s="260"/>
      <c r="AD806" s="260"/>
      <c r="AE806" s="260"/>
      <c r="AF806" s="260"/>
      <c r="AG806" s="260"/>
      <c r="AH806" s="260"/>
    </row>
    <row r="807">
      <c r="A807" s="259"/>
      <c r="B807" s="260"/>
      <c r="C807" s="260"/>
      <c r="D807" s="260"/>
      <c r="E807" s="260"/>
      <c r="F807" s="260"/>
      <c r="G807" s="260"/>
      <c r="H807" s="260"/>
      <c r="I807" s="260"/>
      <c r="J807" s="261"/>
      <c r="K807" s="260"/>
      <c r="L807" s="260"/>
      <c r="M807" s="260"/>
      <c r="N807" s="260"/>
      <c r="O807" s="260"/>
      <c r="P807" s="260"/>
      <c r="Q807" s="260"/>
      <c r="R807" s="260"/>
      <c r="S807" s="260"/>
      <c r="T807" s="279"/>
      <c r="U807" s="260"/>
      <c r="V807" s="260"/>
      <c r="W807" s="260"/>
      <c r="X807" s="260"/>
      <c r="Y807" s="260"/>
      <c r="Z807" s="260"/>
      <c r="AA807" s="264"/>
      <c r="AB807" s="260"/>
      <c r="AC807" s="260"/>
      <c r="AD807" s="260"/>
      <c r="AE807" s="260"/>
      <c r="AF807" s="260"/>
      <c r="AG807" s="260"/>
      <c r="AH807" s="260"/>
    </row>
    <row r="808">
      <c r="A808" s="259"/>
      <c r="B808" s="260"/>
      <c r="C808" s="260"/>
      <c r="D808" s="260"/>
      <c r="E808" s="260"/>
      <c r="F808" s="260"/>
      <c r="G808" s="260"/>
      <c r="H808" s="260"/>
      <c r="I808" s="260"/>
      <c r="J808" s="261"/>
      <c r="K808" s="260"/>
      <c r="L808" s="260"/>
      <c r="M808" s="260"/>
      <c r="N808" s="260"/>
      <c r="O808" s="260"/>
      <c r="P808" s="260"/>
      <c r="Q808" s="260"/>
      <c r="R808" s="260"/>
      <c r="S808" s="260"/>
      <c r="T808" s="279"/>
      <c r="U808" s="260"/>
      <c r="V808" s="260"/>
      <c r="W808" s="260"/>
      <c r="X808" s="260"/>
      <c r="Y808" s="260"/>
      <c r="Z808" s="260"/>
      <c r="AA808" s="264"/>
      <c r="AB808" s="260"/>
      <c r="AC808" s="260"/>
      <c r="AD808" s="260"/>
      <c r="AE808" s="260"/>
      <c r="AF808" s="260"/>
      <c r="AG808" s="260"/>
      <c r="AH808" s="260"/>
    </row>
    <row r="809">
      <c r="A809" s="259"/>
      <c r="B809" s="260"/>
      <c r="C809" s="260"/>
      <c r="D809" s="260"/>
      <c r="E809" s="260"/>
      <c r="F809" s="260"/>
      <c r="G809" s="260"/>
      <c r="H809" s="260"/>
      <c r="I809" s="260"/>
      <c r="J809" s="261"/>
      <c r="K809" s="260"/>
      <c r="L809" s="260"/>
      <c r="M809" s="260"/>
      <c r="N809" s="260"/>
      <c r="O809" s="260"/>
      <c r="P809" s="260"/>
      <c r="Q809" s="260"/>
      <c r="R809" s="260"/>
      <c r="S809" s="260"/>
      <c r="T809" s="279"/>
      <c r="U809" s="260"/>
      <c r="V809" s="260"/>
      <c r="W809" s="260"/>
      <c r="X809" s="260"/>
      <c r="Y809" s="260"/>
      <c r="Z809" s="260"/>
      <c r="AA809" s="264"/>
      <c r="AB809" s="260"/>
      <c r="AC809" s="260"/>
      <c r="AD809" s="260"/>
      <c r="AE809" s="260"/>
      <c r="AF809" s="260"/>
      <c r="AG809" s="260"/>
      <c r="AH809" s="260"/>
    </row>
    <row r="810">
      <c r="A810" s="259"/>
      <c r="B810" s="260"/>
      <c r="C810" s="260"/>
      <c r="D810" s="260"/>
      <c r="E810" s="260"/>
      <c r="F810" s="260"/>
      <c r="G810" s="260"/>
      <c r="H810" s="260"/>
      <c r="I810" s="260"/>
      <c r="J810" s="261"/>
      <c r="K810" s="260"/>
      <c r="L810" s="260"/>
      <c r="M810" s="260"/>
      <c r="N810" s="260"/>
      <c r="O810" s="260"/>
      <c r="P810" s="260"/>
      <c r="Q810" s="260"/>
      <c r="R810" s="260"/>
      <c r="S810" s="260"/>
      <c r="T810" s="279"/>
      <c r="U810" s="260"/>
      <c r="V810" s="260"/>
      <c r="W810" s="260"/>
      <c r="X810" s="260"/>
      <c r="Y810" s="260"/>
      <c r="Z810" s="260"/>
      <c r="AA810" s="264"/>
      <c r="AB810" s="260"/>
      <c r="AC810" s="260"/>
      <c r="AD810" s="260"/>
      <c r="AE810" s="260"/>
      <c r="AF810" s="260"/>
      <c r="AG810" s="260"/>
      <c r="AH810" s="260"/>
    </row>
    <row r="811">
      <c r="A811" s="259"/>
      <c r="B811" s="260"/>
      <c r="C811" s="260"/>
      <c r="D811" s="260"/>
      <c r="E811" s="260"/>
      <c r="F811" s="260"/>
      <c r="G811" s="260"/>
      <c r="H811" s="260"/>
      <c r="I811" s="260"/>
      <c r="J811" s="261"/>
      <c r="K811" s="260"/>
      <c r="L811" s="260"/>
      <c r="M811" s="260"/>
      <c r="N811" s="260"/>
      <c r="O811" s="260"/>
      <c r="P811" s="260"/>
      <c r="Q811" s="260"/>
      <c r="R811" s="260"/>
      <c r="S811" s="260"/>
      <c r="T811" s="279"/>
      <c r="U811" s="260"/>
      <c r="V811" s="260"/>
      <c r="W811" s="260"/>
      <c r="X811" s="260"/>
      <c r="Y811" s="260"/>
      <c r="Z811" s="260"/>
      <c r="AA811" s="264"/>
      <c r="AB811" s="260"/>
      <c r="AC811" s="260"/>
      <c r="AD811" s="260"/>
      <c r="AE811" s="260"/>
      <c r="AF811" s="260"/>
      <c r="AG811" s="260"/>
      <c r="AH811" s="260"/>
    </row>
    <row r="812">
      <c r="A812" s="259"/>
      <c r="B812" s="260"/>
      <c r="C812" s="260"/>
      <c r="D812" s="260"/>
      <c r="E812" s="260"/>
      <c r="F812" s="260"/>
      <c r="G812" s="260"/>
      <c r="H812" s="260"/>
      <c r="I812" s="260"/>
      <c r="J812" s="261"/>
      <c r="K812" s="260"/>
      <c r="L812" s="260"/>
      <c r="M812" s="260"/>
      <c r="N812" s="260"/>
      <c r="O812" s="260"/>
      <c r="P812" s="260"/>
      <c r="Q812" s="260"/>
      <c r="R812" s="260"/>
      <c r="S812" s="260"/>
      <c r="T812" s="279"/>
      <c r="U812" s="260"/>
      <c r="V812" s="260"/>
      <c r="W812" s="260"/>
      <c r="X812" s="260"/>
      <c r="Y812" s="260"/>
      <c r="Z812" s="260"/>
      <c r="AA812" s="264"/>
      <c r="AB812" s="260"/>
      <c r="AC812" s="260"/>
      <c r="AD812" s="260"/>
      <c r="AE812" s="260"/>
      <c r="AF812" s="260"/>
      <c r="AG812" s="260"/>
      <c r="AH812" s="260"/>
    </row>
    <row r="813">
      <c r="A813" s="259"/>
      <c r="B813" s="260"/>
      <c r="C813" s="260"/>
      <c r="D813" s="260"/>
      <c r="E813" s="260"/>
      <c r="F813" s="260"/>
      <c r="G813" s="260"/>
      <c r="H813" s="260"/>
      <c r="I813" s="260"/>
      <c r="J813" s="261"/>
      <c r="K813" s="260"/>
      <c r="L813" s="260"/>
      <c r="M813" s="260"/>
      <c r="N813" s="260"/>
      <c r="O813" s="260"/>
      <c r="P813" s="260"/>
      <c r="Q813" s="260"/>
      <c r="R813" s="260"/>
      <c r="S813" s="260"/>
      <c r="T813" s="279"/>
      <c r="U813" s="260"/>
      <c r="V813" s="260"/>
      <c r="W813" s="260"/>
      <c r="X813" s="260"/>
      <c r="Y813" s="260"/>
      <c r="Z813" s="260"/>
      <c r="AA813" s="264"/>
      <c r="AB813" s="260"/>
      <c r="AC813" s="260"/>
      <c r="AD813" s="260"/>
      <c r="AE813" s="260"/>
      <c r="AF813" s="260"/>
      <c r="AG813" s="260"/>
      <c r="AH813" s="260"/>
    </row>
    <row r="814">
      <c r="A814" s="259"/>
      <c r="B814" s="260"/>
      <c r="C814" s="260"/>
      <c r="D814" s="260"/>
      <c r="E814" s="260"/>
      <c r="F814" s="260"/>
      <c r="G814" s="260"/>
      <c r="H814" s="260"/>
      <c r="I814" s="260"/>
      <c r="J814" s="261"/>
      <c r="K814" s="260"/>
      <c r="L814" s="260"/>
      <c r="M814" s="260"/>
      <c r="N814" s="260"/>
      <c r="O814" s="260"/>
      <c r="P814" s="260"/>
      <c r="Q814" s="260"/>
      <c r="R814" s="260"/>
      <c r="S814" s="260"/>
      <c r="T814" s="279"/>
      <c r="U814" s="260"/>
      <c r="V814" s="260"/>
      <c r="W814" s="260"/>
      <c r="X814" s="260"/>
      <c r="Y814" s="260"/>
      <c r="Z814" s="260"/>
      <c r="AA814" s="264"/>
      <c r="AB814" s="260"/>
      <c r="AC814" s="260"/>
      <c r="AD814" s="260"/>
      <c r="AE814" s="260"/>
      <c r="AF814" s="260"/>
      <c r="AG814" s="260"/>
      <c r="AH814" s="260"/>
    </row>
    <row r="815">
      <c r="A815" s="259"/>
      <c r="B815" s="260"/>
      <c r="C815" s="260"/>
      <c r="D815" s="260"/>
      <c r="E815" s="260"/>
      <c r="F815" s="260"/>
      <c r="G815" s="260"/>
      <c r="H815" s="260"/>
      <c r="I815" s="260"/>
      <c r="J815" s="261"/>
      <c r="K815" s="260"/>
      <c r="L815" s="260"/>
      <c r="M815" s="260"/>
      <c r="N815" s="260"/>
      <c r="O815" s="260"/>
      <c r="P815" s="260"/>
      <c r="Q815" s="260"/>
      <c r="R815" s="260"/>
      <c r="S815" s="260"/>
      <c r="T815" s="279"/>
      <c r="U815" s="260"/>
      <c r="V815" s="260"/>
      <c r="W815" s="260"/>
      <c r="X815" s="260"/>
      <c r="Y815" s="260"/>
      <c r="Z815" s="260"/>
      <c r="AA815" s="264"/>
      <c r="AB815" s="260"/>
      <c r="AC815" s="260"/>
      <c r="AD815" s="260"/>
      <c r="AE815" s="260"/>
      <c r="AF815" s="260"/>
      <c r="AG815" s="260"/>
      <c r="AH815" s="260"/>
    </row>
    <row r="816">
      <c r="A816" s="259"/>
      <c r="B816" s="260"/>
      <c r="C816" s="260"/>
      <c r="D816" s="260"/>
      <c r="E816" s="260"/>
      <c r="F816" s="260"/>
      <c r="G816" s="260"/>
      <c r="H816" s="260"/>
      <c r="I816" s="260"/>
      <c r="J816" s="261"/>
      <c r="K816" s="260"/>
      <c r="L816" s="260"/>
      <c r="M816" s="260"/>
      <c r="N816" s="260"/>
      <c r="O816" s="260"/>
      <c r="P816" s="260"/>
      <c r="Q816" s="260"/>
      <c r="R816" s="260"/>
      <c r="S816" s="260"/>
      <c r="T816" s="279"/>
      <c r="U816" s="260"/>
      <c r="V816" s="260"/>
      <c r="W816" s="260"/>
      <c r="X816" s="260"/>
      <c r="Y816" s="260"/>
      <c r="Z816" s="260"/>
      <c r="AA816" s="264"/>
      <c r="AB816" s="260"/>
      <c r="AC816" s="260"/>
      <c r="AD816" s="260"/>
      <c r="AE816" s="260"/>
      <c r="AF816" s="260"/>
      <c r="AG816" s="260"/>
      <c r="AH816" s="260"/>
    </row>
    <row r="817">
      <c r="A817" s="259"/>
      <c r="B817" s="260"/>
      <c r="C817" s="260"/>
      <c r="D817" s="260"/>
      <c r="E817" s="260"/>
      <c r="F817" s="260"/>
      <c r="G817" s="260"/>
      <c r="H817" s="260"/>
      <c r="I817" s="260"/>
      <c r="J817" s="261"/>
      <c r="K817" s="260"/>
      <c r="L817" s="260"/>
      <c r="M817" s="260"/>
      <c r="N817" s="260"/>
      <c r="O817" s="260"/>
      <c r="P817" s="260"/>
      <c r="Q817" s="260"/>
      <c r="R817" s="260"/>
      <c r="S817" s="260"/>
      <c r="T817" s="279"/>
      <c r="U817" s="260"/>
      <c r="V817" s="260"/>
      <c r="W817" s="260"/>
      <c r="X817" s="260"/>
      <c r="Y817" s="260"/>
      <c r="Z817" s="260"/>
      <c r="AA817" s="264"/>
      <c r="AB817" s="260"/>
      <c r="AC817" s="260"/>
      <c r="AD817" s="260"/>
      <c r="AE817" s="260"/>
      <c r="AF817" s="260"/>
      <c r="AG817" s="260"/>
      <c r="AH817" s="260"/>
    </row>
    <row r="818">
      <c r="A818" s="259"/>
      <c r="B818" s="260"/>
      <c r="C818" s="260"/>
      <c r="D818" s="260"/>
      <c r="E818" s="260"/>
      <c r="F818" s="260"/>
      <c r="G818" s="260"/>
      <c r="H818" s="260"/>
      <c r="I818" s="260"/>
      <c r="J818" s="261"/>
      <c r="K818" s="260"/>
      <c r="L818" s="260"/>
      <c r="M818" s="260"/>
      <c r="N818" s="260"/>
      <c r="O818" s="260"/>
      <c r="P818" s="260"/>
      <c r="Q818" s="260"/>
      <c r="R818" s="260"/>
      <c r="S818" s="260"/>
      <c r="T818" s="279"/>
      <c r="U818" s="260"/>
      <c r="V818" s="260"/>
      <c r="W818" s="260"/>
      <c r="X818" s="260"/>
      <c r="Y818" s="260"/>
      <c r="Z818" s="260"/>
      <c r="AA818" s="264"/>
      <c r="AB818" s="260"/>
      <c r="AC818" s="260"/>
      <c r="AD818" s="260"/>
      <c r="AE818" s="260"/>
      <c r="AF818" s="260"/>
      <c r="AG818" s="260"/>
      <c r="AH818" s="260"/>
    </row>
    <row r="819">
      <c r="A819" s="259"/>
      <c r="B819" s="260"/>
      <c r="C819" s="260"/>
      <c r="D819" s="260"/>
      <c r="E819" s="260"/>
      <c r="F819" s="260"/>
      <c r="G819" s="260"/>
      <c r="H819" s="260"/>
      <c r="I819" s="260"/>
      <c r="J819" s="261"/>
      <c r="K819" s="260"/>
      <c r="L819" s="260"/>
      <c r="M819" s="260"/>
      <c r="N819" s="260"/>
      <c r="O819" s="260"/>
      <c r="P819" s="260"/>
      <c r="Q819" s="260"/>
      <c r="R819" s="260"/>
      <c r="S819" s="260"/>
      <c r="T819" s="279"/>
      <c r="U819" s="260"/>
      <c r="V819" s="260"/>
      <c r="W819" s="260"/>
      <c r="X819" s="260"/>
      <c r="Y819" s="260"/>
      <c r="Z819" s="260"/>
      <c r="AA819" s="264"/>
      <c r="AB819" s="260"/>
      <c r="AC819" s="260"/>
      <c r="AD819" s="260"/>
      <c r="AE819" s="260"/>
      <c r="AF819" s="260"/>
      <c r="AG819" s="260"/>
      <c r="AH819" s="260"/>
    </row>
    <row r="820">
      <c r="A820" s="259"/>
      <c r="B820" s="260"/>
      <c r="C820" s="260"/>
      <c r="D820" s="260"/>
      <c r="E820" s="260"/>
      <c r="F820" s="260"/>
      <c r="G820" s="260"/>
      <c r="H820" s="260"/>
      <c r="I820" s="260"/>
      <c r="J820" s="261"/>
      <c r="K820" s="260"/>
      <c r="L820" s="260"/>
      <c r="M820" s="260"/>
      <c r="N820" s="260"/>
      <c r="O820" s="260"/>
      <c r="P820" s="260"/>
      <c r="Q820" s="260"/>
      <c r="R820" s="260"/>
      <c r="S820" s="260"/>
      <c r="T820" s="279"/>
      <c r="U820" s="260"/>
      <c r="V820" s="260"/>
      <c r="W820" s="260"/>
      <c r="X820" s="260"/>
      <c r="Y820" s="260"/>
      <c r="Z820" s="260"/>
      <c r="AA820" s="264"/>
      <c r="AB820" s="260"/>
      <c r="AC820" s="260"/>
      <c r="AD820" s="260"/>
      <c r="AE820" s="260"/>
      <c r="AF820" s="260"/>
      <c r="AG820" s="260"/>
      <c r="AH820" s="260"/>
    </row>
    <row r="821">
      <c r="A821" s="259"/>
      <c r="B821" s="260"/>
      <c r="C821" s="260"/>
      <c r="D821" s="260"/>
      <c r="E821" s="260"/>
      <c r="F821" s="260"/>
      <c r="G821" s="260"/>
      <c r="H821" s="260"/>
      <c r="I821" s="260"/>
      <c r="J821" s="261"/>
      <c r="K821" s="260"/>
      <c r="L821" s="260"/>
      <c r="M821" s="260"/>
      <c r="N821" s="260"/>
      <c r="O821" s="260"/>
      <c r="P821" s="260"/>
      <c r="Q821" s="260"/>
      <c r="R821" s="260"/>
      <c r="S821" s="260"/>
      <c r="T821" s="279"/>
      <c r="U821" s="260"/>
      <c r="V821" s="260"/>
      <c r="W821" s="260"/>
      <c r="X821" s="260"/>
      <c r="Y821" s="260"/>
      <c r="Z821" s="260"/>
      <c r="AA821" s="264"/>
      <c r="AB821" s="260"/>
      <c r="AC821" s="260"/>
      <c r="AD821" s="260"/>
      <c r="AE821" s="260"/>
      <c r="AF821" s="260"/>
      <c r="AG821" s="260"/>
      <c r="AH821" s="260"/>
    </row>
    <row r="822">
      <c r="A822" s="259"/>
      <c r="B822" s="260"/>
      <c r="C822" s="260"/>
      <c r="D822" s="260"/>
      <c r="E822" s="260"/>
      <c r="F822" s="260"/>
      <c r="G822" s="260"/>
      <c r="H822" s="260"/>
      <c r="I822" s="260"/>
      <c r="J822" s="261"/>
      <c r="K822" s="260"/>
      <c r="L822" s="260"/>
      <c r="M822" s="260"/>
      <c r="N822" s="260"/>
      <c r="O822" s="260"/>
      <c r="P822" s="260"/>
      <c r="Q822" s="260"/>
      <c r="R822" s="260"/>
      <c r="S822" s="260"/>
      <c r="T822" s="279"/>
      <c r="U822" s="260"/>
      <c r="V822" s="260"/>
      <c r="W822" s="260"/>
      <c r="X822" s="260"/>
      <c r="Y822" s="260"/>
      <c r="Z822" s="260"/>
      <c r="AA822" s="264"/>
      <c r="AB822" s="260"/>
      <c r="AC822" s="260"/>
      <c r="AD822" s="260"/>
      <c r="AE822" s="260"/>
      <c r="AF822" s="260"/>
      <c r="AG822" s="260"/>
      <c r="AH822" s="260"/>
    </row>
    <row r="823">
      <c r="A823" s="259"/>
      <c r="B823" s="260"/>
      <c r="C823" s="260"/>
      <c r="D823" s="260"/>
      <c r="E823" s="260"/>
      <c r="F823" s="260"/>
      <c r="G823" s="260"/>
      <c r="H823" s="260"/>
      <c r="I823" s="260"/>
      <c r="J823" s="261"/>
      <c r="K823" s="260"/>
      <c r="L823" s="260"/>
      <c r="M823" s="260"/>
      <c r="N823" s="260"/>
      <c r="O823" s="260"/>
      <c r="P823" s="260"/>
      <c r="Q823" s="260"/>
      <c r="R823" s="260"/>
      <c r="S823" s="260"/>
      <c r="T823" s="279"/>
      <c r="U823" s="260"/>
      <c r="V823" s="260"/>
      <c r="W823" s="260"/>
      <c r="X823" s="260"/>
      <c r="Y823" s="260"/>
      <c r="Z823" s="260"/>
      <c r="AA823" s="264"/>
      <c r="AB823" s="260"/>
      <c r="AC823" s="260"/>
      <c r="AD823" s="260"/>
      <c r="AE823" s="260"/>
      <c r="AF823" s="260"/>
      <c r="AG823" s="260"/>
      <c r="AH823" s="260"/>
    </row>
    <row r="824">
      <c r="A824" s="259"/>
      <c r="B824" s="260"/>
      <c r="C824" s="260"/>
      <c r="D824" s="260"/>
      <c r="E824" s="260"/>
      <c r="F824" s="260"/>
      <c r="G824" s="260"/>
      <c r="H824" s="260"/>
      <c r="I824" s="260"/>
      <c r="J824" s="261"/>
      <c r="K824" s="260"/>
      <c r="L824" s="260"/>
      <c r="M824" s="260"/>
      <c r="N824" s="260"/>
      <c r="O824" s="260"/>
      <c r="P824" s="260"/>
      <c r="Q824" s="260"/>
      <c r="R824" s="260"/>
      <c r="S824" s="260"/>
      <c r="T824" s="279"/>
      <c r="U824" s="260"/>
      <c r="V824" s="260"/>
      <c r="W824" s="260"/>
      <c r="X824" s="260"/>
      <c r="Y824" s="260"/>
      <c r="Z824" s="260"/>
      <c r="AA824" s="264"/>
      <c r="AB824" s="260"/>
      <c r="AC824" s="260"/>
      <c r="AD824" s="260"/>
      <c r="AE824" s="260"/>
      <c r="AF824" s="260"/>
      <c r="AG824" s="260"/>
      <c r="AH824" s="260"/>
    </row>
    <row r="825">
      <c r="A825" s="259"/>
      <c r="B825" s="260"/>
      <c r="C825" s="260"/>
      <c r="D825" s="260"/>
      <c r="E825" s="260"/>
      <c r="F825" s="260"/>
      <c r="G825" s="260"/>
      <c r="H825" s="260"/>
      <c r="I825" s="260"/>
      <c r="J825" s="261"/>
      <c r="K825" s="260"/>
      <c r="L825" s="260"/>
      <c r="M825" s="260"/>
      <c r="N825" s="260"/>
      <c r="O825" s="260"/>
      <c r="P825" s="260"/>
      <c r="Q825" s="260"/>
      <c r="R825" s="260"/>
      <c r="S825" s="260"/>
      <c r="T825" s="279"/>
      <c r="U825" s="260"/>
      <c r="V825" s="260"/>
      <c r="W825" s="260"/>
      <c r="X825" s="260"/>
      <c r="Y825" s="260"/>
      <c r="Z825" s="260"/>
      <c r="AA825" s="264"/>
      <c r="AB825" s="260"/>
      <c r="AC825" s="260"/>
      <c r="AD825" s="260"/>
      <c r="AE825" s="260"/>
      <c r="AF825" s="260"/>
      <c r="AG825" s="260"/>
      <c r="AH825" s="260"/>
    </row>
    <row r="826">
      <c r="A826" s="259"/>
      <c r="B826" s="260"/>
      <c r="C826" s="260"/>
      <c r="D826" s="260"/>
      <c r="E826" s="260"/>
      <c r="F826" s="260"/>
      <c r="G826" s="260"/>
      <c r="H826" s="260"/>
      <c r="I826" s="260"/>
      <c r="J826" s="261"/>
      <c r="K826" s="260"/>
      <c r="L826" s="260"/>
      <c r="M826" s="260"/>
      <c r="N826" s="260"/>
      <c r="O826" s="260"/>
      <c r="P826" s="260"/>
      <c r="Q826" s="260"/>
      <c r="R826" s="260"/>
      <c r="S826" s="260"/>
      <c r="T826" s="279"/>
      <c r="U826" s="260"/>
      <c r="V826" s="260"/>
      <c r="W826" s="260"/>
      <c r="X826" s="260"/>
      <c r="Y826" s="260"/>
      <c r="Z826" s="260"/>
      <c r="AA826" s="264"/>
      <c r="AB826" s="260"/>
      <c r="AC826" s="260"/>
      <c r="AD826" s="260"/>
      <c r="AE826" s="260"/>
      <c r="AF826" s="260"/>
      <c r="AG826" s="260"/>
      <c r="AH826" s="260"/>
    </row>
    <row r="827">
      <c r="A827" s="259"/>
      <c r="B827" s="260"/>
      <c r="C827" s="260"/>
      <c r="D827" s="260"/>
      <c r="E827" s="260"/>
      <c r="F827" s="260"/>
      <c r="G827" s="260"/>
      <c r="H827" s="260"/>
      <c r="I827" s="260"/>
      <c r="J827" s="261"/>
      <c r="K827" s="260"/>
      <c r="L827" s="260"/>
      <c r="M827" s="260"/>
      <c r="N827" s="260"/>
      <c r="O827" s="260"/>
      <c r="P827" s="260"/>
      <c r="Q827" s="260"/>
      <c r="R827" s="260"/>
      <c r="S827" s="260"/>
      <c r="T827" s="279"/>
      <c r="U827" s="260"/>
      <c r="V827" s="260"/>
      <c r="W827" s="260"/>
      <c r="X827" s="260"/>
      <c r="Y827" s="260"/>
      <c r="Z827" s="260"/>
      <c r="AA827" s="264"/>
      <c r="AB827" s="260"/>
      <c r="AC827" s="260"/>
      <c r="AD827" s="260"/>
      <c r="AE827" s="260"/>
      <c r="AF827" s="260"/>
      <c r="AG827" s="260"/>
      <c r="AH827" s="260"/>
    </row>
    <row r="828">
      <c r="A828" s="259"/>
      <c r="B828" s="260"/>
      <c r="C828" s="260"/>
      <c r="D828" s="260"/>
      <c r="E828" s="260"/>
      <c r="F828" s="260"/>
      <c r="G828" s="260"/>
      <c r="H828" s="260"/>
      <c r="I828" s="260"/>
      <c r="J828" s="261"/>
      <c r="K828" s="260"/>
      <c r="L828" s="260"/>
      <c r="M828" s="260"/>
      <c r="N828" s="260"/>
      <c r="O828" s="260"/>
      <c r="P828" s="260"/>
      <c r="Q828" s="260"/>
      <c r="R828" s="260"/>
      <c r="S828" s="260"/>
      <c r="T828" s="279"/>
      <c r="U828" s="260"/>
      <c r="V828" s="260"/>
      <c r="W828" s="260"/>
      <c r="X828" s="260"/>
      <c r="Y828" s="260"/>
      <c r="Z828" s="260"/>
      <c r="AA828" s="264"/>
      <c r="AB828" s="260"/>
      <c r="AC828" s="260"/>
      <c r="AD828" s="260"/>
      <c r="AE828" s="260"/>
      <c r="AF828" s="260"/>
      <c r="AG828" s="260"/>
      <c r="AH828" s="260"/>
    </row>
    <row r="829">
      <c r="A829" s="259"/>
      <c r="B829" s="260"/>
      <c r="C829" s="260"/>
      <c r="D829" s="260"/>
      <c r="E829" s="260"/>
      <c r="F829" s="260"/>
      <c r="G829" s="260"/>
      <c r="H829" s="260"/>
      <c r="I829" s="260"/>
      <c r="J829" s="261"/>
      <c r="K829" s="260"/>
      <c r="L829" s="260"/>
      <c r="M829" s="260"/>
      <c r="N829" s="260"/>
      <c r="O829" s="260"/>
      <c r="P829" s="260"/>
      <c r="Q829" s="260"/>
      <c r="R829" s="260"/>
      <c r="S829" s="260"/>
      <c r="T829" s="279"/>
      <c r="U829" s="260"/>
      <c r="V829" s="260"/>
      <c r="W829" s="260"/>
      <c r="X829" s="260"/>
      <c r="Y829" s="260"/>
      <c r="Z829" s="260"/>
      <c r="AA829" s="264"/>
      <c r="AB829" s="260"/>
      <c r="AC829" s="260"/>
      <c r="AD829" s="260"/>
      <c r="AE829" s="260"/>
      <c r="AF829" s="260"/>
      <c r="AG829" s="260"/>
      <c r="AH829" s="260"/>
    </row>
    <row r="830">
      <c r="A830" s="259"/>
      <c r="B830" s="260"/>
      <c r="C830" s="260"/>
      <c r="D830" s="260"/>
      <c r="E830" s="260"/>
      <c r="F830" s="260"/>
      <c r="G830" s="260"/>
      <c r="H830" s="260"/>
      <c r="I830" s="260"/>
      <c r="J830" s="261"/>
      <c r="K830" s="260"/>
      <c r="L830" s="260"/>
      <c r="M830" s="260"/>
      <c r="N830" s="260"/>
      <c r="O830" s="260"/>
      <c r="P830" s="260"/>
      <c r="Q830" s="260"/>
      <c r="R830" s="260"/>
      <c r="S830" s="260"/>
      <c r="T830" s="279"/>
      <c r="U830" s="260"/>
      <c r="V830" s="260"/>
      <c r="W830" s="260"/>
      <c r="X830" s="260"/>
      <c r="Y830" s="260"/>
      <c r="Z830" s="260"/>
      <c r="AA830" s="264"/>
      <c r="AB830" s="260"/>
      <c r="AC830" s="260"/>
      <c r="AD830" s="260"/>
      <c r="AE830" s="260"/>
      <c r="AF830" s="260"/>
      <c r="AG830" s="260"/>
      <c r="AH830" s="260"/>
    </row>
    <row r="831">
      <c r="A831" s="259"/>
      <c r="B831" s="260"/>
      <c r="C831" s="260"/>
      <c r="D831" s="260"/>
      <c r="E831" s="260"/>
      <c r="F831" s="260"/>
      <c r="G831" s="260"/>
      <c r="H831" s="260"/>
      <c r="I831" s="260"/>
      <c r="J831" s="261"/>
      <c r="K831" s="260"/>
      <c r="L831" s="260"/>
      <c r="M831" s="260"/>
      <c r="N831" s="260"/>
      <c r="O831" s="260"/>
      <c r="P831" s="260"/>
      <c r="Q831" s="260"/>
      <c r="R831" s="260"/>
      <c r="S831" s="260"/>
      <c r="T831" s="279"/>
      <c r="U831" s="260"/>
      <c r="V831" s="260"/>
      <c r="W831" s="260"/>
      <c r="X831" s="260"/>
      <c r="Y831" s="260"/>
      <c r="Z831" s="260"/>
      <c r="AA831" s="264"/>
      <c r="AB831" s="260"/>
      <c r="AC831" s="260"/>
      <c r="AD831" s="260"/>
      <c r="AE831" s="260"/>
      <c r="AF831" s="260"/>
      <c r="AG831" s="260"/>
      <c r="AH831" s="260"/>
    </row>
    <row r="832">
      <c r="A832" s="259"/>
      <c r="B832" s="260"/>
      <c r="C832" s="260"/>
      <c r="D832" s="260"/>
      <c r="E832" s="260"/>
      <c r="F832" s="260"/>
      <c r="G832" s="260"/>
      <c r="H832" s="260"/>
      <c r="I832" s="260"/>
      <c r="J832" s="261"/>
      <c r="K832" s="260"/>
      <c r="L832" s="260"/>
      <c r="M832" s="260"/>
      <c r="N832" s="260"/>
      <c r="O832" s="260"/>
      <c r="P832" s="260"/>
      <c r="Q832" s="260"/>
      <c r="R832" s="260"/>
      <c r="S832" s="260"/>
      <c r="T832" s="279"/>
      <c r="U832" s="260"/>
      <c r="V832" s="260"/>
      <c r="W832" s="260"/>
      <c r="X832" s="260"/>
      <c r="Y832" s="260"/>
      <c r="Z832" s="260"/>
      <c r="AA832" s="264"/>
      <c r="AB832" s="260"/>
      <c r="AC832" s="260"/>
      <c r="AD832" s="260"/>
      <c r="AE832" s="260"/>
      <c r="AF832" s="260"/>
      <c r="AG832" s="260"/>
      <c r="AH832" s="260"/>
    </row>
    <row r="833">
      <c r="A833" s="259"/>
      <c r="B833" s="260"/>
      <c r="C833" s="260"/>
      <c r="D833" s="260"/>
      <c r="E833" s="260"/>
      <c r="F833" s="260"/>
      <c r="G833" s="260"/>
      <c r="H833" s="260"/>
      <c r="I833" s="260"/>
      <c r="J833" s="261"/>
      <c r="K833" s="260"/>
      <c r="L833" s="260"/>
      <c r="M833" s="260"/>
      <c r="N833" s="260"/>
      <c r="O833" s="260"/>
      <c r="P833" s="260"/>
      <c r="Q833" s="260"/>
      <c r="R833" s="260"/>
      <c r="S833" s="260"/>
      <c r="T833" s="279"/>
      <c r="U833" s="260"/>
      <c r="V833" s="260"/>
      <c r="W833" s="260"/>
      <c r="X833" s="260"/>
      <c r="Y833" s="260"/>
      <c r="Z833" s="260"/>
      <c r="AA833" s="264"/>
      <c r="AB833" s="260"/>
      <c r="AC833" s="260"/>
      <c r="AD833" s="260"/>
      <c r="AE833" s="260"/>
      <c r="AF833" s="260"/>
      <c r="AG833" s="260"/>
      <c r="AH833" s="260"/>
    </row>
    <row r="834">
      <c r="A834" s="259"/>
      <c r="B834" s="260"/>
      <c r="C834" s="260"/>
      <c r="D834" s="260"/>
      <c r="E834" s="260"/>
      <c r="F834" s="260"/>
      <c r="G834" s="260"/>
      <c r="H834" s="260"/>
      <c r="I834" s="260"/>
      <c r="J834" s="261"/>
      <c r="K834" s="260"/>
      <c r="L834" s="260"/>
      <c r="M834" s="260"/>
      <c r="N834" s="260"/>
      <c r="O834" s="260"/>
      <c r="P834" s="260"/>
      <c r="Q834" s="260"/>
      <c r="R834" s="260"/>
      <c r="S834" s="260"/>
      <c r="T834" s="279"/>
      <c r="U834" s="260"/>
      <c r="V834" s="260"/>
      <c r="W834" s="260"/>
      <c r="X834" s="260"/>
      <c r="Y834" s="260"/>
      <c r="Z834" s="260"/>
      <c r="AA834" s="264"/>
      <c r="AB834" s="260"/>
      <c r="AC834" s="260"/>
      <c r="AD834" s="260"/>
      <c r="AE834" s="260"/>
      <c r="AF834" s="260"/>
      <c r="AG834" s="260"/>
      <c r="AH834" s="260"/>
    </row>
    <row r="835">
      <c r="A835" s="259"/>
      <c r="B835" s="260"/>
      <c r="C835" s="260"/>
      <c r="D835" s="260"/>
      <c r="E835" s="260"/>
      <c r="F835" s="260"/>
      <c r="G835" s="260"/>
      <c r="H835" s="260"/>
      <c r="I835" s="260"/>
      <c r="J835" s="261"/>
      <c r="K835" s="260"/>
      <c r="L835" s="260"/>
      <c r="M835" s="260"/>
      <c r="N835" s="260"/>
      <c r="O835" s="260"/>
      <c r="P835" s="260"/>
      <c r="Q835" s="260"/>
      <c r="R835" s="260"/>
      <c r="S835" s="260"/>
      <c r="T835" s="279"/>
      <c r="U835" s="260"/>
      <c r="V835" s="260"/>
      <c r="W835" s="260"/>
      <c r="X835" s="260"/>
      <c r="Y835" s="260"/>
      <c r="Z835" s="260"/>
      <c r="AA835" s="264"/>
      <c r="AB835" s="260"/>
      <c r="AC835" s="260"/>
      <c r="AD835" s="260"/>
      <c r="AE835" s="260"/>
      <c r="AF835" s="260"/>
      <c r="AG835" s="260"/>
      <c r="AH835" s="260"/>
    </row>
    <row r="836">
      <c r="A836" s="259"/>
      <c r="B836" s="260"/>
      <c r="C836" s="260"/>
      <c r="D836" s="260"/>
      <c r="E836" s="260"/>
      <c r="F836" s="260"/>
      <c r="G836" s="260"/>
      <c r="H836" s="260"/>
      <c r="I836" s="260"/>
      <c r="J836" s="261"/>
      <c r="K836" s="260"/>
      <c r="L836" s="260"/>
      <c r="M836" s="260"/>
      <c r="N836" s="260"/>
      <c r="O836" s="260"/>
      <c r="P836" s="260"/>
      <c r="Q836" s="260"/>
      <c r="R836" s="260"/>
      <c r="S836" s="260"/>
      <c r="T836" s="279"/>
      <c r="U836" s="260"/>
      <c r="V836" s="260"/>
      <c r="W836" s="260"/>
      <c r="X836" s="260"/>
      <c r="Y836" s="260"/>
      <c r="Z836" s="260"/>
      <c r="AA836" s="264"/>
      <c r="AB836" s="260"/>
      <c r="AC836" s="260"/>
      <c r="AD836" s="260"/>
      <c r="AE836" s="260"/>
      <c r="AF836" s="260"/>
      <c r="AG836" s="260"/>
      <c r="AH836" s="260"/>
    </row>
    <row r="837">
      <c r="A837" s="259"/>
      <c r="B837" s="260"/>
      <c r="C837" s="260"/>
      <c r="D837" s="260"/>
      <c r="E837" s="260"/>
      <c r="F837" s="260"/>
      <c r="G837" s="260"/>
      <c r="H837" s="260"/>
      <c r="I837" s="260"/>
      <c r="J837" s="261"/>
      <c r="K837" s="260"/>
      <c r="L837" s="260"/>
      <c r="M837" s="260"/>
      <c r="N837" s="260"/>
      <c r="O837" s="260"/>
      <c r="P837" s="260"/>
      <c r="Q837" s="260"/>
      <c r="R837" s="260"/>
      <c r="S837" s="260"/>
      <c r="T837" s="279"/>
      <c r="U837" s="260"/>
      <c r="V837" s="260"/>
      <c r="W837" s="260"/>
      <c r="X837" s="260"/>
      <c r="Y837" s="260"/>
      <c r="Z837" s="260"/>
      <c r="AA837" s="264"/>
      <c r="AB837" s="260"/>
      <c r="AC837" s="260"/>
      <c r="AD837" s="260"/>
      <c r="AE837" s="260"/>
      <c r="AF837" s="260"/>
      <c r="AG837" s="260"/>
      <c r="AH837" s="260"/>
    </row>
    <row r="838">
      <c r="A838" s="259"/>
      <c r="B838" s="260"/>
      <c r="C838" s="260"/>
      <c r="D838" s="260"/>
      <c r="E838" s="260"/>
      <c r="F838" s="260"/>
      <c r="G838" s="260"/>
      <c r="H838" s="260"/>
      <c r="I838" s="260"/>
      <c r="J838" s="261"/>
      <c r="K838" s="260"/>
      <c r="L838" s="260"/>
      <c r="M838" s="260"/>
      <c r="N838" s="260"/>
      <c r="O838" s="260"/>
      <c r="P838" s="260"/>
      <c r="Q838" s="260"/>
      <c r="R838" s="260"/>
      <c r="S838" s="260"/>
      <c r="T838" s="279"/>
      <c r="U838" s="260"/>
      <c r="V838" s="260"/>
      <c r="W838" s="260"/>
      <c r="X838" s="260"/>
      <c r="Y838" s="260"/>
      <c r="Z838" s="260"/>
      <c r="AA838" s="264"/>
      <c r="AB838" s="260"/>
      <c r="AC838" s="260"/>
      <c r="AD838" s="260"/>
      <c r="AE838" s="260"/>
      <c r="AF838" s="260"/>
      <c r="AG838" s="260"/>
      <c r="AH838" s="260"/>
    </row>
    <row r="839">
      <c r="A839" s="259"/>
      <c r="B839" s="260"/>
      <c r="C839" s="260"/>
      <c r="D839" s="260"/>
      <c r="E839" s="260"/>
      <c r="F839" s="260"/>
      <c r="G839" s="260"/>
      <c r="H839" s="260"/>
      <c r="I839" s="260"/>
      <c r="J839" s="261"/>
      <c r="K839" s="260"/>
      <c r="L839" s="260"/>
      <c r="M839" s="260"/>
      <c r="N839" s="260"/>
      <c r="O839" s="260"/>
      <c r="P839" s="260"/>
      <c r="Q839" s="260"/>
      <c r="R839" s="260"/>
      <c r="S839" s="260"/>
      <c r="T839" s="279"/>
      <c r="U839" s="260"/>
      <c r="V839" s="260"/>
      <c r="W839" s="260"/>
      <c r="X839" s="260"/>
      <c r="Y839" s="260"/>
      <c r="Z839" s="260"/>
      <c r="AA839" s="264"/>
      <c r="AB839" s="260"/>
      <c r="AC839" s="260"/>
      <c r="AD839" s="260"/>
      <c r="AE839" s="260"/>
      <c r="AF839" s="260"/>
      <c r="AG839" s="260"/>
      <c r="AH839" s="260"/>
    </row>
    <row r="840">
      <c r="A840" s="259"/>
      <c r="B840" s="260"/>
      <c r="C840" s="260"/>
      <c r="D840" s="260"/>
      <c r="E840" s="260"/>
      <c r="F840" s="260"/>
      <c r="G840" s="260"/>
      <c r="H840" s="260"/>
      <c r="I840" s="260"/>
      <c r="J840" s="261"/>
      <c r="K840" s="260"/>
      <c r="L840" s="260"/>
      <c r="M840" s="260"/>
      <c r="N840" s="260"/>
      <c r="O840" s="260"/>
      <c r="P840" s="260"/>
      <c r="Q840" s="260"/>
      <c r="R840" s="260"/>
      <c r="S840" s="260"/>
      <c r="T840" s="279"/>
      <c r="U840" s="260"/>
      <c r="V840" s="260"/>
      <c r="W840" s="260"/>
      <c r="X840" s="260"/>
      <c r="Y840" s="260"/>
      <c r="Z840" s="260"/>
      <c r="AA840" s="264"/>
      <c r="AB840" s="260"/>
      <c r="AC840" s="260"/>
      <c r="AD840" s="260"/>
      <c r="AE840" s="260"/>
      <c r="AF840" s="260"/>
      <c r="AG840" s="260"/>
      <c r="AH840" s="260"/>
    </row>
    <row r="841">
      <c r="A841" s="259"/>
      <c r="B841" s="260"/>
      <c r="C841" s="260"/>
      <c r="D841" s="260"/>
      <c r="E841" s="260"/>
      <c r="F841" s="260"/>
      <c r="G841" s="260"/>
      <c r="H841" s="260"/>
      <c r="I841" s="260"/>
      <c r="J841" s="261"/>
      <c r="K841" s="260"/>
      <c r="L841" s="260"/>
      <c r="M841" s="260"/>
      <c r="N841" s="260"/>
      <c r="O841" s="260"/>
      <c r="P841" s="260"/>
      <c r="Q841" s="260"/>
      <c r="R841" s="260"/>
      <c r="S841" s="260"/>
      <c r="T841" s="279"/>
      <c r="U841" s="260"/>
      <c r="V841" s="260"/>
      <c r="W841" s="260"/>
      <c r="X841" s="260"/>
      <c r="Y841" s="260"/>
      <c r="Z841" s="260"/>
      <c r="AA841" s="264"/>
      <c r="AB841" s="260"/>
      <c r="AC841" s="260"/>
      <c r="AD841" s="260"/>
      <c r="AE841" s="260"/>
      <c r="AF841" s="260"/>
      <c r="AG841" s="260"/>
      <c r="AH841" s="260"/>
    </row>
    <row r="842">
      <c r="A842" s="259"/>
      <c r="B842" s="260"/>
      <c r="C842" s="260"/>
      <c r="D842" s="260"/>
      <c r="E842" s="260"/>
      <c r="F842" s="260"/>
      <c r="G842" s="260"/>
      <c r="H842" s="260"/>
      <c r="I842" s="260"/>
      <c r="J842" s="261"/>
      <c r="K842" s="260"/>
      <c r="L842" s="260"/>
      <c r="M842" s="260"/>
      <c r="N842" s="260"/>
      <c r="O842" s="260"/>
      <c r="P842" s="260"/>
      <c r="Q842" s="260"/>
      <c r="R842" s="260"/>
      <c r="S842" s="260"/>
      <c r="T842" s="279"/>
      <c r="U842" s="260"/>
      <c r="V842" s="260"/>
      <c r="W842" s="260"/>
      <c r="X842" s="260"/>
      <c r="Y842" s="260"/>
      <c r="Z842" s="260"/>
      <c r="AA842" s="264"/>
      <c r="AB842" s="260"/>
      <c r="AC842" s="260"/>
      <c r="AD842" s="260"/>
      <c r="AE842" s="260"/>
      <c r="AF842" s="260"/>
      <c r="AG842" s="260"/>
      <c r="AH842" s="260"/>
    </row>
    <row r="843">
      <c r="A843" s="259"/>
      <c r="B843" s="260"/>
      <c r="C843" s="260"/>
      <c r="D843" s="260"/>
      <c r="E843" s="260"/>
      <c r="F843" s="260"/>
      <c r="G843" s="260"/>
      <c r="H843" s="260"/>
      <c r="I843" s="260"/>
      <c r="J843" s="261"/>
      <c r="K843" s="260"/>
      <c r="L843" s="260"/>
      <c r="M843" s="260"/>
      <c r="N843" s="260"/>
      <c r="O843" s="260"/>
      <c r="P843" s="260"/>
      <c r="Q843" s="260"/>
      <c r="R843" s="260"/>
      <c r="S843" s="260"/>
      <c r="T843" s="279"/>
      <c r="U843" s="260"/>
      <c r="V843" s="260"/>
      <c r="W843" s="260"/>
      <c r="X843" s="260"/>
      <c r="Y843" s="260"/>
      <c r="Z843" s="260"/>
      <c r="AA843" s="264"/>
      <c r="AB843" s="260"/>
      <c r="AC843" s="260"/>
      <c r="AD843" s="260"/>
      <c r="AE843" s="260"/>
      <c r="AF843" s="260"/>
      <c r="AG843" s="260"/>
      <c r="AH843" s="260"/>
    </row>
    <row r="844">
      <c r="A844" s="259"/>
      <c r="B844" s="260"/>
      <c r="C844" s="260"/>
      <c r="D844" s="260"/>
      <c r="E844" s="260"/>
      <c r="F844" s="260"/>
      <c r="G844" s="260"/>
      <c r="H844" s="260"/>
      <c r="I844" s="260"/>
      <c r="J844" s="261"/>
      <c r="K844" s="260"/>
      <c r="L844" s="260"/>
      <c r="M844" s="260"/>
      <c r="N844" s="260"/>
      <c r="O844" s="260"/>
      <c r="P844" s="260"/>
      <c r="Q844" s="260"/>
      <c r="R844" s="260"/>
      <c r="S844" s="260"/>
      <c r="T844" s="279"/>
      <c r="U844" s="260"/>
      <c r="V844" s="260"/>
      <c r="W844" s="260"/>
      <c r="X844" s="260"/>
      <c r="Y844" s="260"/>
      <c r="Z844" s="260"/>
      <c r="AA844" s="264"/>
      <c r="AB844" s="260"/>
      <c r="AC844" s="260"/>
      <c r="AD844" s="260"/>
      <c r="AE844" s="260"/>
      <c r="AF844" s="260"/>
      <c r="AG844" s="260"/>
      <c r="AH844" s="260"/>
    </row>
    <row r="845">
      <c r="A845" s="259"/>
      <c r="B845" s="260"/>
      <c r="C845" s="260"/>
      <c r="D845" s="260"/>
      <c r="E845" s="260"/>
      <c r="F845" s="260"/>
      <c r="G845" s="260"/>
      <c r="H845" s="260"/>
      <c r="I845" s="260"/>
      <c r="J845" s="261"/>
      <c r="K845" s="260"/>
      <c r="L845" s="260"/>
      <c r="M845" s="260"/>
      <c r="N845" s="260"/>
      <c r="O845" s="260"/>
      <c r="P845" s="260"/>
      <c r="Q845" s="260"/>
      <c r="R845" s="260"/>
      <c r="S845" s="260"/>
      <c r="T845" s="279"/>
      <c r="U845" s="260"/>
      <c r="V845" s="260"/>
      <c r="W845" s="260"/>
      <c r="X845" s="260"/>
      <c r="Y845" s="260"/>
      <c r="Z845" s="260"/>
      <c r="AA845" s="264"/>
      <c r="AB845" s="260"/>
      <c r="AC845" s="260"/>
      <c r="AD845" s="260"/>
      <c r="AE845" s="260"/>
      <c r="AF845" s="260"/>
      <c r="AG845" s="260"/>
      <c r="AH845" s="260"/>
    </row>
    <row r="846">
      <c r="A846" s="259"/>
      <c r="B846" s="260"/>
      <c r="C846" s="260"/>
      <c r="D846" s="260"/>
      <c r="E846" s="260"/>
      <c r="F846" s="260"/>
      <c r="G846" s="260"/>
      <c r="H846" s="260"/>
      <c r="I846" s="260"/>
      <c r="J846" s="261"/>
      <c r="K846" s="260"/>
      <c r="L846" s="260"/>
      <c r="M846" s="260"/>
      <c r="N846" s="260"/>
      <c r="O846" s="260"/>
      <c r="P846" s="260"/>
      <c r="Q846" s="260"/>
      <c r="R846" s="260"/>
      <c r="S846" s="260"/>
      <c r="T846" s="279"/>
      <c r="U846" s="260"/>
      <c r="V846" s="260"/>
      <c r="W846" s="260"/>
      <c r="X846" s="260"/>
      <c r="Y846" s="260"/>
      <c r="Z846" s="260"/>
      <c r="AA846" s="264"/>
      <c r="AB846" s="260"/>
      <c r="AC846" s="260"/>
      <c r="AD846" s="260"/>
      <c r="AE846" s="260"/>
      <c r="AF846" s="260"/>
      <c r="AG846" s="260"/>
      <c r="AH846" s="260"/>
    </row>
  </sheetData>
  <customSheetViews>
    <customSheetView guid="{2B3FED7C-0E79-4DC7-A43A-F67ACACD2000}" filter="1" showAutoFilter="1">
      <autoFilter ref="$L$3:$L$846"/>
    </customSheetView>
  </customSheetViews>
  <mergeCells count="1">
    <mergeCell ref="A1:E1"/>
  </mergeCells>
  <dataValidations>
    <dataValidation type="list" allowBlank="1" sqref="I3">
      <formula1>"YES,NO"</formula1>
    </dataValidation>
    <dataValidation type="list" allowBlank="1" sqref="C3">
      <formula1>#REF!</formula1>
    </dataValidation>
    <dataValidation type="list" allowBlank="1" sqref="F3">
      <formula1>"El Paso,Santa Teresa,Sunland Park,Horizon City,Las Cruces,Socorro"</formula1>
    </dataValidation>
    <dataValidation type="custom" allowBlank="1" showDropDown="1" sqref="K3 N3:P3 S3">
      <formula1>OR(NOT(ISERROR(DATEVALUE(K3))), AND(ISNUMBER(K3), LEFT(CELL("format", K3))="D"))</formula1>
    </dataValidation>
    <dataValidation type="list" allowBlank="1" sqref="G3">
      <formula1>"TX,N.M. "</formula1>
    </dataValidation>
    <dataValidation type="list" allowBlank="1" sqref="H3">
      <formula1>"88063,88008,79938,79927,79928,88088,79934,79924,88001"</formula1>
    </dataValidation>
    <dataValidation type="custom" allowBlank="1" showDropDown="1" sqref="J3">
      <formula1>AND(ISNUMBER(J3),(NOT(OR(NOT(ISERROR(DATEVALUE(J3))), AND(ISNUMBER(J3), LEFT(CELL("format", J3))="D")))))</formula1>
    </dataValidation>
    <dataValidation type="list" allowBlank="1" sqref="B3">
      <formula1>"Yes,No"</formula1>
    </dataValidation>
    <dataValidation type="list" allowBlank="1" sqref="Q3 T3 Y3 AC3">
      <formula1>#REF!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4.38"/>
    <col customWidth="1" min="2" max="2" width="11.75"/>
    <col customWidth="1" min="3" max="3" width="19.13"/>
    <col customWidth="1" min="4" max="4" width="13.88"/>
    <col customWidth="1" min="5" max="5" width="24.25"/>
    <col customWidth="1" min="9" max="9" width="15.38"/>
    <col customWidth="1" min="10" max="10" width="12.13"/>
    <col customWidth="1" min="11" max="11" width="15.5"/>
    <col customWidth="1" hidden="1" min="12" max="13" width="30.38"/>
    <col customWidth="1" min="14" max="14" width="19.75"/>
    <col customWidth="1" min="15" max="15" width="17.38"/>
    <col customWidth="1" min="16" max="16" width="16.63"/>
    <col customWidth="1" min="17" max="17" width="19.75"/>
    <col customWidth="1" min="18" max="18" width="17.5"/>
    <col customWidth="1" min="19" max="19" width="21.5"/>
    <col customWidth="1" min="20" max="20" width="21.25"/>
    <col customWidth="1" min="21" max="25" width="17.38"/>
    <col customWidth="1" min="26" max="26" width="17.25"/>
    <col customWidth="1" min="27" max="28" width="16.0"/>
    <col customWidth="1" min="29" max="29" width="30.38"/>
  </cols>
  <sheetData>
    <row r="1" ht="87.75" customHeight="1">
      <c r="A1" s="181"/>
      <c r="B1" s="5"/>
      <c r="C1" s="5"/>
      <c r="D1" s="5"/>
      <c r="E1" s="5"/>
      <c r="F1" s="186"/>
      <c r="G1" s="184"/>
      <c r="H1" s="184"/>
      <c r="I1" s="184"/>
      <c r="J1" s="184"/>
      <c r="K1" s="184"/>
      <c r="L1" s="183"/>
      <c r="M1" s="183"/>
      <c r="N1" s="183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</row>
    <row r="2" ht="22.5" customHeight="1">
      <c r="A2" s="188" t="s">
        <v>3</v>
      </c>
      <c r="B2" s="189" t="s">
        <v>5</v>
      </c>
      <c r="C2" s="190" t="s">
        <v>18</v>
      </c>
      <c r="D2" s="190" t="s">
        <v>6</v>
      </c>
      <c r="E2" s="190" t="s">
        <v>7</v>
      </c>
      <c r="F2" s="190" t="s">
        <v>8</v>
      </c>
      <c r="G2" s="190" t="s">
        <v>9</v>
      </c>
      <c r="H2" s="190" t="s">
        <v>10</v>
      </c>
      <c r="I2" s="189" t="s">
        <v>11</v>
      </c>
      <c r="J2" s="191" t="s">
        <v>13</v>
      </c>
      <c r="K2" s="190" t="s">
        <v>16</v>
      </c>
      <c r="L2" s="190" t="s">
        <v>237</v>
      </c>
      <c r="M2" s="190" t="s">
        <v>238</v>
      </c>
      <c r="N2" s="190" t="s">
        <v>536</v>
      </c>
      <c r="O2" s="190" t="s">
        <v>14</v>
      </c>
      <c r="P2" s="189" t="s">
        <v>239</v>
      </c>
      <c r="Q2" s="192" t="s">
        <v>12</v>
      </c>
      <c r="R2" s="189" t="s">
        <v>17</v>
      </c>
      <c r="S2" s="192" t="s">
        <v>240</v>
      </c>
      <c r="T2" s="275" t="s">
        <v>19</v>
      </c>
      <c r="U2" s="190" t="s">
        <v>242</v>
      </c>
      <c r="V2" s="190" t="s">
        <v>20</v>
      </c>
      <c r="W2" s="190" t="s">
        <v>21</v>
      </c>
      <c r="X2" s="190" t="s">
        <v>243</v>
      </c>
      <c r="Y2" s="190" t="s">
        <v>22</v>
      </c>
      <c r="Z2" s="190" t="s">
        <v>244</v>
      </c>
      <c r="AA2" s="195" t="s">
        <v>24</v>
      </c>
      <c r="AB2" s="190" t="s">
        <v>245</v>
      </c>
      <c r="AC2" s="190" t="s">
        <v>25</v>
      </c>
    </row>
    <row r="3" ht="22.5" customHeight="1">
      <c r="A3" s="196">
        <v>1.0</v>
      </c>
      <c r="B3" s="208"/>
      <c r="C3" s="216"/>
      <c r="D3" s="212"/>
      <c r="E3" s="212"/>
      <c r="F3" s="209"/>
      <c r="G3" s="209"/>
      <c r="H3" s="228"/>
      <c r="I3" s="209"/>
      <c r="J3" s="211"/>
      <c r="K3" s="213"/>
      <c r="L3" s="212"/>
      <c r="M3" s="212"/>
      <c r="N3" s="276"/>
      <c r="O3" s="207"/>
      <c r="P3" s="207"/>
      <c r="Q3" s="228"/>
      <c r="R3" s="212"/>
      <c r="S3" s="277"/>
      <c r="T3" s="278"/>
      <c r="U3" s="212"/>
      <c r="V3" s="212"/>
      <c r="W3" s="212"/>
      <c r="X3" s="212"/>
      <c r="Y3" s="209"/>
      <c r="Z3" s="212"/>
      <c r="AA3" s="212"/>
      <c r="AB3" s="212"/>
      <c r="AC3" s="209"/>
    </row>
    <row r="4">
      <c r="A4" s="259"/>
      <c r="B4" s="260"/>
      <c r="C4" s="260"/>
      <c r="D4" s="260"/>
      <c r="E4" s="260"/>
      <c r="F4" s="260"/>
      <c r="G4" s="260"/>
      <c r="H4" s="260"/>
      <c r="I4" s="260"/>
      <c r="J4" s="261"/>
      <c r="K4" s="260"/>
      <c r="L4" s="260"/>
      <c r="M4" s="260"/>
      <c r="N4" s="260"/>
      <c r="O4" s="260"/>
      <c r="P4" s="260"/>
      <c r="Q4" s="260"/>
      <c r="R4" s="260"/>
      <c r="S4" s="260"/>
      <c r="T4" s="279"/>
      <c r="U4" s="260"/>
      <c r="V4" s="260"/>
      <c r="W4" s="260"/>
      <c r="X4" s="260"/>
      <c r="Y4" s="260"/>
      <c r="Z4" s="260"/>
      <c r="AA4" s="264"/>
      <c r="AB4" s="260"/>
      <c r="AC4" s="260"/>
    </row>
    <row r="5">
      <c r="A5" s="259"/>
      <c r="B5" s="260"/>
      <c r="C5" s="260"/>
      <c r="D5" s="260"/>
      <c r="E5" s="260"/>
      <c r="F5" s="260"/>
      <c r="G5" s="260"/>
      <c r="H5" s="260"/>
      <c r="I5" s="260"/>
      <c r="J5" s="261"/>
      <c r="K5" s="260"/>
      <c r="L5" s="260"/>
      <c r="M5" s="260"/>
      <c r="N5" s="260"/>
      <c r="O5" s="260"/>
      <c r="P5" s="260"/>
      <c r="Q5" s="260"/>
      <c r="R5" s="260"/>
      <c r="S5" s="260"/>
      <c r="T5" s="279"/>
      <c r="U5" s="260"/>
      <c r="V5" s="260"/>
      <c r="W5" s="260"/>
      <c r="X5" s="260"/>
      <c r="Y5" s="260"/>
      <c r="Z5" s="260"/>
      <c r="AA5" s="264"/>
      <c r="AB5" s="260"/>
      <c r="AC5" s="260"/>
    </row>
    <row r="6">
      <c r="A6" s="259"/>
      <c r="B6" s="260"/>
      <c r="C6" s="260"/>
      <c r="D6" s="260"/>
      <c r="E6" s="260"/>
      <c r="F6" s="260"/>
      <c r="G6" s="260"/>
      <c r="H6" s="260"/>
      <c r="I6" s="260"/>
      <c r="J6" s="261"/>
      <c r="K6" s="260"/>
      <c r="L6" s="260"/>
      <c r="M6" s="260"/>
      <c r="N6" s="260"/>
      <c r="O6" s="260"/>
      <c r="P6" s="260"/>
      <c r="Q6" s="260"/>
      <c r="R6" s="260"/>
      <c r="S6" s="260"/>
      <c r="T6" s="279"/>
      <c r="U6" s="260"/>
      <c r="V6" s="260"/>
      <c r="W6" s="260"/>
      <c r="X6" s="260"/>
      <c r="Y6" s="260"/>
      <c r="Z6" s="260"/>
      <c r="AA6" s="264"/>
      <c r="AB6" s="260"/>
      <c r="AC6" s="260"/>
    </row>
    <row r="7">
      <c r="A7" s="259"/>
      <c r="B7" s="260"/>
      <c r="C7" s="260"/>
      <c r="D7" s="260"/>
      <c r="E7" s="260"/>
      <c r="F7" s="260"/>
      <c r="G7" s="260"/>
      <c r="H7" s="260"/>
      <c r="I7" s="260"/>
      <c r="J7" s="261"/>
      <c r="K7" s="260"/>
      <c r="L7" s="260"/>
      <c r="M7" s="260"/>
      <c r="N7" s="260"/>
      <c r="O7" s="260"/>
      <c r="P7" s="260"/>
      <c r="Q7" s="260"/>
      <c r="R7" s="260"/>
      <c r="S7" s="260"/>
      <c r="T7" s="279"/>
      <c r="U7" s="260"/>
      <c r="V7" s="260"/>
      <c r="W7" s="260"/>
      <c r="X7" s="260"/>
      <c r="Y7" s="260"/>
      <c r="Z7" s="260"/>
      <c r="AA7" s="264"/>
      <c r="AB7" s="260"/>
      <c r="AC7" s="260"/>
    </row>
    <row r="8">
      <c r="A8" s="259"/>
      <c r="B8" s="260"/>
      <c r="C8" s="260"/>
      <c r="D8" s="260"/>
      <c r="E8" s="260"/>
      <c r="F8" s="260"/>
      <c r="G8" s="260"/>
      <c r="H8" s="260"/>
      <c r="I8" s="260"/>
      <c r="J8" s="261"/>
      <c r="K8" s="260"/>
      <c r="L8" s="260"/>
      <c r="M8" s="260"/>
      <c r="N8" s="260"/>
      <c r="O8" s="260"/>
      <c r="P8" s="260"/>
      <c r="Q8" s="260"/>
      <c r="R8" s="260"/>
      <c r="S8" s="260"/>
      <c r="T8" s="279"/>
      <c r="U8" s="260"/>
      <c r="V8" s="260"/>
      <c r="W8" s="260"/>
      <c r="X8" s="260"/>
      <c r="Y8" s="260"/>
      <c r="Z8" s="260"/>
      <c r="AA8" s="264"/>
      <c r="AB8" s="260"/>
      <c r="AC8" s="260"/>
    </row>
    <row r="9">
      <c r="A9" s="259"/>
      <c r="B9" s="260"/>
      <c r="C9" s="260"/>
      <c r="D9" s="260"/>
      <c r="E9" s="260"/>
      <c r="F9" s="260"/>
      <c r="G9" s="260"/>
      <c r="H9" s="260"/>
      <c r="I9" s="260"/>
      <c r="J9" s="261"/>
      <c r="K9" s="260"/>
      <c r="L9" s="260"/>
      <c r="M9" s="260"/>
      <c r="N9" s="260"/>
      <c r="O9" s="260"/>
      <c r="P9" s="260"/>
      <c r="Q9" s="260"/>
      <c r="R9" s="260"/>
      <c r="S9" s="260"/>
      <c r="T9" s="279"/>
      <c r="U9" s="260"/>
      <c r="V9" s="260"/>
      <c r="W9" s="260"/>
      <c r="X9" s="260"/>
      <c r="Y9" s="260"/>
      <c r="Z9" s="260"/>
      <c r="AA9" s="264"/>
      <c r="AB9" s="260"/>
      <c r="AC9" s="260"/>
    </row>
    <row r="10">
      <c r="A10" s="259"/>
      <c r="B10" s="260"/>
      <c r="C10" s="260"/>
      <c r="D10" s="260"/>
      <c r="E10" s="260"/>
      <c r="F10" s="260"/>
      <c r="G10" s="260"/>
      <c r="H10" s="260"/>
      <c r="I10" s="260"/>
      <c r="J10" s="261"/>
      <c r="K10" s="260"/>
      <c r="L10" s="260"/>
      <c r="M10" s="260"/>
      <c r="N10" s="260"/>
      <c r="O10" s="260"/>
      <c r="P10" s="260"/>
      <c r="Q10" s="260"/>
      <c r="R10" s="260"/>
      <c r="S10" s="260"/>
      <c r="T10" s="279"/>
      <c r="U10" s="260"/>
      <c r="V10" s="260"/>
      <c r="W10" s="260"/>
      <c r="X10" s="260"/>
      <c r="Y10" s="260"/>
      <c r="Z10" s="260"/>
      <c r="AA10" s="264"/>
      <c r="AB10" s="260"/>
      <c r="AC10" s="260"/>
    </row>
    <row r="11">
      <c r="A11" s="259"/>
      <c r="B11" s="260"/>
      <c r="C11" s="260"/>
      <c r="D11" s="260"/>
      <c r="E11" s="260"/>
      <c r="F11" s="260"/>
      <c r="G11" s="260"/>
      <c r="H11" s="260"/>
      <c r="I11" s="260"/>
      <c r="J11" s="261"/>
      <c r="K11" s="260"/>
      <c r="L11" s="260"/>
      <c r="M11" s="260"/>
      <c r="N11" s="260"/>
      <c r="O11" s="260"/>
      <c r="P11" s="260"/>
      <c r="Q11" s="260"/>
      <c r="R11" s="260"/>
      <c r="S11" s="260"/>
      <c r="T11" s="279"/>
      <c r="U11" s="260"/>
      <c r="V11" s="260"/>
      <c r="W11" s="260"/>
      <c r="X11" s="260"/>
      <c r="Y11" s="260"/>
      <c r="Z11" s="260"/>
      <c r="AA11" s="264"/>
      <c r="AB11" s="260"/>
      <c r="AC11" s="260"/>
    </row>
    <row r="12">
      <c r="A12" s="259"/>
      <c r="B12" s="260"/>
      <c r="C12" s="260"/>
      <c r="D12" s="260"/>
      <c r="E12" s="260"/>
      <c r="F12" s="260"/>
      <c r="G12" s="260"/>
      <c r="H12" s="260"/>
      <c r="I12" s="260"/>
      <c r="J12" s="261"/>
      <c r="K12" s="260"/>
      <c r="L12" s="260"/>
      <c r="M12" s="260"/>
      <c r="N12" s="260"/>
      <c r="O12" s="260"/>
      <c r="P12" s="260"/>
      <c r="Q12" s="260"/>
      <c r="R12" s="260"/>
      <c r="S12" s="260"/>
      <c r="T12" s="279"/>
      <c r="U12" s="260"/>
      <c r="V12" s="260"/>
      <c r="W12" s="260"/>
      <c r="X12" s="260"/>
      <c r="Y12" s="260"/>
      <c r="Z12" s="260"/>
      <c r="AA12" s="264"/>
      <c r="AB12" s="260"/>
      <c r="AC12" s="260"/>
    </row>
    <row r="13">
      <c r="A13" s="259"/>
      <c r="B13" s="260"/>
      <c r="C13" s="260"/>
      <c r="D13" s="260"/>
      <c r="E13" s="260"/>
      <c r="F13" s="260"/>
      <c r="G13" s="260"/>
      <c r="H13" s="260"/>
      <c r="I13" s="260"/>
      <c r="J13" s="261"/>
      <c r="K13" s="260"/>
      <c r="L13" s="260"/>
      <c r="M13" s="260"/>
      <c r="N13" s="260"/>
      <c r="O13" s="260"/>
      <c r="P13" s="260"/>
      <c r="Q13" s="260"/>
      <c r="R13" s="260"/>
      <c r="S13" s="260"/>
      <c r="T13" s="279"/>
      <c r="U13" s="260"/>
      <c r="V13" s="260"/>
      <c r="W13" s="260"/>
      <c r="X13" s="260"/>
      <c r="Y13" s="260"/>
      <c r="Z13" s="260"/>
      <c r="AA13" s="264"/>
      <c r="AB13" s="260"/>
      <c r="AC13" s="260"/>
    </row>
    <row r="14">
      <c r="A14" s="259"/>
      <c r="B14" s="260"/>
      <c r="C14" s="260"/>
      <c r="D14" s="260"/>
      <c r="E14" s="260"/>
      <c r="F14" s="260"/>
      <c r="G14" s="260"/>
      <c r="H14" s="260"/>
      <c r="I14" s="260"/>
      <c r="J14" s="261"/>
      <c r="K14" s="260"/>
      <c r="L14" s="260"/>
      <c r="M14" s="260"/>
      <c r="N14" s="260"/>
      <c r="O14" s="260"/>
      <c r="P14" s="260"/>
      <c r="Q14" s="260"/>
      <c r="R14" s="260"/>
      <c r="S14" s="260"/>
      <c r="T14" s="279"/>
      <c r="U14" s="260"/>
      <c r="V14" s="260"/>
      <c r="W14" s="260"/>
      <c r="X14" s="260"/>
      <c r="Y14" s="260"/>
      <c r="Z14" s="260"/>
      <c r="AA14" s="264"/>
      <c r="AB14" s="260"/>
      <c r="AC14" s="260"/>
    </row>
    <row r="15">
      <c r="A15" s="259"/>
      <c r="B15" s="260"/>
      <c r="C15" s="260"/>
      <c r="D15" s="260"/>
      <c r="E15" s="260"/>
      <c r="F15" s="260"/>
      <c r="G15" s="260"/>
      <c r="H15" s="260"/>
      <c r="I15" s="260"/>
      <c r="J15" s="261"/>
      <c r="K15" s="260"/>
      <c r="L15" s="260"/>
      <c r="M15" s="260"/>
      <c r="N15" s="260"/>
      <c r="O15" s="260"/>
      <c r="P15" s="260"/>
      <c r="Q15" s="260"/>
      <c r="R15" s="260"/>
      <c r="S15" s="260"/>
      <c r="T15" s="279"/>
      <c r="U15" s="260"/>
      <c r="V15" s="260"/>
      <c r="W15" s="260"/>
      <c r="X15" s="260"/>
      <c r="Y15" s="260"/>
      <c r="Z15" s="260"/>
      <c r="AA15" s="264"/>
      <c r="AB15" s="260"/>
      <c r="AC15" s="260"/>
    </row>
    <row r="16">
      <c r="A16" s="259"/>
      <c r="B16" s="260"/>
      <c r="C16" s="260"/>
      <c r="D16" s="260"/>
      <c r="E16" s="260"/>
      <c r="F16" s="260"/>
      <c r="G16" s="260"/>
      <c r="H16" s="260"/>
      <c r="I16" s="260"/>
      <c r="J16" s="261"/>
      <c r="K16" s="260"/>
      <c r="L16" s="260"/>
      <c r="M16" s="260"/>
      <c r="N16" s="260"/>
      <c r="O16" s="260"/>
      <c r="P16" s="260"/>
      <c r="Q16" s="260"/>
      <c r="R16" s="260"/>
      <c r="S16" s="260"/>
      <c r="T16" s="279"/>
      <c r="U16" s="260"/>
      <c r="V16" s="260"/>
      <c r="W16" s="260"/>
      <c r="X16" s="260"/>
      <c r="Y16" s="260"/>
      <c r="Z16" s="260"/>
      <c r="AA16" s="264"/>
      <c r="AB16" s="260"/>
      <c r="AC16" s="260"/>
    </row>
    <row r="17">
      <c r="A17" s="259"/>
      <c r="B17" s="260"/>
      <c r="C17" s="260"/>
      <c r="D17" s="260"/>
      <c r="E17" s="260"/>
      <c r="F17" s="260"/>
      <c r="G17" s="260"/>
      <c r="H17" s="260"/>
      <c r="I17" s="260"/>
      <c r="J17" s="261"/>
      <c r="K17" s="260"/>
      <c r="L17" s="260"/>
      <c r="M17" s="260"/>
      <c r="N17" s="260"/>
      <c r="O17" s="260"/>
      <c r="P17" s="260"/>
      <c r="Q17" s="260"/>
      <c r="R17" s="260"/>
      <c r="S17" s="260"/>
      <c r="T17" s="279"/>
      <c r="U17" s="260"/>
      <c r="V17" s="260"/>
      <c r="W17" s="260"/>
      <c r="X17" s="260"/>
      <c r="Y17" s="260"/>
      <c r="Z17" s="260"/>
      <c r="AA17" s="264"/>
      <c r="AB17" s="260"/>
      <c r="AC17" s="260"/>
    </row>
    <row r="18">
      <c r="A18" s="259"/>
      <c r="B18" s="260"/>
      <c r="C18" s="260"/>
      <c r="D18" s="260"/>
      <c r="E18" s="260"/>
      <c r="F18" s="260"/>
      <c r="G18" s="260"/>
      <c r="H18" s="260"/>
      <c r="I18" s="260"/>
      <c r="J18" s="261"/>
      <c r="K18" s="260"/>
      <c r="L18" s="260"/>
      <c r="M18" s="260"/>
      <c r="N18" s="260"/>
      <c r="O18" s="260"/>
      <c r="P18" s="260"/>
      <c r="Q18" s="260"/>
      <c r="R18" s="260"/>
      <c r="S18" s="260"/>
      <c r="T18" s="279"/>
      <c r="U18" s="260"/>
      <c r="V18" s="260"/>
      <c r="W18" s="260"/>
      <c r="X18" s="260"/>
      <c r="Y18" s="260"/>
      <c r="Z18" s="260"/>
      <c r="AA18" s="264"/>
      <c r="AB18" s="260"/>
      <c r="AC18" s="260"/>
    </row>
    <row r="19">
      <c r="A19" s="259"/>
      <c r="B19" s="260"/>
      <c r="C19" s="260"/>
      <c r="D19" s="260"/>
      <c r="E19" s="260"/>
      <c r="F19" s="260"/>
      <c r="G19" s="260"/>
      <c r="H19" s="260"/>
      <c r="I19" s="260"/>
      <c r="J19" s="261"/>
      <c r="K19" s="260"/>
      <c r="L19" s="260"/>
      <c r="M19" s="260"/>
      <c r="N19" s="260"/>
      <c r="O19" s="260"/>
      <c r="P19" s="260"/>
      <c r="Q19" s="260"/>
      <c r="R19" s="260"/>
      <c r="S19" s="260"/>
      <c r="T19" s="279"/>
      <c r="U19" s="260"/>
      <c r="V19" s="260"/>
      <c r="W19" s="260"/>
      <c r="X19" s="260"/>
      <c r="Y19" s="260"/>
      <c r="Z19" s="260"/>
      <c r="AA19" s="264"/>
      <c r="AB19" s="260"/>
      <c r="AC19" s="260"/>
    </row>
    <row r="20">
      <c r="A20" s="259"/>
      <c r="B20" s="260"/>
      <c r="C20" s="260"/>
      <c r="D20" s="260"/>
      <c r="E20" s="260"/>
      <c r="F20" s="260"/>
      <c r="G20" s="260"/>
      <c r="H20" s="260"/>
      <c r="I20" s="260"/>
      <c r="J20" s="261"/>
      <c r="K20" s="260"/>
      <c r="L20" s="260"/>
      <c r="M20" s="260"/>
      <c r="N20" s="260"/>
      <c r="O20" s="260"/>
      <c r="P20" s="260"/>
      <c r="Q20" s="260"/>
      <c r="R20" s="260"/>
      <c r="S20" s="260"/>
      <c r="T20" s="279"/>
      <c r="U20" s="260"/>
      <c r="V20" s="260"/>
      <c r="W20" s="260"/>
      <c r="X20" s="260"/>
      <c r="Y20" s="260"/>
      <c r="Z20" s="260"/>
      <c r="AA20" s="264"/>
      <c r="AB20" s="260"/>
      <c r="AC20" s="260"/>
    </row>
    <row r="21">
      <c r="A21" s="259"/>
      <c r="B21" s="260"/>
      <c r="C21" s="260"/>
      <c r="D21" s="260"/>
      <c r="E21" s="260"/>
      <c r="F21" s="260"/>
      <c r="G21" s="260"/>
      <c r="H21" s="260"/>
      <c r="I21" s="260"/>
      <c r="J21" s="261"/>
      <c r="K21" s="260"/>
      <c r="L21" s="260"/>
      <c r="M21" s="260"/>
      <c r="N21" s="260"/>
      <c r="O21" s="260"/>
      <c r="P21" s="260"/>
      <c r="Q21" s="260"/>
      <c r="R21" s="260"/>
      <c r="S21" s="260"/>
      <c r="T21" s="279"/>
      <c r="U21" s="260"/>
      <c r="V21" s="260"/>
      <c r="W21" s="260"/>
      <c r="X21" s="260"/>
      <c r="Y21" s="260"/>
      <c r="Z21" s="260"/>
      <c r="AA21" s="264"/>
      <c r="AB21" s="260"/>
      <c r="AC21" s="260"/>
    </row>
    <row r="22">
      <c r="A22" s="259"/>
      <c r="B22" s="260"/>
      <c r="C22" s="260"/>
      <c r="D22" s="260"/>
      <c r="E22" s="260"/>
      <c r="F22" s="260"/>
      <c r="G22" s="260"/>
      <c r="H22" s="260"/>
      <c r="I22" s="260"/>
      <c r="J22" s="261"/>
      <c r="K22" s="260"/>
      <c r="L22" s="260"/>
      <c r="M22" s="260"/>
      <c r="N22" s="260"/>
      <c r="O22" s="260"/>
      <c r="P22" s="260"/>
      <c r="Q22" s="260"/>
      <c r="R22" s="260"/>
      <c r="S22" s="260"/>
      <c r="T22" s="279"/>
      <c r="U22" s="260"/>
      <c r="V22" s="260"/>
      <c r="W22" s="260"/>
      <c r="X22" s="260"/>
      <c r="Y22" s="260"/>
      <c r="Z22" s="260"/>
      <c r="AA22" s="264"/>
      <c r="AB22" s="260"/>
      <c r="AC22" s="260"/>
    </row>
    <row r="23">
      <c r="A23" s="259"/>
      <c r="B23" s="260"/>
      <c r="C23" s="260"/>
      <c r="D23" s="260"/>
      <c r="E23" s="260"/>
      <c r="F23" s="260"/>
      <c r="G23" s="260"/>
      <c r="H23" s="260"/>
      <c r="I23" s="260"/>
      <c r="J23" s="261"/>
      <c r="K23" s="260"/>
      <c r="L23" s="260"/>
      <c r="M23" s="260"/>
      <c r="N23" s="260"/>
      <c r="O23" s="260"/>
      <c r="P23" s="260"/>
      <c r="Q23" s="260"/>
      <c r="R23" s="260"/>
      <c r="S23" s="260"/>
      <c r="T23" s="279"/>
      <c r="U23" s="260"/>
      <c r="V23" s="260"/>
      <c r="W23" s="260"/>
      <c r="X23" s="260"/>
      <c r="Y23" s="260"/>
      <c r="Z23" s="260"/>
      <c r="AA23" s="264"/>
      <c r="AB23" s="260"/>
      <c r="AC23" s="260"/>
    </row>
    <row r="24">
      <c r="A24" s="259"/>
      <c r="B24" s="260"/>
      <c r="C24" s="260"/>
      <c r="D24" s="260"/>
      <c r="E24" s="260"/>
      <c r="F24" s="260"/>
      <c r="G24" s="260"/>
      <c r="H24" s="260"/>
      <c r="I24" s="260"/>
      <c r="J24" s="261"/>
      <c r="K24" s="260"/>
      <c r="L24" s="260"/>
      <c r="M24" s="260"/>
      <c r="N24" s="260"/>
      <c r="O24" s="260"/>
      <c r="P24" s="260"/>
      <c r="Q24" s="260"/>
      <c r="R24" s="260"/>
      <c r="S24" s="260"/>
      <c r="T24" s="279"/>
      <c r="U24" s="260"/>
      <c r="V24" s="260"/>
      <c r="W24" s="260"/>
      <c r="X24" s="260"/>
      <c r="Y24" s="260"/>
      <c r="Z24" s="260"/>
      <c r="AA24" s="264"/>
      <c r="AB24" s="260"/>
      <c r="AC24" s="260"/>
    </row>
    <row r="25">
      <c r="A25" s="259"/>
      <c r="B25" s="260"/>
      <c r="C25" s="260"/>
      <c r="D25" s="260"/>
      <c r="E25" s="260"/>
      <c r="F25" s="260"/>
      <c r="G25" s="260"/>
      <c r="H25" s="260"/>
      <c r="I25" s="260"/>
      <c r="J25" s="261"/>
      <c r="K25" s="260"/>
      <c r="L25" s="260"/>
      <c r="M25" s="260"/>
      <c r="N25" s="260"/>
      <c r="O25" s="260"/>
      <c r="P25" s="260"/>
      <c r="Q25" s="260"/>
      <c r="R25" s="260"/>
      <c r="S25" s="260"/>
      <c r="T25" s="279"/>
      <c r="U25" s="260"/>
      <c r="V25" s="260"/>
      <c r="W25" s="260"/>
      <c r="X25" s="260"/>
      <c r="Y25" s="260"/>
      <c r="Z25" s="260"/>
      <c r="AA25" s="264"/>
      <c r="AB25" s="260"/>
      <c r="AC25" s="260"/>
    </row>
    <row r="26">
      <c r="A26" s="259"/>
      <c r="B26" s="260"/>
      <c r="C26" s="260"/>
      <c r="D26" s="260"/>
      <c r="E26" s="260"/>
      <c r="F26" s="260"/>
      <c r="G26" s="260"/>
      <c r="H26" s="260"/>
      <c r="I26" s="260"/>
      <c r="J26" s="261"/>
      <c r="K26" s="260"/>
      <c r="L26" s="260"/>
      <c r="M26" s="260"/>
      <c r="N26" s="260"/>
      <c r="O26" s="260"/>
      <c r="P26" s="260"/>
      <c r="Q26" s="260"/>
      <c r="R26" s="260"/>
      <c r="S26" s="260"/>
      <c r="T26" s="279"/>
      <c r="U26" s="260"/>
      <c r="V26" s="260"/>
      <c r="W26" s="260"/>
      <c r="X26" s="260"/>
      <c r="Y26" s="260"/>
      <c r="Z26" s="260"/>
      <c r="AA26" s="264"/>
      <c r="AB26" s="260"/>
      <c r="AC26" s="260"/>
    </row>
    <row r="27">
      <c r="A27" s="259"/>
      <c r="B27" s="260"/>
      <c r="C27" s="260"/>
      <c r="D27" s="260"/>
      <c r="E27" s="260"/>
      <c r="F27" s="260"/>
      <c r="G27" s="260"/>
      <c r="H27" s="260"/>
      <c r="I27" s="260"/>
      <c r="J27" s="261"/>
      <c r="K27" s="260"/>
      <c r="L27" s="260"/>
      <c r="M27" s="260"/>
      <c r="N27" s="260"/>
      <c r="O27" s="260"/>
      <c r="P27" s="260"/>
      <c r="Q27" s="260"/>
      <c r="R27" s="260"/>
      <c r="S27" s="260"/>
      <c r="T27" s="279"/>
      <c r="U27" s="260"/>
      <c r="V27" s="260"/>
      <c r="W27" s="260"/>
      <c r="X27" s="260"/>
      <c r="Y27" s="260"/>
      <c r="Z27" s="260"/>
      <c r="AA27" s="264"/>
      <c r="AB27" s="260"/>
      <c r="AC27" s="260"/>
    </row>
    <row r="28">
      <c r="A28" s="259"/>
      <c r="B28" s="260"/>
      <c r="C28" s="260"/>
      <c r="D28" s="260"/>
      <c r="E28" s="260"/>
      <c r="F28" s="260"/>
      <c r="G28" s="260"/>
      <c r="H28" s="260"/>
      <c r="I28" s="260"/>
      <c r="J28" s="261"/>
      <c r="K28" s="260"/>
      <c r="L28" s="260"/>
      <c r="M28" s="260"/>
      <c r="N28" s="260"/>
      <c r="O28" s="260"/>
      <c r="P28" s="260"/>
      <c r="Q28" s="260"/>
      <c r="R28" s="260"/>
      <c r="S28" s="260"/>
      <c r="T28" s="279"/>
      <c r="U28" s="260"/>
      <c r="V28" s="260"/>
      <c r="W28" s="260"/>
      <c r="X28" s="260"/>
      <c r="Y28" s="260"/>
      <c r="Z28" s="260"/>
      <c r="AA28" s="264"/>
      <c r="AB28" s="260"/>
      <c r="AC28" s="260"/>
    </row>
    <row r="29">
      <c r="A29" s="259"/>
      <c r="B29" s="260"/>
      <c r="C29" s="260"/>
      <c r="D29" s="260"/>
      <c r="E29" s="260"/>
      <c r="F29" s="260"/>
      <c r="G29" s="260"/>
      <c r="H29" s="260"/>
      <c r="I29" s="260"/>
      <c r="J29" s="261"/>
      <c r="K29" s="260"/>
      <c r="L29" s="260"/>
      <c r="M29" s="260"/>
      <c r="N29" s="260"/>
      <c r="O29" s="260"/>
      <c r="P29" s="260"/>
      <c r="Q29" s="260"/>
      <c r="R29" s="260"/>
      <c r="S29" s="260"/>
      <c r="T29" s="279"/>
      <c r="U29" s="260"/>
      <c r="V29" s="260"/>
      <c r="W29" s="260"/>
      <c r="X29" s="260"/>
      <c r="Y29" s="260"/>
      <c r="Z29" s="260"/>
      <c r="AA29" s="264"/>
      <c r="AB29" s="260"/>
      <c r="AC29" s="260"/>
    </row>
    <row r="30">
      <c r="A30" s="259"/>
      <c r="B30" s="260"/>
      <c r="C30" s="260"/>
      <c r="D30" s="260"/>
      <c r="E30" s="260"/>
      <c r="F30" s="260"/>
      <c r="G30" s="260"/>
      <c r="H30" s="260"/>
      <c r="I30" s="260"/>
      <c r="J30" s="261"/>
      <c r="K30" s="260"/>
      <c r="L30" s="260"/>
      <c r="M30" s="260"/>
      <c r="N30" s="260"/>
      <c r="O30" s="260"/>
      <c r="P30" s="260"/>
      <c r="Q30" s="260"/>
      <c r="R30" s="260"/>
      <c r="S30" s="260"/>
      <c r="T30" s="279"/>
      <c r="U30" s="260"/>
      <c r="V30" s="260"/>
      <c r="W30" s="260"/>
      <c r="X30" s="260"/>
      <c r="Y30" s="260"/>
      <c r="Z30" s="260"/>
      <c r="AA30" s="264"/>
      <c r="AB30" s="260"/>
      <c r="AC30" s="260"/>
    </row>
    <row r="31">
      <c r="A31" s="259"/>
      <c r="B31" s="260"/>
      <c r="C31" s="260"/>
      <c r="D31" s="260"/>
      <c r="E31" s="260"/>
      <c r="F31" s="260"/>
      <c r="G31" s="260"/>
      <c r="H31" s="260"/>
      <c r="I31" s="260"/>
      <c r="J31" s="261"/>
      <c r="K31" s="260"/>
      <c r="L31" s="260"/>
      <c r="M31" s="260"/>
      <c r="N31" s="260"/>
      <c r="O31" s="260"/>
      <c r="P31" s="260"/>
      <c r="Q31" s="260"/>
      <c r="R31" s="260"/>
      <c r="S31" s="260"/>
      <c r="T31" s="279"/>
      <c r="U31" s="260"/>
      <c r="V31" s="260"/>
      <c r="W31" s="260"/>
      <c r="X31" s="260"/>
      <c r="Y31" s="260"/>
      <c r="Z31" s="260"/>
      <c r="AA31" s="264"/>
      <c r="AB31" s="260"/>
      <c r="AC31" s="260"/>
    </row>
    <row r="32">
      <c r="A32" s="259"/>
      <c r="B32" s="260"/>
      <c r="C32" s="260"/>
      <c r="D32" s="260"/>
      <c r="E32" s="260"/>
      <c r="F32" s="260"/>
      <c r="G32" s="260"/>
      <c r="H32" s="260"/>
      <c r="I32" s="260"/>
      <c r="J32" s="261"/>
      <c r="K32" s="260"/>
      <c r="L32" s="260"/>
      <c r="M32" s="260"/>
      <c r="N32" s="260"/>
      <c r="O32" s="260"/>
      <c r="P32" s="260"/>
      <c r="Q32" s="260"/>
      <c r="R32" s="260"/>
      <c r="S32" s="260"/>
      <c r="T32" s="279"/>
      <c r="U32" s="260"/>
      <c r="V32" s="260"/>
      <c r="W32" s="260"/>
      <c r="X32" s="260"/>
      <c r="Y32" s="260"/>
      <c r="Z32" s="260"/>
      <c r="AA32" s="264"/>
      <c r="AB32" s="260"/>
      <c r="AC32" s="260"/>
    </row>
    <row r="33">
      <c r="A33" s="259"/>
      <c r="B33" s="260"/>
      <c r="C33" s="260"/>
      <c r="D33" s="260"/>
      <c r="E33" s="260"/>
      <c r="F33" s="260"/>
      <c r="G33" s="260"/>
      <c r="H33" s="260"/>
      <c r="I33" s="260"/>
      <c r="J33" s="261"/>
      <c r="K33" s="260"/>
      <c r="L33" s="260"/>
      <c r="M33" s="260"/>
      <c r="N33" s="260"/>
      <c r="O33" s="260"/>
      <c r="P33" s="260"/>
      <c r="Q33" s="260"/>
      <c r="R33" s="260"/>
      <c r="S33" s="260"/>
      <c r="T33" s="279"/>
      <c r="U33" s="260"/>
      <c r="V33" s="260"/>
      <c r="W33" s="260"/>
      <c r="X33" s="260"/>
      <c r="Y33" s="260"/>
      <c r="Z33" s="260"/>
      <c r="AA33" s="264"/>
      <c r="AB33" s="260"/>
      <c r="AC33" s="260"/>
    </row>
    <row r="34">
      <c r="A34" s="259"/>
      <c r="B34" s="260"/>
      <c r="C34" s="260"/>
      <c r="D34" s="260"/>
      <c r="E34" s="260"/>
      <c r="F34" s="260"/>
      <c r="G34" s="260"/>
      <c r="H34" s="260"/>
      <c r="I34" s="260"/>
      <c r="J34" s="261"/>
      <c r="K34" s="260"/>
      <c r="L34" s="260"/>
      <c r="M34" s="260"/>
      <c r="N34" s="260"/>
      <c r="O34" s="260"/>
      <c r="P34" s="260"/>
      <c r="Q34" s="260"/>
      <c r="R34" s="260"/>
      <c r="S34" s="260"/>
      <c r="T34" s="279"/>
      <c r="U34" s="260"/>
      <c r="V34" s="260"/>
      <c r="W34" s="260"/>
      <c r="X34" s="260"/>
      <c r="Y34" s="260"/>
      <c r="Z34" s="260"/>
      <c r="AA34" s="264"/>
      <c r="AB34" s="260"/>
      <c r="AC34" s="260"/>
    </row>
    <row r="35">
      <c r="A35" s="259"/>
      <c r="B35" s="260"/>
      <c r="C35" s="260"/>
      <c r="D35" s="260"/>
      <c r="E35" s="260"/>
      <c r="F35" s="260"/>
      <c r="G35" s="260"/>
      <c r="H35" s="260"/>
      <c r="I35" s="260"/>
      <c r="J35" s="261"/>
      <c r="K35" s="260"/>
      <c r="L35" s="260"/>
      <c r="M35" s="260"/>
      <c r="N35" s="260"/>
      <c r="O35" s="260"/>
      <c r="P35" s="260"/>
      <c r="Q35" s="260"/>
      <c r="R35" s="260"/>
      <c r="S35" s="260"/>
      <c r="T35" s="279"/>
      <c r="U35" s="260"/>
      <c r="V35" s="260"/>
      <c r="W35" s="260"/>
      <c r="X35" s="260"/>
      <c r="Y35" s="260"/>
      <c r="Z35" s="260"/>
      <c r="AA35" s="264"/>
      <c r="AB35" s="260"/>
      <c r="AC35" s="260"/>
    </row>
    <row r="36">
      <c r="A36" s="259"/>
      <c r="B36" s="260"/>
      <c r="C36" s="260"/>
      <c r="D36" s="260"/>
      <c r="E36" s="260"/>
      <c r="F36" s="260"/>
      <c r="G36" s="260"/>
      <c r="H36" s="260"/>
      <c r="I36" s="260"/>
      <c r="J36" s="261"/>
      <c r="K36" s="260"/>
      <c r="L36" s="260"/>
      <c r="M36" s="260"/>
      <c r="N36" s="260"/>
      <c r="O36" s="260"/>
      <c r="P36" s="260"/>
      <c r="Q36" s="260"/>
      <c r="R36" s="260"/>
      <c r="S36" s="260"/>
      <c r="T36" s="279"/>
      <c r="U36" s="260"/>
      <c r="V36" s="260"/>
      <c r="W36" s="260"/>
      <c r="X36" s="260"/>
      <c r="Y36" s="260"/>
      <c r="Z36" s="260"/>
      <c r="AA36" s="264"/>
      <c r="AB36" s="260"/>
      <c r="AC36" s="260"/>
    </row>
    <row r="37">
      <c r="A37" s="259"/>
      <c r="B37" s="260"/>
      <c r="C37" s="260"/>
      <c r="D37" s="260"/>
      <c r="E37" s="260"/>
      <c r="F37" s="260"/>
      <c r="G37" s="260"/>
      <c r="H37" s="260"/>
      <c r="I37" s="260"/>
      <c r="J37" s="261"/>
      <c r="K37" s="260"/>
      <c r="L37" s="260"/>
      <c r="M37" s="260"/>
      <c r="N37" s="260"/>
      <c r="O37" s="260"/>
      <c r="P37" s="260"/>
      <c r="Q37" s="260"/>
      <c r="R37" s="260"/>
      <c r="S37" s="260"/>
      <c r="T37" s="279"/>
      <c r="U37" s="260"/>
      <c r="V37" s="260"/>
      <c r="W37" s="260"/>
      <c r="X37" s="260"/>
      <c r="Y37" s="260"/>
      <c r="Z37" s="260"/>
      <c r="AA37" s="264"/>
      <c r="AB37" s="260"/>
      <c r="AC37" s="260"/>
    </row>
    <row r="38">
      <c r="A38" s="259"/>
      <c r="B38" s="260"/>
      <c r="C38" s="260"/>
      <c r="D38" s="260"/>
      <c r="E38" s="260"/>
      <c r="F38" s="260"/>
      <c r="G38" s="260"/>
      <c r="H38" s="260"/>
      <c r="I38" s="260"/>
      <c r="J38" s="261"/>
      <c r="K38" s="260"/>
      <c r="L38" s="260"/>
      <c r="M38" s="260"/>
      <c r="N38" s="260"/>
      <c r="O38" s="260"/>
      <c r="P38" s="260"/>
      <c r="Q38" s="260"/>
      <c r="R38" s="260"/>
      <c r="S38" s="260"/>
      <c r="T38" s="279"/>
      <c r="U38" s="260"/>
      <c r="V38" s="260"/>
      <c r="W38" s="260"/>
      <c r="X38" s="260"/>
      <c r="Y38" s="260"/>
      <c r="Z38" s="260"/>
      <c r="AA38" s="264"/>
      <c r="AB38" s="260"/>
      <c r="AC38" s="260"/>
    </row>
    <row r="39">
      <c r="A39" s="259"/>
      <c r="B39" s="260"/>
      <c r="C39" s="260"/>
      <c r="D39" s="260"/>
      <c r="E39" s="260"/>
      <c r="F39" s="260"/>
      <c r="G39" s="260"/>
      <c r="H39" s="260"/>
      <c r="I39" s="260"/>
      <c r="J39" s="261"/>
      <c r="K39" s="260"/>
      <c r="L39" s="260"/>
      <c r="M39" s="260"/>
      <c r="N39" s="260"/>
      <c r="O39" s="260"/>
      <c r="P39" s="260"/>
      <c r="Q39" s="260"/>
      <c r="R39" s="260"/>
      <c r="S39" s="260"/>
      <c r="T39" s="279"/>
      <c r="U39" s="260"/>
      <c r="V39" s="260"/>
      <c r="W39" s="260"/>
      <c r="X39" s="260"/>
      <c r="Y39" s="260"/>
      <c r="Z39" s="260"/>
      <c r="AA39" s="264"/>
      <c r="AB39" s="260"/>
      <c r="AC39" s="260"/>
    </row>
    <row r="40">
      <c r="A40" s="259"/>
      <c r="B40" s="260"/>
      <c r="C40" s="260"/>
      <c r="D40" s="260"/>
      <c r="E40" s="260"/>
      <c r="F40" s="260"/>
      <c r="G40" s="260"/>
      <c r="H40" s="260"/>
      <c r="I40" s="260"/>
      <c r="J40" s="261"/>
      <c r="K40" s="260"/>
      <c r="L40" s="260"/>
      <c r="M40" s="260"/>
      <c r="N40" s="260"/>
      <c r="O40" s="260"/>
      <c r="P40" s="260"/>
      <c r="Q40" s="260"/>
      <c r="R40" s="260"/>
      <c r="S40" s="260"/>
      <c r="T40" s="279"/>
      <c r="U40" s="260"/>
      <c r="V40" s="260"/>
      <c r="W40" s="260"/>
      <c r="X40" s="260"/>
      <c r="Y40" s="260"/>
      <c r="Z40" s="260"/>
      <c r="AA40" s="264"/>
      <c r="AB40" s="260"/>
      <c r="AC40" s="260"/>
    </row>
    <row r="41">
      <c r="A41" s="259"/>
      <c r="B41" s="260"/>
      <c r="C41" s="260"/>
      <c r="D41" s="260"/>
      <c r="E41" s="260"/>
      <c r="F41" s="260"/>
      <c r="G41" s="260"/>
      <c r="H41" s="260"/>
      <c r="I41" s="260"/>
      <c r="J41" s="261"/>
      <c r="K41" s="260"/>
      <c r="L41" s="260"/>
      <c r="M41" s="260"/>
      <c r="N41" s="260"/>
      <c r="O41" s="260"/>
      <c r="P41" s="260"/>
      <c r="Q41" s="260"/>
      <c r="R41" s="260"/>
      <c r="S41" s="260"/>
      <c r="T41" s="279"/>
      <c r="U41" s="260"/>
      <c r="V41" s="260"/>
      <c r="W41" s="260"/>
      <c r="X41" s="260"/>
      <c r="Y41" s="260"/>
      <c r="Z41" s="260"/>
      <c r="AA41" s="264"/>
      <c r="AB41" s="260"/>
      <c r="AC41" s="260"/>
    </row>
    <row r="42">
      <c r="A42" s="259"/>
      <c r="B42" s="260"/>
      <c r="C42" s="260"/>
      <c r="D42" s="260"/>
      <c r="E42" s="260"/>
      <c r="F42" s="260"/>
      <c r="G42" s="260"/>
      <c r="H42" s="260"/>
      <c r="I42" s="260"/>
      <c r="J42" s="261"/>
      <c r="K42" s="260"/>
      <c r="L42" s="260"/>
      <c r="M42" s="260"/>
      <c r="N42" s="260"/>
      <c r="O42" s="260"/>
      <c r="P42" s="260"/>
      <c r="Q42" s="260"/>
      <c r="R42" s="260"/>
      <c r="S42" s="260"/>
      <c r="T42" s="279"/>
      <c r="U42" s="260"/>
      <c r="V42" s="260"/>
      <c r="W42" s="260"/>
      <c r="X42" s="260"/>
      <c r="Y42" s="260"/>
      <c r="Z42" s="260"/>
      <c r="AA42" s="264"/>
      <c r="AB42" s="260"/>
      <c r="AC42" s="260"/>
    </row>
    <row r="43">
      <c r="A43" s="259"/>
      <c r="B43" s="260"/>
      <c r="C43" s="260"/>
      <c r="D43" s="260"/>
      <c r="E43" s="260"/>
      <c r="F43" s="260"/>
      <c r="G43" s="260"/>
      <c r="H43" s="260"/>
      <c r="I43" s="260"/>
      <c r="J43" s="261"/>
      <c r="K43" s="260"/>
      <c r="L43" s="260"/>
      <c r="M43" s="260"/>
      <c r="N43" s="260"/>
      <c r="O43" s="260"/>
      <c r="P43" s="260"/>
      <c r="Q43" s="260"/>
      <c r="R43" s="260"/>
      <c r="S43" s="260"/>
      <c r="T43" s="279"/>
      <c r="U43" s="260"/>
      <c r="V43" s="260"/>
      <c r="W43" s="260"/>
      <c r="X43" s="260"/>
      <c r="Y43" s="260"/>
      <c r="Z43" s="260"/>
      <c r="AA43" s="264"/>
      <c r="AB43" s="260"/>
      <c r="AC43" s="260"/>
    </row>
    <row r="44">
      <c r="A44" s="259"/>
      <c r="B44" s="260"/>
      <c r="C44" s="260"/>
      <c r="D44" s="260"/>
      <c r="E44" s="260"/>
      <c r="F44" s="260"/>
      <c r="G44" s="260"/>
      <c r="H44" s="260"/>
      <c r="I44" s="260"/>
      <c r="J44" s="261"/>
      <c r="K44" s="260"/>
      <c r="L44" s="260"/>
      <c r="M44" s="260"/>
      <c r="N44" s="260"/>
      <c r="O44" s="260"/>
      <c r="P44" s="260"/>
      <c r="Q44" s="260"/>
      <c r="R44" s="260"/>
      <c r="S44" s="260"/>
      <c r="T44" s="279"/>
      <c r="U44" s="260"/>
      <c r="V44" s="260"/>
      <c r="W44" s="260"/>
      <c r="X44" s="260"/>
      <c r="Y44" s="260"/>
      <c r="Z44" s="260"/>
      <c r="AA44" s="264"/>
      <c r="AB44" s="260"/>
      <c r="AC44" s="260"/>
    </row>
    <row r="45">
      <c r="A45" s="259"/>
      <c r="B45" s="260"/>
      <c r="C45" s="260"/>
      <c r="D45" s="260"/>
      <c r="E45" s="260"/>
      <c r="F45" s="260"/>
      <c r="G45" s="260"/>
      <c r="H45" s="260"/>
      <c r="I45" s="260"/>
      <c r="J45" s="261"/>
      <c r="K45" s="260"/>
      <c r="L45" s="260"/>
      <c r="M45" s="260"/>
      <c r="N45" s="260"/>
      <c r="O45" s="260"/>
      <c r="P45" s="260"/>
      <c r="Q45" s="260"/>
      <c r="R45" s="260"/>
      <c r="S45" s="260"/>
      <c r="T45" s="279"/>
      <c r="U45" s="260"/>
      <c r="V45" s="260"/>
      <c r="W45" s="260"/>
      <c r="X45" s="260"/>
      <c r="Y45" s="260"/>
      <c r="Z45" s="260"/>
      <c r="AA45" s="264"/>
      <c r="AB45" s="260"/>
      <c r="AC45" s="260"/>
    </row>
    <row r="46">
      <c r="A46" s="259"/>
      <c r="B46" s="260"/>
      <c r="C46" s="260"/>
      <c r="D46" s="260"/>
      <c r="E46" s="260"/>
      <c r="F46" s="260"/>
      <c r="G46" s="260"/>
      <c r="H46" s="260"/>
      <c r="I46" s="260"/>
      <c r="J46" s="261"/>
      <c r="K46" s="260"/>
      <c r="L46" s="260"/>
      <c r="M46" s="260"/>
      <c r="N46" s="260"/>
      <c r="O46" s="260"/>
      <c r="P46" s="260"/>
      <c r="Q46" s="260"/>
      <c r="R46" s="260"/>
      <c r="S46" s="260"/>
      <c r="T46" s="279"/>
      <c r="U46" s="260"/>
      <c r="V46" s="260"/>
      <c r="W46" s="260"/>
      <c r="X46" s="260"/>
      <c r="Y46" s="260"/>
      <c r="Z46" s="260"/>
      <c r="AA46" s="264"/>
      <c r="AB46" s="260"/>
      <c r="AC46" s="260"/>
    </row>
    <row r="47">
      <c r="A47" s="259"/>
      <c r="B47" s="260"/>
      <c r="C47" s="260"/>
      <c r="D47" s="260"/>
      <c r="E47" s="260"/>
      <c r="F47" s="260"/>
      <c r="G47" s="260"/>
      <c r="H47" s="260"/>
      <c r="I47" s="260"/>
      <c r="J47" s="261"/>
      <c r="K47" s="260"/>
      <c r="L47" s="260"/>
      <c r="M47" s="260"/>
      <c r="N47" s="260"/>
      <c r="O47" s="260"/>
      <c r="P47" s="260"/>
      <c r="Q47" s="260"/>
      <c r="R47" s="260"/>
      <c r="S47" s="260"/>
      <c r="T47" s="279"/>
      <c r="U47" s="260"/>
      <c r="V47" s="260"/>
      <c r="W47" s="260"/>
      <c r="X47" s="260"/>
      <c r="Y47" s="260"/>
      <c r="Z47" s="260"/>
      <c r="AA47" s="264"/>
      <c r="AB47" s="260"/>
      <c r="AC47" s="260"/>
    </row>
    <row r="48">
      <c r="A48" s="259"/>
      <c r="B48" s="260"/>
      <c r="C48" s="260"/>
      <c r="D48" s="260"/>
      <c r="E48" s="260"/>
      <c r="F48" s="260"/>
      <c r="G48" s="260"/>
      <c r="H48" s="260"/>
      <c r="I48" s="260"/>
      <c r="J48" s="261"/>
      <c r="K48" s="260"/>
      <c r="L48" s="260"/>
      <c r="M48" s="260"/>
      <c r="N48" s="260"/>
      <c r="O48" s="260"/>
      <c r="P48" s="260"/>
      <c r="Q48" s="260"/>
      <c r="R48" s="260"/>
      <c r="S48" s="260"/>
      <c r="T48" s="279"/>
      <c r="U48" s="260"/>
      <c r="V48" s="260"/>
      <c r="W48" s="260"/>
      <c r="X48" s="260"/>
      <c r="Y48" s="260"/>
      <c r="Z48" s="260"/>
      <c r="AA48" s="264"/>
      <c r="AB48" s="260"/>
      <c r="AC48" s="260"/>
    </row>
    <row r="49">
      <c r="A49" s="259"/>
      <c r="B49" s="260"/>
      <c r="C49" s="260"/>
      <c r="D49" s="260"/>
      <c r="E49" s="260"/>
      <c r="F49" s="260"/>
      <c r="G49" s="260"/>
      <c r="H49" s="260"/>
      <c r="I49" s="260"/>
      <c r="J49" s="261"/>
      <c r="K49" s="260"/>
      <c r="L49" s="260"/>
      <c r="M49" s="260"/>
      <c r="N49" s="260"/>
      <c r="O49" s="260"/>
      <c r="P49" s="260"/>
      <c r="Q49" s="260"/>
      <c r="R49" s="260"/>
      <c r="S49" s="260"/>
      <c r="T49" s="279"/>
      <c r="U49" s="260"/>
      <c r="V49" s="260"/>
      <c r="W49" s="260"/>
      <c r="X49" s="260"/>
      <c r="Y49" s="260"/>
      <c r="Z49" s="260"/>
      <c r="AA49" s="264"/>
      <c r="AB49" s="260"/>
      <c r="AC49" s="260"/>
    </row>
    <row r="50">
      <c r="A50" s="259"/>
      <c r="B50" s="260"/>
      <c r="C50" s="260"/>
      <c r="D50" s="260"/>
      <c r="E50" s="260"/>
      <c r="F50" s="260"/>
      <c r="G50" s="260"/>
      <c r="H50" s="260"/>
      <c r="I50" s="260"/>
      <c r="J50" s="261"/>
      <c r="K50" s="260"/>
      <c r="L50" s="260"/>
      <c r="M50" s="260"/>
      <c r="N50" s="260"/>
      <c r="O50" s="260"/>
      <c r="P50" s="260"/>
      <c r="Q50" s="260"/>
      <c r="R50" s="260"/>
      <c r="S50" s="260"/>
      <c r="T50" s="279"/>
      <c r="U50" s="260"/>
      <c r="V50" s="260"/>
      <c r="W50" s="260"/>
      <c r="X50" s="260"/>
      <c r="Y50" s="260"/>
      <c r="Z50" s="260"/>
      <c r="AA50" s="264"/>
      <c r="AB50" s="260"/>
      <c r="AC50" s="260"/>
    </row>
    <row r="51">
      <c r="A51" s="259"/>
      <c r="B51" s="260"/>
      <c r="C51" s="260"/>
      <c r="D51" s="260"/>
      <c r="E51" s="260"/>
      <c r="F51" s="260"/>
      <c r="G51" s="260"/>
      <c r="H51" s="260"/>
      <c r="I51" s="260"/>
      <c r="J51" s="261"/>
      <c r="K51" s="260"/>
      <c r="L51" s="260"/>
      <c r="M51" s="260"/>
      <c r="N51" s="260"/>
      <c r="O51" s="260"/>
      <c r="P51" s="260"/>
      <c r="Q51" s="260"/>
      <c r="R51" s="260"/>
      <c r="S51" s="260"/>
      <c r="T51" s="279"/>
      <c r="U51" s="260"/>
      <c r="V51" s="260"/>
      <c r="W51" s="260"/>
      <c r="X51" s="260"/>
      <c r="Y51" s="260"/>
      <c r="Z51" s="260"/>
      <c r="AA51" s="264"/>
      <c r="AB51" s="260"/>
      <c r="AC51" s="260"/>
    </row>
    <row r="52">
      <c r="A52" s="259"/>
      <c r="B52" s="260"/>
      <c r="C52" s="260"/>
      <c r="D52" s="260"/>
      <c r="E52" s="260"/>
      <c r="F52" s="260"/>
      <c r="G52" s="260"/>
      <c r="H52" s="260"/>
      <c r="I52" s="260"/>
      <c r="J52" s="261"/>
      <c r="K52" s="260"/>
      <c r="L52" s="260"/>
      <c r="M52" s="260"/>
      <c r="N52" s="260"/>
      <c r="O52" s="260"/>
      <c r="P52" s="260"/>
      <c r="Q52" s="260"/>
      <c r="R52" s="260"/>
      <c r="S52" s="260"/>
      <c r="T52" s="279"/>
      <c r="U52" s="260"/>
      <c r="V52" s="260"/>
      <c r="W52" s="260"/>
      <c r="X52" s="260"/>
      <c r="Y52" s="260"/>
      <c r="Z52" s="260"/>
      <c r="AA52" s="264"/>
      <c r="AB52" s="260"/>
      <c r="AC52" s="260"/>
    </row>
    <row r="53">
      <c r="A53" s="259"/>
      <c r="B53" s="260"/>
      <c r="C53" s="260"/>
      <c r="D53" s="260"/>
      <c r="E53" s="260"/>
      <c r="F53" s="260"/>
      <c r="G53" s="260"/>
      <c r="H53" s="260"/>
      <c r="I53" s="260"/>
      <c r="J53" s="261"/>
      <c r="K53" s="260"/>
      <c r="L53" s="260"/>
      <c r="M53" s="260"/>
      <c r="N53" s="260"/>
      <c r="O53" s="260"/>
      <c r="P53" s="260"/>
      <c r="Q53" s="260"/>
      <c r="R53" s="260"/>
      <c r="S53" s="260"/>
      <c r="T53" s="279"/>
      <c r="U53" s="260"/>
      <c r="V53" s="260"/>
      <c r="W53" s="260"/>
      <c r="X53" s="260"/>
      <c r="Y53" s="260"/>
      <c r="Z53" s="260"/>
      <c r="AA53" s="264"/>
      <c r="AB53" s="260"/>
      <c r="AC53" s="260"/>
    </row>
    <row r="54">
      <c r="A54" s="259"/>
      <c r="B54" s="260"/>
      <c r="C54" s="260"/>
      <c r="D54" s="260"/>
      <c r="E54" s="260"/>
      <c r="F54" s="260"/>
      <c r="G54" s="260"/>
      <c r="H54" s="260"/>
      <c r="I54" s="260"/>
      <c r="J54" s="261"/>
      <c r="K54" s="260"/>
      <c r="L54" s="260"/>
      <c r="M54" s="260"/>
      <c r="N54" s="260"/>
      <c r="O54" s="260"/>
      <c r="P54" s="260"/>
      <c r="Q54" s="260"/>
      <c r="R54" s="260"/>
      <c r="S54" s="260"/>
      <c r="T54" s="279"/>
      <c r="U54" s="260"/>
      <c r="V54" s="260"/>
      <c r="W54" s="260"/>
      <c r="X54" s="260"/>
      <c r="Y54" s="260"/>
      <c r="Z54" s="260"/>
      <c r="AA54" s="264"/>
      <c r="AB54" s="260"/>
      <c r="AC54" s="260"/>
    </row>
    <row r="55">
      <c r="A55" s="259"/>
      <c r="B55" s="260"/>
      <c r="C55" s="260"/>
      <c r="D55" s="260"/>
      <c r="E55" s="260"/>
      <c r="F55" s="260"/>
      <c r="G55" s="260"/>
      <c r="H55" s="260"/>
      <c r="I55" s="260"/>
      <c r="J55" s="261"/>
      <c r="K55" s="260"/>
      <c r="L55" s="260"/>
      <c r="M55" s="260"/>
      <c r="N55" s="260"/>
      <c r="O55" s="260"/>
      <c r="P55" s="260"/>
      <c r="Q55" s="260"/>
      <c r="R55" s="260"/>
      <c r="S55" s="260"/>
      <c r="T55" s="279"/>
      <c r="U55" s="260"/>
      <c r="V55" s="260"/>
      <c r="W55" s="260"/>
      <c r="X55" s="260"/>
      <c r="Y55" s="260"/>
      <c r="Z55" s="260"/>
      <c r="AA55" s="264"/>
      <c r="AB55" s="260"/>
      <c r="AC55" s="260"/>
    </row>
    <row r="56">
      <c r="A56" s="259"/>
      <c r="B56" s="260"/>
      <c r="C56" s="260"/>
      <c r="D56" s="260"/>
      <c r="E56" s="260"/>
      <c r="F56" s="260"/>
      <c r="G56" s="260"/>
      <c r="H56" s="260"/>
      <c r="I56" s="260"/>
      <c r="J56" s="261"/>
      <c r="K56" s="260"/>
      <c r="L56" s="260"/>
      <c r="M56" s="260"/>
      <c r="N56" s="260"/>
      <c r="O56" s="260"/>
      <c r="P56" s="260"/>
      <c r="Q56" s="260"/>
      <c r="R56" s="260"/>
      <c r="S56" s="260"/>
      <c r="T56" s="279"/>
      <c r="U56" s="260"/>
      <c r="V56" s="260"/>
      <c r="W56" s="260"/>
      <c r="X56" s="260"/>
      <c r="Y56" s="260"/>
      <c r="Z56" s="260"/>
      <c r="AA56" s="264"/>
      <c r="AB56" s="260"/>
      <c r="AC56" s="260"/>
    </row>
    <row r="57">
      <c r="A57" s="259"/>
      <c r="B57" s="260"/>
      <c r="C57" s="260"/>
      <c r="D57" s="260"/>
      <c r="E57" s="260"/>
      <c r="F57" s="260"/>
      <c r="G57" s="260"/>
      <c r="H57" s="260"/>
      <c r="I57" s="260"/>
      <c r="J57" s="261"/>
      <c r="K57" s="260"/>
      <c r="L57" s="260"/>
      <c r="M57" s="260"/>
      <c r="N57" s="260"/>
      <c r="O57" s="260"/>
      <c r="P57" s="260"/>
      <c r="Q57" s="260"/>
      <c r="R57" s="260"/>
      <c r="S57" s="260"/>
      <c r="T57" s="279"/>
      <c r="U57" s="260"/>
      <c r="V57" s="260"/>
      <c r="W57" s="260"/>
      <c r="X57" s="260"/>
      <c r="Y57" s="260"/>
      <c r="Z57" s="260"/>
      <c r="AA57" s="264"/>
      <c r="AB57" s="260"/>
      <c r="AC57" s="260"/>
    </row>
    <row r="58">
      <c r="A58" s="259"/>
      <c r="B58" s="260"/>
      <c r="C58" s="260"/>
      <c r="D58" s="260"/>
      <c r="E58" s="260"/>
      <c r="F58" s="260"/>
      <c r="G58" s="260"/>
      <c r="H58" s="260"/>
      <c r="I58" s="260"/>
      <c r="J58" s="261"/>
      <c r="K58" s="260"/>
      <c r="L58" s="260"/>
      <c r="M58" s="260"/>
      <c r="N58" s="260"/>
      <c r="O58" s="260"/>
      <c r="P58" s="260"/>
      <c r="Q58" s="260"/>
      <c r="R58" s="260"/>
      <c r="S58" s="260"/>
      <c r="T58" s="279"/>
      <c r="U58" s="260"/>
      <c r="V58" s="260"/>
      <c r="W58" s="260"/>
      <c r="X58" s="260"/>
      <c r="Y58" s="260"/>
      <c r="Z58" s="260"/>
      <c r="AA58" s="264"/>
      <c r="AB58" s="260"/>
      <c r="AC58" s="260"/>
    </row>
    <row r="59">
      <c r="A59" s="259"/>
      <c r="B59" s="260"/>
      <c r="C59" s="260"/>
      <c r="D59" s="260"/>
      <c r="E59" s="260"/>
      <c r="F59" s="260"/>
      <c r="G59" s="260"/>
      <c r="H59" s="260"/>
      <c r="I59" s="260"/>
      <c r="J59" s="261"/>
      <c r="K59" s="260"/>
      <c r="L59" s="260"/>
      <c r="M59" s="260"/>
      <c r="N59" s="260"/>
      <c r="O59" s="260"/>
      <c r="P59" s="260"/>
      <c r="Q59" s="260"/>
      <c r="R59" s="260"/>
      <c r="S59" s="260"/>
      <c r="T59" s="279"/>
      <c r="U59" s="260"/>
      <c r="V59" s="260"/>
      <c r="W59" s="260"/>
      <c r="X59" s="260"/>
      <c r="Y59" s="260"/>
      <c r="Z59" s="260"/>
      <c r="AA59" s="264"/>
      <c r="AB59" s="260"/>
      <c r="AC59" s="260"/>
    </row>
    <row r="60">
      <c r="A60" s="259"/>
      <c r="B60" s="260"/>
      <c r="C60" s="260"/>
      <c r="D60" s="260"/>
      <c r="E60" s="260"/>
      <c r="F60" s="260"/>
      <c r="G60" s="260"/>
      <c r="H60" s="260"/>
      <c r="I60" s="260"/>
      <c r="J60" s="261"/>
      <c r="K60" s="260"/>
      <c r="L60" s="260"/>
      <c r="M60" s="260"/>
      <c r="N60" s="260"/>
      <c r="O60" s="260"/>
      <c r="P60" s="260"/>
      <c r="Q60" s="260"/>
      <c r="R60" s="260"/>
      <c r="S60" s="260"/>
      <c r="T60" s="279"/>
      <c r="U60" s="260"/>
      <c r="V60" s="260"/>
      <c r="W60" s="260"/>
      <c r="X60" s="260"/>
      <c r="Y60" s="260"/>
      <c r="Z60" s="260"/>
      <c r="AA60" s="264"/>
      <c r="AB60" s="260"/>
      <c r="AC60" s="260"/>
    </row>
    <row r="61">
      <c r="A61" s="259"/>
      <c r="B61" s="260"/>
      <c r="C61" s="260"/>
      <c r="D61" s="260"/>
      <c r="E61" s="260"/>
      <c r="F61" s="260"/>
      <c r="G61" s="260"/>
      <c r="H61" s="260"/>
      <c r="I61" s="260"/>
      <c r="J61" s="261"/>
      <c r="K61" s="260"/>
      <c r="L61" s="260"/>
      <c r="M61" s="260"/>
      <c r="N61" s="260"/>
      <c r="O61" s="260"/>
      <c r="P61" s="260"/>
      <c r="Q61" s="260"/>
      <c r="R61" s="260"/>
      <c r="S61" s="260"/>
      <c r="T61" s="279"/>
      <c r="U61" s="260"/>
      <c r="V61" s="260"/>
      <c r="W61" s="260"/>
      <c r="X61" s="260"/>
      <c r="Y61" s="260"/>
      <c r="Z61" s="260"/>
      <c r="AA61" s="264"/>
      <c r="AB61" s="260"/>
      <c r="AC61" s="260"/>
    </row>
    <row r="62">
      <c r="A62" s="259"/>
      <c r="B62" s="260"/>
      <c r="C62" s="260"/>
      <c r="D62" s="260"/>
      <c r="E62" s="260"/>
      <c r="F62" s="260"/>
      <c r="G62" s="260"/>
      <c r="H62" s="260"/>
      <c r="I62" s="260"/>
      <c r="J62" s="261"/>
      <c r="K62" s="260"/>
      <c r="L62" s="260"/>
      <c r="M62" s="260"/>
      <c r="N62" s="260"/>
      <c r="O62" s="260"/>
      <c r="P62" s="260"/>
      <c r="Q62" s="260"/>
      <c r="R62" s="260"/>
      <c r="S62" s="260"/>
      <c r="T62" s="279"/>
      <c r="U62" s="260"/>
      <c r="V62" s="260"/>
      <c r="W62" s="260"/>
      <c r="X62" s="260"/>
      <c r="Y62" s="260"/>
      <c r="Z62" s="260"/>
      <c r="AA62" s="264"/>
      <c r="AB62" s="260"/>
      <c r="AC62" s="260"/>
    </row>
    <row r="63">
      <c r="A63" s="259"/>
      <c r="B63" s="260"/>
      <c r="C63" s="260"/>
      <c r="D63" s="260"/>
      <c r="E63" s="260"/>
      <c r="F63" s="260"/>
      <c r="G63" s="260"/>
      <c r="H63" s="260"/>
      <c r="I63" s="260"/>
      <c r="J63" s="261"/>
      <c r="K63" s="260"/>
      <c r="L63" s="260"/>
      <c r="M63" s="260"/>
      <c r="N63" s="260"/>
      <c r="O63" s="260"/>
      <c r="P63" s="260"/>
      <c r="Q63" s="260"/>
      <c r="R63" s="260"/>
      <c r="S63" s="260"/>
      <c r="T63" s="279"/>
      <c r="U63" s="260"/>
      <c r="V63" s="260"/>
      <c r="W63" s="260"/>
      <c r="X63" s="260"/>
      <c r="Y63" s="260"/>
      <c r="Z63" s="260"/>
      <c r="AA63" s="264"/>
      <c r="AB63" s="260"/>
      <c r="AC63" s="260"/>
    </row>
    <row r="64">
      <c r="A64" s="259"/>
      <c r="B64" s="260"/>
      <c r="C64" s="260"/>
      <c r="D64" s="260"/>
      <c r="E64" s="260"/>
      <c r="F64" s="260"/>
      <c r="G64" s="260"/>
      <c r="H64" s="260"/>
      <c r="I64" s="260"/>
      <c r="J64" s="261"/>
      <c r="K64" s="260"/>
      <c r="L64" s="260"/>
      <c r="M64" s="260"/>
      <c r="N64" s="260"/>
      <c r="O64" s="260"/>
      <c r="P64" s="260"/>
      <c r="Q64" s="260"/>
      <c r="R64" s="260"/>
      <c r="S64" s="260"/>
      <c r="T64" s="279"/>
      <c r="U64" s="260"/>
      <c r="V64" s="260"/>
      <c r="W64" s="260"/>
      <c r="X64" s="260"/>
      <c r="Y64" s="260"/>
      <c r="Z64" s="260"/>
      <c r="AA64" s="264"/>
      <c r="AB64" s="260"/>
      <c r="AC64" s="260"/>
    </row>
    <row r="65">
      <c r="A65" s="259"/>
      <c r="B65" s="260"/>
      <c r="C65" s="260"/>
      <c r="D65" s="260"/>
      <c r="E65" s="260"/>
      <c r="F65" s="260"/>
      <c r="G65" s="260"/>
      <c r="H65" s="260"/>
      <c r="I65" s="260"/>
      <c r="J65" s="261"/>
      <c r="K65" s="260"/>
      <c r="L65" s="260"/>
      <c r="M65" s="260"/>
      <c r="N65" s="260"/>
      <c r="O65" s="260"/>
      <c r="P65" s="260"/>
      <c r="Q65" s="260"/>
      <c r="R65" s="260"/>
      <c r="S65" s="260"/>
      <c r="T65" s="279"/>
      <c r="U65" s="260"/>
      <c r="V65" s="260"/>
      <c r="W65" s="260"/>
      <c r="X65" s="260"/>
      <c r="Y65" s="260"/>
      <c r="Z65" s="260"/>
      <c r="AA65" s="264"/>
      <c r="AB65" s="260"/>
      <c r="AC65" s="260"/>
    </row>
    <row r="66">
      <c r="A66" s="259"/>
      <c r="B66" s="260"/>
      <c r="C66" s="260"/>
      <c r="D66" s="260"/>
      <c r="E66" s="260"/>
      <c r="F66" s="260"/>
      <c r="G66" s="260"/>
      <c r="H66" s="260"/>
      <c r="I66" s="260"/>
      <c r="J66" s="261"/>
      <c r="K66" s="260"/>
      <c r="L66" s="260"/>
      <c r="M66" s="260"/>
      <c r="N66" s="260"/>
      <c r="O66" s="260"/>
      <c r="P66" s="260"/>
      <c r="Q66" s="260"/>
      <c r="R66" s="260"/>
      <c r="S66" s="260"/>
      <c r="T66" s="279"/>
      <c r="U66" s="260"/>
      <c r="V66" s="260"/>
      <c r="W66" s="260"/>
      <c r="X66" s="260"/>
      <c r="Y66" s="260"/>
      <c r="Z66" s="260"/>
      <c r="AA66" s="264"/>
      <c r="AB66" s="260"/>
      <c r="AC66" s="260"/>
    </row>
    <row r="67">
      <c r="A67" s="259"/>
      <c r="B67" s="260"/>
      <c r="C67" s="260"/>
      <c r="D67" s="260"/>
      <c r="E67" s="260"/>
      <c r="F67" s="260"/>
      <c r="G67" s="260"/>
      <c r="H67" s="260"/>
      <c r="I67" s="260"/>
      <c r="J67" s="261"/>
      <c r="K67" s="260"/>
      <c r="L67" s="260"/>
      <c r="M67" s="260"/>
      <c r="N67" s="260"/>
      <c r="O67" s="260"/>
      <c r="P67" s="260"/>
      <c r="Q67" s="260"/>
      <c r="R67" s="260"/>
      <c r="S67" s="260"/>
      <c r="T67" s="279"/>
      <c r="U67" s="260"/>
      <c r="V67" s="260"/>
      <c r="W67" s="260"/>
      <c r="X67" s="260"/>
      <c r="Y67" s="260"/>
      <c r="Z67" s="260"/>
      <c r="AA67" s="264"/>
      <c r="AB67" s="260"/>
      <c r="AC67" s="260"/>
    </row>
    <row r="68">
      <c r="A68" s="259"/>
      <c r="B68" s="260"/>
      <c r="C68" s="260"/>
      <c r="D68" s="260"/>
      <c r="E68" s="260"/>
      <c r="F68" s="260"/>
      <c r="G68" s="260"/>
      <c r="H68" s="260"/>
      <c r="I68" s="260"/>
      <c r="J68" s="261"/>
      <c r="K68" s="260"/>
      <c r="L68" s="260"/>
      <c r="M68" s="260"/>
      <c r="N68" s="260"/>
      <c r="O68" s="260"/>
      <c r="P68" s="260"/>
      <c r="Q68" s="260"/>
      <c r="R68" s="260"/>
      <c r="S68" s="260"/>
      <c r="T68" s="279"/>
      <c r="U68" s="260"/>
      <c r="V68" s="260"/>
      <c r="W68" s="260"/>
      <c r="X68" s="260"/>
      <c r="Y68" s="260"/>
      <c r="Z68" s="260"/>
      <c r="AA68" s="264"/>
      <c r="AB68" s="260"/>
      <c r="AC68" s="260"/>
    </row>
    <row r="69">
      <c r="A69" s="259"/>
      <c r="B69" s="260"/>
      <c r="C69" s="260"/>
      <c r="D69" s="260"/>
      <c r="E69" s="260"/>
      <c r="F69" s="260"/>
      <c r="G69" s="260"/>
      <c r="H69" s="260"/>
      <c r="I69" s="260"/>
      <c r="J69" s="261"/>
      <c r="K69" s="260"/>
      <c r="L69" s="260"/>
      <c r="M69" s="260"/>
      <c r="N69" s="260"/>
      <c r="O69" s="260"/>
      <c r="P69" s="260"/>
      <c r="Q69" s="260"/>
      <c r="R69" s="260"/>
      <c r="S69" s="260"/>
      <c r="T69" s="279"/>
      <c r="U69" s="260"/>
      <c r="V69" s="260"/>
      <c r="W69" s="260"/>
      <c r="X69" s="260"/>
      <c r="Y69" s="260"/>
      <c r="Z69" s="260"/>
      <c r="AA69" s="264"/>
      <c r="AB69" s="260"/>
      <c r="AC69" s="260"/>
    </row>
    <row r="70">
      <c r="A70" s="259"/>
      <c r="B70" s="260"/>
      <c r="C70" s="260"/>
      <c r="D70" s="260"/>
      <c r="E70" s="260"/>
      <c r="F70" s="260"/>
      <c r="G70" s="260"/>
      <c r="H70" s="260"/>
      <c r="I70" s="260"/>
      <c r="J70" s="261"/>
      <c r="K70" s="260"/>
      <c r="L70" s="260"/>
      <c r="M70" s="260"/>
      <c r="N70" s="260"/>
      <c r="O70" s="260"/>
      <c r="P70" s="260"/>
      <c r="Q70" s="260"/>
      <c r="R70" s="260"/>
      <c r="S70" s="260"/>
      <c r="T70" s="279"/>
      <c r="U70" s="260"/>
      <c r="V70" s="260"/>
      <c r="W70" s="260"/>
      <c r="X70" s="260"/>
      <c r="Y70" s="260"/>
      <c r="Z70" s="260"/>
      <c r="AA70" s="264"/>
      <c r="AB70" s="260"/>
      <c r="AC70" s="260"/>
    </row>
    <row r="71">
      <c r="A71" s="259"/>
      <c r="B71" s="260"/>
      <c r="C71" s="260"/>
      <c r="D71" s="260"/>
      <c r="E71" s="260"/>
      <c r="F71" s="260"/>
      <c r="G71" s="260"/>
      <c r="H71" s="260"/>
      <c r="I71" s="260"/>
      <c r="J71" s="261"/>
      <c r="K71" s="260"/>
      <c r="L71" s="260"/>
      <c r="M71" s="260"/>
      <c r="N71" s="260"/>
      <c r="O71" s="260"/>
      <c r="P71" s="260"/>
      <c r="Q71" s="260"/>
      <c r="R71" s="260"/>
      <c r="S71" s="260"/>
      <c r="T71" s="279"/>
      <c r="U71" s="260"/>
      <c r="V71" s="260"/>
      <c r="W71" s="260"/>
      <c r="X71" s="260"/>
      <c r="Y71" s="260"/>
      <c r="Z71" s="260"/>
      <c r="AA71" s="264"/>
      <c r="AB71" s="260"/>
      <c r="AC71" s="260"/>
    </row>
    <row r="72">
      <c r="A72" s="259"/>
      <c r="B72" s="260"/>
      <c r="C72" s="260"/>
      <c r="D72" s="260"/>
      <c r="E72" s="260"/>
      <c r="F72" s="260"/>
      <c r="G72" s="260"/>
      <c r="H72" s="260"/>
      <c r="I72" s="260"/>
      <c r="J72" s="261"/>
      <c r="K72" s="260"/>
      <c r="L72" s="260"/>
      <c r="M72" s="260"/>
      <c r="N72" s="260"/>
      <c r="O72" s="260"/>
      <c r="P72" s="260"/>
      <c r="Q72" s="260"/>
      <c r="R72" s="260"/>
      <c r="S72" s="260"/>
      <c r="T72" s="279"/>
      <c r="U72" s="260"/>
      <c r="V72" s="260"/>
      <c r="W72" s="260"/>
      <c r="X72" s="260"/>
      <c r="Y72" s="260"/>
      <c r="Z72" s="260"/>
      <c r="AA72" s="264"/>
      <c r="AB72" s="260"/>
      <c r="AC72" s="260"/>
    </row>
    <row r="73">
      <c r="A73" s="259"/>
      <c r="B73" s="260"/>
      <c r="C73" s="260"/>
      <c r="D73" s="260"/>
      <c r="E73" s="260"/>
      <c r="F73" s="260"/>
      <c r="G73" s="260"/>
      <c r="H73" s="260"/>
      <c r="I73" s="260"/>
      <c r="J73" s="261"/>
      <c r="K73" s="260"/>
      <c r="L73" s="260"/>
      <c r="M73" s="260"/>
      <c r="N73" s="260"/>
      <c r="O73" s="260"/>
      <c r="P73" s="260"/>
      <c r="Q73" s="260"/>
      <c r="R73" s="260"/>
      <c r="S73" s="260"/>
      <c r="T73" s="279"/>
      <c r="U73" s="260"/>
      <c r="V73" s="260"/>
      <c r="W73" s="260"/>
      <c r="X73" s="260"/>
      <c r="Y73" s="260"/>
      <c r="Z73" s="260"/>
      <c r="AA73" s="264"/>
      <c r="AB73" s="260"/>
      <c r="AC73" s="260"/>
    </row>
    <row r="74">
      <c r="A74" s="259"/>
      <c r="B74" s="260"/>
      <c r="C74" s="260"/>
      <c r="D74" s="260"/>
      <c r="E74" s="260"/>
      <c r="F74" s="260"/>
      <c r="G74" s="260"/>
      <c r="H74" s="260"/>
      <c r="I74" s="260"/>
      <c r="J74" s="261"/>
      <c r="K74" s="260"/>
      <c r="L74" s="260"/>
      <c r="M74" s="260"/>
      <c r="N74" s="260"/>
      <c r="O74" s="260"/>
      <c r="P74" s="260"/>
      <c r="Q74" s="260"/>
      <c r="R74" s="260"/>
      <c r="S74" s="260"/>
      <c r="T74" s="279"/>
      <c r="U74" s="260"/>
      <c r="V74" s="260"/>
      <c r="W74" s="260"/>
      <c r="X74" s="260"/>
      <c r="Y74" s="260"/>
      <c r="Z74" s="260"/>
      <c r="AA74" s="264"/>
      <c r="AB74" s="260"/>
      <c r="AC74" s="260"/>
    </row>
    <row r="75">
      <c r="A75" s="259"/>
      <c r="B75" s="260"/>
      <c r="C75" s="260"/>
      <c r="D75" s="260"/>
      <c r="E75" s="260"/>
      <c r="F75" s="260"/>
      <c r="G75" s="260"/>
      <c r="H75" s="260"/>
      <c r="I75" s="260"/>
      <c r="J75" s="261"/>
      <c r="K75" s="260"/>
      <c r="L75" s="260"/>
      <c r="M75" s="260"/>
      <c r="N75" s="260"/>
      <c r="O75" s="260"/>
      <c r="P75" s="260"/>
      <c r="Q75" s="260"/>
      <c r="R75" s="260"/>
      <c r="S75" s="260"/>
      <c r="T75" s="279"/>
      <c r="U75" s="260"/>
      <c r="V75" s="260"/>
      <c r="W75" s="260"/>
      <c r="X75" s="260"/>
      <c r="Y75" s="260"/>
      <c r="Z75" s="260"/>
      <c r="AA75" s="264"/>
      <c r="AB75" s="260"/>
      <c r="AC75" s="260"/>
    </row>
    <row r="76">
      <c r="A76" s="259"/>
      <c r="B76" s="260"/>
      <c r="C76" s="260"/>
      <c r="D76" s="260"/>
      <c r="E76" s="260"/>
      <c r="F76" s="260"/>
      <c r="G76" s="260"/>
      <c r="H76" s="260"/>
      <c r="I76" s="260"/>
      <c r="J76" s="261"/>
      <c r="K76" s="260"/>
      <c r="L76" s="260"/>
      <c r="M76" s="260"/>
      <c r="N76" s="260"/>
      <c r="O76" s="260"/>
      <c r="P76" s="260"/>
      <c r="Q76" s="260"/>
      <c r="R76" s="260"/>
      <c r="S76" s="260"/>
      <c r="T76" s="279"/>
      <c r="U76" s="260"/>
      <c r="V76" s="260"/>
      <c r="W76" s="260"/>
      <c r="X76" s="260"/>
      <c r="Y76" s="260"/>
      <c r="Z76" s="260"/>
      <c r="AA76" s="264"/>
      <c r="AB76" s="260"/>
      <c r="AC76" s="260"/>
    </row>
    <row r="77">
      <c r="A77" s="259"/>
      <c r="B77" s="260"/>
      <c r="C77" s="260"/>
      <c r="D77" s="260"/>
      <c r="E77" s="260"/>
      <c r="F77" s="260"/>
      <c r="G77" s="260"/>
      <c r="H77" s="260"/>
      <c r="I77" s="260"/>
      <c r="J77" s="261"/>
      <c r="K77" s="260"/>
      <c r="L77" s="260"/>
      <c r="M77" s="260"/>
      <c r="N77" s="260"/>
      <c r="O77" s="260"/>
      <c r="P77" s="260"/>
      <c r="Q77" s="260"/>
      <c r="R77" s="260"/>
      <c r="S77" s="260"/>
      <c r="T77" s="279"/>
      <c r="U77" s="260"/>
      <c r="V77" s="260"/>
      <c r="W77" s="260"/>
      <c r="X77" s="260"/>
      <c r="Y77" s="260"/>
      <c r="Z77" s="260"/>
      <c r="AA77" s="264"/>
      <c r="AB77" s="260"/>
      <c r="AC77" s="260"/>
    </row>
    <row r="78">
      <c r="A78" s="259"/>
      <c r="B78" s="260"/>
      <c r="C78" s="260"/>
      <c r="D78" s="260"/>
      <c r="E78" s="260"/>
      <c r="F78" s="260"/>
      <c r="G78" s="260"/>
      <c r="H78" s="260"/>
      <c r="I78" s="260"/>
      <c r="J78" s="261"/>
      <c r="K78" s="260"/>
      <c r="L78" s="260"/>
      <c r="M78" s="260"/>
      <c r="N78" s="260"/>
      <c r="O78" s="260"/>
      <c r="P78" s="260"/>
      <c r="Q78" s="260"/>
      <c r="R78" s="260"/>
      <c r="S78" s="260"/>
      <c r="T78" s="279"/>
      <c r="U78" s="260"/>
      <c r="V78" s="260"/>
      <c r="W78" s="260"/>
      <c r="X78" s="260"/>
      <c r="Y78" s="260"/>
      <c r="Z78" s="260"/>
      <c r="AA78" s="264"/>
      <c r="AB78" s="260"/>
      <c r="AC78" s="260"/>
    </row>
    <row r="79">
      <c r="A79" s="259"/>
      <c r="B79" s="260"/>
      <c r="C79" s="260"/>
      <c r="D79" s="260"/>
      <c r="E79" s="260"/>
      <c r="F79" s="260"/>
      <c r="G79" s="260"/>
      <c r="H79" s="260"/>
      <c r="I79" s="260"/>
      <c r="J79" s="261"/>
      <c r="K79" s="260"/>
      <c r="L79" s="260"/>
      <c r="M79" s="260"/>
      <c r="N79" s="260"/>
      <c r="O79" s="260"/>
      <c r="P79" s="260"/>
      <c r="Q79" s="260"/>
      <c r="R79" s="260"/>
      <c r="S79" s="260"/>
      <c r="T79" s="279"/>
      <c r="U79" s="260"/>
      <c r="V79" s="260"/>
      <c r="W79" s="260"/>
      <c r="X79" s="260"/>
      <c r="Y79" s="260"/>
      <c r="Z79" s="260"/>
      <c r="AA79" s="264"/>
      <c r="AB79" s="260"/>
      <c r="AC79" s="260"/>
    </row>
    <row r="80">
      <c r="A80" s="259"/>
      <c r="B80" s="260"/>
      <c r="C80" s="260"/>
      <c r="D80" s="260"/>
      <c r="E80" s="260"/>
      <c r="F80" s="260"/>
      <c r="G80" s="260"/>
      <c r="H80" s="260"/>
      <c r="I80" s="260"/>
      <c r="J80" s="261"/>
      <c r="K80" s="260"/>
      <c r="L80" s="260"/>
      <c r="M80" s="260"/>
      <c r="N80" s="260"/>
      <c r="O80" s="260"/>
      <c r="P80" s="260"/>
      <c r="Q80" s="260"/>
      <c r="R80" s="260"/>
      <c r="S80" s="260"/>
      <c r="T80" s="279"/>
      <c r="U80" s="260"/>
      <c r="V80" s="260"/>
      <c r="W80" s="260"/>
      <c r="X80" s="260"/>
      <c r="Y80" s="260"/>
      <c r="Z80" s="260"/>
      <c r="AA80" s="264"/>
      <c r="AB80" s="260"/>
      <c r="AC80" s="260"/>
    </row>
    <row r="81">
      <c r="A81" s="259"/>
      <c r="B81" s="260"/>
      <c r="C81" s="260"/>
      <c r="D81" s="260"/>
      <c r="E81" s="260"/>
      <c r="F81" s="260"/>
      <c r="G81" s="260"/>
      <c r="H81" s="260"/>
      <c r="I81" s="260"/>
      <c r="J81" s="261"/>
      <c r="K81" s="260"/>
      <c r="L81" s="260"/>
      <c r="M81" s="260"/>
      <c r="N81" s="260"/>
      <c r="O81" s="260"/>
      <c r="P81" s="260"/>
      <c r="Q81" s="260"/>
      <c r="R81" s="260"/>
      <c r="S81" s="260"/>
      <c r="T81" s="279"/>
      <c r="U81" s="260"/>
      <c r="V81" s="260"/>
      <c r="W81" s="260"/>
      <c r="X81" s="260"/>
      <c r="Y81" s="260"/>
      <c r="Z81" s="260"/>
      <c r="AA81" s="264"/>
      <c r="AB81" s="260"/>
      <c r="AC81" s="260"/>
    </row>
    <row r="82">
      <c r="A82" s="259"/>
      <c r="B82" s="260"/>
      <c r="C82" s="260"/>
      <c r="D82" s="260"/>
      <c r="E82" s="260"/>
      <c r="F82" s="260"/>
      <c r="G82" s="260"/>
      <c r="H82" s="260"/>
      <c r="I82" s="260"/>
      <c r="J82" s="261"/>
      <c r="K82" s="260"/>
      <c r="L82" s="260"/>
      <c r="M82" s="260"/>
      <c r="N82" s="260"/>
      <c r="O82" s="260"/>
      <c r="P82" s="260"/>
      <c r="Q82" s="260"/>
      <c r="R82" s="260"/>
      <c r="S82" s="260"/>
      <c r="T82" s="279"/>
      <c r="U82" s="260"/>
      <c r="V82" s="260"/>
      <c r="W82" s="260"/>
      <c r="X82" s="260"/>
      <c r="Y82" s="260"/>
      <c r="Z82" s="260"/>
      <c r="AA82" s="264"/>
      <c r="AB82" s="260"/>
      <c r="AC82" s="260"/>
    </row>
    <row r="83">
      <c r="A83" s="259"/>
      <c r="B83" s="260"/>
      <c r="C83" s="260"/>
      <c r="D83" s="260"/>
      <c r="E83" s="260"/>
      <c r="F83" s="260"/>
      <c r="G83" s="260"/>
      <c r="H83" s="260"/>
      <c r="I83" s="260"/>
      <c r="J83" s="261"/>
      <c r="K83" s="260"/>
      <c r="L83" s="260"/>
      <c r="M83" s="260"/>
      <c r="N83" s="260"/>
      <c r="O83" s="260"/>
      <c r="P83" s="260"/>
      <c r="Q83" s="260"/>
      <c r="R83" s="260"/>
      <c r="S83" s="260"/>
      <c r="T83" s="279"/>
      <c r="U83" s="260"/>
      <c r="V83" s="260"/>
      <c r="W83" s="260"/>
      <c r="X83" s="260"/>
      <c r="Y83" s="260"/>
      <c r="Z83" s="260"/>
      <c r="AA83" s="264"/>
      <c r="AB83" s="260"/>
      <c r="AC83" s="260"/>
    </row>
    <row r="84">
      <c r="A84" s="259"/>
      <c r="B84" s="260"/>
      <c r="C84" s="260"/>
      <c r="D84" s="260"/>
      <c r="E84" s="260"/>
      <c r="F84" s="260"/>
      <c r="G84" s="260"/>
      <c r="H84" s="260"/>
      <c r="I84" s="260"/>
      <c r="J84" s="261"/>
      <c r="K84" s="260"/>
      <c r="L84" s="260"/>
      <c r="M84" s="260"/>
      <c r="N84" s="260"/>
      <c r="O84" s="260"/>
      <c r="P84" s="260"/>
      <c r="Q84" s="260"/>
      <c r="R84" s="260"/>
      <c r="S84" s="260"/>
      <c r="T84" s="279"/>
      <c r="U84" s="260"/>
      <c r="V84" s="260"/>
      <c r="W84" s="260"/>
      <c r="X84" s="260"/>
      <c r="Y84" s="260"/>
      <c r="Z84" s="260"/>
      <c r="AA84" s="264"/>
      <c r="AB84" s="260"/>
      <c r="AC84" s="260"/>
    </row>
    <row r="85">
      <c r="A85" s="259"/>
      <c r="B85" s="260"/>
      <c r="C85" s="260"/>
      <c r="D85" s="260"/>
      <c r="E85" s="260"/>
      <c r="F85" s="260"/>
      <c r="G85" s="260"/>
      <c r="H85" s="260"/>
      <c r="I85" s="260"/>
      <c r="J85" s="261"/>
      <c r="K85" s="260"/>
      <c r="L85" s="260"/>
      <c r="M85" s="260"/>
      <c r="N85" s="260"/>
      <c r="O85" s="260"/>
      <c r="P85" s="260"/>
      <c r="Q85" s="260"/>
      <c r="R85" s="260"/>
      <c r="S85" s="260"/>
      <c r="T85" s="279"/>
      <c r="U85" s="260"/>
      <c r="V85" s="260"/>
      <c r="W85" s="260"/>
      <c r="X85" s="260"/>
      <c r="Y85" s="260"/>
      <c r="Z85" s="260"/>
      <c r="AA85" s="264"/>
      <c r="AB85" s="260"/>
      <c r="AC85" s="260"/>
    </row>
    <row r="86">
      <c r="A86" s="259"/>
      <c r="B86" s="260"/>
      <c r="C86" s="260"/>
      <c r="D86" s="260"/>
      <c r="E86" s="260"/>
      <c r="F86" s="260"/>
      <c r="G86" s="260"/>
      <c r="H86" s="260"/>
      <c r="I86" s="260"/>
      <c r="J86" s="261"/>
      <c r="K86" s="260"/>
      <c r="L86" s="260"/>
      <c r="M86" s="260"/>
      <c r="N86" s="260"/>
      <c r="O86" s="260"/>
      <c r="P86" s="260"/>
      <c r="Q86" s="260"/>
      <c r="R86" s="260"/>
      <c r="S86" s="260"/>
      <c r="T86" s="279"/>
      <c r="U86" s="260"/>
      <c r="V86" s="260"/>
      <c r="W86" s="260"/>
      <c r="X86" s="260"/>
      <c r="Y86" s="260"/>
      <c r="Z86" s="260"/>
      <c r="AA86" s="264"/>
      <c r="AB86" s="260"/>
      <c r="AC86" s="260"/>
    </row>
    <row r="87">
      <c r="A87" s="259"/>
      <c r="B87" s="260"/>
      <c r="C87" s="260"/>
      <c r="D87" s="260"/>
      <c r="E87" s="260"/>
      <c r="F87" s="260"/>
      <c r="G87" s="260"/>
      <c r="H87" s="260"/>
      <c r="I87" s="260"/>
      <c r="J87" s="261"/>
      <c r="K87" s="260"/>
      <c r="L87" s="260"/>
      <c r="M87" s="260"/>
      <c r="N87" s="260"/>
      <c r="O87" s="260"/>
      <c r="P87" s="260"/>
      <c r="Q87" s="260"/>
      <c r="R87" s="260"/>
      <c r="S87" s="260"/>
      <c r="T87" s="279"/>
      <c r="U87" s="260"/>
      <c r="V87" s="260"/>
      <c r="W87" s="260"/>
      <c r="X87" s="260"/>
      <c r="Y87" s="260"/>
      <c r="Z87" s="260"/>
      <c r="AA87" s="264"/>
      <c r="AB87" s="260"/>
      <c r="AC87" s="260"/>
    </row>
    <row r="88">
      <c r="A88" s="259"/>
      <c r="B88" s="260"/>
      <c r="C88" s="260"/>
      <c r="D88" s="260"/>
      <c r="E88" s="260"/>
      <c r="F88" s="260"/>
      <c r="G88" s="260"/>
      <c r="H88" s="260"/>
      <c r="I88" s="260"/>
      <c r="J88" s="261"/>
      <c r="K88" s="260"/>
      <c r="L88" s="260"/>
      <c r="M88" s="260"/>
      <c r="N88" s="260"/>
      <c r="O88" s="260"/>
      <c r="P88" s="260"/>
      <c r="Q88" s="260"/>
      <c r="R88" s="260"/>
      <c r="S88" s="260"/>
      <c r="T88" s="279"/>
      <c r="U88" s="260"/>
      <c r="V88" s="260"/>
      <c r="W88" s="260"/>
      <c r="X88" s="260"/>
      <c r="Y88" s="260"/>
      <c r="Z88" s="260"/>
      <c r="AA88" s="264"/>
      <c r="AB88" s="260"/>
      <c r="AC88" s="260"/>
    </row>
    <row r="89">
      <c r="A89" s="259"/>
      <c r="B89" s="260"/>
      <c r="C89" s="260"/>
      <c r="D89" s="260"/>
      <c r="E89" s="260"/>
      <c r="F89" s="260"/>
      <c r="G89" s="260"/>
      <c r="H89" s="260"/>
      <c r="I89" s="260"/>
      <c r="J89" s="261"/>
      <c r="K89" s="260"/>
      <c r="L89" s="260"/>
      <c r="M89" s="260"/>
      <c r="N89" s="260"/>
      <c r="O89" s="260"/>
      <c r="P89" s="260"/>
      <c r="Q89" s="260"/>
      <c r="R89" s="260"/>
      <c r="S89" s="260"/>
      <c r="T89" s="279"/>
      <c r="U89" s="260"/>
      <c r="V89" s="260"/>
      <c r="W89" s="260"/>
      <c r="X89" s="260"/>
      <c r="Y89" s="260"/>
      <c r="Z89" s="260"/>
      <c r="AA89" s="264"/>
      <c r="AB89" s="260"/>
      <c r="AC89" s="260"/>
    </row>
    <row r="90">
      <c r="A90" s="259"/>
      <c r="B90" s="260"/>
      <c r="C90" s="260"/>
      <c r="D90" s="260"/>
      <c r="E90" s="260"/>
      <c r="F90" s="260"/>
      <c r="G90" s="260"/>
      <c r="H90" s="260"/>
      <c r="I90" s="260"/>
      <c r="J90" s="261"/>
      <c r="K90" s="260"/>
      <c r="L90" s="260"/>
      <c r="M90" s="260"/>
      <c r="N90" s="260"/>
      <c r="O90" s="260"/>
      <c r="P90" s="260"/>
      <c r="Q90" s="260"/>
      <c r="R90" s="260"/>
      <c r="S90" s="260"/>
      <c r="T90" s="279"/>
      <c r="U90" s="260"/>
      <c r="V90" s="260"/>
      <c r="W90" s="260"/>
      <c r="X90" s="260"/>
      <c r="Y90" s="260"/>
      <c r="Z90" s="260"/>
      <c r="AA90" s="264"/>
      <c r="AB90" s="260"/>
      <c r="AC90" s="260"/>
    </row>
    <row r="91">
      <c r="A91" s="259"/>
      <c r="B91" s="260"/>
      <c r="C91" s="260"/>
      <c r="D91" s="260"/>
      <c r="E91" s="260"/>
      <c r="F91" s="260"/>
      <c r="G91" s="260"/>
      <c r="H91" s="260"/>
      <c r="I91" s="260"/>
      <c r="J91" s="261"/>
      <c r="K91" s="260"/>
      <c r="L91" s="260"/>
      <c r="M91" s="260"/>
      <c r="N91" s="260"/>
      <c r="O91" s="260"/>
      <c r="P91" s="260"/>
      <c r="Q91" s="260"/>
      <c r="R91" s="260"/>
      <c r="S91" s="260"/>
      <c r="T91" s="279"/>
      <c r="U91" s="260"/>
      <c r="V91" s="260"/>
      <c r="W91" s="260"/>
      <c r="X91" s="260"/>
      <c r="Y91" s="260"/>
      <c r="Z91" s="260"/>
      <c r="AA91" s="264"/>
      <c r="AB91" s="260"/>
      <c r="AC91" s="260"/>
    </row>
    <row r="92">
      <c r="A92" s="259"/>
      <c r="B92" s="260"/>
      <c r="C92" s="260"/>
      <c r="D92" s="260"/>
      <c r="E92" s="260"/>
      <c r="F92" s="260"/>
      <c r="G92" s="260"/>
      <c r="H92" s="260"/>
      <c r="I92" s="260"/>
      <c r="J92" s="261"/>
      <c r="K92" s="260"/>
      <c r="L92" s="260"/>
      <c r="M92" s="260"/>
      <c r="N92" s="260"/>
      <c r="O92" s="260"/>
      <c r="P92" s="260"/>
      <c r="Q92" s="260"/>
      <c r="R92" s="260"/>
      <c r="S92" s="260"/>
      <c r="T92" s="279"/>
      <c r="U92" s="260"/>
      <c r="V92" s="260"/>
      <c r="W92" s="260"/>
      <c r="X92" s="260"/>
      <c r="Y92" s="260"/>
      <c r="Z92" s="260"/>
      <c r="AA92" s="264"/>
      <c r="AB92" s="260"/>
      <c r="AC92" s="260"/>
    </row>
    <row r="93">
      <c r="A93" s="259"/>
      <c r="B93" s="260"/>
      <c r="C93" s="260"/>
      <c r="D93" s="260"/>
      <c r="E93" s="260"/>
      <c r="F93" s="260"/>
      <c r="G93" s="260"/>
      <c r="H93" s="260"/>
      <c r="I93" s="260"/>
      <c r="J93" s="261"/>
      <c r="K93" s="260"/>
      <c r="L93" s="260"/>
      <c r="M93" s="260"/>
      <c r="N93" s="260"/>
      <c r="O93" s="260"/>
      <c r="P93" s="260"/>
      <c r="Q93" s="260"/>
      <c r="R93" s="260"/>
      <c r="S93" s="260"/>
      <c r="T93" s="279"/>
      <c r="U93" s="260"/>
      <c r="V93" s="260"/>
      <c r="W93" s="260"/>
      <c r="X93" s="260"/>
      <c r="Y93" s="260"/>
      <c r="Z93" s="260"/>
      <c r="AA93" s="264"/>
      <c r="AB93" s="260"/>
      <c r="AC93" s="260"/>
    </row>
    <row r="94">
      <c r="A94" s="259"/>
      <c r="B94" s="260"/>
      <c r="C94" s="260"/>
      <c r="D94" s="260"/>
      <c r="E94" s="260"/>
      <c r="F94" s="260"/>
      <c r="G94" s="260"/>
      <c r="H94" s="260"/>
      <c r="I94" s="260"/>
      <c r="J94" s="261"/>
      <c r="K94" s="260"/>
      <c r="L94" s="260"/>
      <c r="M94" s="260"/>
      <c r="N94" s="260"/>
      <c r="O94" s="260"/>
      <c r="P94" s="260"/>
      <c r="Q94" s="260"/>
      <c r="R94" s="260"/>
      <c r="S94" s="260"/>
      <c r="T94" s="279"/>
      <c r="U94" s="260"/>
      <c r="V94" s="260"/>
      <c r="W94" s="260"/>
      <c r="X94" s="260"/>
      <c r="Y94" s="260"/>
      <c r="Z94" s="260"/>
      <c r="AA94" s="264"/>
      <c r="AB94" s="260"/>
      <c r="AC94" s="260"/>
    </row>
    <row r="95">
      <c r="A95" s="259"/>
      <c r="B95" s="260"/>
      <c r="C95" s="260"/>
      <c r="D95" s="260"/>
      <c r="E95" s="260"/>
      <c r="F95" s="260"/>
      <c r="G95" s="260"/>
      <c r="H95" s="260"/>
      <c r="I95" s="260"/>
      <c r="J95" s="261"/>
      <c r="K95" s="260"/>
      <c r="L95" s="260"/>
      <c r="M95" s="260"/>
      <c r="N95" s="260"/>
      <c r="O95" s="260"/>
      <c r="P95" s="260"/>
      <c r="Q95" s="260"/>
      <c r="R95" s="260"/>
      <c r="S95" s="260"/>
      <c r="T95" s="279"/>
      <c r="U95" s="260"/>
      <c r="V95" s="260"/>
      <c r="W95" s="260"/>
      <c r="X95" s="260"/>
      <c r="Y95" s="260"/>
      <c r="Z95" s="260"/>
      <c r="AA95" s="264"/>
      <c r="AB95" s="260"/>
      <c r="AC95" s="260"/>
    </row>
    <row r="96">
      <c r="A96" s="259"/>
      <c r="B96" s="260"/>
      <c r="C96" s="260"/>
      <c r="D96" s="260"/>
      <c r="E96" s="260"/>
      <c r="F96" s="260"/>
      <c r="G96" s="260"/>
      <c r="H96" s="260"/>
      <c r="I96" s="260"/>
      <c r="J96" s="261"/>
      <c r="K96" s="260"/>
      <c r="L96" s="260"/>
      <c r="M96" s="260"/>
      <c r="N96" s="260"/>
      <c r="O96" s="260"/>
      <c r="P96" s="260"/>
      <c r="Q96" s="260"/>
      <c r="R96" s="260"/>
      <c r="S96" s="260"/>
      <c r="T96" s="279"/>
      <c r="U96" s="260"/>
      <c r="V96" s="260"/>
      <c r="W96" s="260"/>
      <c r="X96" s="260"/>
      <c r="Y96" s="260"/>
      <c r="Z96" s="260"/>
      <c r="AA96" s="264"/>
      <c r="AB96" s="260"/>
      <c r="AC96" s="260"/>
    </row>
    <row r="97">
      <c r="A97" s="259"/>
      <c r="B97" s="260"/>
      <c r="C97" s="260"/>
      <c r="D97" s="260"/>
      <c r="E97" s="260"/>
      <c r="F97" s="260"/>
      <c r="G97" s="260"/>
      <c r="H97" s="260"/>
      <c r="I97" s="260"/>
      <c r="J97" s="261"/>
      <c r="K97" s="260"/>
      <c r="L97" s="260"/>
      <c r="M97" s="260"/>
      <c r="N97" s="260"/>
      <c r="O97" s="260"/>
      <c r="P97" s="260"/>
      <c r="Q97" s="260"/>
      <c r="R97" s="260"/>
      <c r="S97" s="260"/>
      <c r="T97" s="279"/>
      <c r="U97" s="260"/>
      <c r="V97" s="260"/>
      <c r="W97" s="260"/>
      <c r="X97" s="260"/>
      <c r="Y97" s="260"/>
      <c r="Z97" s="260"/>
      <c r="AA97" s="264"/>
      <c r="AB97" s="260"/>
      <c r="AC97" s="260"/>
    </row>
    <row r="98">
      <c r="A98" s="259"/>
      <c r="B98" s="260"/>
      <c r="C98" s="260"/>
      <c r="D98" s="260"/>
      <c r="E98" s="260"/>
      <c r="F98" s="260"/>
      <c r="G98" s="260"/>
      <c r="H98" s="260"/>
      <c r="I98" s="260"/>
      <c r="J98" s="261"/>
      <c r="K98" s="260"/>
      <c r="L98" s="260"/>
      <c r="M98" s="260"/>
      <c r="N98" s="260"/>
      <c r="O98" s="260"/>
      <c r="P98" s="260"/>
      <c r="Q98" s="260"/>
      <c r="R98" s="260"/>
      <c r="S98" s="260"/>
      <c r="T98" s="279"/>
      <c r="U98" s="260"/>
      <c r="V98" s="260"/>
      <c r="W98" s="260"/>
      <c r="X98" s="260"/>
      <c r="Y98" s="260"/>
      <c r="Z98" s="260"/>
      <c r="AA98" s="264"/>
      <c r="AB98" s="260"/>
      <c r="AC98" s="260"/>
    </row>
    <row r="99">
      <c r="A99" s="259"/>
      <c r="B99" s="260"/>
      <c r="C99" s="260"/>
      <c r="D99" s="260"/>
      <c r="E99" s="260"/>
      <c r="F99" s="260"/>
      <c r="G99" s="260"/>
      <c r="H99" s="260"/>
      <c r="I99" s="260"/>
      <c r="J99" s="261"/>
      <c r="K99" s="260"/>
      <c r="L99" s="260"/>
      <c r="M99" s="260"/>
      <c r="N99" s="260"/>
      <c r="O99" s="260"/>
      <c r="P99" s="260"/>
      <c r="Q99" s="260"/>
      <c r="R99" s="260"/>
      <c r="S99" s="260"/>
      <c r="T99" s="279"/>
      <c r="U99" s="260"/>
      <c r="V99" s="260"/>
      <c r="W99" s="260"/>
      <c r="X99" s="260"/>
      <c r="Y99" s="260"/>
      <c r="Z99" s="260"/>
      <c r="AA99" s="264"/>
      <c r="AB99" s="260"/>
      <c r="AC99" s="260"/>
    </row>
    <row r="100">
      <c r="A100" s="259"/>
      <c r="B100" s="260"/>
      <c r="C100" s="260"/>
      <c r="D100" s="260"/>
      <c r="E100" s="260"/>
      <c r="F100" s="260"/>
      <c r="G100" s="260"/>
      <c r="H100" s="260"/>
      <c r="I100" s="260"/>
      <c r="J100" s="261"/>
      <c r="K100" s="260"/>
      <c r="L100" s="260"/>
      <c r="M100" s="260"/>
      <c r="N100" s="260"/>
      <c r="O100" s="260"/>
      <c r="P100" s="260"/>
      <c r="Q100" s="260"/>
      <c r="R100" s="260"/>
      <c r="S100" s="260"/>
      <c r="T100" s="279"/>
      <c r="U100" s="260"/>
      <c r="V100" s="260"/>
      <c r="W100" s="260"/>
      <c r="X100" s="260"/>
      <c r="Y100" s="260"/>
      <c r="Z100" s="260"/>
      <c r="AA100" s="264"/>
      <c r="AB100" s="260"/>
      <c r="AC100" s="260"/>
    </row>
    <row r="101">
      <c r="A101" s="259"/>
      <c r="B101" s="260"/>
      <c r="C101" s="260"/>
      <c r="D101" s="260"/>
      <c r="E101" s="260"/>
      <c r="F101" s="260"/>
      <c r="G101" s="260"/>
      <c r="H101" s="260"/>
      <c r="I101" s="260"/>
      <c r="J101" s="261"/>
      <c r="K101" s="260"/>
      <c r="L101" s="260"/>
      <c r="M101" s="260"/>
      <c r="N101" s="260"/>
      <c r="O101" s="260"/>
      <c r="P101" s="260"/>
      <c r="Q101" s="260"/>
      <c r="R101" s="260"/>
      <c r="S101" s="260"/>
      <c r="T101" s="279"/>
      <c r="U101" s="260"/>
      <c r="V101" s="260"/>
      <c r="W101" s="260"/>
      <c r="X101" s="260"/>
      <c r="Y101" s="260"/>
      <c r="Z101" s="260"/>
      <c r="AA101" s="264"/>
      <c r="AB101" s="260"/>
      <c r="AC101" s="260"/>
    </row>
    <row r="102">
      <c r="A102" s="259"/>
      <c r="B102" s="260"/>
      <c r="C102" s="260"/>
      <c r="D102" s="260"/>
      <c r="E102" s="260"/>
      <c r="F102" s="260"/>
      <c r="G102" s="260"/>
      <c r="H102" s="260"/>
      <c r="I102" s="260"/>
      <c r="J102" s="261"/>
      <c r="K102" s="260"/>
      <c r="L102" s="260"/>
      <c r="M102" s="260"/>
      <c r="N102" s="260"/>
      <c r="O102" s="260"/>
      <c r="P102" s="260"/>
      <c r="Q102" s="260"/>
      <c r="R102" s="260"/>
      <c r="S102" s="260"/>
      <c r="T102" s="279"/>
      <c r="U102" s="260"/>
      <c r="V102" s="260"/>
      <c r="W102" s="260"/>
      <c r="X102" s="260"/>
      <c r="Y102" s="260"/>
      <c r="Z102" s="260"/>
      <c r="AA102" s="264"/>
      <c r="AB102" s="260"/>
      <c r="AC102" s="260"/>
    </row>
    <row r="103">
      <c r="A103" s="259"/>
      <c r="B103" s="260"/>
      <c r="C103" s="260"/>
      <c r="D103" s="260"/>
      <c r="E103" s="260"/>
      <c r="F103" s="260"/>
      <c r="G103" s="260"/>
      <c r="H103" s="260"/>
      <c r="I103" s="260"/>
      <c r="J103" s="261"/>
      <c r="K103" s="260"/>
      <c r="L103" s="260"/>
      <c r="M103" s="260"/>
      <c r="N103" s="260"/>
      <c r="O103" s="260"/>
      <c r="P103" s="260"/>
      <c r="Q103" s="260"/>
      <c r="R103" s="260"/>
      <c r="S103" s="260"/>
      <c r="T103" s="279"/>
      <c r="U103" s="260"/>
      <c r="V103" s="260"/>
      <c r="W103" s="260"/>
      <c r="X103" s="260"/>
      <c r="Y103" s="260"/>
      <c r="Z103" s="260"/>
      <c r="AA103" s="264"/>
      <c r="AB103" s="260"/>
      <c r="AC103" s="260"/>
    </row>
    <row r="104">
      <c r="A104" s="259"/>
      <c r="B104" s="260"/>
      <c r="C104" s="260"/>
      <c r="D104" s="260"/>
      <c r="E104" s="260"/>
      <c r="F104" s="260"/>
      <c r="G104" s="260"/>
      <c r="H104" s="260"/>
      <c r="I104" s="260"/>
      <c r="J104" s="261"/>
      <c r="K104" s="260"/>
      <c r="L104" s="260"/>
      <c r="M104" s="260"/>
      <c r="N104" s="260"/>
      <c r="O104" s="260"/>
      <c r="P104" s="260"/>
      <c r="Q104" s="260"/>
      <c r="R104" s="260"/>
      <c r="S104" s="260"/>
      <c r="T104" s="279"/>
      <c r="U104" s="260"/>
      <c r="V104" s="260"/>
      <c r="W104" s="260"/>
      <c r="X104" s="260"/>
      <c r="Y104" s="260"/>
      <c r="Z104" s="260"/>
      <c r="AA104" s="264"/>
      <c r="AB104" s="260"/>
      <c r="AC104" s="260"/>
    </row>
    <row r="105">
      <c r="A105" s="259"/>
      <c r="B105" s="260"/>
      <c r="C105" s="260"/>
      <c r="D105" s="260"/>
      <c r="E105" s="260"/>
      <c r="F105" s="260"/>
      <c r="G105" s="260"/>
      <c r="H105" s="260"/>
      <c r="I105" s="260"/>
      <c r="J105" s="261"/>
      <c r="K105" s="260"/>
      <c r="L105" s="260"/>
      <c r="M105" s="260"/>
      <c r="N105" s="260"/>
      <c r="O105" s="260"/>
      <c r="P105" s="260"/>
      <c r="Q105" s="260"/>
      <c r="R105" s="260"/>
      <c r="S105" s="260"/>
      <c r="T105" s="279"/>
      <c r="U105" s="260"/>
      <c r="V105" s="260"/>
      <c r="W105" s="260"/>
      <c r="X105" s="260"/>
      <c r="Y105" s="260"/>
      <c r="Z105" s="260"/>
      <c r="AA105" s="264"/>
      <c r="AB105" s="260"/>
      <c r="AC105" s="260"/>
    </row>
    <row r="106">
      <c r="A106" s="259"/>
      <c r="B106" s="260"/>
      <c r="C106" s="260"/>
      <c r="D106" s="260"/>
      <c r="E106" s="260"/>
      <c r="F106" s="260"/>
      <c r="G106" s="260"/>
      <c r="H106" s="260"/>
      <c r="I106" s="260"/>
      <c r="J106" s="261"/>
      <c r="K106" s="260"/>
      <c r="L106" s="260"/>
      <c r="M106" s="260"/>
      <c r="N106" s="260"/>
      <c r="O106" s="260"/>
      <c r="P106" s="260"/>
      <c r="Q106" s="260"/>
      <c r="R106" s="260"/>
      <c r="S106" s="260"/>
      <c r="T106" s="279"/>
      <c r="U106" s="260"/>
      <c r="V106" s="260"/>
      <c r="W106" s="260"/>
      <c r="X106" s="260"/>
      <c r="Y106" s="260"/>
      <c r="Z106" s="260"/>
      <c r="AA106" s="264"/>
      <c r="AB106" s="260"/>
      <c r="AC106" s="260"/>
    </row>
    <row r="107">
      <c r="A107" s="259"/>
      <c r="B107" s="260"/>
      <c r="C107" s="260"/>
      <c r="D107" s="260"/>
      <c r="E107" s="260"/>
      <c r="F107" s="260"/>
      <c r="G107" s="260"/>
      <c r="H107" s="260"/>
      <c r="I107" s="260"/>
      <c r="J107" s="261"/>
      <c r="K107" s="260"/>
      <c r="L107" s="260"/>
      <c r="M107" s="260"/>
      <c r="N107" s="260"/>
      <c r="O107" s="260"/>
      <c r="P107" s="260"/>
      <c r="Q107" s="260"/>
      <c r="R107" s="260"/>
      <c r="S107" s="260"/>
      <c r="T107" s="279"/>
      <c r="U107" s="260"/>
      <c r="V107" s="260"/>
      <c r="W107" s="260"/>
      <c r="X107" s="260"/>
      <c r="Y107" s="260"/>
      <c r="Z107" s="260"/>
      <c r="AA107" s="264"/>
      <c r="AB107" s="260"/>
      <c r="AC107" s="260"/>
    </row>
    <row r="108">
      <c r="A108" s="259"/>
      <c r="B108" s="260"/>
      <c r="C108" s="260"/>
      <c r="D108" s="260"/>
      <c r="E108" s="260"/>
      <c r="F108" s="260"/>
      <c r="G108" s="260"/>
      <c r="H108" s="260"/>
      <c r="I108" s="260"/>
      <c r="J108" s="261"/>
      <c r="K108" s="260"/>
      <c r="L108" s="260"/>
      <c r="M108" s="260"/>
      <c r="N108" s="260"/>
      <c r="O108" s="260"/>
      <c r="P108" s="260"/>
      <c r="Q108" s="260"/>
      <c r="R108" s="260"/>
      <c r="S108" s="260"/>
      <c r="T108" s="279"/>
      <c r="U108" s="260"/>
      <c r="V108" s="260"/>
      <c r="W108" s="260"/>
      <c r="X108" s="260"/>
      <c r="Y108" s="260"/>
      <c r="Z108" s="260"/>
      <c r="AA108" s="264"/>
      <c r="AB108" s="260"/>
      <c r="AC108" s="260"/>
    </row>
    <row r="109">
      <c r="A109" s="259"/>
      <c r="B109" s="260"/>
      <c r="C109" s="260"/>
      <c r="D109" s="260"/>
      <c r="E109" s="260"/>
      <c r="F109" s="260"/>
      <c r="G109" s="260"/>
      <c r="H109" s="260"/>
      <c r="I109" s="260"/>
      <c r="J109" s="261"/>
      <c r="K109" s="260"/>
      <c r="L109" s="260"/>
      <c r="M109" s="260"/>
      <c r="N109" s="260"/>
      <c r="O109" s="260"/>
      <c r="P109" s="260"/>
      <c r="Q109" s="260"/>
      <c r="R109" s="260"/>
      <c r="S109" s="260"/>
      <c r="T109" s="279"/>
      <c r="U109" s="260"/>
      <c r="V109" s="260"/>
      <c r="W109" s="260"/>
      <c r="X109" s="260"/>
      <c r="Y109" s="260"/>
      <c r="Z109" s="260"/>
      <c r="AA109" s="264"/>
      <c r="AB109" s="260"/>
      <c r="AC109" s="260"/>
    </row>
    <row r="110">
      <c r="A110" s="259"/>
      <c r="B110" s="260"/>
      <c r="C110" s="260"/>
      <c r="D110" s="260"/>
      <c r="E110" s="260"/>
      <c r="F110" s="260"/>
      <c r="G110" s="260"/>
      <c r="H110" s="260"/>
      <c r="I110" s="260"/>
      <c r="J110" s="261"/>
      <c r="K110" s="260"/>
      <c r="L110" s="260"/>
      <c r="M110" s="260"/>
      <c r="N110" s="260"/>
      <c r="O110" s="260"/>
      <c r="P110" s="260"/>
      <c r="Q110" s="260"/>
      <c r="R110" s="260"/>
      <c r="S110" s="260"/>
      <c r="T110" s="279"/>
      <c r="U110" s="260"/>
      <c r="V110" s="260"/>
      <c r="W110" s="260"/>
      <c r="X110" s="260"/>
      <c r="Y110" s="260"/>
      <c r="Z110" s="260"/>
      <c r="AA110" s="264"/>
      <c r="AB110" s="260"/>
      <c r="AC110" s="260"/>
    </row>
    <row r="111">
      <c r="A111" s="259"/>
      <c r="B111" s="260"/>
      <c r="C111" s="260"/>
      <c r="D111" s="260"/>
      <c r="E111" s="260"/>
      <c r="F111" s="260"/>
      <c r="G111" s="260"/>
      <c r="H111" s="260"/>
      <c r="I111" s="260"/>
      <c r="J111" s="261"/>
      <c r="K111" s="260"/>
      <c r="L111" s="260"/>
      <c r="M111" s="260"/>
      <c r="N111" s="260"/>
      <c r="O111" s="260"/>
      <c r="P111" s="260"/>
      <c r="Q111" s="260"/>
      <c r="R111" s="260"/>
      <c r="S111" s="260"/>
      <c r="T111" s="279"/>
      <c r="U111" s="260"/>
      <c r="V111" s="260"/>
      <c r="W111" s="260"/>
      <c r="X111" s="260"/>
      <c r="Y111" s="260"/>
      <c r="Z111" s="260"/>
      <c r="AA111" s="264"/>
      <c r="AB111" s="260"/>
      <c r="AC111" s="260"/>
    </row>
    <row r="112">
      <c r="A112" s="259"/>
      <c r="B112" s="260"/>
      <c r="C112" s="260"/>
      <c r="D112" s="260"/>
      <c r="E112" s="260"/>
      <c r="F112" s="260"/>
      <c r="G112" s="260"/>
      <c r="H112" s="260"/>
      <c r="I112" s="260"/>
      <c r="J112" s="261"/>
      <c r="K112" s="260"/>
      <c r="L112" s="260"/>
      <c r="M112" s="260"/>
      <c r="N112" s="260"/>
      <c r="O112" s="260"/>
      <c r="P112" s="260"/>
      <c r="Q112" s="260"/>
      <c r="R112" s="260"/>
      <c r="S112" s="260"/>
      <c r="T112" s="279"/>
      <c r="U112" s="260"/>
      <c r="V112" s="260"/>
      <c r="W112" s="260"/>
      <c r="X112" s="260"/>
      <c r="Y112" s="260"/>
      <c r="Z112" s="260"/>
      <c r="AA112" s="264"/>
      <c r="AB112" s="260"/>
      <c r="AC112" s="260"/>
    </row>
    <row r="113">
      <c r="A113" s="259"/>
      <c r="B113" s="260"/>
      <c r="C113" s="260"/>
      <c r="D113" s="260"/>
      <c r="E113" s="260"/>
      <c r="F113" s="260"/>
      <c r="G113" s="260"/>
      <c r="H113" s="260"/>
      <c r="I113" s="260"/>
      <c r="J113" s="261"/>
      <c r="K113" s="260"/>
      <c r="L113" s="260"/>
      <c r="M113" s="260"/>
      <c r="N113" s="260"/>
      <c r="O113" s="260"/>
      <c r="P113" s="260"/>
      <c r="Q113" s="260"/>
      <c r="R113" s="260"/>
      <c r="S113" s="260"/>
      <c r="T113" s="279"/>
      <c r="U113" s="260"/>
      <c r="V113" s="260"/>
      <c r="W113" s="260"/>
      <c r="X113" s="260"/>
      <c r="Y113" s="260"/>
      <c r="Z113" s="260"/>
      <c r="AA113" s="264"/>
      <c r="AB113" s="260"/>
      <c r="AC113" s="260"/>
    </row>
    <row r="114">
      <c r="A114" s="259"/>
      <c r="B114" s="260"/>
      <c r="C114" s="260"/>
      <c r="D114" s="260"/>
      <c r="E114" s="260"/>
      <c r="F114" s="260"/>
      <c r="G114" s="260"/>
      <c r="H114" s="260"/>
      <c r="I114" s="260"/>
      <c r="J114" s="261"/>
      <c r="K114" s="260"/>
      <c r="L114" s="260"/>
      <c r="M114" s="260"/>
      <c r="N114" s="260"/>
      <c r="O114" s="260"/>
      <c r="P114" s="260"/>
      <c r="Q114" s="260"/>
      <c r="R114" s="260"/>
      <c r="S114" s="260"/>
      <c r="T114" s="279"/>
      <c r="U114" s="260"/>
      <c r="V114" s="260"/>
      <c r="W114" s="260"/>
      <c r="X114" s="260"/>
      <c r="Y114" s="260"/>
      <c r="Z114" s="260"/>
      <c r="AA114" s="264"/>
      <c r="AB114" s="260"/>
      <c r="AC114" s="260"/>
    </row>
    <row r="115">
      <c r="A115" s="259"/>
      <c r="B115" s="260"/>
      <c r="C115" s="260"/>
      <c r="D115" s="260"/>
      <c r="E115" s="260"/>
      <c r="F115" s="260"/>
      <c r="G115" s="260"/>
      <c r="H115" s="260"/>
      <c r="I115" s="260"/>
      <c r="J115" s="261"/>
      <c r="K115" s="260"/>
      <c r="L115" s="260"/>
      <c r="M115" s="260"/>
      <c r="N115" s="260"/>
      <c r="O115" s="260"/>
      <c r="P115" s="260"/>
      <c r="Q115" s="260"/>
      <c r="R115" s="260"/>
      <c r="S115" s="260"/>
      <c r="T115" s="279"/>
      <c r="U115" s="260"/>
      <c r="V115" s="260"/>
      <c r="W115" s="260"/>
      <c r="X115" s="260"/>
      <c r="Y115" s="260"/>
      <c r="Z115" s="260"/>
      <c r="AA115" s="264"/>
      <c r="AB115" s="260"/>
      <c r="AC115" s="260"/>
    </row>
    <row r="116">
      <c r="A116" s="259"/>
      <c r="B116" s="260"/>
      <c r="C116" s="260"/>
      <c r="D116" s="260"/>
      <c r="E116" s="260"/>
      <c r="F116" s="260"/>
      <c r="G116" s="260"/>
      <c r="H116" s="260"/>
      <c r="I116" s="260"/>
      <c r="J116" s="261"/>
      <c r="K116" s="260"/>
      <c r="L116" s="260"/>
      <c r="M116" s="260"/>
      <c r="N116" s="260"/>
      <c r="O116" s="260"/>
      <c r="P116" s="260"/>
      <c r="Q116" s="260"/>
      <c r="R116" s="260"/>
      <c r="S116" s="260"/>
      <c r="T116" s="279"/>
      <c r="U116" s="260"/>
      <c r="V116" s="260"/>
      <c r="W116" s="260"/>
      <c r="X116" s="260"/>
      <c r="Y116" s="260"/>
      <c r="Z116" s="260"/>
      <c r="AA116" s="264"/>
      <c r="AB116" s="260"/>
      <c r="AC116" s="260"/>
    </row>
    <row r="117">
      <c r="A117" s="259"/>
      <c r="B117" s="260"/>
      <c r="C117" s="260"/>
      <c r="D117" s="260"/>
      <c r="E117" s="260"/>
      <c r="F117" s="260"/>
      <c r="G117" s="260"/>
      <c r="H117" s="260"/>
      <c r="I117" s="260"/>
      <c r="J117" s="261"/>
      <c r="K117" s="260"/>
      <c r="L117" s="260"/>
      <c r="M117" s="260"/>
      <c r="N117" s="260"/>
      <c r="O117" s="260"/>
      <c r="P117" s="260"/>
      <c r="Q117" s="260"/>
      <c r="R117" s="260"/>
      <c r="S117" s="260"/>
      <c r="T117" s="279"/>
      <c r="U117" s="260"/>
      <c r="V117" s="260"/>
      <c r="W117" s="260"/>
      <c r="X117" s="260"/>
      <c r="Y117" s="260"/>
      <c r="Z117" s="260"/>
      <c r="AA117" s="264"/>
      <c r="AB117" s="260"/>
      <c r="AC117" s="260"/>
    </row>
    <row r="118">
      <c r="A118" s="259"/>
      <c r="B118" s="260"/>
      <c r="C118" s="260"/>
      <c r="D118" s="260"/>
      <c r="E118" s="260"/>
      <c r="F118" s="260"/>
      <c r="G118" s="260"/>
      <c r="H118" s="260"/>
      <c r="I118" s="260"/>
      <c r="J118" s="261"/>
      <c r="K118" s="260"/>
      <c r="L118" s="260"/>
      <c r="M118" s="260"/>
      <c r="N118" s="260"/>
      <c r="O118" s="260"/>
      <c r="P118" s="260"/>
      <c r="Q118" s="260"/>
      <c r="R118" s="260"/>
      <c r="S118" s="260"/>
      <c r="T118" s="279"/>
      <c r="U118" s="260"/>
      <c r="V118" s="260"/>
      <c r="W118" s="260"/>
      <c r="X118" s="260"/>
      <c r="Y118" s="260"/>
      <c r="Z118" s="260"/>
      <c r="AA118" s="264"/>
      <c r="AB118" s="260"/>
      <c r="AC118" s="260"/>
    </row>
    <row r="119">
      <c r="A119" s="259"/>
      <c r="B119" s="260"/>
      <c r="C119" s="260"/>
      <c r="D119" s="260"/>
      <c r="E119" s="260"/>
      <c r="F119" s="260"/>
      <c r="G119" s="260"/>
      <c r="H119" s="260"/>
      <c r="I119" s="260"/>
      <c r="J119" s="261"/>
      <c r="K119" s="260"/>
      <c r="L119" s="260"/>
      <c r="M119" s="260"/>
      <c r="N119" s="260"/>
      <c r="O119" s="260"/>
      <c r="P119" s="260"/>
      <c r="Q119" s="260"/>
      <c r="R119" s="260"/>
      <c r="S119" s="260"/>
      <c r="T119" s="279"/>
      <c r="U119" s="260"/>
      <c r="V119" s="260"/>
      <c r="W119" s="260"/>
      <c r="X119" s="260"/>
      <c r="Y119" s="260"/>
      <c r="Z119" s="260"/>
      <c r="AA119" s="264"/>
      <c r="AB119" s="260"/>
      <c r="AC119" s="260"/>
    </row>
    <row r="120">
      <c r="A120" s="259"/>
      <c r="B120" s="260"/>
      <c r="C120" s="260"/>
      <c r="D120" s="260"/>
      <c r="E120" s="260"/>
      <c r="F120" s="260"/>
      <c r="G120" s="260"/>
      <c r="H120" s="260"/>
      <c r="I120" s="260"/>
      <c r="J120" s="261"/>
      <c r="K120" s="260"/>
      <c r="L120" s="260"/>
      <c r="M120" s="260"/>
      <c r="N120" s="260"/>
      <c r="O120" s="260"/>
      <c r="P120" s="260"/>
      <c r="Q120" s="260"/>
      <c r="R120" s="260"/>
      <c r="S120" s="260"/>
      <c r="T120" s="279"/>
      <c r="U120" s="260"/>
      <c r="V120" s="260"/>
      <c r="W120" s="260"/>
      <c r="X120" s="260"/>
      <c r="Y120" s="260"/>
      <c r="Z120" s="260"/>
      <c r="AA120" s="264"/>
      <c r="AB120" s="260"/>
      <c r="AC120" s="260"/>
    </row>
    <row r="121">
      <c r="A121" s="259"/>
      <c r="B121" s="260"/>
      <c r="C121" s="260"/>
      <c r="D121" s="260"/>
      <c r="E121" s="260"/>
      <c r="F121" s="260"/>
      <c r="G121" s="260"/>
      <c r="H121" s="260"/>
      <c r="I121" s="260"/>
      <c r="J121" s="261"/>
      <c r="K121" s="260"/>
      <c r="L121" s="260"/>
      <c r="M121" s="260"/>
      <c r="N121" s="260"/>
      <c r="O121" s="260"/>
      <c r="P121" s="260"/>
      <c r="Q121" s="260"/>
      <c r="R121" s="260"/>
      <c r="S121" s="260"/>
      <c r="T121" s="279"/>
      <c r="U121" s="260"/>
      <c r="V121" s="260"/>
      <c r="W121" s="260"/>
      <c r="X121" s="260"/>
      <c r="Y121" s="260"/>
      <c r="Z121" s="260"/>
      <c r="AA121" s="264"/>
      <c r="AB121" s="260"/>
      <c r="AC121" s="260"/>
    </row>
    <row r="122">
      <c r="A122" s="259"/>
      <c r="B122" s="260"/>
      <c r="C122" s="260"/>
      <c r="D122" s="260"/>
      <c r="E122" s="260"/>
      <c r="F122" s="260"/>
      <c r="G122" s="260"/>
      <c r="H122" s="260"/>
      <c r="I122" s="260"/>
      <c r="J122" s="261"/>
      <c r="K122" s="260"/>
      <c r="L122" s="260"/>
      <c r="M122" s="260"/>
      <c r="N122" s="260"/>
      <c r="O122" s="260"/>
      <c r="P122" s="260"/>
      <c r="Q122" s="260"/>
      <c r="R122" s="260"/>
      <c r="S122" s="260"/>
      <c r="T122" s="279"/>
      <c r="U122" s="260"/>
      <c r="V122" s="260"/>
      <c r="W122" s="260"/>
      <c r="X122" s="260"/>
      <c r="Y122" s="260"/>
      <c r="Z122" s="260"/>
      <c r="AA122" s="264"/>
      <c r="AB122" s="260"/>
      <c r="AC122" s="260"/>
    </row>
    <row r="123">
      <c r="A123" s="259"/>
      <c r="B123" s="260"/>
      <c r="C123" s="260"/>
      <c r="D123" s="260"/>
      <c r="E123" s="260"/>
      <c r="F123" s="260"/>
      <c r="G123" s="260"/>
      <c r="H123" s="260"/>
      <c r="I123" s="260"/>
      <c r="J123" s="261"/>
      <c r="K123" s="260"/>
      <c r="L123" s="260"/>
      <c r="M123" s="260"/>
      <c r="N123" s="260"/>
      <c r="O123" s="260"/>
      <c r="P123" s="260"/>
      <c r="Q123" s="260"/>
      <c r="R123" s="260"/>
      <c r="S123" s="260"/>
      <c r="T123" s="279"/>
      <c r="U123" s="260"/>
      <c r="V123" s="260"/>
      <c r="W123" s="260"/>
      <c r="X123" s="260"/>
      <c r="Y123" s="260"/>
      <c r="Z123" s="260"/>
      <c r="AA123" s="264"/>
      <c r="AB123" s="260"/>
      <c r="AC123" s="260"/>
    </row>
    <row r="124">
      <c r="A124" s="259"/>
      <c r="B124" s="260"/>
      <c r="C124" s="260"/>
      <c r="D124" s="260"/>
      <c r="E124" s="260"/>
      <c r="F124" s="260"/>
      <c r="G124" s="260"/>
      <c r="H124" s="260"/>
      <c r="I124" s="260"/>
      <c r="J124" s="261"/>
      <c r="K124" s="260"/>
      <c r="L124" s="260"/>
      <c r="M124" s="260"/>
      <c r="N124" s="260"/>
      <c r="O124" s="260"/>
      <c r="P124" s="260"/>
      <c r="Q124" s="260"/>
      <c r="R124" s="260"/>
      <c r="S124" s="260"/>
      <c r="T124" s="279"/>
      <c r="U124" s="260"/>
      <c r="V124" s="260"/>
      <c r="W124" s="260"/>
      <c r="X124" s="260"/>
      <c r="Y124" s="260"/>
      <c r="Z124" s="260"/>
      <c r="AA124" s="264"/>
      <c r="AB124" s="260"/>
      <c r="AC124" s="260"/>
    </row>
    <row r="125">
      <c r="A125" s="259"/>
      <c r="B125" s="260"/>
      <c r="C125" s="260"/>
      <c r="D125" s="260"/>
      <c r="E125" s="260"/>
      <c r="F125" s="260"/>
      <c r="G125" s="260"/>
      <c r="H125" s="260"/>
      <c r="I125" s="260"/>
      <c r="J125" s="261"/>
      <c r="K125" s="260"/>
      <c r="L125" s="260"/>
      <c r="M125" s="260"/>
      <c r="N125" s="260"/>
      <c r="O125" s="260"/>
      <c r="P125" s="260"/>
      <c r="Q125" s="260"/>
      <c r="R125" s="260"/>
      <c r="S125" s="260"/>
      <c r="T125" s="279"/>
      <c r="U125" s="260"/>
      <c r="V125" s="260"/>
      <c r="W125" s="260"/>
      <c r="X125" s="260"/>
      <c r="Y125" s="260"/>
      <c r="Z125" s="260"/>
      <c r="AA125" s="264"/>
      <c r="AB125" s="260"/>
      <c r="AC125" s="260"/>
    </row>
    <row r="126">
      <c r="A126" s="259"/>
      <c r="B126" s="260"/>
      <c r="C126" s="260"/>
      <c r="D126" s="260"/>
      <c r="E126" s="260"/>
      <c r="F126" s="260"/>
      <c r="G126" s="260"/>
      <c r="H126" s="260"/>
      <c r="I126" s="260"/>
      <c r="J126" s="261"/>
      <c r="K126" s="260"/>
      <c r="L126" s="260"/>
      <c r="M126" s="260"/>
      <c r="N126" s="260"/>
      <c r="O126" s="260"/>
      <c r="P126" s="260"/>
      <c r="Q126" s="260"/>
      <c r="R126" s="260"/>
      <c r="S126" s="260"/>
      <c r="T126" s="279"/>
      <c r="U126" s="260"/>
      <c r="V126" s="260"/>
      <c r="W126" s="260"/>
      <c r="X126" s="260"/>
      <c r="Y126" s="260"/>
      <c r="Z126" s="260"/>
      <c r="AA126" s="264"/>
      <c r="AB126" s="260"/>
      <c r="AC126" s="260"/>
    </row>
    <row r="127">
      <c r="A127" s="259"/>
      <c r="B127" s="260"/>
      <c r="C127" s="260"/>
      <c r="D127" s="260"/>
      <c r="E127" s="260"/>
      <c r="F127" s="260"/>
      <c r="G127" s="260"/>
      <c r="H127" s="260"/>
      <c r="I127" s="260"/>
      <c r="J127" s="261"/>
      <c r="K127" s="260"/>
      <c r="L127" s="260"/>
      <c r="M127" s="260"/>
      <c r="N127" s="260"/>
      <c r="O127" s="260"/>
      <c r="P127" s="260"/>
      <c r="Q127" s="260"/>
      <c r="R127" s="260"/>
      <c r="S127" s="260"/>
      <c r="T127" s="279"/>
      <c r="U127" s="260"/>
      <c r="V127" s="260"/>
      <c r="W127" s="260"/>
      <c r="X127" s="260"/>
      <c r="Y127" s="260"/>
      <c r="Z127" s="260"/>
      <c r="AA127" s="264"/>
      <c r="AB127" s="260"/>
      <c r="AC127" s="260"/>
    </row>
    <row r="128">
      <c r="A128" s="259"/>
      <c r="B128" s="260"/>
      <c r="C128" s="260"/>
      <c r="D128" s="260"/>
      <c r="E128" s="260"/>
      <c r="F128" s="260"/>
      <c r="G128" s="260"/>
      <c r="H128" s="260"/>
      <c r="I128" s="260"/>
      <c r="J128" s="261"/>
      <c r="K128" s="260"/>
      <c r="L128" s="260"/>
      <c r="M128" s="260"/>
      <c r="N128" s="260"/>
      <c r="O128" s="260"/>
      <c r="P128" s="260"/>
      <c r="Q128" s="260"/>
      <c r="R128" s="260"/>
      <c r="S128" s="260"/>
      <c r="T128" s="279"/>
      <c r="U128" s="260"/>
      <c r="V128" s="260"/>
      <c r="W128" s="260"/>
      <c r="X128" s="260"/>
      <c r="Y128" s="260"/>
      <c r="Z128" s="260"/>
      <c r="AA128" s="264"/>
      <c r="AB128" s="260"/>
      <c r="AC128" s="260"/>
    </row>
    <row r="129">
      <c r="A129" s="259"/>
      <c r="B129" s="260"/>
      <c r="C129" s="260"/>
      <c r="D129" s="260"/>
      <c r="E129" s="260"/>
      <c r="F129" s="260"/>
      <c r="G129" s="260"/>
      <c r="H129" s="260"/>
      <c r="I129" s="260"/>
      <c r="J129" s="261"/>
      <c r="K129" s="260"/>
      <c r="L129" s="260"/>
      <c r="M129" s="260"/>
      <c r="N129" s="260"/>
      <c r="O129" s="260"/>
      <c r="P129" s="260"/>
      <c r="Q129" s="260"/>
      <c r="R129" s="260"/>
      <c r="S129" s="260"/>
      <c r="T129" s="279"/>
      <c r="U129" s="260"/>
      <c r="V129" s="260"/>
      <c r="W129" s="260"/>
      <c r="X129" s="260"/>
      <c r="Y129" s="260"/>
      <c r="Z129" s="260"/>
      <c r="AA129" s="264"/>
      <c r="AB129" s="260"/>
      <c r="AC129" s="260"/>
    </row>
    <row r="130">
      <c r="A130" s="259"/>
      <c r="B130" s="260"/>
      <c r="C130" s="260"/>
      <c r="D130" s="260"/>
      <c r="E130" s="260"/>
      <c r="F130" s="260"/>
      <c r="G130" s="260"/>
      <c r="H130" s="260"/>
      <c r="I130" s="260"/>
      <c r="J130" s="261"/>
      <c r="K130" s="260"/>
      <c r="L130" s="260"/>
      <c r="M130" s="260"/>
      <c r="N130" s="260"/>
      <c r="O130" s="260"/>
      <c r="P130" s="260"/>
      <c r="Q130" s="260"/>
      <c r="R130" s="260"/>
      <c r="S130" s="260"/>
      <c r="T130" s="279"/>
      <c r="U130" s="260"/>
      <c r="V130" s="260"/>
      <c r="W130" s="260"/>
      <c r="X130" s="260"/>
      <c r="Y130" s="260"/>
      <c r="Z130" s="260"/>
      <c r="AA130" s="264"/>
      <c r="AB130" s="260"/>
      <c r="AC130" s="260"/>
    </row>
    <row r="131">
      <c r="A131" s="259"/>
      <c r="B131" s="260"/>
      <c r="C131" s="260"/>
      <c r="D131" s="260"/>
      <c r="E131" s="260"/>
      <c r="F131" s="260"/>
      <c r="G131" s="260"/>
      <c r="H131" s="260"/>
      <c r="I131" s="260"/>
      <c r="J131" s="261"/>
      <c r="K131" s="260"/>
      <c r="L131" s="260"/>
      <c r="M131" s="260"/>
      <c r="N131" s="260"/>
      <c r="O131" s="260"/>
      <c r="P131" s="260"/>
      <c r="Q131" s="260"/>
      <c r="R131" s="260"/>
      <c r="S131" s="260"/>
      <c r="T131" s="279"/>
      <c r="U131" s="260"/>
      <c r="V131" s="260"/>
      <c r="W131" s="260"/>
      <c r="X131" s="260"/>
      <c r="Y131" s="260"/>
      <c r="Z131" s="260"/>
      <c r="AA131" s="264"/>
      <c r="AB131" s="260"/>
      <c r="AC131" s="260"/>
    </row>
    <row r="132">
      <c r="A132" s="259"/>
      <c r="B132" s="260"/>
      <c r="C132" s="260"/>
      <c r="D132" s="260"/>
      <c r="E132" s="260"/>
      <c r="F132" s="260"/>
      <c r="G132" s="260"/>
      <c r="H132" s="260"/>
      <c r="I132" s="260"/>
      <c r="J132" s="261"/>
      <c r="K132" s="260"/>
      <c r="L132" s="260"/>
      <c r="M132" s="260"/>
      <c r="N132" s="260"/>
      <c r="O132" s="260"/>
      <c r="P132" s="260"/>
      <c r="Q132" s="260"/>
      <c r="R132" s="260"/>
      <c r="S132" s="260"/>
      <c r="T132" s="279"/>
      <c r="U132" s="260"/>
      <c r="V132" s="260"/>
      <c r="W132" s="260"/>
      <c r="X132" s="260"/>
      <c r="Y132" s="260"/>
      <c r="Z132" s="260"/>
      <c r="AA132" s="264"/>
      <c r="AB132" s="260"/>
      <c r="AC132" s="260"/>
    </row>
    <row r="133">
      <c r="A133" s="259"/>
      <c r="B133" s="260"/>
      <c r="C133" s="260"/>
      <c r="D133" s="260"/>
      <c r="E133" s="260"/>
      <c r="F133" s="260"/>
      <c r="G133" s="260"/>
      <c r="H133" s="260"/>
      <c r="I133" s="260"/>
      <c r="J133" s="261"/>
      <c r="K133" s="260"/>
      <c r="L133" s="260"/>
      <c r="M133" s="260"/>
      <c r="N133" s="260"/>
      <c r="O133" s="260"/>
      <c r="P133" s="260"/>
      <c r="Q133" s="260"/>
      <c r="R133" s="260"/>
      <c r="S133" s="260"/>
      <c r="T133" s="279"/>
      <c r="U133" s="260"/>
      <c r="V133" s="260"/>
      <c r="W133" s="260"/>
      <c r="X133" s="260"/>
      <c r="Y133" s="260"/>
      <c r="Z133" s="260"/>
      <c r="AA133" s="264"/>
      <c r="AB133" s="260"/>
      <c r="AC133" s="260"/>
    </row>
    <row r="134">
      <c r="A134" s="259"/>
      <c r="B134" s="260"/>
      <c r="C134" s="260"/>
      <c r="D134" s="260"/>
      <c r="E134" s="260"/>
      <c r="F134" s="260"/>
      <c r="G134" s="260"/>
      <c r="H134" s="260"/>
      <c r="I134" s="260"/>
      <c r="J134" s="261"/>
      <c r="K134" s="260"/>
      <c r="L134" s="260"/>
      <c r="M134" s="260"/>
      <c r="N134" s="260"/>
      <c r="O134" s="260"/>
      <c r="P134" s="260"/>
      <c r="Q134" s="260"/>
      <c r="R134" s="260"/>
      <c r="S134" s="260"/>
      <c r="T134" s="279"/>
      <c r="U134" s="260"/>
      <c r="V134" s="260"/>
      <c r="W134" s="260"/>
      <c r="X134" s="260"/>
      <c r="Y134" s="260"/>
      <c r="Z134" s="260"/>
      <c r="AA134" s="264"/>
      <c r="AB134" s="260"/>
      <c r="AC134" s="260"/>
    </row>
    <row r="135">
      <c r="A135" s="259"/>
      <c r="B135" s="260"/>
      <c r="C135" s="260"/>
      <c r="D135" s="260"/>
      <c r="E135" s="260"/>
      <c r="F135" s="260"/>
      <c r="G135" s="260"/>
      <c r="H135" s="260"/>
      <c r="I135" s="260"/>
      <c r="J135" s="261"/>
      <c r="K135" s="260"/>
      <c r="L135" s="260"/>
      <c r="M135" s="260"/>
      <c r="N135" s="260"/>
      <c r="O135" s="260"/>
      <c r="P135" s="260"/>
      <c r="Q135" s="260"/>
      <c r="R135" s="260"/>
      <c r="S135" s="260"/>
      <c r="T135" s="279"/>
      <c r="U135" s="260"/>
      <c r="V135" s="260"/>
      <c r="W135" s="260"/>
      <c r="X135" s="260"/>
      <c r="Y135" s="260"/>
      <c r="Z135" s="260"/>
      <c r="AA135" s="264"/>
      <c r="AB135" s="260"/>
      <c r="AC135" s="260"/>
    </row>
    <row r="136">
      <c r="A136" s="259"/>
      <c r="B136" s="260"/>
      <c r="C136" s="260"/>
      <c r="D136" s="260"/>
      <c r="E136" s="260"/>
      <c r="F136" s="260"/>
      <c r="G136" s="260"/>
      <c r="H136" s="260"/>
      <c r="I136" s="260"/>
      <c r="J136" s="261"/>
      <c r="K136" s="260"/>
      <c r="L136" s="260"/>
      <c r="M136" s="260"/>
      <c r="N136" s="260"/>
      <c r="O136" s="260"/>
      <c r="P136" s="260"/>
      <c r="Q136" s="260"/>
      <c r="R136" s="260"/>
      <c r="S136" s="260"/>
      <c r="T136" s="279"/>
      <c r="U136" s="260"/>
      <c r="V136" s="260"/>
      <c r="W136" s="260"/>
      <c r="X136" s="260"/>
      <c r="Y136" s="260"/>
      <c r="Z136" s="260"/>
      <c r="AA136" s="264"/>
      <c r="AB136" s="260"/>
      <c r="AC136" s="260"/>
    </row>
    <row r="137">
      <c r="A137" s="259"/>
      <c r="B137" s="260"/>
      <c r="C137" s="260"/>
      <c r="D137" s="260"/>
      <c r="E137" s="260"/>
      <c r="F137" s="260"/>
      <c r="G137" s="260"/>
      <c r="H137" s="260"/>
      <c r="I137" s="260"/>
      <c r="J137" s="261"/>
      <c r="K137" s="260"/>
      <c r="L137" s="260"/>
      <c r="M137" s="260"/>
      <c r="N137" s="260"/>
      <c r="O137" s="260"/>
      <c r="P137" s="260"/>
      <c r="Q137" s="260"/>
      <c r="R137" s="260"/>
      <c r="S137" s="260"/>
      <c r="T137" s="279"/>
      <c r="U137" s="260"/>
      <c r="V137" s="260"/>
      <c r="W137" s="260"/>
      <c r="X137" s="260"/>
      <c r="Y137" s="260"/>
      <c r="Z137" s="260"/>
      <c r="AA137" s="264"/>
      <c r="AB137" s="260"/>
      <c r="AC137" s="260"/>
    </row>
    <row r="138">
      <c r="A138" s="259"/>
      <c r="B138" s="260"/>
      <c r="C138" s="260"/>
      <c r="D138" s="260"/>
      <c r="E138" s="260"/>
      <c r="F138" s="260"/>
      <c r="G138" s="260"/>
      <c r="H138" s="260"/>
      <c r="I138" s="260"/>
      <c r="J138" s="261"/>
      <c r="K138" s="260"/>
      <c r="L138" s="260"/>
      <c r="M138" s="260"/>
      <c r="N138" s="260"/>
      <c r="O138" s="260"/>
      <c r="P138" s="260"/>
      <c r="Q138" s="260"/>
      <c r="R138" s="260"/>
      <c r="S138" s="260"/>
      <c r="T138" s="279"/>
      <c r="U138" s="260"/>
      <c r="V138" s="260"/>
      <c r="W138" s="260"/>
      <c r="X138" s="260"/>
      <c r="Y138" s="260"/>
      <c r="Z138" s="260"/>
      <c r="AA138" s="264"/>
      <c r="AB138" s="260"/>
      <c r="AC138" s="260"/>
    </row>
    <row r="139">
      <c r="A139" s="259"/>
      <c r="B139" s="260"/>
      <c r="C139" s="260"/>
      <c r="D139" s="260"/>
      <c r="E139" s="260"/>
      <c r="F139" s="260"/>
      <c r="G139" s="260"/>
      <c r="H139" s="260"/>
      <c r="I139" s="260"/>
      <c r="J139" s="261"/>
      <c r="K139" s="260"/>
      <c r="L139" s="260"/>
      <c r="M139" s="260"/>
      <c r="N139" s="260"/>
      <c r="O139" s="260"/>
      <c r="P139" s="260"/>
      <c r="Q139" s="260"/>
      <c r="R139" s="260"/>
      <c r="S139" s="260"/>
      <c r="T139" s="279"/>
      <c r="U139" s="260"/>
      <c r="V139" s="260"/>
      <c r="W139" s="260"/>
      <c r="X139" s="260"/>
      <c r="Y139" s="260"/>
      <c r="Z139" s="260"/>
      <c r="AA139" s="264"/>
      <c r="AB139" s="260"/>
      <c r="AC139" s="260"/>
    </row>
    <row r="140">
      <c r="A140" s="259"/>
      <c r="B140" s="260"/>
      <c r="C140" s="260"/>
      <c r="D140" s="260"/>
      <c r="E140" s="260"/>
      <c r="F140" s="260"/>
      <c r="G140" s="260"/>
      <c r="H140" s="260"/>
      <c r="I140" s="260"/>
      <c r="J140" s="261"/>
      <c r="K140" s="260"/>
      <c r="L140" s="260"/>
      <c r="M140" s="260"/>
      <c r="N140" s="260"/>
      <c r="O140" s="260"/>
      <c r="P140" s="260"/>
      <c r="Q140" s="260"/>
      <c r="R140" s="260"/>
      <c r="S140" s="260"/>
      <c r="T140" s="279"/>
      <c r="U140" s="260"/>
      <c r="V140" s="260"/>
      <c r="W140" s="260"/>
      <c r="X140" s="260"/>
      <c r="Y140" s="260"/>
      <c r="Z140" s="260"/>
      <c r="AA140" s="264"/>
      <c r="AB140" s="260"/>
      <c r="AC140" s="260"/>
    </row>
    <row r="141">
      <c r="A141" s="259"/>
      <c r="B141" s="260"/>
      <c r="C141" s="260"/>
      <c r="D141" s="260"/>
      <c r="E141" s="260"/>
      <c r="F141" s="260"/>
      <c r="G141" s="260"/>
      <c r="H141" s="260"/>
      <c r="I141" s="260"/>
      <c r="J141" s="261"/>
      <c r="K141" s="260"/>
      <c r="L141" s="260"/>
      <c r="M141" s="260"/>
      <c r="N141" s="260"/>
      <c r="O141" s="260"/>
      <c r="P141" s="260"/>
      <c r="Q141" s="260"/>
      <c r="R141" s="260"/>
      <c r="S141" s="260"/>
      <c r="T141" s="279"/>
      <c r="U141" s="260"/>
      <c r="V141" s="260"/>
      <c r="W141" s="260"/>
      <c r="X141" s="260"/>
      <c r="Y141" s="260"/>
      <c r="Z141" s="260"/>
      <c r="AA141" s="264"/>
      <c r="AB141" s="260"/>
      <c r="AC141" s="260"/>
    </row>
    <row r="142">
      <c r="A142" s="259"/>
      <c r="B142" s="260"/>
      <c r="C142" s="260"/>
      <c r="D142" s="260"/>
      <c r="E142" s="260"/>
      <c r="F142" s="260"/>
      <c r="G142" s="260"/>
      <c r="H142" s="260"/>
      <c r="I142" s="260"/>
      <c r="J142" s="261"/>
      <c r="K142" s="260"/>
      <c r="L142" s="260"/>
      <c r="M142" s="260"/>
      <c r="N142" s="260"/>
      <c r="O142" s="260"/>
      <c r="P142" s="260"/>
      <c r="Q142" s="260"/>
      <c r="R142" s="260"/>
      <c r="S142" s="260"/>
      <c r="T142" s="279"/>
      <c r="U142" s="260"/>
      <c r="V142" s="260"/>
      <c r="W142" s="260"/>
      <c r="X142" s="260"/>
      <c r="Y142" s="260"/>
      <c r="Z142" s="260"/>
      <c r="AA142" s="264"/>
      <c r="AB142" s="260"/>
      <c r="AC142" s="260"/>
    </row>
    <row r="143">
      <c r="A143" s="259"/>
      <c r="B143" s="260"/>
      <c r="C143" s="260"/>
      <c r="D143" s="260"/>
      <c r="E143" s="260"/>
      <c r="F143" s="260"/>
      <c r="G143" s="260"/>
      <c r="H143" s="260"/>
      <c r="I143" s="260"/>
      <c r="J143" s="261"/>
      <c r="K143" s="260"/>
      <c r="L143" s="260"/>
      <c r="M143" s="260"/>
      <c r="N143" s="260"/>
      <c r="O143" s="260"/>
      <c r="P143" s="260"/>
      <c r="Q143" s="260"/>
      <c r="R143" s="260"/>
      <c r="S143" s="260"/>
      <c r="T143" s="279"/>
      <c r="U143" s="260"/>
      <c r="V143" s="260"/>
      <c r="W143" s="260"/>
      <c r="X143" s="260"/>
      <c r="Y143" s="260"/>
      <c r="Z143" s="260"/>
      <c r="AA143" s="264"/>
      <c r="AB143" s="260"/>
      <c r="AC143" s="260"/>
    </row>
    <row r="144">
      <c r="A144" s="259"/>
      <c r="B144" s="260"/>
      <c r="C144" s="260"/>
      <c r="D144" s="260"/>
      <c r="E144" s="260"/>
      <c r="F144" s="260"/>
      <c r="G144" s="260"/>
      <c r="H144" s="260"/>
      <c r="I144" s="260"/>
      <c r="J144" s="261"/>
      <c r="K144" s="260"/>
      <c r="L144" s="260"/>
      <c r="M144" s="260"/>
      <c r="N144" s="260"/>
      <c r="O144" s="260"/>
      <c r="P144" s="260"/>
      <c r="Q144" s="260"/>
      <c r="R144" s="260"/>
      <c r="S144" s="260"/>
      <c r="T144" s="279"/>
      <c r="U144" s="260"/>
      <c r="V144" s="260"/>
      <c r="W144" s="260"/>
      <c r="X144" s="260"/>
      <c r="Y144" s="260"/>
      <c r="Z144" s="260"/>
      <c r="AA144" s="264"/>
      <c r="AB144" s="260"/>
      <c r="AC144" s="260"/>
    </row>
    <row r="145">
      <c r="A145" s="259"/>
      <c r="B145" s="260"/>
      <c r="C145" s="260"/>
      <c r="D145" s="260"/>
      <c r="E145" s="260"/>
      <c r="F145" s="260"/>
      <c r="G145" s="260"/>
      <c r="H145" s="260"/>
      <c r="I145" s="260"/>
      <c r="J145" s="261"/>
      <c r="K145" s="260"/>
      <c r="L145" s="260"/>
      <c r="M145" s="260"/>
      <c r="N145" s="260"/>
      <c r="O145" s="260"/>
      <c r="P145" s="260"/>
      <c r="Q145" s="260"/>
      <c r="R145" s="260"/>
      <c r="S145" s="260"/>
      <c r="T145" s="279"/>
      <c r="U145" s="260"/>
      <c r="V145" s="260"/>
      <c r="W145" s="260"/>
      <c r="X145" s="260"/>
      <c r="Y145" s="260"/>
      <c r="Z145" s="260"/>
      <c r="AA145" s="264"/>
      <c r="AB145" s="260"/>
      <c r="AC145" s="260"/>
    </row>
    <row r="146">
      <c r="A146" s="259"/>
      <c r="B146" s="260"/>
      <c r="C146" s="260"/>
      <c r="D146" s="260"/>
      <c r="E146" s="260"/>
      <c r="F146" s="260"/>
      <c r="G146" s="260"/>
      <c r="H146" s="260"/>
      <c r="I146" s="260"/>
      <c r="J146" s="261"/>
      <c r="K146" s="260"/>
      <c r="L146" s="260"/>
      <c r="M146" s="260"/>
      <c r="N146" s="260"/>
      <c r="O146" s="260"/>
      <c r="P146" s="260"/>
      <c r="Q146" s="260"/>
      <c r="R146" s="260"/>
      <c r="S146" s="260"/>
      <c r="T146" s="279"/>
      <c r="U146" s="260"/>
      <c r="V146" s="260"/>
      <c r="W146" s="260"/>
      <c r="X146" s="260"/>
      <c r="Y146" s="260"/>
      <c r="Z146" s="260"/>
      <c r="AA146" s="264"/>
      <c r="AB146" s="260"/>
      <c r="AC146" s="260"/>
    </row>
    <row r="147">
      <c r="A147" s="259"/>
      <c r="B147" s="260"/>
      <c r="C147" s="260"/>
      <c r="D147" s="260"/>
      <c r="E147" s="260"/>
      <c r="F147" s="260"/>
      <c r="G147" s="260"/>
      <c r="H147" s="260"/>
      <c r="I147" s="260"/>
      <c r="J147" s="261"/>
      <c r="K147" s="260"/>
      <c r="L147" s="260"/>
      <c r="M147" s="260"/>
      <c r="N147" s="260"/>
      <c r="O147" s="260"/>
      <c r="P147" s="260"/>
      <c r="Q147" s="260"/>
      <c r="R147" s="260"/>
      <c r="S147" s="260"/>
      <c r="T147" s="279"/>
      <c r="U147" s="260"/>
      <c r="V147" s="260"/>
      <c r="W147" s="260"/>
      <c r="X147" s="260"/>
      <c r="Y147" s="260"/>
      <c r="Z147" s="260"/>
      <c r="AA147" s="264"/>
      <c r="AB147" s="260"/>
      <c r="AC147" s="260"/>
    </row>
    <row r="148">
      <c r="A148" s="259"/>
      <c r="B148" s="260"/>
      <c r="C148" s="260"/>
      <c r="D148" s="260"/>
      <c r="E148" s="260"/>
      <c r="F148" s="260"/>
      <c r="G148" s="260"/>
      <c r="H148" s="260"/>
      <c r="I148" s="260"/>
      <c r="J148" s="261"/>
      <c r="K148" s="260"/>
      <c r="L148" s="260"/>
      <c r="M148" s="260"/>
      <c r="N148" s="260"/>
      <c r="O148" s="260"/>
      <c r="P148" s="260"/>
      <c r="Q148" s="260"/>
      <c r="R148" s="260"/>
      <c r="S148" s="260"/>
      <c r="T148" s="279"/>
      <c r="U148" s="260"/>
      <c r="V148" s="260"/>
      <c r="W148" s="260"/>
      <c r="X148" s="260"/>
      <c r="Y148" s="260"/>
      <c r="Z148" s="260"/>
      <c r="AA148" s="264"/>
      <c r="AB148" s="260"/>
      <c r="AC148" s="260"/>
    </row>
    <row r="149">
      <c r="A149" s="259"/>
      <c r="B149" s="260"/>
      <c r="C149" s="260"/>
      <c r="D149" s="260"/>
      <c r="E149" s="260"/>
      <c r="F149" s="260"/>
      <c r="G149" s="260"/>
      <c r="H149" s="260"/>
      <c r="I149" s="260"/>
      <c r="J149" s="261"/>
      <c r="K149" s="260"/>
      <c r="L149" s="260"/>
      <c r="M149" s="260"/>
      <c r="N149" s="260"/>
      <c r="O149" s="260"/>
      <c r="P149" s="260"/>
      <c r="Q149" s="260"/>
      <c r="R149" s="260"/>
      <c r="S149" s="260"/>
      <c r="T149" s="279"/>
      <c r="U149" s="260"/>
      <c r="V149" s="260"/>
      <c r="W149" s="260"/>
      <c r="X149" s="260"/>
      <c r="Y149" s="260"/>
      <c r="Z149" s="260"/>
      <c r="AA149" s="264"/>
      <c r="AB149" s="260"/>
      <c r="AC149" s="260"/>
    </row>
    <row r="150">
      <c r="A150" s="259"/>
      <c r="B150" s="260"/>
      <c r="C150" s="260"/>
      <c r="D150" s="260"/>
      <c r="E150" s="260"/>
      <c r="F150" s="260"/>
      <c r="G150" s="260"/>
      <c r="H150" s="260"/>
      <c r="I150" s="260"/>
      <c r="J150" s="261"/>
      <c r="K150" s="260"/>
      <c r="L150" s="260"/>
      <c r="M150" s="260"/>
      <c r="N150" s="260"/>
      <c r="O150" s="260"/>
      <c r="P150" s="260"/>
      <c r="Q150" s="260"/>
      <c r="R150" s="260"/>
      <c r="S150" s="260"/>
      <c r="T150" s="279"/>
      <c r="U150" s="260"/>
      <c r="V150" s="260"/>
      <c r="W150" s="260"/>
      <c r="X150" s="260"/>
      <c r="Y150" s="260"/>
      <c r="Z150" s="260"/>
      <c r="AA150" s="264"/>
      <c r="AB150" s="260"/>
      <c r="AC150" s="260"/>
    </row>
    <row r="151">
      <c r="A151" s="259"/>
      <c r="B151" s="260"/>
      <c r="C151" s="260"/>
      <c r="D151" s="260"/>
      <c r="E151" s="260"/>
      <c r="F151" s="260"/>
      <c r="G151" s="260"/>
      <c r="H151" s="260"/>
      <c r="I151" s="260"/>
      <c r="J151" s="261"/>
      <c r="K151" s="260"/>
      <c r="L151" s="260"/>
      <c r="M151" s="260"/>
      <c r="N151" s="260"/>
      <c r="O151" s="260"/>
      <c r="P151" s="260"/>
      <c r="Q151" s="260"/>
      <c r="R151" s="260"/>
      <c r="S151" s="260"/>
      <c r="T151" s="279"/>
      <c r="U151" s="260"/>
      <c r="V151" s="260"/>
      <c r="W151" s="260"/>
      <c r="X151" s="260"/>
      <c r="Y151" s="260"/>
      <c r="Z151" s="260"/>
      <c r="AA151" s="264"/>
      <c r="AB151" s="260"/>
      <c r="AC151" s="260"/>
    </row>
    <row r="152">
      <c r="A152" s="259"/>
      <c r="B152" s="260"/>
      <c r="C152" s="260"/>
      <c r="D152" s="260"/>
      <c r="E152" s="260"/>
      <c r="F152" s="260"/>
      <c r="G152" s="260"/>
      <c r="H152" s="260"/>
      <c r="I152" s="260"/>
      <c r="J152" s="261"/>
      <c r="K152" s="260"/>
      <c r="L152" s="260"/>
      <c r="M152" s="260"/>
      <c r="N152" s="260"/>
      <c r="O152" s="260"/>
      <c r="P152" s="260"/>
      <c r="Q152" s="260"/>
      <c r="R152" s="260"/>
      <c r="S152" s="260"/>
      <c r="T152" s="279"/>
      <c r="U152" s="260"/>
      <c r="V152" s="260"/>
      <c r="W152" s="260"/>
      <c r="X152" s="260"/>
      <c r="Y152" s="260"/>
      <c r="Z152" s="260"/>
      <c r="AA152" s="264"/>
      <c r="AB152" s="260"/>
      <c r="AC152" s="260"/>
    </row>
    <row r="153">
      <c r="A153" s="259"/>
      <c r="B153" s="260"/>
      <c r="C153" s="260"/>
      <c r="D153" s="260"/>
      <c r="E153" s="260"/>
      <c r="F153" s="260"/>
      <c r="G153" s="260"/>
      <c r="H153" s="260"/>
      <c r="I153" s="260"/>
      <c r="J153" s="261"/>
      <c r="K153" s="260"/>
      <c r="L153" s="260"/>
      <c r="M153" s="260"/>
      <c r="N153" s="260"/>
      <c r="O153" s="260"/>
      <c r="P153" s="260"/>
      <c r="Q153" s="260"/>
      <c r="R153" s="260"/>
      <c r="S153" s="260"/>
      <c r="T153" s="279"/>
      <c r="U153" s="260"/>
      <c r="V153" s="260"/>
      <c r="W153" s="260"/>
      <c r="X153" s="260"/>
      <c r="Y153" s="260"/>
      <c r="Z153" s="260"/>
      <c r="AA153" s="264"/>
      <c r="AB153" s="260"/>
      <c r="AC153" s="260"/>
    </row>
    <row r="154">
      <c r="A154" s="259"/>
      <c r="B154" s="260"/>
      <c r="C154" s="260"/>
      <c r="D154" s="260"/>
      <c r="E154" s="260"/>
      <c r="F154" s="260"/>
      <c r="G154" s="260"/>
      <c r="H154" s="260"/>
      <c r="I154" s="260"/>
      <c r="J154" s="261"/>
      <c r="K154" s="260"/>
      <c r="L154" s="260"/>
      <c r="M154" s="260"/>
      <c r="N154" s="260"/>
      <c r="O154" s="260"/>
      <c r="P154" s="260"/>
      <c r="Q154" s="260"/>
      <c r="R154" s="260"/>
      <c r="S154" s="260"/>
      <c r="T154" s="279"/>
      <c r="U154" s="260"/>
      <c r="V154" s="260"/>
      <c r="W154" s="260"/>
      <c r="X154" s="260"/>
      <c r="Y154" s="260"/>
      <c r="Z154" s="260"/>
      <c r="AA154" s="264"/>
      <c r="AB154" s="260"/>
      <c r="AC154" s="260"/>
    </row>
    <row r="155">
      <c r="A155" s="259"/>
      <c r="B155" s="260"/>
      <c r="C155" s="260"/>
      <c r="D155" s="260"/>
      <c r="E155" s="260"/>
      <c r="F155" s="260"/>
      <c r="G155" s="260"/>
      <c r="H155" s="260"/>
      <c r="I155" s="260"/>
      <c r="J155" s="261"/>
      <c r="K155" s="260"/>
      <c r="L155" s="260"/>
      <c r="M155" s="260"/>
      <c r="N155" s="260"/>
      <c r="O155" s="260"/>
      <c r="P155" s="260"/>
      <c r="Q155" s="260"/>
      <c r="R155" s="260"/>
      <c r="S155" s="260"/>
      <c r="T155" s="279"/>
      <c r="U155" s="260"/>
      <c r="V155" s="260"/>
      <c r="W155" s="260"/>
      <c r="X155" s="260"/>
      <c r="Y155" s="260"/>
      <c r="Z155" s="260"/>
      <c r="AA155" s="264"/>
      <c r="AB155" s="260"/>
      <c r="AC155" s="260"/>
    </row>
    <row r="156">
      <c r="A156" s="259"/>
      <c r="B156" s="260"/>
      <c r="C156" s="260"/>
      <c r="D156" s="260"/>
      <c r="E156" s="260"/>
      <c r="F156" s="260"/>
      <c r="G156" s="260"/>
      <c r="H156" s="260"/>
      <c r="I156" s="260"/>
      <c r="J156" s="261"/>
      <c r="K156" s="260"/>
      <c r="L156" s="260"/>
      <c r="M156" s="260"/>
      <c r="N156" s="260"/>
      <c r="O156" s="260"/>
      <c r="P156" s="260"/>
      <c r="Q156" s="260"/>
      <c r="R156" s="260"/>
      <c r="S156" s="260"/>
      <c r="T156" s="279"/>
      <c r="U156" s="260"/>
      <c r="V156" s="260"/>
      <c r="W156" s="260"/>
      <c r="X156" s="260"/>
      <c r="Y156" s="260"/>
      <c r="Z156" s="260"/>
      <c r="AA156" s="264"/>
      <c r="AB156" s="260"/>
      <c r="AC156" s="260"/>
    </row>
    <row r="157">
      <c r="A157" s="259"/>
      <c r="B157" s="260"/>
      <c r="C157" s="260"/>
      <c r="D157" s="260"/>
      <c r="E157" s="260"/>
      <c r="F157" s="260"/>
      <c r="G157" s="260"/>
      <c r="H157" s="260"/>
      <c r="I157" s="260"/>
      <c r="J157" s="261"/>
      <c r="K157" s="260"/>
      <c r="L157" s="260"/>
      <c r="M157" s="260"/>
      <c r="N157" s="260"/>
      <c r="O157" s="260"/>
      <c r="P157" s="260"/>
      <c r="Q157" s="260"/>
      <c r="R157" s="260"/>
      <c r="S157" s="260"/>
      <c r="T157" s="279"/>
      <c r="U157" s="260"/>
      <c r="V157" s="260"/>
      <c r="W157" s="260"/>
      <c r="X157" s="260"/>
      <c r="Y157" s="260"/>
      <c r="Z157" s="260"/>
      <c r="AA157" s="264"/>
      <c r="AB157" s="260"/>
      <c r="AC157" s="260"/>
    </row>
    <row r="158">
      <c r="A158" s="259"/>
      <c r="B158" s="260"/>
      <c r="C158" s="260"/>
      <c r="D158" s="260"/>
      <c r="E158" s="260"/>
      <c r="F158" s="260"/>
      <c r="G158" s="260"/>
      <c r="H158" s="260"/>
      <c r="I158" s="260"/>
      <c r="J158" s="261"/>
      <c r="K158" s="260"/>
      <c r="L158" s="260"/>
      <c r="M158" s="260"/>
      <c r="N158" s="260"/>
      <c r="O158" s="260"/>
      <c r="P158" s="260"/>
      <c r="Q158" s="260"/>
      <c r="R158" s="260"/>
      <c r="S158" s="260"/>
      <c r="T158" s="279"/>
      <c r="U158" s="260"/>
      <c r="V158" s="260"/>
      <c r="W158" s="260"/>
      <c r="X158" s="260"/>
      <c r="Y158" s="260"/>
      <c r="Z158" s="260"/>
      <c r="AA158" s="264"/>
      <c r="AB158" s="260"/>
      <c r="AC158" s="260"/>
    </row>
    <row r="159">
      <c r="A159" s="259"/>
      <c r="B159" s="260"/>
      <c r="C159" s="260"/>
      <c r="D159" s="260"/>
      <c r="E159" s="260"/>
      <c r="F159" s="260"/>
      <c r="G159" s="260"/>
      <c r="H159" s="260"/>
      <c r="I159" s="260"/>
      <c r="J159" s="261"/>
      <c r="K159" s="260"/>
      <c r="L159" s="260"/>
      <c r="M159" s="260"/>
      <c r="N159" s="260"/>
      <c r="O159" s="260"/>
      <c r="P159" s="260"/>
      <c r="Q159" s="260"/>
      <c r="R159" s="260"/>
      <c r="S159" s="260"/>
      <c r="T159" s="279"/>
      <c r="U159" s="260"/>
      <c r="V159" s="260"/>
      <c r="W159" s="260"/>
      <c r="X159" s="260"/>
      <c r="Y159" s="260"/>
      <c r="Z159" s="260"/>
      <c r="AA159" s="264"/>
      <c r="AB159" s="260"/>
      <c r="AC159" s="260"/>
    </row>
    <row r="160">
      <c r="A160" s="259"/>
      <c r="B160" s="260"/>
      <c r="C160" s="260"/>
      <c r="D160" s="260"/>
      <c r="E160" s="260"/>
      <c r="F160" s="260"/>
      <c r="G160" s="260"/>
      <c r="H160" s="260"/>
      <c r="I160" s="260"/>
      <c r="J160" s="261"/>
      <c r="K160" s="260"/>
      <c r="L160" s="260"/>
      <c r="M160" s="260"/>
      <c r="N160" s="260"/>
      <c r="O160" s="260"/>
      <c r="P160" s="260"/>
      <c r="Q160" s="260"/>
      <c r="R160" s="260"/>
      <c r="S160" s="260"/>
      <c r="T160" s="279"/>
      <c r="U160" s="260"/>
      <c r="V160" s="260"/>
      <c r="W160" s="260"/>
      <c r="X160" s="260"/>
      <c r="Y160" s="260"/>
      <c r="Z160" s="260"/>
      <c r="AA160" s="264"/>
      <c r="AB160" s="260"/>
      <c r="AC160" s="260"/>
    </row>
    <row r="161">
      <c r="A161" s="259"/>
      <c r="B161" s="260"/>
      <c r="C161" s="260"/>
      <c r="D161" s="260"/>
      <c r="E161" s="260"/>
      <c r="F161" s="260"/>
      <c r="G161" s="260"/>
      <c r="H161" s="260"/>
      <c r="I161" s="260"/>
      <c r="J161" s="261"/>
      <c r="K161" s="260"/>
      <c r="L161" s="260"/>
      <c r="M161" s="260"/>
      <c r="N161" s="260"/>
      <c r="O161" s="260"/>
      <c r="P161" s="260"/>
      <c r="Q161" s="260"/>
      <c r="R161" s="260"/>
      <c r="S161" s="260"/>
      <c r="T161" s="279"/>
      <c r="U161" s="260"/>
      <c r="V161" s="260"/>
      <c r="W161" s="260"/>
      <c r="X161" s="260"/>
      <c r="Y161" s="260"/>
      <c r="Z161" s="260"/>
      <c r="AA161" s="264"/>
      <c r="AB161" s="260"/>
      <c r="AC161" s="260"/>
    </row>
    <row r="162">
      <c r="A162" s="259"/>
      <c r="B162" s="260"/>
      <c r="C162" s="260"/>
      <c r="D162" s="260"/>
      <c r="E162" s="260"/>
      <c r="F162" s="260"/>
      <c r="G162" s="260"/>
      <c r="H162" s="260"/>
      <c r="I162" s="260"/>
      <c r="J162" s="261"/>
      <c r="K162" s="260"/>
      <c r="L162" s="260"/>
      <c r="M162" s="260"/>
      <c r="N162" s="260"/>
      <c r="O162" s="260"/>
      <c r="P162" s="260"/>
      <c r="Q162" s="260"/>
      <c r="R162" s="260"/>
      <c r="S162" s="260"/>
      <c r="T162" s="279"/>
      <c r="U162" s="260"/>
      <c r="V162" s="260"/>
      <c r="W162" s="260"/>
      <c r="X162" s="260"/>
      <c r="Y162" s="260"/>
      <c r="Z162" s="260"/>
      <c r="AA162" s="264"/>
      <c r="AB162" s="260"/>
      <c r="AC162" s="260"/>
    </row>
    <row r="163">
      <c r="A163" s="259"/>
      <c r="B163" s="260"/>
      <c r="C163" s="260"/>
      <c r="D163" s="260"/>
      <c r="E163" s="260"/>
      <c r="F163" s="260"/>
      <c r="G163" s="260"/>
      <c r="H163" s="260"/>
      <c r="I163" s="260"/>
      <c r="J163" s="261"/>
      <c r="K163" s="260"/>
      <c r="L163" s="260"/>
      <c r="M163" s="260"/>
      <c r="N163" s="260"/>
      <c r="O163" s="260"/>
      <c r="P163" s="260"/>
      <c r="Q163" s="260"/>
      <c r="R163" s="260"/>
      <c r="S163" s="260"/>
      <c r="T163" s="279"/>
      <c r="U163" s="260"/>
      <c r="V163" s="260"/>
      <c r="W163" s="260"/>
      <c r="X163" s="260"/>
      <c r="Y163" s="260"/>
      <c r="Z163" s="260"/>
      <c r="AA163" s="264"/>
      <c r="AB163" s="260"/>
      <c r="AC163" s="260"/>
    </row>
    <row r="164">
      <c r="A164" s="259"/>
      <c r="B164" s="260"/>
      <c r="C164" s="260"/>
      <c r="D164" s="260"/>
      <c r="E164" s="260"/>
      <c r="F164" s="260"/>
      <c r="G164" s="260"/>
      <c r="H164" s="260"/>
      <c r="I164" s="260"/>
      <c r="J164" s="261"/>
      <c r="K164" s="260"/>
      <c r="L164" s="260"/>
      <c r="M164" s="260"/>
      <c r="N164" s="260"/>
      <c r="O164" s="260"/>
      <c r="P164" s="260"/>
      <c r="Q164" s="260"/>
      <c r="R164" s="260"/>
      <c r="S164" s="260"/>
      <c r="T164" s="279"/>
      <c r="U164" s="260"/>
      <c r="V164" s="260"/>
      <c r="W164" s="260"/>
      <c r="X164" s="260"/>
      <c r="Y164" s="260"/>
      <c r="Z164" s="260"/>
      <c r="AA164" s="264"/>
      <c r="AB164" s="260"/>
      <c r="AC164" s="260"/>
    </row>
    <row r="165">
      <c r="A165" s="259"/>
      <c r="B165" s="260"/>
      <c r="C165" s="260"/>
      <c r="D165" s="260"/>
      <c r="E165" s="260"/>
      <c r="F165" s="260"/>
      <c r="G165" s="260"/>
      <c r="H165" s="260"/>
      <c r="I165" s="260"/>
      <c r="J165" s="261"/>
      <c r="K165" s="260"/>
      <c r="L165" s="260"/>
      <c r="M165" s="260"/>
      <c r="N165" s="260"/>
      <c r="O165" s="260"/>
      <c r="P165" s="260"/>
      <c r="Q165" s="260"/>
      <c r="R165" s="260"/>
      <c r="S165" s="260"/>
      <c r="T165" s="279"/>
      <c r="U165" s="260"/>
      <c r="V165" s="260"/>
      <c r="W165" s="260"/>
      <c r="X165" s="260"/>
      <c r="Y165" s="260"/>
      <c r="Z165" s="260"/>
      <c r="AA165" s="264"/>
      <c r="AB165" s="260"/>
      <c r="AC165" s="260"/>
    </row>
    <row r="166">
      <c r="A166" s="259"/>
      <c r="B166" s="260"/>
      <c r="C166" s="260"/>
      <c r="D166" s="260"/>
      <c r="E166" s="260"/>
      <c r="F166" s="260"/>
      <c r="G166" s="260"/>
      <c r="H166" s="260"/>
      <c r="I166" s="260"/>
      <c r="J166" s="261"/>
      <c r="K166" s="260"/>
      <c r="L166" s="260"/>
      <c r="M166" s="260"/>
      <c r="N166" s="260"/>
      <c r="O166" s="260"/>
      <c r="P166" s="260"/>
      <c r="Q166" s="260"/>
      <c r="R166" s="260"/>
      <c r="S166" s="260"/>
      <c r="T166" s="279"/>
      <c r="U166" s="260"/>
      <c r="V166" s="260"/>
      <c r="W166" s="260"/>
      <c r="X166" s="260"/>
      <c r="Y166" s="260"/>
      <c r="Z166" s="260"/>
      <c r="AA166" s="264"/>
      <c r="AB166" s="260"/>
      <c r="AC166" s="260"/>
    </row>
    <row r="167">
      <c r="A167" s="259"/>
      <c r="B167" s="260"/>
      <c r="C167" s="260"/>
      <c r="D167" s="260"/>
      <c r="E167" s="260"/>
      <c r="F167" s="260"/>
      <c r="G167" s="260"/>
      <c r="H167" s="260"/>
      <c r="I167" s="260"/>
      <c r="J167" s="261"/>
      <c r="K167" s="260"/>
      <c r="L167" s="260"/>
      <c r="M167" s="260"/>
      <c r="N167" s="260"/>
      <c r="O167" s="260"/>
      <c r="P167" s="260"/>
      <c r="Q167" s="260"/>
      <c r="R167" s="260"/>
      <c r="S167" s="260"/>
      <c r="T167" s="279"/>
      <c r="U167" s="260"/>
      <c r="V167" s="260"/>
      <c r="W167" s="260"/>
      <c r="X167" s="260"/>
      <c r="Y167" s="260"/>
      <c r="Z167" s="260"/>
      <c r="AA167" s="264"/>
      <c r="AB167" s="260"/>
      <c r="AC167" s="260"/>
    </row>
    <row r="168">
      <c r="A168" s="259"/>
      <c r="B168" s="260"/>
      <c r="C168" s="260"/>
      <c r="D168" s="260"/>
      <c r="E168" s="260"/>
      <c r="F168" s="260"/>
      <c r="G168" s="260"/>
      <c r="H168" s="260"/>
      <c r="I168" s="260"/>
      <c r="J168" s="261"/>
      <c r="K168" s="260"/>
      <c r="L168" s="260"/>
      <c r="M168" s="260"/>
      <c r="N168" s="260"/>
      <c r="O168" s="260"/>
      <c r="P168" s="260"/>
      <c r="Q168" s="260"/>
      <c r="R168" s="260"/>
      <c r="S168" s="260"/>
      <c r="T168" s="279"/>
      <c r="U168" s="260"/>
      <c r="V168" s="260"/>
      <c r="W168" s="260"/>
      <c r="X168" s="260"/>
      <c r="Y168" s="260"/>
      <c r="Z168" s="260"/>
      <c r="AA168" s="264"/>
      <c r="AB168" s="260"/>
      <c r="AC168" s="260"/>
    </row>
    <row r="169">
      <c r="A169" s="259"/>
      <c r="B169" s="260"/>
      <c r="C169" s="260"/>
      <c r="D169" s="260"/>
      <c r="E169" s="260"/>
      <c r="F169" s="260"/>
      <c r="G169" s="260"/>
      <c r="H169" s="260"/>
      <c r="I169" s="260"/>
      <c r="J169" s="261"/>
      <c r="K169" s="260"/>
      <c r="L169" s="260"/>
      <c r="M169" s="260"/>
      <c r="N169" s="260"/>
      <c r="O169" s="260"/>
      <c r="P169" s="260"/>
      <c r="Q169" s="260"/>
      <c r="R169" s="260"/>
      <c r="S169" s="260"/>
      <c r="T169" s="279"/>
      <c r="U169" s="260"/>
      <c r="V169" s="260"/>
      <c r="W169" s="260"/>
      <c r="X169" s="260"/>
      <c r="Y169" s="260"/>
      <c r="Z169" s="260"/>
      <c r="AA169" s="264"/>
      <c r="AB169" s="260"/>
      <c r="AC169" s="260"/>
    </row>
    <row r="170">
      <c r="A170" s="259"/>
      <c r="B170" s="260"/>
      <c r="C170" s="260"/>
      <c r="D170" s="260"/>
      <c r="E170" s="260"/>
      <c r="F170" s="260"/>
      <c r="G170" s="260"/>
      <c r="H170" s="260"/>
      <c r="I170" s="260"/>
      <c r="J170" s="261"/>
      <c r="K170" s="260"/>
      <c r="L170" s="260"/>
      <c r="M170" s="260"/>
      <c r="N170" s="260"/>
      <c r="O170" s="260"/>
      <c r="P170" s="260"/>
      <c r="Q170" s="260"/>
      <c r="R170" s="260"/>
      <c r="S170" s="260"/>
      <c r="T170" s="279"/>
      <c r="U170" s="260"/>
      <c r="V170" s="260"/>
      <c r="W170" s="260"/>
      <c r="X170" s="260"/>
      <c r="Y170" s="260"/>
      <c r="Z170" s="260"/>
      <c r="AA170" s="264"/>
      <c r="AB170" s="260"/>
      <c r="AC170" s="260"/>
    </row>
    <row r="171">
      <c r="A171" s="259"/>
      <c r="B171" s="260"/>
      <c r="C171" s="260"/>
      <c r="D171" s="260"/>
      <c r="E171" s="260"/>
      <c r="F171" s="260"/>
      <c r="G171" s="260"/>
      <c r="H171" s="260"/>
      <c r="I171" s="260"/>
      <c r="J171" s="261"/>
      <c r="K171" s="260"/>
      <c r="L171" s="260"/>
      <c r="M171" s="260"/>
      <c r="N171" s="260"/>
      <c r="O171" s="260"/>
      <c r="P171" s="260"/>
      <c r="Q171" s="260"/>
      <c r="R171" s="260"/>
      <c r="S171" s="260"/>
      <c r="T171" s="279"/>
      <c r="U171" s="260"/>
      <c r="V171" s="260"/>
      <c r="W171" s="260"/>
      <c r="X171" s="260"/>
      <c r="Y171" s="260"/>
      <c r="Z171" s="260"/>
      <c r="AA171" s="264"/>
      <c r="AB171" s="260"/>
      <c r="AC171" s="260"/>
    </row>
    <row r="172">
      <c r="A172" s="259"/>
      <c r="B172" s="260"/>
      <c r="C172" s="260"/>
      <c r="D172" s="260"/>
      <c r="E172" s="260"/>
      <c r="F172" s="260"/>
      <c r="G172" s="260"/>
      <c r="H172" s="260"/>
      <c r="I172" s="260"/>
      <c r="J172" s="261"/>
      <c r="K172" s="260"/>
      <c r="L172" s="260"/>
      <c r="M172" s="260"/>
      <c r="N172" s="260"/>
      <c r="O172" s="260"/>
      <c r="P172" s="260"/>
      <c r="Q172" s="260"/>
      <c r="R172" s="260"/>
      <c r="S172" s="260"/>
      <c r="T172" s="279"/>
      <c r="U172" s="260"/>
      <c r="V172" s="260"/>
      <c r="W172" s="260"/>
      <c r="X172" s="260"/>
      <c r="Y172" s="260"/>
      <c r="Z172" s="260"/>
      <c r="AA172" s="264"/>
      <c r="AB172" s="260"/>
      <c r="AC172" s="260"/>
    </row>
    <row r="173">
      <c r="A173" s="259"/>
      <c r="B173" s="260"/>
      <c r="C173" s="260"/>
      <c r="D173" s="260"/>
      <c r="E173" s="260"/>
      <c r="F173" s="260"/>
      <c r="G173" s="260"/>
      <c r="H173" s="260"/>
      <c r="I173" s="260"/>
      <c r="J173" s="261"/>
      <c r="K173" s="260"/>
      <c r="L173" s="260"/>
      <c r="M173" s="260"/>
      <c r="N173" s="260"/>
      <c r="O173" s="260"/>
      <c r="P173" s="260"/>
      <c r="Q173" s="260"/>
      <c r="R173" s="260"/>
      <c r="S173" s="260"/>
      <c r="T173" s="279"/>
      <c r="U173" s="260"/>
      <c r="V173" s="260"/>
      <c r="W173" s="260"/>
      <c r="X173" s="260"/>
      <c r="Y173" s="260"/>
      <c r="Z173" s="260"/>
      <c r="AA173" s="264"/>
      <c r="AB173" s="260"/>
      <c r="AC173" s="260"/>
    </row>
    <row r="174">
      <c r="A174" s="259"/>
      <c r="B174" s="260"/>
      <c r="C174" s="260"/>
      <c r="D174" s="260"/>
      <c r="E174" s="260"/>
      <c r="F174" s="260"/>
      <c r="G174" s="260"/>
      <c r="H174" s="260"/>
      <c r="I174" s="260"/>
      <c r="J174" s="261"/>
      <c r="K174" s="260"/>
      <c r="L174" s="260"/>
      <c r="M174" s="260"/>
      <c r="N174" s="260"/>
      <c r="O174" s="260"/>
      <c r="P174" s="260"/>
      <c r="Q174" s="260"/>
      <c r="R174" s="260"/>
      <c r="S174" s="260"/>
      <c r="T174" s="279"/>
      <c r="U174" s="260"/>
      <c r="V174" s="260"/>
      <c r="W174" s="260"/>
      <c r="X174" s="260"/>
      <c r="Y174" s="260"/>
      <c r="Z174" s="260"/>
      <c r="AA174" s="264"/>
      <c r="AB174" s="260"/>
      <c r="AC174" s="260"/>
    </row>
    <row r="175">
      <c r="A175" s="259"/>
      <c r="B175" s="260"/>
      <c r="C175" s="260"/>
      <c r="D175" s="260"/>
      <c r="E175" s="260"/>
      <c r="F175" s="260"/>
      <c r="G175" s="260"/>
      <c r="H175" s="260"/>
      <c r="I175" s="260"/>
      <c r="J175" s="261"/>
      <c r="K175" s="260"/>
      <c r="L175" s="260"/>
      <c r="M175" s="260"/>
      <c r="N175" s="260"/>
      <c r="O175" s="260"/>
      <c r="P175" s="260"/>
      <c r="Q175" s="260"/>
      <c r="R175" s="260"/>
      <c r="S175" s="260"/>
      <c r="T175" s="279"/>
      <c r="U175" s="260"/>
      <c r="V175" s="260"/>
      <c r="W175" s="260"/>
      <c r="X175" s="260"/>
      <c r="Y175" s="260"/>
      <c r="Z175" s="260"/>
      <c r="AA175" s="264"/>
      <c r="AB175" s="260"/>
      <c r="AC175" s="260"/>
    </row>
    <row r="176">
      <c r="A176" s="259"/>
      <c r="B176" s="260"/>
      <c r="C176" s="260"/>
      <c r="D176" s="260"/>
      <c r="E176" s="260"/>
      <c r="F176" s="260"/>
      <c r="G176" s="260"/>
      <c r="H176" s="260"/>
      <c r="I176" s="260"/>
      <c r="J176" s="261"/>
      <c r="K176" s="260"/>
      <c r="L176" s="260"/>
      <c r="M176" s="260"/>
      <c r="N176" s="260"/>
      <c r="O176" s="260"/>
      <c r="P176" s="260"/>
      <c r="Q176" s="260"/>
      <c r="R176" s="260"/>
      <c r="S176" s="260"/>
      <c r="T176" s="279"/>
      <c r="U176" s="260"/>
      <c r="V176" s="260"/>
      <c r="W176" s="260"/>
      <c r="X176" s="260"/>
      <c r="Y176" s="260"/>
      <c r="Z176" s="260"/>
      <c r="AA176" s="264"/>
      <c r="AB176" s="260"/>
      <c r="AC176" s="260"/>
    </row>
    <row r="177">
      <c r="A177" s="259"/>
      <c r="B177" s="260"/>
      <c r="C177" s="260"/>
      <c r="D177" s="260"/>
      <c r="E177" s="260"/>
      <c r="F177" s="260"/>
      <c r="G177" s="260"/>
      <c r="H177" s="260"/>
      <c r="I177" s="260"/>
      <c r="J177" s="261"/>
      <c r="K177" s="260"/>
      <c r="L177" s="260"/>
      <c r="M177" s="260"/>
      <c r="N177" s="260"/>
      <c r="O177" s="260"/>
      <c r="P177" s="260"/>
      <c r="Q177" s="260"/>
      <c r="R177" s="260"/>
      <c r="S177" s="260"/>
      <c r="T177" s="279"/>
      <c r="U177" s="260"/>
      <c r="V177" s="260"/>
      <c r="W177" s="260"/>
      <c r="X177" s="260"/>
      <c r="Y177" s="260"/>
      <c r="Z177" s="260"/>
      <c r="AA177" s="264"/>
      <c r="AB177" s="260"/>
      <c r="AC177" s="260"/>
    </row>
    <row r="178">
      <c r="A178" s="259"/>
      <c r="B178" s="260"/>
      <c r="C178" s="260"/>
      <c r="D178" s="260"/>
      <c r="E178" s="260"/>
      <c r="F178" s="260"/>
      <c r="G178" s="260"/>
      <c r="H178" s="260"/>
      <c r="I178" s="260"/>
      <c r="J178" s="261"/>
      <c r="K178" s="260"/>
      <c r="L178" s="260"/>
      <c r="M178" s="260"/>
      <c r="N178" s="260"/>
      <c r="O178" s="260"/>
      <c r="P178" s="260"/>
      <c r="Q178" s="260"/>
      <c r="R178" s="260"/>
      <c r="S178" s="260"/>
      <c r="T178" s="279"/>
      <c r="U178" s="260"/>
      <c r="V178" s="260"/>
      <c r="W178" s="260"/>
      <c r="X178" s="260"/>
      <c r="Y178" s="260"/>
      <c r="Z178" s="260"/>
      <c r="AA178" s="264"/>
      <c r="AB178" s="260"/>
      <c r="AC178" s="260"/>
    </row>
    <row r="179">
      <c r="A179" s="259"/>
      <c r="B179" s="260"/>
      <c r="C179" s="260"/>
      <c r="D179" s="260"/>
      <c r="E179" s="260"/>
      <c r="F179" s="260"/>
      <c r="G179" s="260"/>
      <c r="H179" s="260"/>
      <c r="I179" s="260"/>
      <c r="J179" s="261"/>
      <c r="K179" s="260"/>
      <c r="L179" s="260"/>
      <c r="M179" s="260"/>
      <c r="N179" s="260"/>
      <c r="O179" s="260"/>
      <c r="P179" s="260"/>
      <c r="Q179" s="260"/>
      <c r="R179" s="260"/>
      <c r="S179" s="260"/>
      <c r="T179" s="279"/>
      <c r="U179" s="260"/>
      <c r="V179" s="260"/>
      <c r="W179" s="260"/>
      <c r="X179" s="260"/>
      <c r="Y179" s="260"/>
      <c r="Z179" s="260"/>
      <c r="AA179" s="264"/>
      <c r="AB179" s="260"/>
      <c r="AC179" s="260"/>
    </row>
    <row r="180">
      <c r="A180" s="259"/>
      <c r="B180" s="260"/>
      <c r="C180" s="260"/>
      <c r="D180" s="260"/>
      <c r="E180" s="260"/>
      <c r="F180" s="260"/>
      <c r="G180" s="260"/>
      <c r="H180" s="260"/>
      <c r="I180" s="260"/>
      <c r="J180" s="261"/>
      <c r="K180" s="260"/>
      <c r="L180" s="260"/>
      <c r="M180" s="260"/>
      <c r="N180" s="260"/>
      <c r="O180" s="260"/>
      <c r="P180" s="260"/>
      <c r="Q180" s="260"/>
      <c r="R180" s="260"/>
      <c r="S180" s="260"/>
      <c r="T180" s="279"/>
      <c r="U180" s="260"/>
      <c r="V180" s="260"/>
      <c r="W180" s="260"/>
      <c r="X180" s="260"/>
      <c r="Y180" s="260"/>
      <c r="Z180" s="260"/>
      <c r="AA180" s="264"/>
      <c r="AB180" s="260"/>
      <c r="AC180" s="260"/>
    </row>
    <row r="181">
      <c r="A181" s="259"/>
      <c r="B181" s="260"/>
      <c r="C181" s="260"/>
      <c r="D181" s="260"/>
      <c r="E181" s="260"/>
      <c r="F181" s="260"/>
      <c r="G181" s="260"/>
      <c r="H181" s="260"/>
      <c r="I181" s="260"/>
      <c r="J181" s="261"/>
      <c r="K181" s="260"/>
      <c r="L181" s="260"/>
      <c r="M181" s="260"/>
      <c r="N181" s="260"/>
      <c r="O181" s="260"/>
      <c r="P181" s="260"/>
      <c r="Q181" s="260"/>
      <c r="R181" s="260"/>
      <c r="S181" s="260"/>
      <c r="T181" s="279"/>
      <c r="U181" s="260"/>
      <c r="V181" s="260"/>
      <c r="W181" s="260"/>
      <c r="X181" s="260"/>
      <c r="Y181" s="260"/>
      <c r="Z181" s="260"/>
      <c r="AA181" s="264"/>
      <c r="AB181" s="260"/>
      <c r="AC181" s="260"/>
    </row>
    <row r="182">
      <c r="A182" s="259"/>
      <c r="B182" s="260"/>
      <c r="C182" s="260"/>
      <c r="D182" s="260"/>
      <c r="E182" s="260"/>
      <c r="F182" s="260"/>
      <c r="G182" s="260"/>
      <c r="H182" s="260"/>
      <c r="I182" s="260"/>
      <c r="J182" s="261"/>
      <c r="K182" s="260"/>
      <c r="L182" s="260"/>
      <c r="M182" s="260"/>
      <c r="N182" s="260"/>
      <c r="O182" s="260"/>
      <c r="P182" s="260"/>
      <c r="Q182" s="260"/>
      <c r="R182" s="260"/>
      <c r="S182" s="260"/>
      <c r="T182" s="279"/>
      <c r="U182" s="260"/>
      <c r="V182" s="260"/>
      <c r="W182" s="260"/>
      <c r="X182" s="260"/>
      <c r="Y182" s="260"/>
      <c r="Z182" s="260"/>
      <c r="AA182" s="264"/>
      <c r="AB182" s="260"/>
      <c r="AC182" s="260"/>
    </row>
    <row r="183">
      <c r="A183" s="259"/>
      <c r="B183" s="260"/>
      <c r="C183" s="260"/>
      <c r="D183" s="260"/>
      <c r="E183" s="260"/>
      <c r="F183" s="260"/>
      <c r="G183" s="260"/>
      <c r="H183" s="260"/>
      <c r="I183" s="260"/>
      <c r="J183" s="261"/>
      <c r="K183" s="260"/>
      <c r="L183" s="260"/>
      <c r="M183" s="260"/>
      <c r="N183" s="260"/>
      <c r="O183" s="260"/>
      <c r="P183" s="260"/>
      <c r="Q183" s="260"/>
      <c r="R183" s="260"/>
      <c r="S183" s="260"/>
      <c r="T183" s="279"/>
      <c r="U183" s="260"/>
      <c r="V183" s="260"/>
      <c r="W183" s="260"/>
      <c r="X183" s="260"/>
      <c r="Y183" s="260"/>
      <c r="Z183" s="260"/>
      <c r="AA183" s="264"/>
      <c r="AB183" s="260"/>
      <c r="AC183" s="260"/>
    </row>
    <row r="184">
      <c r="A184" s="259"/>
      <c r="B184" s="260"/>
      <c r="C184" s="260"/>
      <c r="D184" s="260"/>
      <c r="E184" s="260"/>
      <c r="F184" s="260"/>
      <c r="G184" s="260"/>
      <c r="H184" s="260"/>
      <c r="I184" s="260"/>
      <c r="J184" s="261"/>
      <c r="K184" s="260"/>
      <c r="L184" s="260"/>
      <c r="M184" s="260"/>
      <c r="N184" s="260"/>
      <c r="O184" s="260"/>
      <c r="P184" s="260"/>
      <c r="Q184" s="260"/>
      <c r="R184" s="260"/>
      <c r="S184" s="260"/>
      <c r="T184" s="279"/>
      <c r="U184" s="260"/>
      <c r="V184" s="260"/>
      <c r="W184" s="260"/>
      <c r="X184" s="260"/>
      <c r="Y184" s="260"/>
      <c r="Z184" s="260"/>
      <c r="AA184" s="264"/>
      <c r="AB184" s="260"/>
      <c r="AC184" s="260"/>
    </row>
    <row r="185">
      <c r="A185" s="259"/>
      <c r="B185" s="260"/>
      <c r="C185" s="260"/>
      <c r="D185" s="260"/>
      <c r="E185" s="260"/>
      <c r="F185" s="260"/>
      <c r="G185" s="260"/>
      <c r="H185" s="260"/>
      <c r="I185" s="260"/>
      <c r="J185" s="261"/>
      <c r="K185" s="260"/>
      <c r="L185" s="260"/>
      <c r="M185" s="260"/>
      <c r="N185" s="260"/>
      <c r="O185" s="260"/>
      <c r="P185" s="260"/>
      <c r="Q185" s="260"/>
      <c r="R185" s="260"/>
      <c r="S185" s="260"/>
      <c r="T185" s="279"/>
      <c r="U185" s="260"/>
      <c r="V185" s="260"/>
      <c r="W185" s="260"/>
      <c r="X185" s="260"/>
      <c r="Y185" s="260"/>
      <c r="Z185" s="260"/>
      <c r="AA185" s="264"/>
      <c r="AB185" s="260"/>
      <c r="AC185" s="260"/>
    </row>
    <row r="186">
      <c r="A186" s="259"/>
      <c r="B186" s="260"/>
      <c r="C186" s="260"/>
      <c r="D186" s="260"/>
      <c r="E186" s="260"/>
      <c r="F186" s="260"/>
      <c r="G186" s="260"/>
      <c r="H186" s="260"/>
      <c r="I186" s="260"/>
      <c r="J186" s="261"/>
      <c r="K186" s="260"/>
      <c r="L186" s="260"/>
      <c r="M186" s="260"/>
      <c r="N186" s="260"/>
      <c r="O186" s="260"/>
      <c r="P186" s="260"/>
      <c r="Q186" s="260"/>
      <c r="R186" s="260"/>
      <c r="S186" s="260"/>
      <c r="T186" s="279"/>
      <c r="U186" s="260"/>
      <c r="V186" s="260"/>
      <c r="W186" s="260"/>
      <c r="X186" s="260"/>
      <c r="Y186" s="260"/>
      <c r="Z186" s="260"/>
      <c r="AA186" s="264"/>
      <c r="AB186" s="260"/>
      <c r="AC186" s="260"/>
    </row>
    <row r="187">
      <c r="A187" s="259"/>
      <c r="B187" s="260"/>
      <c r="C187" s="260"/>
      <c r="D187" s="260"/>
      <c r="E187" s="260"/>
      <c r="F187" s="260"/>
      <c r="G187" s="260"/>
      <c r="H187" s="260"/>
      <c r="I187" s="260"/>
      <c r="J187" s="261"/>
      <c r="K187" s="260"/>
      <c r="L187" s="260"/>
      <c r="M187" s="260"/>
      <c r="N187" s="260"/>
      <c r="O187" s="260"/>
      <c r="P187" s="260"/>
      <c r="Q187" s="260"/>
      <c r="R187" s="260"/>
      <c r="S187" s="260"/>
      <c r="T187" s="279"/>
      <c r="U187" s="260"/>
      <c r="V187" s="260"/>
      <c r="W187" s="260"/>
      <c r="X187" s="260"/>
      <c r="Y187" s="260"/>
      <c r="Z187" s="260"/>
      <c r="AA187" s="264"/>
      <c r="AB187" s="260"/>
      <c r="AC187" s="260"/>
    </row>
    <row r="188">
      <c r="A188" s="259"/>
      <c r="B188" s="260"/>
      <c r="C188" s="260"/>
      <c r="D188" s="260"/>
      <c r="E188" s="260"/>
      <c r="F188" s="260"/>
      <c r="G188" s="260"/>
      <c r="H188" s="260"/>
      <c r="I188" s="260"/>
      <c r="J188" s="261"/>
      <c r="K188" s="260"/>
      <c r="L188" s="260"/>
      <c r="M188" s="260"/>
      <c r="N188" s="260"/>
      <c r="O188" s="260"/>
      <c r="P188" s="260"/>
      <c r="Q188" s="260"/>
      <c r="R188" s="260"/>
      <c r="S188" s="260"/>
      <c r="T188" s="279"/>
      <c r="U188" s="260"/>
      <c r="V188" s="260"/>
      <c r="W188" s="260"/>
      <c r="X188" s="260"/>
      <c r="Y188" s="260"/>
      <c r="Z188" s="260"/>
      <c r="AA188" s="264"/>
      <c r="AB188" s="260"/>
      <c r="AC188" s="260"/>
    </row>
    <row r="189">
      <c r="A189" s="259"/>
      <c r="B189" s="260"/>
      <c r="C189" s="260"/>
      <c r="D189" s="260"/>
      <c r="E189" s="260"/>
      <c r="F189" s="260"/>
      <c r="G189" s="260"/>
      <c r="H189" s="260"/>
      <c r="I189" s="260"/>
      <c r="J189" s="261"/>
      <c r="K189" s="260"/>
      <c r="L189" s="260"/>
      <c r="M189" s="260"/>
      <c r="N189" s="260"/>
      <c r="O189" s="260"/>
      <c r="P189" s="260"/>
      <c r="Q189" s="260"/>
      <c r="R189" s="260"/>
      <c r="S189" s="260"/>
      <c r="T189" s="279"/>
      <c r="U189" s="260"/>
      <c r="V189" s="260"/>
      <c r="W189" s="260"/>
      <c r="X189" s="260"/>
      <c r="Y189" s="260"/>
      <c r="Z189" s="260"/>
      <c r="AA189" s="264"/>
      <c r="AB189" s="260"/>
      <c r="AC189" s="260"/>
    </row>
    <row r="190">
      <c r="A190" s="259"/>
      <c r="B190" s="260"/>
      <c r="C190" s="260"/>
      <c r="D190" s="260"/>
      <c r="E190" s="260"/>
      <c r="F190" s="260"/>
      <c r="G190" s="260"/>
      <c r="H190" s="260"/>
      <c r="I190" s="260"/>
      <c r="J190" s="261"/>
      <c r="K190" s="260"/>
      <c r="L190" s="260"/>
      <c r="M190" s="260"/>
      <c r="N190" s="260"/>
      <c r="O190" s="260"/>
      <c r="P190" s="260"/>
      <c r="Q190" s="260"/>
      <c r="R190" s="260"/>
      <c r="S190" s="260"/>
      <c r="T190" s="279"/>
      <c r="U190" s="260"/>
      <c r="V190" s="260"/>
      <c r="W190" s="260"/>
      <c r="X190" s="260"/>
      <c r="Y190" s="260"/>
      <c r="Z190" s="260"/>
      <c r="AA190" s="264"/>
      <c r="AB190" s="260"/>
      <c r="AC190" s="260"/>
    </row>
    <row r="191">
      <c r="A191" s="259"/>
      <c r="B191" s="260"/>
      <c r="C191" s="260"/>
      <c r="D191" s="260"/>
      <c r="E191" s="260"/>
      <c r="F191" s="260"/>
      <c r="G191" s="260"/>
      <c r="H191" s="260"/>
      <c r="I191" s="260"/>
      <c r="J191" s="261"/>
      <c r="K191" s="260"/>
      <c r="L191" s="260"/>
      <c r="M191" s="260"/>
      <c r="N191" s="260"/>
      <c r="O191" s="260"/>
      <c r="P191" s="260"/>
      <c r="Q191" s="260"/>
      <c r="R191" s="260"/>
      <c r="S191" s="260"/>
      <c r="T191" s="279"/>
      <c r="U191" s="260"/>
      <c r="V191" s="260"/>
      <c r="W191" s="260"/>
      <c r="X191" s="260"/>
      <c r="Y191" s="260"/>
      <c r="Z191" s="260"/>
      <c r="AA191" s="264"/>
      <c r="AB191" s="260"/>
      <c r="AC191" s="260"/>
    </row>
    <row r="192">
      <c r="A192" s="259"/>
      <c r="B192" s="260"/>
      <c r="C192" s="260"/>
      <c r="D192" s="260"/>
      <c r="E192" s="260"/>
      <c r="F192" s="260"/>
      <c r="G192" s="260"/>
      <c r="H192" s="260"/>
      <c r="I192" s="260"/>
      <c r="J192" s="261"/>
      <c r="K192" s="260"/>
      <c r="L192" s="260"/>
      <c r="M192" s="260"/>
      <c r="N192" s="260"/>
      <c r="O192" s="260"/>
      <c r="P192" s="260"/>
      <c r="Q192" s="260"/>
      <c r="R192" s="260"/>
      <c r="S192" s="260"/>
      <c r="T192" s="279"/>
      <c r="U192" s="260"/>
      <c r="V192" s="260"/>
      <c r="W192" s="260"/>
      <c r="X192" s="260"/>
      <c r="Y192" s="260"/>
      <c r="Z192" s="260"/>
      <c r="AA192" s="264"/>
      <c r="AB192" s="260"/>
      <c r="AC192" s="260"/>
    </row>
    <row r="193">
      <c r="A193" s="259"/>
      <c r="B193" s="260"/>
      <c r="C193" s="260"/>
      <c r="D193" s="260"/>
      <c r="E193" s="260"/>
      <c r="F193" s="260"/>
      <c r="G193" s="260"/>
      <c r="H193" s="260"/>
      <c r="I193" s="260"/>
      <c r="J193" s="261"/>
      <c r="K193" s="260"/>
      <c r="L193" s="260"/>
      <c r="M193" s="260"/>
      <c r="N193" s="260"/>
      <c r="O193" s="260"/>
      <c r="P193" s="260"/>
      <c r="Q193" s="260"/>
      <c r="R193" s="260"/>
      <c r="S193" s="260"/>
      <c r="T193" s="279"/>
      <c r="U193" s="260"/>
      <c r="V193" s="260"/>
      <c r="W193" s="260"/>
      <c r="X193" s="260"/>
      <c r="Y193" s="260"/>
      <c r="Z193" s="260"/>
      <c r="AA193" s="264"/>
      <c r="AB193" s="260"/>
      <c r="AC193" s="260"/>
    </row>
    <row r="194">
      <c r="A194" s="259"/>
      <c r="B194" s="260"/>
      <c r="C194" s="260"/>
      <c r="D194" s="260"/>
      <c r="E194" s="260"/>
      <c r="F194" s="260"/>
      <c r="G194" s="260"/>
      <c r="H194" s="260"/>
      <c r="I194" s="260"/>
      <c r="J194" s="261"/>
      <c r="K194" s="260"/>
      <c r="L194" s="260"/>
      <c r="M194" s="260"/>
      <c r="N194" s="260"/>
      <c r="O194" s="260"/>
      <c r="P194" s="260"/>
      <c r="Q194" s="260"/>
      <c r="R194" s="260"/>
      <c r="S194" s="260"/>
      <c r="T194" s="279"/>
      <c r="U194" s="260"/>
      <c r="V194" s="260"/>
      <c r="W194" s="260"/>
      <c r="X194" s="260"/>
      <c r="Y194" s="260"/>
      <c r="Z194" s="260"/>
      <c r="AA194" s="264"/>
      <c r="AB194" s="260"/>
      <c r="AC194" s="260"/>
    </row>
    <row r="195">
      <c r="A195" s="259"/>
      <c r="B195" s="260"/>
      <c r="C195" s="260"/>
      <c r="D195" s="260"/>
      <c r="E195" s="260"/>
      <c r="F195" s="260"/>
      <c r="G195" s="260"/>
      <c r="H195" s="260"/>
      <c r="I195" s="260"/>
      <c r="J195" s="261"/>
      <c r="K195" s="260"/>
      <c r="L195" s="260"/>
      <c r="M195" s="260"/>
      <c r="N195" s="260"/>
      <c r="O195" s="260"/>
      <c r="P195" s="260"/>
      <c r="Q195" s="260"/>
      <c r="R195" s="260"/>
      <c r="S195" s="260"/>
      <c r="T195" s="279"/>
      <c r="U195" s="260"/>
      <c r="V195" s="260"/>
      <c r="W195" s="260"/>
      <c r="X195" s="260"/>
      <c r="Y195" s="260"/>
      <c r="Z195" s="260"/>
      <c r="AA195" s="264"/>
      <c r="AB195" s="260"/>
      <c r="AC195" s="260"/>
    </row>
    <row r="196">
      <c r="A196" s="259"/>
      <c r="B196" s="260"/>
      <c r="C196" s="260"/>
      <c r="D196" s="260"/>
      <c r="E196" s="260"/>
      <c r="F196" s="260"/>
      <c r="G196" s="260"/>
      <c r="H196" s="260"/>
      <c r="I196" s="260"/>
      <c r="J196" s="261"/>
      <c r="K196" s="260"/>
      <c r="L196" s="260"/>
      <c r="M196" s="260"/>
      <c r="N196" s="260"/>
      <c r="O196" s="260"/>
      <c r="P196" s="260"/>
      <c r="Q196" s="260"/>
      <c r="R196" s="260"/>
      <c r="S196" s="260"/>
      <c r="T196" s="279"/>
      <c r="U196" s="260"/>
      <c r="V196" s="260"/>
      <c r="W196" s="260"/>
      <c r="X196" s="260"/>
      <c r="Y196" s="260"/>
      <c r="Z196" s="260"/>
      <c r="AA196" s="264"/>
      <c r="AB196" s="260"/>
      <c r="AC196" s="260"/>
    </row>
    <row r="197">
      <c r="A197" s="259"/>
      <c r="B197" s="260"/>
      <c r="C197" s="260"/>
      <c r="D197" s="260"/>
      <c r="E197" s="260"/>
      <c r="F197" s="260"/>
      <c r="G197" s="260"/>
      <c r="H197" s="260"/>
      <c r="I197" s="260"/>
      <c r="J197" s="261"/>
      <c r="K197" s="260"/>
      <c r="L197" s="260"/>
      <c r="M197" s="260"/>
      <c r="N197" s="260"/>
      <c r="O197" s="260"/>
      <c r="P197" s="260"/>
      <c r="Q197" s="260"/>
      <c r="R197" s="260"/>
      <c r="S197" s="260"/>
      <c r="T197" s="279"/>
      <c r="U197" s="260"/>
      <c r="V197" s="260"/>
      <c r="W197" s="260"/>
      <c r="X197" s="260"/>
      <c r="Y197" s="260"/>
      <c r="Z197" s="260"/>
      <c r="AA197" s="264"/>
      <c r="AB197" s="260"/>
      <c r="AC197" s="260"/>
    </row>
    <row r="198">
      <c r="A198" s="259"/>
      <c r="B198" s="260"/>
      <c r="C198" s="260"/>
      <c r="D198" s="260"/>
      <c r="E198" s="260"/>
      <c r="F198" s="260"/>
      <c r="G198" s="260"/>
      <c r="H198" s="260"/>
      <c r="I198" s="260"/>
      <c r="J198" s="261"/>
      <c r="K198" s="260"/>
      <c r="L198" s="260"/>
      <c r="M198" s="260"/>
      <c r="N198" s="260"/>
      <c r="O198" s="260"/>
      <c r="P198" s="260"/>
      <c r="Q198" s="260"/>
      <c r="R198" s="260"/>
      <c r="S198" s="260"/>
      <c r="T198" s="279"/>
      <c r="U198" s="260"/>
      <c r="V198" s="260"/>
      <c r="W198" s="260"/>
      <c r="X198" s="260"/>
      <c r="Y198" s="260"/>
      <c r="Z198" s="260"/>
      <c r="AA198" s="264"/>
      <c r="AB198" s="260"/>
      <c r="AC198" s="260"/>
    </row>
    <row r="199">
      <c r="A199" s="259"/>
      <c r="B199" s="260"/>
      <c r="C199" s="260"/>
      <c r="D199" s="260"/>
      <c r="E199" s="260"/>
      <c r="F199" s="260"/>
      <c r="G199" s="260"/>
      <c r="H199" s="260"/>
      <c r="I199" s="260"/>
      <c r="J199" s="261"/>
      <c r="K199" s="260"/>
      <c r="L199" s="260"/>
      <c r="M199" s="260"/>
      <c r="N199" s="260"/>
      <c r="O199" s="260"/>
      <c r="P199" s="260"/>
      <c r="Q199" s="260"/>
      <c r="R199" s="260"/>
      <c r="S199" s="260"/>
      <c r="T199" s="279"/>
      <c r="U199" s="260"/>
      <c r="V199" s="260"/>
      <c r="W199" s="260"/>
      <c r="X199" s="260"/>
      <c r="Y199" s="260"/>
      <c r="Z199" s="260"/>
      <c r="AA199" s="264"/>
      <c r="AB199" s="260"/>
      <c r="AC199" s="260"/>
    </row>
    <row r="200">
      <c r="A200" s="259"/>
      <c r="B200" s="260"/>
      <c r="C200" s="260"/>
      <c r="D200" s="260"/>
      <c r="E200" s="260"/>
      <c r="F200" s="260"/>
      <c r="G200" s="260"/>
      <c r="H200" s="260"/>
      <c r="I200" s="260"/>
      <c r="J200" s="261"/>
      <c r="K200" s="260"/>
      <c r="L200" s="260"/>
      <c r="M200" s="260"/>
      <c r="N200" s="260"/>
      <c r="O200" s="260"/>
      <c r="P200" s="260"/>
      <c r="Q200" s="260"/>
      <c r="R200" s="260"/>
      <c r="S200" s="260"/>
      <c r="T200" s="279"/>
      <c r="U200" s="260"/>
      <c r="V200" s="260"/>
      <c r="W200" s="260"/>
      <c r="X200" s="260"/>
      <c r="Y200" s="260"/>
      <c r="Z200" s="260"/>
      <c r="AA200" s="264"/>
      <c r="AB200" s="260"/>
      <c r="AC200" s="260"/>
    </row>
    <row r="201">
      <c r="A201" s="259"/>
      <c r="B201" s="260"/>
      <c r="C201" s="260"/>
      <c r="D201" s="260"/>
      <c r="E201" s="260"/>
      <c r="F201" s="260"/>
      <c r="G201" s="260"/>
      <c r="H201" s="260"/>
      <c r="I201" s="260"/>
      <c r="J201" s="261"/>
      <c r="K201" s="260"/>
      <c r="L201" s="260"/>
      <c r="M201" s="260"/>
      <c r="N201" s="260"/>
      <c r="O201" s="260"/>
      <c r="P201" s="260"/>
      <c r="Q201" s="260"/>
      <c r="R201" s="260"/>
      <c r="S201" s="260"/>
      <c r="T201" s="279"/>
      <c r="U201" s="260"/>
      <c r="V201" s="260"/>
      <c r="W201" s="260"/>
      <c r="X201" s="260"/>
      <c r="Y201" s="260"/>
      <c r="Z201" s="260"/>
      <c r="AA201" s="264"/>
      <c r="AB201" s="260"/>
      <c r="AC201" s="260"/>
    </row>
    <row r="202">
      <c r="A202" s="259"/>
      <c r="B202" s="260"/>
      <c r="C202" s="260"/>
      <c r="D202" s="260"/>
      <c r="E202" s="260"/>
      <c r="F202" s="260"/>
      <c r="G202" s="260"/>
      <c r="H202" s="260"/>
      <c r="I202" s="260"/>
      <c r="J202" s="261"/>
      <c r="K202" s="260"/>
      <c r="L202" s="260"/>
      <c r="M202" s="260"/>
      <c r="N202" s="260"/>
      <c r="O202" s="260"/>
      <c r="P202" s="260"/>
      <c r="Q202" s="260"/>
      <c r="R202" s="260"/>
      <c r="S202" s="260"/>
      <c r="T202" s="279"/>
      <c r="U202" s="260"/>
      <c r="V202" s="260"/>
      <c r="W202" s="260"/>
      <c r="X202" s="260"/>
      <c r="Y202" s="260"/>
      <c r="Z202" s="260"/>
      <c r="AA202" s="264"/>
      <c r="AB202" s="260"/>
      <c r="AC202" s="260"/>
    </row>
    <row r="203">
      <c r="A203" s="259"/>
      <c r="B203" s="260"/>
      <c r="C203" s="260"/>
      <c r="D203" s="260"/>
      <c r="E203" s="260"/>
      <c r="F203" s="260"/>
      <c r="G203" s="260"/>
      <c r="H203" s="260"/>
      <c r="I203" s="260"/>
      <c r="J203" s="261"/>
      <c r="K203" s="260"/>
      <c r="L203" s="260"/>
      <c r="M203" s="260"/>
      <c r="N203" s="260"/>
      <c r="O203" s="260"/>
      <c r="P203" s="260"/>
      <c r="Q203" s="260"/>
      <c r="R203" s="260"/>
      <c r="S203" s="260"/>
      <c r="T203" s="279"/>
      <c r="U203" s="260"/>
      <c r="V203" s="260"/>
      <c r="W203" s="260"/>
      <c r="X203" s="260"/>
      <c r="Y203" s="260"/>
      <c r="Z203" s="260"/>
      <c r="AA203" s="264"/>
      <c r="AB203" s="260"/>
      <c r="AC203" s="260"/>
    </row>
    <row r="204">
      <c r="A204" s="259"/>
      <c r="B204" s="260"/>
      <c r="C204" s="260"/>
      <c r="D204" s="260"/>
      <c r="E204" s="260"/>
      <c r="F204" s="260"/>
      <c r="G204" s="260"/>
      <c r="H204" s="260"/>
      <c r="I204" s="260"/>
      <c r="J204" s="261"/>
      <c r="K204" s="260"/>
      <c r="L204" s="260"/>
      <c r="M204" s="260"/>
      <c r="N204" s="260"/>
      <c r="O204" s="260"/>
      <c r="P204" s="260"/>
      <c r="Q204" s="260"/>
      <c r="R204" s="260"/>
      <c r="S204" s="260"/>
      <c r="T204" s="279"/>
      <c r="U204" s="260"/>
      <c r="V204" s="260"/>
      <c r="W204" s="260"/>
      <c r="X204" s="260"/>
      <c r="Y204" s="260"/>
      <c r="Z204" s="260"/>
      <c r="AA204" s="264"/>
      <c r="AB204" s="260"/>
      <c r="AC204" s="260"/>
    </row>
    <row r="205">
      <c r="A205" s="259"/>
      <c r="B205" s="260"/>
      <c r="C205" s="260"/>
      <c r="D205" s="260"/>
      <c r="E205" s="260"/>
      <c r="F205" s="260"/>
      <c r="G205" s="260"/>
      <c r="H205" s="260"/>
      <c r="I205" s="260"/>
      <c r="J205" s="261"/>
      <c r="K205" s="260"/>
      <c r="L205" s="260"/>
      <c r="M205" s="260"/>
      <c r="N205" s="260"/>
      <c r="O205" s="260"/>
      <c r="P205" s="260"/>
      <c r="Q205" s="260"/>
      <c r="R205" s="260"/>
      <c r="S205" s="260"/>
      <c r="T205" s="279"/>
      <c r="U205" s="260"/>
      <c r="V205" s="260"/>
      <c r="W205" s="260"/>
      <c r="X205" s="260"/>
      <c r="Y205" s="260"/>
      <c r="Z205" s="260"/>
      <c r="AA205" s="264"/>
      <c r="AB205" s="260"/>
      <c r="AC205" s="260"/>
    </row>
    <row r="206">
      <c r="A206" s="259"/>
      <c r="B206" s="260"/>
      <c r="C206" s="260"/>
      <c r="D206" s="260"/>
      <c r="E206" s="260"/>
      <c r="F206" s="260"/>
      <c r="G206" s="260"/>
      <c r="H206" s="260"/>
      <c r="I206" s="260"/>
      <c r="J206" s="261"/>
      <c r="K206" s="260"/>
      <c r="L206" s="260"/>
      <c r="M206" s="260"/>
      <c r="N206" s="260"/>
      <c r="O206" s="260"/>
      <c r="P206" s="260"/>
      <c r="Q206" s="260"/>
      <c r="R206" s="260"/>
      <c r="S206" s="260"/>
      <c r="T206" s="279"/>
      <c r="U206" s="260"/>
      <c r="V206" s="260"/>
      <c r="W206" s="260"/>
      <c r="X206" s="260"/>
      <c r="Y206" s="260"/>
      <c r="Z206" s="260"/>
      <c r="AA206" s="264"/>
      <c r="AB206" s="260"/>
      <c r="AC206" s="260"/>
    </row>
    <row r="207">
      <c r="A207" s="259"/>
      <c r="B207" s="260"/>
      <c r="C207" s="260"/>
      <c r="D207" s="260"/>
      <c r="E207" s="260"/>
      <c r="F207" s="260"/>
      <c r="G207" s="260"/>
      <c r="H207" s="260"/>
      <c r="I207" s="260"/>
      <c r="J207" s="261"/>
      <c r="K207" s="260"/>
      <c r="L207" s="260"/>
      <c r="M207" s="260"/>
      <c r="N207" s="260"/>
      <c r="O207" s="260"/>
      <c r="P207" s="260"/>
      <c r="Q207" s="260"/>
      <c r="R207" s="260"/>
      <c r="S207" s="260"/>
      <c r="T207" s="279"/>
      <c r="U207" s="260"/>
      <c r="V207" s="260"/>
      <c r="W207" s="260"/>
      <c r="X207" s="260"/>
      <c r="Y207" s="260"/>
      <c r="Z207" s="260"/>
      <c r="AA207" s="264"/>
      <c r="AB207" s="260"/>
      <c r="AC207" s="260"/>
    </row>
    <row r="208">
      <c r="A208" s="259"/>
      <c r="B208" s="260"/>
      <c r="C208" s="260"/>
      <c r="D208" s="260"/>
      <c r="E208" s="260"/>
      <c r="F208" s="260"/>
      <c r="G208" s="260"/>
      <c r="H208" s="260"/>
      <c r="I208" s="260"/>
      <c r="J208" s="261"/>
      <c r="K208" s="260"/>
      <c r="L208" s="260"/>
      <c r="M208" s="260"/>
      <c r="N208" s="260"/>
      <c r="O208" s="260"/>
      <c r="P208" s="260"/>
      <c r="Q208" s="260"/>
      <c r="R208" s="260"/>
      <c r="S208" s="260"/>
      <c r="T208" s="279"/>
      <c r="U208" s="260"/>
      <c r="V208" s="260"/>
      <c r="W208" s="260"/>
      <c r="X208" s="260"/>
      <c r="Y208" s="260"/>
      <c r="Z208" s="260"/>
      <c r="AA208" s="264"/>
      <c r="AB208" s="260"/>
      <c r="AC208" s="260"/>
    </row>
    <row r="209">
      <c r="A209" s="259"/>
      <c r="B209" s="260"/>
      <c r="C209" s="260"/>
      <c r="D209" s="260"/>
      <c r="E209" s="260"/>
      <c r="F209" s="260"/>
      <c r="G209" s="260"/>
      <c r="H209" s="260"/>
      <c r="I209" s="260"/>
      <c r="J209" s="261"/>
      <c r="K209" s="260"/>
      <c r="L209" s="260"/>
      <c r="M209" s="260"/>
      <c r="N209" s="260"/>
      <c r="O209" s="260"/>
      <c r="P209" s="260"/>
      <c r="Q209" s="260"/>
      <c r="R209" s="260"/>
      <c r="S209" s="260"/>
      <c r="T209" s="279"/>
      <c r="U209" s="260"/>
      <c r="V209" s="260"/>
      <c r="W209" s="260"/>
      <c r="X209" s="260"/>
      <c r="Y209" s="260"/>
      <c r="Z209" s="260"/>
      <c r="AA209" s="264"/>
      <c r="AB209" s="260"/>
      <c r="AC209" s="260"/>
    </row>
    <row r="210">
      <c r="A210" s="259"/>
      <c r="B210" s="260"/>
      <c r="C210" s="260"/>
      <c r="D210" s="260"/>
      <c r="E210" s="260"/>
      <c r="F210" s="260"/>
      <c r="G210" s="260"/>
      <c r="H210" s="260"/>
      <c r="I210" s="260"/>
      <c r="J210" s="261"/>
      <c r="K210" s="260"/>
      <c r="L210" s="260"/>
      <c r="M210" s="260"/>
      <c r="N210" s="260"/>
      <c r="O210" s="260"/>
      <c r="P210" s="260"/>
      <c r="Q210" s="260"/>
      <c r="R210" s="260"/>
      <c r="S210" s="260"/>
      <c r="T210" s="279"/>
      <c r="U210" s="260"/>
      <c r="V210" s="260"/>
      <c r="W210" s="260"/>
      <c r="X210" s="260"/>
      <c r="Y210" s="260"/>
      <c r="Z210" s="260"/>
      <c r="AA210" s="264"/>
      <c r="AB210" s="260"/>
      <c r="AC210" s="260"/>
    </row>
    <row r="211">
      <c r="A211" s="259"/>
      <c r="B211" s="260"/>
      <c r="C211" s="260"/>
      <c r="D211" s="260"/>
      <c r="E211" s="260"/>
      <c r="F211" s="260"/>
      <c r="G211" s="260"/>
      <c r="H211" s="260"/>
      <c r="I211" s="260"/>
      <c r="J211" s="261"/>
      <c r="K211" s="260"/>
      <c r="L211" s="260"/>
      <c r="M211" s="260"/>
      <c r="N211" s="260"/>
      <c r="O211" s="260"/>
      <c r="P211" s="260"/>
      <c r="Q211" s="260"/>
      <c r="R211" s="260"/>
      <c r="S211" s="260"/>
      <c r="T211" s="279"/>
      <c r="U211" s="260"/>
      <c r="V211" s="260"/>
      <c r="W211" s="260"/>
      <c r="X211" s="260"/>
      <c r="Y211" s="260"/>
      <c r="Z211" s="260"/>
      <c r="AA211" s="264"/>
      <c r="AB211" s="260"/>
      <c r="AC211" s="260"/>
    </row>
    <row r="212">
      <c r="A212" s="259"/>
      <c r="B212" s="260"/>
      <c r="C212" s="260"/>
      <c r="D212" s="260"/>
      <c r="E212" s="260"/>
      <c r="F212" s="260"/>
      <c r="G212" s="260"/>
      <c r="H212" s="260"/>
      <c r="I212" s="260"/>
      <c r="J212" s="261"/>
      <c r="K212" s="260"/>
      <c r="L212" s="260"/>
      <c r="M212" s="260"/>
      <c r="N212" s="260"/>
      <c r="O212" s="260"/>
      <c r="P212" s="260"/>
      <c r="Q212" s="260"/>
      <c r="R212" s="260"/>
      <c r="S212" s="260"/>
      <c r="T212" s="279"/>
      <c r="U212" s="260"/>
      <c r="V212" s="260"/>
      <c r="W212" s="260"/>
      <c r="X212" s="260"/>
      <c r="Y212" s="260"/>
      <c r="Z212" s="260"/>
      <c r="AA212" s="264"/>
      <c r="AB212" s="260"/>
      <c r="AC212" s="260"/>
    </row>
    <row r="213">
      <c r="A213" s="259"/>
      <c r="B213" s="260"/>
      <c r="C213" s="260"/>
      <c r="D213" s="260"/>
      <c r="E213" s="260"/>
      <c r="F213" s="260"/>
      <c r="G213" s="260"/>
      <c r="H213" s="260"/>
      <c r="I213" s="260"/>
      <c r="J213" s="261"/>
      <c r="K213" s="260"/>
      <c r="L213" s="260"/>
      <c r="M213" s="260"/>
      <c r="N213" s="260"/>
      <c r="O213" s="260"/>
      <c r="P213" s="260"/>
      <c r="Q213" s="260"/>
      <c r="R213" s="260"/>
      <c r="S213" s="260"/>
      <c r="T213" s="279"/>
      <c r="U213" s="260"/>
      <c r="V213" s="260"/>
      <c r="W213" s="260"/>
      <c r="X213" s="260"/>
      <c r="Y213" s="260"/>
      <c r="Z213" s="260"/>
      <c r="AA213" s="264"/>
      <c r="AB213" s="260"/>
      <c r="AC213" s="260"/>
    </row>
    <row r="214">
      <c r="A214" s="259"/>
      <c r="B214" s="260"/>
      <c r="C214" s="260"/>
      <c r="D214" s="260"/>
      <c r="E214" s="260"/>
      <c r="F214" s="260"/>
      <c r="G214" s="260"/>
      <c r="H214" s="260"/>
      <c r="I214" s="260"/>
      <c r="J214" s="261"/>
      <c r="K214" s="260"/>
      <c r="L214" s="260"/>
      <c r="M214" s="260"/>
      <c r="N214" s="260"/>
      <c r="O214" s="260"/>
      <c r="P214" s="260"/>
      <c r="Q214" s="260"/>
      <c r="R214" s="260"/>
      <c r="S214" s="260"/>
      <c r="T214" s="279"/>
      <c r="U214" s="260"/>
      <c r="V214" s="260"/>
      <c r="W214" s="260"/>
      <c r="X214" s="260"/>
      <c r="Y214" s="260"/>
      <c r="Z214" s="260"/>
      <c r="AA214" s="264"/>
      <c r="AB214" s="260"/>
      <c r="AC214" s="260"/>
    </row>
    <row r="215">
      <c r="A215" s="259"/>
      <c r="B215" s="260"/>
      <c r="C215" s="260"/>
      <c r="D215" s="260"/>
      <c r="E215" s="260"/>
      <c r="F215" s="260"/>
      <c r="G215" s="260"/>
      <c r="H215" s="260"/>
      <c r="I215" s="260"/>
      <c r="J215" s="261"/>
      <c r="K215" s="260"/>
      <c r="L215" s="260"/>
      <c r="M215" s="260"/>
      <c r="N215" s="260"/>
      <c r="O215" s="260"/>
      <c r="P215" s="260"/>
      <c r="Q215" s="260"/>
      <c r="R215" s="260"/>
      <c r="S215" s="260"/>
      <c r="T215" s="279"/>
      <c r="U215" s="260"/>
      <c r="V215" s="260"/>
      <c r="W215" s="260"/>
      <c r="X215" s="260"/>
      <c r="Y215" s="260"/>
      <c r="Z215" s="260"/>
      <c r="AA215" s="264"/>
      <c r="AB215" s="260"/>
      <c r="AC215" s="260"/>
    </row>
    <row r="216">
      <c r="A216" s="259"/>
      <c r="B216" s="260"/>
      <c r="C216" s="260"/>
      <c r="D216" s="260"/>
      <c r="E216" s="260"/>
      <c r="F216" s="260"/>
      <c r="G216" s="260"/>
      <c r="H216" s="260"/>
      <c r="I216" s="260"/>
      <c r="J216" s="261"/>
      <c r="K216" s="260"/>
      <c r="L216" s="260"/>
      <c r="M216" s="260"/>
      <c r="N216" s="260"/>
      <c r="O216" s="260"/>
      <c r="P216" s="260"/>
      <c r="Q216" s="260"/>
      <c r="R216" s="260"/>
      <c r="S216" s="260"/>
      <c r="T216" s="279"/>
      <c r="U216" s="260"/>
      <c r="V216" s="260"/>
      <c r="W216" s="260"/>
      <c r="X216" s="260"/>
      <c r="Y216" s="260"/>
      <c r="Z216" s="260"/>
      <c r="AA216" s="264"/>
      <c r="AB216" s="260"/>
      <c r="AC216" s="260"/>
    </row>
    <row r="217">
      <c r="A217" s="259"/>
      <c r="B217" s="260"/>
      <c r="C217" s="260"/>
      <c r="D217" s="260"/>
      <c r="E217" s="260"/>
      <c r="F217" s="260"/>
      <c r="G217" s="260"/>
      <c r="H217" s="260"/>
      <c r="I217" s="260"/>
      <c r="J217" s="261"/>
      <c r="K217" s="260"/>
      <c r="L217" s="260"/>
      <c r="M217" s="260"/>
      <c r="N217" s="260"/>
      <c r="O217" s="260"/>
      <c r="P217" s="260"/>
      <c r="Q217" s="260"/>
      <c r="R217" s="260"/>
      <c r="S217" s="260"/>
      <c r="T217" s="279"/>
      <c r="U217" s="260"/>
      <c r="V217" s="260"/>
      <c r="W217" s="260"/>
      <c r="X217" s="260"/>
      <c r="Y217" s="260"/>
      <c r="Z217" s="260"/>
      <c r="AA217" s="264"/>
      <c r="AB217" s="260"/>
      <c r="AC217" s="260"/>
    </row>
    <row r="218">
      <c r="A218" s="259"/>
      <c r="B218" s="260"/>
      <c r="C218" s="260"/>
      <c r="D218" s="260"/>
      <c r="E218" s="260"/>
      <c r="F218" s="260"/>
      <c r="G218" s="260"/>
      <c r="H218" s="260"/>
      <c r="I218" s="260"/>
      <c r="J218" s="261"/>
      <c r="K218" s="260"/>
      <c r="L218" s="260"/>
      <c r="M218" s="260"/>
      <c r="N218" s="260"/>
      <c r="O218" s="260"/>
      <c r="P218" s="260"/>
      <c r="Q218" s="260"/>
      <c r="R218" s="260"/>
      <c r="S218" s="260"/>
      <c r="T218" s="279"/>
      <c r="U218" s="260"/>
      <c r="V218" s="260"/>
      <c r="W218" s="260"/>
      <c r="X218" s="260"/>
      <c r="Y218" s="260"/>
      <c r="Z218" s="260"/>
      <c r="AA218" s="264"/>
      <c r="AB218" s="260"/>
      <c r="AC218" s="260"/>
    </row>
    <row r="219">
      <c r="A219" s="259"/>
      <c r="B219" s="260"/>
      <c r="C219" s="260"/>
      <c r="D219" s="260"/>
      <c r="E219" s="260"/>
      <c r="F219" s="260"/>
      <c r="G219" s="260"/>
      <c r="H219" s="260"/>
      <c r="I219" s="260"/>
      <c r="J219" s="261"/>
      <c r="K219" s="260"/>
      <c r="L219" s="260"/>
      <c r="M219" s="260"/>
      <c r="N219" s="260"/>
      <c r="O219" s="260"/>
      <c r="P219" s="260"/>
      <c r="Q219" s="260"/>
      <c r="R219" s="260"/>
      <c r="S219" s="260"/>
      <c r="T219" s="279"/>
      <c r="U219" s="260"/>
      <c r="V219" s="260"/>
      <c r="W219" s="260"/>
      <c r="X219" s="260"/>
      <c r="Y219" s="260"/>
      <c r="Z219" s="260"/>
      <c r="AA219" s="264"/>
      <c r="AB219" s="260"/>
      <c r="AC219" s="260"/>
    </row>
    <row r="220">
      <c r="A220" s="259"/>
      <c r="B220" s="260"/>
      <c r="C220" s="260"/>
      <c r="D220" s="260"/>
      <c r="E220" s="260"/>
      <c r="F220" s="260"/>
      <c r="G220" s="260"/>
      <c r="H220" s="260"/>
      <c r="I220" s="260"/>
      <c r="J220" s="261"/>
      <c r="K220" s="260"/>
      <c r="L220" s="260"/>
      <c r="M220" s="260"/>
      <c r="N220" s="260"/>
      <c r="O220" s="260"/>
      <c r="P220" s="260"/>
      <c r="Q220" s="260"/>
      <c r="R220" s="260"/>
      <c r="S220" s="260"/>
      <c r="T220" s="279"/>
      <c r="U220" s="260"/>
      <c r="V220" s="260"/>
      <c r="W220" s="260"/>
      <c r="X220" s="260"/>
      <c r="Y220" s="260"/>
      <c r="Z220" s="260"/>
      <c r="AA220" s="264"/>
      <c r="AB220" s="260"/>
      <c r="AC220" s="260"/>
    </row>
    <row r="221">
      <c r="A221" s="259"/>
      <c r="B221" s="260"/>
      <c r="C221" s="260"/>
      <c r="D221" s="260"/>
      <c r="E221" s="260"/>
      <c r="F221" s="260"/>
      <c r="G221" s="260"/>
      <c r="H221" s="260"/>
      <c r="I221" s="260"/>
      <c r="J221" s="261"/>
      <c r="K221" s="260"/>
      <c r="L221" s="260"/>
      <c r="M221" s="260"/>
      <c r="N221" s="260"/>
      <c r="O221" s="260"/>
      <c r="P221" s="260"/>
      <c r="Q221" s="260"/>
      <c r="R221" s="260"/>
      <c r="S221" s="260"/>
      <c r="T221" s="279"/>
      <c r="U221" s="260"/>
      <c r="V221" s="260"/>
      <c r="W221" s="260"/>
      <c r="X221" s="260"/>
      <c r="Y221" s="260"/>
      <c r="Z221" s="260"/>
      <c r="AA221" s="264"/>
      <c r="AB221" s="260"/>
      <c r="AC221" s="260"/>
    </row>
    <row r="222">
      <c r="A222" s="259"/>
      <c r="B222" s="260"/>
      <c r="C222" s="260"/>
      <c r="D222" s="260"/>
      <c r="E222" s="260"/>
      <c r="F222" s="260"/>
      <c r="G222" s="260"/>
      <c r="H222" s="260"/>
      <c r="I222" s="260"/>
      <c r="J222" s="261"/>
      <c r="K222" s="260"/>
      <c r="L222" s="260"/>
      <c r="M222" s="260"/>
      <c r="N222" s="260"/>
      <c r="O222" s="260"/>
      <c r="P222" s="260"/>
      <c r="Q222" s="260"/>
      <c r="R222" s="260"/>
      <c r="S222" s="260"/>
      <c r="T222" s="279"/>
      <c r="U222" s="260"/>
      <c r="V222" s="260"/>
      <c r="W222" s="260"/>
      <c r="X222" s="260"/>
      <c r="Y222" s="260"/>
      <c r="Z222" s="260"/>
      <c r="AA222" s="264"/>
      <c r="AB222" s="260"/>
      <c r="AC222" s="260"/>
    </row>
    <row r="223">
      <c r="A223" s="259"/>
      <c r="B223" s="260"/>
      <c r="C223" s="260"/>
      <c r="D223" s="260"/>
      <c r="E223" s="260"/>
      <c r="F223" s="260"/>
      <c r="G223" s="260"/>
      <c r="H223" s="260"/>
      <c r="I223" s="260"/>
      <c r="J223" s="261"/>
      <c r="K223" s="260"/>
      <c r="L223" s="260"/>
      <c r="M223" s="260"/>
      <c r="N223" s="260"/>
      <c r="O223" s="260"/>
      <c r="P223" s="260"/>
      <c r="Q223" s="260"/>
      <c r="R223" s="260"/>
      <c r="S223" s="260"/>
      <c r="T223" s="279"/>
      <c r="U223" s="260"/>
      <c r="V223" s="260"/>
      <c r="W223" s="260"/>
      <c r="X223" s="260"/>
      <c r="Y223" s="260"/>
      <c r="Z223" s="260"/>
      <c r="AA223" s="264"/>
      <c r="AB223" s="260"/>
      <c r="AC223" s="260"/>
    </row>
    <row r="224">
      <c r="A224" s="259"/>
      <c r="B224" s="260"/>
      <c r="C224" s="260"/>
      <c r="D224" s="260"/>
      <c r="E224" s="260"/>
      <c r="F224" s="260"/>
      <c r="G224" s="260"/>
      <c r="H224" s="260"/>
      <c r="I224" s="260"/>
      <c r="J224" s="261"/>
      <c r="K224" s="260"/>
      <c r="L224" s="260"/>
      <c r="M224" s="260"/>
      <c r="N224" s="260"/>
      <c r="O224" s="260"/>
      <c r="P224" s="260"/>
      <c r="Q224" s="260"/>
      <c r="R224" s="260"/>
      <c r="S224" s="260"/>
      <c r="T224" s="279"/>
      <c r="U224" s="260"/>
      <c r="V224" s="260"/>
      <c r="W224" s="260"/>
      <c r="X224" s="260"/>
      <c r="Y224" s="260"/>
      <c r="Z224" s="260"/>
      <c r="AA224" s="264"/>
      <c r="AB224" s="260"/>
      <c r="AC224" s="260"/>
    </row>
    <row r="225">
      <c r="A225" s="259"/>
      <c r="B225" s="260"/>
      <c r="C225" s="260"/>
      <c r="D225" s="260"/>
      <c r="E225" s="260"/>
      <c r="F225" s="260"/>
      <c r="G225" s="260"/>
      <c r="H225" s="260"/>
      <c r="I225" s="260"/>
      <c r="J225" s="261"/>
      <c r="K225" s="260"/>
      <c r="L225" s="260"/>
      <c r="M225" s="260"/>
      <c r="N225" s="260"/>
      <c r="O225" s="260"/>
      <c r="P225" s="260"/>
      <c r="Q225" s="260"/>
      <c r="R225" s="260"/>
      <c r="S225" s="260"/>
      <c r="T225" s="279"/>
      <c r="U225" s="260"/>
      <c r="V225" s="260"/>
      <c r="W225" s="260"/>
      <c r="X225" s="260"/>
      <c r="Y225" s="260"/>
      <c r="Z225" s="260"/>
      <c r="AA225" s="264"/>
      <c r="AB225" s="260"/>
      <c r="AC225" s="260"/>
    </row>
    <row r="226">
      <c r="A226" s="259"/>
      <c r="B226" s="260"/>
      <c r="C226" s="260"/>
      <c r="D226" s="260"/>
      <c r="E226" s="260"/>
      <c r="F226" s="260"/>
      <c r="G226" s="260"/>
      <c r="H226" s="260"/>
      <c r="I226" s="260"/>
      <c r="J226" s="261"/>
      <c r="K226" s="260"/>
      <c r="L226" s="260"/>
      <c r="M226" s="260"/>
      <c r="N226" s="260"/>
      <c r="O226" s="260"/>
      <c r="P226" s="260"/>
      <c r="Q226" s="260"/>
      <c r="R226" s="260"/>
      <c r="S226" s="260"/>
      <c r="T226" s="279"/>
      <c r="U226" s="260"/>
      <c r="V226" s="260"/>
      <c r="W226" s="260"/>
      <c r="X226" s="260"/>
      <c r="Y226" s="260"/>
      <c r="Z226" s="260"/>
      <c r="AA226" s="264"/>
      <c r="AB226" s="260"/>
      <c r="AC226" s="260"/>
    </row>
    <row r="227">
      <c r="A227" s="259"/>
      <c r="B227" s="260"/>
      <c r="C227" s="260"/>
      <c r="D227" s="260"/>
      <c r="E227" s="260"/>
      <c r="F227" s="260"/>
      <c r="G227" s="260"/>
      <c r="H227" s="260"/>
      <c r="I227" s="260"/>
      <c r="J227" s="261"/>
      <c r="K227" s="260"/>
      <c r="L227" s="260"/>
      <c r="M227" s="260"/>
      <c r="N227" s="260"/>
      <c r="O227" s="260"/>
      <c r="P227" s="260"/>
      <c r="Q227" s="260"/>
      <c r="R227" s="260"/>
      <c r="S227" s="260"/>
      <c r="T227" s="279"/>
      <c r="U227" s="260"/>
      <c r="V227" s="260"/>
      <c r="W227" s="260"/>
      <c r="X227" s="260"/>
      <c r="Y227" s="260"/>
      <c r="Z227" s="260"/>
      <c r="AA227" s="264"/>
      <c r="AB227" s="260"/>
      <c r="AC227" s="260"/>
    </row>
    <row r="228">
      <c r="A228" s="259"/>
      <c r="B228" s="260"/>
      <c r="C228" s="260"/>
      <c r="D228" s="260"/>
      <c r="E228" s="260"/>
      <c r="F228" s="260"/>
      <c r="G228" s="260"/>
      <c r="H228" s="260"/>
      <c r="I228" s="260"/>
      <c r="J228" s="261"/>
      <c r="K228" s="260"/>
      <c r="L228" s="260"/>
      <c r="M228" s="260"/>
      <c r="N228" s="260"/>
      <c r="O228" s="260"/>
      <c r="P228" s="260"/>
      <c r="Q228" s="260"/>
      <c r="R228" s="260"/>
      <c r="S228" s="260"/>
      <c r="T228" s="279"/>
      <c r="U228" s="260"/>
      <c r="V228" s="260"/>
      <c r="W228" s="260"/>
      <c r="X228" s="260"/>
      <c r="Y228" s="260"/>
      <c r="Z228" s="260"/>
      <c r="AA228" s="264"/>
      <c r="AB228" s="260"/>
      <c r="AC228" s="260"/>
    </row>
    <row r="229">
      <c r="A229" s="259"/>
      <c r="B229" s="260"/>
      <c r="C229" s="260"/>
      <c r="D229" s="260"/>
      <c r="E229" s="260"/>
      <c r="F229" s="260"/>
      <c r="G229" s="260"/>
      <c r="H229" s="260"/>
      <c r="I229" s="260"/>
      <c r="J229" s="261"/>
      <c r="K229" s="260"/>
      <c r="L229" s="260"/>
      <c r="M229" s="260"/>
      <c r="N229" s="260"/>
      <c r="O229" s="260"/>
      <c r="P229" s="260"/>
      <c r="Q229" s="260"/>
      <c r="R229" s="260"/>
      <c r="S229" s="260"/>
      <c r="T229" s="279"/>
      <c r="U229" s="260"/>
      <c r="V229" s="260"/>
      <c r="W229" s="260"/>
      <c r="X229" s="260"/>
      <c r="Y229" s="260"/>
      <c r="Z229" s="260"/>
      <c r="AA229" s="264"/>
      <c r="AB229" s="260"/>
      <c r="AC229" s="260"/>
    </row>
    <row r="230">
      <c r="A230" s="259"/>
      <c r="B230" s="260"/>
      <c r="C230" s="260"/>
      <c r="D230" s="260"/>
      <c r="E230" s="260"/>
      <c r="F230" s="260"/>
      <c r="G230" s="260"/>
      <c r="H230" s="260"/>
      <c r="I230" s="260"/>
      <c r="J230" s="261"/>
      <c r="K230" s="260"/>
      <c r="L230" s="260"/>
      <c r="M230" s="260"/>
      <c r="N230" s="260"/>
      <c r="O230" s="260"/>
      <c r="P230" s="260"/>
      <c r="Q230" s="260"/>
      <c r="R230" s="260"/>
      <c r="S230" s="260"/>
      <c r="T230" s="279"/>
      <c r="U230" s="260"/>
      <c r="V230" s="260"/>
      <c r="W230" s="260"/>
      <c r="X230" s="260"/>
      <c r="Y230" s="260"/>
      <c r="Z230" s="260"/>
      <c r="AA230" s="264"/>
      <c r="AB230" s="260"/>
      <c r="AC230" s="260"/>
    </row>
    <row r="231">
      <c r="A231" s="259"/>
      <c r="B231" s="260"/>
      <c r="C231" s="260"/>
      <c r="D231" s="260"/>
      <c r="E231" s="260"/>
      <c r="F231" s="260"/>
      <c r="G231" s="260"/>
      <c r="H231" s="260"/>
      <c r="I231" s="260"/>
      <c r="J231" s="261"/>
      <c r="K231" s="260"/>
      <c r="L231" s="260"/>
      <c r="M231" s="260"/>
      <c r="N231" s="260"/>
      <c r="O231" s="260"/>
      <c r="P231" s="260"/>
      <c r="Q231" s="260"/>
      <c r="R231" s="260"/>
      <c r="S231" s="260"/>
      <c r="T231" s="279"/>
      <c r="U231" s="260"/>
      <c r="V231" s="260"/>
      <c r="W231" s="260"/>
      <c r="X231" s="260"/>
      <c r="Y231" s="260"/>
      <c r="Z231" s="260"/>
      <c r="AA231" s="264"/>
      <c r="AB231" s="260"/>
      <c r="AC231" s="260"/>
    </row>
    <row r="232">
      <c r="A232" s="259"/>
      <c r="B232" s="260"/>
      <c r="C232" s="260"/>
      <c r="D232" s="260"/>
      <c r="E232" s="260"/>
      <c r="F232" s="260"/>
      <c r="G232" s="260"/>
      <c r="H232" s="260"/>
      <c r="I232" s="260"/>
      <c r="J232" s="261"/>
      <c r="K232" s="260"/>
      <c r="L232" s="260"/>
      <c r="M232" s="260"/>
      <c r="N232" s="260"/>
      <c r="O232" s="260"/>
      <c r="P232" s="260"/>
      <c r="Q232" s="260"/>
      <c r="R232" s="260"/>
      <c r="S232" s="260"/>
      <c r="T232" s="279"/>
      <c r="U232" s="260"/>
      <c r="V232" s="260"/>
      <c r="W232" s="260"/>
      <c r="X232" s="260"/>
      <c r="Y232" s="260"/>
      <c r="Z232" s="260"/>
      <c r="AA232" s="264"/>
      <c r="AB232" s="260"/>
      <c r="AC232" s="260"/>
    </row>
    <row r="233">
      <c r="A233" s="259"/>
      <c r="B233" s="260"/>
      <c r="C233" s="260"/>
      <c r="D233" s="260"/>
      <c r="E233" s="260"/>
      <c r="F233" s="260"/>
      <c r="G233" s="260"/>
      <c r="H233" s="260"/>
      <c r="I233" s="260"/>
      <c r="J233" s="261"/>
      <c r="K233" s="260"/>
      <c r="L233" s="260"/>
      <c r="M233" s="260"/>
      <c r="N233" s="260"/>
      <c r="O233" s="260"/>
      <c r="P233" s="260"/>
      <c r="Q233" s="260"/>
      <c r="R233" s="260"/>
      <c r="S233" s="260"/>
      <c r="T233" s="279"/>
      <c r="U233" s="260"/>
      <c r="V233" s="260"/>
      <c r="W233" s="260"/>
      <c r="X233" s="260"/>
      <c r="Y233" s="260"/>
      <c r="Z233" s="260"/>
      <c r="AA233" s="264"/>
      <c r="AB233" s="260"/>
      <c r="AC233" s="260"/>
    </row>
    <row r="234">
      <c r="A234" s="259"/>
      <c r="B234" s="260"/>
      <c r="C234" s="260"/>
      <c r="D234" s="260"/>
      <c r="E234" s="260"/>
      <c r="F234" s="260"/>
      <c r="G234" s="260"/>
      <c r="H234" s="260"/>
      <c r="I234" s="260"/>
      <c r="J234" s="261"/>
      <c r="K234" s="260"/>
      <c r="L234" s="260"/>
      <c r="M234" s="260"/>
      <c r="N234" s="260"/>
      <c r="O234" s="260"/>
      <c r="P234" s="260"/>
      <c r="Q234" s="260"/>
      <c r="R234" s="260"/>
      <c r="S234" s="260"/>
      <c r="T234" s="279"/>
      <c r="U234" s="260"/>
      <c r="V234" s="260"/>
      <c r="W234" s="260"/>
      <c r="X234" s="260"/>
      <c r="Y234" s="260"/>
      <c r="Z234" s="260"/>
      <c r="AA234" s="264"/>
      <c r="AB234" s="260"/>
      <c r="AC234" s="260"/>
    </row>
    <row r="235">
      <c r="A235" s="259"/>
      <c r="B235" s="260"/>
      <c r="C235" s="260"/>
      <c r="D235" s="260"/>
      <c r="E235" s="260"/>
      <c r="F235" s="260"/>
      <c r="G235" s="260"/>
      <c r="H235" s="260"/>
      <c r="I235" s="260"/>
      <c r="J235" s="261"/>
      <c r="K235" s="260"/>
      <c r="L235" s="260"/>
      <c r="M235" s="260"/>
      <c r="N235" s="260"/>
      <c r="O235" s="260"/>
      <c r="P235" s="260"/>
      <c r="Q235" s="260"/>
      <c r="R235" s="260"/>
      <c r="S235" s="260"/>
      <c r="T235" s="279"/>
      <c r="U235" s="260"/>
      <c r="V235" s="260"/>
      <c r="W235" s="260"/>
      <c r="X235" s="260"/>
      <c r="Y235" s="260"/>
      <c r="Z235" s="260"/>
      <c r="AA235" s="264"/>
      <c r="AB235" s="260"/>
      <c r="AC235" s="260"/>
    </row>
    <row r="236">
      <c r="A236" s="259"/>
      <c r="B236" s="260"/>
      <c r="C236" s="260"/>
      <c r="D236" s="260"/>
      <c r="E236" s="260"/>
      <c r="F236" s="260"/>
      <c r="G236" s="260"/>
      <c r="H236" s="260"/>
      <c r="I236" s="260"/>
      <c r="J236" s="261"/>
      <c r="K236" s="260"/>
      <c r="L236" s="260"/>
      <c r="M236" s="260"/>
      <c r="N236" s="260"/>
      <c r="O236" s="260"/>
      <c r="P236" s="260"/>
      <c r="Q236" s="260"/>
      <c r="R236" s="260"/>
      <c r="S236" s="260"/>
      <c r="T236" s="279"/>
      <c r="U236" s="260"/>
      <c r="V236" s="260"/>
      <c r="W236" s="260"/>
      <c r="X236" s="260"/>
      <c r="Y236" s="260"/>
      <c r="Z236" s="260"/>
      <c r="AA236" s="264"/>
      <c r="AB236" s="260"/>
      <c r="AC236" s="260"/>
    </row>
    <row r="237">
      <c r="A237" s="259"/>
      <c r="B237" s="260"/>
      <c r="C237" s="260"/>
      <c r="D237" s="260"/>
      <c r="E237" s="260"/>
      <c r="F237" s="260"/>
      <c r="G237" s="260"/>
      <c r="H237" s="260"/>
      <c r="I237" s="260"/>
      <c r="J237" s="261"/>
      <c r="K237" s="260"/>
      <c r="L237" s="260"/>
      <c r="M237" s="260"/>
      <c r="N237" s="260"/>
      <c r="O237" s="260"/>
      <c r="P237" s="260"/>
      <c r="Q237" s="260"/>
      <c r="R237" s="260"/>
      <c r="S237" s="260"/>
      <c r="T237" s="279"/>
      <c r="U237" s="260"/>
      <c r="V237" s="260"/>
      <c r="W237" s="260"/>
      <c r="X237" s="260"/>
      <c r="Y237" s="260"/>
      <c r="Z237" s="260"/>
      <c r="AA237" s="264"/>
      <c r="AB237" s="260"/>
      <c r="AC237" s="260"/>
    </row>
    <row r="238">
      <c r="A238" s="259"/>
      <c r="B238" s="260"/>
      <c r="C238" s="260"/>
      <c r="D238" s="260"/>
      <c r="E238" s="260"/>
      <c r="F238" s="260"/>
      <c r="G238" s="260"/>
      <c r="H238" s="260"/>
      <c r="I238" s="260"/>
      <c r="J238" s="261"/>
      <c r="K238" s="260"/>
      <c r="L238" s="260"/>
      <c r="M238" s="260"/>
      <c r="N238" s="260"/>
      <c r="O238" s="260"/>
      <c r="P238" s="260"/>
      <c r="Q238" s="260"/>
      <c r="R238" s="260"/>
      <c r="S238" s="260"/>
      <c r="T238" s="279"/>
      <c r="U238" s="260"/>
      <c r="V238" s="260"/>
      <c r="W238" s="260"/>
      <c r="X238" s="260"/>
      <c r="Y238" s="260"/>
      <c r="Z238" s="260"/>
      <c r="AA238" s="264"/>
      <c r="AB238" s="260"/>
      <c r="AC238" s="260"/>
    </row>
    <row r="239">
      <c r="A239" s="259"/>
      <c r="B239" s="260"/>
      <c r="C239" s="260"/>
      <c r="D239" s="260"/>
      <c r="E239" s="260"/>
      <c r="F239" s="260"/>
      <c r="G239" s="260"/>
      <c r="H239" s="260"/>
      <c r="I239" s="260"/>
      <c r="J239" s="261"/>
      <c r="K239" s="260"/>
      <c r="L239" s="260"/>
      <c r="M239" s="260"/>
      <c r="N239" s="260"/>
      <c r="O239" s="260"/>
      <c r="P239" s="260"/>
      <c r="Q239" s="260"/>
      <c r="R239" s="260"/>
      <c r="S239" s="260"/>
      <c r="T239" s="279"/>
      <c r="U239" s="260"/>
      <c r="V239" s="260"/>
      <c r="W239" s="260"/>
      <c r="X239" s="260"/>
      <c r="Y239" s="260"/>
      <c r="Z239" s="260"/>
      <c r="AA239" s="264"/>
      <c r="AB239" s="260"/>
      <c r="AC239" s="260"/>
    </row>
    <row r="240">
      <c r="A240" s="259"/>
      <c r="B240" s="260"/>
      <c r="C240" s="260"/>
      <c r="D240" s="260"/>
      <c r="E240" s="260"/>
      <c r="F240" s="260"/>
      <c r="G240" s="260"/>
      <c r="H240" s="260"/>
      <c r="I240" s="260"/>
      <c r="J240" s="261"/>
      <c r="K240" s="260"/>
      <c r="L240" s="260"/>
      <c r="M240" s="260"/>
      <c r="N240" s="260"/>
      <c r="O240" s="260"/>
      <c r="P240" s="260"/>
      <c r="Q240" s="260"/>
      <c r="R240" s="260"/>
      <c r="S240" s="260"/>
      <c r="T240" s="279"/>
      <c r="U240" s="260"/>
      <c r="V240" s="260"/>
      <c r="W240" s="260"/>
      <c r="X240" s="260"/>
      <c r="Y240" s="260"/>
      <c r="Z240" s="260"/>
      <c r="AA240" s="264"/>
      <c r="AB240" s="260"/>
      <c r="AC240" s="260"/>
    </row>
    <row r="241">
      <c r="A241" s="259"/>
      <c r="B241" s="260"/>
      <c r="C241" s="260"/>
      <c r="D241" s="260"/>
      <c r="E241" s="260"/>
      <c r="F241" s="260"/>
      <c r="G241" s="260"/>
      <c r="H241" s="260"/>
      <c r="I241" s="260"/>
      <c r="J241" s="261"/>
      <c r="K241" s="260"/>
      <c r="L241" s="260"/>
      <c r="M241" s="260"/>
      <c r="N241" s="260"/>
      <c r="O241" s="260"/>
      <c r="P241" s="260"/>
      <c r="Q241" s="260"/>
      <c r="R241" s="260"/>
      <c r="S241" s="260"/>
      <c r="T241" s="279"/>
      <c r="U241" s="260"/>
      <c r="V241" s="260"/>
      <c r="W241" s="260"/>
      <c r="X241" s="260"/>
      <c r="Y241" s="260"/>
      <c r="Z241" s="260"/>
      <c r="AA241" s="264"/>
      <c r="AB241" s="260"/>
      <c r="AC241" s="260"/>
    </row>
    <row r="242">
      <c r="A242" s="259"/>
      <c r="B242" s="260"/>
      <c r="C242" s="260"/>
      <c r="D242" s="260"/>
      <c r="E242" s="260"/>
      <c r="F242" s="260"/>
      <c r="G242" s="260"/>
      <c r="H242" s="260"/>
      <c r="I242" s="260"/>
      <c r="J242" s="261"/>
      <c r="K242" s="260"/>
      <c r="L242" s="260"/>
      <c r="M242" s="260"/>
      <c r="N242" s="260"/>
      <c r="O242" s="260"/>
      <c r="P242" s="260"/>
      <c r="Q242" s="260"/>
      <c r="R242" s="260"/>
      <c r="S242" s="260"/>
      <c r="T242" s="279"/>
      <c r="U242" s="260"/>
      <c r="V242" s="260"/>
      <c r="W242" s="260"/>
      <c r="X242" s="260"/>
      <c r="Y242" s="260"/>
      <c r="Z242" s="260"/>
      <c r="AA242" s="264"/>
      <c r="AB242" s="260"/>
      <c r="AC242" s="260"/>
    </row>
    <row r="243">
      <c r="A243" s="259"/>
      <c r="B243" s="260"/>
      <c r="C243" s="260"/>
      <c r="D243" s="260"/>
      <c r="E243" s="260"/>
      <c r="F243" s="260"/>
      <c r="G243" s="260"/>
      <c r="H243" s="260"/>
      <c r="I243" s="260"/>
      <c r="J243" s="261"/>
      <c r="K243" s="260"/>
      <c r="L243" s="260"/>
      <c r="M243" s="260"/>
      <c r="N243" s="260"/>
      <c r="O243" s="260"/>
      <c r="P243" s="260"/>
      <c r="Q243" s="260"/>
      <c r="R243" s="260"/>
      <c r="S243" s="260"/>
      <c r="T243" s="279"/>
      <c r="U243" s="260"/>
      <c r="V243" s="260"/>
      <c r="W243" s="260"/>
      <c r="X243" s="260"/>
      <c r="Y243" s="260"/>
      <c r="Z243" s="260"/>
      <c r="AA243" s="264"/>
      <c r="AB243" s="260"/>
      <c r="AC243" s="260"/>
    </row>
    <row r="244">
      <c r="A244" s="259"/>
      <c r="B244" s="260"/>
      <c r="C244" s="260"/>
      <c r="D244" s="260"/>
      <c r="E244" s="260"/>
      <c r="F244" s="260"/>
      <c r="G244" s="260"/>
      <c r="H244" s="260"/>
      <c r="I244" s="260"/>
      <c r="J244" s="261"/>
      <c r="K244" s="260"/>
      <c r="L244" s="260"/>
      <c r="M244" s="260"/>
      <c r="N244" s="260"/>
      <c r="O244" s="260"/>
      <c r="P244" s="260"/>
      <c r="Q244" s="260"/>
      <c r="R244" s="260"/>
      <c r="S244" s="260"/>
      <c r="T244" s="279"/>
      <c r="U244" s="260"/>
      <c r="V244" s="260"/>
      <c r="W244" s="260"/>
      <c r="X244" s="260"/>
      <c r="Y244" s="260"/>
      <c r="Z244" s="260"/>
      <c r="AA244" s="264"/>
      <c r="AB244" s="260"/>
      <c r="AC244" s="260"/>
    </row>
    <row r="245">
      <c r="A245" s="259"/>
      <c r="B245" s="260"/>
      <c r="C245" s="260"/>
      <c r="D245" s="260"/>
      <c r="E245" s="260"/>
      <c r="F245" s="260"/>
      <c r="G245" s="260"/>
      <c r="H245" s="260"/>
      <c r="I245" s="260"/>
      <c r="J245" s="261"/>
      <c r="K245" s="260"/>
      <c r="L245" s="260"/>
      <c r="M245" s="260"/>
      <c r="N245" s="260"/>
      <c r="O245" s="260"/>
      <c r="P245" s="260"/>
      <c r="Q245" s="260"/>
      <c r="R245" s="260"/>
      <c r="S245" s="260"/>
      <c r="T245" s="279"/>
      <c r="U245" s="260"/>
      <c r="V245" s="260"/>
      <c r="W245" s="260"/>
      <c r="X245" s="260"/>
      <c r="Y245" s="260"/>
      <c r="Z245" s="260"/>
      <c r="AA245" s="264"/>
      <c r="AB245" s="260"/>
      <c r="AC245" s="260"/>
    </row>
    <row r="246">
      <c r="A246" s="259"/>
      <c r="B246" s="260"/>
      <c r="C246" s="260"/>
      <c r="D246" s="260"/>
      <c r="E246" s="260"/>
      <c r="F246" s="260"/>
      <c r="G246" s="260"/>
      <c r="H246" s="260"/>
      <c r="I246" s="260"/>
      <c r="J246" s="261"/>
      <c r="K246" s="260"/>
      <c r="L246" s="260"/>
      <c r="M246" s="260"/>
      <c r="N246" s="260"/>
      <c r="O246" s="260"/>
      <c r="P246" s="260"/>
      <c r="Q246" s="260"/>
      <c r="R246" s="260"/>
      <c r="S246" s="260"/>
      <c r="T246" s="279"/>
      <c r="U246" s="260"/>
      <c r="V246" s="260"/>
      <c r="W246" s="260"/>
      <c r="X246" s="260"/>
      <c r="Y246" s="260"/>
      <c r="Z246" s="260"/>
      <c r="AA246" s="264"/>
      <c r="AB246" s="260"/>
      <c r="AC246" s="260"/>
    </row>
    <row r="247">
      <c r="A247" s="259"/>
      <c r="B247" s="260"/>
      <c r="C247" s="260"/>
      <c r="D247" s="260"/>
      <c r="E247" s="260"/>
      <c r="F247" s="260"/>
      <c r="G247" s="260"/>
      <c r="H247" s="260"/>
      <c r="I247" s="260"/>
      <c r="J247" s="261"/>
      <c r="K247" s="260"/>
      <c r="L247" s="260"/>
      <c r="M247" s="260"/>
      <c r="N247" s="260"/>
      <c r="O247" s="260"/>
      <c r="P247" s="260"/>
      <c r="Q247" s="260"/>
      <c r="R247" s="260"/>
      <c r="S247" s="260"/>
      <c r="T247" s="279"/>
      <c r="U247" s="260"/>
      <c r="V247" s="260"/>
      <c r="W247" s="260"/>
      <c r="X247" s="260"/>
      <c r="Y247" s="260"/>
      <c r="Z247" s="260"/>
      <c r="AA247" s="264"/>
      <c r="AB247" s="260"/>
      <c r="AC247" s="260"/>
    </row>
    <row r="248">
      <c r="A248" s="259"/>
      <c r="B248" s="260"/>
      <c r="C248" s="260"/>
      <c r="D248" s="260"/>
      <c r="E248" s="260"/>
      <c r="F248" s="260"/>
      <c r="G248" s="260"/>
      <c r="H248" s="260"/>
      <c r="I248" s="260"/>
      <c r="J248" s="261"/>
      <c r="K248" s="260"/>
      <c r="L248" s="260"/>
      <c r="M248" s="260"/>
      <c r="N248" s="260"/>
      <c r="O248" s="260"/>
      <c r="P248" s="260"/>
      <c r="Q248" s="260"/>
      <c r="R248" s="260"/>
      <c r="S248" s="260"/>
      <c r="T248" s="279"/>
      <c r="U248" s="260"/>
      <c r="V248" s="260"/>
      <c r="W248" s="260"/>
      <c r="X248" s="260"/>
      <c r="Y248" s="260"/>
      <c r="Z248" s="260"/>
      <c r="AA248" s="264"/>
      <c r="AB248" s="260"/>
      <c r="AC248" s="260"/>
    </row>
    <row r="249">
      <c r="A249" s="259"/>
      <c r="B249" s="260"/>
      <c r="C249" s="260"/>
      <c r="D249" s="260"/>
      <c r="E249" s="260"/>
      <c r="F249" s="260"/>
      <c r="G249" s="260"/>
      <c r="H249" s="260"/>
      <c r="I249" s="260"/>
      <c r="J249" s="261"/>
      <c r="K249" s="260"/>
      <c r="L249" s="260"/>
      <c r="M249" s="260"/>
      <c r="N249" s="260"/>
      <c r="O249" s="260"/>
      <c r="P249" s="260"/>
      <c r="Q249" s="260"/>
      <c r="R249" s="260"/>
      <c r="S249" s="260"/>
      <c r="T249" s="279"/>
      <c r="U249" s="260"/>
      <c r="V249" s="260"/>
      <c r="W249" s="260"/>
      <c r="X249" s="260"/>
      <c r="Y249" s="260"/>
      <c r="Z249" s="260"/>
      <c r="AA249" s="264"/>
      <c r="AB249" s="260"/>
      <c r="AC249" s="260"/>
    </row>
    <row r="250">
      <c r="A250" s="259"/>
      <c r="B250" s="260"/>
      <c r="C250" s="260"/>
      <c r="D250" s="260"/>
      <c r="E250" s="260"/>
      <c r="F250" s="260"/>
      <c r="G250" s="260"/>
      <c r="H250" s="260"/>
      <c r="I250" s="260"/>
      <c r="J250" s="261"/>
      <c r="K250" s="260"/>
      <c r="L250" s="260"/>
      <c r="M250" s="260"/>
      <c r="N250" s="260"/>
      <c r="O250" s="260"/>
      <c r="P250" s="260"/>
      <c r="Q250" s="260"/>
      <c r="R250" s="260"/>
      <c r="S250" s="260"/>
      <c r="T250" s="279"/>
      <c r="U250" s="260"/>
      <c r="V250" s="260"/>
      <c r="W250" s="260"/>
      <c r="X250" s="260"/>
      <c r="Y250" s="260"/>
      <c r="Z250" s="260"/>
      <c r="AA250" s="264"/>
      <c r="AB250" s="260"/>
      <c r="AC250" s="260"/>
    </row>
    <row r="251">
      <c r="A251" s="259"/>
      <c r="B251" s="260"/>
      <c r="C251" s="260"/>
      <c r="D251" s="260"/>
      <c r="E251" s="260"/>
      <c r="F251" s="260"/>
      <c r="G251" s="260"/>
      <c r="H251" s="260"/>
      <c r="I251" s="260"/>
      <c r="J251" s="261"/>
      <c r="K251" s="260"/>
      <c r="L251" s="260"/>
      <c r="M251" s="260"/>
      <c r="N251" s="260"/>
      <c r="O251" s="260"/>
      <c r="P251" s="260"/>
      <c r="Q251" s="260"/>
      <c r="R251" s="260"/>
      <c r="S251" s="260"/>
      <c r="T251" s="279"/>
      <c r="U251" s="260"/>
      <c r="V251" s="260"/>
      <c r="W251" s="260"/>
      <c r="X251" s="260"/>
      <c r="Y251" s="260"/>
      <c r="Z251" s="260"/>
      <c r="AA251" s="264"/>
      <c r="AB251" s="260"/>
      <c r="AC251" s="260"/>
    </row>
    <row r="252">
      <c r="A252" s="259"/>
      <c r="B252" s="260"/>
      <c r="C252" s="260"/>
      <c r="D252" s="260"/>
      <c r="E252" s="260"/>
      <c r="F252" s="260"/>
      <c r="G252" s="260"/>
      <c r="H252" s="260"/>
      <c r="I252" s="260"/>
      <c r="J252" s="261"/>
      <c r="K252" s="260"/>
      <c r="L252" s="260"/>
      <c r="M252" s="260"/>
      <c r="N252" s="260"/>
      <c r="O252" s="260"/>
      <c r="P252" s="260"/>
      <c r="Q252" s="260"/>
      <c r="R252" s="260"/>
      <c r="S252" s="260"/>
      <c r="T252" s="279"/>
      <c r="U252" s="260"/>
      <c r="V252" s="260"/>
      <c r="W252" s="260"/>
      <c r="X252" s="260"/>
      <c r="Y252" s="260"/>
      <c r="Z252" s="260"/>
      <c r="AA252" s="264"/>
      <c r="AB252" s="260"/>
      <c r="AC252" s="260"/>
    </row>
    <row r="253">
      <c r="A253" s="259"/>
      <c r="B253" s="260"/>
      <c r="C253" s="260"/>
      <c r="D253" s="260"/>
      <c r="E253" s="260"/>
      <c r="F253" s="260"/>
      <c r="G253" s="260"/>
      <c r="H253" s="260"/>
      <c r="I253" s="260"/>
      <c r="J253" s="261"/>
      <c r="K253" s="260"/>
      <c r="L253" s="260"/>
      <c r="M253" s="260"/>
      <c r="N253" s="260"/>
      <c r="O253" s="260"/>
      <c r="P253" s="260"/>
      <c r="Q253" s="260"/>
      <c r="R253" s="260"/>
      <c r="S253" s="260"/>
      <c r="T253" s="279"/>
      <c r="U253" s="260"/>
      <c r="V253" s="260"/>
      <c r="W253" s="260"/>
      <c r="X253" s="260"/>
      <c r="Y253" s="260"/>
      <c r="Z253" s="260"/>
      <c r="AA253" s="264"/>
      <c r="AB253" s="260"/>
      <c r="AC253" s="260"/>
    </row>
    <row r="254">
      <c r="A254" s="259"/>
      <c r="B254" s="260"/>
      <c r="C254" s="260"/>
      <c r="D254" s="260"/>
      <c r="E254" s="260"/>
      <c r="F254" s="260"/>
      <c r="G254" s="260"/>
      <c r="H254" s="260"/>
      <c r="I254" s="260"/>
      <c r="J254" s="261"/>
      <c r="K254" s="260"/>
      <c r="L254" s="260"/>
      <c r="M254" s="260"/>
      <c r="N254" s="260"/>
      <c r="O254" s="260"/>
      <c r="P254" s="260"/>
      <c r="Q254" s="260"/>
      <c r="R254" s="260"/>
      <c r="S254" s="260"/>
      <c r="T254" s="279"/>
      <c r="U254" s="260"/>
      <c r="V254" s="260"/>
      <c r="W254" s="260"/>
      <c r="X254" s="260"/>
      <c r="Y254" s="260"/>
      <c r="Z254" s="260"/>
      <c r="AA254" s="264"/>
      <c r="AB254" s="260"/>
      <c r="AC254" s="260"/>
    </row>
    <row r="255">
      <c r="A255" s="259"/>
      <c r="B255" s="260"/>
      <c r="C255" s="260"/>
      <c r="D255" s="260"/>
      <c r="E255" s="260"/>
      <c r="F255" s="260"/>
      <c r="G255" s="260"/>
      <c r="H255" s="260"/>
      <c r="I255" s="260"/>
      <c r="J255" s="261"/>
      <c r="K255" s="260"/>
      <c r="L255" s="260"/>
      <c r="M255" s="260"/>
      <c r="N255" s="260"/>
      <c r="O255" s="260"/>
      <c r="P255" s="260"/>
      <c r="Q255" s="260"/>
      <c r="R255" s="260"/>
      <c r="S255" s="260"/>
      <c r="T255" s="279"/>
      <c r="U255" s="260"/>
      <c r="V255" s="260"/>
      <c r="W255" s="260"/>
      <c r="X255" s="260"/>
      <c r="Y255" s="260"/>
      <c r="Z255" s="260"/>
      <c r="AA255" s="264"/>
      <c r="AB255" s="260"/>
      <c r="AC255" s="260"/>
    </row>
    <row r="256">
      <c r="A256" s="259"/>
      <c r="B256" s="260"/>
      <c r="C256" s="260"/>
      <c r="D256" s="260"/>
      <c r="E256" s="260"/>
      <c r="F256" s="260"/>
      <c r="G256" s="260"/>
      <c r="H256" s="260"/>
      <c r="I256" s="260"/>
      <c r="J256" s="261"/>
      <c r="K256" s="260"/>
      <c r="L256" s="260"/>
      <c r="M256" s="260"/>
      <c r="N256" s="260"/>
      <c r="O256" s="260"/>
      <c r="P256" s="260"/>
      <c r="Q256" s="260"/>
      <c r="R256" s="260"/>
      <c r="S256" s="260"/>
      <c r="T256" s="279"/>
      <c r="U256" s="260"/>
      <c r="V256" s="260"/>
      <c r="W256" s="260"/>
      <c r="X256" s="260"/>
      <c r="Y256" s="260"/>
      <c r="Z256" s="260"/>
      <c r="AA256" s="264"/>
      <c r="AB256" s="260"/>
      <c r="AC256" s="260"/>
    </row>
    <row r="257">
      <c r="A257" s="259"/>
      <c r="B257" s="260"/>
      <c r="C257" s="260"/>
      <c r="D257" s="260"/>
      <c r="E257" s="260"/>
      <c r="F257" s="260"/>
      <c r="G257" s="260"/>
      <c r="H257" s="260"/>
      <c r="I257" s="260"/>
      <c r="J257" s="261"/>
      <c r="K257" s="260"/>
      <c r="L257" s="260"/>
      <c r="M257" s="260"/>
      <c r="N257" s="260"/>
      <c r="O257" s="260"/>
      <c r="P257" s="260"/>
      <c r="Q257" s="260"/>
      <c r="R257" s="260"/>
      <c r="S257" s="260"/>
      <c r="T257" s="279"/>
      <c r="U257" s="260"/>
      <c r="V257" s="260"/>
      <c r="W257" s="260"/>
      <c r="X257" s="260"/>
      <c r="Y257" s="260"/>
      <c r="Z257" s="260"/>
      <c r="AA257" s="264"/>
      <c r="AB257" s="260"/>
      <c r="AC257" s="260"/>
    </row>
    <row r="258">
      <c r="A258" s="259"/>
      <c r="B258" s="260"/>
      <c r="C258" s="260"/>
      <c r="D258" s="260"/>
      <c r="E258" s="260"/>
      <c r="F258" s="260"/>
      <c r="G258" s="260"/>
      <c r="H258" s="260"/>
      <c r="I258" s="260"/>
      <c r="J258" s="261"/>
      <c r="K258" s="260"/>
      <c r="L258" s="260"/>
      <c r="M258" s="260"/>
      <c r="N258" s="260"/>
      <c r="O258" s="260"/>
      <c r="P258" s="260"/>
      <c r="Q258" s="260"/>
      <c r="R258" s="260"/>
      <c r="S258" s="260"/>
      <c r="T258" s="279"/>
      <c r="U258" s="260"/>
      <c r="V258" s="260"/>
      <c r="W258" s="260"/>
      <c r="X258" s="260"/>
      <c r="Y258" s="260"/>
      <c r="Z258" s="260"/>
      <c r="AA258" s="264"/>
      <c r="AB258" s="260"/>
      <c r="AC258" s="260"/>
    </row>
    <row r="259">
      <c r="A259" s="259"/>
      <c r="B259" s="260"/>
      <c r="C259" s="260"/>
      <c r="D259" s="260"/>
      <c r="E259" s="260"/>
      <c r="F259" s="260"/>
      <c r="G259" s="260"/>
      <c r="H259" s="260"/>
      <c r="I259" s="260"/>
      <c r="J259" s="261"/>
      <c r="K259" s="260"/>
      <c r="L259" s="260"/>
      <c r="M259" s="260"/>
      <c r="N259" s="260"/>
      <c r="O259" s="260"/>
      <c r="P259" s="260"/>
      <c r="Q259" s="260"/>
      <c r="R259" s="260"/>
      <c r="S259" s="260"/>
      <c r="T259" s="279"/>
      <c r="U259" s="260"/>
      <c r="V259" s="260"/>
      <c r="W259" s="260"/>
      <c r="X259" s="260"/>
      <c r="Y259" s="260"/>
      <c r="Z259" s="260"/>
      <c r="AA259" s="264"/>
      <c r="AB259" s="260"/>
      <c r="AC259" s="260"/>
    </row>
    <row r="260">
      <c r="A260" s="259"/>
      <c r="B260" s="260"/>
      <c r="C260" s="260"/>
      <c r="D260" s="260"/>
      <c r="E260" s="260"/>
      <c r="F260" s="260"/>
      <c r="G260" s="260"/>
      <c r="H260" s="260"/>
      <c r="I260" s="260"/>
      <c r="J260" s="261"/>
      <c r="K260" s="260"/>
      <c r="L260" s="260"/>
      <c r="M260" s="260"/>
      <c r="N260" s="260"/>
      <c r="O260" s="260"/>
      <c r="P260" s="260"/>
      <c r="Q260" s="260"/>
      <c r="R260" s="260"/>
      <c r="S260" s="260"/>
      <c r="T260" s="279"/>
      <c r="U260" s="260"/>
      <c r="V260" s="260"/>
      <c r="W260" s="260"/>
      <c r="X260" s="260"/>
      <c r="Y260" s="260"/>
      <c r="Z260" s="260"/>
      <c r="AA260" s="264"/>
      <c r="AB260" s="260"/>
      <c r="AC260" s="260"/>
    </row>
    <row r="261">
      <c r="A261" s="259"/>
      <c r="B261" s="260"/>
      <c r="C261" s="260"/>
      <c r="D261" s="260"/>
      <c r="E261" s="260"/>
      <c r="F261" s="260"/>
      <c r="G261" s="260"/>
      <c r="H261" s="260"/>
      <c r="I261" s="260"/>
      <c r="J261" s="261"/>
      <c r="K261" s="260"/>
      <c r="L261" s="260"/>
      <c r="M261" s="260"/>
      <c r="N261" s="260"/>
      <c r="O261" s="260"/>
      <c r="P261" s="260"/>
      <c r="Q261" s="260"/>
      <c r="R261" s="260"/>
      <c r="S261" s="260"/>
      <c r="T261" s="279"/>
      <c r="U261" s="260"/>
      <c r="V261" s="260"/>
      <c r="W261" s="260"/>
      <c r="X261" s="260"/>
      <c r="Y261" s="260"/>
      <c r="Z261" s="260"/>
      <c r="AA261" s="264"/>
      <c r="AB261" s="260"/>
      <c r="AC261" s="260"/>
    </row>
    <row r="262">
      <c r="A262" s="259"/>
      <c r="B262" s="260"/>
      <c r="C262" s="260"/>
      <c r="D262" s="260"/>
      <c r="E262" s="260"/>
      <c r="F262" s="260"/>
      <c r="G262" s="260"/>
      <c r="H262" s="260"/>
      <c r="I262" s="260"/>
      <c r="J262" s="261"/>
      <c r="K262" s="260"/>
      <c r="L262" s="260"/>
      <c r="M262" s="260"/>
      <c r="N262" s="260"/>
      <c r="O262" s="260"/>
      <c r="P262" s="260"/>
      <c r="Q262" s="260"/>
      <c r="R262" s="260"/>
      <c r="S262" s="260"/>
      <c r="T262" s="279"/>
      <c r="U262" s="260"/>
      <c r="V262" s="260"/>
      <c r="W262" s="260"/>
      <c r="X262" s="260"/>
      <c r="Y262" s="260"/>
      <c r="Z262" s="260"/>
      <c r="AA262" s="264"/>
      <c r="AB262" s="260"/>
      <c r="AC262" s="260"/>
    </row>
    <row r="263">
      <c r="A263" s="259"/>
      <c r="B263" s="260"/>
      <c r="C263" s="260"/>
      <c r="D263" s="260"/>
      <c r="E263" s="260"/>
      <c r="F263" s="260"/>
      <c r="G263" s="260"/>
      <c r="H263" s="260"/>
      <c r="I263" s="260"/>
      <c r="J263" s="261"/>
      <c r="K263" s="260"/>
      <c r="L263" s="260"/>
      <c r="M263" s="260"/>
      <c r="N263" s="260"/>
      <c r="O263" s="260"/>
      <c r="P263" s="260"/>
      <c r="Q263" s="260"/>
      <c r="R263" s="260"/>
      <c r="S263" s="260"/>
      <c r="T263" s="279"/>
      <c r="U263" s="260"/>
      <c r="V263" s="260"/>
      <c r="W263" s="260"/>
      <c r="X263" s="260"/>
      <c r="Y263" s="260"/>
      <c r="Z263" s="260"/>
      <c r="AA263" s="264"/>
      <c r="AB263" s="260"/>
      <c r="AC263" s="260"/>
    </row>
    <row r="264">
      <c r="A264" s="259"/>
      <c r="B264" s="260"/>
      <c r="C264" s="260"/>
      <c r="D264" s="260"/>
      <c r="E264" s="260"/>
      <c r="F264" s="260"/>
      <c r="G264" s="260"/>
      <c r="H264" s="260"/>
      <c r="I264" s="260"/>
      <c r="J264" s="261"/>
      <c r="K264" s="260"/>
      <c r="L264" s="260"/>
      <c r="M264" s="260"/>
      <c r="N264" s="260"/>
      <c r="O264" s="260"/>
      <c r="P264" s="260"/>
      <c r="Q264" s="260"/>
      <c r="R264" s="260"/>
      <c r="S264" s="260"/>
      <c r="T264" s="279"/>
      <c r="U264" s="260"/>
      <c r="V264" s="260"/>
      <c r="W264" s="260"/>
      <c r="X264" s="260"/>
      <c r="Y264" s="260"/>
      <c r="Z264" s="260"/>
      <c r="AA264" s="264"/>
      <c r="AB264" s="260"/>
      <c r="AC264" s="260"/>
    </row>
    <row r="265">
      <c r="A265" s="259"/>
      <c r="B265" s="260"/>
      <c r="C265" s="260"/>
      <c r="D265" s="260"/>
      <c r="E265" s="260"/>
      <c r="F265" s="260"/>
      <c r="G265" s="260"/>
      <c r="H265" s="260"/>
      <c r="I265" s="260"/>
      <c r="J265" s="261"/>
      <c r="K265" s="260"/>
      <c r="L265" s="260"/>
      <c r="M265" s="260"/>
      <c r="N265" s="260"/>
      <c r="O265" s="260"/>
      <c r="P265" s="260"/>
      <c r="Q265" s="260"/>
      <c r="R265" s="260"/>
      <c r="S265" s="260"/>
      <c r="T265" s="279"/>
      <c r="U265" s="260"/>
      <c r="V265" s="260"/>
      <c r="W265" s="260"/>
      <c r="X265" s="260"/>
      <c r="Y265" s="260"/>
      <c r="Z265" s="260"/>
      <c r="AA265" s="264"/>
      <c r="AB265" s="260"/>
      <c r="AC265" s="260"/>
    </row>
    <row r="266">
      <c r="A266" s="259"/>
      <c r="B266" s="260"/>
      <c r="C266" s="260"/>
      <c r="D266" s="260"/>
      <c r="E266" s="260"/>
      <c r="F266" s="260"/>
      <c r="G266" s="260"/>
      <c r="H266" s="260"/>
      <c r="I266" s="260"/>
      <c r="J266" s="261"/>
      <c r="K266" s="260"/>
      <c r="L266" s="260"/>
      <c r="M266" s="260"/>
      <c r="N266" s="260"/>
      <c r="O266" s="260"/>
      <c r="P266" s="260"/>
      <c r="Q266" s="260"/>
      <c r="R266" s="260"/>
      <c r="S266" s="260"/>
      <c r="T266" s="279"/>
      <c r="U266" s="260"/>
      <c r="V266" s="260"/>
      <c r="W266" s="260"/>
      <c r="X266" s="260"/>
      <c r="Y266" s="260"/>
      <c r="Z266" s="260"/>
      <c r="AA266" s="264"/>
      <c r="AB266" s="260"/>
      <c r="AC266" s="260"/>
    </row>
    <row r="267">
      <c r="A267" s="259"/>
      <c r="B267" s="260"/>
      <c r="C267" s="260"/>
      <c r="D267" s="260"/>
      <c r="E267" s="260"/>
      <c r="F267" s="260"/>
      <c r="G267" s="260"/>
      <c r="H267" s="260"/>
      <c r="I267" s="260"/>
      <c r="J267" s="261"/>
      <c r="K267" s="260"/>
      <c r="L267" s="260"/>
      <c r="M267" s="260"/>
      <c r="N267" s="260"/>
      <c r="O267" s="260"/>
      <c r="P267" s="260"/>
      <c r="Q267" s="260"/>
      <c r="R267" s="260"/>
      <c r="S267" s="260"/>
      <c r="T267" s="279"/>
      <c r="U267" s="260"/>
      <c r="V267" s="260"/>
      <c r="W267" s="260"/>
      <c r="X267" s="260"/>
      <c r="Y267" s="260"/>
      <c r="Z267" s="260"/>
      <c r="AA267" s="264"/>
      <c r="AB267" s="260"/>
      <c r="AC267" s="260"/>
    </row>
    <row r="268">
      <c r="A268" s="259"/>
      <c r="B268" s="260"/>
      <c r="C268" s="260"/>
      <c r="D268" s="260"/>
      <c r="E268" s="260"/>
      <c r="F268" s="260"/>
      <c r="G268" s="260"/>
      <c r="H268" s="260"/>
      <c r="I268" s="260"/>
      <c r="J268" s="261"/>
      <c r="K268" s="260"/>
      <c r="L268" s="260"/>
      <c r="M268" s="260"/>
      <c r="N268" s="260"/>
      <c r="O268" s="260"/>
      <c r="P268" s="260"/>
      <c r="Q268" s="260"/>
      <c r="R268" s="260"/>
      <c r="S268" s="260"/>
      <c r="T268" s="279"/>
      <c r="U268" s="260"/>
      <c r="V268" s="260"/>
      <c r="W268" s="260"/>
      <c r="X268" s="260"/>
      <c r="Y268" s="260"/>
      <c r="Z268" s="260"/>
      <c r="AA268" s="264"/>
      <c r="AB268" s="260"/>
      <c r="AC268" s="260"/>
    </row>
    <row r="269">
      <c r="A269" s="259"/>
      <c r="B269" s="260"/>
      <c r="C269" s="260"/>
      <c r="D269" s="260"/>
      <c r="E269" s="260"/>
      <c r="F269" s="260"/>
      <c r="G269" s="260"/>
      <c r="H269" s="260"/>
      <c r="I269" s="260"/>
      <c r="J269" s="261"/>
      <c r="K269" s="260"/>
      <c r="L269" s="260"/>
      <c r="M269" s="260"/>
      <c r="N269" s="260"/>
      <c r="O269" s="260"/>
      <c r="P269" s="260"/>
      <c r="Q269" s="260"/>
      <c r="R269" s="260"/>
      <c r="S269" s="260"/>
      <c r="T269" s="279"/>
      <c r="U269" s="260"/>
      <c r="V269" s="260"/>
      <c r="W269" s="260"/>
      <c r="X269" s="260"/>
      <c r="Y269" s="260"/>
      <c r="Z269" s="260"/>
      <c r="AA269" s="264"/>
      <c r="AB269" s="260"/>
      <c r="AC269" s="260"/>
    </row>
    <row r="270">
      <c r="A270" s="259"/>
      <c r="B270" s="260"/>
      <c r="C270" s="260"/>
      <c r="D270" s="260"/>
      <c r="E270" s="260"/>
      <c r="F270" s="260"/>
      <c r="G270" s="260"/>
      <c r="H270" s="260"/>
      <c r="I270" s="260"/>
      <c r="J270" s="261"/>
      <c r="K270" s="260"/>
      <c r="L270" s="260"/>
      <c r="M270" s="260"/>
      <c r="N270" s="260"/>
      <c r="O270" s="260"/>
      <c r="P270" s="260"/>
      <c r="Q270" s="260"/>
      <c r="R270" s="260"/>
      <c r="S270" s="260"/>
      <c r="T270" s="279"/>
      <c r="U270" s="260"/>
      <c r="V270" s="260"/>
      <c r="W270" s="260"/>
      <c r="X270" s="260"/>
      <c r="Y270" s="260"/>
      <c r="Z270" s="260"/>
      <c r="AA270" s="264"/>
      <c r="AB270" s="260"/>
      <c r="AC270" s="260"/>
    </row>
    <row r="271">
      <c r="A271" s="259"/>
      <c r="B271" s="260"/>
      <c r="C271" s="260"/>
      <c r="D271" s="260"/>
      <c r="E271" s="260"/>
      <c r="F271" s="260"/>
      <c r="G271" s="260"/>
      <c r="H271" s="260"/>
      <c r="I271" s="260"/>
      <c r="J271" s="261"/>
      <c r="K271" s="260"/>
      <c r="L271" s="260"/>
      <c r="M271" s="260"/>
      <c r="N271" s="260"/>
      <c r="O271" s="260"/>
      <c r="P271" s="260"/>
      <c r="Q271" s="260"/>
      <c r="R271" s="260"/>
      <c r="S271" s="260"/>
      <c r="T271" s="279"/>
      <c r="U271" s="260"/>
      <c r="V271" s="260"/>
      <c r="W271" s="260"/>
      <c r="X271" s="260"/>
      <c r="Y271" s="260"/>
      <c r="Z271" s="260"/>
      <c r="AA271" s="264"/>
      <c r="AB271" s="260"/>
      <c r="AC271" s="260"/>
    </row>
    <row r="272">
      <c r="A272" s="259"/>
      <c r="B272" s="260"/>
      <c r="C272" s="260"/>
      <c r="D272" s="260"/>
      <c r="E272" s="260"/>
      <c r="F272" s="260"/>
      <c r="G272" s="260"/>
      <c r="H272" s="260"/>
      <c r="I272" s="260"/>
      <c r="J272" s="261"/>
      <c r="K272" s="260"/>
      <c r="L272" s="260"/>
      <c r="M272" s="260"/>
      <c r="N272" s="260"/>
      <c r="O272" s="260"/>
      <c r="P272" s="260"/>
      <c r="Q272" s="260"/>
      <c r="R272" s="260"/>
      <c r="S272" s="260"/>
      <c r="T272" s="279"/>
      <c r="U272" s="260"/>
      <c r="V272" s="260"/>
      <c r="W272" s="260"/>
      <c r="X272" s="260"/>
      <c r="Y272" s="260"/>
      <c r="Z272" s="260"/>
      <c r="AA272" s="264"/>
      <c r="AB272" s="260"/>
      <c r="AC272" s="260"/>
    </row>
    <row r="273">
      <c r="A273" s="259"/>
      <c r="B273" s="260"/>
      <c r="C273" s="260"/>
      <c r="D273" s="260"/>
      <c r="E273" s="260"/>
      <c r="F273" s="260"/>
      <c r="G273" s="260"/>
      <c r="H273" s="260"/>
      <c r="I273" s="260"/>
      <c r="J273" s="261"/>
      <c r="K273" s="260"/>
      <c r="L273" s="260"/>
      <c r="M273" s="260"/>
      <c r="N273" s="260"/>
      <c r="O273" s="260"/>
      <c r="P273" s="260"/>
      <c r="Q273" s="260"/>
      <c r="R273" s="260"/>
      <c r="S273" s="260"/>
      <c r="T273" s="279"/>
      <c r="U273" s="260"/>
      <c r="V273" s="260"/>
      <c r="W273" s="260"/>
      <c r="X273" s="260"/>
      <c r="Y273" s="260"/>
      <c r="Z273" s="260"/>
      <c r="AA273" s="264"/>
      <c r="AB273" s="260"/>
      <c r="AC273" s="260"/>
    </row>
    <row r="274">
      <c r="A274" s="259"/>
      <c r="B274" s="260"/>
      <c r="C274" s="260"/>
      <c r="D274" s="260"/>
      <c r="E274" s="260"/>
      <c r="F274" s="260"/>
      <c r="G274" s="260"/>
      <c r="H274" s="260"/>
      <c r="I274" s="260"/>
      <c r="J274" s="261"/>
      <c r="K274" s="260"/>
      <c r="L274" s="260"/>
      <c r="M274" s="260"/>
      <c r="N274" s="260"/>
      <c r="O274" s="260"/>
      <c r="P274" s="260"/>
      <c r="Q274" s="260"/>
      <c r="R274" s="260"/>
      <c r="S274" s="260"/>
      <c r="T274" s="279"/>
      <c r="U274" s="260"/>
      <c r="V274" s="260"/>
      <c r="W274" s="260"/>
      <c r="X274" s="260"/>
      <c r="Y274" s="260"/>
      <c r="Z274" s="260"/>
      <c r="AA274" s="264"/>
      <c r="AB274" s="260"/>
      <c r="AC274" s="260"/>
    </row>
    <row r="275">
      <c r="A275" s="259"/>
      <c r="B275" s="260"/>
      <c r="C275" s="260"/>
      <c r="D275" s="260"/>
      <c r="E275" s="260"/>
      <c r="F275" s="260"/>
      <c r="G275" s="260"/>
      <c r="H275" s="260"/>
      <c r="I275" s="260"/>
      <c r="J275" s="261"/>
      <c r="K275" s="260"/>
      <c r="L275" s="260"/>
      <c r="M275" s="260"/>
      <c r="N275" s="260"/>
      <c r="O275" s="260"/>
      <c r="P275" s="260"/>
      <c r="Q275" s="260"/>
      <c r="R275" s="260"/>
      <c r="S275" s="260"/>
      <c r="T275" s="279"/>
      <c r="U275" s="260"/>
      <c r="V275" s="260"/>
      <c r="W275" s="260"/>
      <c r="X275" s="260"/>
      <c r="Y275" s="260"/>
      <c r="Z275" s="260"/>
      <c r="AA275" s="264"/>
      <c r="AB275" s="260"/>
      <c r="AC275" s="260"/>
    </row>
    <row r="276">
      <c r="A276" s="259"/>
      <c r="B276" s="260"/>
      <c r="C276" s="260"/>
      <c r="D276" s="260"/>
      <c r="E276" s="260"/>
      <c r="F276" s="260"/>
      <c r="G276" s="260"/>
      <c r="H276" s="260"/>
      <c r="I276" s="260"/>
      <c r="J276" s="261"/>
      <c r="K276" s="260"/>
      <c r="L276" s="260"/>
      <c r="M276" s="260"/>
      <c r="N276" s="260"/>
      <c r="O276" s="260"/>
      <c r="P276" s="260"/>
      <c r="Q276" s="260"/>
      <c r="R276" s="260"/>
      <c r="S276" s="260"/>
      <c r="T276" s="279"/>
      <c r="U276" s="260"/>
      <c r="V276" s="260"/>
      <c r="W276" s="260"/>
      <c r="X276" s="260"/>
      <c r="Y276" s="260"/>
      <c r="Z276" s="260"/>
      <c r="AA276" s="264"/>
      <c r="AB276" s="260"/>
      <c r="AC276" s="260"/>
    </row>
    <row r="277">
      <c r="A277" s="259"/>
      <c r="B277" s="260"/>
      <c r="C277" s="260"/>
      <c r="D277" s="260"/>
      <c r="E277" s="260"/>
      <c r="F277" s="260"/>
      <c r="G277" s="260"/>
      <c r="H277" s="260"/>
      <c r="I277" s="260"/>
      <c r="J277" s="261"/>
      <c r="K277" s="260"/>
      <c r="L277" s="260"/>
      <c r="M277" s="260"/>
      <c r="N277" s="260"/>
      <c r="O277" s="260"/>
      <c r="P277" s="260"/>
      <c r="Q277" s="260"/>
      <c r="R277" s="260"/>
      <c r="S277" s="260"/>
      <c r="T277" s="279"/>
      <c r="U277" s="260"/>
      <c r="V277" s="260"/>
      <c r="W277" s="260"/>
      <c r="X277" s="260"/>
      <c r="Y277" s="260"/>
      <c r="Z277" s="260"/>
      <c r="AA277" s="264"/>
      <c r="AB277" s="260"/>
      <c r="AC277" s="260"/>
    </row>
    <row r="278">
      <c r="A278" s="259"/>
      <c r="B278" s="260"/>
      <c r="C278" s="260"/>
      <c r="D278" s="260"/>
      <c r="E278" s="260"/>
      <c r="F278" s="260"/>
      <c r="G278" s="260"/>
      <c r="H278" s="260"/>
      <c r="I278" s="260"/>
      <c r="J278" s="261"/>
      <c r="K278" s="260"/>
      <c r="L278" s="260"/>
      <c r="M278" s="260"/>
      <c r="N278" s="260"/>
      <c r="O278" s="260"/>
      <c r="P278" s="260"/>
      <c r="Q278" s="260"/>
      <c r="R278" s="260"/>
      <c r="S278" s="260"/>
      <c r="T278" s="279"/>
      <c r="U278" s="260"/>
      <c r="V278" s="260"/>
      <c r="W278" s="260"/>
      <c r="X278" s="260"/>
      <c r="Y278" s="260"/>
      <c r="Z278" s="260"/>
      <c r="AA278" s="264"/>
      <c r="AB278" s="260"/>
      <c r="AC278" s="260"/>
    </row>
    <row r="279">
      <c r="A279" s="259"/>
      <c r="B279" s="260"/>
      <c r="C279" s="260"/>
      <c r="D279" s="260"/>
      <c r="E279" s="260"/>
      <c r="F279" s="260"/>
      <c r="G279" s="260"/>
      <c r="H279" s="260"/>
      <c r="I279" s="260"/>
      <c r="J279" s="261"/>
      <c r="K279" s="260"/>
      <c r="L279" s="260"/>
      <c r="M279" s="260"/>
      <c r="N279" s="260"/>
      <c r="O279" s="260"/>
      <c r="P279" s="260"/>
      <c r="Q279" s="260"/>
      <c r="R279" s="260"/>
      <c r="S279" s="260"/>
      <c r="T279" s="279"/>
      <c r="U279" s="260"/>
      <c r="V279" s="260"/>
      <c r="W279" s="260"/>
      <c r="X279" s="260"/>
      <c r="Y279" s="260"/>
      <c r="Z279" s="260"/>
      <c r="AA279" s="264"/>
      <c r="AB279" s="260"/>
      <c r="AC279" s="260"/>
    </row>
    <row r="280">
      <c r="A280" s="259"/>
      <c r="B280" s="260"/>
      <c r="C280" s="260"/>
      <c r="D280" s="260"/>
      <c r="E280" s="260"/>
      <c r="F280" s="260"/>
      <c r="G280" s="260"/>
      <c r="H280" s="260"/>
      <c r="I280" s="260"/>
      <c r="J280" s="261"/>
      <c r="K280" s="260"/>
      <c r="L280" s="260"/>
      <c r="M280" s="260"/>
      <c r="N280" s="260"/>
      <c r="O280" s="260"/>
      <c r="P280" s="260"/>
      <c r="Q280" s="260"/>
      <c r="R280" s="260"/>
      <c r="S280" s="260"/>
      <c r="T280" s="279"/>
      <c r="U280" s="260"/>
      <c r="V280" s="260"/>
      <c r="W280" s="260"/>
      <c r="X280" s="260"/>
      <c r="Y280" s="260"/>
      <c r="Z280" s="260"/>
      <c r="AA280" s="264"/>
      <c r="AB280" s="260"/>
      <c r="AC280" s="260"/>
    </row>
    <row r="281">
      <c r="A281" s="259"/>
      <c r="B281" s="260"/>
      <c r="C281" s="260"/>
      <c r="D281" s="260"/>
      <c r="E281" s="260"/>
      <c r="F281" s="260"/>
      <c r="G281" s="260"/>
      <c r="H281" s="260"/>
      <c r="I281" s="260"/>
      <c r="J281" s="261"/>
      <c r="K281" s="260"/>
      <c r="L281" s="260"/>
      <c r="M281" s="260"/>
      <c r="N281" s="260"/>
      <c r="O281" s="260"/>
      <c r="P281" s="260"/>
      <c r="Q281" s="260"/>
      <c r="R281" s="260"/>
      <c r="S281" s="260"/>
      <c r="T281" s="279"/>
      <c r="U281" s="260"/>
      <c r="V281" s="260"/>
      <c r="W281" s="260"/>
      <c r="X281" s="260"/>
      <c r="Y281" s="260"/>
      <c r="Z281" s="260"/>
      <c r="AA281" s="264"/>
      <c r="AB281" s="260"/>
      <c r="AC281" s="260"/>
    </row>
    <row r="282">
      <c r="A282" s="259"/>
      <c r="B282" s="260"/>
      <c r="C282" s="260"/>
      <c r="D282" s="260"/>
      <c r="E282" s="260"/>
      <c r="F282" s="260"/>
      <c r="G282" s="260"/>
      <c r="H282" s="260"/>
      <c r="I282" s="260"/>
      <c r="J282" s="261"/>
      <c r="K282" s="260"/>
      <c r="L282" s="260"/>
      <c r="M282" s="260"/>
      <c r="N282" s="260"/>
      <c r="O282" s="260"/>
      <c r="P282" s="260"/>
      <c r="Q282" s="260"/>
      <c r="R282" s="260"/>
      <c r="S282" s="260"/>
      <c r="T282" s="279"/>
      <c r="U282" s="260"/>
      <c r="V282" s="260"/>
      <c r="W282" s="260"/>
      <c r="X282" s="260"/>
      <c r="Y282" s="260"/>
      <c r="Z282" s="260"/>
      <c r="AA282" s="264"/>
      <c r="AB282" s="260"/>
      <c r="AC282" s="260"/>
    </row>
    <row r="283">
      <c r="A283" s="259"/>
      <c r="B283" s="260"/>
      <c r="C283" s="260"/>
      <c r="D283" s="260"/>
      <c r="E283" s="260"/>
      <c r="F283" s="260"/>
      <c r="G283" s="260"/>
      <c r="H283" s="260"/>
      <c r="I283" s="260"/>
      <c r="J283" s="261"/>
      <c r="K283" s="260"/>
      <c r="L283" s="260"/>
      <c r="M283" s="260"/>
      <c r="N283" s="260"/>
      <c r="O283" s="260"/>
      <c r="P283" s="260"/>
      <c r="Q283" s="260"/>
      <c r="R283" s="260"/>
      <c r="S283" s="260"/>
      <c r="T283" s="279"/>
      <c r="U283" s="260"/>
      <c r="V283" s="260"/>
      <c r="W283" s="260"/>
      <c r="X283" s="260"/>
      <c r="Y283" s="260"/>
      <c r="Z283" s="260"/>
      <c r="AA283" s="264"/>
      <c r="AB283" s="260"/>
      <c r="AC283" s="260"/>
    </row>
    <row r="284">
      <c r="A284" s="259"/>
      <c r="B284" s="260"/>
      <c r="C284" s="260"/>
      <c r="D284" s="260"/>
      <c r="E284" s="260"/>
      <c r="F284" s="260"/>
      <c r="G284" s="260"/>
      <c r="H284" s="260"/>
      <c r="I284" s="260"/>
      <c r="J284" s="261"/>
      <c r="K284" s="260"/>
      <c r="L284" s="260"/>
      <c r="M284" s="260"/>
      <c r="N284" s="260"/>
      <c r="O284" s="260"/>
      <c r="P284" s="260"/>
      <c r="Q284" s="260"/>
      <c r="R284" s="260"/>
      <c r="S284" s="260"/>
      <c r="T284" s="279"/>
      <c r="U284" s="260"/>
      <c r="V284" s="260"/>
      <c r="W284" s="260"/>
      <c r="X284" s="260"/>
      <c r="Y284" s="260"/>
      <c r="Z284" s="260"/>
      <c r="AA284" s="264"/>
      <c r="AB284" s="260"/>
      <c r="AC284" s="260"/>
    </row>
    <row r="285">
      <c r="A285" s="259"/>
      <c r="B285" s="260"/>
      <c r="C285" s="260"/>
      <c r="D285" s="260"/>
      <c r="E285" s="260"/>
      <c r="F285" s="260"/>
      <c r="G285" s="260"/>
      <c r="H285" s="260"/>
      <c r="I285" s="260"/>
      <c r="J285" s="261"/>
      <c r="K285" s="260"/>
      <c r="L285" s="260"/>
      <c r="M285" s="260"/>
      <c r="N285" s="260"/>
      <c r="O285" s="260"/>
      <c r="P285" s="260"/>
      <c r="Q285" s="260"/>
      <c r="R285" s="260"/>
      <c r="S285" s="260"/>
      <c r="T285" s="279"/>
      <c r="U285" s="260"/>
      <c r="V285" s="260"/>
      <c r="W285" s="260"/>
      <c r="X285" s="260"/>
      <c r="Y285" s="260"/>
      <c r="Z285" s="260"/>
      <c r="AA285" s="264"/>
      <c r="AB285" s="260"/>
      <c r="AC285" s="260"/>
    </row>
    <row r="286">
      <c r="A286" s="259"/>
      <c r="B286" s="260"/>
      <c r="C286" s="260"/>
      <c r="D286" s="260"/>
      <c r="E286" s="260"/>
      <c r="F286" s="260"/>
      <c r="G286" s="260"/>
      <c r="H286" s="260"/>
      <c r="I286" s="260"/>
      <c r="J286" s="261"/>
      <c r="K286" s="260"/>
      <c r="L286" s="260"/>
      <c r="M286" s="260"/>
      <c r="N286" s="260"/>
      <c r="O286" s="260"/>
      <c r="P286" s="260"/>
      <c r="Q286" s="260"/>
      <c r="R286" s="260"/>
      <c r="S286" s="260"/>
      <c r="T286" s="279"/>
      <c r="U286" s="260"/>
      <c r="V286" s="260"/>
      <c r="W286" s="260"/>
      <c r="X286" s="260"/>
      <c r="Y286" s="260"/>
      <c r="Z286" s="260"/>
      <c r="AA286" s="264"/>
      <c r="AB286" s="260"/>
      <c r="AC286" s="260"/>
    </row>
    <row r="287">
      <c r="A287" s="259"/>
      <c r="B287" s="260"/>
      <c r="C287" s="260"/>
      <c r="D287" s="260"/>
      <c r="E287" s="260"/>
      <c r="F287" s="260"/>
      <c r="G287" s="260"/>
      <c r="H287" s="260"/>
      <c r="I287" s="260"/>
      <c r="J287" s="261"/>
      <c r="K287" s="260"/>
      <c r="L287" s="260"/>
      <c r="M287" s="260"/>
      <c r="N287" s="260"/>
      <c r="O287" s="260"/>
      <c r="P287" s="260"/>
      <c r="Q287" s="260"/>
      <c r="R287" s="260"/>
      <c r="S287" s="260"/>
      <c r="T287" s="279"/>
      <c r="U287" s="260"/>
      <c r="V287" s="260"/>
      <c r="W287" s="260"/>
      <c r="X287" s="260"/>
      <c r="Y287" s="260"/>
      <c r="Z287" s="260"/>
      <c r="AA287" s="264"/>
      <c r="AB287" s="260"/>
      <c r="AC287" s="260"/>
    </row>
    <row r="288">
      <c r="A288" s="259"/>
      <c r="B288" s="260"/>
      <c r="C288" s="260"/>
      <c r="D288" s="260"/>
      <c r="E288" s="260"/>
      <c r="F288" s="260"/>
      <c r="G288" s="260"/>
      <c r="H288" s="260"/>
      <c r="I288" s="260"/>
      <c r="J288" s="261"/>
      <c r="K288" s="260"/>
      <c r="L288" s="260"/>
      <c r="M288" s="260"/>
      <c r="N288" s="260"/>
      <c r="O288" s="260"/>
      <c r="P288" s="260"/>
      <c r="Q288" s="260"/>
      <c r="R288" s="260"/>
      <c r="S288" s="260"/>
      <c r="T288" s="279"/>
      <c r="U288" s="260"/>
      <c r="V288" s="260"/>
      <c r="W288" s="260"/>
      <c r="X288" s="260"/>
      <c r="Y288" s="260"/>
      <c r="Z288" s="260"/>
      <c r="AA288" s="264"/>
      <c r="AB288" s="260"/>
      <c r="AC288" s="260"/>
    </row>
    <row r="289">
      <c r="A289" s="259"/>
      <c r="B289" s="260"/>
      <c r="C289" s="260"/>
      <c r="D289" s="260"/>
      <c r="E289" s="260"/>
      <c r="F289" s="260"/>
      <c r="G289" s="260"/>
      <c r="H289" s="260"/>
      <c r="I289" s="260"/>
      <c r="J289" s="261"/>
      <c r="K289" s="260"/>
      <c r="L289" s="260"/>
      <c r="M289" s="260"/>
      <c r="N289" s="260"/>
      <c r="O289" s="260"/>
      <c r="P289" s="260"/>
      <c r="Q289" s="260"/>
      <c r="R289" s="260"/>
      <c r="S289" s="260"/>
      <c r="T289" s="279"/>
      <c r="U289" s="260"/>
      <c r="V289" s="260"/>
      <c r="W289" s="260"/>
      <c r="X289" s="260"/>
      <c r="Y289" s="260"/>
      <c r="Z289" s="260"/>
      <c r="AA289" s="264"/>
      <c r="AB289" s="260"/>
      <c r="AC289" s="260"/>
    </row>
    <row r="290">
      <c r="A290" s="259"/>
      <c r="B290" s="260"/>
      <c r="C290" s="260"/>
      <c r="D290" s="260"/>
      <c r="E290" s="260"/>
      <c r="F290" s="260"/>
      <c r="G290" s="260"/>
      <c r="H290" s="260"/>
      <c r="I290" s="260"/>
      <c r="J290" s="261"/>
      <c r="K290" s="260"/>
      <c r="L290" s="260"/>
      <c r="M290" s="260"/>
      <c r="N290" s="260"/>
      <c r="O290" s="260"/>
      <c r="P290" s="260"/>
      <c r="Q290" s="260"/>
      <c r="R290" s="260"/>
      <c r="S290" s="260"/>
      <c r="T290" s="279"/>
      <c r="U290" s="260"/>
      <c r="V290" s="260"/>
      <c r="W290" s="260"/>
      <c r="X290" s="260"/>
      <c r="Y290" s="260"/>
      <c r="Z290" s="260"/>
      <c r="AA290" s="264"/>
      <c r="AB290" s="260"/>
      <c r="AC290" s="260"/>
    </row>
    <row r="291">
      <c r="A291" s="259"/>
      <c r="B291" s="260"/>
      <c r="C291" s="260"/>
      <c r="D291" s="260"/>
      <c r="E291" s="260"/>
      <c r="F291" s="260"/>
      <c r="G291" s="260"/>
      <c r="H291" s="260"/>
      <c r="I291" s="260"/>
      <c r="J291" s="261"/>
      <c r="K291" s="260"/>
      <c r="L291" s="260"/>
      <c r="M291" s="260"/>
      <c r="N291" s="260"/>
      <c r="O291" s="260"/>
      <c r="P291" s="260"/>
      <c r="Q291" s="260"/>
      <c r="R291" s="260"/>
      <c r="S291" s="260"/>
      <c r="T291" s="279"/>
      <c r="U291" s="260"/>
      <c r="V291" s="260"/>
      <c r="W291" s="260"/>
      <c r="X291" s="260"/>
      <c r="Y291" s="260"/>
      <c r="Z291" s="260"/>
      <c r="AA291" s="264"/>
      <c r="AB291" s="260"/>
      <c r="AC291" s="260"/>
    </row>
    <row r="292">
      <c r="A292" s="259"/>
      <c r="B292" s="260"/>
      <c r="C292" s="260"/>
      <c r="D292" s="260"/>
      <c r="E292" s="260"/>
      <c r="F292" s="260"/>
      <c r="G292" s="260"/>
      <c r="H292" s="260"/>
      <c r="I292" s="260"/>
      <c r="J292" s="261"/>
      <c r="K292" s="260"/>
      <c r="L292" s="260"/>
      <c r="M292" s="260"/>
      <c r="N292" s="260"/>
      <c r="O292" s="260"/>
      <c r="P292" s="260"/>
      <c r="Q292" s="260"/>
      <c r="R292" s="260"/>
      <c r="S292" s="260"/>
      <c r="T292" s="279"/>
      <c r="U292" s="260"/>
      <c r="V292" s="260"/>
      <c r="W292" s="260"/>
      <c r="X292" s="260"/>
      <c r="Y292" s="260"/>
      <c r="Z292" s="260"/>
      <c r="AA292" s="264"/>
      <c r="AB292" s="260"/>
      <c r="AC292" s="260"/>
    </row>
    <row r="293">
      <c r="A293" s="259"/>
      <c r="B293" s="260"/>
      <c r="C293" s="260"/>
      <c r="D293" s="260"/>
      <c r="E293" s="260"/>
      <c r="F293" s="260"/>
      <c r="G293" s="260"/>
      <c r="H293" s="260"/>
      <c r="I293" s="260"/>
      <c r="J293" s="261"/>
      <c r="K293" s="260"/>
      <c r="L293" s="260"/>
      <c r="M293" s="260"/>
      <c r="N293" s="260"/>
      <c r="O293" s="260"/>
      <c r="P293" s="260"/>
      <c r="Q293" s="260"/>
      <c r="R293" s="260"/>
      <c r="S293" s="260"/>
      <c r="T293" s="279"/>
      <c r="U293" s="260"/>
      <c r="V293" s="260"/>
      <c r="W293" s="260"/>
      <c r="X293" s="260"/>
      <c r="Y293" s="260"/>
      <c r="Z293" s="260"/>
      <c r="AA293" s="264"/>
      <c r="AB293" s="260"/>
      <c r="AC293" s="260"/>
    </row>
    <row r="294">
      <c r="A294" s="259"/>
      <c r="B294" s="260"/>
      <c r="C294" s="260"/>
      <c r="D294" s="260"/>
      <c r="E294" s="260"/>
      <c r="F294" s="260"/>
      <c r="G294" s="260"/>
      <c r="H294" s="260"/>
      <c r="I294" s="260"/>
      <c r="J294" s="261"/>
      <c r="K294" s="260"/>
      <c r="L294" s="260"/>
      <c r="M294" s="260"/>
      <c r="N294" s="260"/>
      <c r="O294" s="260"/>
      <c r="P294" s="260"/>
      <c r="Q294" s="260"/>
      <c r="R294" s="260"/>
      <c r="S294" s="260"/>
      <c r="T294" s="279"/>
      <c r="U294" s="260"/>
      <c r="V294" s="260"/>
      <c r="W294" s="260"/>
      <c r="X294" s="260"/>
      <c r="Y294" s="260"/>
      <c r="Z294" s="260"/>
      <c r="AA294" s="264"/>
      <c r="AB294" s="260"/>
      <c r="AC294" s="260"/>
    </row>
    <row r="295">
      <c r="A295" s="259"/>
      <c r="B295" s="260"/>
      <c r="C295" s="260"/>
      <c r="D295" s="260"/>
      <c r="E295" s="260"/>
      <c r="F295" s="260"/>
      <c r="G295" s="260"/>
      <c r="H295" s="260"/>
      <c r="I295" s="260"/>
      <c r="J295" s="261"/>
      <c r="K295" s="260"/>
      <c r="L295" s="260"/>
      <c r="M295" s="260"/>
      <c r="N295" s="260"/>
      <c r="O295" s="260"/>
      <c r="P295" s="260"/>
      <c r="Q295" s="260"/>
      <c r="R295" s="260"/>
      <c r="S295" s="260"/>
      <c r="T295" s="279"/>
      <c r="U295" s="260"/>
      <c r="V295" s="260"/>
      <c r="W295" s="260"/>
      <c r="X295" s="260"/>
      <c r="Y295" s="260"/>
      <c r="Z295" s="260"/>
      <c r="AA295" s="264"/>
      <c r="AB295" s="260"/>
      <c r="AC295" s="260"/>
    </row>
    <row r="296">
      <c r="A296" s="259"/>
      <c r="B296" s="260"/>
      <c r="C296" s="260"/>
      <c r="D296" s="260"/>
      <c r="E296" s="260"/>
      <c r="F296" s="260"/>
      <c r="G296" s="260"/>
      <c r="H296" s="260"/>
      <c r="I296" s="260"/>
      <c r="J296" s="261"/>
      <c r="K296" s="260"/>
      <c r="L296" s="260"/>
      <c r="M296" s="260"/>
      <c r="N296" s="260"/>
      <c r="O296" s="260"/>
      <c r="P296" s="260"/>
      <c r="Q296" s="260"/>
      <c r="R296" s="260"/>
      <c r="S296" s="260"/>
      <c r="T296" s="279"/>
      <c r="U296" s="260"/>
      <c r="V296" s="260"/>
      <c r="W296" s="260"/>
      <c r="X296" s="260"/>
      <c r="Y296" s="260"/>
      <c r="Z296" s="260"/>
      <c r="AA296" s="264"/>
      <c r="AB296" s="260"/>
      <c r="AC296" s="260"/>
    </row>
    <row r="297">
      <c r="A297" s="259"/>
      <c r="B297" s="260"/>
      <c r="C297" s="260"/>
      <c r="D297" s="260"/>
      <c r="E297" s="260"/>
      <c r="F297" s="260"/>
      <c r="G297" s="260"/>
      <c r="H297" s="260"/>
      <c r="I297" s="260"/>
      <c r="J297" s="261"/>
      <c r="K297" s="260"/>
      <c r="L297" s="260"/>
      <c r="M297" s="260"/>
      <c r="N297" s="260"/>
      <c r="O297" s="260"/>
      <c r="P297" s="260"/>
      <c r="Q297" s="260"/>
      <c r="R297" s="260"/>
      <c r="S297" s="260"/>
      <c r="T297" s="279"/>
      <c r="U297" s="260"/>
      <c r="V297" s="260"/>
      <c r="W297" s="260"/>
      <c r="X297" s="260"/>
      <c r="Y297" s="260"/>
      <c r="Z297" s="260"/>
      <c r="AA297" s="264"/>
      <c r="AB297" s="260"/>
      <c r="AC297" s="260"/>
    </row>
    <row r="298">
      <c r="A298" s="259"/>
      <c r="B298" s="260"/>
      <c r="C298" s="260"/>
      <c r="D298" s="260"/>
      <c r="E298" s="260"/>
      <c r="F298" s="260"/>
      <c r="G298" s="260"/>
      <c r="H298" s="260"/>
      <c r="I298" s="260"/>
      <c r="J298" s="261"/>
      <c r="K298" s="260"/>
      <c r="L298" s="260"/>
      <c r="M298" s="260"/>
      <c r="N298" s="260"/>
      <c r="O298" s="260"/>
      <c r="P298" s="260"/>
      <c r="Q298" s="260"/>
      <c r="R298" s="260"/>
      <c r="S298" s="260"/>
      <c r="T298" s="279"/>
      <c r="U298" s="260"/>
      <c r="V298" s="260"/>
      <c r="W298" s="260"/>
      <c r="X298" s="260"/>
      <c r="Y298" s="260"/>
      <c r="Z298" s="260"/>
      <c r="AA298" s="264"/>
      <c r="AB298" s="260"/>
      <c r="AC298" s="260"/>
    </row>
    <row r="299">
      <c r="A299" s="259"/>
      <c r="B299" s="260"/>
      <c r="C299" s="260"/>
      <c r="D299" s="260"/>
      <c r="E299" s="260"/>
      <c r="F299" s="260"/>
      <c r="G299" s="260"/>
      <c r="H299" s="260"/>
      <c r="I299" s="260"/>
      <c r="J299" s="261"/>
      <c r="K299" s="260"/>
      <c r="L299" s="260"/>
      <c r="M299" s="260"/>
      <c r="N299" s="260"/>
      <c r="O299" s="260"/>
      <c r="P299" s="260"/>
      <c r="Q299" s="260"/>
      <c r="R299" s="260"/>
      <c r="S299" s="260"/>
      <c r="T299" s="279"/>
      <c r="U299" s="260"/>
      <c r="V299" s="260"/>
      <c r="W299" s="260"/>
      <c r="X299" s="260"/>
      <c r="Y299" s="260"/>
      <c r="Z299" s="260"/>
      <c r="AA299" s="264"/>
      <c r="AB299" s="260"/>
      <c r="AC299" s="260"/>
    </row>
    <row r="300">
      <c r="A300" s="259"/>
      <c r="B300" s="260"/>
      <c r="C300" s="260"/>
      <c r="D300" s="260"/>
      <c r="E300" s="260"/>
      <c r="F300" s="260"/>
      <c r="G300" s="260"/>
      <c r="H300" s="260"/>
      <c r="I300" s="260"/>
      <c r="J300" s="261"/>
      <c r="K300" s="260"/>
      <c r="L300" s="260"/>
      <c r="M300" s="260"/>
      <c r="N300" s="260"/>
      <c r="O300" s="260"/>
      <c r="P300" s="260"/>
      <c r="Q300" s="260"/>
      <c r="R300" s="260"/>
      <c r="S300" s="260"/>
      <c r="T300" s="279"/>
      <c r="U300" s="260"/>
      <c r="V300" s="260"/>
      <c r="W300" s="260"/>
      <c r="X300" s="260"/>
      <c r="Y300" s="260"/>
      <c r="Z300" s="260"/>
      <c r="AA300" s="264"/>
      <c r="AB300" s="260"/>
      <c r="AC300" s="260"/>
    </row>
    <row r="301">
      <c r="A301" s="259"/>
      <c r="B301" s="260"/>
      <c r="C301" s="260"/>
      <c r="D301" s="260"/>
      <c r="E301" s="260"/>
      <c r="F301" s="260"/>
      <c r="G301" s="260"/>
      <c r="H301" s="260"/>
      <c r="I301" s="260"/>
      <c r="J301" s="261"/>
      <c r="K301" s="260"/>
      <c r="L301" s="260"/>
      <c r="M301" s="260"/>
      <c r="N301" s="260"/>
      <c r="O301" s="260"/>
      <c r="P301" s="260"/>
      <c r="Q301" s="260"/>
      <c r="R301" s="260"/>
      <c r="S301" s="260"/>
      <c r="T301" s="279"/>
      <c r="U301" s="260"/>
      <c r="V301" s="260"/>
      <c r="W301" s="260"/>
      <c r="X301" s="260"/>
      <c r="Y301" s="260"/>
      <c r="Z301" s="260"/>
      <c r="AA301" s="264"/>
      <c r="AB301" s="260"/>
      <c r="AC301" s="260"/>
    </row>
    <row r="302">
      <c r="A302" s="259"/>
      <c r="B302" s="260"/>
      <c r="C302" s="260"/>
      <c r="D302" s="260"/>
      <c r="E302" s="260"/>
      <c r="F302" s="260"/>
      <c r="G302" s="260"/>
      <c r="H302" s="260"/>
      <c r="I302" s="260"/>
      <c r="J302" s="261"/>
      <c r="K302" s="260"/>
      <c r="L302" s="260"/>
      <c r="M302" s="260"/>
      <c r="N302" s="260"/>
      <c r="O302" s="260"/>
      <c r="P302" s="260"/>
      <c r="Q302" s="260"/>
      <c r="R302" s="260"/>
      <c r="S302" s="260"/>
      <c r="T302" s="279"/>
      <c r="U302" s="260"/>
      <c r="V302" s="260"/>
      <c r="W302" s="260"/>
      <c r="X302" s="260"/>
      <c r="Y302" s="260"/>
      <c r="Z302" s="260"/>
      <c r="AA302" s="264"/>
      <c r="AB302" s="260"/>
      <c r="AC302" s="260"/>
    </row>
    <row r="303">
      <c r="A303" s="259"/>
      <c r="B303" s="260"/>
      <c r="C303" s="260"/>
      <c r="D303" s="260"/>
      <c r="E303" s="260"/>
      <c r="F303" s="260"/>
      <c r="G303" s="260"/>
      <c r="H303" s="260"/>
      <c r="I303" s="260"/>
      <c r="J303" s="261"/>
      <c r="K303" s="260"/>
      <c r="L303" s="260"/>
      <c r="M303" s="260"/>
      <c r="N303" s="260"/>
      <c r="O303" s="260"/>
      <c r="P303" s="260"/>
      <c r="Q303" s="260"/>
      <c r="R303" s="260"/>
      <c r="S303" s="260"/>
      <c r="T303" s="279"/>
      <c r="U303" s="260"/>
      <c r="V303" s="260"/>
      <c r="W303" s="260"/>
      <c r="X303" s="260"/>
      <c r="Y303" s="260"/>
      <c r="Z303" s="260"/>
      <c r="AA303" s="264"/>
      <c r="AB303" s="260"/>
      <c r="AC303" s="260"/>
    </row>
    <row r="304">
      <c r="A304" s="259"/>
      <c r="B304" s="260"/>
      <c r="C304" s="260"/>
      <c r="D304" s="260"/>
      <c r="E304" s="260"/>
      <c r="F304" s="260"/>
      <c r="G304" s="260"/>
      <c r="H304" s="260"/>
      <c r="I304" s="260"/>
      <c r="J304" s="261"/>
      <c r="K304" s="260"/>
      <c r="L304" s="260"/>
      <c r="M304" s="260"/>
      <c r="N304" s="260"/>
      <c r="O304" s="260"/>
      <c r="P304" s="260"/>
      <c r="Q304" s="260"/>
      <c r="R304" s="260"/>
      <c r="S304" s="260"/>
      <c r="T304" s="279"/>
      <c r="U304" s="260"/>
      <c r="V304" s="260"/>
      <c r="W304" s="260"/>
      <c r="X304" s="260"/>
      <c r="Y304" s="260"/>
      <c r="Z304" s="260"/>
      <c r="AA304" s="264"/>
      <c r="AB304" s="260"/>
      <c r="AC304" s="260"/>
    </row>
    <row r="305">
      <c r="A305" s="259"/>
      <c r="B305" s="260"/>
      <c r="C305" s="260"/>
      <c r="D305" s="260"/>
      <c r="E305" s="260"/>
      <c r="F305" s="260"/>
      <c r="G305" s="260"/>
      <c r="H305" s="260"/>
      <c r="I305" s="260"/>
      <c r="J305" s="261"/>
      <c r="K305" s="260"/>
      <c r="L305" s="260"/>
      <c r="M305" s="260"/>
      <c r="N305" s="260"/>
      <c r="O305" s="260"/>
      <c r="P305" s="260"/>
      <c r="Q305" s="260"/>
      <c r="R305" s="260"/>
      <c r="S305" s="260"/>
      <c r="T305" s="279"/>
      <c r="U305" s="260"/>
      <c r="V305" s="260"/>
      <c r="W305" s="260"/>
      <c r="X305" s="260"/>
      <c r="Y305" s="260"/>
      <c r="Z305" s="260"/>
      <c r="AA305" s="264"/>
      <c r="AB305" s="260"/>
      <c r="AC305" s="260"/>
    </row>
    <row r="306">
      <c r="A306" s="259"/>
      <c r="B306" s="260"/>
      <c r="C306" s="260"/>
      <c r="D306" s="260"/>
      <c r="E306" s="260"/>
      <c r="F306" s="260"/>
      <c r="G306" s="260"/>
      <c r="H306" s="260"/>
      <c r="I306" s="260"/>
      <c r="J306" s="261"/>
      <c r="K306" s="260"/>
      <c r="L306" s="260"/>
      <c r="M306" s="260"/>
      <c r="N306" s="260"/>
      <c r="O306" s="260"/>
      <c r="P306" s="260"/>
      <c r="Q306" s="260"/>
      <c r="R306" s="260"/>
      <c r="S306" s="260"/>
      <c r="T306" s="279"/>
      <c r="U306" s="260"/>
      <c r="V306" s="260"/>
      <c r="W306" s="260"/>
      <c r="X306" s="260"/>
      <c r="Y306" s="260"/>
      <c r="Z306" s="260"/>
      <c r="AA306" s="264"/>
      <c r="AB306" s="260"/>
      <c r="AC306" s="260"/>
    </row>
    <row r="307">
      <c r="A307" s="259"/>
      <c r="B307" s="260"/>
      <c r="C307" s="260"/>
      <c r="D307" s="260"/>
      <c r="E307" s="260"/>
      <c r="F307" s="260"/>
      <c r="G307" s="260"/>
      <c r="H307" s="260"/>
      <c r="I307" s="260"/>
      <c r="J307" s="261"/>
      <c r="K307" s="260"/>
      <c r="L307" s="260"/>
      <c r="M307" s="260"/>
      <c r="N307" s="260"/>
      <c r="O307" s="260"/>
      <c r="P307" s="260"/>
      <c r="Q307" s="260"/>
      <c r="R307" s="260"/>
      <c r="S307" s="260"/>
      <c r="T307" s="279"/>
      <c r="U307" s="260"/>
      <c r="V307" s="260"/>
      <c r="W307" s="260"/>
      <c r="X307" s="260"/>
      <c r="Y307" s="260"/>
      <c r="Z307" s="260"/>
      <c r="AA307" s="264"/>
      <c r="AB307" s="260"/>
      <c r="AC307" s="260"/>
    </row>
    <row r="308">
      <c r="A308" s="259"/>
      <c r="B308" s="260"/>
      <c r="C308" s="260"/>
      <c r="D308" s="260"/>
      <c r="E308" s="260"/>
      <c r="F308" s="260"/>
      <c r="G308" s="260"/>
      <c r="H308" s="260"/>
      <c r="I308" s="260"/>
      <c r="J308" s="261"/>
      <c r="K308" s="260"/>
      <c r="L308" s="260"/>
      <c r="M308" s="260"/>
      <c r="N308" s="260"/>
      <c r="O308" s="260"/>
      <c r="P308" s="260"/>
      <c r="Q308" s="260"/>
      <c r="R308" s="260"/>
      <c r="S308" s="260"/>
      <c r="T308" s="279"/>
      <c r="U308" s="260"/>
      <c r="V308" s="260"/>
      <c r="W308" s="260"/>
      <c r="X308" s="260"/>
      <c r="Y308" s="260"/>
      <c r="Z308" s="260"/>
      <c r="AA308" s="264"/>
      <c r="AB308" s="260"/>
      <c r="AC308" s="260"/>
    </row>
    <row r="309">
      <c r="A309" s="259"/>
      <c r="B309" s="260"/>
      <c r="C309" s="260"/>
      <c r="D309" s="260"/>
      <c r="E309" s="260"/>
      <c r="F309" s="260"/>
      <c r="G309" s="260"/>
      <c r="H309" s="260"/>
      <c r="I309" s="260"/>
      <c r="J309" s="261"/>
      <c r="K309" s="260"/>
      <c r="L309" s="260"/>
      <c r="M309" s="260"/>
      <c r="N309" s="260"/>
      <c r="O309" s="260"/>
      <c r="P309" s="260"/>
      <c r="Q309" s="260"/>
      <c r="R309" s="260"/>
      <c r="S309" s="260"/>
      <c r="T309" s="279"/>
      <c r="U309" s="260"/>
      <c r="V309" s="260"/>
      <c r="W309" s="260"/>
      <c r="X309" s="260"/>
      <c r="Y309" s="260"/>
      <c r="Z309" s="260"/>
      <c r="AA309" s="264"/>
      <c r="AB309" s="260"/>
      <c r="AC309" s="260"/>
    </row>
    <row r="310">
      <c r="A310" s="259"/>
      <c r="B310" s="260"/>
      <c r="C310" s="260"/>
      <c r="D310" s="260"/>
      <c r="E310" s="260"/>
      <c r="F310" s="260"/>
      <c r="G310" s="260"/>
      <c r="H310" s="260"/>
      <c r="I310" s="260"/>
      <c r="J310" s="261"/>
      <c r="K310" s="260"/>
      <c r="L310" s="260"/>
      <c r="M310" s="260"/>
      <c r="N310" s="260"/>
      <c r="O310" s="260"/>
      <c r="P310" s="260"/>
      <c r="Q310" s="260"/>
      <c r="R310" s="260"/>
      <c r="S310" s="260"/>
      <c r="T310" s="279"/>
      <c r="U310" s="260"/>
      <c r="V310" s="260"/>
      <c r="W310" s="260"/>
      <c r="X310" s="260"/>
      <c r="Y310" s="260"/>
      <c r="Z310" s="260"/>
      <c r="AA310" s="264"/>
      <c r="AB310" s="260"/>
      <c r="AC310" s="260"/>
    </row>
    <row r="311">
      <c r="A311" s="259"/>
      <c r="B311" s="260"/>
      <c r="C311" s="260"/>
      <c r="D311" s="260"/>
      <c r="E311" s="260"/>
      <c r="F311" s="260"/>
      <c r="G311" s="260"/>
      <c r="H311" s="260"/>
      <c r="I311" s="260"/>
      <c r="J311" s="261"/>
      <c r="K311" s="260"/>
      <c r="L311" s="260"/>
      <c r="M311" s="260"/>
      <c r="N311" s="260"/>
      <c r="O311" s="260"/>
      <c r="P311" s="260"/>
      <c r="Q311" s="260"/>
      <c r="R311" s="260"/>
      <c r="S311" s="260"/>
      <c r="T311" s="279"/>
      <c r="U311" s="260"/>
      <c r="V311" s="260"/>
      <c r="W311" s="260"/>
      <c r="X311" s="260"/>
      <c r="Y311" s="260"/>
      <c r="Z311" s="260"/>
      <c r="AA311" s="264"/>
      <c r="AB311" s="260"/>
      <c r="AC311" s="260"/>
    </row>
    <row r="312">
      <c r="A312" s="259"/>
      <c r="B312" s="260"/>
      <c r="C312" s="260"/>
      <c r="D312" s="260"/>
      <c r="E312" s="260"/>
      <c r="F312" s="260"/>
      <c r="G312" s="260"/>
      <c r="H312" s="260"/>
      <c r="I312" s="260"/>
      <c r="J312" s="261"/>
      <c r="K312" s="260"/>
      <c r="L312" s="260"/>
      <c r="M312" s="260"/>
      <c r="N312" s="260"/>
      <c r="O312" s="260"/>
      <c r="P312" s="260"/>
      <c r="Q312" s="260"/>
      <c r="R312" s="260"/>
      <c r="S312" s="260"/>
      <c r="T312" s="279"/>
      <c r="U312" s="260"/>
      <c r="V312" s="260"/>
      <c r="W312" s="260"/>
      <c r="X312" s="260"/>
      <c r="Y312" s="260"/>
      <c r="Z312" s="260"/>
      <c r="AA312" s="264"/>
      <c r="AB312" s="260"/>
      <c r="AC312" s="260"/>
    </row>
    <row r="313">
      <c r="A313" s="259"/>
      <c r="B313" s="260"/>
      <c r="C313" s="260"/>
      <c r="D313" s="260"/>
      <c r="E313" s="260"/>
      <c r="F313" s="260"/>
      <c r="G313" s="260"/>
      <c r="H313" s="260"/>
      <c r="I313" s="260"/>
      <c r="J313" s="261"/>
      <c r="K313" s="260"/>
      <c r="L313" s="260"/>
      <c r="M313" s="260"/>
      <c r="N313" s="260"/>
      <c r="O313" s="260"/>
      <c r="P313" s="260"/>
      <c r="Q313" s="260"/>
      <c r="R313" s="260"/>
      <c r="S313" s="260"/>
      <c r="T313" s="279"/>
      <c r="U313" s="260"/>
      <c r="V313" s="260"/>
      <c r="W313" s="260"/>
      <c r="X313" s="260"/>
      <c r="Y313" s="260"/>
      <c r="Z313" s="260"/>
      <c r="AA313" s="264"/>
      <c r="AB313" s="260"/>
      <c r="AC313" s="260"/>
    </row>
    <row r="314">
      <c r="A314" s="259"/>
      <c r="B314" s="260"/>
      <c r="C314" s="260"/>
      <c r="D314" s="260"/>
      <c r="E314" s="260"/>
      <c r="F314" s="260"/>
      <c r="G314" s="260"/>
      <c r="H314" s="260"/>
      <c r="I314" s="260"/>
      <c r="J314" s="261"/>
      <c r="K314" s="260"/>
      <c r="L314" s="260"/>
      <c r="M314" s="260"/>
      <c r="N314" s="260"/>
      <c r="O314" s="260"/>
      <c r="P314" s="260"/>
      <c r="Q314" s="260"/>
      <c r="R314" s="260"/>
      <c r="S314" s="260"/>
      <c r="T314" s="279"/>
      <c r="U314" s="260"/>
      <c r="V314" s="260"/>
      <c r="W314" s="260"/>
      <c r="X314" s="260"/>
      <c r="Y314" s="260"/>
      <c r="Z314" s="260"/>
      <c r="AA314" s="264"/>
      <c r="AB314" s="260"/>
      <c r="AC314" s="260"/>
    </row>
    <row r="315">
      <c r="A315" s="259"/>
      <c r="B315" s="260"/>
      <c r="C315" s="260"/>
      <c r="D315" s="260"/>
      <c r="E315" s="260"/>
      <c r="F315" s="260"/>
      <c r="G315" s="260"/>
      <c r="H315" s="260"/>
      <c r="I315" s="260"/>
      <c r="J315" s="261"/>
      <c r="K315" s="260"/>
      <c r="L315" s="260"/>
      <c r="M315" s="260"/>
      <c r="N315" s="260"/>
      <c r="O315" s="260"/>
      <c r="P315" s="260"/>
      <c r="Q315" s="260"/>
      <c r="R315" s="260"/>
      <c r="S315" s="260"/>
      <c r="T315" s="279"/>
      <c r="U315" s="260"/>
      <c r="V315" s="260"/>
      <c r="W315" s="260"/>
      <c r="X315" s="260"/>
      <c r="Y315" s="260"/>
      <c r="Z315" s="260"/>
      <c r="AA315" s="264"/>
      <c r="AB315" s="260"/>
      <c r="AC315" s="260"/>
    </row>
    <row r="316">
      <c r="A316" s="259"/>
      <c r="B316" s="260"/>
      <c r="C316" s="260"/>
      <c r="D316" s="260"/>
      <c r="E316" s="260"/>
      <c r="F316" s="260"/>
      <c r="G316" s="260"/>
      <c r="H316" s="260"/>
      <c r="I316" s="260"/>
      <c r="J316" s="261"/>
      <c r="K316" s="260"/>
      <c r="L316" s="260"/>
      <c r="M316" s="260"/>
      <c r="N316" s="260"/>
      <c r="O316" s="260"/>
      <c r="P316" s="260"/>
      <c r="Q316" s="260"/>
      <c r="R316" s="260"/>
      <c r="S316" s="260"/>
      <c r="T316" s="279"/>
      <c r="U316" s="260"/>
      <c r="V316" s="260"/>
      <c r="W316" s="260"/>
      <c r="X316" s="260"/>
      <c r="Y316" s="260"/>
      <c r="Z316" s="260"/>
      <c r="AA316" s="264"/>
      <c r="AB316" s="260"/>
      <c r="AC316" s="260"/>
    </row>
    <row r="317">
      <c r="A317" s="259"/>
      <c r="B317" s="260"/>
      <c r="C317" s="260"/>
      <c r="D317" s="260"/>
      <c r="E317" s="260"/>
      <c r="F317" s="260"/>
      <c r="G317" s="260"/>
      <c r="H317" s="260"/>
      <c r="I317" s="260"/>
      <c r="J317" s="261"/>
      <c r="K317" s="260"/>
      <c r="L317" s="260"/>
      <c r="M317" s="260"/>
      <c r="N317" s="260"/>
      <c r="O317" s="260"/>
      <c r="P317" s="260"/>
      <c r="Q317" s="260"/>
      <c r="R317" s="260"/>
      <c r="S317" s="260"/>
      <c r="T317" s="279"/>
      <c r="U317" s="260"/>
      <c r="V317" s="260"/>
      <c r="W317" s="260"/>
      <c r="X317" s="260"/>
      <c r="Y317" s="260"/>
      <c r="Z317" s="260"/>
      <c r="AA317" s="264"/>
      <c r="AB317" s="260"/>
      <c r="AC317" s="260"/>
    </row>
    <row r="318">
      <c r="A318" s="259"/>
      <c r="B318" s="260"/>
      <c r="C318" s="260"/>
      <c r="D318" s="260"/>
      <c r="E318" s="260"/>
      <c r="F318" s="260"/>
      <c r="G318" s="260"/>
      <c r="H318" s="260"/>
      <c r="I318" s="260"/>
      <c r="J318" s="261"/>
      <c r="K318" s="260"/>
      <c r="L318" s="260"/>
      <c r="M318" s="260"/>
      <c r="N318" s="260"/>
      <c r="O318" s="260"/>
      <c r="P318" s="260"/>
      <c r="Q318" s="260"/>
      <c r="R318" s="260"/>
      <c r="S318" s="260"/>
      <c r="T318" s="279"/>
      <c r="U318" s="260"/>
      <c r="V318" s="260"/>
      <c r="W318" s="260"/>
      <c r="X318" s="260"/>
      <c r="Y318" s="260"/>
      <c r="Z318" s="260"/>
      <c r="AA318" s="264"/>
      <c r="AB318" s="260"/>
      <c r="AC318" s="260"/>
    </row>
    <row r="319">
      <c r="A319" s="259"/>
      <c r="B319" s="260"/>
      <c r="C319" s="260"/>
      <c r="D319" s="260"/>
      <c r="E319" s="260"/>
      <c r="F319" s="260"/>
      <c r="G319" s="260"/>
      <c r="H319" s="260"/>
      <c r="I319" s="260"/>
      <c r="J319" s="261"/>
      <c r="K319" s="260"/>
      <c r="L319" s="260"/>
      <c r="M319" s="260"/>
      <c r="N319" s="260"/>
      <c r="O319" s="260"/>
      <c r="P319" s="260"/>
      <c r="Q319" s="260"/>
      <c r="R319" s="260"/>
      <c r="S319" s="260"/>
      <c r="T319" s="279"/>
      <c r="U319" s="260"/>
      <c r="V319" s="260"/>
      <c r="W319" s="260"/>
      <c r="X319" s="260"/>
      <c r="Y319" s="260"/>
      <c r="Z319" s="260"/>
      <c r="AA319" s="264"/>
      <c r="AB319" s="260"/>
      <c r="AC319" s="260"/>
    </row>
    <row r="320">
      <c r="A320" s="259"/>
      <c r="B320" s="260"/>
      <c r="C320" s="260"/>
      <c r="D320" s="260"/>
      <c r="E320" s="260"/>
      <c r="F320" s="260"/>
      <c r="G320" s="260"/>
      <c r="H320" s="260"/>
      <c r="I320" s="260"/>
      <c r="J320" s="261"/>
      <c r="K320" s="260"/>
      <c r="L320" s="260"/>
      <c r="M320" s="260"/>
      <c r="N320" s="260"/>
      <c r="O320" s="260"/>
      <c r="P320" s="260"/>
      <c r="Q320" s="260"/>
      <c r="R320" s="260"/>
      <c r="S320" s="260"/>
      <c r="T320" s="279"/>
      <c r="U320" s="260"/>
      <c r="V320" s="260"/>
      <c r="W320" s="260"/>
      <c r="X320" s="260"/>
      <c r="Y320" s="260"/>
      <c r="Z320" s="260"/>
      <c r="AA320" s="264"/>
      <c r="AB320" s="260"/>
      <c r="AC320" s="260"/>
    </row>
    <row r="321">
      <c r="A321" s="259"/>
      <c r="B321" s="260"/>
      <c r="C321" s="260"/>
      <c r="D321" s="260"/>
      <c r="E321" s="260"/>
      <c r="F321" s="260"/>
      <c r="G321" s="260"/>
      <c r="H321" s="260"/>
      <c r="I321" s="260"/>
      <c r="J321" s="261"/>
      <c r="K321" s="260"/>
      <c r="L321" s="260"/>
      <c r="M321" s="260"/>
      <c r="N321" s="260"/>
      <c r="O321" s="260"/>
      <c r="P321" s="260"/>
      <c r="Q321" s="260"/>
      <c r="R321" s="260"/>
      <c r="S321" s="260"/>
      <c r="T321" s="279"/>
      <c r="U321" s="260"/>
      <c r="V321" s="260"/>
      <c r="W321" s="260"/>
      <c r="X321" s="260"/>
      <c r="Y321" s="260"/>
      <c r="Z321" s="260"/>
      <c r="AA321" s="264"/>
      <c r="AB321" s="260"/>
      <c r="AC321" s="260"/>
    </row>
    <row r="322">
      <c r="A322" s="259"/>
      <c r="B322" s="260"/>
      <c r="C322" s="260"/>
      <c r="D322" s="260"/>
      <c r="E322" s="260"/>
      <c r="F322" s="260"/>
      <c r="G322" s="260"/>
      <c r="H322" s="260"/>
      <c r="I322" s="260"/>
      <c r="J322" s="261"/>
      <c r="K322" s="260"/>
      <c r="L322" s="260"/>
      <c r="M322" s="260"/>
      <c r="N322" s="260"/>
      <c r="O322" s="260"/>
      <c r="P322" s="260"/>
      <c r="Q322" s="260"/>
      <c r="R322" s="260"/>
      <c r="S322" s="260"/>
      <c r="T322" s="279"/>
      <c r="U322" s="260"/>
      <c r="V322" s="260"/>
      <c r="W322" s="260"/>
      <c r="X322" s="260"/>
      <c r="Y322" s="260"/>
      <c r="Z322" s="260"/>
      <c r="AA322" s="264"/>
      <c r="AB322" s="260"/>
      <c r="AC322" s="260"/>
    </row>
    <row r="323">
      <c r="A323" s="259"/>
      <c r="B323" s="260"/>
      <c r="C323" s="260"/>
      <c r="D323" s="260"/>
      <c r="E323" s="260"/>
      <c r="F323" s="260"/>
      <c r="G323" s="260"/>
      <c r="H323" s="260"/>
      <c r="I323" s="260"/>
      <c r="J323" s="261"/>
      <c r="K323" s="260"/>
      <c r="L323" s="260"/>
      <c r="M323" s="260"/>
      <c r="N323" s="260"/>
      <c r="O323" s="260"/>
      <c r="P323" s="260"/>
      <c r="Q323" s="260"/>
      <c r="R323" s="260"/>
      <c r="S323" s="260"/>
      <c r="T323" s="279"/>
      <c r="U323" s="260"/>
      <c r="V323" s="260"/>
      <c r="W323" s="260"/>
      <c r="X323" s="260"/>
      <c r="Y323" s="260"/>
      <c r="Z323" s="260"/>
      <c r="AA323" s="264"/>
      <c r="AB323" s="260"/>
      <c r="AC323" s="260"/>
    </row>
    <row r="324">
      <c r="A324" s="259"/>
      <c r="B324" s="260"/>
      <c r="C324" s="260"/>
      <c r="D324" s="260"/>
      <c r="E324" s="260"/>
      <c r="F324" s="260"/>
      <c r="G324" s="260"/>
      <c r="H324" s="260"/>
      <c r="I324" s="260"/>
      <c r="J324" s="261"/>
      <c r="K324" s="260"/>
      <c r="L324" s="260"/>
      <c r="M324" s="260"/>
      <c r="N324" s="260"/>
      <c r="O324" s="260"/>
      <c r="P324" s="260"/>
      <c r="Q324" s="260"/>
      <c r="R324" s="260"/>
      <c r="S324" s="260"/>
      <c r="T324" s="279"/>
      <c r="U324" s="260"/>
      <c r="V324" s="260"/>
      <c r="W324" s="260"/>
      <c r="X324" s="260"/>
      <c r="Y324" s="260"/>
      <c r="Z324" s="260"/>
      <c r="AA324" s="264"/>
      <c r="AB324" s="260"/>
      <c r="AC324" s="260"/>
    </row>
    <row r="325">
      <c r="A325" s="259"/>
      <c r="B325" s="260"/>
      <c r="C325" s="260"/>
      <c r="D325" s="260"/>
      <c r="E325" s="260"/>
      <c r="F325" s="260"/>
      <c r="G325" s="260"/>
      <c r="H325" s="260"/>
      <c r="I325" s="260"/>
      <c r="J325" s="261"/>
      <c r="K325" s="260"/>
      <c r="L325" s="260"/>
      <c r="M325" s="260"/>
      <c r="N325" s="260"/>
      <c r="O325" s="260"/>
      <c r="P325" s="260"/>
      <c r="Q325" s="260"/>
      <c r="R325" s="260"/>
      <c r="S325" s="260"/>
      <c r="T325" s="279"/>
      <c r="U325" s="260"/>
      <c r="V325" s="260"/>
      <c r="W325" s="260"/>
      <c r="X325" s="260"/>
      <c r="Y325" s="260"/>
      <c r="Z325" s="260"/>
      <c r="AA325" s="264"/>
      <c r="AB325" s="260"/>
      <c r="AC325" s="260"/>
    </row>
    <row r="326">
      <c r="A326" s="259"/>
      <c r="B326" s="260"/>
      <c r="C326" s="260"/>
      <c r="D326" s="260"/>
      <c r="E326" s="260"/>
      <c r="F326" s="260"/>
      <c r="G326" s="260"/>
      <c r="H326" s="260"/>
      <c r="I326" s="260"/>
      <c r="J326" s="261"/>
      <c r="K326" s="260"/>
      <c r="L326" s="260"/>
      <c r="M326" s="260"/>
      <c r="N326" s="260"/>
      <c r="O326" s="260"/>
      <c r="P326" s="260"/>
      <c r="Q326" s="260"/>
      <c r="R326" s="260"/>
      <c r="S326" s="260"/>
      <c r="T326" s="279"/>
      <c r="U326" s="260"/>
      <c r="V326" s="260"/>
      <c r="W326" s="260"/>
      <c r="X326" s="260"/>
      <c r="Y326" s="260"/>
      <c r="Z326" s="260"/>
      <c r="AA326" s="264"/>
      <c r="AB326" s="260"/>
      <c r="AC326" s="260"/>
    </row>
    <row r="327">
      <c r="A327" s="259"/>
      <c r="B327" s="260"/>
      <c r="C327" s="260"/>
      <c r="D327" s="260"/>
      <c r="E327" s="260"/>
      <c r="F327" s="260"/>
      <c r="G327" s="260"/>
      <c r="H327" s="260"/>
      <c r="I327" s="260"/>
      <c r="J327" s="261"/>
      <c r="K327" s="260"/>
      <c r="L327" s="260"/>
      <c r="M327" s="260"/>
      <c r="N327" s="260"/>
      <c r="O327" s="260"/>
      <c r="P327" s="260"/>
      <c r="Q327" s="260"/>
      <c r="R327" s="260"/>
      <c r="S327" s="260"/>
      <c r="T327" s="279"/>
      <c r="U327" s="260"/>
      <c r="V327" s="260"/>
      <c r="W327" s="260"/>
      <c r="X327" s="260"/>
      <c r="Y327" s="260"/>
      <c r="Z327" s="260"/>
      <c r="AA327" s="264"/>
      <c r="AB327" s="260"/>
      <c r="AC327" s="260"/>
    </row>
    <row r="328">
      <c r="A328" s="259"/>
      <c r="B328" s="260"/>
      <c r="C328" s="260"/>
      <c r="D328" s="260"/>
      <c r="E328" s="260"/>
      <c r="F328" s="260"/>
      <c r="G328" s="260"/>
      <c r="H328" s="260"/>
      <c r="I328" s="260"/>
      <c r="J328" s="261"/>
      <c r="K328" s="260"/>
      <c r="L328" s="260"/>
      <c r="M328" s="260"/>
      <c r="N328" s="260"/>
      <c r="O328" s="260"/>
      <c r="P328" s="260"/>
      <c r="Q328" s="260"/>
      <c r="R328" s="260"/>
      <c r="S328" s="260"/>
      <c r="T328" s="279"/>
      <c r="U328" s="260"/>
      <c r="V328" s="260"/>
      <c r="W328" s="260"/>
      <c r="X328" s="260"/>
      <c r="Y328" s="260"/>
      <c r="Z328" s="260"/>
      <c r="AA328" s="264"/>
      <c r="AB328" s="260"/>
      <c r="AC328" s="260"/>
    </row>
    <row r="329">
      <c r="A329" s="259"/>
      <c r="B329" s="260"/>
      <c r="C329" s="260"/>
      <c r="D329" s="260"/>
      <c r="E329" s="260"/>
      <c r="F329" s="260"/>
      <c r="G329" s="260"/>
      <c r="H329" s="260"/>
      <c r="I329" s="260"/>
      <c r="J329" s="261"/>
      <c r="K329" s="260"/>
      <c r="L329" s="260"/>
      <c r="M329" s="260"/>
      <c r="N329" s="260"/>
      <c r="O329" s="260"/>
      <c r="P329" s="260"/>
      <c r="Q329" s="260"/>
      <c r="R329" s="260"/>
      <c r="S329" s="260"/>
      <c r="T329" s="279"/>
      <c r="U329" s="260"/>
      <c r="V329" s="260"/>
      <c r="W329" s="260"/>
      <c r="X329" s="260"/>
      <c r="Y329" s="260"/>
      <c r="Z329" s="260"/>
      <c r="AA329" s="264"/>
      <c r="AB329" s="260"/>
      <c r="AC329" s="260"/>
    </row>
    <row r="330">
      <c r="A330" s="259"/>
      <c r="B330" s="260"/>
      <c r="C330" s="260"/>
      <c r="D330" s="260"/>
      <c r="E330" s="260"/>
      <c r="F330" s="260"/>
      <c r="G330" s="260"/>
      <c r="H330" s="260"/>
      <c r="I330" s="260"/>
      <c r="J330" s="261"/>
      <c r="K330" s="260"/>
      <c r="L330" s="260"/>
      <c r="M330" s="260"/>
      <c r="N330" s="260"/>
      <c r="O330" s="260"/>
      <c r="P330" s="260"/>
      <c r="Q330" s="260"/>
      <c r="R330" s="260"/>
      <c r="S330" s="260"/>
      <c r="T330" s="279"/>
      <c r="U330" s="260"/>
      <c r="V330" s="260"/>
      <c r="W330" s="260"/>
      <c r="X330" s="260"/>
      <c r="Y330" s="260"/>
      <c r="Z330" s="260"/>
      <c r="AA330" s="264"/>
      <c r="AB330" s="260"/>
      <c r="AC330" s="260"/>
    </row>
    <row r="331">
      <c r="A331" s="259"/>
      <c r="B331" s="260"/>
      <c r="C331" s="260"/>
      <c r="D331" s="260"/>
      <c r="E331" s="260"/>
      <c r="F331" s="260"/>
      <c r="G331" s="260"/>
      <c r="H331" s="260"/>
      <c r="I331" s="260"/>
      <c r="J331" s="261"/>
      <c r="K331" s="260"/>
      <c r="L331" s="260"/>
      <c r="M331" s="260"/>
      <c r="N331" s="260"/>
      <c r="O331" s="260"/>
      <c r="P331" s="260"/>
      <c r="Q331" s="260"/>
      <c r="R331" s="260"/>
      <c r="S331" s="260"/>
      <c r="T331" s="279"/>
      <c r="U331" s="260"/>
      <c r="V331" s="260"/>
      <c r="W331" s="260"/>
      <c r="X331" s="260"/>
      <c r="Y331" s="260"/>
      <c r="Z331" s="260"/>
      <c r="AA331" s="264"/>
      <c r="AB331" s="260"/>
      <c r="AC331" s="260"/>
    </row>
    <row r="332">
      <c r="A332" s="259"/>
      <c r="B332" s="260"/>
      <c r="C332" s="260"/>
      <c r="D332" s="260"/>
      <c r="E332" s="260"/>
      <c r="F332" s="260"/>
      <c r="G332" s="260"/>
      <c r="H332" s="260"/>
      <c r="I332" s="260"/>
      <c r="J332" s="261"/>
      <c r="K332" s="260"/>
      <c r="L332" s="260"/>
      <c r="M332" s="260"/>
      <c r="N332" s="260"/>
      <c r="O332" s="260"/>
      <c r="P332" s="260"/>
      <c r="Q332" s="260"/>
      <c r="R332" s="260"/>
      <c r="S332" s="260"/>
      <c r="T332" s="279"/>
      <c r="U332" s="260"/>
      <c r="V332" s="260"/>
      <c r="W332" s="260"/>
      <c r="X332" s="260"/>
      <c r="Y332" s="260"/>
      <c r="Z332" s="260"/>
      <c r="AA332" s="264"/>
      <c r="AB332" s="260"/>
      <c r="AC332" s="260"/>
    </row>
    <row r="333">
      <c r="A333" s="259"/>
      <c r="B333" s="260"/>
      <c r="C333" s="260"/>
      <c r="D333" s="260"/>
      <c r="E333" s="260"/>
      <c r="F333" s="260"/>
      <c r="G333" s="260"/>
      <c r="H333" s="260"/>
      <c r="I333" s="260"/>
      <c r="J333" s="261"/>
      <c r="K333" s="260"/>
      <c r="L333" s="260"/>
      <c r="M333" s="260"/>
      <c r="N333" s="260"/>
      <c r="O333" s="260"/>
      <c r="P333" s="260"/>
      <c r="Q333" s="260"/>
      <c r="R333" s="260"/>
      <c r="S333" s="260"/>
      <c r="T333" s="279"/>
      <c r="U333" s="260"/>
      <c r="V333" s="260"/>
      <c r="W333" s="260"/>
      <c r="X333" s="260"/>
      <c r="Y333" s="260"/>
      <c r="Z333" s="260"/>
      <c r="AA333" s="264"/>
      <c r="AB333" s="260"/>
      <c r="AC333" s="260"/>
    </row>
    <row r="334">
      <c r="A334" s="259"/>
      <c r="B334" s="260"/>
      <c r="C334" s="260"/>
      <c r="D334" s="260"/>
      <c r="E334" s="260"/>
      <c r="F334" s="260"/>
      <c r="G334" s="260"/>
      <c r="H334" s="260"/>
      <c r="I334" s="260"/>
      <c r="J334" s="261"/>
      <c r="K334" s="260"/>
      <c r="L334" s="260"/>
      <c r="M334" s="260"/>
      <c r="N334" s="260"/>
      <c r="O334" s="260"/>
      <c r="P334" s="260"/>
      <c r="Q334" s="260"/>
      <c r="R334" s="260"/>
      <c r="S334" s="260"/>
      <c r="T334" s="279"/>
      <c r="U334" s="260"/>
      <c r="V334" s="260"/>
      <c r="W334" s="260"/>
      <c r="X334" s="260"/>
      <c r="Y334" s="260"/>
      <c r="Z334" s="260"/>
      <c r="AA334" s="264"/>
      <c r="AB334" s="260"/>
      <c r="AC334" s="260"/>
    </row>
    <row r="335">
      <c r="A335" s="259"/>
      <c r="B335" s="260"/>
      <c r="C335" s="260"/>
      <c r="D335" s="260"/>
      <c r="E335" s="260"/>
      <c r="F335" s="260"/>
      <c r="G335" s="260"/>
      <c r="H335" s="260"/>
      <c r="I335" s="260"/>
      <c r="J335" s="261"/>
      <c r="K335" s="260"/>
      <c r="L335" s="260"/>
      <c r="M335" s="260"/>
      <c r="N335" s="260"/>
      <c r="O335" s="260"/>
      <c r="P335" s="260"/>
      <c r="Q335" s="260"/>
      <c r="R335" s="260"/>
      <c r="S335" s="260"/>
      <c r="T335" s="279"/>
      <c r="U335" s="260"/>
      <c r="V335" s="260"/>
      <c r="W335" s="260"/>
      <c r="X335" s="260"/>
      <c r="Y335" s="260"/>
      <c r="Z335" s="260"/>
      <c r="AA335" s="264"/>
      <c r="AB335" s="260"/>
      <c r="AC335" s="260"/>
    </row>
    <row r="336">
      <c r="A336" s="259"/>
      <c r="B336" s="260"/>
      <c r="C336" s="260"/>
      <c r="D336" s="260"/>
      <c r="E336" s="260"/>
      <c r="F336" s="260"/>
      <c r="G336" s="260"/>
      <c r="H336" s="260"/>
      <c r="I336" s="260"/>
      <c r="J336" s="261"/>
      <c r="K336" s="260"/>
      <c r="L336" s="260"/>
      <c r="M336" s="260"/>
      <c r="N336" s="260"/>
      <c r="O336" s="260"/>
      <c r="P336" s="260"/>
      <c r="Q336" s="260"/>
      <c r="R336" s="260"/>
      <c r="S336" s="260"/>
      <c r="T336" s="279"/>
      <c r="U336" s="260"/>
      <c r="V336" s="260"/>
      <c r="W336" s="260"/>
      <c r="X336" s="260"/>
      <c r="Y336" s="260"/>
      <c r="Z336" s="260"/>
      <c r="AA336" s="264"/>
      <c r="AB336" s="260"/>
      <c r="AC336" s="260"/>
    </row>
    <row r="337">
      <c r="A337" s="259"/>
      <c r="B337" s="260"/>
      <c r="C337" s="260"/>
      <c r="D337" s="260"/>
      <c r="E337" s="260"/>
      <c r="F337" s="260"/>
      <c r="G337" s="260"/>
      <c r="H337" s="260"/>
      <c r="I337" s="260"/>
      <c r="J337" s="261"/>
      <c r="K337" s="260"/>
      <c r="L337" s="260"/>
      <c r="M337" s="260"/>
      <c r="N337" s="260"/>
      <c r="O337" s="260"/>
      <c r="P337" s="260"/>
      <c r="Q337" s="260"/>
      <c r="R337" s="260"/>
      <c r="S337" s="260"/>
      <c r="T337" s="279"/>
      <c r="U337" s="260"/>
      <c r="V337" s="260"/>
      <c r="W337" s="260"/>
      <c r="X337" s="260"/>
      <c r="Y337" s="260"/>
      <c r="Z337" s="260"/>
      <c r="AA337" s="264"/>
      <c r="AB337" s="260"/>
      <c r="AC337" s="260"/>
    </row>
    <row r="338">
      <c r="A338" s="259"/>
      <c r="B338" s="260"/>
      <c r="C338" s="260"/>
      <c r="D338" s="260"/>
      <c r="E338" s="260"/>
      <c r="F338" s="260"/>
      <c r="G338" s="260"/>
      <c r="H338" s="260"/>
      <c r="I338" s="260"/>
      <c r="J338" s="261"/>
      <c r="K338" s="260"/>
      <c r="L338" s="260"/>
      <c r="M338" s="260"/>
      <c r="N338" s="260"/>
      <c r="O338" s="260"/>
      <c r="P338" s="260"/>
      <c r="Q338" s="260"/>
      <c r="R338" s="260"/>
      <c r="S338" s="260"/>
      <c r="T338" s="279"/>
      <c r="U338" s="260"/>
      <c r="V338" s="260"/>
      <c r="W338" s="260"/>
      <c r="X338" s="260"/>
      <c r="Y338" s="260"/>
      <c r="Z338" s="260"/>
      <c r="AA338" s="264"/>
      <c r="AB338" s="260"/>
      <c r="AC338" s="260"/>
    </row>
    <row r="339">
      <c r="A339" s="259"/>
      <c r="B339" s="260"/>
      <c r="C339" s="260"/>
      <c r="D339" s="260"/>
      <c r="E339" s="260"/>
      <c r="F339" s="260"/>
      <c r="G339" s="260"/>
      <c r="H339" s="260"/>
      <c r="I339" s="260"/>
      <c r="J339" s="261"/>
      <c r="K339" s="260"/>
      <c r="L339" s="260"/>
      <c r="M339" s="260"/>
      <c r="N339" s="260"/>
      <c r="O339" s="260"/>
      <c r="P339" s="260"/>
      <c r="Q339" s="260"/>
      <c r="R339" s="260"/>
      <c r="S339" s="260"/>
      <c r="T339" s="279"/>
      <c r="U339" s="260"/>
      <c r="V339" s="260"/>
      <c r="W339" s="260"/>
      <c r="X339" s="260"/>
      <c r="Y339" s="260"/>
      <c r="Z339" s="260"/>
      <c r="AA339" s="264"/>
      <c r="AB339" s="260"/>
      <c r="AC339" s="260"/>
    </row>
    <row r="340">
      <c r="A340" s="259"/>
      <c r="B340" s="260"/>
      <c r="C340" s="260"/>
      <c r="D340" s="260"/>
      <c r="E340" s="260"/>
      <c r="F340" s="260"/>
      <c r="G340" s="260"/>
      <c r="H340" s="260"/>
      <c r="I340" s="260"/>
      <c r="J340" s="261"/>
      <c r="K340" s="260"/>
      <c r="L340" s="260"/>
      <c r="M340" s="260"/>
      <c r="N340" s="260"/>
      <c r="O340" s="260"/>
      <c r="P340" s="260"/>
      <c r="Q340" s="260"/>
      <c r="R340" s="260"/>
      <c r="S340" s="260"/>
      <c r="T340" s="279"/>
      <c r="U340" s="260"/>
      <c r="V340" s="260"/>
      <c r="W340" s="260"/>
      <c r="X340" s="260"/>
      <c r="Y340" s="260"/>
      <c r="Z340" s="260"/>
      <c r="AA340" s="264"/>
      <c r="AB340" s="260"/>
      <c r="AC340" s="260"/>
    </row>
    <row r="341">
      <c r="A341" s="259"/>
      <c r="B341" s="260"/>
      <c r="C341" s="260"/>
      <c r="D341" s="260"/>
      <c r="E341" s="260"/>
      <c r="F341" s="260"/>
      <c r="G341" s="260"/>
      <c r="H341" s="260"/>
      <c r="I341" s="260"/>
      <c r="J341" s="261"/>
      <c r="K341" s="260"/>
      <c r="L341" s="260"/>
      <c r="M341" s="260"/>
      <c r="N341" s="260"/>
      <c r="O341" s="260"/>
      <c r="P341" s="260"/>
      <c r="Q341" s="260"/>
      <c r="R341" s="260"/>
      <c r="S341" s="260"/>
      <c r="T341" s="279"/>
      <c r="U341" s="260"/>
      <c r="V341" s="260"/>
      <c r="W341" s="260"/>
      <c r="X341" s="260"/>
      <c r="Y341" s="260"/>
      <c r="Z341" s="260"/>
      <c r="AA341" s="264"/>
      <c r="AB341" s="260"/>
      <c r="AC341" s="260"/>
    </row>
    <row r="342">
      <c r="A342" s="259"/>
      <c r="B342" s="260"/>
      <c r="C342" s="260"/>
      <c r="D342" s="260"/>
      <c r="E342" s="260"/>
      <c r="F342" s="260"/>
      <c r="G342" s="260"/>
      <c r="H342" s="260"/>
      <c r="I342" s="260"/>
      <c r="J342" s="261"/>
      <c r="K342" s="260"/>
      <c r="L342" s="260"/>
      <c r="M342" s="260"/>
      <c r="N342" s="260"/>
      <c r="O342" s="260"/>
      <c r="P342" s="260"/>
      <c r="Q342" s="260"/>
      <c r="R342" s="260"/>
      <c r="S342" s="260"/>
      <c r="T342" s="279"/>
      <c r="U342" s="260"/>
      <c r="V342" s="260"/>
      <c r="W342" s="260"/>
      <c r="X342" s="260"/>
      <c r="Y342" s="260"/>
      <c r="Z342" s="260"/>
      <c r="AA342" s="264"/>
      <c r="AB342" s="260"/>
      <c r="AC342" s="260"/>
    </row>
    <row r="343">
      <c r="A343" s="259"/>
      <c r="B343" s="260"/>
      <c r="C343" s="260"/>
      <c r="D343" s="260"/>
      <c r="E343" s="260"/>
      <c r="F343" s="260"/>
      <c r="G343" s="260"/>
      <c r="H343" s="260"/>
      <c r="I343" s="260"/>
      <c r="J343" s="261"/>
      <c r="K343" s="260"/>
      <c r="L343" s="260"/>
      <c r="M343" s="260"/>
      <c r="N343" s="260"/>
      <c r="O343" s="260"/>
      <c r="P343" s="260"/>
      <c r="Q343" s="260"/>
      <c r="R343" s="260"/>
      <c r="S343" s="260"/>
      <c r="T343" s="279"/>
      <c r="U343" s="260"/>
      <c r="V343" s="260"/>
      <c r="W343" s="260"/>
      <c r="X343" s="260"/>
      <c r="Y343" s="260"/>
      <c r="Z343" s="260"/>
      <c r="AA343" s="264"/>
      <c r="AB343" s="260"/>
      <c r="AC343" s="260"/>
    </row>
    <row r="344">
      <c r="A344" s="259"/>
      <c r="B344" s="260"/>
      <c r="C344" s="260"/>
      <c r="D344" s="260"/>
      <c r="E344" s="260"/>
      <c r="F344" s="260"/>
      <c r="G344" s="260"/>
      <c r="H344" s="260"/>
      <c r="I344" s="260"/>
      <c r="J344" s="261"/>
      <c r="K344" s="260"/>
      <c r="L344" s="260"/>
      <c r="M344" s="260"/>
      <c r="N344" s="260"/>
      <c r="O344" s="260"/>
      <c r="P344" s="260"/>
      <c r="Q344" s="260"/>
      <c r="R344" s="260"/>
      <c r="S344" s="260"/>
      <c r="T344" s="279"/>
      <c r="U344" s="260"/>
      <c r="V344" s="260"/>
      <c r="W344" s="260"/>
      <c r="X344" s="260"/>
      <c r="Y344" s="260"/>
      <c r="Z344" s="260"/>
      <c r="AA344" s="264"/>
      <c r="AB344" s="260"/>
      <c r="AC344" s="260"/>
    </row>
    <row r="345">
      <c r="A345" s="259"/>
      <c r="B345" s="260"/>
      <c r="C345" s="260"/>
      <c r="D345" s="260"/>
      <c r="E345" s="260"/>
      <c r="F345" s="260"/>
      <c r="G345" s="260"/>
      <c r="H345" s="260"/>
      <c r="I345" s="260"/>
      <c r="J345" s="261"/>
      <c r="K345" s="260"/>
      <c r="L345" s="260"/>
      <c r="M345" s="260"/>
      <c r="N345" s="260"/>
      <c r="O345" s="260"/>
      <c r="P345" s="260"/>
      <c r="Q345" s="260"/>
      <c r="R345" s="260"/>
      <c r="S345" s="260"/>
      <c r="T345" s="279"/>
      <c r="U345" s="260"/>
      <c r="V345" s="260"/>
      <c r="W345" s="260"/>
      <c r="X345" s="260"/>
      <c r="Y345" s="260"/>
      <c r="Z345" s="260"/>
      <c r="AA345" s="264"/>
      <c r="AB345" s="260"/>
      <c r="AC345" s="260"/>
    </row>
    <row r="346">
      <c r="A346" s="259"/>
      <c r="B346" s="260"/>
      <c r="C346" s="260"/>
      <c r="D346" s="260"/>
      <c r="E346" s="260"/>
      <c r="F346" s="260"/>
      <c r="G346" s="260"/>
      <c r="H346" s="260"/>
      <c r="I346" s="260"/>
      <c r="J346" s="261"/>
      <c r="K346" s="260"/>
      <c r="L346" s="260"/>
      <c r="M346" s="260"/>
      <c r="N346" s="260"/>
      <c r="O346" s="260"/>
      <c r="P346" s="260"/>
      <c r="Q346" s="260"/>
      <c r="R346" s="260"/>
      <c r="S346" s="260"/>
      <c r="T346" s="279"/>
      <c r="U346" s="260"/>
      <c r="V346" s="260"/>
      <c r="W346" s="260"/>
      <c r="X346" s="260"/>
      <c r="Y346" s="260"/>
      <c r="Z346" s="260"/>
      <c r="AA346" s="264"/>
      <c r="AB346" s="260"/>
      <c r="AC346" s="260"/>
    </row>
    <row r="347">
      <c r="A347" s="259"/>
      <c r="B347" s="260"/>
      <c r="C347" s="260"/>
      <c r="D347" s="260"/>
      <c r="E347" s="260"/>
      <c r="F347" s="260"/>
      <c r="G347" s="260"/>
      <c r="H347" s="260"/>
      <c r="I347" s="260"/>
      <c r="J347" s="261"/>
      <c r="K347" s="260"/>
      <c r="L347" s="260"/>
      <c r="M347" s="260"/>
      <c r="N347" s="260"/>
      <c r="O347" s="260"/>
      <c r="P347" s="260"/>
      <c r="Q347" s="260"/>
      <c r="R347" s="260"/>
      <c r="S347" s="260"/>
      <c r="T347" s="279"/>
      <c r="U347" s="260"/>
      <c r="V347" s="260"/>
      <c r="W347" s="260"/>
      <c r="X347" s="260"/>
      <c r="Y347" s="260"/>
      <c r="Z347" s="260"/>
      <c r="AA347" s="264"/>
      <c r="AB347" s="260"/>
      <c r="AC347" s="260"/>
    </row>
    <row r="348">
      <c r="A348" s="259"/>
      <c r="B348" s="260"/>
      <c r="C348" s="260"/>
      <c r="D348" s="260"/>
      <c r="E348" s="260"/>
      <c r="F348" s="260"/>
      <c r="G348" s="260"/>
      <c r="H348" s="260"/>
      <c r="I348" s="260"/>
      <c r="J348" s="261"/>
      <c r="K348" s="260"/>
      <c r="L348" s="260"/>
      <c r="M348" s="260"/>
      <c r="N348" s="260"/>
      <c r="O348" s="260"/>
      <c r="P348" s="260"/>
      <c r="Q348" s="260"/>
      <c r="R348" s="260"/>
      <c r="S348" s="260"/>
      <c r="T348" s="279"/>
      <c r="U348" s="260"/>
      <c r="V348" s="260"/>
      <c r="W348" s="260"/>
      <c r="X348" s="260"/>
      <c r="Y348" s="260"/>
      <c r="Z348" s="260"/>
      <c r="AA348" s="264"/>
      <c r="AB348" s="260"/>
      <c r="AC348" s="260"/>
    </row>
    <row r="349">
      <c r="A349" s="259"/>
      <c r="B349" s="260"/>
      <c r="C349" s="260"/>
      <c r="D349" s="260"/>
      <c r="E349" s="260"/>
      <c r="F349" s="260"/>
      <c r="G349" s="260"/>
      <c r="H349" s="260"/>
      <c r="I349" s="260"/>
      <c r="J349" s="261"/>
      <c r="K349" s="260"/>
      <c r="L349" s="260"/>
      <c r="M349" s="260"/>
      <c r="N349" s="260"/>
      <c r="O349" s="260"/>
      <c r="P349" s="260"/>
      <c r="Q349" s="260"/>
      <c r="R349" s="260"/>
      <c r="S349" s="260"/>
      <c r="T349" s="279"/>
      <c r="U349" s="260"/>
      <c r="V349" s="260"/>
      <c r="W349" s="260"/>
      <c r="X349" s="260"/>
      <c r="Y349" s="260"/>
      <c r="Z349" s="260"/>
      <c r="AA349" s="264"/>
      <c r="AB349" s="260"/>
      <c r="AC349" s="260"/>
    </row>
    <row r="350">
      <c r="A350" s="259"/>
      <c r="B350" s="260"/>
      <c r="C350" s="260"/>
      <c r="D350" s="260"/>
      <c r="E350" s="260"/>
      <c r="F350" s="260"/>
      <c r="G350" s="260"/>
      <c r="H350" s="260"/>
      <c r="I350" s="260"/>
      <c r="J350" s="261"/>
      <c r="K350" s="260"/>
      <c r="L350" s="260"/>
      <c r="M350" s="260"/>
      <c r="N350" s="260"/>
      <c r="O350" s="260"/>
      <c r="P350" s="260"/>
      <c r="Q350" s="260"/>
      <c r="R350" s="260"/>
      <c r="S350" s="260"/>
      <c r="T350" s="279"/>
      <c r="U350" s="260"/>
      <c r="V350" s="260"/>
      <c r="W350" s="260"/>
      <c r="X350" s="260"/>
      <c r="Y350" s="260"/>
      <c r="Z350" s="260"/>
      <c r="AA350" s="264"/>
      <c r="AB350" s="260"/>
      <c r="AC350" s="260"/>
    </row>
    <row r="351">
      <c r="A351" s="259"/>
      <c r="B351" s="260"/>
      <c r="C351" s="260"/>
      <c r="D351" s="260"/>
      <c r="E351" s="260"/>
      <c r="F351" s="260"/>
      <c r="G351" s="260"/>
      <c r="H351" s="260"/>
      <c r="I351" s="260"/>
      <c r="J351" s="261"/>
      <c r="K351" s="260"/>
      <c r="L351" s="260"/>
      <c r="M351" s="260"/>
      <c r="N351" s="260"/>
      <c r="O351" s="260"/>
      <c r="P351" s="260"/>
      <c r="Q351" s="260"/>
      <c r="R351" s="260"/>
      <c r="S351" s="260"/>
      <c r="T351" s="279"/>
      <c r="U351" s="260"/>
      <c r="V351" s="260"/>
      <c r="W351" s="260"/>
      <c r="X351" s="260"/>
      <c r="Y351" s="260"/>
      <c r="Z351" s="260"/>
      <c r="AA351" s="264"/>
      <c r="AB351" s="260"/>
      <c r="AC351" s="260"/>
    </row>
    <row r="352">
      <c r="A352" s="259"/>
      <c r="B352" s="260"/>
      <c r="C352" s="260"/>
      <c r="D352" s="260"/>
      <c r="E352" s="260"/>
      <c r="F352" s="260"/>
      <c r="G352" s="260"/>
      <c r="H352" s="260"/>
      <c r="I352" s="260"/>
      <c r="J352" s="261"/>
      <c r="K352" s="260"/>
      <c r="L352" s="260"/>
      <c r="M352" s="260"/>
      <c r="N352" s="260"/>
      <c r="O352" s="260"/>
      <c r="P352" s="260"/>
      <c r="Q352" s="260"/>
      <c r="R352" s="260"/>
      <c r="S352" s="260"/>
      <c r="T352" s="279"/>
      <c r="U352" s="260"/>
      <c r="V352" s="260"/>
      <c r="W352" s="260"/>
      <c r="X352" s="260"/>
      <c r="Y352" s="260"/>
      <c r="Z352" s="260"/>
      <c r="AA352" s="264"/>
      <c r="AB352" s="260"/>
      <c r="AC352" s="260"/>
    </row>
    <row r="353">
      <c r="A353" s="259"/>
      <c r="B353" s="260"/>
      <c r="C353" s="260"/>
      <c r="D353" s="260"/>
      <c r="E353" s="260"/>
      <c r="F353" s="260"/>
      <c r="G353" s="260"/>
      <c r="H353" s="260"/>
      <c r="I353" s="260"/>
      <c r="J353" s="261"/>
      <c r="K353" s="260"/>
      <c r="L353" s="260"/>
      <c r="M353" s="260"/>
      <c r="N353" s="260"/>
      <c r="O353" s="260"/>
      <c r="P353" s="260"/>
      <c r="Q353" s="260"/>
      <c r="R353" s="260"/>
      <c r="S353" s="260"/>
      <c r="T353" s="279"/>
      <c r="U353" s="260"/>
      <c r="V353" s="260"/>
      <c r="W353" s="260"/>
      <c r="X353" s="260"/>
      <c r="Y353" s="260"/>
      <c r="Z353" s="260"/>
      <c r="AA353" s="264"/>
      <c r="AB353" s="260"/>
      <c r="AC353" s="260"/>
    </row>
    <row r="354">
      <c r="A354" s="259"/>
      <c r="B354" s="260"/>
      <c r="C354" s="260"/>
      <c r="D354" s="260"/>
      <c r="E354" s="260"/>
      <c r="F354" s="260"/>
      <c r="G354" s="260"/>
      <c r="H354" s="260"/>
      <c r="I354" s="260"/>
      <c r="J354" s="261"/>
      <c r="K354" s="260"/>
      <c r="L354" s="260"/>
      <c r="M354" s="260"/>
      <c r="N354" s="260"/>
      <c r="O354" s="260"/>
      <c r="P354" s="260"/>
      <c r="Q354" s="260"/>
      <c r="R354" s="260"/>
      <c r="S354" s="260"/>
      <c r="T354" s="279"/>
      <c r="U354" s="260"/>
      <c r="V354" s="260"/>
      <c r="W354" s="260"/>
      <c r="X354" s="260"/>
      <c r="Y354" s="260"/>
      <c r="Z354" s="260"/>
      <c r="AA354" s="264"/>
      <c r="AB354" s="260"/>
      <c r="AC354" s="260"/>
    </row>
    <row r="355">
      <c r="A355" s="259"/>
      <c r="B355" s="260"/>
      <c r="C355" s="260"/>
      <c r="D355" s="260"/>
      <c r="E355" s="260"/>
      <c r="F355" s="260"/>
      <c r="G355" s="260"/>
      <c r="H355" s="260"/>
      <c r="I355" s="260"/>
      <c r="J355" s="261"/>
      <c r="K355" s="260"/>
      <c r="L355" s="260"/>
      <c r="M355" s="260"/>
      <c r="N355" s="260"/>
      <c r="O355" s="260"/>
      <c r="P355" s="260"/>
      <c r="Q355" s="260"/>
      <c r="R355" s="260"/>
      <c r="S355" s="260"/>
      <c r="T355" s="279"/>
      <c r="U355" s="260"/>
      <c r="V355" s="260"/>
      <c r="W355" s="260"/>
      <c r="X355" s="260"/>
      <c r="Y355" s="260"/>
      <c r="Z355" s="260"/>
      <c r="AA355" s="264"/>
      <c r="AB355" s="260"/>
      <c r="AC355" s="260"/>
    </row>
    <row r="356">
      <c r="A356" s="259"/>
      <c r="B356" s="260"/>
      <c r="C356" s="260"/>
      <c r="D356" s="260"/>
      <c r="E356" s="260"/>
      <c r="F356" s="260"/>
      <c r="G356" s="260"/>
      <c r="H356" s="260"/>
      <c r="I356" s="260"/>
      <c r="J356" s="261"/>
      <c r="K356" s="260"/>
      <c r="L356" s="260"/>
      <c r="M356" s="260"/>
      <c r="N356" s="260"/>
      <c r="O356" s="260"/>
      <c r="P356" s="260"/>
      <c r="Q356" s="260"/>
      <c r="R356" s="260"/>
      <c r="S356" s="260"/>
      <c r="T356" s="279"/>
      <c r="U356" s="260"/>
      <c r="V356" s="260"/>
      <c r="W356" s="260"/>
      <c r="X356" s="260"/>
      <c r="Y356" s="260"/>
      <c r="Z356" s="260"/>
      <c r="AA356" s="264"/>
      <c r="AB356" s="260"/>
      <c r="AC356" s="260"/>
    </row>
    <row r="357">
      <c r="A357" s="259"/>
      <c r="B357" s="260"/>
      <c r="C357" s="260"/>
      <c r="D357" s="260"/>
      <c r="E357" s="260"/>
      <c r="F357" s="260"/>
      <c r="G357" s="260"/>
      <c r="H357" s="260"/>
      <c r="I357" s="260"/>
      <c r="J357" s="261"/>
      <c r="K357" s="260"/>
      <c r="L357" s="260"/>
      <c r="M357" s="260"/>
      <c r="N357" s="260"/>
      <c r="O357" s="260"/>
      <c r="P357" s="260"/>
      <c r="Q357" s="260"/>
      <c r="R357" s="260"/>
      <c r="S357" s="260"/>
      <c r="T357" s="279"/>
      <c r="U357" s="260"/>
      <c r="V357" s="260"/>
      <c r="W357" s="260"/>
      <c r="X357" s="260"/>
      <c r="Y357" s="260"/>
      <c r="Z357" s="260"/>
      <c r="AA357" s="264"/>
      <c r="AB357" s="260"/>
      <c r="AC357" s="260"/>
    </row>
    <row r="358">
      <c r="A358" s="259"/>
      <c r="B358" s="260"/>
      <c r="C358" s="260"/>
      <c r="D358" s="260"/>
      <c r="E358" s="260"/>
      <c r="F358" s="260"/>
      <c r="G358" s="260"/>
      <c r="H358" s="260"/>
      <c r="I358" s="260"/>
      <c r="J358" s="261"/>
      <c r="K358" s="260"/>
      <c r="L358" s="260"/>
      <c r="M358" s="260"/>
      <c r="N358" s="260"/>
      <c r="O358" s="260"/>
      <c r="P358" s="260"/>
      <c r="Q358" s="260"/>
      <c r="R358" s="260"/>
      <c r="S358" s="260"/>
      <c r="T358" s="279"/>
      <c r="U358" s="260"/>
      <c r="V358" s="260"/>
      <c r="W358" s="260"/>
      <c r="X358" s="260"/>
      <c r="Y358" s="260"/>
      <c r="Z358" s="260"/>
      <c r="AA358" s="264"/>
      <c r="AB358" s="260"/>
      <c r="AC358" s="260"/>
    </row>
    <row r="359">
      <c r="A359" s="259"/>
      <c r="B359" s="260"/>
      <c r="C359" s="260"/>
      <c r="D359" s="260"/>
      <c r="E359" s="260"/>
      <c r="F359" s="260"/>
      <c r="G359" s="260"/>
      <c r="H359" s="260"/>
      <c r="I359" s="260"/>
      <c r="J359" s="261"/>
      <c r="K359" s="260"/>
      <c r="L359" s="260"/>
      <c r="M359" s="260"/>
      <c r="N359" s="260"/>
      <c r="O359" s="260"/>
      <c r="P359" s="260"/>
      <c r="Q359" s="260"/>
      <c r="R359" s="260"/>
      <c r="S359" s="260"/>
      <c r="T359" s="279"/>
      <c r="U359" s="260"/>
      <c r="V359" s="260"/>
      <c r="W359" s="260"/>
      <c r="X359" s="260"/>
      <c r="Y359" s="260"/>
      <c r="Z359" s="260"/>
      <c r="AA359" s="264"/>
      <c r="AB359" s="260"/>
      <c r="AC359" s="260"/>
    </row>
    <row r="360">
      <c r="A360" s="259"/>
      <c r="B360" s="260"/>
      <c r="C360" s="260"/>
      <c r="D360" s="260"/>
      <c r="E360" s="260"/>
      <c r="F360" s="260"/>
      <c r="G360" s="260"/>
      <c r="H360" s="260"/>
      <c r="I360" s="260"/>
      <c r="J360" s="261"/>
      <c r="K360" s="260"/>
      <c r="L360" s="260"/>
      <c r="M360" s="260"/>
      <c r="N360" s="260"/>
      <c r="O360" s="260"/>
      <c r="P360" s="260"/>
      <c r="Q360" s="260"/>
      <c r="R360" s="260"/>
      <c r="S360" s="260"/>
      <c r="T360" s="279"/>
      <c r="U360" s="260"/>
      <c r="V360" s="260"/>
      <c r="W360" s="260"/>
      <c r="X360" s="260"/>
      <c r="Y360" s="260"/>
      <c r="Z360" s="260"/>
      <c r="AA360" s="264"/>
      <c r="AB360" s="260"/>
      <c r="AC360" s="260"/>
    </row>
    <row r="361">
      <c r="A361" s="259"/>
      <c r="B361" s="260"/>
      <c r="C361" s="260"/>
      <c r="D361" s="260"/>
      <c r="E361" s="260"/>
      <c r="F361" s="260"/>
      <c r="G361" s="260"/>
      <c r="H361" s="260"/>
      <c r="I361" s="260"/>
      <c r="J361" s="261"/>
      <c r="K361" s="260"/>
      <c r="L361" s="260"/>
      <c r="M361" s="260"/>
      <c r="N361" s="260"/>
      <c r="O361" s="260"/>
      <c r="P361" s="260"/>
      <c r="Q361" s="260"/>
      <c r="R361" s="260"/>
      <c r="S361" s="260"/>
      <c r="T361" s="279"/>
      <c r="U361" s="260"/>
      <c r="V361" s="260"/>
      <c r="W361" s="260"/>
      <c r="X361" s="260"/>
      <c r="Y361" s="260"/>
      <c r="Z361" s="260"/>
      <c r="AA361" s="264"/>
      <c r="AB361" s="260"/>
      <c r="AC361" s="260"/>
    </row>
    <row r="362">
      <c r="A362" s="259"/>
      <c r="B362" s="260"/>
      <c r="C362" s="260"/>
      <c r="D362" s="260"/>
      <c r="E362" s="260"/>
      <c r="F362" s="260"/>
      <c r="G362" s="260"/>
      <c r="H362" s="260"/>
      <c r="I362" s="260"/>
      <c r="J362" s="261"/>
      <c r="K362" s="260"/>
      <c r="L362" s="260"/>
      <c r="M362" s="260"/>
      <c r="N362" s="260"/>
      <c r="O362" s="260"/>
      <c r="P362" s="260"/>
      <c r="Q362" s="260"/>
      <c r="R362" s="260"/>
      <c r="S362" s="260"/>
      <c r="T362" s="279"/>
      <c r="U362" s="260"/>
      <c r="V362" s="260"/>
      <c r="W362" s="260"/>
      <c r="X362" s="260"/>
      <c r="Y362" s="260"/>
      <c r="Z362" s="260"/>
      <c r="AA362" s="264"/>
      <c r="AB362" s="260"/>
      <c r="AC362" s="260"/>
    </row>
    <row r="363">
      <c r="A363" s="259"/>
      <c r="B363" s="260"/>
      <c r="C363" s="260"/>
      <c r="D363" s="260"/>
      <c r="E363" s="260"/>
      <c r="F363" s="260"/>
      <c r="G363" s="260"/>
      <c r="H363" s="260"/>
      <c r="I363" s="260"/>
      <c r="J363" s="261"/>
      <c r="K363" s="260"/>
      <c r="L363" s="260"/>
      <c r="M363" s="260"/>
      <c r="N363" s="260"/>
      <c r="O363" s="260"/>
      <c r="P363" s="260"/>
      <c r="Q363" s="260"/>
      <c r="R363" s="260"/>
      <c r="S363" s="260"/>
      <c r="T363" s="279"/>
      <c r="U363" s="260"/>
      <c r="V363" s="260"/>
      <c r="W363" s="260"/>
      <c r="X363" s="260"/>
      <c r="Y363" s="260"/>
      <c r="Z363" s="260"/>
      <c r="AA363" s="264"/>
      <c r="AB363" s="260"/>
      <c r="AC363" s="260"/>
    </row>
    <row r="364">
      <c r="A364" s="259"/>
      <c r="B364" s="260"/>
      <c r="C364" s="260"/>
      <c r="D364" s="260"/>
      <c r="E364" s="260"/>
      <c r="F364" s="260"/>
      <c r="G364" s="260"/>
      <c r="H364" s="260"/>
      <c r="I364" s="260"/>
      <c r="J364" s="261"/>
      <c r="K364" s="260"/>
      <c r="L364" s="260"/>
      <c r="M364" s="260"/>
      <c r="N364" s="260"/>
      <c r="O364" s="260"/>
      <c r="P364" s="260"/>
      <c r="Q364" s="260"/>
      <c r="R364" s="260"/>
      <c r="S364" s="260"/>
      <c r="T364" s="279"/>
      <c r="U364" s="260"/>
      <c r="V364" s="260"/>
      <c r="W364" s="260"/>
      <c r="X364" s="260"/>
      <c r="Y364" s="260"/>
      <c r="Z364" s="260"/>
      <c r="AA364" s="264"/>
      <c r="AB364" s="260"/>
      <c r="AC364" s="260"/>
    </row>
    <row r="365">
      <c r="A365" s="259"/>
      <c r="B365" s="260"/>
      <c r="C365" s="260"/>
      <c r="D365" s="260"/>
      <c r="E365" s="260"/>
      <c r="F365" s="260"/>
      <c r="G365" s="260"/>
      <c r="H365" s="260"/>
      <c r="I365" s="260"/>
      <c r="J365" s="261"/>
      <c r="K365" s="260"/>
      <c r="L365" s="260"/>
      <c r="M365" s="260"/>
      <c r="N365" s="260"/>
      <c r="O365" s="260"/>
      <c r="P365" s="260"/>
      <c r="Q365" s="260"/>
      <c r="R365" s="260"/>
      <c r="S365" s="260"/>
      <c r="T365" s="279"/>
      <c r="U365" s="260"/>
      <c r="V365" s="260"/>
      <c r="W365" s="260"/>
      <c r="X365" s="260"/>
      <c r="Y365" s="260"/>
      <c r="Z365" s="260"/>
      <c r="AA365" s="264"/>
      <c r="AB365" s="260"/>
      <c r="AC365" s="260"/>
    </row>
    <row r="366">
      <c r="A366" s="259"/>
      <c r="B366" s="260"/>
      <c r="C366" s="260"/>
      <c r="D366" s="260"/>
      <c r="E366" s="260"/>
      <c r="F366" s="260"/>
      <c r="G366" s="260"/>
      <c r="H366" s="260"/>
      <c r="I366" s="260"/>
      <c r="J366" s="261"/>
      <c r="K366" s="260"/>
      <c r="L366" s="260"/>
      <c r="M366" s="260"/>
      <c r="N366" s="260"/>
      <c r="O366" s="260"/>
      <c r="P366" s="260"/>
      <c r="Q366" s="260"/>
      <c r="R366" s="260"/>
      <c r="S366" s="260"/>
      <c r="T366" s="279"/>
      <c r="U366" s="260"/>
      <c r="V366" s="260"/>
      <c r="W366" s="260"/>
      <c r="X366" s="260"/>
      <c r="Y366" s="260"/>
      <c r="Z366" s="260"/>
      <c r="AA366" s="264"/>
      <c r="AB366" s="260"/>
      <c r="AC366" s="260"/>
    </row>
    <row r="367">
      <c r="A367" s="259"/>
      <c r="B367" s="260"/>
      <c r="C367" s="260"/>
      <c r="D367" s="260"/>
      <c r="E367" s="260"/>
      <c r="F367" s="260"/>
      <c r="G367" s="260"/>
      <c r="H367" s="260"/>
      <c r="I367" s="260"/>
      <c r="J367" s="261"/>
      <c r="K367" s="260"/>
      <c r="L367" s="260"/>
      <c r="M367" s="260"/>
      <c r="N367" s="260"/>
      <c r="O367" s="260"/>
      <c r="P367" s="260"/>
      <c r="Q367" s="260"/>
      <c r="R367" s="260"/>
      <c r="S367" s="260"/>
      <c r="T367" s="279"/>
      <c r="U367" s="260"/>
      <c r="V367" s="260"/>
      <c r="W367" s="260"/>
      <c r="X367" s="260"/>
      <c r="Y367" s="260"/>
      <c r="Z367" s="260"/>
      <c r="AA367" s="264"/>
      <c r="AB367" s="260"/>
      <c r="AC367" s="260"/>
    </row>
    <row r="368">
      <c r="A368" s="259"/>
      <c r="B368" s="260"/>
      <c r="C368" s="260"/>
      <c r="D368" s="260"/>
      <c r="E368" s="260"/>
      <c r="F368" s="260"/>
      <c r="G368" s="260"/>
      <c r="H368" s="260"/>
      <c r="I368" s="260"/>
      <c r="J368" s="261"/>
      <c r="K368" s="260"/>
      <c r="L368" s="260"/>
      <c r="M368" s="260"/>
      <c r="N368" s="260"/>
      <c r="O368" s="260"/>
      <c r="P368" s="260"/>
      <c r="Q368" s="260"/>
      <c r="R368" s="260"/>
      <c r="S368" s="260"/>
      <c r="T368" s="279"/>
      <c r="U368" s="260"/>
      <c r="V368" s="260"/>
      <c r="W368" s="260"/>
      <c r="X368" s="260"/>
      <c r="Y368" s="260"/>
      <c r="Z368" s="260"/>
      <c r="AA368" s="264"/>
      <c r="AB368" s="260"/>
      <c r="AC368" s="260"/>
    </row>
    <row r="369">
      <c r="A369" s="259"/>
      <c r="B369" s="260"/>
      <c r="C369" s="260"/>
      <c r="D369" s="260"/>
      <c r="E369" s="260"/>
      <c r="F369" s="260"/>
      <c r="G369" s="260"/>
      <c r="H369" s="260"/>
      <c r="I369" s="260"/>
      <c r="J369" s="261"/>
      <c r="K369" s="260"/>
      <c r="L369" s="260"/>
      <c r="M369" s="260"/>
      <c r="N369" s="260"/>
      <c r="O369" s="260"/>
      <c r="P369" s="260"/>
      <c r="Q369" s="260"/>
      <c r="R369" s="260"/>
      <c r="S369" s="260"/>
      <c r="T369" s="279"/>
      <c r="U369" s="260"/>
      <c r="V369" s="260"/>
      <c r="W369" s="260"/>
      <c r="X369" s="260"/>
      <c r="Y369" s="260"/>
      <c r="Z369" s="260"/>
      <c r="AA369" s="264"/>
      <c r="AB369" s="260"/>
      <c r="AC369" s="260"/>
    </row>
    <row r="370">
      <c r="A370" s="259"/>
      <c r="B370" s="260"/>
      <c r="C370" s="260"/>
      <c r="D370" s="260"/>
      <c r="E370" s="260"/>
      <c r="F370" s="260"/>
      <c r="G370" s="260"/>
      <c r="H370" s="260"/>
      <c r="I370" s="260"/>
      <c r="J370" s="261"/>
      <c r="K370" s="260"/>
      <c r="L370" s="260"/>
      <c r="M370" s="260"/>
      <c r="N370" s="260"/>
      <c r="O370" s="260"/>
      <c r="P370" s="260"/>
      <c r="Q370" s="260"/>
      <c r="R370" s="260"/>
      <c r="S370" s="260"/>
      <c r="T370" s="279"/>
      <c r="U370" s="260"/>
      <c r="V370" s="260"/>
      <c r="W370" s="260"/>
      <c r="X370" s="260"/>
      <c r="Y370" s="260"/>
      <c r="Z370" s="260"/>
      <c r="AA370" s="264"/>
      <c r="AB370" s="260"/>
      <c r="AC370" s="260"/>
    </row>
    <row r="371">
      <c r="A371" s="259"/>
      <c r="B371" s="260"/>
      <c r="C371" s="260"/>
      <c r="D371" s="260"/>
      <c r="E371" s="260"/>
      <c r="F371" s="260"/>
      <c r="G371" s="260"/>
      <c r="H371" s="260"/>
      <c r="I371" s="260"/>
      <c r="J371" s="261"/>
      <c r="K371" s="260"/>
      <c r="L371" s="260"/>
      <c r="M371" s="260"/>
      <c r="N371" s="260"/>
      <c r="O371" s="260"/>
      <c r="P371" s="260"/>
      <c r="Q371" s="260"/>
      <c r="R371" s="260"/>
      <c r="S371" s="260"/>
      <c r="T371" s="279"/>
      <c r="U371" s="260"/>
      <c r="V371" s="260"/>
      <c r="W371" s="260"/>
      <c r="X371" s="260"/>
      <c r="Y371" s="260"/>
      <c r="Z371" s="260"/>
      <c r="AA371" s="264"/>
      <c r="AB371" s="260"/>
      <c r="AC371" s="260"/>
    </row>
    <row r="372">
      <c r="A372" s="259"/>
      <c r="B372" s="260"/>
      <c r="C372" s="260"/>
      <c r="D372" s="260"/>
      <c r="E372" s="260"/>
      <c r="F372" s="260"/>
      <c r="G372" s="260"/>
      <c r="H372" s="260"/>
      <c r="I372" s="260"/>
      <c r="J372" s="261"/>
      <c r="K372" s="260"/>
      <c r="L372" s="260"/>
      <c r="M372" s="260"/>
      <c r="N372" s="260"/>
      <c r="O372" s="260"/>
      <c r="P372" s="260"/>
      <c r="Q372" s="260"/>
      <c r="R372" s="260"/>
      <c r="S372" s="260"/>
      <c r="T372" s="279"/>
      <c r="U372" s="260"/>
      <c r="V372" s="260"/>
      <c r="W372" s="260"/>
      <c r="X372" s="260"/>
      <c r="Y372" s="260"/>
      <c r="Z372" s="260"/>
      <c r="AA372" s="264"/>
      <c r="AB372" s="260"/>
      <c r="AC372" s="260"/>
    </row>
    <row r="373">
      <c r="A373" s="259"/>
      <c r="B373" s="260"/>
      <c r="C373" s="260"/>
      <c r="D373" s="260"/>
      <c r="E373" s="260"/>
      <c r="F373" s="260"/>
      <c r="G373" s="260"/>
      <c r="H373" s="260"/>
      <c r="I373" s="260"/>
      <c r="J373" s="261"/>
      <c r="K373" s="260"/>
      <c r="L373" s="260"/>
      <c r="M373" s="260"/>
      <c r="N373" s="260"/>
      <c r="O373" s="260"/>
      <c r="P373" s="260"/>
      <c r="Q373" s="260"/>
      <c r="R373" s="260"/>
      <c r="S373" s="260"/>
      <c r="T373" s="279"/>
      <c r="U373" s="260"/>
      <c r="V373" s="260"/>
      <c r="W373" s="260"/>
      <c r="X373" s="260"/>
      <c r="Y373" s="260"/>
      <c r="Z373" s="260"/>
      <c r="AA373" s="264"/>
      <c r="AB373" s="260"/>
      <c r="AC373" s="260"/>
    </row>
    <row r="374">
      <c r="A374" s="259"/>
      <c r="B374" s="260"/>
      <c r="C374" s="260"/>
      <c r="D374" s="260"/>
      <c r="E374" s="260"/>
      <c r="F374" s="260"/>
      <c r="G374" s="260"/>
      <c r="H374" s="260"/>
      <c r="I374" s="260"/>
      <c r="J374" s="261"/>
      <c r="K374" s="260"/>
      <c r="L374" s="260"/>
      <c r="M374" s="260"/>
      <c r="N374" s="260"/>
      <c r="O374" s="260"/>
      <c r="P374" s="260"/>
      <c r="Q374" s="260"/>
      <c r="R374" s="260"/>
      <c r="S374" s="260"/>
      <c r="T374" s="279"/>
      <c r="U374" s="260"/>
      <c r="V374" s="260"/>
      <c r="W374" s="260"/>
      <c r="X374" s="260"/>
      <c r="Y374" s="260"/>
      <c r="Z374" s="260"/>
      <c r="AA374" s="264"/>
      <c r="AB374" s="260"/>
      <c r="AC374" s="260"/>
    </row>
    <row r="375">
      <c r="A375" s="259"/>
      <c r="B375" s="260"/>
      <c r="C375" s="260"/>
      <c r="D375" s="260"/>
      <c r="E375" s="260"/>
      <c r="F375" s="260"/>
      <c r="G375" s="260"/>
      <c r="H375" s="260"/>
      <c r="I375" s="260"/>
      <c r="J375" s="261"/>
      <c r="K375" s="260"/>
      <c r="L375" s="260"/>
      <c r="M375" s="260"/>
      <c r="N375" s="260"/>
      <c r="O375" s="260"/>
      <c r="P375" s="260"/>
      <c r="Q375" s="260"/>
      <c r="R375" s="260"/>
      <c r="S375" s="260"/>
      <c r="T375" s="279"/>
      <c r="U375" s="260"/>
      <c r="V375" s="260"/>
      <c r="W375" s="260"/>
      <c r="X375" s="260"/>
      <c r="Y375" s="260"/>
      <c r="Z375" s="260"/>
      <c r="AA375" s="264"/>
      <c r="AB375" s="260"/>
      <c r="AC375" s="260"/>
    </row>
    <row r="376">
      <c r="A376" s="259"/>
      <c r="B376" s="260"/>
      <c r="C376" s="260"/>
      <c r="D376" s="260"/>
      <c r="E376" s="260"/>
      <c r="F376" s="260"/>
      <c r="G376" s="260"/>
      <c r="H376" s="260"/>
      <c r="I376" s="260"/>
      <c r="J376" s="261"/>
      <c r="K376" s="260"/>
      <c r="L376" s="260"/>
      <c r="M376" s="260"/>
      <c r="N376" s="260"/>
      <c r="O376" s="260"/>
      <c r="P376" s="260"/>
      <c r="Q376" s="260"/>
      <c r="R376" s="260"/>
      <c r="S376" s="260"/>
      <c r="T376" s="279"/>
      <c r="U376" s="260"/>
      <c r="V376" s="260"/>
      <c r="W376" s="260"/>
      <c r="X376" s="260"/>
      <c r="Y376" s="260"/>
      <c r="Z376" s="260"/>
      <c r="AA376" s="264"/>
      <c r="AB376" s="260"/>
      <c r="AC376" s="260"/>
    </row>
    <row r="377">
      <c r="A377" s="259"/>
      <c r="B377" s="260"/>
      <c r="C377" s="260"/>
      <c r="D377" s="260"/>
      <c r="E377" s="260"/>
      <c r="F377" s="260"/>
      <c r="G377" s="260"/>
      <c r="H377" s="260"/>
      <c r="I377" s="260"/>
      <c r="J377" s="261"/>
      <c r="K377" s="260"/>
      <c r="L377" s="260"/>
      <c r="M377" s="260"/>
      <c r="N377" s="260"/>
      <c r="O377" s="260"/>
      <c r="P377" s="260"/>
      <c r="Q377" s="260"/>
      <c r="R377" s="260"/>
      <c r="S377" s="260"/>
      <c r="T377" s="279"/>
      <c r="U377" s="260"/>
      <c r="V377" s="260"/>
      <c r="W377" s="260"/>
      <c r="X377" s="260"/>
      <c r="Y377" s="260"/>
      <c r="Z377" s="260"/>
      <c r="AA377" s="264"/>
      <c r="AB377" s="260"/>
      <c r="AC377" s="260"/>
    </row>
    <row r="378">
      <c r="A378" s="259"/>
      <c r="B378" s="260"/>
      <c r="C378" s="260"/>
      <c r="D378" s="260"/>
      <c r="E378" s="260"/>
      <c r="F378" s="260"/>
      <c r="G378" s="260"/>
      <c r="H378" s="260"/>
      <c r="I378" s="260"/>
      <c r="J378" s="261"/>
      <c r="K378" s="260"/>
      <c r="L378" s="260"/>
      <c r="M378" s="260"/>
      <c r="N378" s="260"/>
      <c r="O378" s="260"/>
      <c r="P378" s="260"/>
      <c r="Q378" s="260"/>
      <c r="R378" s="260"/>
      <c r="S378" s="260"/>
      <c r="T378" s="279"/>
      <c r="U378" s="260"/>
      <c r="V378" s="260"/>
      <c r="W378" s="260"/>
      <c r="X378" s="260"/>
      <c r="Y378" s="260"/>
      <c r="Z378" s="260"/>
      <c r="AA378" s="264"/>
      <c r="AB378" s="260"/>
      <c r="AC378" s="260"/>
    </row>
    <row r="379">
      <c r="A379" s="259"/>
      <c r="B379" s="260"/>
      <c r="C379" s="260"/>
      <c r="D379" s="260"/>
      <c r="E379" s="260"/>
      <c r="F379" s="260"/>
      <c r="G379" s="260"/>
      <c r="H379" s="260"/>
      <c r="I379" s="260"/>
      <c r="J379" s="261"/>
      <c r="K379" s="260"/>
      <c r="L379" s="260"/>
      <c r="M379" s="260"/>
      <c r="N379" s="260"/>
      <c r="O379" s="260"/>
      <c r="P379" s="260"/>
      <c r="Q379" s="260"/>
      <c r="R379" s="260"/>
      <c r="S379" s="260"/>
      <c r="T379" s="279"/>
      <c r="U379" s="260"/>
      <c r="V379" s="260"/>
      <c r="W379" s="260"/>
      <c r="X379" s="260"/>
      <c r="Y379" s="260"/>
      <c r="Z379" s="260"/>
      <c r="AA379" s="264"/>
      <c r="AB379" s="260"/>
      <c r="AC379" s="260"/>
    </row>
    <row r="380">
      <c r="A380" s="259"/>
      <c r="B380" s="260"/>
      <c r="C380" s="260"/>
      <c r="D380" s="260"/>
      <c r="E380" s="260"/>
      <c r="F380" s="260"/>
      <c r="G380" s="260"/>
      <c r="H380" s="260"/>
      <c r="I380" s="260"/>
      <c r="J380" s="261"/>
      <c r="K380" s="260"/>
      <c r="L380" s="260"/>
      <c r="M380" s="260"/>
      <c r="N380" s="260"/>
      <c r="O380" s="260"/>
      <c r="P380" s="260"/>
      <c r="Q380" s="260"/>
      <c r="R380" s="260"/>
      <c r="S380" s="260"/>
      <c r="T380" s="279"/>
      <c r="U380" s="260"/>
      <c r="V380" s="260"/>
      <c r="W380" s="260"/>
      <c r="X380" s="260"/>
      <c r="Y380" s="260"/>
      <c r="Z380" s="260"/>
      <c r="AA380" s="264"/>
      <c r="AB380" s="260"/>
      <c r="AC380" s="260"/>
    </row>
    <row r="381">
      <c r="A381" s="259"/>
      <c r="B381" s="260"/>
      <c r="C381" s="260"/>
      <c r="D381" s="260"/>
      <c r="E381" s="260"/>
      <c r="F381" s="260"/>
      <c r="G381" s="260"/>
      <c r="H381" s="260"/>
      <c r="I381" s="260"/>
      <c r="J381" s="261"/>
      <c r="K381" s="260"/>
      <c r="L381" s="260"/>
      <c r="M381" s="260"/>
      <c r="N381" s="260"/>
      <c r="O381" s="260"/>
      <c r="P381" s="260"/>
      <c r="Q381" s="260"/>
      <c r="R381" s="260"/>
      <c r="S381" s="260"/>
      <c r="T381" s="279"/>
      <c r="U381" s="260"/>
      <c r="V381" s="260"/>
      <c r="W381" s="260"/>
      <c r="X381" s="260"/>
      <c r="Y381" s="260"/>
      <c r="Z381" s="260"/>
      <c r="AA381" s="264"/>
      <c r="AB381" s="260"/>
      <c r="AC381" s="260"/>
    </row>
    <row r="382">
      <c r="A382" s="259"/>
      <c r="B382" s="260"/>
      <c r="C382" s="260"/>
      <c r="D382" s="260"/>
      <c r="E382" s="260"/>
      <c r="F382" s="260"/>
      <c r="G382" s="260"/>
      <c r="H382" s="260"/>
      <c r="I382" s="260"/>
      <c r="J382" s="261"/>
      <c r="K382" s="260"/>
      <c r="L382" s="260"/>
      <c r="M382" s="260"/>
      <c r="N382" s="260"/>
      <c r="O382" s="260"/>
      <c r="P382" s="260"/>
      <c r="Q382" s="260"/>
      <c r="R382" s="260"/>
      <c r="S382" s="260"/>
      <c r="T382" s="279"/>
      <c r="U382" s="260"/>
      <c r="V382" s="260"/>
      <c r="W382" s="260"/>
      <c r="X382" s="260"/>
      <c r="Y382" s="260"/>
      <c r="Z382" s="260"/>
      <c r="AA382" s="264"/>
      <c r="AB382" s="260"/>
      <c r="AC382" s="260"/>
    </row>
    <row r="383">
      <c r="A383" s="259"/>
      <c r="B383" s="260"/>
      <c r="C383" s="260"/>
      <c r="D383" s="260"/>
      <c r="E383" s="260"/>
      <c r="F383" s="260"/>
      <c r="G383" s="260"/>
      <c r="H383" s="260"/>
      <c r="I383" s="260"/>
      <c r="J383" s="261"/>
      <c r="K383" s="260"/>
      <c r="L383" s="260"/>
      <c r="M383" s="260"/>
      <c r="N383" s="260"/>
      <c r="O383" s="260"/>
      <c r="P383" s="260"/>
      <c r="Q383" s="260"/>
      <c r="R383" s="260"/>
      <c r="S383" s="260"/>
      <c r="T383" s="279"/>
      <c r="U383" s="260"/>
      <c r="V383" s="260"/>
      <c r="W383" s="260"/>
      <c r="X383" s="260"/>
      <c r="Y383" s="260"/>
      <c r="Z383" s="260"/>
      <c r="AA383" s="264"/>
      <c r="AB383" s="260"/>
      <c r="AC383" s="260"/>
    </row>
    <row r="384">
      <c r="A384" s="259"/>
      <c r="B384" s="260"/>
      <c r="C384" s="260"/>
      <c r="D384" s="260"/>
      <c r="E384" s="260"/>
      <c r="F384" s="260"/>
      <c r="G384" s="260"/>
      <c r="H384" s="260"/>
      <c r="I384" s="260"/>
      <c r="J384" s="261"/>
      <c r="K384" s="260"/>
      <c r="L384" s="260"/>
      <c r="M384" s="260"/>
      <c r="N384" s="260"/>
      <c r="O384" s="260"/>
      <c r="P384" s="260"/>
      <c r="Q384" s="260"/>
      <c r="R384" s="260"/>
      <c r="S384" s="260"/>
      <c r="T384" s="279"/>
      <c r="U384" s="260"/>
      <c r="V384" s="260"/>
      <c r="W384" s="260"/>
      <c r="X384" s="260"/>
      <c r="Y384" s="260"/>
      <c r="Z384" s="260"/>
      <c r="AA384" s="264"/>
      <c r="AB384" s="260"/>
      <c r="AC384" s="260"/>
    </row>
    <row r="385">
      <c r="A385" s="259"/>
      <c r="B385" s="260"/>
      <c r="C385" s="260"/>
      <c r="D385" s="260"/>
      <c r="E385" s="260"/>
      <c r="F385" s="260"/>
      <c r="G385" s="260"/>
      <c r="H385" s="260"/>
      <c r="I385" s="260"/>
      <c r="J385" s="261"/>
      <c r="K385" s="260"/>
      <c r="L385" s="260"/>
      <c r="M385" s="260"/>
      <c r="N385" s="260"/>
      <c r="O385" s="260"/>
      <c r="P385" s="260"/>
      <c r="Q385" s="260"/>
      <c r="R385" s="260"/>
      <c r="S385" s="260"/>
      <c r="T385" s="279"/>
      <c r="U385" s="260"/>
      <c r="V385" s="260"/>
      <c r="W385" s="260"/>
      <c r="X385" s="260"/>
      <c r="Y385" s="260"/>
      <c r="Z385" s="260"/>
      <c r="AA385" s="264"/>
      <c r="AB385" s="260"/>
      <c r="AC385" s="260"/>
    </row>
    <row r="386">
      <c r="A386" s="259"/>
      <c r="B386" s="260"/>
      <c r="C386" s="260"/>
      <c r="D386" s="260"/>
      <c r="E386" s="260"/>
      <c r="F386" s="260"/>
      <c r="G386" s="260"/>
      <c r="H386" s="260"/>
      <c r="I386" s="260"/>
      <c r="J386" s="261"/>
      <c r="K386" s="260"/>
      <c r="L386" s="260"/>
      <c r="M386" s="260"/>
      <c r="N386" s="260"/>
      <c r="O386" s="260"/>
      <c r="P386" s="260"/>
      <c r="Q386" s="260"/>
      <c r="R386" s="260"/>
      <c r="S386" s="260"/>
      <c r="T386" s="279"/>
      <c r="U386" s="260"/>
      <c r="V386" s="260"/>
      <c r="W386" s="260"/>
      <c r="X386" s="260"/>
      <c r="Y386" s="260"/>
      <c r="Z386" s="260"/>
      <c r="AA386" s="264"/>
      <c r="AB386" s="260"/>
      <c r="AC386" s="260"/>
    </row>
    <row r="387">
      <c r="A387" s="259"/>
      <c r="B387" s="260"/>
      <c r="C387" s="260"/>
      <c r="D387" s="260"/>
      <c r="E387" s="260"/>
      <c r="F387" s="260"/>
      <c r="G387" s="260"/>
      <c r="H387" s="260"/>
      <c r="I387" s="260"/>
      <c r="J387" s="261"/>
      <c r="K387" s="260"/>
      <c r="L387" s="260"/>
      <c r="M387" s="260"/>
      <c r="N387" s="260"/>
      <c r="O387" s="260"/>
      <c r="P387" s="260"/>
      <c r="Q387" s="260"/>
      <c r="R387" s="260"/>
      <c r="S387" s="260"/>
      <c r="T387" s="279"/>
      <c r="U387" s="260"/>
      <c r="V387" s="260"/>
      <c r="W387" s="260"/>
      <c r="X387" s="260"/>
      <c r="Y387" s="260"/>
      <c r="Z387" s="260"/>
      <c r="AA387" s="264"/>
      <c r="AB387" s="260"/>
      <c r="AC387" s="260"/>
    </row>
    <row r="388">
      <c r="A388" s="259"/>
      <c r="B388" s="260"/>
      <c r="C388" s="260"/>
      <c r="D388" s="260"/>
      <c r="E388" s="260"/>
      <c r="F388" s="260"/>
      <c r="G388" s="260"/>
      <c r="H388" s="260"/>
      <c r="I388" s="260"/>
      <c r="J388" s="261"/>
      <c r="K388" s="260"/>
      <c r="L388" s="260"/>
      <c r="M388" s="260"/>
      <c r="N388" s="260"/>
      <c r="O388" s="260"/>
      <c r="P388" s="260"/>
      <c r="Q388" s="260"/>
      <c r="R388" s="260"/>
      <c r="S388" s="260"/>
      <c r="T388" s="279"/>
      <c r="U388" s="260"/>
      <c r="V388" s="260"/>
      <c r="W388" s="260"/>
      <c r="X388" s="260"/>
      <c r="Y388" s="260"/>
      <c r="Z388" s="260"/>
      <c r="AA388" s="264"/>
      <c r="AB388" s="260"/>
      <c r="AC388" s="260"/>
    </row>
    <row r="389">
      <c r="A389" s="259"/>
      <c r="B389" s="260"/>
      <c r="C389" s="260"/>
      <c r="D389" s="260"/>
      <c r="E389" s="260"/>
      <c r="F389" s="260"/>
      <c r="G389" s="260"/>
      <c r="H389" s="260"/>
      <c r="I389" s="260"/>
      <c r="J389" s="261"/>
      <c r="K389" s="260"/>
      <c r="L389" s="260"/>
      <c r="M389" s="260"/>
      <c r="N389" s="260"/>
      <c r="O389" s="260"/>
      <c r="P389" s="260"/>
      <c r="Q389" s="260"/>
      <c r="R389" s="260"/>
      <c r="S389" s="260"/>
      <c r="T389" s="279"/>
      <c r="U389" s="260"/>
      <c r="V389" s="260"/>
      <c r="W389" s="260"/>
      <c r="X389" s="260"/>
      <c r="Y389" s="260"/>
      <c r="Z389" s="260"/>
      <c r="AA389" s="264"/>
      <c r="AB389" s="260"/>
      <c r="AC389" s="260"/>
    </row>
    <row r="390">
      <c r="A390" s="259"/>
      <c r="B390" s="260"/>
      <c r="C390" s="260"/>
      <c r="D390" s="260"/>
      <c r="E390" s="260"/>
      <c r="F390" s="260"/>
      <c r="G390" s="260"/>
      <c r="H390" s="260"/>
      <c r="I390" s="260"/>
      <c r="J390" s="261"/>
      <c r="K390" s="260"/>
      <c r="L390" s="260"/>
      <c r="M390" s="260"/>
      <c r="N390" s="260"/>
      <c r="O390" s="260"/>
      <c r="P390" s="260"/>
      <c r="Q390" s="260"/>
      <c r="R390" s="260"/>
      <c r="S390" s="260"/>
      <c r="T390" s="279"/>
      <c r="U390" s="260"/>
      <c r="V390" s="260"/>
      <c r="W390" s="260"/>
      <c r="X390" s="260"/>
      <c r="Y390" s="260"/>
      <c r="Z390" s="260"/>
      <c r="AA390" s="264"/>
      <c r="AB390" s="260"/>
      <c r="AC390" s="260"/>
    </row>
    <row r="391">
      <c r="A391" s="259"/>
      <c r="B391" s="260"/>
      <c r="C391" s="260"/>
      <c r="D391" s="260"/>
      <c r="E391" s="260"/>
      <c r="F391" s="260"/>
      <c r="G391" s="260"/>
      <c r="H391" s="260"/>
      <c r="I391" s="260"/>
      <c r="J391" s="261"/>
      <c r="K391" s="260"/>
      <c r="L391" s="260"/>
      <c r="M391" s="260"/>
      <c r="N391" s="260"/>
      <c r="O391" s="260"/>
      <c r="P391" s="260"/>
      <c r="Q391" s="260"/>
      <c r="R391" s="260"/>
      <c r="S391" s="260"/>
      <c r="T391" s="279"/>
      <c r="U391" s="260"/>
      <c r="V391" s="260"/>
      <c r="W391" s="260"/>
      <c r="X391" s="260"/>
      <c r="Y391" s="260"/>
      <c r="Z391" s="260"/>
      <c r="AA391" s="264"/>
      <c r="AB391" s="260"/>
      <c r="AC391" s="260"/>
    </row>
    <row r="392">
      <c r="A392" s="259"/>
      <c r="B392" s="260"/>
      <c r="C392" s="260"/>
      <c r="D392" s="260"/>
      <c r="E392" s="260"/>
      <c r="F392" s="260"/>
      <c r="G392" s="260"/>
      <c r="H392" s="260"/>
      <c r="I392" s="260"/>
      <c r="J392" s="261"/>
      <c r="K392" s="260"/>
      <c r="L392" s="260"/>
      <c r="M392" s="260"/>
      <c r="N392" s="260"/>
      <c r="O392" s="260"/>
      <c r="P392" s="260"/>
      <c r="Q392" s="260"/>
      <c r="R392" s="260"/>
      <c r="S392" s="260"/>
      <c r="T392" s="279"/>
      <c r="U392" s="260"/>
      <c r="V392" s="260"/>
      <c r="W392" s="260"/>
      <c r="X392" s="260"/>
      <c r="Y392" s="260"/>
      <c r="Z392" s="260"/>
      <c r="AA392" s="264"/>
      <c r="AB392" s="260"/>
      <c r="AC392" s="260"/>
    </row>
    <row r="393">
      <c r="A393" s="259"/>
      <c r="B393" s="260"/>
      <c r="C393" s="260"/>
      <c r="D393" s="260"/>
      <c r="E393" s="260"/>
      <c r="F393" s="260"/>
      <c r="G393" s="260"/>
      <c r="H393" s="260"/>
      <c r="I393" s="260"/>
      <c r="J393" s="261"/>
      <c r="K393" s="260"/>
      <c r="L393" s="260"/>
      <c r="M393" s="260"/>
      <c r="N393" s="260"/>
      <c r="O393" s="260"/>
      <c r="P393" s="260"/>
      <c r="Q393" s="260"/>
      <c r="R393" s="260"/>
      <c r="S393" s="260"/>
      <c r="T393" s="279"/>
      <c r="U393" s="260"/>
      <c r="V393" s="260"/>
      <c r="W393" s="260"/>
      <c r="X393" s="260"/>
      <c r="Y393" s="260"/>
      <c r="Z393" s="260"/>
      <c r="AA393" s="264"/>
      <c r="AB393" s="260"/>
      <c r="AC393" s="260"/>
    </row>
    <row r="394">
      <c r="A394" s="259"/>
      <c r="B394" s="260"/>
      <c r="C394" s="260"/>
      <c r="D394" s="260"/>
      <c r="E394" s="260"/>
      <c r="F394" s="260"/>
      <c r="G394" s="260"/>
      <c r="H394" s="260"/>
      <c r="I394" s="260"/>
      <c r="J394" s="261"/>
      <c r="K394" s="260"/>
      <c r="L394" s="260"/>
      <c r="M394" s="260"/>
      <c r="N394" s="260"/>
      <c r="O394" s="260"/>
      <c r="P394" s="260"/>
      <c r="Q394" s="260"/>
      <c r="R394" s="260"/>
      <c r="S394" s="260"/>
      <c r="T394" s="279"/>
      <c r="U394" s="260"/>
      <c r="V394" s="260"/>
      <c r="W394" s="260"/>
      <c r="X394" s="260"/>
      <c r="Y394" s="260"/>
      <c r="Z394" s="260"/>
      <c r="AA394" s="264"/>
      <c r="AB394" s="260"/>
      <c r="AC394" s="260"/>
    </row>
    <row r="395">
      <c r="A395" s="259"/>
      <c r="B395" s="260"/>
      <c r="C395" s="260"/>
      <c r="D395" s="260"/>
      <c r="E395" s="260"/>
      <c r="F395" s="260"/>
      <c r="G395" s="260"/>
      <c r="H395" s="260"/>
      <c r="I395" s="260"/>
      <c r="J395" s="261"/>
      <c r="K395" s="260"/>
      <c r="L395" s="260"/>
      <c r="M395" s="260"/>
      <c r="N395" s="260"/>
      <c r="O395" s="260"/>
      <c r="P395" s="260"/>
      <c r="Q395" s="260"/>
      <c r="R395" s="260"/>
      <c r="S395" s="260"/>
      <c r="T395" s="279"/>
      <c r="U395" s="260"/>
      <c r="V395" s="260"/>
      <c r="W395" s="260"/>
      <c r="X395" s="260"/>
      <c r="Y395" s="260"/>
      <c r="Z395" s="260"/>
      <c r="AA395" s="264"/>
      <c r="AB395" s="260"/>
      <c r="AC395" s="260"/>
    </row>
    <row r="396">
      <c r="A396" s="259"/>
      <c r="B396" s="260"/>
      <c r="C396" s="260"/>
      <c r="D396" s="260"/>
      <c r="E396" s="260"/>
      <c r="F396" s="260"/>
      <c r="G396" s="260"/>
      <c r="H396" s="260"/>
      <c r="I396" s="260"/>
      <c r="J396" s="261"/>
      <c r="K396" s="260"/>
      <c r="L396" s="260"/>
      <c r="M396" s="260"/>
      <c r="N396" s="260"/>
      <c r="O396" s="260"/>
      <c r="P396" s="260"/>
      <c r="Q396" s="260"/>
      <c r="R396" s="260"/>
      <c r="S396" s="260"/>
      <c r="T396" s="279"/>
      <c r="U396" s="260"/>
      <c r="V396" s="260"/>
      <c r="W396" s="260"/>
      <c r="X396" s="260"/>
      <c r="Y396" s="260"/>
      <c r="Z396" s="260"/>
      <c r="AA396" s="264"/>
      <c r="AB396" s="260"/>
      <c r="AC396" s="260"/>
    </row>
    <row r="397">
      <c r="A397" s="259"/>
      <c r="B397" s="260"/>
      <c r="C397" s="260"/>
      <c r="D397" s="260"/>
      <c r="E397" s="260"/>
      <c r="F397" s="260"/>
      <c r="G397" s="260"/>
      <c r="H397" s="260"/>
      <c r="I397" s="260"/>
      <c r="J397" s="261"/>
      <c r="K397" s="260"/>
      <c r="L397" s="260"/>
      <c r="M397" s="260"/>
      <c r="N397" s="260"/>
      <c r="O397" s="260"/>
      <c r="P397" s="260"/>
      <c r="Q397" s="260"/>
      <c r="R397" s="260"/>
      <c r="S397" s="260"/>
      <c r="T397" s="279"/>
      <c r="U397" s="260"/>
      <c r="V397" s="260"/>
      <c r="W397" s="260"/>
      <c r="X397" s="260"/>
      <c r="Y397" s="260"/>
      <c r="Z397" s="260"/>
      <c r="AA397" s="264"/>
      <c r="AB397" s="260"/>
      <c r="AC397" s="260"/>
    </row>
    <row r="398">
      <c r="A398" s="259"/>
      <c r="B398" s="260"/>
      <c r="C398" s="260"/>
      <c r="D398" s="260"/>
      <c r="E398" s="260"/>
      <c r="F398" s="260"/>
      <c r="G398" s="260"/>
      <c r="H398" s="260"/>
      <c r="I398" s="260"/>
      <c r="J398" s="261"/>
      <c r="K398" s="260"/>
      <c r="L398" s="260"/>
      <c r="M398" s="260"/>
      <c r="N398" s="260"/>
      <c r="O398" s="260"/>
      <c r="P398" s="260"/>
      <c r="Q398" s="260"/>
      <c r="R398" s="260"/>
      <c r="S398" s="260"/>
      <c r="T398" s="279"/>
      <c r="U398" s="260"/>
      <c r="V398" s="260"/>
      <c r="W398" s="260"/>
      <c r="X398" s="260"/>
      <c r="Y398" s="260"/>
      <c r="Z398" s="260"/>
      <c r="AA398" s="264"/>
      <c r="AB398" s="260"/>
      <c r="AC398" s="260"/>
    </row>
    <row r="399">
      <c r="A399" s="259"/>
      <c r="B399" s="260"/>
      <c r="C399" s="260"/>
      <c r="D399" s="260"/>
      <c r="E399" s="260"/>
      <c r="F399" s="260"/>
      <c r="G399" s="260"/>
      <c r="H399" s="260"/>
      <c r="I399" s="260"/>
      <c r="J399" s="261"/>
      <c r="K399" s="260"/>
      <c r="L399" s="260"/>
      <c r="M399" s="260"/>
      <c r="N399" s="260"/>
      <c r="O399" s="260"/>
      <c r="P399" s="260"/>
      <c r="Q399" s="260"/>
      <c r="R399" s="260"/>
      <c r="S399" s="260"/>
      <c r="T399" s="279"/>
      <c r="U399" s="260"/>
      <c r="V399" s="260"/>
      <c r="W399" s="260"/>
      <c r="X399" s="260"/>
      <c r="Y399" s="260"/>
      <c r="Z399" s="260"/>
      <c r="AA399" s="264"/>
      <c r="AB399" s="260"/>
      <c r="AC399" s="260"/>
    </row>
    <row r="400">
      <c r="A400" s="259"/>
      <c r="B400" s="260"/>
      <c r="C400" s="260"/>
      <c r="D400" s="260"/>
      <c r="E400" s="260"/>
      <c r="F400" s="260"/>
      <c r="G400" s="260"/>
      <c r="H400" s="260"/>
      <c r="I400" s="260"/>
      <c r="J400" s="261"/>
      <c r="K400" s="260"/>
      <c r="L400" s="260"/>
      <c r="M400" s="260"/>
      <c r="N400" s="260"/>
      <c r="O400" s="260"/>
      <c r="P400" s="260"/>
      <c r="Q400" s="260"/>
      <c r="R400" s="260"/>
      <c r="S400" s="260"/>
      <c r="T400" s="279"/>
      <c r="U400" s="260"/>
      <c r="V400" s="260"/>
      <c r="W400" s="260"/>
      <c r="X400" s="260"/>
      <c r="Y400" s="260"/>
      <c r="Z400" s="260"/>
      <c r="AA400" s="264"/>
      <c r="AB400" s="260"/>
      <c r="AC400" s="260"/>
    </row>
    <row r="401">
      <c r="A401" s="259"/>
      <c r="B401" s="260"/>
      <c r="C401" s="260"/>
      <c r="D401" s="260"/>
      <c r="E401" s="260"/>
      <c r="F401" s="260"/>
      <c r="G401" s="260"/>
      <c r="H401" s="260"/>
      <c r="I401" s="260"/>
      <c r="J401" s="261"/>
      <c r="K401" s="260"/>
      <c r="L401" s="260"/>
      <c r="M401" s="260"/>
      <c r="N401" s="260"/>
      <c r="O401" s="260"/>
      <c r="P401" s="260"/>
      <c r="Q401" s="260"/>
      <c r="R401" s="260"/>
      <c r="S401" s="260"/>
      <c r="T401" s="279"/>
      <c r="U401" s="260"/>
      <c r="V401" s="260"/>
      <c r="W401" s="260"/>
      <c r="X401" s="260"/>
      <c r="Y401" s="260"/>
      <c r="Z401" s="260"/>
      <c r="AA401" s="264"/>
      <c r="AB401" s="260"/>
      <c r="AC401" s="260"/>
    </row>
    <row r="402">
      <c r="A402" s="259"/>
      <c r="B402" s="260"/>
      <c r="C402" s="260"/>
      <c r="D402" s="260"/>
      <c r="E402" s="260"/>
      <c r="F402" s="260"/>
      <c r="G402" s="260"/>
      <c r="H402" s="260"/>
      <c r="I402" s="260"/>
      <c r="J402" s="261"/>
      <c r="K402" s="260"/>
      <c r="L402" s="260"/>
      <c r="M402" s="260"/>
      <c r="N402" s="260"/>
      <c r="O402" s="260"/>
      <c r="P402" s="260"/>
      <c r="Q402" s="260"/>
      <c r="R402" s="260"/>
      <c r="S402" s="260"/>
      <c r="T402" s="279"/>
      <c r="U402" s="260"/>
      <c r="V402" s="260"/>
      <c r="W402" s="260"/>
      <c r="X402" s="260"/>
      <c r="Y402" s="260"/>
      <c r="Z402" s="260"/>
      <c r="AA402" s="264"/>
      <c r="AB402" s="260"/>
      <c r="AC402" s="260"/>
    </row>
    <row r="403">
      <c r="A403" s="259"/>
      <c r="B403" s="260"/>
      <c r="C403" s="260"/>
      <c r="D403" s="260"/>
      <c r="E403" s="260"/>
      <c r="F403" s="260"/>
      <c r="G403" s="260"/>
      <c r="H403" s="260"/>
      <c r="I403" s="260"/>
      <c r="J403" s="261"/>
      <c r="K403" s="260"/>
      <c r="L403" s="260"/>
      <c r="M403" s="260"/>
      <c r="N403" s="260"/>
      <c r="O403" s="260"/>
      <c r="P403" s="260"/>
      <c r="Q403" s="260"/>
      <c r="R403" s="260"/>
      <c r="S403" s="260"/>
      <c r="T403" s="279"/>
      <c r="U403" s="260"/>
      <c r="V403" s="260"/>
      <c r="W403" s="260"/>
      <c r="X403" s="260"/>
      <c r="Y403" s="260"/>
      <c r="Z403" s="260"/>
      <c r="AA403" s="264"/>
      <c r="AB403" s="260"/>
      <c r="AC403" s="260"/>
    </row>
    <row r="404">
      <c r="A404" s="259"/>
      <c r="B404" s="260"/>
      <c r="C404" s="260"/>
      <c r="D404" s="260"/>
      <c r="E404" s="260"/>
      <c r="F404" s="260"/>
      <c r="G404" s="260"/>
      <c r="H404" s="260"/>
      <c r="I404" s="260"/>
      <c r="J404" s="261"/>
      <c r="K404" s="260"/>
      <c r="L404" s="260"/>
      <c r="M404" s="260"/>
      <c r="N404" s="260"/>
      <c r="O404" s="260"/>
      <c r="P404" s="260"/>
      <c r="Q404" s="260"/>
      <c r="R404" s="260"/>
      <c r="S404" s="260"/>
      <c r="T404" s="279"/>
      <c r="U404" s="260"/>
      <c r="V404" s="260"/>
      <c r="W404" s="260"/>
      <c r="X404" s="260"/>
      <c r="Y404" s="260"/>
      <c r="Z404" s="260"/>
      <c r="AA404" s="264"/>
      <c r="AB404" s="260"/>
      <c r="AC404" s="260"/>
    </row>
    <row r="405">
      <c r="A405" s="259"/>
      <c r="B405" s="260"/>
      <c r="C405" s="260"/>
      <c r="D405" s="260"/>
      <c r="E405" s="260"/>
      <c r="F405" s="260"/>
      <c r="G405" s="260"/>
      <c r="H405" s="260"/>
      <c r="I405" s="260"/>
      <c r="J405" s="261"/>
      <c r="K405" s="260"/>
      <c r="L405" s="260"/>
      <c r="M405" s="260"/>
      <c r="N405" s="260"/>
      <c r="O405" s="260"/>
      <c r="P405" s="260"/>
      <c r="Q405" s="260"/>
      <c r="R405" s="260"/>
      <c r="S405" s="260"/>
      <c r="T405" s="279"/>
      <c r="U405" s="260"/>
      <c r="V405" s="260"/>
      <c r="W405" s="260"/>
      <c r="X405" s="260"/>
      <c r="Y405" s="260"/>
      <c r="Z405" s="260"/>
      <c r="AA405" s="264"/>
      <c r="AB405" s="260"/>
      <c r="AC405" s="260"/>
    </row>
    <row r="406">
      <c r="A406" s="259"/>
      <c r="B406" s="260"/>
      <c r="C406" s="260"/>
      <c r="D406" s="260"/>
      <c r="E406" s="260"/>
      <c r="F406" s="260"/>
      <c r="G406" s="260"/>
      <c r="H406" s="260"/>
      <c r="I406" s="260"/>
      <c r="J406" s="261"/>
      <c r="K406" s="260"/>
      <c r="L406" s="260"/>
      <c r="M406" s="260"/>
      <c r="N406" s="260"/>
      <c r="O406" s="260"/>
      <c r="P406" s="260"/>
      <c r="Q406" s="260"/>
      <c r="R406" s="260"/>
      <c r="S406" s="260"/>
      <c r="T406" s="279"/>
      <c r="U406" s="260"/>
      <c r="V406" s="260"/>
      <c r="W406" s="260"/>
      <c r="X406" s="260"/>
      <c r="Y406" s="260"/>
      <c r="Z406" s="260"/>
      <c r="AA406" s="264"/>
      <c r="AB406" s="260"/>
      <c r="AC406" s="260"/>
    </row>
    <row r="407">
      <c r="A407" s="259"/>
      <c r="B407" s="260"/>
      <c r="C407" s="260"/>
      <c r="D407" s="260"/>
      <c r="E407" s="260"/>
      <c r="F407" s="260"/>
      <c r="G407" s="260"/>
      <c r="H407" s="260"/>
      <c r="I407" s="260"/>
      <c r="J407" s="261"/>
      <c r="K407" s="260"/>
      <c r="L407" s="260"/>
      <c r="M407" s="260"/>
      <c r="N407" s="260"/>
      <c r="O407" s="260"/>
      <c r="P407" s="260"/>
      <c r="Q407" s="260"/>
      <c r="R407" s="260"/>
      <c r="S407" s="260"/>
      <c r="T407" s="279"/>
      <c r="U407" s="260"/>
      <c r="V407" s="260"/>
      <c r="W407" s="260"/>
      <c r="X407" s="260"/>
      <c r="Y407" s="260"/>
      <c r="Z407" s="260"/>
      <c r="AA407" s="264"/>
      <c r="AB407" s="260"/>
      <c r="AC407" s="260"/>
    </row>
    <row r="408">
      <c r="A408" s="259"/>
      <c r="B408" s="260"/>
      <c r="C408" s="260"/>
      <c r="D408" s="260"/>
      <c r="E408" s="260"/>
      <c r="F408" s="260"/>
      <c r="G408" s="260"/>
      <c r="H408" s="260"/>
      <c r="I408" s="260"/>
      <c r="J408" s="261"/>
      <c r="K408" s="260"/>
      <c r="L408" s="260"/>
      <c r="M408" s="260"/>
      <c r="N408" s="260"/>
      <c r="O408" s="260"/>
      <c r="P408" s="260"/>
      <c r="Q408" s="260"/>
      <c r="R408" s="260"/>
      <c r="S408" s="260"/>
      <c r="T408" s="279"/>
      <c r="U408" s="260"/>
      <c r="V408" s="260"/>
      <c r="W408" s="260"/>
      <c r="X408" s="260"/>
      <c r="Y408" s="260"/>
      <c r="Z408" s="260"/>
      <c r="AA408" s="264"/>
      <c r="AB408" s="260"/>
      <c r="AC408" s="260"/>
    </row>
    <row r="409">
      <c r="A409" s="259"/>
      <c r="B409" s="260"/>
      <c r="C409" s="260"/>
      <c r="D409" s="260"/>
      <c r="E409" s="260"/>
      <c r="F409" s="260"/>
      <c r="G409" s="260"/>
      <c r="H409" s="260"/>
      <c r="I409" s="260"/>
      <c r="J409" s="261"/>
      <c r="K409" s="260"/>
      <c r="L409" s="260"/>
      <c r="M409" s="260"/>
      <c r="N409" s="260"/>
      <c r="O409" s="260"/>
      <c r="P409" s="260"/>
      <c r="Q409" s="260"/>
      <c r="R409" s="260"/>
      <c r="S409" s="260"/>
      <c r="T409" s="279"/>
      <c r="U409" s="260"/>
      <c r="V409" s="260"/>
      <c r="W409" s="260"/>
      <c r="X409" s="260"/>
      <c r="Y409" s="260"/>
      <c r="Z409" s="260"/>
      <c r="AA409" s="264"/>
      <c r="AB409" s="260"/>
      <c r="AC409" s="260"/>
    </row>
    <row r="410">
      <c r="A410" s="259"/>
      <c r="B410" s="260"/>
      <c r="C410" s="260"/>
      <c r="D410" s="260"/>
      <c r="E410" s="260"/>
      <c r="F410" s="260"/>
      <c r="G410" s="260"/>
      <c r="H410" s="260"/>
      <c r="I410" s="260"/>
      <c r="J410" s="261"/>
      <c r="K410" s="260"/>
      <c r="L410" s="260"/>
      <c r="M410" s="260"/>
      <c r="N410" s="260"/>
      <c r="O410" s="260"/>
      <c r="P410" s="260"/>
      <c r="Q410" s="260"/>
      <c r="R410" s="260"/>
      <c r="S410" s="260"/>
      <c r="T410" s="279"/>
      <c r="U410" s="260"/>
      <c r="V410" s="260"/>
      <c r="W410" s="260"/>
      <c r="X410" s="260"/>
      <c r="Y410" s="260"/>
      <c r="Z410" s="260"/>
      <c r="AA410" s="264"/>
      <c r="AB410" s="260"/>
      <c r="AC410" s="260"/>
    </row>
    <row r="411">
      <c r="A411" s="259"/>
      <c r="B411" s="260"/>
      <c r="C411" s="260"/>
      <c r="D411" s="260"/>
      <c r="E411" s="260"/>
      <c r="F411" s="260"/>
      <c r="G411" s="260"/>
      <c r="H411" s="260"/>
      <c r="I411" s="260"/>
      <c r="J411" s="261"/>
      <c r="K411" s="260"/>
      <c r="L411" s="260"/>
      <c r="M411" s="260"/>
      <c r="N411" s="260"/>
      <c r="O411" s="260"/>
      <c r="P411" s="260"/>
      <c r="Q411" s="260"/>
      <c r="R411" s="260"/>
      <c r="S411" s="260"/>
      <c r="T411" s="279"/>
      <c r="U411" s="260"/>
      <c r="V411" s="260"/>
      <c r="W411" s="260"/>
      <c r="X411" s="260"/>
      <c r="Y411" s="260"/>
      <c r="Z411" s="260"/>
      <c r="AA411" s="264"/>
      <c r="AB411" s="260"/>
      <c r="AC411" s="260"/>
    </row>
    <row r="412">
      <c r="A412" s="259"/>
      <c r="B412" s="260"/>
      <c r="C412" s="260"/>
      <c r="D412" s="260"/>
      <c r="E412" s="260"/>
      <c r="F412" s="260"/>
      <c r="G412" s="260"/>
      <c r="H412" s="260"/>
      <c r="I412" s="260"/>
      <c r="J412" s="261"/>
      <c r="K412" s="260"/>
      <c r="L412" s="260"/>
      <c r="M412" s="260"/>
      <c r="N412" s="260"/>
      <c r="O412" s="260"/>
      <c r="P412" s="260"/>
      <c r="Q412" s="260"/>
      <c r="R412" s="260"/>
      <c r="S412" s="260"/>
      <c r="T412" s="279"/>
      <c r="U412" s="260"/>
      <c r="V412" s="260"/>
      <c r="W412" s="260"/>
      <c r="X412" s="260"/>
      <c r="Y412" s="260"/>
      <c r="Z412" s="260"/>
      <c r="AA412" s="264"/>
      <c r="AB412" s="260"/>
      <c r="AC412" s="260"/>
    </row>
    <row r="413">
      <c r="A413" s="259"/>
      <c r="B413" s="260"/>
      <c r="C413" s="260"/>
      <c r="D413" s="260"/>
      <c r="E413" s="260"/>
      <c r="F413" s="260"/>
      <c r="G413" s="260"/>
      <c r="H413" s="260"/>
      <c r="I413" s="260"/>
      <c r="J413" s="261"/>
      <c r="K413" s="260"/>
      <c r="L413" s="260"/>
      <c r="M413" s="260"/>
      <c r="N413" s="260"/>
      <c r="O413" s="260"/>
      <c r="P413" s="260"/>
      <c r="Q413" s="260"/>
      <c r="R413" s="260"/>
      <c r="S413" s="260"/>
      <c r="T413" s="279"/>
      <c r="U413" s="260"/>
      <c r="V413" s="260"/>
      <c r="W413" s="260"/>
      <c r="X413" s="260"/>
      <c r="Y413" s="260"/>
      <c r="Z413" s="260"/>
      <c r="AA413" s="264"/>
      <c r="AB413" s="260"/>
      <c r="AC413" s="260"/>
    </row>
    <row r="414">
      <c r="A414" s="259"/>
      <c r="B414" s="260"/>
      <c r="C414" s="260"/>
      <c r="D414" s="260"/>
      <c r="E414" s="260"/>
      <c r="F414" s="260"/>
      <c r="G414" s="260"/>
      <c r="H414" s="260"/>
      <c r="I414" s="260"/>
      <c r="J414" s="261"/>
      <c r="K414" s="260"/>
      <c r="L414" s="260"/>
      <c r="M414" s="260"/>
      <c r="N414" s="260"/>
      <c r="O414" s="260"/>
      <c r="P414" s="260"/>
      <c r="Q414" s="260"/>
      <c r="R414" s="260"/>
      <c r="S414" s="260"/>
      <c r="T414" s="279"/>
      <c r="U414" s="260"/>
      <c r="V414" s="260"/>
      <c r="W414" s="260"/>
      <c r="X414" s="260"/>
      <c r="Y414" s="260"/>
      <c r="Z414" s="260"/>
      <c r="AA414" s="264"/>
      <c r="AB414" s="260"/>
      <c r="AC414" s="260"/>
    </row>
    <row r="415">
      <c r="A415" s="259"/>
      <c r="B415" s="260"/>
      <c r="C415" s="260"/>
      <c r="D415" s="260"/>
      <c r="E415" s="260"/>
      <c r="F415" s="260"/>
      <c r="G415" s="260"/>
      <c r="H415" s="260"/>
      <c r="I415" s="260"/>
      <c r="J415" s="261"/>
      <c r="K415" s="260"/>
      <c r="L415" s="260"/>
      <c r="M415" s="260"/>
      <c r="N415" s="260"/>
      <c r="O415" s="260"/>
      <c r="P415" s="260"/>
      <c r="Q415" s="260"/>
      <c r="R415" s="260"/>
      <c r="S415" s="260"/>
      <c r="T415" s="279"/>
      <c r="U415" s="260"/>
      <c r="V415" s="260"/>
      <c r="W415" s="260"/>
      <c r="X415" s="260"/>
      <c r="Y415" s="260"/>
      <c r="Z415" s="260"/>
      <c r="AA415" s="264"/>
      <c r="AB415" s="260"/>
      <c r="AC415" s="260"/>
    </row>
    <row r="416">
      <c r="A416" s="259"/>
      <c r="B416" s="260"/>
      <c r="C416" s="260"/>
      <c r="D416" s="260"/>
      <c r="E416" s="260"/>
      <c r="F416" s="260"/>
      <c r="G416" s="260"/>
      <c r="H416" s="260"/>
      <c r="I416" s="260"/>
      <c r="J416" s="261"/>
      <c r="K416" s="260"/>
      <c r="L416" s="260"/>
      <c r="M416" s="260"/>
      <c r="N416" s="260"/>
      <c r="O416" s="260"/>
      <c r="P416" s="260"/>
      <c r="Q416" s="260"/>
      <c r="R416" s="260"/>
      <c r="S416" s="260"/>
      <c r="T416" s="279"/>
      <c r="U416" s="260"/>
      <c r="V416" s="260"/>
      <c r="W416" s="260"/>
      <c r="X416" s="260"/>
      <c r="Y416" s="260"/>
      <c r="Z416" s="260"/>
      <c r="AA416" s="264"/>
      <c r="AB416" s="260"/>
      <c r="AC416" s="260"/>
    </row>
    <row r="417">
      <c r="A417" s="259"/>
      <c r="B417" s="260"/>
      <c r="C417" s="260"/>
      <c r="D417" s="260"/>
      <c r="E417" s="260"/>
      <c r="F417" s="260"/>
      <c r="G417" s="260"/>
      <c r="H417" s="260"/>
      <c r="I417" s="260"/>
      <c r="J417" s="261"/>
      <c r="K417" s="260"/>
      <c r="L417" s="260"/>
      <c r="M417" s="260"/>
      <c r="N417" s="260"/>
      <c r="O417" s="260"/>
      <c r="P417" s="260"/>
      <c r="Q417" s="260"/>
      <c r="R417" s="260"/>
      <c r="S417" s="260"/>
      <c r="T417" s="279"/>
      <c r="U417" s="260"/>
      <c r="V417" s="260"/>
      <c r="W417" s="260"/>
      <c r="X417" s="260"/>
      <c r="Y417" s="260"/>
      <c r="Z417" s="260"/>
      <c r="AA417" s="264"/>
      <c r="AB417" s="260"/>
      <c r="AC417" s="260"/>
    </row>
    <row r="418">
      <c r="A418" s="259"/>
      <c r="B418" s="260"/>
      <c r="C418" s="260"/>
      <c r="D418" s="260"/>
      <c r="E418" s="260"/>
      <c r="F418" s="260"/>
      <c r="G418" s="260"/>
      <c r="H418" s="260"/>
      <c r="I418" s="260"/>
      <c r="J418" s="261"/>
      <c r="K418" s="260"/>
      <c r="L418" s="260"/>
      <c r="M418" s="260"/>
      <c r="N418" s="260"/>
      <c r="O418" s="260"/>
      <c r="P418" s="260"/>
      <c r="Q418" s="260"/>
      <c r="R418" s="260"/>
      <c r="S418" s="260"/>
      <c r="T418" s="279"/>
      <c r="U418" s="260"/>
      <c r="V418" s="260"/>
      <c r="W418" s="260"/>
      <c r="X418" s="260"/>
      <c r="Y418" s="260"/>
      <c r="Z418" s="260"/>
      <c r="AA418" s="264"/>
      <c r="AB418" s="260"/>
      <c r="AC418" s="260"/>
    </row>
    <row r="419">
      <c r="A419" s="259"/>
      <c r="B419" s="260"/>
      <c r="C419" s="260"/>
      <c r="D419" s="260"/>
      <c r="E419" s="260"/>
      <c r="F419" s="260"/>
      <c r="G419" s="260"/>
      <c r="H419" s="260"/>
      <c r="I419" s="260"/>
      <c r="J419" s="261"/>
      <c r="K419" s="260"/>
      <c r="L419" s="260"/>
      <c r="M419" s="260"/>
      <c r="N419" s="260"/>
      <c r="O419" s="260"/>
      <c r="P419" s="260"/>
      <c r="Q419" s="260"/>
      <c r="R419" s="260"/>
      <c r="S419" s="260"/>
      <c r="T419" s="279"/>
      <c r="U419" s="260"/>
      <c r="V419" s="260"/>
      <c r="W419" s="260"/>
      <c r="X419" s="260"/>
      <c r="Y419" s="260"/>
      <c r="Z419" s="260"/>
      <c r="AA419" s="264"/>
      <c r="AB419" s="260"/>
      <c r="AC419" s="260"/>
    </row>
    <row r="420">
      <c r="A420" s="259"/>
      <c r="B420" s="260"/>
      <c r="C420" s="260"/>
      <c r="D420" s="260"/>
      <c r="E420" s="260"/>
      <c r="F420" s="260"/>
      <c r="G420" s="260"/>
      <c r="H420" s="260"/>
      <c r="I420" s="260"/>
      <c r="J420" s="261"/>
      <c r="K420" s="260"/>
      <c r="L420" s="260"/>
      <c r="M420" s="260"/>
      <c r="N420" s="260"/>
      <c r="O420" s="260"/>
      <c r="P420" s="260"/>
      <c r="Q420" s="260"/>
      <c r="R420" s="260"/>
      <c r="S420" s="260"/>
      <c r="T420" s="279"/>
      <c r="U420" s="260"/>
      <c r="V420" s="260"/>
      <c r="W420" s="260"/>
      <c r="X420" s="260"/>
      <c r="Y420" s="260"/>
      <c r="Z420" s="260"/>
      <c r="AA420" s="264"/>
      <c r="AB420" s="260"/>
      <c r="AC420" s="260"/>
    </row>
    <row r="421">
      <c r="A421" s="259"/>
      <c r="B421" s="260"/>
      <c r="C421" s="260"/>
      <c r="D421" s="260"/>
      <c r="E421" s="260"/>
      <c r="F421" s="260"/>
      <c r="G421" s="260"/>
      <c r="H421" s="260"/>
      <c r="I421" s="260"/>
      <c r="J421" s="261"/>
      <c r="K421" s="260"/>
      <c r="L421" s="260"/>
      <c r="M421" s="260"/>
      <c r="N421" s="260"/>
      <c r="O421" s="260"/>
      <c r="P421" s="260"/>
      <c r="Q421" s="260"/>
      <c r="R421" s="260"/>
      <c r="S421" s="260"/>
      <c r="T421" s="279"/>
      <c r="U421" s="260"/>
      <c r="V421" s="260"/>
      <c r="W421" s="260"/>
      <c r="X421" s="260"/>
      <c r="Y421" s="260"/>
      <c r="Z421" s="260"/>
      <c r="AA421" s="264"/>
      <c r="AB421" s="260"/>
      <c r="AC421" s="260"/>
    </row>
    <row r="422">
      <c r="A422" s="259"/>
      <c r="B422" s="260"/>
      <c r="C422" s="260"/>
      <c r="D422" s="260"/>
      <c r="E422" s="260"/>
      <c r="F422" s="260"/>
      <c r="G422" s="260"/>
      <c r="H422" s="260"/>
      <c r="I422" s="260"/>
      <c r="J422" s="261"/>
      <c r="K422" s="260"/>
      <c r="L422" s="260"/>
      <c r="M422" s="260"/>
      <c r="N422" s="260"/>
      <c r="O422" s="260"/>
      <c r="P422" s="260"/>
      <c r="Q422" s="260"/>
      <c r="R422" s="260"/>
      <c r="S422" s="260"/>
      <c r="T422" s="279"/>
      <c r="U422" s="260"/>
      <c r="V422" s="260"/>
      <c r="W422" s="260"/>
      <c r="X422" s="260"/>
      <c r="Y422" s="260"/>
      <c r="Z422" s="260"/>
      <c r="AA422" s="264"/>
      <c r="AB422" s="260"/>
      <c r="AC422" s="260"/>
    </row>
    <row r="423">
      <c r="A423" s="259"/>
      <c r="B423" s="260"/>
      <c r="C423" s="260"/>
      <c r="D423" s="260"/>
      <c r="E423" s="260"/>
      <c r="F423" s="260"/>
      <c r="G423" s="260"/>
      <c r="H423" s="260"/>
      <c r="I423" s="260"/>
      <c r="J423" s="261"/>
      <c r="K423" s="260"/>
      <c r="L423" s="260"/>
      <c r="M423" s="260"/>
      <c r="N423" s="260"/>
      <c r="O423" s="260"/>
      <c r="P423" s="260"/>
      <c r="Q423" s="260"/>
      <c r="R423" s="260"/>
      <c r="S423" s="260"/>
      <c r="T423" s="279"/>
      <c r="U423" s="260"/>
      <c r="V423" s="260"/>
      <c r="W423" s="260"/>
      <c r="X423" s="260"/>
      <c r="Y423" s="260"/>
      <c r="Z423" s="260"/>
      <c r="AA423" s="264"/>
      <c r="AB423" s="260"/>
      <c r="AC423" s="260"/>
    </row>
    <row r="424">
      <c r="A424" s="259"/>
      <c r="B424" s="260"/>
      <c r="C424" s="260"/>
      <c r="D424" s="260"/>
      <c r="E424" s="260"/>
      <c r="F424" s="260"/>
      <c r="G424" s="260"/>
      <c r="H424" s="260"/>
      <c r="I424" s="260"/>
      <c r="J424" s="261"/>
      <c r="K424" s="260"/>
      <c r="L424" s="260"/>
      <c r="M424" s="260"/>
      <c r="N424" s="260"/>
      <c r="O424" s="260"/>
      <c r="P424" s="260"/>
      <c r="Q424" s="260"/>
      <c r="R424" s="260"/>
      <c r="S424" s="260"/>
      <c r="T424" s="279"/>
      <c r="U424" s="260"/>
      <c r="V424" s="260"/>
      <c r="W424" s="260"/>
      <c r="X424" s="260"/>
      <c r="Y424" s="260"/>
      <c r="Z424" s="260"/>
      <c r="AA424" s="264"/>
      <c r="AB424" s="260"/>
      <c r="AC424" s="260"/>
    </row>
    <row r="425">
      <c r="A425" s="259"/>
      <c r="B425" s="260"/>
      <c r="C425" s="260"/>
      <c r="D425" s="260"/>
      <c r="E425" s="260"/>
      <c r="F425" s="260"/>
      <c r="G425" s="260"/>
      <c r="H425" s="260"/>
      <c r="I425" s="260"/>
      <c r="J425" s="261"/>
      <c r="K425" s="260"/>
      <c r="L425" s="260"/>
      <c r="M425" s="260"/>
      <c r="N425" s="260"/>
      <c r="O425" s="260"/>
      <c r="P425" s="260"/>
      <c r="Q425" s="260"/>
      <c r="R425" s="260"/>
      <c r="S425" s="260"/>
      <c r="T425" s="279"/>
      <c r="U425" s="260"/>
      <c r="V425" s="260"/>
      <c r="W425" s="260"/>
      <c r="X425" s="260"/>
      <c r="Y425" s="260"/>
      <c r="Z425" s="260"/>
      <c r="AA425" s="264"/>
      <c r="AB425" s="260"/>
      <c r="AC425" s="260"/>
    </row>
    <row r="426">
      <c r="A426" s="259"/>
      <c r="B426" s="260"/>
      <c r="C426" s="260"/>
      <c r="D426" s="260"/>
      <c r="E426" s="260"/>
      <c r="F426" s="260"/>
      <c r="G426" s="260"/>
      <c r="H426" s="260"/>
      <c r="I426" s="260"/>
      <c r="J426" s="261"/>
      <c r="K426" s="260"/>
      <c r="L426" s="260"/>
      <c r="M426" s="260"/>
      <c r="N426" s="260"/>
      <c r="O426" s="260"/>
      <c r="P426" s="260"/>
      <c r="Q426" s="260"/>
      <c r="R426" s="260"/>
      <c r="S426" s="260"/>
      <c r="T426" s="279"/>
      <c r="U426" s="260"/>
      <c r="V426" s="260"/>
      <c r="W426" s="260"/>
      <c r="X426" s="260"/>
      <c r="Y426" s="260"/>
      <c r="Z426" s="260"/>
      <c r="AA426" s="264"/>
      <c r="AB426" s="260"/>
      <c r="AC426" s="260"/>
    </row>
    <row r="427">
      <c r="A427" s="259"/>
      <c r="B427" s="260"/>
      <c r="C427" s="260"/>
      <c r="D427" s="260"/>
      <c r="E427" s="260"/>
      <c r="F427" s="260"/>
      <c r="G427" s="260"/>
      <c r="H427" s="260"/>
      <c r="I427" s="260"/>
      <c r="J427" s="261"/>
      <c r="K427" s="260"/>
      <c r="L427" s="260"/>
      <c r="M427" s="260"/>
      <c r="N427" s="260"/>
      <c r="O427" s="260"/>
      <c r="P427" s="260"/>
      <c r="Q427" s="260"/>
      <c r="R427" s="260"/>
      <c r="S427" s="260"/>
      <c r="T427" s="279"/>
      <c r="U427" s="260"/>
      <c r="V427" s="260"/>
      <c r="W427" s="260"/>
      <c r="X427" s="260"/>
      <c r="Y427" s="260"/>
      <c r="Z427" s="260"/>
      <c r="AA427" s="264"/>
      <c r="AB427" s="260"/>
      <c r="AC427" s="260"/>
    </row>
    <row r="428">
      <c r="A428" s="259"/>
      <c r="B428" s="260"/>
      <c r="C428" s="260"/>
      <c r="D428" s="260"/>
      <c r="E428" s="260"/>
      <c r="F428" s="260"/>
      <c r="G428" s="260"/>
      <c r="H428" s="260"/>
      <c r="I428" s="260"/>
      <c r="J428" s="261"/>
      <c r="K428" s="260"/>
      <c r="L428" s="260"/>
      <c r="M428" s="260"/>
      <c r="N428" s="260"/>
      <c r="O428" s="260"/>
      <c r="P428" s="260"/>
      <c r="Q428" s="260"/>
      <c r="R428" s="260"/>
      <c r="S428" s="260"/>
      <c r="T428" s="279"/>
      <c r="U428" s="260"/>
      <c r="V428" s="260"/>
      <c r="W428" s="260"/>
      <c r="X428" s="260"/>
      <c r="Y428" s="260"/>
      <c r="Z428" s="260"/>
      <c r="AA428" s="264"/>
      <c r="AB428" s="260"/>
      <c r="AC428" s="260"/>
    </row>
    <row r="429">
      <c r="A429" s="259"/>
      <c r="B429" s="260"/>
      <c r="C429" s="260"/>
      <c r="D429" s="260"/>
      <c r="E429" s="260"/>
      <c r="F429" s="260"/>
      <c r="G429" s="260"/>
      <c r="H429" s="260"/>
      <c r="I429" s="260"/>
      <c r="J429" s="261"/>
      <c r="K429" s="260"/>
      <c r="L429" s="260"/>
      <c r="M429" s="260"/>
      <c r="N429" s="260"/>
      <c r="O429" s="260"/>
      <c r="P429" s="260"/>
      <c r="Q429" s="260"/>
      <c r="R429" s="260"/>
      <c r="S429" s="260"/>
      <c r="T429" s="279"/>
      <c r="U429" s="260"/>
      <c r="V429" s="260"/>
      <c r="W429" s="260"/>
      <c r="X429" s="260"/>
      <c r="Y429" s="260"/>
      <c r="Z429" s="260"/>
      <c r="AA429" s="264"/>
      <c r="AB429" s="260"/>
      <c r="AC429" s="260"/>
    </row>
    <row r="430">
      <c r="A430" s="259"/>
      <c r="B430" s="260"/>
      <c r="C430" s="260"/>
      <c r="D430" s="260"/>
      <c r="E430" s="260"/>
      <c r="F430" s="260"/>
      <c r="G430" s="260"/>
      <c r="H430" s="260"/>
      <c r="I430" s="260"/>
      <c r="J430" s="261"/>
      <c r="K430" s="260"/>
      <c r="L430" s="260"/>
      <c r="M430" s="260"/>
      <c r="N430" s="260"/>
      <c r="O430" s="260"/>
      <c r="P430" s="260"/>
      <c r="Q430" s="260"/>
      <c r="R430" s="260"/>
      <c r="S430" s="260"/>
      <c r="T430" s="279"/>
      <c r="U430" s="260"/>
      <c r="V430" s="260"/>
      <c r="W430" s="260"/>
      <c r="X430" s="260"/>
      <c r="Y430" s="260"/>
      <c r="Z430" s="260"/>
      <c r="AA430" s="264"/>
      <c r="AB430" s="260"/>
      <c r="AC430" s="260"/>
    </row>
    <row r="431">
      <c r="A431" s="259"/>
      <c r="B431" s="260"/>
      <c r="C431" s="260"/>
      <c r="D431" s="260"/>
      <c r="E431" s="260"/>
      <c r="F431" s="260"/>
      <c r="G431" s="260"/>
      <c r="H431" s="260"/>
      <c r="I431" s="260"/>
      <c r="J431" s="261"/>
      <c r="K431" s="260"/>
      <c r="L431" s="260"/>
      <c r="M431" s="260"/>
      <c r="N431" s="260"/>
      <c r="O431" s="260"/>
      <c r="P431" s="260"/>
      <c r="Q431" s="260"/>
      <c r="R431" s="260"/>
      <c r="S431" s="260"/>
      <c r="T431" s="279"/>
      <c r="U431" s="260"/>
      <c r="V431" s="260"/>
      <c r="W431" s="260"/>
      <c r="X431" s="260"/>
      <c r="Y431" s="260"/>
      <c r="Z431" s="260"/>
      <c r="AA431" s="264"/>
      <c r="AB431" s="260"/>
      <c r="AC431" s="260"/>
    </row>
    <row r="432">
      <c r="A432" s="259"/>
      <c r="B432" s="260"/>
      <c r="C432" s="260"/>
      <c r="D432" s="260"/>
      <c r="E432" s="260"/>
      <c r="F432" s="260"/>
      <c r="G432" s="260"/>
      <c r="H432" s="260"/>
      <c r="I432" s="260"/>
      <c r="J432" s="261"/>
      <c r="K432" s="260"/>
      <c r="L432" s="260"/>
      <c r="M432" s="260"/>
      <c r="N432" s="260"/>
      <c r="O432" s="260"/>
      <c r="P432" s="260"/>
      <c r="Q432" s="260"/>
      <c r="R432" s="260"/>
      <c r="S432" s="260"/>
      <c r="T432" s="279"/>
      <c r="U432" s="260"/>
      <c r="V432" s="260"/>
      <c r="W432" s="260"/>
      <c r="X432" s="260"/>
      <c r="Y432" s="260"/>
      <c r="Z432" s="260"/>
      <c r="AA432" s="264"/>
      <c r="AB432" s="260"/>
      <c r="AC432" s="260"/>
    </row>
    <row r="433">
      <c r="A433" s="259"/>
      <c r="B433" s="260"/>
      <c r="C433" s="260"/>
      <c r="D433" s="260"/>
      <c r="E433" s="260"/>
      <c r="F433" s="260"/>
      <c r="G433" s="260"/>
      <c r="H433" s="260"/>
      <c r="I433" s="260"/>
      <c r="J433" s="261"/>
      <c r="K433" s="260"/>
      <c r="L433" s="260"/>
      <c r="M433" s="260"/>
      <c r="N433" s="260"/>
      <c r="O433" s="260"/>
      <c r="P433" s="260"/>
      <c r="Q433" s="260"/>
      <c r="R433" s="260"/>
      <c r="S433" s="260"/>
      <c r="T433" s="279"/>
      <c r="U433" s="260"/>
      <c r="V433" s="260"/>
      <c r="W433" s="260"/>
      <c r="X433" s="260"/>
      <c r="Y433" s="260"/>
      <c r="Z433" s="260"/>
      <c r="AA433" s="264"/>
      <c r="AB433" s="260"/>
      <c r="AC433" s="260"/>
    </row>
    <row r="434">
      <c r="A434" s="259"/>
      <c r="B434" s="260"/>
      <c r="C434" s="260"/>
      <c r="D434" s="260"/>
      <c r="E434" s="260"/>
      <c r="F434" s="260"/>
      <c r="G434" s="260"/>
      <c r="H434" s="260"/>
      <c r="I434" s="260"/>
      <c r="J434" s="261"/>
      <c r="K434" s="260"/>
      <c r="L434" s="260"/>
      <c r="M434" s="260"/>
      <c r="N434" s="260"/>
      <c r="O434" s="260"/>
      <c r="P434" s="260"/>
      <c r="Q434" s="260"/>
      <c r="R434" s="260"/>
      <c r="S434" s="260"/>
      <c r="T434" s="279"/>
      <c r="U434" s="260"/>
      <c r="V434" s="260"/>
      <c r="W434" s="260"/>
      <c r="X434" s="260"/>
      <c r="Y434" s="260"/>
      <c r="Z434" s="260"/>
      <c r="AA434" s="264"/>
      <c r="AB434" s="260"/>
      <c r="AC434" s="260"/>
    </row>
    <row r="435">
      <c r="A435" s="259"/>
      <c r="B435" s="260"/>
      <c r="C435" s="260"/>
      <c r="D435" s="260"/>
      <c r="E435" s="260"/>
      <c r="F435" s="260"/>
      <c r="G435" s="260"/>
      <c r="H435" s="260"/>
      <c r="I435" s="260"/>
      <c r="J435" s="261"/>
      <c r="K435" s="260"/>
      <c r="L435" s="260"/>
      <c r="M435" s="260"/>
      <c r="N435" s="260"/>
      <c r="O435" s="260"/>
      <c r="P435" s="260"/>
      <c r="Q435" s="260"/>
      <c r="R435" s="260"/>
      <c r="S435" s="260"/>
      <c r="T435" s="279"/>
      <c r="U435" s="260"/>
      <c r="V435" s="260"/>
      <c r="W435" s="260"/>
      <c r="X435" s="260"/>
      <c r="Y435" s="260"/>
      <c r="Z435" s="260"/>
      <c r="AA435" s="264"/>
      <c r="AB435" s="260"/>
      <c r="AC435" s="260"/>
    </row>
    <row r="436">
      <c r="A436" s="259"/>
      <c r="B436" s="260"/>
      <c r="C436" s="260"/>
      <c r="D436" s="260"/>
      <c r="E436" s="260"/>
      <c r="F436" s="260"/>
      <c r="G436" s="260"/>
      <c r="H436" s="260"/>
      <c r="I436" s="260"/>
      <c r="J436" s="261"/>
      <c r="K436" s="260"/>
      <c r="L436" s="260"/>
      <c r="M436" s="260"/>
      <c r="N436" s="260"/>
      <c r="O436" s="260"/>
      <c r="P436" s="260"/>
      <c r="Q436" s="260"/>
      <c r="R436" s="260"/>
      <c r="S436" s="260"/>
      <c r="T436" s="279"/>
      <c r="U436" s="260"/>
      <c r="V436" s="260"/>
      <c r="W436" s="260"/>
      <c r="X436" s="260"/>
      <c r="Y436" s="260"/>
      <c r="Z436" s="260"/>
      <c r="AA436" s="264"/>
      <c r="AB436" s="260"/>
      <c r="AC436" s="260"/>
    </row>
    <row r="437">
      <c r="A437" s="259"/>
      <c r="B437" s="260"/>
      <c r="C437" s="260"/>
      <c r="D437" s="260"/>
      <c r="E437" s="260"/>
      <c r="F437" s="260"/>
      <c r="G437" s="260"/>
      <c r="H437" s="260"/>
      <c r="I437" s="260"/>
      <c r="J437" s="261"/>
      <c r="K437" s="260"/>
      <c r="L437" s="260"/>
      <c r="M437" s="260"/>
      <c r="N437" s="260"/>
      <c r="O437" s="260"/>
      <c r="P437" s="260"/>
      <c r="Q437" s="260"/>
      <c r="R437" s="260"/>
      <c r="S437" s="260"/>
      <c r="T437" s="279"/>
      <c r="U437" s="260"/>
      <c r="V437" s="260"/>
      <c r="W437" s="260"/>
      <c r="X437" s="260"/>
      <c r="Y437" s="260"/>
      <c r="Z437" s="260"/>
      <c r="AA437" s="264"/>
      <c r="AB437" s="260"/>
      <c r="AC437" s="260"/>
    </row>
    <row r="438">
      <c r="A438" s="259"/>
      <c r="B438" s="260"/>
      <c r="C438" s="260"/>
      <c r="D438" s="260"/>
      <c r="E438" s="260"/>
      <c r="F438" s="260"/>
      <c r="G438" s="260"/>
      <c r="H438" s="260"/>
      <c r="I438" s="260"/>
      <c r="J438" s="261"/>
      <c r="K438" s="260"/>
      <c r="L438" s="260"/>
      <c r="M438" s="260"/>
      <c r="N438" s="260"/>
      <c r="O438" s="260"/>
      <c r="P438" s="260"/>
      <c r="Q438" s="260"/>
      <c r="R438" s="260"/>
      <c r="S438" s="260"/>
      <c r="T438" s="279"/>
      <c r="U438" s="260"/>
      <c r="V438" s="260"/>
      <c r="W438" s="260"/>
      <c r="X438" s="260"/>
      <c r="Y438" s="260"/>
      <c r="Z438" s="260"/>
      <c r="AA438" s="264"/>
      <c r="AB438" s="260"/>
      <c r="AC438" s="260"/>
    </row>
    <row r="439">
      <c r="A439" s="259"/>
      <c r="B439" s="260"/>
      <c r="C439" s="260"/>
      <c r="D439" s="260"/>
      <c r="E439" s="260"/>
      <c r="F439" s="260"/>
      <c r="G439" s="260"/>
      <c r="H439" s="260"/>
      <c r="I439" s="260"/>
      <c r="J439" s="261"/>
      <c r="K439" s="260"/>
      <c r="L439" s="260"/>
      <c r="M439" s="260"/>
      <c r="N439" s="260"/>
      <c r="O439" s="260"/>
      <c r="P439" s="260"/>
      <c r="Q439" s="260"/>
      <c r="R439" s="260"/>
      <c r="S439" s="260"/>
      <c r="T439" s="279"/>
      <c r="U439" s="260"/>
      <c r="V439" s="260"/>
      <c r="W439" s="260"/>
      <c r="X439" s="260"/>
      <c r="Y439" s="260"/>
      <c r="Z439" s="260"/>
      <c r="AA439" s="264"/>
      <c r="AB439" s="260"/>
      <c r="AC439" s="260"/>
    </row>
    <row r="440">
      <c r="A440" s="259"/>
      <c r="B440" s="260"/>
      <c r="C440" s="260"/>
      <c r="D440" s="260"/>
      <c r="E440" s="260"/>
      <c r="F440" s="260"/>
      <c r="G440" s="260"/>
      <c r="H440" s="260"/>
      <c r="I440" s="260"/>
      <c r="J440" s="261"/>
      <c r="K440" s="260"/>
      <c r="L440" s="260"/>
      <c r="M440" s="260"/>
      <c r="N440" s="260"/>
      <c r="O440" s="260"/>
      <c r="P440" s="260"/>
      <c r="Q440" s="260"/>
      <c r="R440" s="260"/>
      <c r="S440" s="260"/>
      <c r="T440" s="279"/>
      <c r="U440" s="260"/>
      <c r="V440" s="260"/>
      <c r="W440" s="260"/>
      <c r="X440" s="260"/>
      <c r="Y440" s="260"/>
      <c r="Z440" s="260"/>
      <c r="AA440" s="264"/>
      <c r="AB440" s="260"/>
      <c r="AC440" s="260"/>
    </row>
    <row r="441">
      <c r="A441" s="259"/>
      <c r="B441" s="260"/>
      <c r="C441" s="260"/>
      <c r="D441" s="260"/>
      <c r="E441" s="260"/>
      <c r="F441" s="260"/>
      <c r="G441" s="260"/>
      <c r="H441" s="260"/>
      <c r="I441" s="260"/>
      <c r="J441" s="261"/>
      <c r="K441" s="260"/>
      <c r="L441" s="260"/>
      <c r="M441" s="260"/>
      <c r="N441" s="260"/>
      <c r="O441" s="260"/>
      <c r="P441" s="260"/>
      <c r="Q441" s="260"/>
      <c r="R441" s="260"/>
      <c r="S441" s="260"/>
      <c r="T441" s="279"/>
      <c r="U441" s="260"/>
      <c r="V441" s="260"/>
      <c r="W441" s="260"/>
      <c r="X441" s="260"/>
      <c r="Y441" s="260"/>
      <c r="Z441" s="260"/>
      <c r="AA441" s="264"/>
      <c r="AB441" s="260"/>
      <c r="AC441" s="260"/>
    </row>
    <row r="442">
      <c r="A442" s="259"/>
      <c r="B442" s="260"/>
      <c r="C442" s="260"/>
      <c r="D442" s="260"/>
      <c r="E442" s="260"/>
      <c r="F442" s="260"/>
      <c r="G442" s="260"/>
      <c r="H442" s="260"/>
      <c r="I442" s="260"/>
      <c r="J442" s="261"/>
      <c r="K442" s="260"/>
      <c r="L442" s="260"/>
      <c r="M442" s="260"/>
      <c r="N442" s="260"/>
      <c r="O442" s="260"/>
      <c r="P442" s="260"/>
      <c r="Q442" s="260"/>
      <c r="R442" s="260"/>
      <c r="S442" s="260"/>
      <c r="T442" s="279"/>
      <c r="U442" s="260"/>
      <c r="V442" s="260"/>
      <c r="W442" s="260"/>
      <c r="X442" s="260"/>
      <c r="Y442" s="260"/>
      <c r="Z442" s="260"/>
      <c r="AA442" s="264"/>
      <c r="AB442" s="260"/>
      <c r="AC442" s="260"/>
    </row>
    <row r="443">
      <c r="A443" s="259"/>
      <c r="B443" s="260"/>
      <c r="C443" s="260"/>
      <c r="D443" s="260"/>
      <c r="E443" s="260"/>
      <c r="F443" s="260"/>
      <c r="G443" s="260"/>
      <c r="H443" s="260"/>
      <c r="I443" s="260"/>
      <c r="J443" s="261"/>
      <c r="K443" s="260"/>
      <c r="L443" s="260"/>
      <c r="M443" s="260"/>
      <c r="N443" s="260"/>
      <c r="O443" s="260"/>
      <c r="P443" s="260"/>
      <c r="Q443" s="260"/>
      <c r="R443" s="260"/>
      <c r="S443" s="260"/>
      <c r="T443" s="279"/>
      <c r="U443" s="260"/>
      <c r="V443" s="260"/>
      <c r="W443" s="260"/>
      <c r="X443" s="260"/>
      <c r="Y443" s="260"/>
      <c r="Z443" s="260"/>
      <c r="AA443" s="264"/>
      <c r="AB443" s="260"/>
      <c r="AC443" s="260"/>
    </row>
    <row r="444">
      <c r="A444" s="259"/>
      <c r="B444" s="260"/>
      <c r="C444" s="260"/>
      <c r="D444" s="260"/>
      <c r="E444" s="260"/>
      <c r="F444" s="260"/>
      <c r="G444" s="260"/>
      <c r="H444" s="260"/>
      <c r="I444" s="260"/>
      <c r="J444" s="261"/>
      <c r="K444" s="260"/>
      <c r="L444" s="260"/>
      <c r="M444" s="260"/>
      <c r="N444" s="260"/>
      <c r="O444" s="260"/>
      <c r="P444" s="260"/>
      <c r="Q444" s="260"/>
      <c r="R444" s="260"/>
      <c r="S444" s="260"/>
      <c r="T444" s="279"/>
      <c r="U444" s="260"/>
      <c r="V444" s="260"/>
      <c r="W444" s="260"/>
      <c r="X444" s="260"/>
      <c r="Y444" s="260"/>
      <c r="Z444" s="260"/>
      <c r="AA444" s="264"/>
      <c r="AB444" s="260"/>
      <c r="AC444" s="260"/>
    </row>
    <row r="445">
      <c r="A445" s="259"/>
      <c r="B445" s="260"/>
      <c r="C445" s="260"/>
      <c r="D445" s="260"/>
      <c r="E445" s="260"/>
      <c r="F445" s="260"/>
      <c r="G445" s="260"/>
      <c r="H445" s="260"/>
      <c r="I445" s="260"/>
      <c r="J445" s="261"/>
      <c r="K445" s="260"/>
      <c r="L445" s="260"/>
      <c r="M445" s="260"/>
      <c r="N445" s="260"/>
      <c r="O445" s="260"/>
      <c r="P445" s="260"/>
      <c r="Q445" s="260"/>
      <c r="R445" s="260"/>
      <c r="S445" s="260"/>
      <c r="T445" s="279"/>
      <c r="U445" s="260"/>
      <c r="V445" s="260"/>
      <c r="W445" s="260"/>
      <c r="X445" s="260"/>
      <c r="Y445" s="260"/>
      <c r="Z445" s="260"/>
      <c r="AA445" s="264"/>
      <c r="AB445" s="260"/>
      <c r="AC445" s="260"/>
    </row>
    <row r="446">
      <c r="A446" s="259"/>
      <c r="B446" s="260"/>
      <c r="C446" s="260"/>
      <c r="D446" s="260"/>
      <c r="E446" s="260"/>
      <c r="F446" s="260"/>
      <c r="G446" s="260"/>
      <c r="H446" s="260"/>
      <c r="I446" s="260"/>
      <c r="J446" s="261"/>
      <c r="K446" s="260"/>
      <c r="L446" s="260"/>
      <c r="M446" s="260"/>
      <c r="N446" s="260"/>
      <c r="O446" s="260"/>
      <c r="P446" s="260"/>
      <c r="Q446" s="260"/>
      <c r="R446" s="260"/>
      <c r="S446" s="260"/>
      <c r="T446" s="279"/>
      <c r="U446" s="260"/>
      <c r="V446" s="260"/>
      <c r="W446" s="260"/>
      <c r="X446" s="260"/>
      <c r="Y446" s="260"/>
      <c r="Z446" s="260"/>
      <c r="AA446" s="264"/>
      <c r="AB446" s="260"/>
      <c r="AC446" s="260"/>
    </row>
    <row r="447">
      <c r="A447" s="259"/>
      <c r="B447" s="260"/>
      <c r="C447" s="260"/>
      <c r="D447" s="260"/>
      <c r="E447" s="260"/>
      <c r="F447" s="260"/>
      <c r="G447" s="260"/>
      <c r="H447" s="260"/>
      <c r="I447" s="260"/>
      <c r="J447" s="261"/>
      <c r="K447" s="260"/>
      <c r="L447" s="260"/>
      <c r="M447" s="260"/>
      <c r="N447" s="260"/>
      <c r="O447" s="260"/>
      <c r="P447" s="260"/>
      <c r="Q447" s="260"/>
      <c r="R447" s="260"/>
      <c r="S447" s="260"/>
      <c r="T447" s="279"/>
      <c r="U447" s="260"/>
      <c r="V447" s="260"/>
      <c r="W447" s="260"/>
      <c r="X447" s="260"/>
      <c r="Y447" s="260"/>
      <c r="Z447" s="260"/>
      <c r="AA447" s="264"/>
      <c r="AB447" s="260"/>
      <c r="AC447" s="260"/>
    </row>
    <row r="448">
      <c r="A448" s="259"/>
      <c r="B448" s="260"/>
      <c r="C448" s="260"/>
      <c r="D448" s="260"/>
      <c r="E448" s="260"/>
      <c r="F448" s="260"/>
      <c r="G448" s="260"/>
      <c r="H448" s="260"/>
      <c r="I448" s="260"/>
      <c r="J448" s="261"/>
      <c r="K448" s="260"/>
      <c r="L448" s="260"/>
      <c r="M448" s="260"/>
      <c r="N448" s="260"/>
      <c r="O448" s="260"/>
      <c r="P448" s="260"/>
      <c r="Q448" s="260"/>
      <c r="R448" s="260"/>
      <c r="S448" s="260"/>
      <c r="T448" s="279"/>
      <c r="U448" s="260"/>
      <c r="V448" s="260"/>
      <c r="W448" s="260"/>
      <c r="X448" s="260"/>
      <c r="Y448" s="260"/>
      <c r="Z448" s="260"/>
      <c r="AA448" s="264"/>
      <c r="AB448" s="260"/>
      <c r="AC448" s="260"/>
    </row>
    <row r="449">
      <c r="A449" s="259"/>
      <c r="B449" s="260"/>
      <c r="C449" s="260"/>
      <c r="D449" s="260"/>
      <c r="E449" s="260"/>
      <c r="F449" s="260"/>
      <c r="G449" s="260"/>
      <c r="H449" s="260"/>
      <c r="I449" s="260"/>
      <c r="J449" s="261"/>
      <c r="K449" s="260"/>
      <c r="L449" s="260"/>
      <c r="M449" s="260"/>
      <c r="N449" s="260"/>
      <c r="O449" s="260"/>
      <c r="P449" s="260"/>
      <c r="Q449" s="260"/>
      <c r="R449" s="260"/>
      <c r="S449" s="260"/>
      <c r="T449" s="279"/>
      <c r="U449" s="260"/>
      <c r="V449" s="260"/>
      <c r="W449" s="260"/>
      <c r="X449" s="260"/>
      <c r="Y449" s="260"/>
      <c r="Z449" s="260"/>
      <c r="AA449" s="264"/>
      <c r="AB449" s="260"/>
      <c r="AC449" s="260"/>
    </row>
    <row r="450">
      <c r="A450" s="259"/>
      <c r="B450" s="260"/>
      <c r="C450" s="260"/>
      <c r="D450" s="260"/>
      <c r="E450" s="260"/>
      <c r="F450" s="260"/>
      <c r="G450" s="260"/>
      <c r="H450" s="260"/>
      <c r="I450" s="260"/>
      <c r="J450" s="261"/>
      <c r="K450" s="260"/>
      <c r="L450" s="260"/>
      <c r="M450" s="260"/>
      <c r="N450" s="260"/>
      <c r="O450" s="260"/>
      <c r="P450" s="260"/>
      <c r="Q450" s="260"/>
      <c r="R450" s="260"/>
      <c r="S450" s="260"/>
      <c r="T450" s="279"/>
      <c r="U450" s="260"/>
      <c r="V450" s="260"/>
      <c r="W450" s="260"/>
      <c r="X450" s="260"/>
      <c r="Y450" s="260"/>
      <c r="Z450" s="260"/>
      <c r="AA450" s="264"/>
      <c r="AB450" s="260"/>
      <c r="AC450" s="260"/>
    </row>
    <row r="451">
      <c r="A451" s="259"/>
      <c r="B451" s="260"/>
      <c r="C451" s="260"/>
      <c r="D451" s="260"/>
      <c r="E451" s="260"/>
      <c r="F451" s="260"/>
      <c r="G451" s="260"/>
      <c r="H451" s="260"/>
      <c r="I451" s="260"/>
      <c r="J451" s="261"/>
      <c r="K451" s="260"/>
      <c r="L451" s="260"/>
      <c r="M451" s="260"/>
      <c r="N451" s="260"/>
      <c r="O451" s="260"/>
      <c r="P451" s="260"/>
      <c r="Q451" s="260"/>
      <c r="R451" s="260"/>
      <c r="S451" s="260"/>
      <c r="T451" s="279"/>
      <c r="U451" s="260"/>
      <c r="V451" s="260"/>
      <c r="W451" s="260"/>
      <c r="X451" s="260"/>
      <c r="Y451" s="260"/>
      <c r="Z451" s="260"/>
      <c r="AA451" s="264"/>
      <c r="AB451" s="260"/>
      <c r="AC451" s="260"/>
    </row>
    <row r="452">
      <c r="A452" s="259"/>
      <c r="B452" s="260"/>
      <c r="C452" s="260"/>
      <c r="D452" s="260"/>
      <c r="E452" s="260"/>
      <c r="F452" s="260"/>
      <c r="G452" s="260"/>
      <c r="H452" s="260"/>
      <c r="I452" s="260"/>
      <c r="J452" s="261"/>
      <c r="K452" s="260"/>
      <c r="L452" s="260"/>
      <c r="M452" s="260"/>
      <c r="N452" s="260"/>
      <c r="O452" s="260"/>
      <c r="P452" s="260"/>
      <c r="Q452" s="260"/>
      <c r="R452" s="260"/>
      <c r="S452" s="260"/>
      <c r="T452" s="279"/>
      <c r="U452" s="260"/>
      <c r="V452" s="260"/>
      <c r="W452" s="260"/>
      <c r="X452" s="260"/>
      <c r="Y452" s="260"/>
      <c r="Z452" s="260"/>
      <c r="AA452" s="264"/>
      <c r="AB452" s="260"/>
      <c r="AC452" s="260"/>
    </row>
    <row r="453">
      <c r="A453" s="259"/>
      <c r="B453" s="260"/>
      <c r="C453" s="260"/>
      <c r="D453" s="260"/>
      <c r="E453" s="260"/>
      <c r="F453" s="260"/>
      <c r="G453" s="260"/>
      <c r="H453" s="260"/>
      <c r="I453" s="260"/>
      <c r="J453" s="261"/>
      <c r="K453" s="260"/>
      <c r="L453" s="260"/>
      <c r="M453" s="260"/>
      <c r="N453" s="260"/>
      <c r="O453" s="260"/>
      <c r="P453" s="260"/>
      <c r="Q453" s="260"/>
      <c r="R453" s="260"/>
      <c r="S453" s="260"/>
      <c r="T453" s="279"/>
      <c r="U453" s="260"/>
      <c r="V453" s="260"/>
      <c r="W453" s="260"/>
      <c r="X453" s="260"/>
      <c r="Y453" s="260"/>
      <c r="Z453" s="260"/>
      <c r="AA453" s="264"/>
      <c r="AB453" s="260"/>
      <c r="AC453" s="260"/>
    </row>
    <row r="454">
      <c r="A454" s="259"/>
      <c r="B454" s="260"/>
      <c r="C454" s="260"/>
      <c r="D454" s="260"/>
      <c r="E454" s="260"/>
      <c r="F454" s="260"/>
      <c r="G454" s="260"/>
      <c r="H454" s="260"/>
      <c r="I454" s="260"/>
      <c r="J454" s="261"/>
      <c r="K454" s="260"/>
      <c r="L454" s="260"/>
      <c r="M454" s="260"/>
      <c r="N454" s="260"/>
      <c r="O454" s="260"/>
      <c r="P454" s="260"/>
      <c r="Q454" s="260"/>
      <c r="R454" s="260"/>
      <c r="S454" s="260"/>
      <c r="T454" s="279"/>
      <c r="U454" s="260"/>
      <c r="V454" s="260"/>
      <c r="W454" s="260"/>
      <c r="X454" s="260"/>
      <c r="Y454" s="260"/>
      <c r="Z454" s="260"/>
      <c r="AA454" s="264"/>
      <c r="AB454" s="260"/>
      <c r="AC454" s="260"/>
    </row>
    <row r="455">
      <c r="A455" s="259"/>
      <c r="B455" s="260"/>
      <c r="C455" s="260"/>
      <c r="D455" s="260"/>
      <c r="E455" s="260"/>
      <c r="F455" s="260"/>
      <c r="G455" s="260"/>
      <c r="H455" s="260"/>
      <c r="I455" s="260"/>
      <c r="J455" s="261"/>
      <c r="K455" s="260"/>
      <c r="L455" s="260"/>
      <c r="M455" s="260"/>
      <c r="N455" s="260"/>
      <c r="O455" s="260"/>
      <c r="P455" s="260"/>
      <c r="Q455" s="260"/>
      <c r="R455" s="260"/>
      <c r="S455" s="260"/>
      <c r="T455" s="279"/>
      <c r="U455" s="260"/>
      <c r="V455" s="260"/>
      <c r="W455" s="260"/>
      <c r="X455" s="260"/>
      <c r="Y455" s="260"/>
      <c r="Z455" s="260"/>
      <c r="AA455" s="264"/>
      <c r="AB455" s="260"/>
      <c r="AC455" s="260"/>
    </row>
    <row r="456">
      <c r="A456" s="259"/>
      <c r="B456" s="260"/>
      <c r="C456" s="260"/>
      <c r="D456" s="260"/>
      <c r="E456" s="260"/>
      <c r="F456" s="260"/>
      <c r="G456" s="260"/>
      <c r="H456" s="260"/>
      <c r="I456" s="260"/>
      <c r="J456" s="261"/>
      <c r="K456" s="260"/>
      <c r="L456" s="260"/>
      <c r="M456" s="260"/>
      <c r="N456" s="260"/>
      <c r="O456" s="260"/>
      <c r="P456" s="260"/>
      <c r="Q456" s="260"/>
      <c r="R456" s="260"/>
      <c r="S456" s="260"/>
      <c r="T456" s="279"/>
      <c r="U456" s="260"/>
      <c r="V456" s="260"/>
      <c r="W456" s="260"/>
      <c r="X456" s="260"/>
      <c r="Y456" s="260"/>
      <c r="Z456" s="260"/>
      <c r="AA456" s="264"/>
      <c r="AB456" s="260"/>
      <c r="AC456" s="260"/>
    </row>
    <row r="457">
      <c r="A457" s="259"/>
      <c r="B457" s="260"/>
      <c r="C457" s="260"/>
      <c r="D457" s="260"/>
      <c r="E457" s="260"/>
      <c r="F457" s="260"/>
      <c r="G457" s="260"/>
      <c r="H457" s="260"/>
      <c r="I457" s="260"/>
      <c r="J457" s="261"/>
      <c r="K457" s="260"/>
      <c r="L457" s="260"/>
      <c r="M457" s="260"/>
      <c r="N457" s="260"/>
      <c r="O457" s="260"/>
      <c r="P457" s="260"/>
      <c r="Q457" s="260"/>
      <c r="R457" s="260"/>
      <c r="S457" s="260"/>
      <c r="T457" s="279"/>
      <c r="U457" s="260"/>
      <c r="V457" s="260"/>
      <c r="W457" s="260"/>
      <c r="X457" s="260"/>
      <c r="Y457" s="260"/>
      <c r="Z457" s="260"/>
      <c r="AA457" s="264"/>
      <c r="AB457" s="260"/>
      <c r="AC457" s="260"/>
    </row>
    <row r="458">
      <c r="A458" s="259"/>
      <c r="B458" s="260"/>
      <c r="C458" s="260"/>
      <c r="D458" s="260"/>
      <c r="E458" s="260"/>
      <c r="F458" s="260"/>
      <c r="G458" s="260"/>
      <c r="H458" s="260"/>
      <c r="I458" s="260"/>
      <c r="J458" s="261"/>
      <c r="K458" s="260"/>
      <c r="L458" s="260"/>
      <c r="M458" s="260"/>
      <c r="N458" s="260"/>
      <c r="O458" s="260"/>
      <c r="P458" s="260"/>
      <c r="Q458" s="260"/>
      <c r="R458" s="260"/>
      <c r="S458" s="260"/>
      <c r="T458" s="279"/>
      <c r="U458" s="260"/>
      <c r="V458" s="260"/>
      <c r="W458" s="260"/>
      <c r="X458" s="260"/>
      <c r="Y458" s="260"/>
      <c r="Z458" s="260"/>
      <c r="AA458" s="264"/>
      <c r="AB458" s="260"/>
      <c r="AC458" s="260"/>
    </row>
    <row r="459">
      <c r="A459" s="259"/>
      <c r="B459" s="260"/>
      <c r="C459" s="260"/>
      <c r="D459" s="260"/>
      <c r="E459" s="260"/>
      <c r="F459" s="260"/>
      <c r="G459" s="260"/>
      <c r="H459" s="260"/>
      <c r="I459" s="260"/>
      <c r="J459" s="261"/>
      <c r="K459" s="260"/>
      <c r="L459" s="260"/>
      <c r="M459" s="260"/>
      <c r="N459" s="260"/>
      <c r="O459" s="260"/>
      <c r="P459" s="260"/>
      <c r="Q459" s="260"/>
      <c r="R459" s="260"/>
      <c r="S459" s="260"/>
      <c r="T459" s="279"/>
      <c r="U459" s="260"/>
      <c r="V459" s="260"/>
      <c r="W459" s="260"/>
      <c r="X459" s="260"/>
      <c r="Y459" s="260"/>
      <c r="Z459" s="260"/>
      <c r="AA459" s="264"/>
      <c r="AB459" s="260"/>
      <c r="AC459" s="260"/>
    </row>
    <row r="460">
      <c r="A460" s="259"/>
      <c r="B460" s="260"/>
      <c r="C460" s="260"/>
      <c r="D460" s="260"/>
      <c r="E460" s="260"/>
      <c r="F460" s="260"/>
      <c r="G460" s="260"/>
      <c r="H460" s="260"/>
      <c r="I460" s="260"/>
      <c r="J460" s="261"/>
      <c r="K460" s="260"/>
      <c r="L460" s="260"/>
      <c r="M460" s="260"/>
      <c r="N460" s="260"/>
      <c r="O460" s="260"/>
      <c r="P460" s="260"/>
      <c r="Q460" s="260"/>
      <c r="R460" s="260"/>
      <c r="S460" s="260"/>
      <c r="T460" s="279"/>
      <c r="U460" s="260"/>
      <c r="V460" s="260"/>
      <c r="W460" s="260"/>
      <c r="X460" s="260"/>
      <c r="Y460" s="260"/>
      <c r="Z460" s="260"/>
      <c r="AA460" s="264"/>
      <c r="AB460" s="260"/>
      <c r="AC460" s="260"/>
    </row>
    <row r="461">
      <c r="A461" s="259"/>
      <c r="B461" s="260"/>
      <c r="C461" s="260"/>
      <c r="D461" s="260"/>
      <c r="E461" s="260"/>
      <c r="F461" s="260"/>
      <c r="G461" s="260"/>
      <c r="H461" s="260"/>
      <c r="I461" s="260"/>
      <c r="J461" s="261"/>
      <c r="K461" s="260"/>
      <c r="L461" s="260"/>
      <c r="M461" s="260"/>
      <c r="N461" s="260"/>
      <c r="O461" s="260"/>
      <c r="P461" s="260"/>
      <c r="Q461" s="260"/>
      <c r="R461" s="260"/>
      <c r="S461" s="260"/>
      <c r="T461" s="279"/>
      <c r="U461" s="260"/>
      <c r="V461" s="260"/>
      <c r="W461" s="260"/>
      <c r="X461" s="260"/>
      <c r="Y461" s="260"/>
      <c r="Z461" s="260"/>
      <c r="AA461" s="264"/>
      <c r="AB461" s="260"/>
      <c r="AC461" s="260"/>
    </row>
    <row r="462">
      <c r="A462" s="259"/>
      <c r="B462" s="260"/>
      <c r="C462" s="260"/>
      <c r="D462" s="260"/>
      <c r="E462" s="260"/>
      <c r="F462" s="260"/>
      <c r="G462" s="260"/>
      <c r="H462" s="260"/>
      <c r="I462" s="260"/>
      <c r="J462" s="261"/>
      <c r="K462" s="260"/>
      <c r="L462" s="260"/>
      <c r="M462" s="260"/>
      <c r="N462" s="260"/>
      <c r="O462" s="260"/>
      <c r="P462" s="260"/>
      <c r="Q462" s="260"/>
      <c r="R462" s="260"/>
      <c r="S462" s="260"/>
      <c r="T462" s="279"/>
      <c r="U462" s="260"/>
      <c r="V462" s="260"/>
      <c r="W462" s="260"/>
      <c r="X462" s="260"/>
      <c r="Y462" s="260"/>
      <c r="Z462" s="260"/>
      <c r="AA462" s="264"/>
      <c r="AB462" s="260"/>
      <c r="AC462" s="260"/>
    </row>
    <row r="463">
      <c r="A463" s="259"/>
      <c r="B463" s="260"/>
      <c r="C463" s="260"/>
      <c r="D463" s="260"/>
      <c r="E463" s="260"/>
      <c r="F463" s="260"/>
      <c r="G463" s="260"/>
      <c r="H463" s="260"/>
      <c r="I463" s="260"/>
      <c r="J463" s="261"/>
      <c r="K463" s="260"/>
      <c r="L463" s="260"/>
      <c r="M463" s="260"/>
      <c r="N463" s="260"/>
      <c r="O463" s="260"/>
      <c r="P463" s="260"/>
      <c r="Q463" s="260"/>
      <c r="R463" s="260"/>
      <c r="S463" s="260"/>
      <c r="T463" s="279"/>
      <c r="U463" s="260"/>
      <c r="V463" s="260"/>
      <c r="W463" s="260"/>
      <c r="X463" s="260"/>
      <c r="Y463" s="260"/>
      <c r="Z463" s="260"/>
      <c r="AA463" s="264"/>
      <c r="AB463" s="260"/>
      <c r="AC463" s="260"/>
    </row>
    <row r="464">
      <c r="A464" s="259"/>
      <c r="B464" s="260"/>
      <c r="C464" s="260"/>
      <c r="D464" s="260"/>
      <c r="E464" s="260"/>
      <c r="F464" s="260"/>
      <c r="G464" s="260"/>
      <c r="H464" s="260"/>
      <c r="I464" s="260"/>
      <c r="J464" s="261"/>
      <c r="K464" s="260"/>
      <c r="L464" s="260"/>
      <c r="M464" s="260"/>
      <c r="N464" s="260"/>
      <c r="O464" s="260"/>
      <c r="P464" s="260"/>
      <c r="Q464" s="260"/>
      <c r="R464" s="260"/>
      <c r="S464" s="260"/>
      <c r="T464" s="279"/>
      <c r="U464" s="260"/>
      <c r="V464" s="260"/>
      <c r="W464" s="260"/>
      <c r="X464" s="260"/>
      <c r="Y464" s="260"/>
      <c r="Z464" s="260"/>
      <c r="AA464" s="264"/>
      <c r="AB464" s="260"/>
      <c r="AC464" s="260"/>
    </row>
    <row r="465">
      <c r="A465" s="259"/>
      <c r="B465" s="260"/>
      <c r="C465" s="260"/>
      <c r="D465" s="260"/>
      <c r="E465" s="260"/>
      <c r="F465" s="260"/>
      <c r="G465" s="260"/>
      <c r="H465" s="260"/>
      <c r="I465" s="260"/>
      <c r="J465" s="261"/>
      <c r="K465" s="260"/>
      <c r="L465" s="260"/>
      <c r="M465" s="260"/>
      <c r="N465" s="260"/>
      <c r="O465" s="260"/>
      <c r="P465" s="260"/>
      <c r="Q465" s="260"/>
      <c r="R465" s="260"/>
      <c r="S465" s="260"/>
      <c r="T465" s="279"/>
      <c r="U465" s="260"/>
      <c r="V465" s="260"/>
      <c r="W465" s="260"/>
      <c r="X465" s="260"/>
      <c r="Y465" s="260"/>
      <c r="Z465" s="260"/>
      <c r="AA465" s="264"/>
      <c r="AB465" s="260"/>
      <c r="AC465" s="260"/>
    </row>
    <row r="466">
      <c r="A466" s="259"/>
      <c r="B466" s="260"/>
      <c r="C466" s="260"/>
      <c r="D466" s="260"/>
      <c r="E466" s="260"/>
      <c r="F466" s="260"/>
      <c r="G466" s="260"/>
      <c r="H466" s="260"/>
      <c r="I466" s="260"/>
      <c r="J466" s="261"/>
      <c r="K466" s="260"/>
      <c r="L466" s="260"/>
      <c r="M466" s="260"/>
      <c r="N466" s="260"/>
      <c r="O466" s="260"/>
      <c r="P466" s="260"/>
      <c r="Q466" s="260"/>
      <c r="R466" s="260"/>
      <c r="S466" s="260"/>
      <c r="T466" s="279"/>
      <c r="U466" s="260"/>
      <c r="V466" s="260"/>
      <c r="W466" s="260"/>
      <c r="X466" s="260"/>
      <c r="Y466" s="260"/>
      <c r="Z466" s="260"/>
      <c r="AA466" s="264"/>
      <c r="AB466" s="260"/>
      <c r="AC466" s="260"/>
    </row>
    <row r="467">
      <c r="A467" s="259"/>
      <c r="B467" s="260"/>
      <c r="C467" s="260"/>
      <c r="D467" s="260"/>
      <c r="E467" s="260"/>
      <c r="F467" s="260"/>
      <c r="G467" s="260"/>
      <c r="H467" s="260"/>
      <c r="I467" s="260"/>
      <c r="J467" s="261"/>
      <c r="K467" s="260"/>
      <c r="L467" s="260"/>
      <c r="M467" s="260"/>
      <c r="N467" s="260"/>
      <c r="O467" s="260"/>
      <c r="P467" s="260"/>
      <c r="Q467" s="260"/>
      <c r="R467" s="260"/>
      <c r="S467" s="260"/>
      <c r="T467" s="279"/>
      <c r="U467" s="260"/>
      <c r="V467" s="260"/>
      <c r="W467" s="260"/>
      <c r="X467" s="260"/>
      <c r="Y467" s="260"/>
      <c r="Z467" s="260"/>
      <c r="AA467" s="264"/>
      <c r="AB467" s="260"/>
      <c r="AC467" s="260"/>
    </row>
    <row r="468">
      <c r="A468" s="259"/>
      <c r="B468" s="260"/>
      <c r="C468" s="260"/>
      <c r="D468" s="260"/>
      <c r="E468" s="260"/>
      <c r="F468" s="260"/>
      <c r="G468" s="260"/>
      <c r="H468" s="260"/>
      <c r="I468" s="260"/>
      <c r="J468" s="261"/>
      <c r="K468" s="260"/>
      <c r="L468" s="260"/>
      <c r="M468" s="260"/>
      <c r="N468" s="260"/>
      <c r="O468" s="260"/>
      <c r="P468" s="260"/>
      <c r="Q468" s="260"/>
      <c r="R468" s="260"/>
      <c r="S468" s="260"/>
      <c r="T468" s="279"/>
      <c r="U468" s="260"/>
      <c r="V468" s="260"/>
      <c r="W468" s="260"/>
      <c r="X468" s="260"/>
      <c r="Y468" s="260"/>
      <c r="Z468" s="260"/>
      <c r="AA468" s="264"/>
      <c r="AB468" s="260"/>
      <c r="AC468" s="260"/>
    </row>
    <row r="469">
      <c r="A469" s="259"/>
      <c r="B469" s="260"/>
      <c r="C469" s="260"/>
      <c r="D469" s="260"/>
      <c r="E469" s="260"/>
      <c r="F469" s="260"/>
      <c r="G469" s="260"/>
      <c r="H469" s="260"/>
      <c r="I469" s="260"/>
      <c r="J469" s="261"/>
      <c r="K469" s="260"/>
      <c r="L469" s="260"/>
      <c r="M469" s="260"/>
      <c r="N469" s="260"/>
      <c r="O469" s="260"/>
      <c r="P469" s="260"/>
      <c r="Q469" s="260"/>
      <c r="R469" s="260"/>
      <c r="S469" s="260"/>
      <c r="T469" s="279"/>
      <c r="U469" s="260"/>
      <c r="V469" s="260"/>
      <c r="W469" s="260"/>
      <c r="X469" s="260"/>
      <c r="Y469" s="260"/>
      <c r="Z469" s="260"/>
      <c r="AA469" s="264"/>
      <c r="AB469" s="260"/>
      <c r="AC469" s="260"/>
    </row>
    <row r="470">
      <c r="A470" s="259"/>
      <c r="B470" s="260"/>
      <c r="C470" s="260"/>
      <c r="D470" s="260"/>
      <c r="E470" s="260"/>
      <c r="F470" s="260"/>
      <c r="G470" s="260"/>
      <c r="H470" s="260"/>
      <c r="I470" s="260"/>
      <c r="J470" s="261"/>
      <c r="K470" s="260"/>
      <c r="L470" s="260"/>
      <c r="M470" s="260"/>
      <c r="N470" s="260"/>
      <c r="O470" s="260"/>
      <c r="P470" s="260"/>
      <c r="Q470" s="260"/>
      <c r="R470" s="260"/>
      <c r="S470" s="260"/>
      <c r="T470" s="279"/>
      <c r="U470" s="260"/>
      <c r="V470" s="260"/>
      <c r="W470" s="260"/>
      <c r="X470" s="260"/>
      <c r="Y470" s="260"/>
      <c r="Z470" s="260"/>
      <c r="AA470" s="264"/>
      <c r="AB470" s="260"/>
      <c r="AC470" s="260"/>
    </row>
    <row r="471">
      <c r="A471" s="259"/>
      <c r="B471" s="260"/>
      <c r="C471" s="260"/>
      <c r="D471" s="260"/>
      <c r="E471" s="260"/>
      <c r="F471" s="260"/>
      <c r="G471" s="260"/>
      <c r="H471" s="260"/>
      <c r="I471" s="260"/>
      <c r="J471" s="261"/>
      <c r="K471" s="260"/>
      <c r="L471" s="260"/>
      <c r="M471" s="260"/>
      <c r="N471" s="260"/>
      <c r="O471" s="260"/>
      <c r="P471" s="260"/>
      <c r="Q471" s="260"/>
      <c r="R471" s="260"/>
      <c r="S471" s="260"/>
      <c r="T471" s="279"/>
      <c r="U471" s="260"/>
      <c r="V471" s="260"/>
      <c r="W471" s="260"/>
      <c r="X471" s="260"/>
      <c r="Y471" s="260"/>
      <c r="Z471" s="260"/>
      <c r="AA471" s="264"/>
      <c r="AB471" s="260"/>
      <c r="AC471" s="260"/>
    </row>
    <row r="472">
      <c r="A472" s="259"/>
      <c r="B472" s="260"/>
      <c r="C472" s="260"/>
      <c r="D472" s="260"/>
      <c r="E472" s="260"/>
      <c r="F472" s="260"/>
      <c r="G472" s="260"/>
      <c r="H472" s="260"/>
      <c r="I472" s="260"/>
      <c r="J472" s="261"/>
      <c r="K472" s="260"/>
      <c r="L472" s="260"/>
      <c r="M472" s="260"/>
      <c r="N472" s="260"/>
      <c r="O472" s="260"/>
      <c r="P472" s="260"/>
      <c r="Q472" s="260"/>
      <c r="R472" s="260"/>
      <c r="S472" s="260"/>
      <c r="T472" s="279"/>
      <c r="U472" s="260"/>
      <c r="V472" s="260"/>
      <c r="W472" s="260"/>
      <c r="X472" s="260"/>
      <c r="Y472" s="260"/>
      <c r="Z472" s="260"/>
      <c r="AA472" s="264"/>
      <c r="AB472" s="260"/>
      <c r="AC472" s="260"/>
    </row>
    <row r="473">
      <c r="A473" s="259"/>
      <c r="B473" s="260"/>
      <c r="C473" s="260"/>
      <c r="D473" s="260"/>
      <c r="E473" s="260"/>
      <c r="F473" s="260"/>
      <c r="G473" s="260"/>
      <c r="H473" s="260"/>
      <c r="I473" s="260"/>
      <c r="J473" s="261"/>
      <c r="K473" s="260"/>
      <c r="L473" s="260"/>
      <c r="M473" s="260"/>
      <c r="N473" s="260"/>
      <c r="O473" s="260"/>
      <c r="P473" s="260"/>
      <c r="Q473" s="260"/>
      <c r="R473" s="260"/>
      <c r="S473" s="260"/>
      <c r="T473" s="279"/>
      <c r="U473" s="260"/>
      <c r="V473" s="260"/>
      <c r="W473" s="260"/>
      <c r="X473" s="260"/>
      <c r="Y473" s="260"/>
      <c r="Z473" s="260"/>
      <c r="AA473" s="264"/>
      <c r="AB473" s="260"/>
      <c r="AC473" s="260"/>
    </row>
    <row r="474">
      <c r="A474" s="259"/>
      <c r="B474" s="260"/>
      <c r="C474" s="260"/>
      <c r="D474" s="260"/>
      <c r="E474" s="260"/>
      <c r="F474" s="260"/>
      <c r="G474" s="260"/>
      <c r="H474" s="260"/>
      <c r="I474" s="260"/>
      <c r="J474" s="261"/>
      <c r="K474" s="260"/>
      <c r="L474" s="260"/>
      <c r="M474" s="260"/>
      <c r="N474" s="260"/>
      <c r="O474" s="260"/>
      <c r="P474" s="260"/>
      <c r="Q474" s="260"/>
      <c r="R474" s="260"/>
      <c r="S474" s="260"/>
      <c r="T474" s="279"/>
      <c r="U474" s="260"/>
      <c r="V474" s="260"/>
      <c r="W474" s="260"/>
      <c r="X474" s="260"/>
      <c r="Y474" s="260"/>
      <c r="Z474" s="260"/>
      <c r="AA474" s="264"/>
      <c r="AB474" s="260"/>
      <c r="AC474" s="260"/>
    </row>
    <row r="475">
      <c r="A475" s="259"/>
      <c r="B475" s="260"/>
      <c r="C475" s="260"/>
      <c r="D475" s="260"/>
      <c r="E475" s="260"/>
      <c r="F475" s="260"/>
      <c r="G475" s="260"/>
      <c r="H475" s="260"/>
      <c r="I475" s="260"/>
      <c r="J475" s="261"/>
      <c r="K475" s="260"/>
      <c r="L475" s="260"/>
      <c r="M475" s="260"/>
      <c r="N475" s="260"/>
      <c r="O475" s="260"/>
      <c r="P475" s="260"/>
      <c r="Q475" s="260"/>
      <c r="R475" s="260"/>
      <c r="S475" s="260"/>
      <c r="T475" s="279"/>
      <c r="U475" s="260"/>
      <c r="V475" s="260"/>
      <c r="W475" s="260"/>
      <c r="X475" s="260"/>
      <c r="Y475" s="260"/>
      <c r="Z475" s="260"/>
      <c r="AA475" s="264"/>
      <c r="AB475" s="260"/>
      <c r="AC475" s="260"/>
    </row>
    <row r="476">
      <c r="A476" s="259"/>
      <c r="B476" s="260"/>
      <c r="C476" s="260"/>
      <c r="D476" s="260"/>
      <c r="E476" s="260"/>
      <c r="F476" s="260"/>
      <c r="G476" s="260"/>
      <c r="H476" s="260"/>
      <c r="I476" s="260"/>
      <c r="J476" s="261"/>
      <c r="K476" s="260"/>
      <c r="L476" s="260"/>
      <c r="M476" s="260"/>
      <c r="N476" s="260"/>
      <c r="O476" s="260"/>
      <c r="P476" s="260"/>
      <c r="Q476" s="260"/>
      <c r="R476" s="260"/>
      <c r="S476" s="260"/>
      <c r="T476" s="279"/>
      <c r="U476" s="260"/>
      <c r="V476" s="260"/>
      <c r="W476" s="260"/>
      <c r="X476" s="260"/>
      <c r="Y476" s="260"/>
      <c r="Z476" s="260"/>
      <c r="AA476" s="264"/>
      <c r="AB476" s="260"/>
      <c r="AC476" s="260"/>
    </row>
    <row r="477">
      <c r="A477" s="259"/>
      <c r="B477" s="260"/>
      <c r="C477" s="260"/>
      <c r="D477" s="260"/>
      <c r="E477" s="260"/>
      <c r="F477" s="260"/>
      <c r="G477" s="260"/>
      <c r="H477" s="260"/>
      <c r="I477" s="260"/>
      <c r="J477" s="261"/>
      <c r="K477" s="260"/>
      <c r="L477" s="260"/>
      <c r="M477" s="260"/>
      <c r="N477" s="260"/>
      <c r="O477" s="260"/>
      <c r="P477" s="260"/>
      <c r="Q477" s="260"/>
      <c r="R477" s="260"/>
      <c r="S477" s="260"/>
      <c r="T477" s="279"/>
      <c r="U477" s="260"/>
      <c r="V477" s="260"/>
      <c r="W477" s="260"/>
      <c r="X477" s="260"/>
      <c r="Y477" s="260"/>
      <c r="Z477" s="260"/>
      <c r="AA477" s="264"/>
      <c r="AB477" s="260"/>
      <c r="AC477" s="260"/>
    </row>
    <row r="478">
      <c r="A478" s="259"/>
      <c r="B478" s="260"/>
      <c r="C478" s="260"/>
      <c r="D478" s="260"/>
      <c r="E478" s="260"/>
      <c r="F478" s="260"/>
      <c r="G478" s="260"/>
      <c r="H478" s="260"/>
      <c r="I478" s="260"/>
      <c r="J478" s="261"/>
      <c r="K478" s="260"/>
      <c r="L478" s="260"/>
      <c r="M478" s="260"/>
      <c r="N478" s="260"/>
      <c r="O478" s="260"/>
      <c r="P478" s="260"/>
      <c r="Q478" s="260"/>
      <c r="R478" s="260"/>
      <c r="S478" s="260"/>
      <c r="T478" s="279"/>
      <c r="U478" s="260"/>
      <c r="V478" s="260"/>
      <c r="W478" s="260"/>
      <c r="X478" s="260"/>
      <c r="Y478" s="260"/>
      <c r="Z478" s="260"/>
      <c r="AA478" s="264"/>
      <c r="AB478" s="260"/>
      <c r="AC478" s="260"/>
    </row>
    <row r="479">
      <c r="A479" s="259"/>
      <c r="B479" s="260"/>
      <c r="C479" s="260"/>
      <c r="D479" s="260"/>
      <c r="E479" s="260"/>
      <c r="F479" s="260"/>
      <c r="G479" s="260"/>
      <c r="H479" s="260"/>
      <c r="I479" s="260"/>
      <c r="J479" s="261"/>
      <c r="K479" s="260"/>
      <c r="L479" s="260"/>
      <c r="M479" s="260"/>
      <c r="N479" s="260"/>
      <c r="O479" s="260"/>
      <c r="P479" s="260"/>
      <c r="Q479" s="260"/>
      <c r="R479" s="260"/>
      <c r="S479" s="260"/>
      <c r="T479" s="279"/>
      <c r="U479" s="260"/>
      <c r="V479" s="260"/>
      <c r="W479" s="260"/>
      <c r="X479" s="260"/>
      <c r="Y479" s="260"/>
      <c r="Z479" s="260"/>
      <c r="AA479" s="264"/>
      <c r="AB479" s="260"/>
      <c r="AC479" s="260"/>
    </row>
    <row r="480">
      <c r="A480" s="259"/>
      <c r="B480" s="260"/>
      <c r="C480" s="260"/>
      <c r="D480" s="260"/>
      <c r="E480" s="260"/>
      <c r="F480" s="260"/>
      <c r="G480" s="260"/>
      <c r="H480" s="260"/>
      <c r="I480" s="260"/>
      <c r="J480" s="261"/>
      <c r="K480" s="260"/>
      <c r="L480" s="260"/>
      <c r="M480" s="260"/>
      <c r="N480" s="260"/>
      <c r="O480" s="260"/>
      <c r="P480" s="260"/>
      <c r="Q480" s="260"/>
      <c r="R480" s="260"/>
      <c r="S480" s="260"/>
      <c r="T480" s="279"/>
      <c r="U480" s="260"/>
      <c r="V480" s="260"/>
      <c r="W480" s="260"/>
      <c r="X480" s="260"/>
      <c r="Y480" s="260"/>
      <c r="Z480" s="260"/>
      <c r="AA480" s="264"/>
      <c r="AB480" s="260"/>
      <c r="AC480" s="260"/>
    </row>
    <row r="481">
      <c r="A481" s="259"/>
      <c r="B481" s="260"/>
      <c r="C481" s="260"/>
      <c r="D481" s="260"/>
      <c r="E481" s="260"/>
      <c r="F481" s="260"/>
      <c r="G481" s="260"/>
      <c r="H481" s="260"/>
      <c r="I481" s="260"/>
      <c r="J481" s="261"/>
      <c r="K481" s="260"/>
      <c r="L481" s="260"/>
      <c r="M481" s="260"/>
      <c r="N481" s="260"/>
      <c r="O481" s="260"/>
      <c r="P481" s="260"/>
      <c r="Q481" s="260"/>
      <c r="R481" s="260"/>
      <c r="S481" s="260"/>
      <c r="T481" s="279"/>
      <c r="U481" s="260"/>
      <c r="V481" s="260"/>
      <c r="W481" s="260"/>
      <c r="X481" s="260"/>
      <c r="Y481" s="260"/>
      <c r="Z481" s="260"/>
      <c r="AA481" s="264"/>
      <c r="AB481" s="260"/>
      <c r="AC481" s="260"/>
    </row>
    <row r="482">
      <c r="A482" s="259"/>
      <c r="B482" s="260"/>
      <c r="C482" s="260"/>
      <c r="D482" s="260"/>
      <c r="E482" s="260"/>
      <c r="F482" s="260"/>
      <c r="G482" s="260"/>
      <c r="H482" s="260"/>
      <c r="I482" s="260"/>
      <c r="J482" s="261"/>
      <c r="K482" s="260"/>
      <c r="L482" s="260"/>
      <c r="M482" s="260"/>
      <c r="N482" s="260"/>
      <c r="O482" s="260"/>
      <c r="P482" s="260"/>
      <c r="Q482" s="260"/>
      <c r="R482" s="260"/>
      <c r="S482" s="260"/>
      <c r="T482" s="279"/>
      <c r="U482" s="260"/>
      <c r="V482" s="260"/>
      <c r="W482" s="260"/>
      <c r="X482" s="260"/>
      <c r="Y482" s="260"/>
      <c r="Z482" s="260"/>
      <c r="AA482" s="264"/>
      <c r="AB482" s="260"/>
      <c r="AC482" s="260"/>
    </row>
    <row r="483">
      <c r="A483" s="259"/>
      <c r="B483" s="260"/>
      <c r="C483" s="260"/>
      <c r="D483" s="260"/>
      <c r="E483" s="260"/>
      <c r="F483" s="260"/>
      <c r="G483" s="260"/>
      <c r="H483" s="260"/>
      <c r="I483" s="260"/>
      <c r="J483" s="261"/>
      <c r="K483" s="260"/>
      <c r="L483" s="260"/>
      <c r="M483" s="260"/>
      <c r="N483" s="260"/>
      <c r="O483" s="260"/>
      <c r="P483" s="260"/>
      <c r="Q483" s="260"/>
      <c r="R483" s="260"/>
      <c r="S483" s="260"/>
      <c r="T483" s="279"/>
      <c r="U483" s="260"/>
      <c r="V483" s="260"/>
      <c r="W483" s="260"/>
      <c r="X483" s="260"/>
      <c r="Y483" s="260"/>
      <c r="Z483" s="260"/>
      <c r="AA483" s="264"/>
      <c r="AB483" s="260"/>
      <c r="AC483" s="260"/>
    </row>
    <row r="484">
      <c r="A484" s="259"/>
      <c r="B484" s="260"/>
      <c r="C484" s="260"/>
      <c r="D484" s="260"/>
      <c r="E484" s="260"/>
      <c r="F484" s="260"/>
      <c r="G484" s="260"/>
      <c r="H484" s="260"/>
      <c r="I484" s="260"/>
      <c r="J484" s="261"/>
      <c r="K484" s="260"/>
      <c r="L484" s="260"/>
      <c r="M484" s="260"/>
      <c r="N484" s="260"/>
      <c r="O484" s="260"/>
      <c r="P484" s="260"/>
      <c r="Q484" s="260"/>
      <c r="R484" s="260"/>
      <c r="S484" s="260"/>
      <c r="T484" s="279"/>
      <c r="U484" s="260"/>
      <c r="V484" s="260"/>
      <c r="W484" s="260"/>
      <c r="X484" s="260"/>
      <c r="Y484" s="260"/>
      <c r="Z484" s="260"/>
      <c r="AA484" s="264"/>
      <c r="AB484" s="260"/>
      <c r="AC484" s="260"/>
    </row>
    <row r="485">
      <c r="A485" s="259"/>
      <c r="B485" s="260"/>
      <c r="C485" s="260"/>
      <c r="D485" s="260"/>
      <c r="E485" s="260"/>
      <c r="F485" s="260"/>
      <c r="G485" s="260"/>
      <c r="H485" s="260"/>
      <c r="I485" s="260"/>
      <c r="J485" s="261"/>
      <c r="K485" s="260"/>
      <c r="L485" s="260"/>
      <c r="M485" s="260"/>
      <c r="N485" s="260"/>
      <c r="O485" s="260"/>
      <c r="P485" s="260"/>
      <c r="Q485" s="260"/>
      <c r="R485" s="260"/>
      <c r="S485" s="260"/>
      <c r="T485" s="279"/>
      <c r="U485" s="260"/>
      <c r="V485" s="260"/>
      <c r="W485" s="260"/>
      <c r="X485" s="260"/>
      <c r="Y485" s="260"/>
      <c r="Z485" s="260"/>
      <c r="AA485" s="264"/>
      <c r="AB485" s="260"/>
      <c r="AC485" s="260"/>
    </row>
    <row r="486">
      <c r="A486" s="259"/>
      <c r="B486" s="260"/>
      <c r="C486" s="260"/>
      <c r="D486" s="260"/>
      <c r="E486" s="260"/>
      <c r="F486" s="260"/>
      <c r="G486" s="260"/>
      <c r="H486" s="260"/>
      <c r="I486" s="260"/>
      <c r="J486" s="261"/>
      <c r="K486" s="260"/>
      <c r="L486" s="260"/>
      <c r="M486" s="260"/>
      <c r="N486" s="260"/>
      <c r="O486" s="260"/>
      <c r="P486" s="260"/>
      <c r="Q486" s="260"/>
      <c r="R486" s="260"/>
      <c r="S486" s="260"/>
      <c r="T486" s="279"/>
      <c r="U486" s="260"/>
      <c r="V486" s="260"/>
      <c r="W486" s="260"/>
      <c r="X486" s="260"/>
      <c r="Y486" s="260"/>
      <c r="Z486" s="260"/>
      <c r="AA486" s="264"/>
      <c r="AB486" s="260"/>
      <c r="AC486" s="260"/>
    </row>
    <row r="487">
      <c r="A487" s="259"/>
      <c r="B487" s="260"/>
      <c r="C487" s="260"/>
      <c r="D487" s="260"/>
      <c r="E487" s="260"/>
      <c r="F487" s="260"/>
      <c r="G487" s="260"/>
      <c r="H487" s="260"/>
      <c r="I487" s="260"/>
      <c r="J487" s="261"/>
      <c r="K487" s="260"/>
      <c r="L487" s="260"/>
      <c r="M487" s="260"/>
      <c r="N487" s="260"/>
      <c r="O487" s="260"/>
      <c r="P487" s="260"/>
      <c r="Q487" s="260"/>
      <c r="R487" s="260"/>
      <c r="S487" s="260"/>
      <c r="T487" s="279"/>
      <c r="U487" s="260"/>
      <c r="V487" s="260"/>
      <c r="W487" s="260"/>
      <c r="X487" s="260"/>
      <c r="Y487" s="260"/>
      <c r="Z487" s="260"/>
      <c r="AA487" s="264"/>
      <c r="AB487" s="260"/>
      <c r="AC487" s="260"/>
    </row>
    <row r="488">
      <c r="A488" s="259"/>
      <c r="B488" s="260"/>
      <c r="C488" s="260"/>
      <c r="D488" s="260"/>
      <c r="E488" s="260"/>
      <c r="F488" s="260"/>
      <c r="G488" s="260"/>
      <c r="H488" s="260"/>
      <c r="I488" s="260"/>
      <c r="J488" s="261"/>
      <c r="K488" s="260"/>
      <c r="L488" s="260"/>
      <c r="M488" s="260"/>
      <c r="N488" s="260"/>
      <c r="O488" s="260"/>
      <c r="P488" s="260"/>
      <c r="Q488" s="260"/>
      <c r="R488" s="260"/>
      <c r="S488" s="260"/>
      <c r="T488" s="279"/>
      <c r="U488" s="260"/>
      <c r="V488" s="260"/>
      <c r="W488" s="260"/>
      <c r="X488" s="260"/>
      <c r="Y488" s="260"/>
      <c r="Z488" s="260"/>
      <c r="AA488" s="264"/>
      <c r="AB488" s="260"/>
      <c r="AC488" s="260"/>
    </row>
    <row r="489">
      <c r="A489" s="259"/>
      <c r="B489" s="260"/>
      <c r="C489" s="260"/>
      <c r="D489" s="260"/>
      <c r="E489" s="260"/>
      <c r="F489" s="260"/>
      <c r="G489" s="260"/>
      <c r="H489" s="260"/>
      <c r="I489" s="260"/>
      <c r="J489" s="261"/>
      <c r="K489" s="260"/>
      <c r="L489" s="260"/>
      <c r="M489" s="260"/>
      <c r="N489" s="260"/>
      <c r="O489" s="260"/>
      <c r="P489" s="260"/>
      <c r="Q489" s="260"/>
      <c r="R489" s="260"/>
      <c r="S489" s="260"/>
      <c r="T489" s="279"/>
      <c r="U489" s="260"/>
      <c r="V489" s="260"/>
      <c r="W489" s="260"/>
      <c r="X489" s="260"/>
      <c r="Y489" s="260"/>
      <c r="Z489" s="260"/>
      <c r="AA489" s="264"/>
      <c r="AB489" s="260"/>
      <c r="AC489" s="260"/>
    </row>
    <row r="490">
      <c r="A490" s="259"/>
      <c r="B490" s="260"/>
      <c r="C490" s="260"/>
      <c r="D490" s="260"/>
      <c r="E490" s="260"/>
      <c r="F490" s="260"/>
      <c r="G490" s="260"/>
      <c r="H490" s="260"/>
      <c r="I490" s="260"/>
      <c r="J490" s="261"/>
      <c r="K490" s="260"/>
      <c r="L490" s="260"/>
      <c r="M490" s="260"/>
      <c r="N490" s="260"/>
      <c r="O490" s="260"/>
      <c r="P490" s="260"/>
      <c r="Q490" s="260"/>
      <c r="R490" s="260"/>
      <c r="S490" s="260"/>
      <c r="T490" s="279"/>
      <c r="U490" s="260"/>
      <c r="V490" s="260"/>
      <c r="W490" s="260"/>
      <c r="X490" s="260"/>
      <c r="Y490" s="260"/>
      <c r="Z490" s="260"/>
      <c r="AA490" s="264"/>
      <c r="AB490" s="260"/>
      <c r="AC490" s="260"/>
    </row>
    <row r="491">
      <c r="A491" s="259"/>
      <c r="B491" s="260"/>
      <c r="C491" s="260"/>
      <c r="D491" s="260"/>
      <c r="E491" s="260"/>
      <c r="F491" s="260"/>
      <c r="G491" s="260"/>
      <c r="H491" s="260"/>
      <c r="I491" s="260"/>
      <c r="J491" s="261"/>
      <c r="K491" s="260"/>
      <c r="L491" s="260"/>
      <c r="M491" s="260"/>
      <c r="N491" s="260"/>
      <c r="O491" s="260"/>
      <c r="P491" s="260"/>
      <c r="Q491" s="260"/>
      <c r="R491" s="260"/>
      <c r="S491" s="260"/>
      <c r="T491" s="279"/>
      <c r="U491" s="260"/>
      <c r="V491" s="260"/>
      <c r="W491" s="260"/>
      <c r="X491" s="260"/>
      <c r="Y491" s="260"/>
      <c r="Z491" s="260"/>
      <c r="AA491" s="264"/>
      <c r="AB491" s="260"/>
      <c r="AC491" s="260"/>
    </row>
    <row r="492">
      <c r="A492" s="259"/>
      <c r="B492" s="260"/>
      <c r="C492" s="260"/>
      <c r="D492" s="260"/>
      <c r="E492" s="260"/>
      <c r="F492" s="260"/>
      <c r="G492" s="260"/>
      <c r="H492" s="260"/>
      <c r="I492" s="260"/>
      <c r="J492" s="261"/>
      <c r="K492" s="260"/>
      <c r="L492" s="260"/>
      <c r="M492" s="260"/>
      <c r="N492" s="260"/>
      <c r="O492" s="260"/>
      <c r="P492" s="260"/>
      <c r="Q492" s="260"/>
      <c r="R492" s="260"/>
      <c r="S492" s="260"/>
      <c r="T492" s="279"/>
      <c r="U492" s="260"/>
      <c r="V492" s="260"/>
      <c r="W492" s="260"/>
      <c r="X492" s="260"/>
      <c r="Y492" s="260"/>
      <c r="Z492" s="260"/>
      <c r="AA492" s="264"/>
      <c r="AB492" s="260"/>
      <c r="AC492" s="260"/>
    </row>
    <row r="493">
      <c r="A493" s="259"/>
      <c r="B493" s="260"/>
      <c r="C493" s="260"/>
      <c r="D493" s="260"/>
      <c r="E493" s="260"/>
      <c r="F493" s="260"/>
      <c r="G493" s="260"/>
      <c r="H493" s="260"/>
      <c r="I493" s="260"/>
      <c r="J493" s="261"/>
      <c r="K493" s="260"/>
      <c r="L493" s="260"/>
      <c r="M493" s="260"/>
      <c r="N493" s="260"/>
      <c r="O493" s="260"/>
      <c r="P493" s="260"/>
      <c r="Q493" s="260"/>
      <c r="R493" s="260"/>
      <c r="S493" s="260"/>
      <c r="T493" s="279"/>
      <c r="U493" s="260"/>
      <c r="V493" s="260"/>
      <c r="W493" s="260"/>
      <c r="X493" s="260"/>
      <c r="Y493" s="260"/>
      <c r="Z493" s="260"/>
      <c r="AA493" s="264"/>
      <c r="AB493" s="260"/>
      <c r="AC493" s="260"/>
    </row>
    <row r="494">
      <c r="A494" s="259"/>
      <c r="B494" s="260"/>
      <c r="C494" s="260"/>
      <c r="D494" s="260"/>
      <c r="E494" s="260"/>
      <c r="F494" s="260"/>
      <c r="G494" s="260"/>
      <c r="H494" s="260"/>
      <c r="I494" s="260"/>
      <c r="J494" s="261"/>
      <c r="K494" s="260"/>
      <c r="L494" s="260"/>
      <c r="M494" s="260"/>
      <c r="N494" s="260"/>
      <c r="O494" s="260"/>
      <c r="P494" s="260"/>
      <c r="Q494" s="260"/>
      <c r="R494" s="260"/>
      <c r="S494" s="260"/>
      <c r="T494" s="279"/>
      <c r="U494" s="260"/>
      <c r="V494" s="260"/>
      <c r="W494" s="260"/>
      <c r="X494" s="260"/>
      <c r="Y494" s="260"/>
      <c r="Z494" s="260"/>
      <c r="AA494" s="264"/>
      <c r="AB494" s="260"/>
      <c r="AC494" s="260"/>
    </row>
    <row r="495">
      <c r="A495" s="259"/>
      <c r="B495" s="260"/>
      <c r="C495" s="260"/>
      <c r="D495" s="260"/>
      <c r="E495" s="260"/>
      <c r="F495" s="260"/>
      <c r="G495" s="260"/>
      <c r="H495" s="260"/>
      <c r="I495" s="260"/>
      <c r="J495" s="261"/>
      <c r="K495" s="260"/>
      <c r="L495" s="260"/>
      <c r="M495" s="260"/>
      <c r="N495" s="260"/>
      <c r="O495" s="260"/>
      <c r="P495" s="260"/>
      <c r="Q495" s="260"/>
      <c r="R495" s="260"/>
      <c r="S495" s="260"/>
      <c r="T495" s="279"/>
      <c r="U495" s="260"/>
      <c r="V495" s="260"/>
      <c r="W495" s="260"/>
      <c r="X495" s="260"/>
      <c r="Y495" s="260"/>
      <c r="Z495" s="260"/>
      <c r="AA495" s="264"/>
      <c r="AB495" s="260"/>
      <c r="AC495" s="260"/>
    </row>
    <row r="496">
      <c r="A496" s="259"/>
      <c r="B496" s="260"/>
      <c r="C496" s="260"/>
      <c r="D496" s="260"/>
      <c r="E496" s="260"/>
      <c r="F496" s="260"/>
      <c r="G496" s="260"/>
      <c r="H496" s="260"/>
      <c r="I496" s="260"/>
      <c r="J496" s="261"/>
      <c r="K496" s="260"/>
      <c r="L496" s="260"/>
      <c r="M496" s="260"/>
      <c r="N496" s="260"/>
      <c r="O496" s="260"/>
      <c r="P496" s="260"/>
      <c r="Q496" s="260"/>
      <c r="R496" s="260"/>
      <c r="S496" s="260"/>
      <c r="T496" s="279"/>
      <c r="U496" s="260"/>
      <c r="V496" s="260"/>
      <c r="W496" s="260"/>
      <c r="X496" s="260"/>
      <c r="Y496" s="260"/>
      <c r="Z496" s="260"/>
      <c r="AA496" s="264"/>
      <c r="AB496" s="260"/>
      <c r="AC496" s="260"/>
    </row>
    <row r="497">
      <c r="A497" s="259"/>
      <c r="B497" s="260"/>
      <c r="C497" s="260"/>
      <c r="D497" s="260"/>
      <c r="E497" s="260"/>
      <c r="F497" s="260"/>
      <c r="G497" s="260"/>
      <c r="H497" s="260"/>
      <c r="I497" s="260"/>
      <c r="J497" s="261"/>
      <c r="K497" s="260"/>
      <c r="L497" s="260"/>
      <c r="M497" s="260"/>
      <c r="N497" s="260"/>
      <c r="O497" s="260"/>
      <c r="P497" s="260"/>
      <c r="Q497" s="260"/>
      <c r="R497" s="260"/>
      <c r="S497" s="260"/>
      <c r="T497" s="279"/>
      <c r="U497" s="260"/>
      <c r="V497" s="260"/>
      <c r="W497" s="260"/>
      <c r="X497" s="260"/>
      <c r="Y497" s="260"/>
      <c r="Z497" s="260"/>
      <c r="AA497" s="264"/>
      <c r="AB497" s="260"/>
      <c r="AC497" s="260"/>
    </row>
    <row r="498">
      <c r="A498" s="259"/>
      <c r="B498" s="260"/>
      <c r="C498" s="260"/>
      <c r="D498" s="260"/>
      <c r="E498" s="260"/>
      <c r="F498" s="260"/>
      <c r="G498" s="260"/>
      <c r="H498" s="260"/>
      <c r="I498" s="260"/>
      <c r="J498" s="261"/>
      <c r="K498" s="260"/>
      <c r="L498" s="260"/>
      <c r="M498" s="260"/>
      <c r="N498" s="260"/>
      <c r="O498" s="260"/>
      <c r="P498" s="260"/>
      <c r="Q498" s="260"/>
      <c r="R498" s="260"/>
      <c r="S498" s="260"/>
      <c r="T498" s="279"/>
      <c r="U498" s="260"/>
      <c r="V498" s="260"/>
      <c r="W498" s="260"/>
      <c r="X498" s="260"/>
      <c r="Y498" s="260"/>
      <c r="Z498" s="260"/>
      <c r="AA498" s="264"/>
      <c r="AB498" s="260"/>
      <c r="AC498" s="260"/>
    </row>
    <row r="499">
      <c r="A499" s="259"/>
      <c r="B499" s="260"/>
      <c r="C499" s="260"/>
      <c r="D499" s="260"/>
      <c r="E499" s="260"/>
      <c r="F499" s="260"/>
      <c r="G499" s="260"/>
      <c r="H499" s="260"/>
      <c r="I499" s="260"/>
      <c r="J499" s="261"/>
      <c r="K499" s="260"/>
      <c r="L499" s="260"/>
      <c r="M499" s="260"/>
      <c r="N499" s="260"/>
      <c r="O499" s="260"/>
      <c r="P499" s="260"/>
      <c r="Q499" s="260"/>
      <c r="R499" s="260"/>
      <c r="S499" s="260"/>
      <c r="T499" s="279"/>
      <c r="U499" s="260"/>
      <c r="V499" s="260"/>
      <c r="W499" s="260"/>
      <c r="X499" s="260"/>
      <c r="Y499" s="260"/>
      <c r="Z499" s="260"/>
      <c r="AA499" s="264"/>
      <c r="AB499" s="260"/>
      <c r="AC499" s="260"/>
    </row>
    <row r="500">
      <c r="A500" s="259"/>
      <c r="B500" s="260"/>
      <c r="C500" s="260"/>
      <c r="D500" s="260"/>
      <c r="E500" s="260"/>
      <c r="F500" s="260"/>
      <c r="G500" s="260"/>
      <c r="H500" s="260"/>
      <c r="I500" s="260"/>
      <c r="J500" s="261"/>
      <c r="K500" s="260"/>
      <c r="L500" s="260"/>
      <c r="M500" s="260"/>
      <c r="N500" s="260"/>
      <c r="O500" s="260"/>
      <c r="P500" s="260"/>
      <c r="Q500" s="260"/>
      <c r="R500" s="260"/>
      <c r="S500" s="260"/>
      <c r="T500" s="279"/>
      <c r="U500" s="260"/>
      <c r="V500" s="260"/>
      <c r="W500" s="260"/>
      <c r="X500" s="260"/>
      <c r="Y500" s="260"/>
      <c r="Z500" s="260"/>
      <c r="AA500" s="264"/>
      <c r="AB500" s="260"/>
      <c r="AC500" s="260"/>
    </row>
    <row r="501">
      <c r="A501" s="259"/>
      <c r="B501" s="260"/>
      <c r="C501" s="260"/>
      <c r="D501" s="260"/>
      <c r="E501" s="260"/>
      <c r="F501" s="260"/>
      <c r="G501" s="260"/>
      <c r="H501" s="260"/>
      <c r="I501" s="260"/>
      <c r="J501" s="261"/>
      <c r="K501" s="260"/>
      <c r="L501" s="260"/>
      <c r="M501" s="260"/>
      <c r="N501" s="260"/>
      <c r="O501" s="260"/>
      <c r="P501" s="260"/>
      <c r="Q501" s="260"/>
      <c r="R501" s="260"/>
      <c r="S501" s="260"/>
      <c r="T501" s="279"/>
      <c r="U501" s="260"/>
      <c r="V501" s="260"/>
      <c r="W501" s="260"/>
      <c r="X501" s="260"/>
      <c r="Y501" s="260"/>
      <c r="Z501" s="260"/>
      <c r="AA501" s="264"/>
      <c r="AB501" s="260"/>
      <c r="AC501" s="260"/>
    </row>
    <row r="502">
      <c r="A502" s="259"/>
      <c r="B502" s="260"/>
      <c r="C502" s="260"/>
      <c r="D502" s="260"/>
      <c r="E502" s="260"/>
      <c r="F502" s="260"/>
      <c r="G502" s="260"/>
      <c r="H502" s="260"/>
      <c r="I502" s="260"/>
      <c r="J502" s="261"/>
      <c r="K502" s="260"/>
      <c r="L502" s="260"/>
      <c r="M502" s="260"/>
      <c r="N502" s="260"/>
      <c r="O502" s="260"/>
      <c r="P502" s="260"/>
      <c r="Q502" s="260"/>
      <c r="R502" s="260"/>
      <c r="S502" s="260"/>
      <c r="T502" s="279"/>
      <c r="U502" s="260"/>
      <c r="V502" s="260"/>
      <c r="W502" s="260"/>
      <c r="X502" s="260"/>
      <c r="Y502" s="260"/>
      <c r="Z502" s="260"/>
      <c r="AA502" s="264"/>
      <c r="AB502" s="260"/>
      <c r="AC502" s="260"/>
    </row>
    <row r="503">
      <c r="A503" s="259"/>
      <c r="B503" s="260"/>
      <c r="C503" s="260"/>
      <c r="D503" s="260"/>
      <c r="E503" s="260"/>
      <c r="F503" s="260"/>
      <c r="G503" s="260"/>
      <c r="H503" s="260"/>
      <c r="I503" s="260"/>
      <c r="J503" s="261"/>
      <c r="K503" s="260"/>
      <c r="L503" s="260"/>
      <c r="M503" s="260"/>
      <c r="N503" s="260"/>
      <c r="O503" s="260"/>
      <c r="P503" s="260"/>
      <c r="Q503" s="260"/>
      <c r="R503" s="260"/>
      <c r="S503" s="260"/>
      <c r="T503" s="279"/>
      <c r="U503" s="260"/>
      <c r="V503" s="260"/>
      <c r="W503" s="260"/>
      <c r="X503" s="260"/>
      <c r="Y503" s="260"/>
      <c r="Z503" s="260"/>
      <c r="AA503" s="264"/>
      <c r="AB503" s="260"/>
      <c r="AC503" s="260"/>
    </row>
    <row r="504">
      <c r="A504" s="259"/>
      <c r="B504" s="260"/>
      <c r="C504" s="260"/>
      <c r="D504" s="260"/>
      <c r="E504" s="260"/>
      <c r="F504" s="260"/>
      <c r="G504" s="260"/>
      <c r="H504" s="260"/>
      <c r="I504" s="260"/>
      <c r="J504" s="261"/>
      <c r="K504" s="260"/>
      <c r="L504" s="260"/>
      <c r="M504" s="260"/>
      <c r="N504" s="260"/>
      <c r="O504" s="260"/>
      <c r="P504" s="260"/>
      <c r="Q504" s="260"/>
      <c r="R504" s="260"/>
      <c r="S504" s="260"/>
      <c r="T504" s="279"/>
      <c r="U504" s="260"/>
      <c r="V504" s="260"/>
      <c r="W504" s="260"/>
      <c r="X504" s="260"/>
      <c r="Y504" s="260"/>
      <c r="Z504" s="260"/>
      <c r="AA504" s="264"/>
      <c r="AB504" s="260"/>
      <c r="AC504" s="260"/>
    </row>
    <row r="505">
      <c r="A505" s="259"/>
      <c r="B505" s="260"/>
      <c r="C505" s="260"/>
      <c r="D505" s="260"/>
      <c r="E505" s="260"/>
      <c r="F505" s="260"/>
      <c r="G505" s="260"/>
      <c r="H505" s="260"/>
      <c r="I505" s="260"/>
      <c r="J505" s="261"/>
      <c r="K505" s="260"/>
      <c r="L505" s="260"/>
      <c r="M505" s="260"/>
      <c r="N505" s="260"/>
      <c r="O505" s="260"/>
      <c r="P505" s="260"/>
      <c r="Q505" s="260"/>
      <c r="R505" s="260"/>
      <c r="S505" s="260"/>
      <c r="T505" s="279"/>
      <c r="U505" s="260"/>
      <c r="V505" s="260"/>
      <c r="W505" s="260"/>
      <c r="X505" s="260"/>
      <c r="Y505" s="260"/>
      <c r="Z505" s="260"/>
      <c r="AA505" s="264"/>
      <c r="AB505" s="260"/>
      <c r="AC505" s="260"/>
    </row>
    <row r="506">
      <c r="A506" s="259"/>
      <c r="B506" s="260"/>
      <c r="C506" s="260"/>
      <c r="D506" s="260"/>
      <c r="E506" s="260"/>
      <c r="F506" s="260"/>
      <c r="G506" s="260"/>
      <c r="H506" s="260"/>
      <c r="I506" s="260"/>
      <c r="J506" s="261"/>
      <c r="K506" s="260"/>
      <c r="L506" s="260"/>
      <c r="M506" s="260"/>
      <c r="N506" s="260"/>
      <c r="O506" s="260"/>
      <c r="P506" s="260"/>
      <c r="Q506" s="260"/>
      <c r="R506" s="260"/>
      <c r="S506" s="260"/>
      <c r="T506" s="279"/>
      <c r="U506" s="260"/>
      <c r="V506" s="260"/>
      <c r="W506" s="260"/>
      <c r="X506" s="260"/>
      <c r="Y506" s="260"/>
      <c r="Z506" s="260"/>
      <c r="AA506" s="264"/>
      <c r="AB506" s="260"/>
      <c r="AC506" s="260"/>
    </row>
    <row r="507">
      <c r="A507" s="259"/>
      <c r="B507" s="260"/>
      <c r="C507" s="260"/>
      <c r="D507" s="260"/>
      <c r="E507" s="260"/>
      <c r="F507" s="260"/>
      <c r="G507" s="260"/>
      <c r="H507" s="260"/>
      <c r="I507" s="260"/>
      <c r="J507" s="261"/>
      <c r="K507" s="260"/>
      <c r="L507" s="260"/>
      <c r="M507" s="260"/>
      <c r="N507" s="260"/>
      <c r="O507" s="260"/>
      <c r="P507" s="260"/>
      <c r="Q507" s="260"/>
      <c r="R507" s="260"/>
      <c r="S507" s="260"/>
      <c r="T507" s="279"/>
      <c r="U507" s="260"/>
      <c r="V507" s="260"/>
      <c r="W507" s="260"/>
      <c r="X507" s="260"/>
      <c r="Y507" s="260"/>
      <c r="Z507" s="260"/>
      <c r="AA507" s="264"/>
      <c r="AB507" s="260"/>
      <c r="AC507" s="260"/>
    </row>
    <row r="508">
      <c r="A508" s="259"/>
      <c r="B508" s="260"/>
      <c r="C508" s="260"/>
      <c r="D508" s="260"/>
      <c r="E508" s="260"/>
      <c r="F508" s="260"/>
      <c r="G508" s="260"/>
      <c r="H508" s="260"/>
      <c r="I508" s="260"/>
      <c r="J508" s="261"/>
      <c r="K508" s="260"/>
      <c r="L508" s="260"/>
      <c r="M508" s="260"/>
      <c r="N508" s="260"/>
      <c r="O508" s="260"/>
      <c r="P508" s="260"/>
      <c r="Q508" s="260"/>
      <c r="R508" s="260"/>
      <c r="S508" s="260"/>
      <c r="T508" s="279"/>
      <c r="U508" s="260"/>
      <c r="V508" s="260"/>
      <c r="W508" s="260"/>
      <c r="X508" s="260"/>
      <c r="Y508" s="260"/>
      <c r="Z508" s="260"/>
      <c r="AA508" s="264"/>
      <c r="AB508" s="260"/>
      <c r="AC508" s="260"/>
    </row>
    <row r="509">
      <c r="A509" s="259"/>
      <c r="B509" s="260"/>
      <c r="C509" s="260"/>
      <c r="D509" s="260"/>
      <c r="E509" s="260"/>
      <c r="F509" s="260"/>
      <c r="G509" s="260"/>
      <c r="H509" s="260"/>
      <c r="I509" s="260"/>
      <c r="J509" s="261"/>
      <c r="K509" s="260"/>
      <c r="L509" s="260"/>
      <c r="M509" s="260"/>
      <c r="N509" s="260"/>
      <c r="O509" s="260"/>
      <c r="P509" s="260"/>
      <c r="Q509" s="260"/>
      <c r="R509" s="260"/>
      <c r="S509" s="260"/>
      <c r="T509" s="279"/>
      <c r="U509" s="260"/>
      <c r="V509" s="260"/>
      <c r="W509" s="260"/>
      <c r="X509" s="260"/>
      <c r="Y509" s="260"/>
      <c r="Z509" s="260"/>
      <c r="AA509" s="264"/>
      <c r="AB509" s="260"/>
      <c r="AC509" s="260"/>
    </row>
    <row r="510">
      <c r="A510" s="259"/>
      <c r="B510" s="260"/>
      <c r="C510" s="260"/>
      <c r="D510" s="260"/>
      <c r="E510" s="260"/>
      <c r="F510" s="260"/>
      <c r="G510" s="260"/>
      <c r="H510" s="260"/>
      <c r="I510" s="260"/>
      <c r="J510" s="261"/>
      <c r="K510" s="260"/>
      <c r="L510" s="260"/>
      <c r="M510" s="260"/>
      <c r="N510" s="260"/>
      <c r="O510" s="260"/>
      <c r="P510" s="260"/>
      <c r="Q510" s="260"/>
      <c r="R510" s="260"/>
      <c r="S510" s="260"/>
      <c r="T510" s="279"/>
      <c r="U510" s="260"/>
      <c r="V510" s="260"/>
      <c r="W510" s="260"/>
      <c r="X510" s="260"/>
      <c r="Y510" s="260"/>
      <c r="Z510" s="260"/>
      <c r="AA510" s="264"/>
      <c r="AB510" s="260"/>
      <c r="AC510" s="260"/>
    </row>
    <row r="511">
      <c r="A511" s="259"/>
      <c r="B511" s="260"/>
      <c r="C511" s="260"/>
      <c r="D511" s="260"/>
      <c r="E511" s="260"/>
      <c r="F511" s="260"/>
      <c r="G511" s="260"/>
      <c r="H511" s="260"/>
      <c r="I511" s="260"/>
      <c r="J511" s="261"/>
      <c r="K511" s="260"/>
      <c r="L511" s="260"/>
      <c r="M511" s="260"/>
      <c r="N511" s="260"/>
      <c r="O511" s="260"/>
      <c r="P511" s="260"/>
      <c r="Q511" s="260"/>
      <c r="R511" s="260"/>
      <c r="S511" s="260"/>
      <c r="T511" s="279"/>
      <c r="U511" s="260"/>
      <c r="V511" s="260"/>
      <c r="W511" s="260"/>
      <c r="X511" s="260"/>
      <c r="Y511" s="260"/>
      <c r="Z511" s="260"/>
      <c r="AA511" s="264"/>
      <c r="AB511" s="260"/>
      <c r="AC511" s="260"/>
    </row>
    <row r="512">
      <c r="A512" s="259"/>
      <c r="B512" s="260"/>
      <c r="C512" s="260"/>
      <c r="D512" s="260"/>
      <c r="E512" s="260"/>
      <c r="F512" s="260"/>
      <c r="G512" s="260"/>
      <c r="H512" s="260"/>
      <c r="I512" s="260"/>
      <c r="J512" s="261"/>
      <c r="K512" s="260"/>
      <c r="L512" s="260"/>
      <c r="M512" s="260"/>
      <c r="N512" s="260"/>
      <c r="O512" s="260"/>
      <c r="P512" s="260"/>
      <c r="Q512" s="260"/>
      <c r="R512" s="260"/>
      <c r="S512" s="260"/>
      <c r="T512" s="279"/>
      <c r="U512" s="260"/>
      <c r="V512" s="260"/>
      <c r="W512" s="260"/>
      <c r="X512" s="260"/>
      <c r="Y512" s="260"/>
      <c r="Z512" s="260"/>
      <c r="AA512" s="264"/>
      <c r="AB512" s="260"/>
      <c r="AC512" s="260"/>
    </row>
    <row r="513">
      <c r="A513" s="259"/>
      <c r="B513" s="260"/>
      <c r="C513" s="260"/>
      <c r="D513" s="260"/>
      <c r="E513" s="260"/>
      <c r="F513" s="260"/>
      <c r="G513" s="260"/>
      <c r="H513" s="260"/>
      <c r="I513" s="260"/>
      <c r="J513" s="261"/>
      <c r="K513" s="260"/>
      <c r="L513" s="260"/>
      <c r="M513" s="260"/>
      <c r="N513" s="260"/>
      <c r="O513" s="260"/>
      <c r="P513" s="260"/>
      <c r="Q513" s="260"/>
      <c r="R513" s="260"/>
      <c r="S513" s="260"/>
      <c r="T513" s="279"/>
      <c r="U513" s="260"/>
      <c r="V513" s="260"/>
      <c r="W513" s="260"/>
      <c r="X513" s="260"/>
      <c r="Y513" s="260"/>
      <c r="Z513" s="260"/>
      <c r="AA513" s="264"/>
      <c r="AB513" s="260"/>
      <c r="AC513" s="260"/>
    </row>
    <row r="514">
      <c r="A514" s="259"/>
      <c r="B514" s="260"/>
      <c r="C514" s="260"/>
      <c r="D514" s="260"/>
      <c r="E514" s="260"/>
      <c r="F514" s="260"/>
      <c r="G514" s="260"/>
      <c r="H514" s="260"/>
      <c r="I514" s="260"/>
      <c r="J514" s="261"/>
      <c r="K514" s="260"/>
      <c r="L514" s="260"/>
      <c r="M514" s="260"/>
      <c r="N514" s="260"/>
      <c r="O514" s="260"/>
      <c r="P514" s="260"/>
      <c r="Q514" s="260"/>
      <c r="R514" s="260"/>
      <c r="S514" s="260"/>
      <c r="T514" s="279"/>
      <c r="U514" s="260"/>
      <c r="V514" s="260"/>
      <c r="W514" s="260"/>
      <c r="X514" s="260"/>
      <c r="Y514" s="260"/>
      <c r="Z514" s="260"/>
      <c r="AA514" s="264"/>
      <c r="AB514" s="260"/>
      <c r="AC514" s="260"/>
    </row>
    <row r="515">
      <c r="A515" s="259"/>
      <c r="B515" s="260"/>
      <c r="C515" s="260"/>
      <c r="D515" s="260"/>
      <c r="E515" s="260"/>
      <c r="F515" s="260"/>
      <c r="G515" s="260"/>
      <c r="H515" s="260"/>
      <c r="I515" s="260"/>
      <c r="J515" s="261"/>
      <c r="K515" s="260"/>
      <c r="L515" s="260"/>
      <c r="M515" s="260"/>
      <c r="N515" s="260"/>
      <c r="O515" s="260"/>
      <c r="P515" s="260"/>
      <c r="Q515" s="260"/>
      <c r="R515" s="260"/>
      <c r="S515" s="260"/>
      <c r="T515" s="279"/>
      <c r="U515" s="260"/>
      <c r="V515" s="260"/>
      <c r="W515" s="260"/>
      <c r="X515" s="260"/>
      <c r="Y515" s="260"/>
      <c r="Z515" s="260"/>
      <c r="AA515" s="264"/>
      <c r="AB515" s="260"/>
      <c r="AC515" s="260"/>
    </row>
    <row r="516">
      <c r="A516" s="259"/>
      <c r="B516" s="260"/>
      <c r="C516" s="260"/>
      <c r="D516" s="260"/>
      <c r="E516" s="260"/>
      <c r="F516" s="260"/>
      <c r="G516" s="260"/>
      <c r="H516" s="260"/>
      <c r="I516" s="260"/>
      <c r="J516" s="261"/>
      <c r="K516" s="260"/>
      <c r="L516" s="260"/>
      <c r="M516" s="260"/>
      <c r="N516" s="260"/>
      <c r="O516" s="260"/>
      <c r="P516" s="260"/>
      <c r="Q516" s="260"/>
      <c r="R516" s="260"/>
      <c r="S516" s="260"/>
      <c r="T516" s="279"/>
      <c r="U516" s="260"/>
      <c r="V516" s="260"/>
      <c r="W516" s="260"/>
      <c r="X516" s="260"/>
      <c r="Y516" s="260"/>
      <c r="Z516" s="260"/>
      <c r="AA516" s="264"/>
      <c r="AB516" s="260"/>
      <c r="AC516" s="260"/>
    </row>
    <row r="517">
      <c r="A517" s="259"/>
      <c r="B517" s="260"/>
      <c r="C517" s="260"/>
      <c r="D517" s="260"/>
      <c r="E517" s="260"/>
      <c r="F517" s="260"/>
      <c r="G517" s="260"/>
      <c r="H517" s="260"/>
      <c r="I517" s="260"/>
      <c r="J517" s="261"/>
      <c r="K517" s="260"/>
      <c r="L517" s="260"/>
      <c r="M517" s="260"/>
      <c r="N517" s="260"/>
      <c r="O517" s="260"/>
      <c r="P517" s="260"/>
      <c r="Q517" s="260"/>
      <c r="R517" s="260"/>
      <c r="S517" s="260"/>
      <c r="T517" s="279"/>
      <c r="U517" s="260"/>
      <c r="V517" s="260"/>
      <c r="W517" s="260"/>
      <c r="X517" s="260"/>
      <c r="Y517" s="260"/>
      <c r="Z517" s="260"/>
      <c r="AA517" s="264"/>
      <c r="AB517" s="260"/>
      <c r="AC517" s="260"/>
    </row>
    <row r="518">
      <c r="A518" s="259"/>
      <c r="B518" s="260"/>
      <c r="C518" s="260"/>
      <c r="D518" s="260"/>
      <c r="E518" s="260"/>
      <c r="F518" s="260"/>
      <c r="G518" s="260"/>
      <c r="H518" s="260"/>
      <c r="I518" s="260"/>
      <c r="J518" s="261"/>
      <c r="K518" s="260"/>
      <c r="L518" s="260"/>
      <c r="M518" s="260"/>
      <c r="N518" s="260"/>
      <c r="O518" s="260"/>
      <c r="P518" s="260"/>
      <c r="Q518" s="260"/>
      <c r="R518" s="260"/>
      <c r="S518" s="260"/>
      <c r="T518" s="279"/>
      <c r="U518" s="260"/>
      <c r="V518" s="260"/>
      <c r="W518" s="260"/>
      <c r="X518" s="260"/>
      <c r="Y518" s="260"/>
      <c r="Z518" s="260"/>
      <c r="AA518" s="264"/>
      <c r="AB518" s="260"/>
      <c r="AC518" s="260"/>
    </row>
    <row r="519">
      <c r="A519" s="259"/>
      <c r="B519" s="260"/>
      <c r="C519" s="260"/>
      <c r="D519" s="260"/>
      <c r="E519" s="260"/>
      <c r="F519" s="260"/>
      <c r="G519" s="260"/>
      <c r="H519" s="260"/>
      <c r="I519" s="260"/>
      <c r="J519" s="261"/>
      <c r="K519" s="260"/>
      <c r="L519" s="260"/>
      <c r="M519" s="260"/>
      <c r="N519" s="260"/>
      <c r="O519" s="260"/>
      <c r="P519" s="260"/>
      <c r="Q519" s="260"/>
      <c r="R519" s="260"/>
      <c r="S519" s="260"/>
      <c r="T519" s="279"/>
      <c r="U519" s="260"/>
      <c r="V519" s="260"/>
      <c r="W519" s="260"/>
      <c r="X519" s="260"/>
      <c r="Y519" s="260"/>
      <c r="Z519" s="260"/>
      <c r="AA519" s="264"/>
      <c r="AB519" s="260"/>
      <c r="AC519" s="260"/>
    </row>
    <row r="520">
      <c r="A520" s="259"/>
      <c r="B520" s="260"/>
      <c r="C520" s="260"/>
      <c r="D520" s="260"/>
      <c r="E520" s="260"/>
      <c r="F520" s="260"/>
      <c r="G520" s="260"/>
      <c r="H520" s="260"/>
      <c r="I520" s="260"/>
      <c r="J520" s="261"/>
      <c r="K520" s="260"/>
      <c r="L520" s="260"/>
      <c r="M520" s="260"/>
      <c r="N520" s="260"/>
      <c r="O520" s="260"/>
      <c r="P520" s="260"/>
      <c r="Q520" s="260"/>
      <c r="R520" s="260"/>
      <c r="S520" s="260"/>
      <c r="T520" s="279"/>
      <c r="U520" s="260"/>
      <c r="V520" s="260"/>
      <c r="W520" s="260"/>
      <c r="X520" s="260"/>
      <c r="Y520" s="260"/>
      <c r="Z520" s="260"/>
      <c r="AA520" s="264"/>
      <c r="AB520" s="260"/>
      <c r="AC520" s="260"/>
    </row>
    <row r="521">
      <c r="A521" s="259"/>
      <c r="B521" s="260"/>
      <c r="C521" s="260"/>
      <c r="D521" s="260"/>
      <c r="E521" s="260"/>
      <c r="F521" s="260"/>
      <c r="G521" s="260"/>
      <c r="H521" s="260"/>
      <c r="I521" s="260"/>
      <c r="J521" s="261"/>
      <c r="K521" s="260"/>
      <c r="L521" s="260"/>
      <c r="M521" s="260"/>
      <c r="N521" s="260"/>
      <c r="O521" s="260"/>
      <c r="P521" s="260"/>
      <c r="Q521" s="260"/>
      <c r="R521" s="260"/>
      <c r="S521" s="260"/>
      <c r="T521" s="279"/>
      <c r="U521" s="260"/>
      <c r="V521" s="260"/>
      <c r="W521" s="260"/>
      <c r="X521" s="260"/>
      <c r="Y521" s="260"/>
      <c r="Z521" s="260"/>
      <c r="AA521" s="264"/>
      <c r="AB521" s="260"/>
      <c r="AC521" s="260"/>
    </row>
    <row r="522">
      <c r="A522" s="259"/>
      <c r="B522" s="260"/>
      <c r="C522" s="260"/>
      <c r="D522" s="260"/>
      <c r="E522" s="260"/>
      <c r="F522" s="260"/>
      <c r="G522" s="260"/>
      <c r="H522" s="260"/>
      <c r="I522" s="260"/>
      <c r="J522" s="261"/>
      <c r="K522" s="260"/>
      <c r="L522" s="260"/>
      <c r="M522" s="260"/>
      <c r="N522" s="260"/>
      <c r="O522" s="260"/>
      <c r="P522" s="260"/>
      <c r="Q522" s="260"/>
      <c r="R522" s="260"/>
      <c r="S522" s="260"/>
      <c r="T522" s="279"/>
      <c r="U522" s="260"/>
      <c r="V522" s="260"/>
      <c r="W522" s="260"/>
      <c r="X522" s="260"/>
      <c r="Y522" s="260"/>
      <c r="Z522" s="260"/>
      <c r="AA522" s="264"/>
      <c r="AB522" s="260"/>
      <c r="AC522" s="260"/>
    </row>
    <row r="523">
      <c r="A523" s="259"/>
      <c r="B523" s="260"/>
      <c r="C523" s="260"/>
      <c r="D523" s="260"/>
      <c r="E523" s="260"/>
      <c r="F523" s="260"/>
      <c r="G523" s="260"/>
      <c r="H523" s="260"/>
      <c r="I523" s="260"/>
      <c r="J523" s="261"/>
      <c r="K523" s="260"/>
      <c r="L523" s="260"/>
      <c r="M523" s="260"/>
      <c r="N523" s="260"/>
      <c r="O523" s="260"/>
      <c r="P523" s="260"/>
      <c r="Q523" s="260"/>
      <c r="R523" s="260"/>
      <c r="S523" s="260"/>
      <c r="T523" s="279"/>
      <c r="U523" s="260"/>
      <c r="V523" s="260"/>
      <c r="W523" s="260"/>
      <c r="X523" s="260"/>
      <c r="Y523" s="260"/>
      <c r="Z523" s="260"/>
      <c r="AA523" s="264"/>
      <c r="AB523" s="260"/>
      <c r="AC523" s="260"/>
    </row>
    <row r="524">
      <c r="A524" s="259"/>
      <c r="B524" s="260"/>
      <c r="C524" s="260"/>
      <c r="D524" s="260"/>
      <c r="E524" s="260"/>
      <c r="F524" s="260"/>
      <c r="G524" s="260"/>
      <c r="H524" s="260"/>
      <c r="I524" s="260"/>
      <c r="J524" s="261"/>
      <c r="K524" s="260"/>
      <c r="L524" s="260"/>
      <c r="M524" s="260"/>
      <c r="N524" s="260"/>
      <c r="O524" s="260"/>
      <c r="P524" s="260"/>
      <c r="Q524" s="260"/>
      <c r="R524" s="260"/>
      <c r="S524" s="260"/>
      <c r="T524" s="279"/>
      <c r="U524" s="260"/>
      <c r="V524" s="260"/>
      <c r="W524" s="260"/>
      <c r="X524" s="260"/>
      <c r="Y524" s="260"/>
      <c r="Z524" s="260"/>
      <c r="AA524" s="264"/>
      <c r="AB524" s="260"/>
      <c r="AC524" s="260"/>
    </row>
    <row r="525">
      <c r="A525" s="259"/>
      <c r="B525" s="260"/>
      <c r="C525" s="260"/>
      <c r="D525" s="260"/>
      <c r="E525" s="260"/>
      <c r="F525" s="260"/>
      <c r="G525" s="260"/>
      <c r="H525" s="260"/>
      <c r="I525" s="260"/>
      <c r="J525" s="261"/>
      <c r="K525" s="260"/>
      <c r="L525" s="260"/>
      <c r="M525" s="260"/>
      <c r="N525" s="260"/>
      <c r="O525" s="260"/>
      <c r="P525" s="260"/>
      <c r="Q525" s="260"/>
      <c r="R525" s="260"/>
      <c r="S525" s="260"/>
      <c r="T525" s="279"/>
      <c r="U525" s="260"/>
      <c r="V525" s="260"/>
      <c r="W525" s="260"/>
      <c r="X525" s="260"/>
      <c r="Y525" s="260"/>
      <c r="Z525" s="260"/>
      <c r="AA525" s="264"/>
      <c r="AB525" s="260"/>
      <c r="AC525" s="260"/>
    </row>
    <row r="526">
      <c r="A526" s="259"/>
      <c r="B526" s="260"/>
      <c r="C526" s="260"/>
      <c r="D526" s="260"/>
      <c r="E526" s="260"/>
      <c r="F526" s="260"/>
      <c r="G526" s="260"/>
      <c r="H526" s="260"/>
      <c r="I526" s="260"/>
      <c r="J526" s="261"/>
      <c r="K526" s="260"/>
      <c r="L526" s="260"/>
      <c r="M526" s="260"/>
      <c r="N526" s="260"/>
      <c r="O526" s="260"/>
      <c r="P526" s="260"/>
      <c r="Q526" s="260"/>
      <c r="R526" s="260"/>
      <c r="S526" s="260"/>
      <c r="T526" s="279"/>
      <c r="U526" s="260"/>
      <c r="V526" s="260"/>
      <c r="W526" s="260"/>
      <c r="X526" s="260"/>
      <c r="Y526" s="260"/>
      <c r="Z526" s="260"/>
      <c r="AA526" s="264"/>
      <c r="AB526" s="260"/>
      <c r="AC526" s="260"/>
    </row>
    <row r="527">
      <c r="A527" s="259"/>
      <c r="B527" s="260"/>
      <c r="C527" s="260"/>
      <c r="D527" s="260"/>
      <c r="E527" s="260"/>
      <c r="F527" s="260"/>
      <c r="G527" s="260"/>
      <c r="H527" s="260"/>
      <c r="I527" s="260"/>
      <c r="J527" s="261"/>
      <c r="K527" s="260"/>
      <c r="L527" s="260"/>
      <c r="M527" s="260"/>
      <c r="N527" s="260"/>
      <c r="O527" s="260"/>
      <c r="P527" s="260"/>
      <c r="Q527" s="260"/>
      <c r="R527" s="260"/>
      <c r="S527" s="260"/>
      <c r="T527" s="279"/>
      <c r="U527" s="260"/>
      <c r="V527" s="260"/>
      <c r="W527" s="260"/>
      <c r="X527" s="260"/>
      <c r="Y527" s="260"/>
      <c r="Z527" s="260"/>
      <c r="AA527" s="264"/>
      <c r="AB527" s="260"/>
      <c r="AC527" s="260"/>
    </row>
    <row r="528">
      <c r="A528" s="259"/>
      <c r="B528" s="260"/>
      <c r="C528" s="260"/>
      <c r="D528" s="260"/>
      <c r="E528" s="260"/>
      <c r="F528" s="260"/>
      <c r="G528" s="260"/>
      <c r="H528" s="260"/>
      <c r="I528" s="260"/>
      <c r="J528" s="261"/>
      <c r="K528" s="260"/>
      <c r="L528" s="260"/>
      <c r="M528" s="260"/>
      <c r="N528" s="260"/>
      <c r="O528" s="260"/>
      <c r="P528" s="260"/>
      <c r="Q528" s="260"/>
      <c r="R528" s="260"/>
      <c r="S528" s="260"/>
      <c r="T528" s="279"/>
      <c r="U528" s="260"/>
      <c r="V528" s="260"/>
      <c r="W528" s="260"/>
      <c r="X528" s="260"/>
      <c r="Y528" s="260"/>
      <c r="Z528" s="260"/>
      <c r="AA528" s="264"/>
      <c r="AB528" s="260"/>
      <c r="AC528" s="260"/>
    </row>
    <row r="529">
      <c r="A529" s="259"/>
      <c r="B529" s="260"/>
      <c r="C529" s="260"/>
      <c r="D529" s="260"/>
      <c r="E529" s="260"/>
      <c r="F529" s="260"/>
      <c r="G529" s="260"/>
      <c r="H529" s="260"/>
      <c r="I529" s="260"/>
      <c r="J529" s="261"/>
      <c r="K529" s="260"/>
      <c r="L529" s="260"/>
      <c r="M529" s="260"/>
      <c r="N529" s="260"/>
      <c r="O529" s="260"/>
      <c r="P529" s="260"/>
      <c r="Q529" s="260"/>
      <c r="R529" s="260"/>
      <c r="S529" s="260"/>
      <c r="T529" s="279"/>
      <c r="U529" s="260"/>
      <c r="V529" s="260"/>
      <c r="W529" s="260"/>
      <c r="X529" s="260"/>
      <c r="Y529" s="260"/>
      <c r="Z529" s="260"/>
      <c r="AA529" s="264"/>
      <c r="AB529" s="260"/>
      <c r="AC529" s="260"/>
    </row>
    <row r="530">
      <c r="A530" s="259"/>
      <c r="B530" s="260"/>
      <c r="C530" s="260"/>
      <c r="D530" s="260"/>
      <c r="E530" s="260"/>
      <c r="F530" s="260"/>
      <c r="G530" s="260"/>
      <c r="H530" s="260"/>
      <c r="I530" s="260"/>
      <c r="J530" s="261"/>
      <c r="K530" s="260"/>
      <c r="L530" s="260"/>
      <c r="M530" s="260"/>
      <c r="N530" s="260"/>
      <c r="O530" s="260"/>
      <c r="P530" s="260"/>
      <c r="Q530" s="260"/>
      <c r="R530" s="260"/>
      <c r="S530" s="260"/>
      <c r="T530" s="279"/>
      <c r="U530" s="260"/>
      <c r="V530" s="260"/>
      <c r="W530" s="260"/>
      <c r="X530" s="260"/>
      <c r="Y530" s="260"/>
      <c r="Z530" s="260"/>
      <c r="AA530" s="264"/>
      <c r="AB530" s="260"/>
      <c r="AC530" s="260"/>
    </row>
    <row r="531">
      <c r="A531" s="259"/>
      <c r="B531" s="260"/>
      <c r="C531" s="260"/>
      <c r="D531" s="260"/>
      <c r="E531" s="260"/>
      <c r="F531" s="260"/>
      <c r="G531" s="260"/>
      <c r="H531" s="260"/>
      <c r="I531" s="260"/>
      <c r="J531" s="261"/>
      <c r="K531" s="260"/>
      <c r="L531" s="260"/>
      <c r="M531" s="260"/>
      <c r="N531" s="260"/>
      <c r="O531" s="260"/>
      <c r="P531" s="260"/>
      <c r="Q531" s="260"/>
      <c r="R531" s="260"/>
      <c r="S531" s="260"/>
      <c r="T531" s="279"/>
      <c r="U531" s="260"/>
      <c r="V531" s="260"/>
      <c r="W531" s="260"/>
      <c r="X531" s="260"/>
      <c r="Y531" s="260"/>
      <c r="Z531" s="260"/>
      <c r="AA531" s="264"/>
      <c r="AB531" s="260"/>
      <c r="AC531" s="260"/>
    </row>
    <row r="532">
      <c r="A532" s="259"/>
      <c r="B532" s="260"/>
      <c r="C532" s="260"/>
      <c r="D532" s="260"/>
      <c r="E532" s="260"/>
      <c r="F532" s="260"/>
      <c r="G532" s="260"/>
      <c r="H532" s="260"/>
      <c r="I532" s="260"/>
      <c r="J532" s="261"/>
      <c r="K532" s="260"/>
      <c r="L532" s="260"/>
      <c r="M532" s="260"/>
      <c r="N532" s="260"/>
      <c r="O532" s="260"/>
      <c r="P532" s="260"/>
      <c r="Q532" s="260"/>
      <c r="R532" s="260"/>
      <c r="S532" s="260"/>
      <c r="T532" s="279"/>
      <c r="U532" s="260"/>
      <c r="V532" s="260"/>
      <c r="W532" s="260"/>
      <c r="X532" s="260"/>
      <c r="Y532" s="260"/>
      <c r="Z532" s="260"/>
      <c r="AA532" s="264"/>
      <c r="AB532" s="260"/>
      <c r="AC532" s="260"/>
    </row>
    <row r="533">
      <c r="A533" s="259"/>
      <c r="B533" s="260"/>
      <c r="C533" s="260"/>
      <c r="D533" s="260"/>
      <c r="E533" s="260"/>
      <c r="F533" s="260"/>
      <c r="G533" s="260"/>
      <c r="H533" s="260"/>
      <c r="I533" s="260"/>
      <c r="J533" s="261"/>
      <c r="K533" s="260"/>
      <c r="L533" s="260"/>
      <c r="M533" s="260"/>
      <c r="N533" s="260"/>
      <c r="O533" s="260"/>
      <c r="P533" s="260"/>
      <c r="Q533" s="260"/>
      <c r="R533" s="260"/>
      <c r="S533" s="260"/>
      <c r="T533" s="279"/>
      <c r="U533" s="260"/>
      <c r="V533" s="260"/>
      <c r="W533" s="260"/>
      <c r="X533" s="260"/>
      <c r="Y533" s="260"/>
      <c r="Z533" s="260"/>
      <c r="AA533" s="264"/>
      <c r="AB533" s="260"/>
      <c r="AC533" s="260"/>
    </row>
    <row r="534">
      <c r="A534" s="259"/>
      <c r="B534" s="260"/>
      <c r="C534" s="260"/>
      <c r="D534" s="260"/>
      <c r="E534" s="260"/>
      <c r="F534" s="260"/>
      <c r="G534" s="260"/>
      <c r="H534" s="260"/>
      <c r="I534" s="260"/>
      <c r="J534" s="261"/>
      <c r="K534" s="260"/>
      <c r="L534" s="260"/>
      <c r="M534" s="260"/>
      <c r="N534" s="260"/>
      <c r="O534" s="260"/>
      <c r="P534" s="260"/>
      <c r="Q534" s="260"/>
      <c r="R534" s="260"/>
      <c r="S534" s="260"/>
      <c r="T534" s="279"/>
      <c r="U534" s="260"/>
      <c r="V534" s="260"/>
      <c r="W534" s="260"/>
      <c r="X534" s="260"/>
      <c r="Y534" s="260"/>
      <c r="Z534" s="260"/>
      <c r="AA534" s="264"/>
      <c r="AB534" s="260"/>
      <c r="AC534" s="260"/>
    </row>
    <row r="535">
      <c r="A535" s="259"/>
      <c r="B535" s="260"/>
      <c r="C535" s="260"/>
      <c r="D535" s="260"/>
      <c r="E535" s="260"/>
      <c r="F535" s="260"/>
      <c r="G535" s="260"/>
      <c r="H535" s="260"/>
      <c r="I535" s="260"/>
      <c r="J535" s="261"/>
      <c r="K535" s="260"/>
      <c r="L535" s="260"/>
      <c r="M535" s="260"/>
      <c r="N535" s="260"/>
      <c r="O535" s="260"/>
      <c r="P535" s="260"/>
      <c r="Q535" s="260"/>
      <c r="R535" s="260"/>
      <c r="S535" s="260"/>
      <c r="T535" s="279"/>
      <c r="U535" s="260"/>
      <c r="V535" s="260"/>
      <c r="W535" s="260"/>
      <c r="X535" s="260"/>
      <c r="Y535" s="260"/>
      <c r="Z535" s="260"/>
      <c r="AA535" s="264"/>
      <c r="AB535" s="260"/>
      <c r="AC535" s="260"/>
    </row>
    <row r="536">
      <c r="A536" s="259"/>
      <c r="B536" s="260"/>
      <c r="C536" s="260"/>
      <c r="D536" s="260"/>
      <c r="E536" s="260"/>
      <c r="F536" s="260"/>
      <c r="G536" s="260"/>
      <c r="H536" s="260"/>
      <c r="I536" s="260"/>
      <c r="J536" s="261"/>
      <c r="K536" s="260"/>
      <c r="L536" s="260"/>
      <c r="M536" s="260"/>
      <c r="N536" s="260"/>
      <c r="O536" s="260"/>
      <c r="P536" s="260"/>
      <c r="Q536" s="260"/>
      <c r="R536" s="260"/>
      <c r="S536" s="260"/>
      <c r="T536" s="279"/>
      <c r="U536" s="260"/>
      <c r="V536" s="260"/>
      <c r="W536" s="260"/>
      <c r="X536" s="260"/>
      <c r="Y536" s="260"/>
      <c r="Z536" s="260"/>
      <c r="AA536" s="264"/>
      <c r="AB536" s="260"/>
      <c r="AC536" s="260"/>
    </row>
    <row r="537">
      <c r="A537" s="259"/>
      <c r="B537" s="260"/>
      <c r="C537" s="260"/>
      <c r="D537" s="260"/>
      <c r="E537" s="260"/>
      <c r="F537" s="260"/>
      <c r="G537" s="260"/>
      <c r="H537" s="260"/>
      <c r="I537" s="260"/>
      <c r="J537" s="261"/>
      <c r="K537" s="260"/>
      <c r="L537" s="260"/>
      <c r="M537" s="260"/>
      <c r="N537" s="260"/>
      <c r="O537" s="260"/>
      <c r="P537" s="260"/>
      <c r="Q537" s="260"/>
      <c r="R537" s="260"/>
      <c r="S537" s="260"/>
      <c r="T537" s="279"/>
      <c r="U537" s="260"/>
      <c r="V537" s="260"/>
      <c r="W537" s="260"/>
      <c r="X537" s="260"/>
      <c r="Y537" s="260"/>
      <c r="Z537" s="260"/>
      <c r="AA537" s="264"/>
      <c r="AB537" s="260"/>
      <c r="AC537" s="260"/>
    </row>
    <row r="538">
      <c r="A538" s="259"/>
      <c r="B538" s="260"/>
      <c r="C538" s="260"/>
      <c r="D538" s="260"/>
      <c r="E538" s="260"/>
      <c r="F538" s="260"/>
      <c r="G538" s="260"/>
      <c r="H538" s="260"/>
      <c r="I538" s="260"/>
      <c r="J538" s="261"/>
      <c r="K538" s="260"/>
      <c r="L538" s="260"/>
      <c r="M538" s="260"/>
      <c r="N538" s="260"/>
      <c r="O538" s="260"/>
      <c r="P538" s="260"/>
      <c r="Q538" s="260"/>
      <c r="R538" s="260"/>
      <c r="S538" s="260"/>
      <c r="T538" s="279"/>
      <c r="U538" s="260"/>
      <c r="V538" s="260"/>
      <c r="W538" s="260"/>
      <c r="X538" s="260"/>
      <c r="Y538" s="260"/>
      <c r="Z538" s="260"/>
      <c r="AA538" s="264"/>
      <c r="AB538" s="260"/>
      <c r="AC538" s="260"/>
    </row>
    <row r="539">
      <c r="A539" s="259"/>
      <c r="B539" s="260"/>
      <c r="C539" s="260"/>
      <c r="D539" s="260"/>
      <c r="E539" s="260"/>
      <c r="F539" s="260"/>
      <c r="G539" s="260"/>
      <c r="H539" s="260"/>
      <c r="I539" s="260"/>
      <c r="J539" s="261"/>
      <c r="K539" s="260"/>
      <c r="L539" s="260"/>
      <c r="M539" s="260"/>
      <c r="N539" s="260"/>
      <c r="O539" s="260"/>
      <c r="P539" s="260"/>
      <c r="Q539" s="260"/>
      <c r="R539" s="260"/>
      <c r="S539" s="260"/>
      <c r="T539" s="279"/>
      <c r="U539" s="260"/>
      <c r="V539" s="260"/>
      <c r="W539" s="260"/>
      <c r="X539" s="260"/>
      <c r="Y539" s="260"/>
      <c r="Z539" s="260"/>
      <c r="AA539" s="264"/>
      <c r="AB539" s="260"/>
      <c r="AC539" s="260"/>
    </row>
    <row r="540">
      <c r="A540" s="259"/>
      <c r="B540" s="260"/>
      <c r="C540" s="260"/>
      <c r="D540" s="260"/>
      <c r="E540" s="260"/>
      <c r="F540" s="260"/>
      <c r="G540" s="260"/>
      <c r="H540" s="260"/>
      <c r="I540" s="260"/>
      <c r="J540" s="261"/>
      <c r="K540" s="260"/>
      <c r="L540" s="260"/>
      <c r="M540" s="260"/>
      <c r="N540" s="260"/>
      <c r="O540" s="260"/>
      <c r="P540" s="260"/>
      <c r="Q540" s="260"/>
      <c r="R540" s="260"/>
      <c r="S540" s="260"/>
      <c r="T540" s="279"/>
      <c r="U540" s="260"/>
      <c r="V540" s="260"/>
      <c r="W540" s="260"/>
      <c r="X540" s="260"/>
      <c r="Y540" s="260"/>
      <c r="Z540" s="260"/>
      <c r="AA540" s="264"/>
      <c r="AB540" s="260"/>
      <c r="AC540" s="260"/>
    </row>
    <row r="541">
      <c r="A541" s="259"/>
      <c r="B541" s="260"/>
      <c r="C541" s="260"/>
      <c r="D541" s="260"/>
      <c r="E541" s="260"/>
      <c r="F541" s="260"/>
      <c r="G541" s="260"/>
      <c r="H541" s="260"/>
      <c r="I541" s="260"/>
      <c r="J541" s="261"/>
      <c r="K541" s="260"/>
      <c r="L541" s="260"/>
      <c r="M541" s="260"/>
      <c r="N541" s="260"/>
      <c r="O541" s="260"/>
      <c r="P541" s="260"/>
      <c r="Q541" s="260"/>
      <c r="R541" s="260"/>
      <c r="S541" s="260"/>
      <c r="T541" s="279"/>
      <c r="U541" s="260"/>
      <c r="V541" s="260"/>
      <c r="W541" s="260"/>
      <c r="X541" s="260"/>
      <c r="Y541" s="260"/>
      <c r="Z541" s="260"/>
      <c r="AA541" s="264"/>
      <c r="AB541" s="260"/>
      <c r="AC541" s="260"/>
    </row>
    <row r="542">
      <c r="A542" s="259"/>
      <c r="B542" s="260"/>
      <c r="C542" s="260"/>
      <c r="D542" s="260"/>
      <c r="E542" s="260"/>
      <c r="F542" s="260"/>
      <c r="G542" s="260"/>
      <c r="H542" s="260"/>
      <c r="I542" s="260"/>
      <c r="J542" s="261"/>
      <c r="K542" s="260"/>
      <c r="L542" s="260"/>
      <c r="M542" s="260"/>
      <c r="N542" s="260"/>
      <c r="O542" s="260"/>
      <c r="P542" s="260"/>
      <c r="Q542" s="260"/>
      <c r="R542" s="260"/>
      <c r="S542" s="260"/>
      <c r="T542" s="279"/>
      <c r="U542" s="260"/>
      <c r="V542" s="260"/>
      <c r="W542" s="260"/>
      <c r="X542" s="260"/>
      <c r="Y542" s="260"/>
      <c r="Z542" s="260"/>
      <c r="AA542" s="264"/>
      <c r="AB542" s="260"/>
      <c r="AC542" s="260"/>
    </row>
    <row r="543">
      <c r="A543" s="259"/>
      <c r="B543" s="260"/>
      <c r="C543" s="260"/>
      <c r="D543" s="260"/>
      <c r="E543" s="260"/>
      <c r="F543" s="260"/>
      <c r="G543" s="260"/>
      <c r="H543" s="260"/>
      <c r="I543" s="260"/>
      <c r="J543" s="261"/>
      <c r="K543" s="260"/>
      <c r="L543" s="260"/>
      <c r="M543" s="260"/>
      <c r="N543" s="260"/>
      <c r="O543" s="260"/>
      <c r="P543" s="260"/>
      <c r="Q543" s="260"/>
      <c r="R543" s="260"/>
      <c r="S543" s="260"/>
      <c r="T543" s="279"/>
      <c r="U543" s="260"/>
      <c r="V543" s="260"/>
      <c r="W543" s="260"/>
      <c r="X543" s="260"/>
      <c r="Y543" s="260"/>
      <c r="Z543" s="260"/>
      <c r="AA543" s="264"/>
      <c r="AB543" s="260"/>
      <c r="AC543" s="260"/>
    </row>
    <row r="544">
      <c r="A544" s="259"/>
      <c r="B544" s="260"/>
      <c r="C544" s="260"/>
      <c r="D544" s="260"/>
      <c r="E544" s="260"/>
      <c r="F544" s="260"/>
      <c r="G544" s="260"/>
      <c r="H544" s="260"/>
      <c r="I544" s="260"/>
      <c r="J544" s="261"/>
      <c r="K544" s="260"/>
      <c r="L544" s="260"/>
      <c r="M544" s="260"/>
      <c r="N544" s="260"/>
      <c r="O544" s="260"/>
      <c r="P544" s="260"/>
      <c r="Q544" s="260"/>
      <c r="R544" s="260"/>
      <c r="S544" s="260"/>
      <c r="T544" s="279"/>
      <c r="U544" s="260"/>
      <c r="V544" s="260"/>
      <c r="W544" s="260"/>
      <c r="X544" s="260"/>
      <c r="Y544" s="260"/>
      <c r="Z544" s="260"/>
      <c r="AA544" s="264"/>
      <c r="AB544" s="260"/>
      <c r="AC544" s="260"/>
    </row>
    <row r="545">
      <c r="A545" s="259"/>
      <c r="B545" s="260"/>
      <c r="C545" s="260"/>
      <c r="D545" s="260"/>
      <c r="E545" s="260"/>
      <c r="F545" s="260"/>
      <c r="G545" s="260"/>
      <c r="H545" s="260"/>
      <c r="I545" s="260"/>
      <c r="J545" s="261"/>
      <c r="K545" s="260"/>
      <c r="L545" s="260"/>
      <c r="M545" s="260"/>
      <c r="N545" s="260"/>
      <c r="O545" s="260"/>
      <c r="P545" s="260"/>
      <c r="Q545" s="260"/>
      <c r="R545" s="260"/>
      <c r="S545" s="260"/>
      <c r="T545" s="279"/>
      <c r="U545" s="260"/>
      <c r="V545" s="260"/>
      <c r="W545" s="260"/>
      <c r="X545" s="260"/>
      <c r="Y545" s="260"/>
      <c r="Z545" s="260"/>
      <c r="AA545" s="264"/>
      <c r="AB545" s="260"/>
      <c r="AC545" s="260"/>
    </row>
    <row r="546">
      <c r="A546" s="259"/>
      <c r="B546" s="260"/>
      <c r="C546" s="260"/>
      <c r="D546" s="260"/>
      <c r="E546" s="260"/>
      <c r="F546" s="260"/>
      <c r="G546" s="260"/>
      <c r="H546" s="260"/>
      <c r="I546" s="260"/>
      <c r="J546" s="261"/>
      <c r="K546" s="260"/>
      <c r="L546" s="260"/>
      <c r="M546" s="260"/>
      <c r="N546" s="260"/>
      <c r="O546" s="260"/>
      <c r="P546" s="260"/>
      <c r="Q546" s="260"/>
      <c r="R546" s="260"/>
      <c r="S546" s="260"/>
      <c r="T546" s="279"/>
      <c r="U546" s="260"/>
      <c r="V546" s="260"/>
      <c r="W546" s="260"/>
      <c r="X546" s="260"/>
      <c r="Y546" s="260"/>
      <c r="Z546" s="260"/>
      <c r="AA546" s="264"/>
      <c r="AB546" s="260"/>
      <c r="AC546" s="260"/>
    </row>
    <row r="547">
      <c r="A547" s="259"/>
      <c r="B547" s="260"/>
      <c r="C547" s="260"/>
      <c r="D547" s="260"/>
      <c r="E547" s="260"/>
      <c r="F547" s="260"/>
      <c r="G547" s="260"/>
      <c r="H547" s="260"/>
      <c r="I547" s="260"/>
      <c r="J547" s="261"/>
      <c r="K547" s="260"/>
      <c r="L547" s="260"/>
      <c r="M547" s="260"/>
      <c r="N547" s="260"/>
      <c r="O547" s="260"/>
      <c r="P547" s="260"/>
      <c r="Q547" s="260"/>
      <c r="R547" s="260"/>
      <c r="S547" s="260"/>
      <c r="T547" s="279"/>
      <c r="U547" s="260"/>
      <c r="V547" s="260"/>
      <c r="W547" s="260"/>
      <c r="X547" s="260"/>
      <c r="Y547" s="260"/>
      <c r="Z547" s="260"/>
      <c r="AA547" s="264"/>
      <c r="AB547" s="260"/>
      <c r="AC547" s="260"/>
    </row>
    <row r="548">
      <c r="A548" s="259"/>
      <c r="B548" s="260"/>
      <c r="C548" s="260"/>
      <c r="D548" s="260"/>
      <c r="E548" s="260"/>
      <c r="F548" s="260"/>
      <c r="G548" s="260"/>
      <c r="H548" s="260"/>
      <c r="I548" s="260"/>
      <c r="J548" s="261"/>
      <c r="K548" s="260"/>
      <c r="L548" s="260"/>
      <c r="M548" s="260"/>
      <c r="N548" s="260"/>
      <c r="O548" s="260"/>
      <c r="P548" s="260"/>
      <c r="Q548" s="260"/>
      <c r="R548" s="260"/>
      <c r="S548" s="260"/>
      <c r="T548" s="279"/>
      <c r="U548" s="260"/>
      <c r="V548" s="260"/>
      <c r="W548" s="260"/>
      <c r="X548" s="260"/>
      <c r="Y548" s="260"/>
      <c r="Z548" s="260"/>
      <c r="AA548" s="264"/>
      <c r="AB548" s="260"/>
      <c r="AC548" s="260"/>
    </row>
    <row r="549">
      <c r="A549" s="259"/>
      <c r="B549" s="260"/>
      <c r="C549" s="260"/>
      <c r="D549" s="260"/>
      <c r="E549" s="260"/>
      <c r="F549" s="260"/>
      <c r="G549" s="260"/>
      <c r="H549" s="260"/>
      <c r="I549" s="260"/>
      <c r="J549" s="261"/>
      <c r="K549" s="260"/>
      <c r="L549" s="260"/>
      <c r="M549" s="260"/>
      <c r="N549" s="260"/>
      <c r="O549" s="260"/>
      <c r="P549" s="260"/>
      <c r="Q549" s="260"/>
      <c r="R549" s="260"/>
      <c r="S549" s="260"/>
      <c r="T549" s="279"/>
      <c r="U549" s="260"/>
      <c r="V549" s="260"/>
      <c r="W549" s="260"/>
      <c r="X549" s="260"/>
      <c r="Y549" s="260"/>
      <c r="Z549" s="260"/>
      <c r="AA549" s="264"/>
      <c r="AB549" s="260"/>
      <c r="AC549" s="260"/>
    </row>
    <row r="550">
      <c r="A550" s="259"/>
      <c r="B550" s="260"/>
      <c r="C550" s="260"/>
      <c r="D550" s="260"/>
      <c r="E550" s="260"/>
      <c r="F550" s="260"/>
      <c r="G550" s="260"/>
      <c r="H550" s="260"/>
      <c r="I550" s="260"/>
      <c r="J550" s="261"/>
      <c r="K550" s="260"/>
      <c r="L550" s="260"/>
      <c r="M550" s="260"/>
      <c r="N550" s="260"/>
      <c r="O550" s="260"/>
      <c r="P550" s="260"/>
      <c r="Q550" s="260"/>
      <c r="R550" s="260"/>
      <c r="S550" s="260"/>
      <c r="T550" s="279"/>
      <c r="U550" s="260"/>
      <c r="V550" s="260"/>
      <c r="W550" s="260"/>
      <c r="X550" s="260"/>
      <c r="Y550" s="260"/>
      <c r="Z550" s="260"/>
      <c r="AA550" s="264"/>
      <c r="AB550" s="260"/>
      <c r="AC550" s="260"/>
    </row>
    <row r="551">
      <c r="A551" s="259"/>
      <c r="B551" s="260"/>
      <c r="C551" s="260"/>
      <c r="D551" s="260"/>
      <c r="E551" s="260"/>
      <c r="F551" s="260"/>
      <c r="G551" s="260"/>
      <c r="H551" s="260"/>
      <c r="I551" s="260"/>
      <c r="J551" s="261"/>
      <c r="K551" s="260"/>
      <c r="L551" s="260"/>
      <c r="M551" s="260"/>
      <c r="N551" s="260"/>
      <c r="O551" s="260"/>
      <c r="P551" s="260"/>
      <c r="Q551" s="260"/>
      <c r="R551" s="260"/>
      <c r="S551" s="260"/>
      <c r="T551" s="279"/>
      <c r="U551" s="260"/>
      <c r="V551" s="260"/>
      <c r="W551" s="260"/>
      <c r="X551" s="260"/>
      <c r="Y551" s="260"/>
      <c r="Z551" s="260"/>
      <c r="AA551" s="264"/>
      <c r="AB551" s="260"/>
      <c r="AC551" s="260"/>
    </row>
    <row r="552">
      <c r="A552" s="259"/>
      <c r="B552" s="260"/>
      <c r="C552" s="260"/>
      <c r="D552" s="260"/>
      <c r="E552" s="260"/>
      <c r="F552" s="260"/>
      <c r="G552" s="260"/>
      <c r="H552" s="260"/>
      <c r="I552" s="260"/>
      <c r="J552" s="261"/>
      <c r="K552" s="260"/>
      <c r="L552" s="260"/>
      <c r="M552" s="260"/>
      <c r="N552" s="260"/>
      <c r="O552" s="260"/>
      <c r="P552" s="260"/>
      <c r="Q552" s="260"/>
      <c r="R552" s="260"/>
      <c r="S552" s="260"/>
      <c r="T552" s="279"/>
      <c r="U552" s="260"/>
      <c r="V552" s="260"/>
      <c r="W552" s="260"/>
      <c r="X552" s="260"/>
      <c r="Y552" s="260"/>
      <c r="Z552" s="260"/>
      <c r="AA552" s="264"/>
      <c r="AB552" s="260"/>
      <c r="AC552" s="260"/>
    </row>
    <row r="553">
      <c r="A553" s="259"/>
      <c r="B553" s="260"/>
      <c r="C553" s="260"/>
      <c r="D553" s="260"/>
      <c r="E553" s="260"/>
      <c r="F553" s="260"/>
      <c r="G553" s="260"/>
      <c r="H553" s="260"/>
      <c r="I553" s="260"/>
      <c r="J553" s="261"/>
      <c r="K553" s="260"/>
      <c r="L553" s="260"/>
      <c r="M553" s="260"/>
      <c r="N553" s="260"/>
      <c r="O553" s="260"/>
      <c r="P553" s="260"/>
      <c r="Q553" s="260"/>
      <c r="R553" s="260"/>
      <c r="S553" s="260"/>
      <c r="T553" s="279"/>
      <c r="U553" s="260"/>
      <c r="V553" s="260"/>
      <c r="W553" s="260"/>
      <c r="X553" s="260"/>
      <c r="Y553" s="260"/>
      <c r="Z553" s="260"/>
      <c r="AA553" s="264"/>
      <c r="AB553" s="260"/>
      <c r="AC553" s="260"/>
    </row>
    <row r="554">
      <c r="A554" s="259"/>
      <c r="B554" s="260"/>
      <c r="C554" s="260"/>
      <c r="D554" s="260"/>
      <c r="E554" s="260"/>
      <c r="F554" s="260"/>
      <c r="G554" s="260"/>
      <c r="H554" s="260"/>
      <c r="I554" s="260"/>
      <c r="J554" s="261"/>
      <c r="K554" s="260"/>
      <c r="L554" s="260"/>
      <c r="M554" s="260"/>
      <c r="N554" s="260"/>
      <c r="O554" s="260"/>
      <c r="P554" s="260"/>
      <c r="Q554" s="260"/>
      <c r="R554" s="260"/>
      <c r="S554" s="260"/>
      <c r="T554" s="279"/>
      <c r="U554" s="260"/>
      <c r="V554" s="260"/>
      <c r="W554" s="260"/>
      <c r="X554" s="260"/>
      <c r="Y554" s="260"/>
      <c r="Z554" s="260"/>
      <c r="AA554" s="264"/>
      <c r="AB554" s="260"/>
      <c r="AC554" s="260"/>
    </row>
    <row r="555">
      <c r="A555" s="259"/>
      <c r="B555" s="260"/>
      <c r="C555" s="260"/>
      <c r="D555" s="260"/>
      <c r="E555" s="260"/>
      <c r="F555" s="260"/>
      <c r="G555" s="260"/>
      <c r="H555" s="260"/>
      <c r="I555" s="260"/>
      <c r="J555" s="261"/>
      <c r="K555" s="260"/>
      <c r="L555" s="260"/>
      <c r="M555" s="260"/>
      <c r="N555" s="260"/>
      <c r="O555" s="260"/>
      <c r="P555" s="260"/>
      <c r="Q555" s="260"/>
      <c r="R555" s="260"/>
      <c r="S555" s="260"/>
      <c r="T555" s="279"/>
      <c r="U555" s="260"/>
      <c r="V555" s="260"/>
      <c r="W555" s="260"/>
      <c r="X555" s="260"/>
      <c r="Y555" s="260"/>
      <c r="Z555" s="260"/>
      <c r="AA555" s="264"/>
      <c r="AB555" s="260"/>
      <c r="AC555" s="260"/>
    </row>
    <row r="556">
      <c r="A556" s="259"/>
      <c r="B556" s="260"/>
      <c r="C556" s="260"/>
      <c r="D556" s="260"/>
      <c r="E556" s="260"/>
      <c r="F556" s="260"/>
      <c r="G556" s="260"/>
      <c r="H556" s="260"/>
      <c r="I556" s="260"/>
      <c r="J556" s="261"/>
      <c r="K556" s="260"/>
      <c r="L556" s="260"/>
      <c r="M556" s="260"/>
      <c r="N556" s="260"/>
      <c r="O556" s="260"/>
      <c r="P556" s="260"/>
      <c r="Q556" s="260"/>
      <c r="R556" s="260"/>
      <c r="S556" s="260"/>
      <c r="T556" s="279"/>
      <c r="U556" s="260"/>
      <c r="V556" s="260"/>
      <c r="W556" s="260"/>
      <c r="X556" s="260"/>
      <c r="Y556" s="260"/>
      <c r="Z556" s="260"/>
      <c r="AA556" s="264"/>
      <c r="AB556" s="260"/>
      <c r="AC556" s="260"/>
    </row>
    <row r="557">
      <c r="A557" s="259"/>
      <c r="B557" s="260"/>
      <c r="C557" s="260"/>
      <c r="D557" s="260"/>
      <c r="E557" s="260"/>
      <c r="F557" s="260"/>
      <c r="G557" s="260"/>
      <c r="H557" s="260"/>
      <c r="I557" s="260"/>
      <c r="J557" s="261"/>
      <c r="K557" s="260"/>
      <c r="L557" s="260"/>
      <c r="M557" s="260"/>
      <c r="N557" s="260"/>
      <c r="O557" s="260"/>
      <c r="P557" s="260"/>
      <c r="Q557" s="260"/>
      <c r="R557" s="260"/>
      <c r="S557" s="260"/>
      <c r="T557" s="279"/>
      <c r="U557" s="260"/>
      <c r="V557" s="260"/>
      <c r="W557" s="260"/>
      <c r="X557" s="260"/>
      <c r="Y557" s="260"/>
      <c r="Z557" s="260"/>
      <c r="AA557" s="264"/>
      <c r="AB557" s="260"/>
      <c r="AC557" s="260"/>
    </row>
    <row r="558">
      <c r="A558" s="259"/>
      <c r="B558" s="260"/>
      <c r="C558" s="260"/>
      <c r="D558" s="260"/>
      <c r="E558" s="260"/>
      <c r="F558" s="260"/>
      <c r="G558" s="260"/>
      <c r="H558" s="260"/>
      <c r="I558" s="260"/>
      <c r="J558" s="261"/>
      <c r="K558" s="260"/>
      <c r="L558" s="260"/>
      <c r="M558" s="260"/>
      <c r="N558" s="260"/>
      <c r="O558" s="260"/>
      <c r="P558" s="260"/>
      <c r="Q558" s="260"/>
      <c r="R558" s="260"/>
      <c r="S558" s="260"/>
      <c r="T558" s="279"/>
      <c r="U558" s="260"/>
      <c r="V558" s="260"/>
      <c r="W558" s="260"/>
      <c r="X558" s="260"/>
      <c r="Y558" s="260"/>
      <c r="Z558" s="260"/>
      <c r="AA558" s="264"/>
      <c r="AB558" s="260"/>
      <c r="AC558" s="260"/>
    </row>
    <row r="559">
      <c r="A559" s="259"/>
      <c r="B559" s="260"/>
      <c r="C559" s="260"/>
      <c r="D559" s="260"/>
      <c r="E559" s="260"/>
      <c r="F559" s="260"/>
      <c r="G559" s="260"/>
      <c r="H559" s="260"/>
      <c r="I559" s="260"/>
      <c r="J559" s="261"/>
      <c r="K559" s="260"/>
      <c r="L559" s="260"/>
      <c r="M559" s="260"/>
      <c r="N559" s="260"/>
      <c r="O559" s="260"/>
      <c r="P559" s="260"/>
      <c r="Q559" s="260"/>
      <c r="R559" s="260"/>
      <c r="S559" s="260"/>
      <c r="T559" s="279"/>
      <c r="U559" s="260"/>
      <c r="V559" s="260"/>
      <c r="W559" s="260"/>
      <c r="X559" s="260"/>
      <c r="Y559" s="260"/>
      <c r="Z559" s="260"/>
      <c r="AA559" s="264"/>
      <c r="AB559" s="260"/>
      <c r="AC559" s="260"/>
    </row>
    <row r="560">
      <c r="A560" s="259"/>
      <c r="B560" s="260"/>
      <c r="C560" s="260"/>
      <c r="D560" s="260"/>
      <c r="E560" s="260"/>
      <c r="F560" s="260"/>
      <c r="G560" s="260"/>
      <c r="H560" s="260"/>
      <c r="I560" s="260"/>
      <c r="J560" s="261"/>
      <c r="K560" s="260"/>
      <c r="L560" s="260"/>
      <c r="M560" s="260"/>
      <c r="N560" s="260"/>
      <c r="O560" s="260"/>
      <c r="P560" s="260"/>
      <c r="Q560" s="260"/>
      <c r="R560" s="260"/>
      <c r="S560" s="260"/>
      <c r="T560" s="279"/>
      <c r="U560" s="260"/>
      <c r="V560" s="260"/>
      <c r="W560" s="260"/>
      <c r="X560" s="260"/>
      <c r="Y560" s="260"/>
      <c r="Z560" s="260"/>
      <c r="AA560" s="264"/>
      <c r="AB560" s="260"/>
      <c r="AC560" s="260"/>
    </row>
    <row r="561">
      <c r="A561" s="259"/>
      <c r="B561" s="260"/>
      <c r="C561" s="260"/>
      <c r="D561" s="260"/>
      <c r="E561" s="260"/>
      <c r="F561" s="260"/>
      <c r="G561" s="260"/>
      <c r="H561" s="260"/>
      <c r="I561" s="260"/>
      <c r="J561" s="261"/>
      <c r="K561" s="260"/>
      <c r="L561" s="260"/>
      <c r="M561" s="260"/>
      <c r="N561" s="260"/>
      <c r="O561" s="260"/>
      <c r="P561" s="260"/>
      <c r="Q561" s="260"/>
      <c r="R561" s="260"/>
      <c r="S561" s="260"/>
      <c r="T561" s="279"/>
      <c r="U561" s="260"/>
      <c r="V561" s="260"/>
      <c r="W561" s="260"/>
      <c r="X561" s="260"/>
      <c r="Y561" s="260"/>
      <c r="Z561" s="260"/>
      <c r="AA561" s="264"/>
      <c r="AB561" s="260"/>
      <c r="AC561" s="260"/>
    </row>
    <row r="562">
      <c r="A562" s="259"/>
      <c r="B562" s="260"/>
      <c r="C562" s="260"/>
      <c r="D562" s="260"/>
      <c r="E562" s="260"/>
      <c r="F562" s="260"/>
      <c r="G562" s="260"/>
      <c r="H562" s="260"/>
      <c r="I562" s="260"/>
      <c r="J562" s="261"/>
      <c r="K562" s="260"/>
      <c r="L562" s="260"/>
      <c r="M562" s="260"/>
      <c r="N562" s="260"/>
      <c r="O562" s="260"/>
      <c r="P562" s="260"/>
      <c r="Q562" s="260"/>
      <c r="R562" s="260"/>
      <c r="S562" s="260"/>
      <c r="T562" s="279"/>
      <c r="U562" s="260"/>
      <c r="V562" s="260"/>
      <c r="W562" s="260"/>
      <c r="X562" s="260"/>
      <c r="Y562" s="260"/>
      <c r="Z562" s="260"/>
      <c r="AA562" s="264"/>
      <c r="AB562" s="260"/>
      <c r="AC562" s="260"/>
    </row>
    <row r="563">
      <c r="A563" s="259"/>
      <c r="B563" s="260"/>
      <c r="C563" s="260"/>
      <c r="D563" s="260"/>
      <c r="E563" s="260"/>
      <c r="F563" s="260"/>
      <c r="G563" s="260"/>
      <c r="H563" s="260"/>
      <c r="I563" s="260"/>
      <c r="J563" s="261"/>
      <c r="K563" s="260"/>
      <c r="L563" s="260"/>
      <c r="M563" s="260"/>
      <c r="N563" s="260"/>
      <c r="O563" s="260"/>
      <c r="P563" s="260"/>
      <c r="Q563" s="260"/>
      <c r="R563" s="260"/>
      <c r="S563" s="260"/>
      <c r="T563" s="279"/>
      <c r="U563" s="260"/>
      <c r="V563" s="260"/>
      <c r="W563" s="260"/>
      <c r="X563" s="260"/>
      <c r="Y563" s="260"/>
      <c r="Z563" s="260"/>
      <c r="AA563" s="264"/>
      <c r="AB563" s="260"/>
      <c r="AC563" s="260"/>
    </row>
    <row r="564">
      <c r="A564" s="259"/>
      <c r="B564" s="260"/>
      <c r="C564" s="260"/>
      <c r="D564" s="260"/>
      <c r="E564" s="260"/>
      <c r="F564" s="260"/>
      <c r="G564" s="260"/>
      <c r="H564" s="260"/>
      <c r="I564" s="260"/>
      <c r="J564" s="261"/>
      <c r="K564" s="260"/>
      <c r="L564" s="260"/>
      <c r="M564" s="260"/>
      <c r="N564" s="260"/>
      <c r="O564" s="260"/>
      <c r="P564" s="260"/>
      <c r="Q564" s="260"/>
      <c r="R564" s="260"/>
      <c r="S564" s="260"/>
      <c r="T564" s="279"/>
      <c r="U564" s="260"/>
      <c r="V564" s="260"/>
      <c r="W564" s="260"/>
      <c r="X564" s="260"/>
      <c r="Y564" s="260"/>
      <c r="Z564" s="260"/>
      <c r="AA564" s="264"/>
      <c r="AB564" s="260"/>
      <c r="AC564" s="260"/>
    </row>
    <row r="565">
      <c r="A565" s="259"/>
      <c r="B565" s="260"/>
      <c r="C565" s="260"/>
      <c r="D565" s="260"/>
      <c r="E565" s="260"/>
      <c r="F565" s="260"/>
      <c r="G565" s="260"/>
      <c r="H565" s="260"/>
      <c r="I565" s="260"/>
      <c r="J565" s="261"/>
      <c r="K565" s="260"/>
      <c r="L565" s="260"/>
      <c r="M565" s="260"/>
      <c r="N565" s="260"/>
      <c r="O565" s="260"/>
      <c r="P565" s="260"/>
      <c r="Q565" s="260"/>
      <c r="R565" s="260"/>
      <c r="S565" s="260"/>
      <c r="T565" s="279"/>
      <c r="U565" s="260"/>
      <c r="V565" s="260"/>
      <c r="W565" s="260"/>
      <c r="X565" s="260"/>
      <c r="Y565" s="260"/>
      <c r="Z565" s="260"/>
      <c r="AA565" s="264"/>
      <c r="AB565" s="260"/>
      <c r="AC565" s="260"/>
    </row>
    <row r="566">
      <c r="A566" s="259"/>
      <c r="B566" s="260"/>
      <c r="C566" s="260"/>
      <c r="D566" s="260"/>
      <c r="E566" s="260"/>
      <c r="F566" s="260"/>
      <c r="G566" s="260"/>
      <c r="H566" s="260"/>
      <c r="I566" s="260"/>
      <c r="J566" s="261"/>
      <c r="K566" s="260"/>
      <c r="L566" s="260"/>
      <c r="M566" s="260"/>
      <c r="N566" s="260"/>
      <c r="O566" s="260"/>
      <c r="P566" s="260"/>
      <c r="Q566" s="260"/>
      <c r="R566" s="260"/>
      <c r="S566" s="260"/>
      <c r="T566" s="279"/>
      <c r="U566" s="260"/>
      <c r="V566" s="260"/>
      <c r="W566" s="260"/>
      <c r="X566" s="260"/>
      <c r="Y566" s="260"/>
      <c r="Z566" s="260"/>
      <c r="AA566" s="264"/>
      <c r="AB566" s="260"/>
      <c r="AC566" s="260"/>
    </row>
    <row r="567">
      <c r="A567" s="259"/>
      <c r="B567" s="260"/>
      <c r="C567" s="260"/>
      <c r="D567" s="260"/>
      <c r="E567" s="260"/>
      <c r="F567" s="260"/>
      <c r="G567" s="260"/>
      <c r="H567" s="260"/>
      <c r="I567" s="260"/>
      <c r="J567" s="261"/>
      <c r="K567" s="260"/>
      <c r="L567" s="260"/>
      <c r="M567" s="260"/>
      <c r="N567" s="260"/>
      <c r="O567" s="260"/>
      <c r="P567" s="260"/>
      <c r="Q567" s="260"/>
      <c r="R567" s="260"/>
      <c r="S567" s="260"/>
      <c r="T567" s="279"/>
      <c r="U567" s="260"/>
      <c r="V567" s="260"/>
      <c r="W567" s="260"/>
      <c r="X567" s="260"/>
      <c r="Y567" s="260"/>
      <c r="Z567" s="260"/>
      <c r="AA567" s="264"/>
      <c r="AB567" s="260"/>
      <c r="AC567" s="260"/>
    </row>
    <row r="568">
      <c r="A568" s="259"/>
      <c r="B568" s="260"/>
      <c r="C568" s="260"/>
      <c r="D568" s="260"/>
      <c r="E568" s="260"/>
      <c r="F568" s="260"/>
      <c r="G568" s="260"/>
      <c r="H568" s="260"/>
      <c r="I568" s="260"/>
      <c r="J568" s="261"/>
      <c r="K568" s="260"/>
      <c r="L568" s="260"/>
      <c r="M568" s="260"/>
      <c r="N568" s="260"/>
      <c r="O568" s="260"/>
      <c r="P568" s="260"/>
      <c r="Q568" s="260"/>
      <c r="R568" s="260"/>
      <c r="S568" s="260"/>
      <c r="T568" s="279"/>
      <c r="U568" s="260"/>
      <c r="V568" s="260"/>
      <c r="W568" s="260"/>
      <c r="X568" s="260"/>
      <c r="Y568" s="260"/>
      <c r="Z568" s="260"/>
      <c r="AA568" s="264"/>
      <c r="AB568" s="260"/>
      <c r="AC568" s="260"/>
    </row>
    <row r="569">
      <c r="A569" s="259"/>
      <c r="B569" s="260"/>
      <c r="C569" s="260"/>
      <c r="D569" s="260"/>
      <c r="E569" s="260"/>
      <c r="F569" s="260"/>
      <c r="G569" s="260"/>
      <c r="H569" s="260"/>
      <c r="I569" s="260"/>
      <c r="J569" s="261"/>
      <c r="K569" s="260"/>
      <c r="L569" s="260"/>
      <c r="M569" s="260"/>
      <c r="N569" s="260"/>
      <c r="O569" s="260"/>
      <c r="P569" s="260"/>
      <c r="Q569" s="260"/>
      <c r="R569" s="260"/>
      <c r="S569" s="260"/>
      <c r="T569" s="279"/>
      <c r="U569" s="260"/>
      <c r="V569" s="260"/>
      <c r="W569" s="260"/>
      <c r="X569" s="260"/>
      <c r="Y569" s="260"/>
      <c r="Z569" s="260"/>
      <c r="AA569" s="264"/>
      <c r="AB569" s="260"/>
      <c r="AC569" s="260"/>
    </row>
    <row r="570">
      <c r="A570" s="259"/>
      <c r="B570" s="260"/>
      <c r="C570" s="260"/>
      <c r="D570" s="260"/>
      <c r="E570" s="260"/>
      <c r="F570" s="260"/>
      <c r="G570" s="260"/>
      <c r="H570" s="260"/>
      <c r="I570" s="260"/>
      <c r="J570" s="261"/>
      <c r="K570" s="260"/>
      <c r="L570" s="260"/>
      <c r="M570" s="260"/>
      <c r="N570" s="260"/>
      <c r="O570" s="260"/>
      <c r="P570" s="260"/>
      <c r="Q570" s="260"/>
      <c r="R570" s="260"/>
      <c r="S570" s="260"/>
      <c r="T570" s="279"/>
      <c r="U570" s="260"/>
      <c r="V570" s="260"/>
      <c r="W570" s="260"/>
      <c r="X570" s="260"/>
      <c r="Y570" s="260"/>
      <c r="Z570" s="260"/>
      <c r="AA570" s="264"/>
      <c r="AB570" s="260"/>
      <c r="AC570" s="260"/>
    </row>
    <row r="571">
      <c r="A571" s="259"/>
      <c r="B571" s="260"/>
      <c r="C571" s="260"/>
      <c r="D571" s="260"/>
      <c r="E571" s="260"/>
      <c r="F571" s="260"/>
      <c r="G571" s="260"/>
      <c r="H571" s="260"/>
      <c r="I571" s="260"/>
      <c r="J571" s="261"/>
      <c r="K571" s="260"/>
      <c r="L571" s="260"/>
      <c r="M571" s="260"/>
      <c r="N571" s="260"/>
      <c r="O571" s="260"/>
      <c r="P571" s="260"/>
      <c r="Q571" s="260"/>
      <c r="R571" s="260"/>
      <c r="S571" s="260"/>
      <c r="T571" s="279"/>
      <c r="U571" s="260"/>
      <c r="V571" s="260"/>
      <c r="W571" s="260"/>
      <c r="X571" s="260"/>
      <c r="Y571" s="260"/>
      <c r="Z571" s="260"/>
      <c r="AA571" s="264"/>
      <c r="AB571" s="260"/>
      <c r="AC571" s="260"/>
    </row>
    <row r="572">
      <c r="A572" s="259"/>
      <c r="B572" s="260"/>
      <c r="C572" s="260"/>
      <c r="D572" s="260"/>
      <c r="E572" s="260"/>
      <c r="F572" s="260"/>
      <c r="G572" s="260"/>
      <c r="H572" s="260"/>
      <c r="I572" s="260"/>
      <c r="J572" s="261"/>
      <c r="K572" s="260"/>
      <c r="L572" s="260"/>
      <c r="M572" s="260"/>
      <c r="N572" s="260"/>
      <c r="O572" s="260"/>
      <c r="P572" s="260"/>
      <c r="Q572" s="260"/>
      <c r="R572" s="260"/>
      <c r="S572" s="260"/>
      <c r="T572" s="279"/>
      <c r="U572" s="260"/>
      <c r="V572" s="260"/>
      <c r="W572" s="260"/>
      <c r="X572" s="260"/>
      <c r="Y572" s="260"/>
      <c r="Z572" s="260"/>
      <c r="AA572" s="264"/>
      <c r="AB572" s="260"/>
      <c r="AC572" s="260"/>
    </row>
    <row r="573">
      <c r="A573" s="259"/>
      <c r="B573" s="260"/>
      <c r="C573" s="260"/>
      <c r="D573" s="260"/>
      <c r="E573" s="260"/>
      <c r="F573" s="260"/>
      <c r="G573" s="260"/>
      <c r="H573" s="260"/>
      <c r="I573" s="260"/>
      <c r="J573" s="261"/>
      <c r="K573" s="260"/>
      <c r="L573" s="260"/>
      <c r="M573" s="260"/>
      <c r="N573" s="260"/>
      <c r="O573" s="260"/>
      <c r="P573" s="260"/>
      <c r="Q573" s="260"/>
      <c r="R573" s="260"/>
      <c r="S573" s="260"/>
      <c r="T573" s="279"/>
      <c r="U573" s="260"/>
      <c r="V573" s="260"/>
      <c r="W573" s="260"/>
      <c r="X573" s="260"/>
      <c r="Y573" s="260"/>
      <c r="Z573" s="260"/>
      <c r="AA573" s="264"/>
      <c r="AB573" s="260"/>
      <c r="AC573" s="260"/>
    </row>
    <row r="574">
      <c r="A574" s="259"/>
      <c r="B574" s="260"/>
      <c r="C574" s="260"/>
      <c r="D574" s="260"/>
      <c r="E574" s="260"/>
      <c r="F574" s="260"/>
      <c r="G574" s="260"/>
      <c r="H574" s="260"/>
      <c r="I574" s="260"/>
      <c r="J574" s="261"/>
      <c r="K574" s="260"/>
      <c r="L574" s="260"/>
      <c r="M574" s="260"/>
      <c r="N574" s="260"/>
      <c r="O574" s="260"/>
      <c r="P574" s="260"/>
      <c r="Q574" s="260"/>
      <c r="R574" s="260"/>
      <c r="S574" s="260"/>
      <c r="T574" s="279"/>
      <c r="U574" s="260"/>
      <c r="V574" s="260"/>
      <c r="W574" s="260"/>
      <c r="X574" s="260"/>
      <c r="Y574" s="260"/>
      <c r="Z574" s="260"/>
      <c r="AA574" s="264"/>
      <c r="AB574" s="260"/>
      <c r="AC574" s="260"/>
    </row>
    <row r="575">
      <c r="A575" s="259"/>
      <c r="B575" s="260"/>
      <c r="C575" s="260"/>
      <c r="D575" s="260"/>
      <c r="E575" s="260"/>
      <c r="F575" s="260"/>
      <c r="G575" s="260"/>
      <c r="H575" s="260"/>
      <c r="I575" s="260"/>
      <c r="J575" s="261"/>
      <c r="K575" s="260"/>
      <c r="L575" s="260"/>
      <c r="M575" s="260"/>
      <c r="N575" s="260"/>
      <c r="O575" s="260"/>
      <c r="P575" s="260"/>
      <c r="Q575" s="260"/>
      <c r="R575" s="260"/>
      <c r="S575" s="260"/>
      <c r="T575" s="279"/>
      <c r="U575" s="260"/>
      <c r="V575" s="260"/>
      <c r="W575" s="260"/>
      <c r="X575" s="260"/>
      <c r="Y575" s="260"/>
      <c r="Z575" s="260"/>
      <c r="AA575" s="264"/>
      <c r="AB575" s="260"/>
      <c r="AC575" s="260"/>
    </row>
    <row r="576">
      <c r="A576" s="259"/>
      <c r="B576" s="260"/>
      <c r="C576" s="260"/>
      <c r="D576" s="260"/>
      <c r="E576" s="260"/>
      <c r="F576" s="260"/>
      <c r="G576" s="260"/>
      <c r="H576" s="260"/>
      <c r="I576" s="260"/>
      <c r="J576" s="261"/>
      <c r="K576" s="260"/>
      <c r="L576" s="260"/>
      <c r="M576" s="260"/>
      <c r="N576" s="260"/>
      <c r="O576" s="260"/>
      <c r="P576" s="260"/>
      <c r="Q576" s="260"/>
      <c r="R576" s="260"/>
      <c r="S576" s="260"/>
      <c r="T576" s="279"/>
      <c r="U576" s="260"/>
      <c r="V576" s="260"/>
      <c r="W576" s="260"/>
      <c r="X576" s="260"/>
      <c r="Y576" s="260"/>
      <c r="Z576" s="260"/>
      <c r="AA576" s="264"/>
      <c r="AB576" s="260"/>
      <c r="AC576" s="260"/>
    </row>
    <row r="577">
      <c r="A577" s="259"/>
      <c r="B577" s="260"/>
      <c r="C577" s="260"/>
      <c r="D577" s="260"/>
      <c r="E577" s="260"/>
      <c r="F577" s="260"/>
      <c r="G577" s="260"/>
      <c r="H577" s="260"/>
      <c r="I577" s="260"/>
      <c r="J577" s="261"/>
      <c r="K577" s="260"/>
      <c r="L577" s="260"/>
      <c r="M577" s="260"/>
      <c r="N577" s="260"/>
      <c r="O577" s="260"/>
      <c r="P577" s="260"/>
      <c r="Q577" s="260"/>
      <c r="R577" s="260"/>
      <c r="S577" s="260"/>
      <c r="T577" s="279"/>
      <c r="U577" s="260"/>
      <c r="V577" s="260"/>
      <c r="W577" s="260"/>
      <c r="X577" s="260"/>
      <c r="Y577" s="260"/>
      <c r="Z577" s="260"/>
      <c r="AA577" s="264"/>
      <c r="AB577" s="260"/>
      <c r="AC577" s="260"/>
    </row>
    <row r="578">
      <c r="A578" s="259"/>
      <c r="B578" s="260"/>
      <c r="C578" s="260"/>
      <c r="D578" s="260"/>
      <c r="E578" s="260"/>
      <c r="F578" s="260"/>
      <c r="G578" s="260"/>
      <c r="H578" s="260"/>
      <c r="I578" s="260"/>
      <c r="J578" s="261"/>
      <c r="K578" s="260"/>
      <c r="L578" s="260"/>
      <c r="M578" s="260"/>
      <c r="N578" s="260"/>
      <c r="O578" s="260"/>
      <c r="P578" s="260"/>
      <c r="Q578" s="260"/>
      <c r="R578" s="260"/>
      <c r="S578" s="260"/>
      <c r="T578" s="279"/>
      <c r="U578" s="260"/>
      <c r="V578" s="260"/>
      <c r="W578" s="260"/>
      <c r="X578" s="260"/>
      <c r="Y578" s="260"/>
      <c r="Z578" s="260"/>
      <c r="AA578" s="264"/>
      <c r="AB578" s="260"/>
      <c r="AC578" s="260"/>
    </row>
    <row r="579">
      <c r="A579" s="259"/>
      <c r="B579" s="260"/>
      <c r="C579" s="260"/>
      <c r="D579" s="260"/>
      <c r="E579" s="260"/>
      <c r="F579" s="260"/>
      <c r="G579" s="260"/>
      <c r="H579" s="260"/>
      <c r="I579" s="260"/>
      <c r="J579" s="261"/>
      <c r="K579" s="260"/>
      <c r="L579" s="260"/>
      <c r="M579" s="260"/>
      <c r="N579" s="260"/>
      <c r="O579" s="260"/>
      <c r="P579" s="260"/>
      <c r="Q579" s="260"/>
      <c r="R579" s="260"/>
      <c r="S579" s="260"/>
      <c r="T579" s="279"/>
      <c r="U579" s="260"/>
      <c r="V579" s="260"/>
      <c r="W579" s="260"/>
      <c r="X579" s="260"/>
      <c r="Y579" s="260"/>
      <c r="Z579" s="260"/>
      <c r="AA579" s="264"/>
      <c r="AB579" s="260"/>
      <c r="AC579" s="260"/>
    </row>
    <row r="580">
      <c r="A580" s="259"/>
      <c r="B580" s="260"/>
      <c r="C580" s="260"/>
      <c r="D580" s="260"/>
      <c r="E580" s="260"/>
      <c r="F580" s="260"/>
      <c r="G580" s="260"/>
      <c r="H580" s="260"/>
      <c r="I580" s="260"/>
      <c r="J580" s="261"/>
      <c r="K580" s="260"/>
      <c r="L580" s="260"/>
      <c r="M580" s="260"/>
      <c r="N580" s="260"/>
      <c r="O580" s="260"/>
      <c r="P580" s="260"/>
      <c r="Q580" s="260"/>
      <c r="R580" s="260"/>
      <c r="S580" s="260"/>
      <c r="T580" s="279"/>
      <c r="U580" s="260"/>
      <c r="V580" s="260"/>
      <c r="W580" s="260"/>
      <c r="X580" s="260"/>
      <c r="Y580" s="260"/>
      <c r="Z580" s="260"/>
      <c r="AA580" s="264"/>
      <c r="AB580" s="260"/>
      <c r="AC580" s="260"/>
    </row>
    <row r="581">
      <c r="A581" s="259"/>
      <c r="B581" s="260"/>
      <c r="C581" s="260"/>
      <c r="D581" s="260"/>
      <c r="E581" s="260"/>
      <c r="F581" s="260"/>
      <c r="G581" s="260"/>
      <c r="H581" s="260"/>
      <c r="I581" s="260"/>
      <c r="J581" s="261"/>
      <c r="K581" s="260"/>
      <c r="L581" s="260"/>
      <c r="M581" s="260"/>
      <c r="N581" s="260"/>
      <c r="O581" s="260"/>
      <c r="P581" s="260"/>
      <c r="Q581" s="260"/>
      <c r="R581" s="260"/>
      <c r="S581" s="260"/>
      <c r="T581" s="279"/>
      <c r="U581" s="260"/>
      <c r="V581" s="260"/>
      <c r="W581" s="260"/>
      <c r="X581" s="260"/>
      <c r="Y581" s="260"/>
      <c r="Z581" s="260"/>
      <c r="AA581" s="264"/>
      <c r="AB581" s="260"/>
      <c r="AC581" s="260"/>
    </row>
    <row r="582">
      <c r="A582" s="259"/>
      <c r="B582" s="260"/>
      <c r="C582" s="260"/>
      <c r="D582" s="260"/>
      <c r="E582" s="260"/>
      <c r="F582" s="260"/>
      <c r="G582" s="260"/>
      <c r="H582" s="260"/>
      <c r="I582" s="260"/>
      <c r="J582" s="261"/>
      <c r="K582" s="260"/>
      <c r="L582" s="260"/>
      <c r="M582" s="260"/>
      <c r="N582" s="260"/>
      <c r="O582" s="260"/>
      <c r="P582" s="260"/>
      <c r="Q582" s="260"/>
      <c r="R582" s="260"/>
      <c r="S582" s="260"/>
      <c r="T582" s="279"/>
      <c r="U582" s="260"/>
      <c r="V582" s="260"/>
      <c r="W582" s="260"/>
      <c r="X582" s="260"/>
      <c r="Y582" s="260"/>
      <c r="Z582" s="260"/>
      <c r="AA582" s="264"/>
      <c r="AB582" s="260"/>
      <c r="AC582" s="260"/>
    </row>
    <row r="583">
      <c r="A583" s="259"/>
      <c r="B583" s="260"/>
      <c r="C583" s="260"/>
      <c r="D583" s="260"/>
      <c r="E583" s="260"/>
      <c r="F583" s="260"/>
      <c r="G583" s="260"/>
      <c r="H583" s="260"/>
      <c r="I583" s="260"/>
      <c r="J583" s="261"/>
      <c r="K583" s="260"/>
      <c r="L583" s="260"/>
      <c r="M583" s="260"/>
      <c r="N583" s="260"/>
      <c r="O583" s="260"/>
      <c r="P583" s="260"/>
      <c r="Q583" s="260"/>
      <c r="R583" s="260"/>
      <c r="S583" s="260"/>
      <c r="T583" s="279"/>
      <c r="U583" s="260"/>
      <c r="V583" s="260"/>
      <c r="W583" s="260"/>
      <c r="X583" s="260"/>
      <c r="Y583" s="260"/>
      <c r="Z583" s="260"/>
      <c r="AA583" s="264"/>
      <c r="AB583" s="260"/>
      <c r="AC583" s="260"/>
    </row>
    <row r="584">
      <c r="A584" s="259"/>
      <c r="B584" s="260"/>
      <c r="C584" s="260"/>
      <c r="D584" s="260"/>
      <c r="E584" s="260"/>
      <c r="F584" s="260"/>
      <c r="G584" s="260"/>
      <c r="H584" s="260"/>
      <c r="I584" s="260"/>
      <c r="J584" s="261"/>
      <c r="K584" s="260"/>
      <c r="L584" s="260"/>
      <c r="M584" s="260"/>
      <c r="N584" s="260"/>
      <c r="O584" s="260"/>
      <c r="P584" s="260"/>
      <c r="Q584" s="260"/>
      <c r="R584" s="260"/>
      <c r="S584" s="260"/>
      <c r="T584" s="279"/>
      <c r="U584" s="260"/>
      <c r="V584" s="260"/>
      <c r="W584" s="260"/>
      <c r="X584" s="260"/>
      <c r="Y584" s="260"/>
      <c r="Z584" s="260"/>
      <c r="AA584" s="264"/>
      <c r="AB584" s="260"/>
      <c r="AC584" s="260"/>
    </row>
    <row r="585">
      <c r="A585" s="259"/>
      <c r="B585" s="260"/>
      <c r="C585" s="260"/>
      <c r="D585" s="260"/>
      <c r="E585" s="260"/>
      <c r="F585" s="260"/>
      <c r="G585" s="260"/>
      <c r="H585" s="260"/>
      <c r="I585" s="260"/>
      <c r="J585" s="261"/>
      <c r="K585" s="260"/>
      <c r="L585" s="260"/>
      <c r="M585" s="260"/>
      <c r="N585" s="260"/>
      <c r="O585" s="260"/>
      <c r="P585" s="260"/>
      <c r="Q585" s="260"/>
      <c r="R585" s="260"/>
      <c r="S585" s="260"/>
      <c r="T585" s="279"/>
      <c r="U585" s="260"/>
      <c r="V585" s="260"/>
      <c r="W585" s="260"/>
      <c r="X585" s="260"/>
      <c r="Y585" s="260"/>
      <c r="Z585" s="260"/>
      <c r="AA585" s="264"/>
      <c r="AB585" s="260"/>
      <c r="AC585" s="260"/>
    </row>
    <row r="586">
      <c r="A586" s="259"/>
      <c r="B586" s="260"/>
      <c r="C586" s="260"/>
      <c r="D586" s="260"/>
      <c r="E586" s="260"/>
      <c r="F586" s="260"/>
      <c r="G586" s="260"/>
      <c r="H586" s="260"/>
      <c r="I586" s="260"/>
      <c r="J586" s="261"/>
      <c r="K586" s="260"/>
      <c r="L586" s="260"/>
      <c r="M586" s="260"/>
      <c r="N586" s="260"/>
      <c r="O586" s="260"/>
      <c r="P586" s="260"/>
      <c r="Q586" s="260"/>
      <c r="R586" s="260"/>
      <c r="S586" s="260"/>
      <c r="T586" s="279"/>
      <c r="U586" s="260"/>
      <c r="V586" s="260"/>
      <c r="W586" s="260"/>
      <c r="X586" s="260"/>
      <c r="Y586" s="260"/>
      <c r="Z586" s="260"/>
      <c r="AA586" s="264"/>
      <c r="AB586" s="260"/>
      <c r="AC586" s="260"/>
    </row>
    <row r="587">
      <c r="A587" s="259"/>
      <c r="B587" s="260"/>
      <c r="C587" s="260"/>
      <c r="D587" s="260"/>
      <c r="E587" s="260"/>
      <c r="F587" s="260"/>
      <c r="G587" s="260"/>
      <c r="H587" s="260"/>
      <c r="I587" s="260"/>
      <c r="J587" s="261"/>
      <c r="K587" s="260"/>
      <c r="L587" s="260"/>
      <c r="M587" s="260"/>
      <c r="N587" s="260"/>
      <c r="O587" s="260"/>
      <c r="P587" s="260"/>
      <c r="Q587" s="260"/>
      <c r="R587" s="260"/>
      <c r="S587" s="260"/>
      <c r="T587" s="279"/>
      <c r="U587" s="260"/>
      <c r="V587" s="260"/>
      <c r="W587" s="260"/>
      <c r="X587" s="260"/>
      <c r="Y587" s="260"/>
      <c r="Z587" s="260"/>
      <c r="AA587" s="264"/>
      <c r="AB587" s="260"/>
      <c r="AC587" s="260"/>
    </row>
    <row r="588">
      <c r="A588" s="259"/>
      <c r="B588" s="260"/>
      <c r="C588" s="260"/>
      <c r="D588" s="260"/>
      <c r="E588" s="260"/>
      <c r="F588" s="260"/>
      <c r="G588" s="260"/>
      <c r="H588" s="260"/>
      <c r="I588" s="260"/>
      <c r="J588" s="261"/>
      <c r="K588" s="260"/>
      <c r="L588" s="260"/>
      <c r="M588" s="260"/>
      <c r="N588" s="260"/>
      <c r="O588" s="260"/>
      <c r="P588" s="260"/>
      <c r="Q588" s="260"/>
      <c r="R588" s="260"/>
      <c r="S588" s="260"/>
      <c r="T588" s="279"/>
      <c r="U588" s="260"/>
      <c r="V588" s="260"/>
      <c r="W588" s="260"/>
      <c r="X588" s="260"/>
      <c r="Y588" s="260"/>
      <c r="Z588" s="260"/>
      <c r="AA588" s="264"/>
      <c r="AB588" s="260"/>
      <c r="AC588" s="260"/>
    </row>
    <row r="589">
      <c r="A589" s="259"/>
      <c r="B589" s="260"/>
      <c r="C589" s="260"/>
      <c r="D589" s="260"/>
      <c r="E589" s="260"/>
      <c r="F589" s="260"/>
      <c r="G589" s="260"/>
      <c r="H589" s="260"/>
      <c r="I589" s="260"/>
      <c r="J589" s="261"/>
      <c r="K589" s="260"/>
      <c r="L589" s="260"/>
      <c r="M589" s="260"/>
      <c r="N589" s="260"/>
      <c r="O589" s="260"/>
      <c r="P589" s="260"/>
      <c r="Q589" s="260"/>
      <c r="R589" s="260"/>
      <c r="S589" s="260"/>
      <c r="T589" s="279"/>
      <c r="U589" s="260"/>
      <c r="V589" s="260"/>
      <c r="W589" s="260"/>
      <c r="X589" s="260"/>
      <c r="Y589" s="260"/>
      <c r="Z589" s="260"/>
      <c r="AA589" s="264"/>
      <c r="AB589" s="260"/>
      <c r="AC589" s="260"/>
    </row>
    <row r="590">
      <c r="A590" s="259"/>
      <c r="B590" s="260"/>
      <c r="C590" s="260"/>
      <c r="D590" s="260"/>
      <c r="E590" s="260"/>
      <c r="F590" s="260"/>
      <c r="G590" s="260"/>
      <c r="H590" s="260"/>
      <c r="I590" s="260"/>
      <c r="J590" s="261"/>
      <c r="K590" s="260"/>
      <c r="L590" s="260"/>
      <c r="M590" s="260"/>
      <c r="N590" s="260"/>
      <c r="O590" s="260"/>
      <c r="P590" s="260"/>
      <c r="Q590" s="260"/>
      <c r="R590" s="260"/>
      <c r="S590" s="260"/>
      <c r="T590" s="279"/>
      <c r="U590" s="260"/>
      <c r="V590" s="260"/>
      <c r="W590" s="260"/>
      <c r="X590" s="260"/>
      <c r="Y590" s="260"/>
      <c r="Z590" s="260"/>
      <c r="AA590" s="264"/>
      <c r="AB590" s="260"/>
      <c r="AC590" s="260"/>
    </row>
    <row r="591">
      <c r="A591" s="259"/>
      <c r="B591" s="260"/>
      <c r="C591" s="260"/>
      <c r="D591" s="260"/>
      <c r="E591" s="260"/>
      <c r="F591" s="260"/>
      <c r="G591" s="260"/>
      <c r="H591" s="260"/>
      <c r="I591" s="260"/>
      <c r="J591" s="261"/>
      <c r="K591" s="260"/>
      <c r="L591" s="260"/>
      <c r="M591" s="260"/>
      <c r="N591" s="260"/>
      <c r="O591" s="260"/>
      <c r="P591" s="260"/>
      <c r="Q591" s="260"/>
      <c r="R591" s="260"/>
      <c r="S591" s="260"/>
      <c r="T591" s="279"/>
      <c r="U591" s="260"/>
      <c r="V591" s="260"/>
      <c r="W591" s="260"/>
      <c r="X591" s="260"/>
      <c r="Y591" s="260"/>
      <c r="Z591" s="260"/>
      <c r="AA591" s="264"/>
      <c r="AB591" s="260"/>
      <c r="AC591" s="260"/>
    </row>
    <row r="592">
      <c r="A592" s="259"/>
      <c r="B592" s="260"/>
      <c r="C592" s="260"/>
      <c r="D592" s="260"/>
      <c r="E592" s="260"/>
      <c r="F592" s="260"/>
      <c r="G592" s="260"/>
      <c r="H592" s="260"/>
      <c r="I592" s="260"/>
      <c r="J592" s="261"/>
      <c r="K592" s="260"/>
      <c r="L592" s="260"/>
      <c r="M592" s="260"/>
      <c r="N592" s="260"/>
      <c r="O592" s="260"/>
      <c r="P592" s="260"/>
      <c r="Q592" s="260"/>
      <c r="R592" s="260"/>
      <c r="S592" s="260"/>
      <c r="T592" s="279"/>
      <c r="U592" s="260"/>
      <c r="V592" s="260"/>
      <c r="W592" s="260"/>
      <c r="X592" s="260"/>
      <c r="Y592" s="260"/>
      <c r="Z592" s="260"/>
      <c r="AA592" s="264"/>
      <c r="AB592" s="260"/>
      <c r="AC592" s="260"/>
    </row>
    <row r="593">
      <c r="A593" s="259"/>
      <c r="B593" s="260"/>
      <c r="C593" s="260"/>
      <c r="D593" s="260"/>
      <c r="E593" s="260"/>
      <c r="F593" s="260"/>
      <c r="G593" s="260"/>
      <c r="H593" s="260"/>
      <c r="I593" s="260"/>
      <c r="J593" s="261"/>
      <c r="K593" s="260"/>
      <c r="L593" s="260"/>
      <c r="M593" s="260"/>
      <c r="N593" s="260"/>
      <c r="O593" s="260"/>
      <c r="P593" s="260"/>
      <c r="Q593" s="260"/>
      <c r="R593" s="260"/>
      <c r="S593" s="260"/>
      <c r="T593" s="279"/>
      <c r="U593" s="260"/>
      <c r="V593" s="260"/>
      <c r="W593" s="260"/>
      <c r="X593" s="260"/>
      <c r="Y593" s="260"/>
      <c r="Z593" s="260"/>
      <c r="AA593" s="264"/>
      <c r="AB593" s="260"/>
      <c r="AC593" s="260"/>
    </row>
    <row r="594">
      <c r="A594" s="259"/>
      <c r="B594" s="260"/>
      <c r="C594" s="260"/>
      <c r="D594" s="260"/>
      <c r="E594" s="260"/>
      <c r="F594" s="260"/>
      <c r="G594" s="260"/>
      <c r="H594" s="260"/>
      <c r="I594" s="260"/>
      <c r="J594" s="261"/>
      <c r="K594" s="260"/>
      <c r="L594" s="260"/>
      <c r="M594" s="260"/>
      <c r="N594" s="260"/>
      <c r="O594" s="260"/>
      <c r="P594" s="260"/>
      <c r="Q594" s="260"/>
      <c r="R594" s="260"/>
      <c r="S594" s="260"/>
      <c r="T594" s="279"/>
      <c r="U594" s="260"/>
      <c r="V594" s="260"/>
      <c r="W594" s="260"/>
      <c r="X594" s="260"/>
      <c r="Y594" s="260"/>
      <c r="Z594" s="260"/>
      <c r="AA594" s="264"/>
      <c r="AB594" s="260"/>
      <c r="AC594" s="260"/>
    </row>
    <row r="595">
      <c r="A595" s="259"/>
      <c r="B595" s="260"/>
      <c r="C595" s="260"/>
      <c r="D595" s="260"/>
      <c r="E595" s="260"/>
      <c r="F595" s="260"/>
      <c r="G595" s="260"/>
      <c r="H595" s="260"/>
      <c r="I595" s="260"/>
      <c r="J595" s="261"/>
      <c r="K595" s="260"/>
      <c r="L595" s="260"/>
      <c r="M595" s="260"/>
      <c r="N595" s="260"/>
      <c r="O595" s="260"/>
      <c r="P595" s="260"/>
      <c r="Q595" s="260"/>
      <c r="R595" s="260"/>
      <c r="S595" s="260"/>
      <c r="T595" s="279"/>
      <c r="U595" s="260"/>
      <c r="V595" s="260"/>
      <c r="W595" s="260"/>
      <c r="X595" s="260"/>
      <c r="Y595" s="260"/>
      <c r="Z595" s="260"/>
      <c r="AA595" s="264"/>
      <c r="AB595" s="260"/>
      <c r="AC595" s="260"/>
    </row>
    <row r="596">
      <c r="A596" s="259"/>
      <c r="B596" s="260"/>
      <c r="C596" s="260"/>
      <c r="D596" s="260"/>
      <c r="E596" s="260"/>
      <c r="F596" s="260"/>
      <c r="G596" s="260"/>
      <c r="H596" s="260"/>
      <c r="I596" s="260"/>
      <c r="J596" s="261"/>
      <c r="K596" s="260"/>
      <c r="L596" s="260"/>
      <c r="M596" s="260"/>
      <c r="N596" s="260"/>
      <c r="O596" s="260"/>
      <c r="P596" s="260"/>
      <c r="Q596" s="260"/>
      <c r="R596" s="260"/>
      <c r="S596" s="260"/>
      <c r="T596" s="279"/>
      <c r="U596" s="260"/>
      <c r="V596" s="260"/>
      <c r="W596" s="260"/>
      <c r="X596" s="260"/>
      <c r="Y596" s="260"/>
      <c r="Z596" s="260"/>
      <c r="AA596" s="264"/>
      <c r="AB596" s="260"/>
      <c r="AC596" s="260"/>
    </row>
    <row r="597">
      <c r="A597" s="259"/>
      <c r="B597" s="260"/>
      <c r="C597" s="260"/>
      <c r="D597" s="260"/>
      <c r="E597" s="260"/>
      <c r="F597" s="260"/>
      <c r="G597" s="260"/>
      <c r="H597" s="260"/>
      <c r="I597" s="260"/>
      <c r="J597" s="261"/>
      <c r="K597" s="260"/>
      <c r="L597" s="260"/>
      <c r="M597" s="260"/>
      <c r="N597" s="260"/>
      <c r="O597" s="260"/>
      <c r="P597" s="260"/>
      <c r="Q597" s="260"/>
      <c r="R597" s="260"/>
      <c r="S597" s="260"/>
      <c r="T597" s="279"/>
      <c r="U597" s="260"/>
      <c r="V597" s="260"/>
      <c r="W597" s="260"/>
      <c r="X597" s="260"/>
      <c r="Y597" s="260"/>
      <c r="Z597" s="260"/>
      <c r="AA597" s="264"/>
      <c r="AB597" s="260"/>
      <c r="AC597" s="260"/>
    </row>
    <row r="598">
      <c r="A598" s="259"/>
      <c r="B598" s="260"/>
      <c r="C598" s="260"/>
      <c r="D598" s="260"/>
      <c r="E598" s="260"/>
      <c r="F598" s="260"/>
      <c r="G598" s="260"/>
      <c r="H598" s="260"/>
      <c r="I598" s="260"/>
      <c r="J598" s="261"/>
      <c r="K598" s="260"/>
      <c r="L598" s="260"/>
      <c r="M598" s="260"/>
      <c r="N598" s="260"/>
      <c r="O598" s="260"/>
      <c r="P598" s="260"/>
      <c r="Q598" s="260"/>
      <c r="R598" s="260"/>
      <c r="S598" s="260"/>
      <c r="T598" s="279"/>
      <c r="U598" s="260"/>
      <c r="V598" s="260"/>
      <c r="W598" s="260"/>
      <c r="X598" s="260"/>
      <c r="Y598" s="260"/>
      <c r="Z598" s="260"/>
      <c r="AA598" s="264"/>
      <c r="AB598" s="260"/>
      <c r="AC598" s="260"/>
    </row>
    <row r="599">
      <c r="A599" s="259"/>
      <c r="B599" s="260"/>
      <c r="C599" s="260"/>
      <c r="D599" s="260"/>
      <c r="E599" s="260"/>
      <c r="F599" s="260"/>
      <c r="G599" s="260"/>
      <c r="H599" s="260"/>
      <c r="I599" s="260"/>
      <c r="J599" s="261"/>
      <c r="K599" s="260"/>
      <c r="L599" s="260"/>
      <c r="M599" s="260"/>
      <c r="N599" s="260"/>
      <c r="O599" s="260"/>
      <c r="P599" s="260"/>
      <c r="Q599" s="260"/>
      <c r="R599" s="260"/>
      <c r="S599" s="260"/>
      <c r="T599" s="279"/>
      <c r="U599" s="260"/>
      <c r="V599" s="260"/>
      <c r="W599" s="260"/>
      <c r="X599" s="260"/>
      <c r="Y599" s="260"/>
      <c r="Z599" s="260"/>
      <c r="AA599" s="264"/>
      <c r="AB599" s="260"/>
      <c r="AC599" s="260"/>
    </row>
    <row r="600">
      <c r="A600" s="259"/>
      <c r="B600" s="260"/>
      <c r="C600" s="260"/>
      <c r="D600" s="260"/>
      <c r="E600" s="260"/>
      <c r="F600" s="260"/>
      <c r="G600" s="260"/>
      <c r="H600" s="260"/>
      <c r="I600" s="260"/>
      <c r="J600" s="261"/>
      <c r="K600" s="260"/>
      <c r="L600" s="260"/>
      <c r="M600" s="260"/>
      <c r="N600" s="260"/>
      <c r="O600" s="260"/>
      <c r="P600" s="260"/>
      <c r="Q600" s="260"/>
      <c r="R600" s="260"/>
      <c r="S600" s="260"/>
      <c r="T600" s="279"/>
      <c r="U600" s="260"/>
      <c r="V600" s="260"/>
      <c r="W600" s="260"/>
      <c r="X600" s="260"/>
      <c r="Y600" s="260"/>
      <c r="Z600" s="260"/>
      <c r="AA600" s="264"/>
      <c r="AB600" s="260"/>
      <c r="AC600" s="260"/>
    </row>
    <row r="601">
      <c r="A601" s="259"/>
      <c r="B601" s="260"/>
      <c r="C601" s="260"/>
      <c r="D601" s="260"/>
      <c r="E601" s="260"/>
      <c r="F601" s="260"/>
      <c r="G601" s="260"/>
      <c r="H601" s="260"/>
      <c r="I601" s="260"/>
      <c r="J601" s="261"/>
      <c r="K601" s="260"/>
      <c r="L601" s="260"/>
      <c r="M601" s="260"/>
      <c r="N601" s="260"/>
      <c r="O601" s="260"/>
      <c r="P601" s="260"/>
      <c r="Q601" s="260"/>
      <c r="R601" s="260"/>
      <c r="S601" s="260"/>
      <c r="T601" s="279"/>
      <c r="U601" s="260"/>
      <c r="V601" s="260"/>
      <c r="W601" s="260"/>
      <c r="X601" s="260"/>
      <c r="Y601" s="260"/>
      <c r="Z601" s="260"/>
      <c r="AA601" s="264"/>
      <c r="AB601" s="260"/>
      <c r="AC601" s="260"/>
    </row>
    <row r="602">
      <c r="A602" s="259"/>
      <c r="B602" s="260"/>
      <c r="C602" s="260"/>
      <c r="D602" s="260"/>
      <c r="E602" s="260"/>
      <c r="F602" s="260"/>
      <c r="G602" s="260"/>
      <c r="H602" s="260"/>
      <c r="I602" s="260"/>
      <c r="J602" s="261"/>
      <c r="K602" s="260"/>
      <c r="L602" s="260"/>
      <c r="M602" s="260"/>
      <c r="N602" s="260"/>
      <c r="O602" s="260"/>
      <c r="P602" s="260"/>
      <c r="Q602" s="260"/>
      <c r="R602" s="260"/>
      <c r="S602" s="260"/>
      <c r="T602" s="279"/>
      <c r="U602" s="260"/>
      <c r="V602" s="260"/>
      <c r="W602" s="260"/>
      <c r="X602" s="260"/>
      <c r="Y602" s="260"/>
      <c r="Z602" s="260"/>
      <c r="AA602" s="264"/>
      <c r="AB602" s="260"/>
      <c r="AC602" s="260"/>
    </row>
    <row r="603">
      <c r="A603" s="259"/>
      <c r="B603" s="260"/>
      <c r="C603" s="260"/>
      <c r="D603" s="260"/>
      <c r="E603" s="260"/>
      <c r="F603" s="260"/>
      <c r="G603" s="260"/>
      <c r="H603" s="260"/>
      <c r="I603" s="260"/>
      <c r="J603" s="261"/>
      <c r="K603" s="260"/>
      <c r="L603" s="260"/>
      <c r="M603" s="260"/>
      <c r="N603" s="260"/>
      <c r="O603" s="260"/>
      <c r="P603" s="260"/>
      <c r="Q603" s="260"/>
      <c r="R603" s="260"/>
      <c r="S603" s="260"/>
      <c r="T603" s="279"/>
      <c r="U603" s="260"/>
      <c r="V603" s="260"/>
      <c r="W603" s="260"/>
      <c r="X603" s="260"/>
      <c r="Y603" s="260"/>
      <c r="Z603" s="260"/>
      <c r="AA603" s="264"/>
      <c r="AB603" s="260"/>
      <c r="AC603" s="260"/>
    </row>
    <row r="604">
      <c r="A604" s="259"/>
      <c r="B604" s="260"/>
      <c r="C604" s="260"/>
      <c r="D604" s="260"/>
      <c r="E604" s="260"/>
      <c r="F604" s="260"/>
      <c r="G604" s="260"/>
      <c r="H604" s="260"/>
      <c r="I604" s="260"/>
      <c r="J604" s="261"/>
      <c r="K604" s="260"/>
      <c r="L604" s="260"/>
      <c r="M604" s="260"/>
      <c r="N604" s="260"/>
      <c r="O604" s="260"/>
      <c r="P604" s="260"/>
      <c r="Q604" s="260"/>
      <c r="R604" s="260"/>
      <c r="S604" s="260"/>
      <c r="T604" s="279"/>
      <c r="U604" s="260"/>
      <c r="V604" s="260"/>
      <c r="W604" s="260"/>
      <c r="X604" s="260"/>
      <c r="Y604" s="260"/>
      <c r="Z604" s="260"/>
      <c r="AA604" s="264"/>
      <c r="AB604" s="260"/>
      <c r="AC604" s="260"/>
    </row>
    <row r="605">
      <c r="A605" s="259"/>
      <c r="B605" s="260"/>
      <c r="C605" s="260"/>
      <c r="D605" s="260"/>
      <c r="E605" s="260"/>
      <c r="F605" s="260"/>
      <c r="G605" s="260"/>
      <c r="H605" s="260"/>
      <c r="I605" s="260"/>
      <c r="J605" s="261"/>
      <c r="K605" s="260"/>
      <c r="L605" s="260"/>
      <c r="M605" s="260"/>
      <c r="N605" s="260"/>
      <c r="O605" s="260"/>
      <c r="P605" s="260"/>
      <c r="Q605" s="260"/>
      <c r="R605" s="260"/>
      <c r="S605" s="260"/>
      <c r="T605" s="279"/>
      <c r="U605" s="260"/>
      <c r="V605" s="260"/>
      <c r="W605" s="260"/>
      <c r="X605" s="260"/>
      <c r="Y605" s="260"/>
      <c r="Z605" s="260"/>
      <c r="AA605" s="264"/>
      <c r="AB605" s="260"/>
      <c r="AC605" s="260"/>
    </row>
    <row r="606">
      <c r="A606" s="259"/>
      <c r="B606" s="260"/>
      <c r="C606" s="260"/>
      <c r="D606" s="260"/>
      <c r="E606" s="260"/>
      <c r="F606" s="260"/>
      <c r="G606" s="260"/>
      <c r="H606" s="260"/>
      <c r="I606" s="260"/>
      <c r="J606" s="261"/>
      <c r="K606" s="260"/>
      <c r="L606" s="260"/>
      <c r="M606" s="260"/>
      <c r="N606" s="260"/>
      <c r="O606" s="260"/>
      <c r="P606" s="260"/>
      <c r="Q606" s="260"/>
      <c r="R606" s="260"/>
      <c r="S606" s="260"/>
      <c r="T606" s="279"/>
      <c r="U606" s="260"/>
      <c r="V606" s="260"/>
      <c r="W606" s="260"/>
      <c r="X606" s="260"/>
      <c r="Y606" s="260"/>
      <c r="Z606" s="260"/>
      <c r="AA606" s="264"/>
      <c r="AB606" s="260"/>
      <c r="AC606" s="260"/>
    </row>
    <row r="607">
      <c r="A607" s="259"/>
      <c r="B607" s="260"/>
      <c r="C607" s="260"/>
      <c r="D607" s="260"/>
      <c r="E607" s="260"/>
      <c r="F607" s="260"/>
      <c r="G607" s="260"/>
      <c r="H607" s="260"/>
      <c r="I607" s="260"/>
      <c r="J607" s="261"/>
      <c r="K607" s="260"/>
      <c r="L607" s="260"/>
      <c r="M607" s="260"/>
      <c r="N607" s="260"/>
      <c r="O607" s="260"/>
      <c r="P607" s="260"/>
      <c r="Q607" s="260"/>
      <c r="R607" s="260"/>
      <c r="S607" s="260"/>
      <c r="T607" s="279"/>
      <c r="U607" s="260"/>
      <c r="V607" s="260"/>
      <c r="W607" s="260"/>
      <c r="X607" s="260"/>
      <c r="Y607" s="260"/>
      <c r="Z607" s="260"/>
      <c r="AA607" s="264"/>
      <c r="AB607" s="260"/>
      <c r="AC607" s="260"/>
    </row>
    <row r="608">
      <c r="A608" s="259"/>
      <c r="B608" s="260"/>
      <c r="C608" s="260"/>
      <c r="D608" s="260"/>
      <c r="E608" s="260"/>
      <c r="F608" s="260"/>
      <c r="G608" s="260"/>
      <c r="H608" s="260"/>
      <c r="I608" s="260"/>
      <c r="J608" s="261"/>
      <c r="K608" s="260"/>
      <c r="L608" s="260"/>
      <c r="M608" s="260"/>
      <c r="N608" s="260"/>
      <c r="O608" s="260"/>
      <c r="P608" s="260"/>
      <c r="Q608" s="260"/>
      <c r="R608" s="260"/>
      <c r="S608" s="260"/>
      <c r="T608" s="279"/>
      <c r="U608" s="260"/>
      <c r="V608" s="260"/>
      <c r="W608" s="260"/>
      <c r="X608" s="260"/>
      <c r="Y608" s="260"/>
      <c r="Z608" s="260"/>
      <c r="AA608" s="264"/>
      <c r="AB608" s="260"/>
      <c r="AC608" s="260"/>
    </row>
    <row r="609">
      <c r="A609" s="259"/>
      <c r="B609" s="260"/>
      <c r="C609" s="260"/>
      <c r="D609" s="260"/>
      <c r="E609" s="260"/>
      <c r="F609" s="260"/>
      <c r="G609" s="260"/>
      <c r="H609" s="260"/>
      <c r="I609" s="260"/>
      <c r="J609" s="261"/>
      <c r="K609" s="260"/>
      <c r="L609" s="260"/>
      <c r="M609" s="260"/>
      <c r="N609" s="260"/>
      <c r="O609" s="260"/>
      <c r="P609" s="260"/>
      <c r="Q609" s="260"/>
      <c r="R609" s="260"/>
      <c r="S609" s="260"/>
      <c r="T609" s="279"/>
      <c r="U609" s="260"/>
      <c r="V609" s="260"/>
      <c r="W609" s="260"/>
      <c r="X609" s="260"/>
      <c r="Y609" s="260"/>
      <c r="Z609" s="260"/>
      <c r="AA609" s="264"/>
      <c r="AB609" s="260"/>
      <c r="AC609" s="260"/>
    </row>
    <row r="610">
      <c r="A610" s="259"/>
      <c r="B610" s="260"/>
      <c r="C610" s="260"/>
      <c r="D610" s="260"/>
      <c r="E610" s="260"/>
      <c r="F610" s="260"/>
      <c r="G610" s="260"/>
      <c r="H610" s="260"/>
      <c r="I610" s="260"/>
      <c r="J610" s="261"/>
      <c r="K610" s="260"/>
      <c r="L610" s="260"/>
      <c r="M610" s="260"/>
      <c r="N610" s="260"/>
      <c r="O610" s="260"/>
      <c r="P610" s="260"/>
      <c r="Q610" s="260"/>
      <c r="R610" s="260"/>
      <c r="S610" s="260"/>
      <c r="T610" s="279"/>
      <c r="U610" s="260"/>
      <c r="V610" s="260"/>
      <c r="W610" s="260"/>
      <c r="X610" s="260"/>
      <c r="Y610" s="260"/>
      <c r="Z610" s="260"/>
      <c r="AA610" s="264"/>
      <c r="AB610" s="260"/>
      <c r="AC610" s="260"/>
    </row>
    <row r="611">
      <c r="A611" s="259"/>
      <c r="B611" s="260"/>
      <c r="C611" s="260"/>
      <c r="D611" s="260"/>
      <c r="E611" s="260"/>
      <c r="F611" s="260"/>
      <c r="G611" s="260"/>
      <c r="H611" s="260"/>
      <c r="I611" s="260"/>
      <c r="J611" s="261"/>
      <c r="K611" s="260"/>
      <c r="L611" s="260"/>
      <c r="M611" s="260"/>
      <c r="N611" s="260"/>
      <c r="O611" s="260"/>
      <c r="P611" s="260"/>
      <c r="Q611" s="260"/>
      <c r="R611" s="260"/>
      <c r="S611" s="260"/>
      <c r="T611" s="279"/>
      <c r="U611" s="260"/>
      <c r="V611" s="260"/>
      <c r="W611" s="260"/>
      <c r="X611" s="260"/>
      <c r="Y611" s="260"/>
      <c r="Z611" s="260"/>
      <c r="AA611" s="264"/>
      <c r="AB611" s="260"/>
      <c r="AC611" s="260"/>
    </row>
    <row r="612">
      <c r="A612" s="259"/>
      <c r="B612" s="260"/>
      <c r="C612" s="260"/>
      <c r="D612" s="260"/>
      <c r="E612" s="260"/>
      <c r="F612" s="260"/>
      <c r="G612" s="260"/>
      <c r="H612" s="260"/>
      <c r="I612" s="260"/>
      <c r="J612" s="261"/>
      <c r="K612" s="260"/>
      <c r="L612" s="260"/>
      <c r="M612" s="260"/>
      <c r="N612" s="260"/>
      <c r="O612" s="260"/>
      <c r="P612" s="260"/>
      <c r="Q612" s="260"/>
      <c r="R612" s="260"/>
      <c r="S612" s="260"/>
      <c r="T612" s="279"/>
      <c r="U612" s="260"/>
      <c r="V612" s="260"/>
      <c r="W612" s="260"/>
      <c r="X612" s="260"/>
      <c r="Y612" s="260"/>
      <c r="Z612" s="260"/>
      <c r="AA612" s="264"/>
      <c r="AB612" s="260"/>
      <c r="AC612" s="260"/>
    </row>
    <row r="613">
      <c r="A613" s="259"/>
      <c r="B613" s="260"/>
      <c r="C613" s="260"/>
      <c r="D613" s="260"/>
      <c r="E613" s="260"/>
      <c r="F613" s="260"/>
      <c r="G613" s="260"/>
      <c r="H613" s="260"/>
      <c r="I613" s="260"/>
      <c r="J613" s="261"/>
      <c r="K613" s="260"/>
      <c r="L613" s="260"/>
      <c r="M613" s="260"/>
      <c r="N613" s="260"/>
      <c r="O613" s="260"/>
      <c r="P613" s="260"/>
      <c r="Q613" s="260"/>
      <c r="R613" s="260"/>
      <c r="S613" s="260"/>
      <c r="T613" s="279"/>
      <c r="U613" s="260"/>
      <c r="V613" s="260"/>
      <c r="W613" s="260"/>
      <c r="X613" s="260"/>
      <c r="Y613" s="260"/>
      <c r="Z613" s="260"/>
      <c r="AA613" s="264"/>
      <c r="AB613" s="260"/>
      <c r="AC613" s="260"/>
    </row>
    <row r="614">
      <c r="A614" s="259"/>
      <c r="B614" s="260"/>
      <c r="C614" s="260"/>
      <c r="D614" s="260"/>
      <c r="E614" s="260"/>
      <c r="F614" s="260"/>
      <c r="G614" s="260"/>
      <c r="H614" s="260"/>
      <c r="I614" s="260"/>
      <c r="J614" s="261"/>
      <c r="K614" s="260"/>
      <c r="L614" s="260"/>
      <c r="M614" s="260"/>
      <c r="N614" s="260"/>
      <c r="O614" s="260"/>
      <c r="P614" s="260"/>
      <c r="Q614" s="260"/>
      <c r="R614" s="260"/>
      <c r="S614" s="260"/>
      <c r="T614" s="279"/>
      <c r="U614" s="260"/>
      <c r="V614" s="260"/>
      <c r="W614" s="260"/>
      <c r="X614" s="260"/>
      <c r="Y614" s="260"/>
      <c r="Z614" s="260"/>
      <c r="AA614" s="264"/>
      <c r="AB614" s="260"/>
      <c r="AC614" s="260"/>
    </row>
    <row r="615">
      <c r="A615" s="259"/>
      <c r="B615" s="260"/>
      <c r="C615" s="260"/>
      <c r="D615" s="260"/>
      <c r="E615" s="260"/>
      <c r="F615" s="260"/>
      <c r="G615" s="260"/>
      <c r="H615" s="260"/>
      <c r="I615" s="260"/>
      <c r="J615" s="261"/>
      <c r="K615" s="260"/>
      <c r="L615" s="260"/>
      <c r="M615" s="260"/>
      <c r="N615" s="260"/>
      <c r="O615" s="260"/>
      <c r="P615" s="260"/>
      <c r="Q615" s="260"/>
      <c r="R615" s="260"/>
      <c r="S615" s="260"/>
      <c r="T615" s="279"/>
      <c r="U615" s="260"/>
      <c r="V615" s="260"/>
      <c r="W615" s="260"/>
      <c r="X615" s="260"/>
      <c r="Y615" s="260"/>
      <c r="Z615" s="260"/>
      <c r="AA615" s="264"/>
      <c r="AB615" s="260"/>
      <c r="AC615" s="260"/>
    </row>
    <row r="616">
      <c r="A616" s="259"/>
      <c r="B616" s="260"/>
      <c r="C616" s="260"/>
      <c r="D616" s="260"/>
      <c r="E616" s="260"/>
      <c r="F616" s="260"/>
      <c r="G616" s="260"/>
      <c r="H616" s="260"/>
      <c r="I616" s="260"/>
      <c r="J616" s="261"/>
      <c r="K616" s="260"/>
      <c r="L616" s="260"/>
      <c r="M616" s="260"/>
      <c r="N616" s="260"/>
      <c r="O616" s="260"/>
      <c r="P616" s="260"/>
      <c r="Q616" s="260"/>
      <c r="R616" s="260"/>
      <c r="S616" s="260"/>
      <c r="T616" s="279"/>
      <c r="U616" s="260"/>
      <c r="V616" s="260"/>
      <c r="W616" s="260"/>
      <c r="X616" s="260"/>
      <c r="Y616" s="260"/>
      <c r="Z616" s="260"/>
      <c r="AA616" s="264"/>
      <c r="AB616" s="260"/>
      <c r="AC616" s="260"/>
    </row>
    <row r="617">
      <c r="A617" s="259"/>
      <c r="B617" s="260"/>
      <c r="C617" s="260"/>
      <c r="D617" s="260"/>
      <c r="E617" s="260"/>
      <c r="F617" s="260"/>
      <c r="G617" s="260"/>
      <c r="H617" s="260"/>
      <c r="I617" s="260"/>
      <c r="J617" s="261"/>
      <c r="K617" s="260"/>
      <c r="L617" s="260"/>
      <c r="M617" s="260"/>
      <c r="N617" s="260"/>
      <c r="O617" s="260"/>
      <c r="P617" s="260"/>
      <c r="Q617" s="260"/>
      <c r="R617" s="260"/>
      <c r="S617" s="260"/>
      <c r="T617" s="279"/>
      <c r="U617" s="260"/>
      <c r="V617" s="260"/>
      <c r="W617" s="260"/>
      <c r="X617" s="260"/>
      <c r="Y617" s="260"/>
      <c r="Z617" s="260"/>
      <c r="AA617" s="264"/>
      <c r="AB617" s="260"/>
      <c r="AC617" s="260"/>
    </row>
    <row r="618">
      <c r="A618" s="259"/>
      <c r="B618" s="260"/>
      <c r="C618" s="260"/>
      <c r="D618" s="260"/>
      <c r="E618" s="260"/>
      <c r="F618" s="260"/>
      <c r="G618" s="260"/>
      <c r="H618" s="260"/>
      <c r="I618" s="260"/>
      <c r="J618" s="261"/>
      <c r="K618" s="260"/>
      <c r="L618" s="260"/>
      <c r="M618" s="260"/>
      <c r="N618" s="260"/>
      <c r="O618" s="260"/>
      <c r="P618" s="260"/>
      <c r="Q618" s="260"/>
      <c r="R618" s="260"/>
      <c r="S618" s="260"/>
      <c r="T618" s="279"/>
      <c r="U618" s="260"/>
      <c r="V618" s="260"/>
      <c r="W618" s="260"/>
      <c r="X618" s="260"/>
      <c r="Y618" s="260"/>
      <c r="Z618" s="260"/>
      <c r="AA618" s="264"/>
      <c r="AB618" s="260"/>
      <c r="AC618" s="260"/>
    </row>
    <row r="619">
      <c r="A619" s="259"/>
      <c r="B619" s="260"/>
      <c r="C619" s="260"/>
      <c r="D619" s="260"/>
      <c r="E619" s="260"/>
      <c r="F619" s="260"/>
      <c r="G619" s="260"/>
      <c r="H619" s="260"/>
      <c r="I619" s="260"/>
      <c r="J619" s="261"/>
      <c r="K619" s="260"/>
      <c r="L619" s="260"/>
      <c r="M619" s="260"/>
      <c r="N619" s="260"/>
      <c r="O619" s="260"/>
      <c r="P619" s="260"/>
      <c r="Q619" s="260"/>
      <c r="R619" s="260"/>
      <c r="S619" s="260"/>
      <c r="T619" s="279"/>
      <c r="U619" s="260"/>
      <c r="V619" s="260"/>
      <c r="W619" s="260"/>
      <c r="X619" s="260"/>
      <c r="Y619" s="260"/>
      <c r="Z619" s="260"/>
      <c r="AA619" s="264"/>
      <c r="AB619" s="260"/>
      <c r="AC619" s="260"/>
    </row>
    <row r="620">
      <c r="A620" s="259"/>
      <c r="B620" s="260"/>
      <c r="C620" s="260"/>
      <c r="D620" s="260"/>
      <c r="E620" s="260"/>
      <c r="F620" s="260"/>
      <c r="G620" s="260"/>
      <c r="H620" s="260"/>
      <c r="I620" s="260"/>
      <c r="J620" s="261"/>
      <c r="K620" s="260"/>
      <c r="L620" s="260"/>
      <c r="M620" s="260"/>
      <c r="N620" s="260"/>
      <c r="O620" s="260"/>
      <c r="P620" s="260"/>
      <c r="Q620" s="260"/>
      <c r="R620" s="260"/>
      <c r="S620" s="260"/>
      <c r="T620" s="279"/>
      <c r="U620" s="260"/>
      <c r="V620" s="260"/>
      <c r="W620" s="260"/>
      <c r="X620" s="260"/>
      <c r="Y620" s="260"/>
      <c r="Z620" s="260"/>
      <c r="AA620" s="264"/>
      <c r="AB620" s="260"/>
      <c r="AC620" s="260"/>
    </row>
    <row r="621">
      <c r="A621" s="259"/>
      <c r="B621" s="260"/>
      <c r="C621" s="260"/>
      <c r="D621" s="260"/>
      <c r="E621" s="260"/>
      <c r="F621" s="260"/>
      <c r="G621" s="260"/>
      <c r="H621" s="260"/>
      <c r="I621" s="260"/>
      <c r="J621" s="261"/>
      <c r="K621" s="260"/>
      <c r="L621" s="260"/>
      <c r="M621" s="260"/>
      <c r="N621" s="260"/>
      <c r="O621" s="260"/>
      <c r="P621" s="260"/>
      <c r="Q621" s="260"/>
      <c r="R621" s="260"/>
      <c r="S621" s="260"/>
      <c r="T621" s="279"/>
      <c r="U621" s="260"/>
      <c r="V621" s="260"/>
      <c r="W621" s="260"/>
      <c r="X621" s="260"/>
      <c r="Y621" s="260"/>
      <c r="Z621" s="260"/>
      <c r="AA621" s="264"/>
      <c r="AB621" s="260"/>
      <c r="AC621" s="260"/>
    </row>
    <row r="622">
      <c r="A622" s="259"/>
      <c r="B622" s="260"/>
      <c r="C622" s="260"/>
      <c r="D622" s="260"/>
      <c r="E622" s="260"/>
      <c r="F622" s="260"/>
      <c r="G622" s="260"/>
      <c r="H622" s="260"/>
      <c r="I622" s="260"/>
      <c r="J622" s="261"/>
      <c r="K622" s="260"/>
      <c r="L622" s="260"/>
      <c r="M622" s="260"/>
      <c r="N622" s="260"/>
      <c r="O622" s="260"/>
      <c r="P622" s="260"/>
      <c r="Q622" s="260"/>
      <c r="R622" s="260"/>
      <c r="S622" s="260"/>
      <c r="T622" s="279"/>
      <c r="U622" s="260"/>
      <c r="V622" s="260"/>
      <c r="W622" s="260"/>
      <c r="X622" s="260"/>
      <c r="Y622" s="260"/>
      <c r="Z622" s="260"/>
      <c r="AA622" s="264"/>
      <c r="AB622" s="260"/>
      <c r="AC622" s="260"/>
    </row>
    <row r="623">
      <c r="A623" s="259"/>
      <c r="B623" s="260"/>
      <c r="C623" s="260"/>
      <c r="D623" s="260"/>
      <c r="E623" s="260"/>
      <c r="F623" s="260"/>
      <c r="G623" s="260"/>
      <c r="H623" s="260"/>
      <c r="I623" s="260"/>
      <c r="J623" s="261"/>
      <c r="K623" s="260"/>
      <c r="L623" s="260"/>
      <c r="M623" s="260"/>
      <c r="N623" s="260"/>
      <c r="O623" s="260"/>
      <c r="P623" s="260"/>
      <c r="Q623" s="260"/>
      <c r="R623" s="260"/>
      <c r="S623" s="260"/>
      <c r="T623" s="279"/>
      <c r="U623" s="260"/>
      <c r="V623" s="260"/>
      <c r="W623" s="260"/>
      <c r="X623" s="260"/>
      <c r="Y623" s="260"/>
      <c r="Z623" s="260"/>
      <c r="AA623" s="264"/>
      <c r="AB623" s="260"/>
      <c r="AC623" s="260"/>
    </row>
    <row r="624">
      <c r="A624" s="259"/>
      <c r="B624" s="260"/>
      <c r="C624" s="260"/>
      <c r="D624" s="260"/>
      <c r="E624" s="260"/>
      <c r="F624" s="260"/>
      <c r="G624" s="260"/>
      <c r="H624" s="260"/>
      <c r="I624" s="260"/>
      <c r="J624" s="261"/>
      <c r="K624" s="260"/>
      <c r="L624" s="260"/>
      <c r="M624" s="260"/>
      <c r="N624" s="260"/>
      <c r="O624" s="260"/>
      <c r="P624" s="260"/>
      <c r="Q624" s="260"/>
      <c r="R624" s="260"/>
      <c r="S624" s="260"/>
      <c r="T624" s="279"/>
      <c r="U624" s="260"/>
      <c r="V624" s="260"/>
      <c r="W624" s="260"/>
      <c r="X624" s="260"/>
      <c r="Y624" s="260"/>
      <c r="Z624" s="260"/>
      <c r="AA624" s="264"/>
      <c r="AB624" s="260"/>
      <c r="AC624" s="260"/>
    </row>
    <row r="625">
      <c r="A625" s="259"/>
      <c r="B625" s="260"/>
      <c r="C625" s="260"/>
      <c r="D625" s="260"/>
      <c r="E625" s="260"/>
      <c r="F625" s="260"/>
      <c r="G625" s="260"/>
      <c r="H625" s="260"/>
      <c r="I625" s="260"/>
      <c r="J625" s="261"/>
      <c r="K625" s="260"/>
      <c r="L625" s="260"/>
      <c r="M625" s="260"/>
      <c r="N625" s="260"/>
      <c r="O625" s="260"/>
      <c r="P625" s="260"/>
      <c r="Q625" s="260"/>
      <c r="R625" s="260"/>
      <c r="S625" s="260"/>
      <c r="T625" s="279"/>
      <c r="U625" s="260"/>
      <c r="V625" s="260"/>
      <c r="W625" s="260"/>
      <c r="X625" s="260"/>
      <c r="Y625" s="260"/>
      <c r="Z625" s="260"/>
      <c r="AA625" s="264"/>
      <c r="AB625" s="260"/>
      <c r="AC625" s="260"/>
    </row>
    <row r="626">
      <c r="A626" s="259"/>
      <c r="B626" s="260"/>
      <c r="C626" s="260"/>
      <c r="D626" s="260"/>
      <c r="E626" s="260"/>
      <c r="F626" s="260"/>
      <c r="G626" s="260"/>
      <c r="H626" s="260"/>
      <c r="I626" s="260"/>
      <c r="J626" s="261"/>
      <c r="K626" s="260"/>
      <c r="L626" s="260"/>
      <c r="M626" s="260"/>
      <c r="N626" s="260"/>
      <c r="O626" s="260"/>
      <c r="P626" s="260"/>
      <c r="Q626" s="260"/>
      <c r="R626" s="260"/>
      <c r="S626" s="260"/>
      <c r="T626" s="279"/>
      <c r="U626" s="260"/>
      <c r="V626" s="260"/>
      <c r="W626" s="260"/>
      <c r="X626" s="260"/>
      <c r="Y626" s="260"/>
      <c r="Z626" s="260"/>
      <c r="AA626" s="264"/>
      <c r="AB626" s="260"/>
      <c r="AC626" s="260"/>
    </row>
    <row r="627">
      <c r="A627" s="259"/>
      <c r="B627" s="260"/>
      <c r="C627" s="260"/>
      <c r="D627" s="260"/>
      <c r="E627" s="260"/>
      <c r="F627" s="260"/>
      <c r="G627" s="260"/>
      <c r="H627" s="260"/>
      <c r="I627" s="260"/>
      <c r="J627" s="261"/>
      <c r="K627" s="260"/>
      <c r="L627" s="260"/>
      <c r="M627" s="260"/>
      <c r="N627" s="260"/>
      <c r="O627" s="260"/>
      <c r="P627" s="260"/>
      <c r="Q627" s="260"/>
      <c r="R627" s="260"/>
      <c r="S627" s="260"/>
      <c r="T627" s="279"/>
      <c r="U627" s="260"/>
      <c r="V627" s="260"/>
      <c r="W627" s="260"/>
      <c r="X627" s="260"/>
      <c r="Y627" s="260"/>
      <c r="Z627" s="260"/>
      <c r="AA627" s="264"/>
      <c r="AB627" s="260"/>
      <c r="AC627" s="260"/>
    </row>
    <row r="628">
      <c r="A628" s="259"/>
      <c r="B628" s="260"/>
      <c r="C628" s="260"/>
      <c r="D628" s="260"/>
      <c r="E628" s="260"/>
      <c r="F628" s="260"/>
      <c r="G628" s="260"/>
      <c r="H628" s="260"/>
      <c r="I628" s="260"/>
      <c r="J628" s="261"/>
      <c r="K628" s="260"/>
      <c r="L628" s="260"/>
      <c r="M628" s="260"/>
      <c r="N628" s="260"/>
      <c r="O628" s="260"/>
      <c r="P628" s="260"/>
      <c r="Q628" s="260"/>
      <c r="R628" s="260"/>
      <c r="S628" s="260"/>
      <c r="T628" s="279"/>
      <c r="U628" s="260"/>
      <c r="V628" s="260"/>
      <c r="W628" s="260"/>
      <c r="X628" s="260"/>
      <c r="Y628" s="260"/>
      <c r="Z628" s="260"/>
      <c r="AA628" s="264"/>
      <c r="AB628" s="260"/>
      <c r="AC628" s="260"/>
    </row>
    <row r="629">
      <c r="A629" s="259"/>
      <c r="B629" s="260"/>
      <c r="C629" s="260"/>
      <c r="D629" s="260"/>
      <c r="E629" s="260"/>
      <c r="F629" s="260"/>
      <c r="G629" s="260"/>
      <c r="H629" s="260"/>
      <c r="I629" s="260"/>
      <c r="J629" s="261"/>
      <c r="K629" s="260"/>
      <c r="L629" s="260"/>
      <c r="M629" s="260"/>
      <c r="N629" s="260"/>
      <c r="O629" s="260"/>
      <c r="P629" s="260"/>
      <c r="Q629" s="260"/>
      <c r="R629" s="260"/>
      <c r="S629" s="260"/>
      <c r="T629" s="279"/>
      <c r="U629" s="260"/>
      <c r="V629" s="260"/>
      <c r="W629" s="260"/>
      <c r="X629" s="260"/>
      <c r="Y629" s="260"/>
      <c r="Z629" s="260"/>
      <c r="AA629" s="264"/>
      <c r="AB629" s="260"/>
      <c r="AC629" s="260"/>
    </row>
    <row r="630">
      <c r="A630" s="259"/>
      <c r="B630" s="260"/>
      <c r="C630" s="260"/>
      <c r="D630" s="260"/>
      <c r="E630" s="260"/>
      <c r="F630" s="260"/>
      <c r="G630" s="260"/>
      <c r="H630" s="260"/>
      <c r="I630" s="260"/>
      <c r="J630" s="261"/>
      <c r="K630" s="260"/>
      <c r="L630" s="260"/>
      <c r="M630" s="260"/>
      <c r="N630" s="260"/>
      <c r="O630" s="260"/>
      <c r="P630" s="260"/>
      <c r="Q630" s="260"/>
      <c r="R630" s="260"/>
      <c r="S630" s="260"/>
      <c r="T630" s="279"/>
      <c r="U630" s="260"/>
      <c r="V630" s="260"/>
      <c r="W630" s="260"/>
      <c r="X630" s="260"/>
      <c r="Y630" s="260"/>
      <c r="Z630" s="260"/>
      <c r="AA630" s="264"/>
      <c r="AB630" s="260"/>
      <c r="AC630" s="260"/>
    </row>
    <row r="631">
      <c r="A631" s="259"/>
      <c r="B631" s="260"/>
      <c r="C631" s="260"/>
      <c r="D631" s="260"/>
      <c r="E631" s="260"/>
      <c r="F631" s="260"/>
      <c r="G631" s="260"/>
      <c r="H631" s="260"/>
      <c r="I631" s="260"/>
      <c r="J631" s="261"/>
      <c r="K631" s="260"/>
      <c r="L631" s="260"/>
      <c r="M631" s="260"/>
      <c r="N631" s="260"/>
      <c r="O631" s="260"/>
      <c r="P631" s="260"/>
      <c r="Q631" s="260"/>
      <c r="R631" s="260"/>
      <c r="S631" s="260"/>
      <c r="T631" s="279"/>
      <c r="U631" s="260"/>
      <c r="V631" s="260"/>
      <c r="W631" s="260"/>
      <c r="X631" s="260"/>
      <c r="Y631" s="260"/>
      <c r="Z631" s="260"/>
      <c r="AA631" s="264"/>
      <c r="AB631" s="260"/>
      <c r="AC631" s="260"/>
    </row>
    <row r="632">
      <c r="A632" s="259"/>
      <c r="B632" s="260"/>
      <c r="C632" s="260"/>
      <c r="D632" s="260"/>
      <c r="E632" s="260"/>
      <c r="F632" s="260"/>
      <c r="G632" s="260"/>
      <c r="H632" s="260"/>
      <c r="I632" s="260"/>
      <c r="J632" s="261"/>
      <c r="K632" s="260"/>
      <c r="L632" s="260"/>
      <c r="M632" s="260"/>
      <c r="N632" s="260"/>
      <c r="O632" s="260"/>
      <c r="P632" s="260"/>
      <c r="Q632" s="260"/>
      <c r="R632" s="260"/>
      <c r="S632" s="260"/>
      <c r="T632" s="279"/>
      <c r="U632" s="260"/>
      <c r="V632" s="260"/>
      <c r="W632" s="260"/>
      <c r="X632" s="260"/>
      <c r="Y632" s="260"/>
      <c r="Z632" s="260"/>
      <c r="AA632" s="264"/>
      <c r="AB632" s="260"/>
      <c r="AC632" s="260"/>
    </row>
    <row r="633">
      <c r="A633" s="259"/>
      <c r="B633" s="260"/>
      <c r="C633" s="260"/>
      <c r="D633" s="260"/>
      <c r="E633" s="260"/>
      <c r="F633" s="260"/>
      <c r="G633" s="260"/>
      <c r="H633" s="260"/>
      <c r="I633" s="260"/>
      <c r="J633" s="261"/>
      <c r="K633" s="260"/>
      <c r="L633" s="260"/>
      <c r="M633" s="260"/>
      <c r="N633" s="260"/>
      <c r="O633" s="260"/>
      <c r="P633" s="260"/>
      <c r="Q633" s="260"/>
      <c r="R633" s="260"/>
      <c r="S633" s="260"/>
      <c r="T633" s="279"/>
      <c r="U633" s="260"/>
      <c r="V633" s="260"/>
      <c r="W633" s="260"/>
      <c r="X633" s="260"/>
      <c r="Y633" s="260"/>
      <c r="Z633" s="260"/>
      <c r="AA633" s="264"/>
      <c r="AB633" s="260"/>
      <c r="AC633" s="260"/>
    </row>
    <row r="634">
      <c r="A634" s="259"/>
      <c r="B634" s="260"/>
      <c r="C634" s="260"/>
      <c r="D634" s="260"/>
      <c r="E634" s="260"/>
      <c r="F634" s="260"/>
      <c r="G634" s="260"/>
      <c r="H634" s="260"/>
      <c r="I634" s="260"/>
      <c r="J634" s="261"/>
      <c r="K634" s="260"/>
      <c r="L634" s="260"/>
      <c r="M634" s="260"/>
      <c r="N634" s="260"/>
      <c r="O634" s="260"/>
      <c r="P634" s="260"/>
      <c r="Q634" s="260"/>
      <c r="R634" s="260"/>
      <c r="S634" s="260"/>
      <c r="T634" s="279"/>
      <c r="U634" s="260"/>
      <c r="V634" s="260"/>
      <c r="W634" s="260"/>
      <c r="X634" s="260"/>
      <c r="Y634" s="260"/>
      <c r="Z634" s="260"/>
      <c r="AA634" s="264"/>
      <c r="AB634" s="260"/>
      <c r="AC634" s="260"/>
    </row>
    <row r="635">
      <c r="A635" s="259"/>
      <c r="B635" s="260"/>
      <c r="C635" s="260"/>
      <c r="D635" s="260"/>
      <c r="E635" s="260"/>
      <c r="F635" s="260"/>
      <c r="G635" s="260"/>
      <c r="H635" s="260"/>
      <c r="I635" s="260"/>
      <c r="J635" s="261"/>
      <c r="K635" s="260"/>
      <c r="L635" s="260"/>
      <c r="M635" s="260"/>
      <c r="N635" s="260"/>
      <c r="O635" s="260"/>
      <c r="P635" s="260"/>
      <c r="Q635" s="260"/>
      <c r="R635" s="260"/>
      <c r="S635" s="260"/>
      <c r="T635" s="279"/>
      <c r="U635" s="260"/>
      <c r="V635" s="260"/>
      <c r="W635" s="260"/>
      <c r="X635" s="260"/>
      <c r="Y635" s="260"/>
      <c r="Z635" s="260"/>
      <c r="AA635" s="264"/>
      <c r="AB635" s="260"/>
      <c r="AC635" s="260"/>
    </row>
    <row r="636">
      <c r="A636" s="259"/>
      <c r="B636" s="260"/>
      <c r="C636" s="260"/>
      <c r="D636" s="260"/>
      <c r="E636" s="260"/>
      <c r="F636" s="260"/>
      <c r="G636" s="260"/>
      <c r="H636" s="260"/>
      <c r="I636" s="260"/>
      <c r="J636" s="261"/>
      <c r="K636" s="260"/>
      <c r="L636" s="260"/>
      <c r="M636" s="260"/>
      <c r="N636" s="260"/>
      <c r="O636" s="260"/>
      <c r="P636" s="260"/>
      <c r="Q636" s="260"/>
      <c r="R636" s="260"/>
      <c r="S636" s="260"/>
      <c r="T636" s="279"/>
      <c r="U636" s="260"/>
      <c r="V636" s="260"/>
      <c r="W636" s="260"/>
      <c r="X636" s="260"/>
      <c r="Y636" s="260"/>
      <c r="Z636" s="260"/>
      <c r="AA636" s="264"/>
      <c r="AB636" s="260"/>
      <c r="AC636" s="260"/>
    </row>
    <row r="637">
      <c r="A637" s="259"/>
      <c r="B637" s="260"/>
      <c r="C637" s="260"/>
      <c r="D637" s="260"/>
      <c r="E637" s="260"/>
      <c r="F637" s="260"/>
      <c r="G637" s="260"/>
      <c r="H637" s="260"/>
      <c r="I637" s="260"/>
      <c r="J637" s="261"/>
      <c r="K637" s="260"/>
      <c r="L637" s="260"/>
      <c r="M637" s="260"/>
      <c r="N637" s="260"/>
      <c r="O637" s="260"/>
      <c r="P637" s="260"/>
      <c r="Q637" s="260"/>
      <c r="R637" s="260"/>
      <c r="S637" s="260"/>
      <c r="T637" s="279"/>
      <c r="U637" s="260"/>
      <c r="V637" s="260"/>
      <c r="W637" s="260"/>
      <c r="X637" s="260"/>
      <c r="Y637" s="260"/>
      <c r="Z637" s="260"/>
      <c r="AA637" s="264"/>
      <c r="AB637" s="260"/>
      <c r="AC637" s="260"/>
    </row>
    <row r="638">
      <c r="A638" s="259"/>
      <c r="B638" s="260"/>
      <c r="C638" s="260"/>
      <c r="D638" s="260"/>
      <c r="E638" s="260"/>
      <c r="F638" s="260"/>
      <c r="G638" s="260"/>
      <c r="H638" s="260"/>
      <c r="I638" s="260"/>
      <c r="J638" s="261"/>
      <c r="K638" s="260"/>
      <c r="L638" s="260"/>
      <c r="M638" s="260"/>
      <c r="N638" s="260"/>
      <c r="O638" s="260"/>
      <c r="P638" s="260"/>
      <c r="Q638" s="260"/>
      <c r="R638" s="260"/>
      <c r="S638" s="260"/>
      <c r="T638" s="279"/>
      <c r="U638" s="260"/>
      <c r="V638" s="260"/>
      <c r="W638" s="260"/>
      <c r="X638" s="260"/>
      <c r="Y638" s="260"/>
      <c r="Z638" s="260"/>
      <c r="AA638" s="264"/>
      <c r="AB638" s="260"/>
      <c r="AC638" s="260"/>
    </row>
    <row r="639">
      <c r="A639" s="259"/>
      <c r="B639" s="260"/>
      <c r="C639" s="260"/>
      <c r="D639" s="260"/>
      <c r="E639" s="260"/>
      <c r="F639" s="260"/>
      <c r="G639" s="260"/>
      <c r="H639" s="260"/>
      <c r="I639" s="260"/>
      <c r="J639" s="261"/>
      <c r="K639" s="260"/>
      <c r="L639" s="260"/>
      <c r="M639" s="260"/>
      <c r="N639" s="260"/>
      <c r="O639" s="260"/>
      <c r="P639" s="260"/>
      <c r="Q639" s="260"/>
      <c r="R639" s="260"/>
      <c r="S639" s="260"/>
      <c r="T639" s="279"/>
      <c r="U639" s="260"/>
      <c r="V639" s="260"/>
      <c r="W639" s="260"/>
      <c r="X639" s="260"/>
      <c r="Y639" s="260"/>
      <c r="Z639" s="260"/>
      <c r="AA639" s="264"/>
      <c r="AB639" s="260"/>
      <c r="AC639" s="260"/>
    </row>
    <row r="640">
      <c r="A640" s="259"/>
      <c r="B640" s="260"/>
      <c r="C640" s="260"/>
      <c r="D640" s="260"/>
      <c r="E640" s="260"/>
      <c r="F640" s="260"/>
      <c r="G640" s="260"/>
      <c r="H640" s="260"/>
      <c r="I640" s="260"/>
      <c r="J640" s="261"/>
      <c r="K640" s="260"/>
      <c r="L640" s="260"/>
      <c r="M640" s="260"/>
      <c r="N640" s="260"/>
      <c r="O640" s="260"/>
      <c r="P640" s="260"/>
      <c r="Q640" s="260"/>
      <c r="R640" s="260"/>
      <c r="S640" s="260"/>
      <c r="T640" s="279"/>
      <c r="U640" s="260"/>
      <c r="V640" s="260"/>
      <c r="W640" s="260"/>
      <c r="X640" s="260"/>
      <c r="Y640" s="260"/>
      <c r="Z640" s="260"/>
      <c r="AA640" s="264"/>
      <c r="AB640" s="260"/>
      <c r="AC640" s="260"/>
    </row>
    <row r="641">
      <c r="A641" s="259"/>
      <c r="B641" s="260"/>
      <c r="C641" s="260"/>
      <c r="D641" s="260"/>
      <c r="E641" s="260"/>
      <c r="F641" s="260"/>
      <c r="G641" s="260"/>
      <c r="H641" s="260"/>
      <c r="I641" s="260"/>
      <c r="J641" s="261"/>
      <c r="K641" s="260"/>
      <c r="L641" s="260"/>
      <c r="M641" s="260"/>
      <c r="N641" s="260"/>
      <c r="O641" s="260"/>
      <c r="P641" s="260"/>
      <c r="Q641" s="260"/>
      <c r="R641" s="260"/>
      <c r="S641" s="260"/>
      <c r="T641" s="279"/>
      <c r="U641" s="260"/>
      <c r="V641" s="260"/>
      <c r="W641" s="260"/>
      <c r="X641" s="260"/>
      <c r="Y641" s="260"/>
      <c r="Z641" s="260"/>
      <c r="AA641" s="264"/>
      <c r="AB641" s="260"/>
      <c r="AC641" s="260"/>
    </row>
    <row r="642">
      <c r="A642" s="259"/>
      <c r="B642" s="260"/>
      <c r="C642" s="260"/>
      <c r="D642" s="260"/>
      <c r="E642" s="260"/>
      <c r="F642" s="260"/>
      <c r="G642" s="260"/>
      <c r="H642" s="260"/>
      <c r="I642" s="260"/>
      <c r="J642" s="261"/>
      <c r="K642" s="260"/>
      <c r="L642" s="260"/>
      <c r="M642" s="260"/>
      <c r="N642" s="260"/>
      <c r="O642" s="260"/>
      <c r="P642" s="260"/>
      <c r="Q642" s="260"/>
      <c r="R642" s="260"/>
      <c r="S642" s="260"/>
      <c r="T642" s="279"/>
      <c r="U642" s="260"/>
      <c r="V642" s="260"/>
      <c r="W642" s="260"/>
      <c r="X642" s="260"/>
      <c r="Y642" s="260"/>
      <c r="Z642" s="260"/>
      <c r="AA642" s="264"/>
      <c r="AB642" s="260"/>
      <c r="AC642" s="260"/>
    </row>
    <row r="643">
      <c r="A643" s="259"/>
      <c r="B643" s="260"/>
      <c r="C643" s="260"/>
      <c r="D643" s="260"/>
      <c r="E643" s="260"/>
      <c r="F643" s="260"/>
      <c r="G643" s="260"/>
      <c r="H643" s="260"/>
      <c r="I643" s="260"/>
      <c r="J643" s="261"/>
      <c r="K643" s="260"/>
      <c r="L643" s="260"/>
      <c r="M643" s="260"/>
      <c r="N643" s="260"/>
      <c r="O643" s="260"/>
      <c r="P643" s="260"/>
      <c r="Q643" s="260"/>
      <c r="R643" s="260"/>
      <c r="S643" s="260"/>
      <c r="T643" s="279"/>
      <c r="U643" s="260"/>
      <c r="V643" s="260"/>
      <c r="W643" s="260"/>
      <c r="X643" s="260"/>
      <c r="Y643" s="260"/>
      <c r="Z643" s="260"/>
      <c r="AA643" s="264"/>
      <c r="AB643" s="260"/>
      <c r="AC643" s="260"/>
    </row>
    <row r="644">
      <c r="A644" s="259"/>
      <c r="B644" s="260"/>
      <c r="C644" s="260"/>
      <c r="D644" s="260"/>
      <c r="E644" s="260"/>
      <c r="F644" s="260"/>
      <c r="G644" s="260"/>
      <c r="H644" s="260"/>
      <c r="I644" s="260"/>
      <c r="J644" s="261"/>
      <c r="K644" s="260"/>
      <c r="L644" s="260"/>
      <c r="M644" s="260"/>
      <c r="N644" s="260"/>
      <c r="O644" s="260"/>
      <c r="P644" s="260"/>
      <c r="Q644" s="260"/>
      <c r="R644" s="260"/>
      <c r="S644" s="260"/>
      <c r="T644" s="279"/>
      <c r="U644" s="260"/>
      <c r="V644" s="260"/>
      <c r="W644" s="260"/>
      <c r="X644" s="260"/>
      <c r="Y644" s="260"/>
      <c r="Z644" s="260"/>
      <c r="AA644" s="264"/>
      <c r="AB644" s="260"/>
      <c r="AC644" s="260"/>
    </row>
    <row r="645">
      <c r="A645" s="259"/>
      <c r="B645" s="260"/>
      <c r="C645" s="260"/>
      <c r="D645" s="260"/>
      <c r="E645" s="260"/>
      <c r="F645" s="260"/>
      <c r="G645" s="260"/>
      <c r="H645" s="260"/>
      <c r="I645" s="260"/>
      <c r="J645" s="261"/>
      <c r="K645" s="260"/>
      <c r="L645" s="260"/>
      <c r="M645" s="260"/>
      <c r="N645" s="260"/>
      <c r="O645" s="260"/>
      <c r="P645" s="260"/>
      <c r="Q645" s="260"/>
      <c r="R645" s="260"/>
      <c r="S645" s="260"/>
      <c r="T645" s="279"/>
      <c r="U645" s="260"/>
      <c r="V645" s="260"/>
      <c r="W645" s="260"/>
      <c r="X645" s="260"/>
      <c r="Y645" s="260"/>
      <c r="Z645" s="260"/>
      <c r="AA645" s="264"/>
      <c r="AB645" s="260"/>
      <c r="AC645" s="260"/>
    </row>
    <row r="646">
      <c r="A646" s="259"/>
      <c r="B646" s="260"/>
      <c r="C646" s="260"/>
      <c r="D646" s="260"/>
      <c r="E646" s="260"/>
      <c r="F646" s="260"/>
      <c r="G646" s="260"/>
      <c r="H646" s="260"/>
      <c r="I646" s="260"/>
      <c r="J646" s="261"/>
      <c r="K646" s="260"/>
      <c r="L646" s="260"/>
      <c r="M646" s="260"/>
      <c r="N646" s="260"/>
      <c r="O646" s="260"/>
      <c r="P646" s="260"/>
      <c r="Q646" s="260"/>
      <c r="R646" s="260"/>
      <c r="S646" s="260"/>
      <c r="T646" s="279"/>
      <c r="U646" s="260"/>
      <c r="V646" s="260"/>
      <c r="W646" s="260"/>
      <c r="X646" s="260"/>
      <c r="Y646" s="260"/>
      <c r="Z646" s="260"/>
      <c r="AA646" s="264"/>
      <c r="AB646" s="260"/>
      <c r="AC646" s="260"/>
    </row>
    <row r="647">
      <c r="A647" s="259"/>
      <c r="B647" s="260"/>
      <c r="C647" s="260"/>
      <c r="D647" s="260"/>
      <c r="E647" s="260"/>
      <c r="F647" s="260"/>
      <c r="G647" s="260"/>
      <c r="H647" s="260"/>
      <c r="I647" s="260"/>
      <c r="J647" s="261"/>
      <c r="K647" s="260"/>
      <c r="L647" s="260"/>
      <c r="M647" s="260"/>
      <c r="N647" s="260"/>
      <c r="O647" s="260"/>
      <c r="P647" s="260"/>
      <c r="Q647" s="260"/>
      <c r="R647" s="260"/>
      <c r="S647" s="260"/>
      <c r="T647" s="279"/>
      <c r="U647" s="260"/>
      <c r="V647" s="260"/>
      <c r="W647" s="260"/>
      <c r="X647" s="260"/>
      <c r="Y647" s="260"/>
      <c r="Z647" s="260"/>
      <c r="AA647" s="264"/>
      <c r="AB647" s="260"/>
      <c r="AC647" s="260"/>
    </row>
    <row r="648">
      <c r="A648" s="259"/>
      <c r="B648" s="260"/>
      <c r="C648" s="260"/>
      <c r="D648" s="260"/>
      <c r="E648" s="260"/>
      <c r="F648" s="260"/>
      <c r="G648" s="260"/>
      <c r="H648" s="260"/>
      <c r="I648" s="260"/>
      <c r="J648" s="261"/>
      <c r="K648" s="260"/>
      <c r="L648" s="260"/>
      <c r="M648" s="260"/>
      <c r="N648" s="260"/>
      <c r="O648" s="260"/>
      <c r="P648" s="260"/>
      <c r="Q648" s="260"/>
      <c r="R648" s="260"/>
      <c r="S648" s="260"/>
      <c r="T648" s="279"/>
      <c r="U648" s="260"/>
      <c r="V648" s="260"/>
      <c r="W648" s="260"/>
      <c r="X648" s="260"/>
      <c r="Y648" s="260"/>
      <c r="Z648" s="260"/>
      <c r="AA648" s="264"/>
      <c r="AB648" s="260"/>
      <c r="AC648" s="260"/>
    </row>
    <row r="649">
      <c r="A649" s="259"/>
      <c r="B649" s="260"/>
      <c r="C649" s="260"/>
      <c r="D649" s="260"/>
      <c r="E649" s="260"/>
      <c r="F649" s="260"/>
      <c r="G649" s="260"/>
      <c r="H649" s="260"/>
      <c r="I649" s="260"/>
      <c r="J649" s="261"/>
      <c r="K649" s="260"/>
      <c r="L649" s="260"/>
      <c r="M649" s="260"/>
      <c r="N649" s="260"/>
      <c r="O649" s="260"/>
      <c r="P649" s="260"/>
      <c r="Q649" s="260"/>
      <c r="R649" s="260"/>
      <c r="S649" s="260"/>
      <c r="T649" s="279"/>
      <c r="U649" s="260"/>
      <c r="V649" s="260"/>
      <c r="W649" s="260"/>
      <c r="X649" s="260"/>
      <c r="Y649" s="260"/>
      <c r="Z649" s="260"/>
      <c r="AA649" s="264"/>
      <c r="AB649" s="260"/>
      <c r="AC649" s="260"/>
    </row>
    <row r="650">
      <c r="A650" s="259"/>
      <c r="B650" s="260"/>
      <c r="C650" s="260"/>
      <c r="D650" s="260"/>
      <c r="E650" s="260"/>
      <c r="F650" s="260"/>
      <c r="G650" s="260"/>
      <c r="H650" s="260"/>
      <c r="I650" s="260"/>
      <c r="J650" s="261"/>
      <c r="K650" s="260"/>
      <c r="L650" s="260"/>
      <c r="M650" s="260"/>
      <c r="N650" s="260"/>
      <c r="O650" s="260"/>
      <c r="P650" s="260"/>
      <c r="Q650" s="260"/>
      <c r="R650" s="260"/>
      <c r="S650" s="260"/>
      <c r="T650" s="279"/>
      <c r="U650" s="260"/>
      <c r="V650" s="260"/>
      <c r="W650" s="260"/>
      <c r="X650" s="260"/>
      <c r="Y650" s="260"/>
      <c r="Z650" s="260"/>
      <c r="AA650" s="264"/>
      <c r="AB650" s="260"/>
      <c r="AC650" s="260"/>
    </row>
    <row r="651">
      <c r="A651" s="259"/>
      <c r="B651" s="260"/>
      <c r="C651" s="260"/>
      <c r="D651" s="260"/>
      <c r="E651" s="260"/>
      <c r="F651" s="260"/>
      <c r="G651" s="260"/>
      <c r="H651" s="260"/>
      <c r="I651" s="260"/>
      <c r="J651" s="261"/>
      <c r="K651" s="260"/>
      <c r="L651" s="260"/>
      <c r="M651" s="260"/>
      <c r="N651" s="260"/>
      <c r="O651" s="260"/>
      <c r="P651" s="260"/>
      <c r="Q651" s="260"/>
      <c r="R651" s="260"/>
      <c r="S651" s="260"/>
      <c r="T651" s="279"/>
      <c r="U651" s="260"/>
      <c r="V651" s="260"/>
      <c r="W651" s="260"/>
      <c r="X651" s="260"/>
      <c r="Y651" s="260"/>
      <c r="Z651" s="260"/>
      <c r="AA651" s="264"/>
      <c r="AB651" s="260"/>
      <c r="AC651" s="260"/>
    </row>
    <row r="652">
      <c r="A652" s="259"/>
      <c r="B652" s="260"/>
      <c r="C652" s="260"/>
      <c r="D652" s="260"/>
      <c r="E652" s="260"/>
      <c r="F652" s="260"/>
      <c r="G652" s="260"/>
      <c r="H652" s="260"/>
      <c r="I652" s="260"/>
      <c r="J652" s="261"/>
      <c r="K652" s="260"/>
      <c r="L652" s="260"/>
      <c r="M652" s="260"/>
      <c r="N652" s="260"/>
      <c r="O652" s="260"/>
      <c r="P652" s="260"/>
      <c r="Q652" s="260"/>
      <c r="R652" s="260"/>
      <c r="S652" s="260"/>
      <c r="T652" s="279"/>
      <c r="U652" s="260"/>
      <c r="V652" s="260"/>
      <c r="W652" s="260"/>
      <c r="X652" s="260"/>
      <c r="Y652" s="260"/>
      <c r="Z652" s="260"/>
      <c r="AA652" s="264"/>
      <c r="AB652" s="260"/>
      <c r="AC652" s="260"/>
    </row>
    <row r="653">
      <c r="A653" s="259"/>
      <c r="B653" s="260"/>
      <c r="C653" s="260"/>
      <c r="D653" s="260"/>
      <c r="E653" s="260"/>
      <c r="F653" s="260"/>
      <c r="G653" s="260"/>
      <c r="H653" s="260"/>
      <c r="I653" s="260"/>
      <c r="J653" s="261"/>
      <c r="K653" s="260"/>
      <c r="L653" s="260"/>
      <c r="M653" s="260"/>
      <c r="N653" s="260"/>
      <c r="O653" s="260"/>
      <c r="P653" s="260"/>
      <c r="Q653" s="260"/>
      <c r="R653" s="260"/>
      <c r="S653" s="260"/>
      <c r="T653" s="279"/>
      <c r="U653" s="260"/>
      <c r="V653" s="260"/>
      <c r="W653" s="260"/>
      <c r="X653" s="260"/>
      <c r="Y653" s="260"/>
      <c r="Z653" s="260"/>
      <c r="AA653" s="264"/>
      <c r="AB653" s="260"/>
      <c r="AC653" s="260"/>
    </row>
    <row r="654">
      <c r="A654" s="259"/>
      <c r="B654" s="260"/>
      <c r="C654" s="260"/>
      <c r="D654" s="260"/>
      <c r="E654" s="260"/>
      <c r="F654" s="260"/>
      <c r="G654" s="260"/>
      <c r="H654" s="260"/>
      <c r="I654" s="260"/>
      <c r="J654" s="261"/>
      <c r="K654" s="260"/>
      <c r="L654" s="260"/>
      <c r="M654" s="260"/>
      <c r="N654" s="260"/>
      <c r="O654" s="260"/>
      <c r="P654" s="260"/>
      <c r="Q654" s="260"/>
      <c r="R654" s="260"/>
      <c r="S654" s="260"/>
      <c r="T654" s="279"/>
      <c r="U654" s="260"/>
      <c r="V654" s="260"/>
      <c r="W654" s="260"/>
      <c r="X654" s="260"/>
      <c r="Y654" s="260"/>
      <c r="Z654" s="260"/>
      <c r="AA654" s="264"/>
      <c r="AB654" s="260"/>
      <c r="AC654" s="260"/>
    </row>
    <row r="655">
      <c r="A655" s="259"/>
      <c r="B655" s="260"/>
      <c r="C655" s="260"/>
      <c r="D655" s="260"/>
      <c r="E655" s="260"/>
      <c r="F655" s="260"/>
      <c r="G655" s="260"/>
      <c r="H655" s="260"/>
      <c r="I655" s="260"/>
      <c r="J655" s="261"/>
      <c r="K655" s="260"/>
      <c r="L655" s="260"/>
      <c r="M655" s="260"/>
      <c r="N655" s="260"/>
      <c r="O655" s="260"/>
      <c r="P655" s="260"/>
      <c r="Q655" s="260"/>
      <c r="R655" s="260"/>
      <c r="S655" s="260"/>
      <c r="T655" s="279"/>
      <c r="U655" s="260"/>
      <c r="V655" s="260"/>
      <c r="W655" s="260"/>
      <c r="X655" s="260"/>
      <c r="Y655" s="260"/>
      <c r="Z655" s="260"/>
      <c r="AA655" s="264"/>
      <c r="AB655" s="260"/>
      <c r="AC655" s="260"/>
    </row>
    <row r="656">
      <c r="A656" s="259"/>
      <c r="B656" s="260"/>
      <c r="C656" s="260"/>
      <c r="D656" s="260"/>
      <c r="E656" s="260"/>
      <c r="F656" s="260"/>
      <c r="G656" s="260"/>
      <c r="H656" s="260"/>
      <c r="I656" s="260"/>
      <c r="J656" s="261"/>
      <c r="K656" s="260"/>
      <c r="L656" s="260"/>
      <c r="M656" s="260"/>
      <c r="N656" s="260"/>
      <c r="O656" s="260"/>
      <c r="P656" s="260"/>
      <c r="Q656" s="260"/>
      <c r="R656" s="260"/>
      <c r="S656" s="260"/>
      <c r="T656" s="279"/>
      <c r="U656" s="260"/>
      <c r="V656" s="260"/>
      <c r="W656" s="260"/>
      <c r="X656" s="260"/>
      <c r="Y656" s="260"/>
      <c r="Z656" s="260"/>
      <c r="AA656" s="264"/>
      <c r="AB656" s="260"/>
      <c r="AC656" s="260"/>
    </row>
    <row r="657">
      <c r="A657" s="259"/>
      <c r="B657" s="260"/>
      <c r="C657" s="260"/>
      <c r="D657" s="260"/>
      <c r="E657" s="260"/>
      <c r="F657" s="260"/>
      <c r="G657" s="260"/>
      <c r="H657" s="260"/>
      <c r="I657" s="260"/>
      <c r="J657" s="261"/>
      <c r="K657" s="260"/>
      <c r="L657" s="260"/>
      <c r="M657" s="260"/>
      <c r="N657" s="260"/>
      <c r="O657" s="260"/>
      <c r="P657" s="260"/>
      <c r="Q657" s="260"/>
      <c r="R657" s="260"/>
      <c r="S657" s="260"/>
      <c r="T657" s="279"/>
      <c r="U657" s="260"/>
      <c r="V657" s="260"/>
      <c r="W657" s="260"/>
      <c r="X657" s="260"/>
      <c r="Y657" s="260"/>
      <c r="Z657" s="260"/>
      <c r="AA657" s="264"/>
      <c r="AB657" s="260"/>
      <c r="AC657" s="260"/>
    </row>
    <row r="658">
      <c r="A658" s="259"/>
      <c r="B658" s="260"/>
      <c r="C658" s="260"/>
      <c r="D658" s="260"/>
      <c r="E658" s="260"/>
      <c r="F658" s="260"/>
      <c r="G658" s="260"/>
      <c r="H658" s="260"/>
      <c r="I658" s="260"/>
      <c r="J658" s="261"/>
      <c r="K658" s="260"/>
      <c r="L658" s="260"/>
      <c r="M658" s="260"/>
      <c r="N658" s="260"/>
      <c r="O658" s="260"/>
      <c r="P658" s="260"/>
      <c r="Q658" s="260"/>
      <c r="R658" s="260"/>
      <c r="S658" s="260"/>
      <c r="T658" s="279"/>
      <c r="U658" s="260"/>
      <c r="V658" s="260"/>
      <c r="W658" s="260"/>
      <c r="X658" s="260"/>
      <c r="Y658" s="260"/>
      <c r="Z658" s="260"/>
      <c r="AA658" s="264"/>
      <c r="AB658" s="260"/>
      <c r="AC658" s="260"/>
    </row>
    <row r="659">
      <c r="A659" s="259"/>
      <c r="B659" s="260"/>
      <c r="C659" s="260"/>
      <c r="D659" s="260"/>
      <c r="E659" s="260"/>
      <c r="F659" s="260"/>
      <c r="G659" s="260"/>
      <c r="H659" s="260"/>
      <c r="I659" s="260"/>
      <c r="J659" s="261"/>
      <c r="K659" s="260"/>
      <c r="L659" s="260"/>
      <c r="M659" s="260"/>
      <c r="N659" s="260"/>
      <c r="O659" s="260"/>
      <c r="P659" s="260"/>
      <c r="Q659" s="260"/>
      <c r="R659" s="260"/>
      <c r="S659" s="260"/>
      <c r="T659" s="279"/>
      <c r="U659" s="260"/>
      <c r="V659" s="260"/>
      <c r="W659" s="260"/>
      <c r="X659" s="260"/>
      <c r="Y659" s="260"/>
      <c r="Z659" s="260"/>
      <c r="AA659" s="264"/>
      <c r="AB659" s="260"/>
      <c r="AC659" s="260"/>
    </row>
    <row r="660">
      <c r="A660" s="259"/>
      <c r="B660" s="260"/>
      <c r="C660" s="260"/>
      <c r="D660" s="260"/>
      <c r="E660" s="260"/>
      <c r="F660" s="260"/>
      <c r="G660" s="260"/>
      <c r="H660" s="260"/>
      <c r="I660" s="260"/>
      <c r="J660" s="261"/>
      <c r="K660" s="260"/>
      <c r="L660" s="260"/>
      <c r="M660" s="260"/>
      <c r="N660" s="260"/>
      <c r="O660" s="260"/>
      <c r="P660" s="260"/>
      <c r="Q660" s="260"/>
      <c r="R660" s="260"/>
      <c r="S660" s="260"/>
      <c r="T660" s="279"/>
      <c r="U660" s="260"/>
      <c r="V660" s="260"/>
      <c r="W660" s="260"/>
      <c r="X660" s="260"/>
      <c r="Y660" s="260"/>
      <c r="Z660" s="260"/>
      <c r="AA660" s="264"/>
      <c r="AB660" s="260"/>
      <c r="AC660" s="260"/>
    </row>
    <row r="661">
      <c r="A661" s="259"/>
      <c r="B661" s="260"/>
      <c r="C661" s="260"/>
      <c r="D661" s="260"/>
      <c r="E661" s="260"/>
      <c r="F661" s="260"/>
      <c r="G661" s="260"/>
      <c r="H661" s="260"/>
      <c r="I661" s="260"/>
      <c r="J661" s="261"/>
      <c r="K661" s="260"/>
      <c r="L661" s="260"/>
      <c r="M661" s="260"/>
      <c r="N661" s="260"/>
      <c r="O661" s="260"/>
      <c r="P661" s="260"/>
      <c r="Q661" s="260"/>
      <c r="R661" s="260"/>
      <c r="S661" s="260"/>
      <c r="T661" s="279"/>
      <c r="U661" s="260"/>
      <c r="V661" s="260"/>
      <c r="W661" s="260"/>
      <c r="X661" s="260"/>
      <c r="Y661" s="260"/>
      <c r="Z661" s="260"/>
      <c r="AA661" s="264"/>
      <c r="AB661" s="260"/>
      <c r="AC661" s="260"/>
    </row>
    <row r="662">
      <c r="A662" s="259"/>
      <c r="B662" s="260"/>
      <c r="C662" s="260"/>
      <c r="D662" s="260"/>
      <c r="E662" s="260"/>
      <c r="F662" s="260"/>
      <c r="G662" s="260"/>
      <c r="H662" s="260"/>
      <c r="I662" s="260"/>
      <c r="J662" s="261"/>
      <c r="K662" s="260"/>
      <c r="L662" s="260"/>
      <c r="M662" s="260"/>
      <c r="N662" s="260"/>
      <c r="O662" s="260"/>
      <c r="P662" s="260"/>
      <c r="Q662" s="260"/>
      <c r="R662" s="260"/>
      <c r="S662" s="260"/>
      <c r="T662" s="279"/>
      <c r="U662" s="260"/>
      <c r="V662" s="260"/>
      <c r="W662" s="260"/>
      <c r="X662" s="260"/>
      <c r="Y662" s="260"/>
      <c r="Z662" s="260"/>
      <c r="AA662" s="264"/>
      <c r="AB662" s="260"/>
      <c r="AC662" s="260"/>
    </row>
    <row r="663">
      <c r="A663" s="259"/>
      <c r="B663" s="260"/>
      <c r="C663" s="260"/>
      <c r="D663" s="260"/>
      <c r="E663" s="260"/>
      <c r="F663" s="260"/>
      <c r="G663" s="260"/>
      <c r="H663" s="260"/>
      <c r="I663" s="260"/>
      <c r="J663" s="261"/>
      <c r="K663" s="260"/>
      <c r="L663" s="260"/>
      <c r="M663" s="260"/>
      <c r="N663" s="260"/>
      <c r="O663" s="260"/>
      <c r="P663" s="260"/>
      <c r="Q663" s="260"/>
      <c r="R663" s="260"/>
      <c r="S663" s="260"/>
      <c r="T663" s="279"/>
      <c r="U663" s="260"/>
      <c r="V663" s="260"/>
      <c r="W663" s="260"/>
      <c r="X663" s="260"/>
      <c r="Y663" s="260"/>
      <c r="Z663" s="260"/>
      <c r="AA663" s="264"/>
      <c r="AB663" s="260"/>
      <c r="AC663" s="260"/>
    </row>
    <row r="664">
      <c r="A664" s="259"/>
      <c r="B664" s="260"/>
      <c r="C664" s="260"/>
      <c r="D664" s="260"/>
      <c r="E664" s="260"/>
      <c r="F664" s="260"/>
      <c r="G664" s="260"/>
      <c r="H664" s="260"/>
      <c r="I664" s="260"/>
      <c r="J664" s="261"/>
      <c r="K664" s="260"/>
      <c r="L664" s="260"/>
      <c r="M664" s="260"/>
      <c r="N664" s="260"/>
      <c r="O664" s="260"/>
      <c r="P664" s="260"/>
      <c r="Q664" s="260"/>
      <c r="R664" s="260"/>
      <c r="S664" s="260"/>
      <c r="T664" s="279"/>
      <c r="U664" s="260"/>
      <c r="V664" s="260"/>
      <c r="W664" s="260"/>
      <c r="X664" s="260"/>
      <c r="Y664" s="260"/>
      <c r="Z664" s="260"/>
      <c r="AA664" s="264"/>
      <c r="AB664" s="260"/>
      <c r="AC664" s="260"/>
    </row>
    <row r="665">
      <c r="A665" s="259"/>
      <c r="B665" s="260"/>
      <c r="C665" s="260"/>
      <c r="D665" s="260"/>
      <c r="E665" s="260"/>
      <c r="F665" s="260"/>
      <c r="G665" s="260"/>
      <c r="H665" s="260"/>
      <c r="I665" s="260"/>
      <c r="J665" s="261"/>
      <c r="K665" s="260"/>
      <c r="L665" s="260"/>
      <c r="M665" s="260"/>
      <c r="N665" s="260"/>
      <c r="O665" s="260"/>
      <c r="P665" s="260"/>
      <c r="Q665" s="260"/>
      <c r="R665" s="260"/>
      <c r="S665" s="260"/>
      <c r="T665" s="279"/>
      <c r="U665" s="260"/>
      <c r="V665" s="260"/>
      <c r="W665" s="260"/>
      <c r="X665" s="260"/>
      <c r="Y665" s="260"/>
      <c r="Z665" s="260"/>
      <c r="AA665" s="264"/>
      <c r="AB665" s="260"/>
      <c r="AC665" s="260"/>
    </row>
    <row r="666">
      <c r="A666" s="259"/>
      <c r="B666" s="260"/>
      <c r="C666" s="260"/>
      <c r="D666" s="260"/>
      <c r="E666" s="260"/>
      <c r="F666" s="260"/>
      <c r="G666" s="260"/>
      <c r="H666" s="260"/>
      <c r="I666" s="260"/>
      <c r="J666" s="261"/>
      <c r="K666" s="260"/>
      <c r="L666" s="260"/>
      <c r="M666" s="260"/>
      <c r="N666" s="260"/>
      <c r="O666" s="260"/>
      <c r="P666" s="260"/>
      <c r="Q666" s="260"/>
      <c r="R666" s="260"/>
      <c r="S666" s="260"/>
      <c r="T666" s="279"/>
      <c r="U666" s="260"/>
      <c r="V666" s="260"/>
      <c r="W666" s="260"/>
      <c r="X666" s="260"/>
      <c r="Y666" s="260"/>
      <c r="Z666" s="260"/>
      <c r="AA666" s="264"/>
      <c r="AB666" s="260"/>
      <c r="AC666" s="260"/>
    </row>
    <row r="667">
      <c r="A667" s="259"/>
      <c r="B667" s="260"/>
      <c r="C667" s="260"/>
      <c r="D667" s="260"/>
      <c r="E667" s="260"/>
      <c r="F667" s="260"/>
      <c r="G667" s="260"/>
      <c r="H667" s="260"/>
      <c r="I667" s="260"/>
      <c r="J667" s="261"/>
      <c r="K667" s="260"/>
      <c r="L667" s="260"/>
      <c r="M667" s="260"/>
      <c r="N667" s="260"/>
      <c r="O667" s="260"/>
      <c r="P667" s="260"/>
      <c r="Q667" s="260"/>
      <c r="R667" s="260"/>
      <c r="S667" s="260"/>
      <c r="T667" s="279"/>
      <c r="U667" s="260"/>
      <c r="V667" s="260"/>
      <c r="W667" s="260"/>
      <c r="X667" s="260"/>
      <c r="Y667" s="260"/>
      <c r="Z667" s="260"/>
      <c r="AA667" s="264"/>
      <c r="AB667" s="260"/>
      <c r="AC667" s="260"/>
    </row>
    <row r="668">
      <c r="A668" s="259"/>
      <c r="B668" s="260"/>
      <c r="C668" s="260"/>
      <c r="D668" s="260"/>
      <c r="E668" s="260"/>
      <c r="F668" s="260"/>
      <c r="G668" s="260"/>
      <c r="H668" s="260"/>
      <c r="I668" s="260"/>
      <c r="J668" s="261"/>
      <c r="K668" s="260"/>
      <c r="L668" s="260"/>
      <c r="M668" s="260"/>
      <c r="N668" s="260"/>
      <c r="O668" s="260"/>
      <c r="P668" s="260"/>
      <c r="Q668" s="260"/>
      <c r="R668" s="260"/>
      <c r="S668" s="260"/>
      <c r="T668" s="279"/>
      <c r="U668" s="260"/>
      <c r="V668" s="260"/>
      <c r="W668" s="260"/>
      <c r="X668" s="260"/>
      <c r="Y668" s="260"/>
      <c r="Z668" s="260"/>
      <c r="AA668" s="264"/>
      <c r="AB668" s="260"/>
      <c r="AC668" s="260"/>
    </row>
    <row r="669">
      <c r="A669" s="259"/>
      <c r="B669" s="260"/>
      <c r="C669" s="260"/>
      <c r="D669" s="260"/>
      <c r="E669" s="260"/>
      <c r="F669" s="260"/>
      <c r="G669" s="260"/>
      <c r="H669" s="260"/>
      <c r="I669" s="260"/>
      <c r="J669" s="261"/>
      <c r="K669" s="260"/>
      <c r="L669" s="260"/>
      <c r="M669" s="260"/>
      <c r="N669" s="260"/>
      <c r="O669" s="260"/>
      <c r="P669" s="260"/>
      <c r="Q669" s="260"/>
      <c r="R669" s="260"/>
      <c r="S669" s="260"/>
      <c r="T669" s="279"/>
      <c r="U669" s="260"/>
      <c r="V669" s="260"/>
      <c r="W669" s="260"/>
      <c r="X669" s="260"/>
      <c r="Y669" s="260"/>
      <c r="Z669" s="260"/>
      <c r="AA669" s="264"/>
      <c r="AB669" s="260"/>
      <c r="AC669" s="260"/>
    </row>
    <row r="670">
      <c r="A670" s="259"/>
      <c r="B670" s="260"/>
      <c r="C670" s="260"/>
      <c r="D670" s="260"/>
      <c r="E670" s="260"/>
      <c r="F670" s="260"/>
      <c r="G670" s="260"/>
      <c r="H670" s="260"/>
      <c r="I670" s="260"/>
      <c r="J670" s="261"/>
      <c r="K670" s="260"/>
      <c r="L670" s="260"/>
      <c r="M670" s="260"/>
      <c r="N670" s="260"/>
      <c r="O670" s="260"/>
      <c r="P670" s="260"/>
      <c r="Q670" s="260"/>
      <c r="R670" s="260"/>
      <c r="S670" s="260"/>
      <c r="T670" s="279"/>
      <c r="U670" s="260"/>
      <c r="V670" s="260"/>
      <c r="W670" s="260"/>
      <c r="X670" s="260"/>
      <c r="Y670" s="260"/>
      <c r="Z670" s="260"/>
      <c r="AA670" s="264"/>
      <c r="AB670" s="260"/>
      <c r="AC670" s="260"/>
    </row>
    <row r="671">
      <c r="A671" s="259"/>
      <c r="B671" s="260"/>
      <c r="C671" s="260"/>
      <c r="D671" s="260"/>
      <c r="E671" s="260"/>
      <c r="F671" s="260"/>
      <c r="G671" s="260"/>
      <c r="H671" s="260"/>
      <c r="I671" s="260"/>
      <c r="J671" s="261"/>
      <c r="K671" s="260"/>
      <c r="L671" s="260"/>
      <c r="M671" s="260"/>
      <c r="N671" s="260"/>
      <c r="O671" s="260"/>
      <c r="P671" s="260"/>
      <c r="Q671" s="260"/>
      <c r="R671" s="260"/>
      <c r="S671" s="260"/>
      <c r="T671" s="279"/>
      <c r="U671" s="260"/>
      <c r="V671" s="260"/>
      <c r="W671" s="260"/>
      <c r="X671" s="260"/>
      <c r="Y671" s="260"/>
      <c r="Z671" s="260"/>
      <c r="AA671" s="264"/>
      <c r="AB671" s="260"/>
      <c r="AC671" s="260"/>
    </row>
    <row r="672">
      <c r="A672" s="259"/>
      <c r="B672" s="260"/>
      <c r="C672" s="260"/>
      <c r="D672" s="260"/>
      <c r="E672" s="260"/>
      <c r="F672" s="260"/>
      <c r="G672" s="260"/>
      <c r="H672" s="260"/>
      <c r="I672" s="260"/>
      <c r="J672" s="261"/>
      <c r="K672" s="260"/>
      <c r="L672" s="260"/>
      <c r="M672" s="260"/>
      <c r="N672" s="260"/>
      <c r="O672" s="260"/>
      <c r="P672" s="260"/>
      <c r="Q672" s="260"/>
      <c r="R672" s="260"/>
      <c r="S672" s="260"/>
      <c r="T672" s="279"/>
      <c r="U672" s="260"/>
      <c r="V672" s="260"/>
      <c r="W672" s="260"/>
      <c r="X672" s="260"/>
      <c r="Y672" s="260"/>
      <c r="Z672" s="260"/>
      <c r="AA672" s="264"/>
      <c r="AB672" s="260"/>
      <c r="AC672" s="260"/>
    </row>
    <row r="673">
      <c r="A673" s="259"/>
      <c r="B673" s="260"/>
      <c r="C673" s="260"/>
      <c r="D673" s="260"/>
      <c r="E673" s="260"/>
      <c r="F673" s="260"/>
      <c r="G673" s="260"/>
      <c r="H673" s="260"/>
      <c r="I673" s="260"/>
      <c r="J673" s="261"/>
      <c r="K673" s="260"/>
      <c r="L673" s="260"/>
      <c r="M673" s="260"/>
      <c r="N673" s="260"/>
      <c r="O673" s="260"/>
      <c r="P673" s="260"/>
      <c r="Q673" s="260"/>
      <c r="R673" s="260"/>
      <c r="S673" s="260"/>
      <c r="T673" s="279"/>
      <c r="U673" s="260"/>
      <c r="V673" s="260"/>
      <c r="W673" s="260"/>
      <c r="X673" s="260"/>
      <c r="Y673" s="260"/>
      <c r="Z673" s="260"/>
      <c r="AA673" s="264"/>
      <c r="AB673" s="260"/>
      <c r="AC673" s="260"/>
    </row>
    <row r="674">
      <c r="A674" s="259"/>
      <c r="B674" s="260"/>
      <c r="C674" s="260"/>
      <c r="D674" s="260"/>
      <c r="E674" s="260"/>
      <c r="F674" s="260"/>
      <c r="G674" s="260"/>
      <c r="H674" s="260"/>
      <c r="I674" s="260"/>
      <c r="J674" s="261"/>
      <c r="K674" s="260"/>
      <c r="L674" s="260"/>
      <c r="M674" s="260"/>
      <c r="N674" s="260"/>
      <c r="O674" s="260"/>
      <c r="P674" s="260"/>
      <c r="Q674" s="260"/>
      <c r="R674" s="260"/>
      <c r="S674" s="260"/>
      <c r="T674" s="279"/>
      <c r="U674" s="260"/>
      <c r="V674" s="260"/>
      <c r="W674" s="260"/>
      <c r="X674" s="260"/>
      <c r="Y674" s="260"/>
      <c r="Z674" s="260"/>
      <c r="AA674" s="264"/>
      <c r="AB674" s="260"/>
      <c r="AC674" s="260"/>
    </row>
    <row r="675">
      <c r="A675" s="259"/>
      <c r="B675" s="260"/>
      <c r="C675" s="260"/>
      <c r="D675" s="260"/>
      <c r="E675" s="260"/>
      <c r="F675" s="260"/>
      <c r="G675" s="260"/>
      <c r="H675" s="260"/>
      <c r="I675" s="260"/>
      <c r="J675" s="261"/>
      <c r="K675" s="260"/>
      <c r="L675" s="260"/>
      <c r="M675" s="260"/>
      <c r="N675" s="260"/>
      <c r="O675" s="260"/>
      <c r="P675" s="260"/>
      <c r="Q675" s="260"/>
      <c r="R675" s="260"/>
      <c r="S675" s="260"/>
      <c r="T675" s="279"/>
      <c r="U675" s="260"/>
      <c r="V675" s="260"/>
      <c r="W675" s="260"/>
      <c r="X675" s="260"/>
      <c r="Y675" s="260"/>
      <c r="Z675" s="260"/>
      <c r="AA675" s="264"/>
      <c r="AB675" s="260"/>
      <c r="AC675" s="260"/>
    </row>
    <row r="676">
      <c r="A676" s="259"/>
      <c r="B676" s="260"/>
      <c r="C676" s="260"/>
      <c r="D676" s="260"/>
      <c r="E676" s="260"/>
      <c r="F676" s="260"/>
      <c r="G676" s="260"/>
      <c r="H676" s="260"/>
      <c r="I676" s="260"/>
      <c r="J676" s="261"/>
      <c r="K676" s="260"/>
      <c r="L676" s="260"/>
      <c r="M676" s="260"/>
      <c r="N676" s="260"/>
      <c r="O676" s="260"/>
      <c r="P676" s="260"/>
      <c r="Q676" s="260"/>
      <c r="R676" s="260"/>
      <c r="S676" s="260"/>
      <c r="T676" s="279"/>
      <c r="U676" s="260"/>
      <c r="V676" s="260"/>
      <c r="W676" s="260"/>
      <c r="X676" s="260"/>
      <c r="Y676" s="260"/>
      <c r="Z676" s="260"/>
      <c r="AA676" s="264"/>
      <c r="AB676" s="260"/>
      <c r="AC676" s="260"/>
    </row>
    <row r="677">
      <c r="A677" s="259"/>
      <c r="B677" s="260"/>
      <c r="C677" s="260"/>
      <c r="D677" s="260"/>
      <c r="E677" s="260"/>
      <c r="F677" s="260"/>
      <c r="G677" s="260"/>
      <c r="H677" s="260"/>
      <c r="I677" s="260"/>
      <c r="J677" s="261"/>
      <c r="K677" s="260"/>
      <c r="L677" s="260"/>
      <c r="M677" s="260"/>
      <c r="N677" s="260"/>
      <c r="O677" s="260"/>
      <c r="P677" s="260"/>
      <c r="Q677" s="260"/>
      <c r="R677" s="260"/>
      <c r="S677" s="260"/>
      <c r="T677" s="279"/>
      <c r="U677" s="260"/>
      <c r="V677" s="260"/>
      <c r="W677" s="260"/>
      <c r="X677" s="260"/>
      <c r="Y677" s="260"/>
      <c r="Z677" s="260"/>
      <c r="AA677" s="264"/>
      <c r="AB677" s="260"/>
      <c r="AC677" s="260"/>
    </row>
    <row r="678">
      <c r="A678" s="259"/>
      <c r="B678" s="260"/>
      <c r="C678" s="260"/>
      <c r="D678" s="260"/>
      <c r="E678" s="260"/>
      <c r="F678" s="260"/>
      <c r="G678" s="260"/>
      <c r="H678" s="260"/>
      <c r="I678" s="260"/>
      <c r="J678" s="261"/>
      <c r="K678" s="260"/>
      <c r="L678" s="260"/>
      <c r="M678" s="260"/>
      <c r="N678" s="260"/>
      <c r="O678" s="260"/>
      <c r="P678" s="260"/>
      <c r="Q678" s="260"/>
      <c r="R678" s="260"/>
      <c r="S678" s="260"/>
      <c r="T678" s="279"/>
      <c r="U678" s="260"/>
      <c r="V678" s="260"/>
      <c r="W678" s="260"/>
      <c r="X678" s="260"/>
      <c r="Y678" s="260"/>
      <c r="Z678" s="260"/>
      <c r="AA678" s="264"/>
      <c r="AB678" s="260"/>
      <c r="AC678" s="260"/>
    </row>
    <row r="679">
      <c r="A679" s="259"/>
      <c r="B679" s="260"/>
      <c r="C679" s="260"/>
      <c r="D679" s="260"/>
      <c r="E679" s="260"/>
      <c r="F679" s="260"/>
      <c r="G679" s="260"/>
      <c r="H679" s="260"/>
      <c r="I679" s="260"/>
      <c r="J679" s="261"/>
      <c r="K679" s="260"/>
      <c r="L679" s="260"/>
      <c r="M679" s="260"/>
      <c r="N679" s="260"/>
      <c r="O679" s="260"/>
      <c r="P679" s="260"/>
      <c r="Q679" s="260"/>
      <c r="R679" s="260"/>
      <c r="S679" s="260"/>
      <c r="T679" s="279"/>
      <c r="U679" s="260"/>
      <c r="V679" s="260"/>
      <c r="W679" s="260"/>
      <c r="X679" s="260"/>
      <c r="Y679" s="260"/>
      <c r="Z679" s="260"/>
      <c r="AA679" s="264"/>
      <c r="AB679" s="260"/>
      <c r="AC679" s="260"/>
    </row>
    <row r="680">
      <c r="A680" s="259"/>
      <c r="B680" s="260"/>
      <c r="C680" s="260"/>
      <c r="D680" s="260"/>
      <c r="E680" s="260"/>
      <c r="F680" s="260"/>
      <c r="G680" s="260"/>
      <c r="H680" s="260"/>
      <c r="I680" s="260"/>
      <c r="J680" s="261"/>
      <c r="K680" s="260"/>
      <c r="L680" s="260"/>
      <c r="M680" s="260"/>
      <c r="N680" s="260"/>
      <c r="O680" s="260"/>
      <c r="P680" s="260"/>
      <c r="Q680" s="260"/>
      <c r="R680" s="260"/>
      <c r="S680" s="260"/>
      <c r="T680" s="279"/>
      <c r="U680" s="260"/>
      <c r="V680" s="260"/>
      <c r="W680" s="260"/>
      <c r="X680" s="260"/>
      <c r="Y680" s="260"/>
      <c r="Z680" s="260"/>
      <c r="AA680" s="264"/>
      <c r="AB680" s="260"/>
      <c r="AC680" s="260"/>
    </row>
    <row r="681">
      <c r="A681" s="259"/>
      <c r="B681" s="260"/>
      <c r="C681" s="260"/>
      <c r="D681" s="260"/>
      <c r="E681" s="260"/>
      <c r="F681" s="260"/>
      <c r="G681" s="260"/>
      <c r="H681" s="260"/>
      <c r="I681" s="260"/>
      <c r="J681" s="261"/>
      <c r="K681" s="260"/>
      <c r="L681" s="260"/>
      <c r="M681" s="260"/>
      <c r="N681" s="260"/>
      <c r="O681" s="260"/>
      <c r="P681" s="260"/>
      <c r="Q681" s="260"/>
      <c r="R681" s="260"/>
      <c r="S681" s="260"/>
      <c r="T681" s="279"/>
      <c r="U681" s="260"/>
      <c r="V681" s="260"/>
      <c r="W681" s="260"/>
      <c r="X681" s="260"/>
      <c r="Y681" s="260"/>
      <c r="Z681" s="260"/>
      <c r="AA681" s="264"/>
      <c r="AB681" s="260"/>
      <c r="AC681" s="260"/>
    </row>
    <row r="682">
      <c r="A682" s="259"/>
      <c r="B682" s="260"/>
      <c r="C682" s="260"/>
      <c r="D682" s="260"/>
      <c r="E682" s="260"/>
      <c r="F682" s="260"/>
      <c r="G682" s="260"/>
      <c r="H682" s="260"/>
      <c r="I682" s="260"/>
      <c r="J682" s="261"/>
      <c r="K682" s="260"/>
      <c r="L682" s="260"/>
      <c r="M682" s="260"/>
      <c r="N682" s="260"/>
      <c r="O682" s="260"/>
      <c r="P682" s="260"/>
      <c r="Q682" s="260"/>
      <c r="R682" s="260"/>
      <c r="S682" s="260"/>
      <c r="T682" s="279"/>
      <c r="U682" s="260"/>
      <c r="V682" s="260"/>
      <c r="W682" s="260"/>
      <c r="X682" s="260"/>
      <c r="Y682" s="260"/>
      <c r="Z682" s="260"/>
      <c r="AA682" s="264"/>
      <c r="AB682" s="260"/>
      <c r="AC682" s="260"/>
    </row>
    <row r="683">
      <c r="A683" s="259"/>
      <c r="B683" s="260"/>
      <c r="C683" s="260"/>
      <c r="D683" s="260"/>
      <c r="E683" s="260"/>
      <c r="F683" s="260"/>
      <c r="G683" s="260"/>
      <c r="H683" s="260"/>
      <c r="I683" s="260"/>
      <c r="J683" s="261"/>
      <c r="K683" s="260"/>
      <c r="L683" s="260"/>
      <c r="M683" s="260"/>
      <c r="N683" s="260"/>
      <c r="O683" s="260"/>
      <c r="P683" s="260"/>
      <c r="Q683" s="260"/>
      <c r="R683" s="260"/>
      <c r="S683" s="260"/>
      <c r="T683" s="279"/>
      <c r="U683" s="260"/>
      <c r="V683" s="260"/>
      <c r="W683" s="260"/>
      <c r="X683" s="260"/>
      <c r="Y683" s="260"/>
      <c r="Z683" s="260"/>
      <c r="AA683" s="264"/>
      <c r="AB683" s="260"/>
      <c r="AC683" s="260"/>
    </row>
    <row r="684">
      <c r="A684" s="259"/>
      <c r="B684" s="260"/>
      <c r="C684" s="260"/>
      <c r="D684" s="260"/>
      <c r="E684" s="260"/>
      <c r="F684" s="260"/>
      <c r="G684" s="260"/>
      <c r="H684" s="260"/>
      <c r="I684" s="260"/>
      <c r="J684" s="261"/>
      <c r="K684" s="260"/>
      <c r="L684" s="260"/>
      <c r="M684" s="260"/>
      <c r="N684" s="260"/>
      <c r="O684" s="260"/>
      <c r="P684" s="260"/>
      <c r="Q684" s="260"/>
      <c r="R684" s="260"/>
      <c r="S684" s="260"/>
      <c r="T684" s="279"/>
      <c r="U684" s="260"/>
      <c r="V684" s="260"/>
      <c r="W684" s="260"/>
      <c r="X684" s="260"/>
      <c r="Y684" s="260"/>
      <c r="Z684" s="260"/>
      <c r="AA684" s="264"/>
      <c r="AB684" s="260"/>
      <c r="AC684" s="260"/>
    </row>
    <row r="685">
      <c r="A685" s="259"/>
      <c r="B685" s="260"/>
      <c r="C685" s="260"/>
      <c r="D685" s="260"/>
      <c r="E685" s="260"/>
      <c r="F685" s="260"/>
      <c r="G685" s="260"/>
      <c r="H685" s="260"/>
      <c r="I685" s="260"/>
      <c r="J685" s="261"/>
      <c r="K685" s="260"/>
      <c r="L685" s="260"/>
      <c r="M685" s="260"/>
      <c r="N685" s="260"/>
      <c r="O685" s="260"/>
      <c r="P685" s="260"/>
      <c r="Q685" s="260"/>
      <c r="R685" s="260"/>
      <c r="S685" s="260"/>
      <c r="T685" s="279"/>
      <c r="U685" s="260"/>
      <c r="V685" s="260"/>
      <c r="W685" s="260"/>
      <c r="X685" s="260"/>
      <c r="Y685" s="260"/>
      <c r="Z685" s="260"/>
      <c r="AA685" s="264"/>
      <c r="AB685" s="260"/>
      <c r="AC685" s="260"/>
    </row>
    <row r="686">
      <c r="A686" s="259"/>
      <c r="B686" s="260"/>
      <c r="C686" s="260"/>
      <c r="D686" s="260"/>
      <c r="E686" s="260"/>
      <c r="F686" s="260"/>
      <c r="G686" s="260"/>
      <c r="H686" s="260"/>
      <c r="I686" s="260"/>
      <c r="J686" s="261"/>
      <c r="K686" s="260"/>
      <c r="L686" s="260"/>
      <c r="M686" s="260"/>
      <c r="N686" s="260"/>
      <c r="O686" s="260"/>
      <c r="P686" s="260"/>
      <c r="Q686" s="260"/>
      <c r="R686" s="260"/>
      <c r="S686" s="260"/>
      <c r="T686" s="279"/>
      <c r="U686" s="260"/>
      <c r="V686" s="260"/>
      <c r="W686" s="260"/>
      <c r="X686" s="260"/>
      <c r="Y686" s="260"/>
      <c r="Z686" s="260"/>
      <c r="AA686" s="264"/>
      <c r="AB686" s="260"/>
      <c r="AC686" s="260"/>
    </row>
    <row r="687">
      <c r="A687" s="259"/>
      <c r="B687" s="260"/>
      <c r="C687" s="260"/>
      <c r="D687" s="260"/>
      <c r="E687" s="260"/>
      <c r="F687" s="260"/>
      <c r="G687" s="260"/>
      <c r="H687" s="260"/>
      <c r="I687" s="260"/>
      <c r="J687" s="261"/>
      <c r="K687" s="260"/>
      <c r="L687" s="260"/>
      <c r="M687" s="260"/>
      <c r="N687" s="260"/>
      <c r="O687" s="260"/>
      <c r="P687" s="260"/>
      <c r="Q687" s="260"/>
      <c r="R687" s="260"/>
      <c r="S687" s="260"/>
      <c r="T687" s="279"/>
      <c r="U687" s="260"/>
      <c r="V687" s="260"/>
      <c r="W687" s="260"/>
      <c r="X687" s="260"/>
      <c r="Y687" s="260"/>
      <c r="Z687" s="260"/>
      <c r="AA687" s="264"/>
      <c r="AB687" s="260"/>
      <c r="AC687" s="260"/>
    </row>
    <row r="688">
      <c r="A688" s="259"/>
      <c r="B688" s="260"/>
      <c r="C688" s="260"/>
      <c r="D688" s="260"/>
      <c r="E688" s="260"/>
      <c r="F688" s="260"/>
      <c r="G688" s="260"/>
      <c r="H688" s="260"/>
      <c r="I688" s="260"/>
      <c r="J688" s="261"/>
      <c r="K688" s="260"/>
      <c r="L688" s="260"/>
      <c r="M688" s="260"/>
      <c r="N688" s="260"/>
      <c r="O688" s="260"/>
      <c r="P688" s="260"/>
      <c r="Q688" s="260"/>
      <c r="R688" s="260"/>
      <c r="S688" s="260"/>
      <c r="T688" s="279"/>
      <c r="U688" s="260"/>
      <c r="V688" s="260"/>
      <c r="W688" s="260"/>
      <c r="X688" s="260"/>
      <c r="Y688" s="260"/>
      <c r="Z688" s="260"/>
      <c r="AA688" s="264"/>
      <c r="AB688" s="260"/>
      <c r="AC688" s="260"/>
    </row>
    <row r="689">
      <c r="A689" s="259"/>
      <c r="B689" s="260"/>
      <c r="C689" s="260"/>
      <c r="D689" s="260"/>
      <c r="E689" s="260"/>
      <c r="F689" s="260"/>
      <c r="G689" s="260"/>
      <c r="H689" s="260"/>
      <c r="I689" s="260"/>
      <c r="J689" s="261"/>
      <c r="K689" s="260"/>
      <c r="L689" s="260"/>
      <c r="M689" s="260"/>
      <c r="N689" s="260"/>
      <c r="O689" s="260"/>
      <c r="P689" s="260"/>
      <c r="Q689" s="260"/>
      <c r="R689" s="260"/>
      <c r="S689" s="260"/>
      <c r="T689" s="279"/>
      <c r="U689" s="260"/>
      <c r="V689" s="260"/>
      <c r="W689" s="260"/>
      <c r="X689" s="260"/>
      <c r="Y689" s="260"/>
      <c r="Z689" s="260"/>
      <c r="AA689" s="264"/>
      <c r="AB689" s="260"/>
      <c r="AC689" s="260"/>
    </row>
    <row r="690">
      <c r="A690" s="259"/>
      <c r="B690" s="260"/>
      <c r="C690" s="260"/>
      <c r="D690" s="260"/>
      <c r="E690" s="260"/>
      <c r="F690" s="260"/>
      <c r="G690" s="260"/>
      <c r="H690" s="260"/>
      <c r="I690" s="260"/>
      <c r="J690" s="261"/>
      <c r="K690" s="260"/>
      <c r="L690" s="260"/>
      <c r="M690" s="260"/>
      <c r="N690" s="260"/>
      <c r="O690" s="260"/>
      <c r="P690" s="260"/>
      <c r="Q690" s="260"/>
      <c r="R690" s="260"/>
      <c r="S690" s="260"/>
      <c r="T690" s="279"/>
      <c r="U690" s="260"/>
      <c r="V690" s="260"/>
      <c r="W690" s="260"/>
      <c r="X690" s="260"/>
      <c r="Y690" s="260"/>
      <c r="Z690" s="260"/>
      <c r="AA690" s="264"/>
      <c r="AB690" s="260"/>
      <c r="AC690" s="260"/>
    </row>
    <row r="691">
      <c r="A691" s="259"/>
      <c r="B691" s="260"/>
      <c r="C691" s="260"/>
      <c r="D691" s="260"/>
      <c r="E691" s="260"/>
      <c r="F691" s="260"/>
      <c r="G691" s="260"/>
      <c r="H691" s="260"/>
      <c r="I691" s="260"/>
      <c r="J691" s="261"/>
      <c r="K691" s="260"/>
      <c r="L691" s="260"/>
      <c r="M691" s="260"/>
      <c r="N691" s="260"/>
      <c r="O691" s="260"/>
      <c r="P691" s="260"/>
      <c r="Q691" s="260"/>
      <c r="R691" s="260"/>
      <c r="S691" s="260"/>
      <c r="T691" s="279"/>
      <c r="U691" s="260"/>
      <c r="V691" s="260"/>
      <c r="W691" s="260"/>
      <c r="X691" s="260"/>
      <c r="Y691" s="260"/>
      <c r="Z691" s="260"/>
      <c r="AA691" s="264"/>
      <c r="AB691" s="260"/>
      <c r="AC691" s="260"/>
    </row>
    <row r="692">
      <c r="A692" s="259"/>
      <c r="B692" s="260"/>
      <c r="C692" s="260"/>
      <c r="D692" s="260"/>
      <c r="E692" s="260"/>
      <c r="F692" s="260"/>
      <c r="G692" s="260"/>
      <c r="H692" s="260"/>
      <c r="I692" s="260"/>
      <c r="J692" s="261"/>
      <c r="K692" s="260"/>
      <c r="L692" s="260"/>
      <c r="M692" s="260"/>
      <c r="N692" s="260"/>
      <c r="O692" s="260"/>
      <c r="P692" s="260"/>
      <c r="Q692" s="260"/>
      <c r="R692" s="260"/>
      <c r="S692" s="260"/>
      <c r="T692" s="279"/>
      <c r="U692" s="260"/>
      <c r="V692" s="260"/>
      <c r="W692" s="260"/>
      <c r="X692" s="260"/>
      <c r="Y692" s="260"/>
      <c r="Z692" s="260"/>
      <c r="AA692" s="264"/>
      <c r="AB692" s="260"/>
      <c r="AC692" s="260"/>
    </row>
    <row r="693">
      <c r="A693" s="259"/>
      <c r="B693" s="260"/>
      <c r="C693" s="260"/>
      <c r="D693" s="260"/>
      <c r="E693" s="260"/>
      <c r="F693" s="260"/>
      <c r="G693" s="260"/>
      <c r="H693" s="260"/>
      <c r="I693" s="260"/>
      <c r="J693" s="261"/>
      <c r="K693" s="260"/>
      <c r="L693" s="260"/>
      <c r="M693" s="260"/>
      <c r="N693" s="260"/>
      <c r="O693" s="260"/>
      <c r="P693" s="260"/>
      <c r="Q693" s="260"/>
      <c r="R693" s="260"/>
      <c r="S693" s="260"/>
      <c r="T693" s="279"/>
      <c r="U693" s="260"/>
      <c r="V693" s="260"/>
      <c r="W693" s="260"/>
      <c r="X693" s="260"/>
      <c r="Y693" s="260"/>
      <c r="Z693" s="260"/>
      <c r="AA693" s="264"/>
      <c r="AB693" s="260"/>
      <c r="AC693" s="260"/>
    </row>
    <row r="694">
      <c r="A694" s="259"/>
      <c r="B694" s="260"/>
      <c r="C694" s="260"/>
      <c r="D694" s="260"/>
      <c r="E694" s="260"/>
      <c r="F694" s="260"/>
      <c r="G694" s="260"/>
      <c r="H694" s="260"/>
      <c r="I694" s="260"/>
      <c r="J694" s="261"/>
      <c r="K694" s="260"/>
      <c r="L694" s="260"/>
      <c r="M694" s="260"/>
      <c r="N694" s="260"/>
      <c r="O694" s="260"/>
      <c r="P694" s="260"/>
      <c r="Q694" s="260"/>
      <c r="R694" s="260"/>
      <c r="S694" s="260"/>
      <c r="T694" s="279"/>
      <c r="U694" s="260"/>
      <c r="V694" s="260"/>
      <c r="W694" s="260"/>
      <c r="X694" s="260"/>
      <c r="Y694" s="260"/>
      <c r="Z694" s="260"/>
      <c r="AA694" s="264"/>
      <c r="AB694" s="260"/>
      <c r="AC694" s="260"/>
    </row>
    <row r="695">
      <c r="A695" s="259"/>
      <c r="B695" s="260"/>
      <c r="C695" s="260"/>
      <c r="D695" s="260"/>
      <c r="E695" s="260"/>
      <c r="F695" s="260"/>
      <c r="G695" s="260"/>
      <c r="H695" s="260"/>
      <c r="I695" s="260"/>
      <c r="J695" s="261"/>
      <c r="K695" s="260"/>
      <c r="L695" s="260"/>
      <c r="M695" s="260"/>
      <c r="N695" s="260"/>
      <c r="O695" s="260"/>
      <c r="P695" s="260"/>
      <c r="Q695" s="260"/>
      <c r="R695" s="260"/>
      <c r="S695" s="260"/>
      <c r="T695" s="279"/>
      <c r="U695" s="260"/>
      <c r="V695" s="260"/>
      <c r="W695" s="260"/>
      <c r="X695" s="260"/>
      <c r="Y695" s="260"/>
      <c r="Z695" s="260"/>
      <c r="AA695" s="264"/>
      <c r="AB695" s="260"/>
      <c r="AC695" s="260"/>
    </row>
    <row r="696">
      <c r="A696" s="259"/>
      <c r="B696" s="260"/>
      <c r="C696" s="260"/>
      <c r="D696" s="260"/>
      <c r="E696" s="260"/>
      <c r="F696" s="260"/>
      <c r="G696" s="260"/>
      <c r="H696" s="260"/>
      <c r="I696" s="260"/>
      <c r="J696" s="261"/>
      <c r="K696" s="260"/>
      <c r="L696" s="260"/>
      <c r="M696" s="260"/>
      <c r="N696" s="260"/>
      <c r="O696" s="260"/>
      <c r="P696" s="260"/>
      <c r="Q696" s="260"/>
      <c r="R696" s="260"/>
      <c r="S696" s="260"/>
      <c r="T696" s="279"/>
      <c r="U696" s="260"/>
      <c r="V696" s="260"/>
      <c r="W696" s="260"/>
      <c r="X696" s="260"/>
      <c r="Y696" s="260"/>
      <c r="Z696" s="260"/>
      <c r="AA696" s="264"/>
      <c r="AB696" s="260"/>
      <c r="AC696" s="260"/>
    </row>
    <row r="697">
      <c r="A697" s="259"/>
      <c r="B697" s="260"/>
      <c r="C697" s="260"/>
      <c r="D697" s="260"/>
      <c r="E697" s="260"/>
      <c r="F697" s="260"/>
      <c r="G697" s="260"/>
      <c r="H697" s="260"/>
      <c r="I697" s="260"/>
      <c r="J697" s="261"/>
      <c r="K697" s="260"/>
      <c r="L697" s="260"/>
      <c r="M697" s="260"/>
      <c r="N697" s="260"/>
      <c r="O697" s="260"/>
      <c r="P697" s="260"/>
      <c r="Q697" s="260"/>
      <c r="R697" s="260"/>
      <c r="S697" s="260"/>
      <c r="T697" s="279"/>
      <c r="U697" s="260"/>
      <c r="V697" s="260"/>
      <c r="W697" s="260"/>
      <c r="X697" s="260"/>
      <c r="Y697" s="260"/>
      <c r="Z697" s="260"/>
      <c r="AA697" s="264"/>
      <c r="AB697" s="260"/>
      <c r="AC697" s="260"/>
    </row>
    <row r="698">
      <c r="A698" s="259"/>
      <c r="B698" s="260"/>
      <c r="C698" s="260"/>
      <c r="D698" s="260"/>
      <c r="E698" s="260"/>
      <c r="F698" s="260"/>
      <c r="G698" s="260"/>
      <c r="H698" s="260"/>
      <c r="I698" s="260"/>
      <c r="J698" s="261"/>
      <c r="K698" s="260"/>
      <c r="L698" s="260"/>
      <c r="M698" s="260"/>
      <c r="N698" s="260"/>
      <c r="O698" s="260"/>
      <c r="P698" s="260"/>
      <c r="Q698" s="260"/>
      <c r="R698" s="260"/>
      <c r="S698" s="260"/>
      <c r="T698" s="279"/>
      <c r="U698" s="260"/>
      <c r="V698" s="260"/>
      <c r="W698" s="260"/>
      <c r="X698" s="260"/>
      <c r="Y698" s="260"/>
      <c r="Z698" s="260"/>
      <c r="AA698" s="264"/>
      <c r="AB698" s="260"/>
      <c r="AC698" s="260"/>
    </row>
    <row r="699">
      <c r="A699" s="259"/>
      <c r="B699" s="260"/>
      <c r="C699" s="260"/>
      <c r="D699" s="260"/>
      <c r="E699" s="260"/>
      <c r="F699" s="260"/>
      <c r="G699" s="260"/>
      <c r="H699" s="260"/>
      <c r="I699" s="260"/>
      <c r="J699" s="261"/>
      <c r="K699" s="260"/>
      <c r="L699" s="260"/>
      <c r="M699" s="260"/>
      <c r="N699" s="260"/>
      <c r="O699" s="260"/>
      <c r="P699" s="260"/>
      <c r="Q699" s="260"/>
      <c r="R699" s="260"/>
      <c r="S699" s="260"/>
      <c r="T699" s="279"/>
      <c r="U699" s="260"/>
      <c r="V699" s="260"/>
      <c r="W699" s="260"/>
      <c r="X699" s="260"/>
      <c r="Y699" s="260"/>
      <c r="Z699" s="260"/>
      <c r="AA699" s="264"/>
      <c r="AB699" s="260"/>
      <c r="AC699" s="260"/>
    </row>
    <row r="700">
      <c r="A700" s="259"/>
      <c r="B700" s="260"/>
      <c r="C700" s="260"/>
      <c r="D700" s="260"/>
      <c r="E700" s="260"/>
      <c r="F700" s="260"/>
      <c r="G700" s="260"/>
      <c r="H700" s="260"/>
      <c r="I700" s="260"/>
      <c r="J700" s="261"/>
      <c r="K700" s="260"/>
      <c r="L700" s="260"/>
      <c r="M700" s="260"/>
      <c r="N700" s="260"/>
      <c r="O700" s="260"/>
      <c r="P700" s="260"/>
      <c r="Q700" s="260"/>
      <c r="R700" s="260"/>
      <c r="S700" s="260"/>
      <c r="T700" s="279"/>
      <c r="U700" s="260"/>
      <c r="V700" s="260"/>
      <c r="W700" s="260"/>
      <c r="X700" s="260"/>
      <c r="Y700" s="260"/>
      <c r="Z700" s="260"/>
      <c r="AA700" s="264"/>
      <c r="AB700" s="260"/>
      <c r="AC700" s="260"/>
    </row>
    <row r="701">
      <c r="A701" s="259"/>
      <c r="B701" s="260"/>
      <c r="C701" s="260"/>
      <c r="D701" s="260"/>
      <c r="E701" s="260"/>
      <c r="F701" s="260"/>
      <c r="G701" s="260"/>
      <c r="H701" s="260"/>
      <c r="I701" s="260"/>
      <c r="J701" s="261"/>
      <c r="K701" s="260"/>
      <c r="L701" s="260"/>
      <c r="M701" s="260"/>
      <c r="N701" s="260"/>
      <c r="O701" s="260"/>
      <c r="P701" s="260"/>
      <c r="Q701" s="260"/>
      <c r="R701" s="260"/>
      <c r="S701" s="260"/>
      <c r="T701" s="279"/>
      <c r="U701" s="260"/>
      <c r="V701" s="260"/>
      <c r="W701" s="260"/>
      <c r="X701" s="260"/>
      <c r="Y701" s="260"/>
      <c r="Z701" s="260"/>
      <c r="AA701" s="264"/>
      <c r="AB701" s="260"/>
      <c r="AC701" s="260"/>
    </row>
    <row r="702">
      <c r="A702" s="259"/>
      <c r="B702" s="260"/>
      <c r="C702" s="260"/>
      <c r="D702" s="260"/>
      <c r="E702" s="260"/>
      <c r="F702" s="260"/>
      <c r="G702" s="260"/>
      <c r="H702" s="260"/>
      <c r="I702" s="260"/>
      <c r="J702" s="261"/>
      <c r="K702" s="260"/>
      <c r="L702" s="260"/>
      <c r="M702" s="260"/>
      <c r="N702" s="260"/>
      <c r="O702" s="260"/>
      <c r="P702" s="260"/>
      <c r="Q702" s="260"/>
      <c r="R702" s="260"/>
      <c r="S702" s="260"/>
      <c r="T702" s="279"/>
      <c r="U702" s="260"/>
      <c r="V702" s="260"/>
      <c r="W702" s="260"/>
      <c r="X702" s="260"/>
      <c r="Y702" s="260"/>
      <c r="Z702" s="260"/>
      <c r="AA702" s="264"/>
      <c r="AB702" s="260"/>
      <c r="AC702" s="260"/>
    </row>
    <row r="703">
      <c r="A703" s="259"/>
      <c r="B703" s="260"/>
      <c r="C703" s="260"/>
      <c r="D703" s="260"/>
      <c r="E703" s="260"/>
      <c r="F703" s="260"/>
      <c r="G703" s="260"/>
      <c r="H703" s="260"/>
      <c r="I703" s="260"/>
      <c r="J703" s="261"/>
      <c r="K703" s="260"/>
      <c r="L703" s="260"/>
      <c r="M703" s="260"/>
      <c r="N703" s="260"/>
      <c r="O703" s="260"/>
      <c r="P703" s="260"/>
      <c r="Q703" s="260"/>
      <c r="R703" s="260"/>
      <c r="S703" s="260"/>
      <c r="T703" s="279"/>
      <c r="U703" s="260"/>
      <c r="V703" s="260"/>
      <c r="W703" s="260"/>
      <c r="X703" s="260"/>
      <c r="Y703" s="260"/>
      <c r="Z703" s="260"/>
      <c r="AA703" s="264"/>
      <c r="AB703" s="260"/>
      <c r="AC703" s="260"/>
    </row>
    <row r="704">
      <c r="A704" s="259"/>
      <c r="B704" s="260"/>
      <c r="C704" s="260"/>
      <c r="D704" s="260"/>
      <c r="E704" s="260"/>
      <c r="F704" s="260"/>
      <c r="G704" s="260"/>
      <c r="H704" s="260"/>
      <c r="I704" s="260"/>
      <c r="J704" s="261"/>
      <c r="K704" s="260"/>
      <c r="L704" s="260"/>
      <c r="M704" s="260"/>
      <c r="N704" s="260"/>
      <c r="O704" s="260"/>
      <c r="P704" s="260"/>
      <c r="Q704" s="260"/>
      <c r="R704" s="260"/>
      <c r="S704" s="260"/>
      <c r="T704" s="279"/>
      <c r="U704" s="260"/>
      <c r="V704" s="260"/>
      <c r="W704" s="260"/>
      <c r="X704" s="260"/>
      <c r="Y704" s="260"/>
      <c r="Z704" s="260"/>
      <c r="AA704" s="264"/>
      <c r="AB704" s="260"/>
      <c r="AC704" s="260"/>
    </row>
    <row r="705">
      <c r="A705" s="259"/>
      <c r="B705" s="260"/>
      <c r="C705" s="260"/>
      <c r="D705" s="260"/>
      <c r="E705" s="260"/>
      <c r="F705" s="260"/>
      <c r="G705" s="260"/>
      <c r="H705" s="260"/>
      <c r="I705" s="260"/>
      <c r="J705" s="261"/>
      <c r="K705" s="260"/>
      <c r="L705" s="260"/>
      <c r="M705" s="260"/>
      <c r="N705" s="260"/>
      <c r="O705" s="260"/>
      <c r="P705" s="260"/>
      <c r="Q705" s="260"/>
      <c r="R705" s="260"/>
      <c r="S705" s="260"/>
      <c r="T705" s="279"/>
      <c r="U705" s="260"/>
      <c r="V705" s="260"/>
      <c r="W705" s="260"/>
      <c r="X705" s="260"/>
      <c r="Y705" s="260"/>
      <c r="Z705" s="260"/>
      <c r="AA705" s="264"/>
      <c r="AB705" s="260"/>
      <c r="AC705" s="260"/>
    </row>
    <row r="706">
      <c r="A706" s="259"/>
      <c r="B706" s="260"/>
      <c r="C706" s="260"/>
      <c r="D706" s="260"/>
      <c r="E706" s="260"/>
      <c r="F706" s="260"/>
      <c r="G706" s="260"/>
      <c r="H706" s="260"/>
      <c r="I706" s="260"/>
      <c r="J706" s="261"/>
      <c r="K706" s="260"/>
      <c r="L706" s="260"/>
      <c r="M706" s="260"/>
      <c r="N706" s="260"/>
      <c r="O706" s="260"/>
      <c r="P706" s="260"/>
      <c r="Q706" s="260"/>
      <c r="R706" s="260"/>
      <c r="S706" s="260"/>
      <c r="T706" s="279"/>
      <c r="U706" s="260"/>
      <c r="V706" s="260"/>
      <c r="W706" s="260"/>
      <c r="X706" s="260"/>
      <c r="Y706" s="260"/>
      <c r="Z706" s="260"/>
      <c r="AA706" s="264"/>
      <c r="AB706" s="260"/>
      <c r="AC706" s="260"/>
    </row>
    <row r="707">
      <c r="A707" s="259"/>
      <c r="B707" s="260"/>
      <c r="C707" s="260"/>
      <c r="D707" s="260"/>
      <c r="E707" s="260"/>
      <c r="F707" s="260"/>
      <c r="G707" s="260"/>
      <c r="H707" s="260"/>
      <c r="I707" s="260"/>
      <c r="J707" s="261"/>
      <c r="K707" s="260"/>
      <c r="L707" s="260"/>
      <c r="M707" s="260"/>
      <c r="N707" s="260"/>
      <c r="O707" s="260"/>
      <c r="P707" s="260"/>
      <c r="Q707" s="260"/>
      <c r="R707" s="260"/>
      <c r="S707" s="260"/>
      <c r="T707" s="279"/>
      <c r="U707" s="260"/>
      <c r="V707" s="260"/>
      <c r="W707" s="260"/>
      <c r="X707" s="260"/>
      <c r="Y707" s="260"/>
      <c r="Z707" s="260"/>
      <c r="AA707" s="264"/>
      <c r="AB707" s="260"/>
      <c r="AC707" s="260"/>
    </row>
    <row r="708">
      <c r="A708" s="259"/>
      <c r="B708" s="260"/>
      <c r="C708" s="260"/>
      <c r="D708" s="260"/>
      <c r="E708" s="260"/>
      <c r="F708" s="260"/>
      <c r="G708" s="260"/>
      <c r="H708" s="260"/>
      <c r="I708" s="260"/>
      <c r="J708" s="261"/>
      <c r="K708" s="260"/>
      <c r="L708" s="260"/>
      <c r="M708" s="260"/>
      <c r="N708" s="260"/>
      <c r="O708" s="260"/>
      <c r="P708" s="260"/>
      <c r="Q708" s="260"/>
      <c r="R708" s="260"/>
      <c r="S708" s="260"/>
      <c r="T708" s="279"/>
      <c r="U708" s="260"/>
      <c r="V708" s="260"/>
      <c r="W708" s="260"/>
      <c r="X708" s="260"/>
      <c r="Y708" s="260"/>
      <c r="Z708" s="260"/>
      <c r="AA708" s="264"/>
      <c r="AB708" s="260"/>
      <c r="AC708" s="260"/>
    </row>
    <row r="709">
      <c r="A709" s="259"/>
      <c r="B709" s="260"/>
      <c r="C709" s="260"/>
      <c r="D709" s="260"/>
      <c r="E709" s="260"/>
      <c r="F709" s="260"/>
      <c r="G709" s="260"/>
      <c r="H709" s="260"/>
      <c r="I709" s="260"/>
      <c r="J709" s="261"/>
      <c r="K709" s="260"/>
      <c r="L709" s="260"/>
      <c r="M709" s="260"/>
      <c r="N709" s="260"/>
      <c r="O709" s="260"/>
      <c r="P709" s="260"/>
      <c r="Q709" s="260"/>
      <c r="R709" s="260"/>
      <c r="S709" s="260"/>
      <c r="T709" s="279"/>
      <c r="U709" s="260"/>
      <c r="V709" s="260"/>
      <c r="W709" s="260"/>
      <c r="X709" s="260"/>
      <c r="Y709" s="260"/>
      <c r="Z709" s="260"/>
      <c r="AA709" s="264"/>
      <c r="AB709" s="260"/>
      <c r="AC709" s="260"/>
    </row>
    <row r="710">
      <c r="A710" s="259"/>
      <c r="B710" s="260"/>
      <c r="C710" s="260"/>
      <c r="D710" s="260"/>
      <c r="E710" s="260"/>
      <c r="F710" s="260"/>
      <c r="G710" s="260"/>
      <c r="H710" s="260"/>
      <c r="I710" s="260"/>
      <c r="J710" s="261"/>
      <c r="K710" s="260"/>
      <c r="L710" s="260"/>
      <c r="M710" s="260"/>
      <c r="N710" s="260"/>
      <c r="O710" s="260"/>
      <c r="P710" s="260"/>
      <c r="Q710" s="260"/>
      <c r="R710" s="260"/>
      <c r="S710" s="260"/>
      <c r="T710" s="279"/>
      <c r="U710" s="260"/>
      <c r="V710" s="260"/>
      <c r="W710" s="260"/>
      <c r="X710" s="260"/>
      <c r="Y710" s="260"/>
      <c r="Z710" s="260"/>
      <c r="AA710" s="264"/>
      <c r="AB710" s="260"/>
      <c r="AC710" s="260"/>
    </row>
    <row r="711">
      <c r="A711" s="259"/>
      <c r="B711" s="260"/>
      <c r="C711" s="260"/>
      <c r="D711" s="260"/>
      <c r="E711" s="260"/>
      <c r="F711" s="260"/>
      <c r="G711" s="260"/>
      <c r="H711" s="260"/>
      <c r="I711" s="260"/>
      <c r="J711" s="261"/>
      <c r="K711" s="260"/>
      <c r="L711" s="260"/>
      <c r="M711" s="260"/>
      <c r="N711" s="260"/>
      <c r="O711" s="260"/>
      <c r="P711" s="260"/>
      <c r="Q711" s="260"/>
      <c r="R711" s="260"/>
      <c r="S711" s="260"/>
      <c r="T711" s="279"/>
      <c r="U711" s="260"/>
      <c r="V711" s="260"/>
      <c r="W711" s="260"/>
      <c r="X711" s="260"/>
      <c r="Y711" s="260"/>
      <c r="Z711" s="260"/>
      <c r="AA711" s="264"/>
      <c r="AB711" s="260"/>
      <c r="AC711" s="260"/>
    </row>
    <row r="712">
      <c r="A712" s="259"/>
      <c r="B712" s="260"/>
      <c r="C712" s="260"/>
      <c r="D712" s="260"/>
      <c r="E712" s="260"/>
      <c r="F712" s="260"/>
      <c r="G712" s="260"/>
      <c r="H712" s="260"/>
      <c r="I712" s="260"/>
      <c r="J712" s="261"/>
      <c r="K712" s="260"/>
      <c r="L712" s="260"/>
      <c r="M712" s="260"/>
      <c r="N712" s="260"/>
      <c r="O712" s="260"/>
      <c r="P712" s="260"/>
      <c r="Q712" s="260"/>
      <c r="R712" s="260"/>
      <c r="S712" s="260"/>
      <c r="T712" s="279"/>
      <c r="U712" s="260"/>
      <c r="V712" s="260"/>
      <c r="W712" s="260"/>
      <c r="X712" s="260"/>
      <c r="Y712" s="260"/>
      <c r="Z712" s="260"/>
      <c r="AA712" s="264"/>
      <c r="AB712" s="260"/>
      <c r="AC712" s="260"/>
    </row>
    <row r="713">
      <c r="A713" s="259"/>
      <c r="B713" s="260"/>
      <c r="C713" s="260"/>
      <c r="D713" s="260"/>
      <c r="E713" s="260"/>
      <c r="F713" s="260"/>
      <c r="G713" s="260"/>
      <c r="H713" s="260"/>
      <c r="I713" s="260"/>
      <c r="J713" s="261"/>
      <c r="K713" s="260"/>
      <c r="L713" s="260"/>
      <c r="M713" s="260"/>
      <c r="N713" s="260"/>
      <c r="O713" s="260"/>
      <c r="P713" s="260"/>
      <c r="Q713" s="260"/>
      <c r="R713" s="260"/>
      <c r="S713" s="260"/>
      <c r="T713" s="279"/>
      <c r="U713" s="260"/>
      <c r="V713" s="260"/>
      <c r="W713" s="260"/>
      <c r="X713" s="260"/>
      <c r="Y713" s="260"/>
      <c r="Z713" s="260"/>
      <c r="AA713" s="264"/>
      <c r="AB713" s="260"/>
      <c r="AC713" s="260"/>
    </row>
    <row r="714">
      <c r="A714" s="259"/>
      <c r="B714" s="260"/>
      <c r="C714" s="260"/>
      <c r="D714" s="260"/>
      <c r="E714" s="260"/>
      <c r="F714" s="260"/>
      <c r="G714" s="260"/>
      <c r="H714" s="260"/>
      <c r="I714" s="260"/>
      <c r="J714" s="261"/>
      <c r="K714" s="260"/>
      <c r="L714" s="260"/>
      <c r="M714" s="260"/>
      <c r="N714" s="260"/>
      <c r="O714" s="260"/>
      <c r="P714" s="260"/>
      <c r="Q714" s="260"/>
      <c r="R714" s="260"/>
      <c r="S714" s="260"/>
      <c r="T714" s="279"/>
      <c r="U714" s="260"/>
      <c r="V714" s="260"/>
      <c r="W714" s="260"/>
      <c r="X714" s="260"/>
      <c r="Y714" s="260"/>
      <c r="Z714" s="260"/>
      <c r="AA714" s="264"/>
      <c r="AB714" s="260"/>
      <c r="AC714" s="260"/>
    </row>
    <row r="715">
      <c r="A715" s="259"/>
      <c r="B715" s="260"/>
      <c r="C715" s="260"/>
      <c r="D715" s="260"/>
      <c r="E715" s="260"/>
      <c r="F715" s="260"/>
      <c r="G715" s="260"/>
      <c r="H715" s="260"/>
      <c r="I715" s="260"/>
      <c r="J715" s="261"/>
      <c r="K715" s="260"/>
      <c r="L715" s="260"/>
      <c r="M715" s="260"/>
      <c r="N715" s="260"/>
      <c r="O715" s="260"/>
      <c r="P715" s="260"/>
      <c r="Q715" s="260"/>
      <c r="R715" s="260"/>
      <c r="S715" s="260"/>
      <c r="T715" s="279"/>
      <c r="U715" s="260"/>
      <c r="V715" s="260"/>
      <c r="W715" s="260"/>
      <c r="X715" s="260"/>
      <c r="Y715" s="260"/>
      <c r="Z715" s="260"/>
      <c r="AA715" s="264"/>
      <c r="AB715" s="260"/>
      <c r="AC715" s="260"/>
    </row>
    <row r="716">
      <c r="A716" s="259"/>
      <c r="B716" s="260"/>
      <c r="C716" s="260"/>
      <c r="D716" s="260"/>
      <c r="E716" s="260"/>
      <c r="F716" s="260"/>
      <c r="G716" s="260"/>
      <c r="H716" s="260"/>
      <c r="I716" s="260"/>
      <c r="J716" s="261"/>
      <c r="K716" s="260"/>
      <c r="L716" s="260"/>
      <c r="M716" s="260"/>
      <c r="N716" s="260"/>
      <c r="O716" s="260"/>
      <c r="P716" s="260"/>
      <c r="Q716" s="260"/>
      <c r="R716" s="260"/>
      <c r="S716" s="260"/>
      <c r="T716" s="279"/>
      <c r="U716" s="260"/>
      <c r="V716" s="260"/>
      <c r="W716" s="260"/>
      <c r="X716" s="260"/>
      <c r="Y716" s="260"/>
      <c r="Z716" s="260"/>
      <c r="AA716" s="264"/>
      <c r="AB716" s="260"/>
      <c r="AC716" s="260"/>
    </row>
    <row r="717">
      <c r="A717" s="259"/>
      <c r="B717" s="260"/>
      <c r="C717" s="260"/>
      <c r="D717" s="260"/>
      <c r="E717" s="260"/>
      <c r="F717" s="260"/>
      <c r="G717" s="260"/>
      <c r="H717" s="260"/>
      <c r="I717" s="260"/>
      <c r="J717" s="261"/>
      <c r="K717" s="260"/>
      <c r="L717" s="260"/>
      <c r="M717" s="260"/>
      <c r="N717" s="260"/>
      <c r="O717" s="260"/>
      <c r="P717" s="260"/>
      <c r="Q717" s="260"/>
      <c r="R717" s="260"/>
      <c r="S717" s="260"/>
      <c r="T717" s="279"/>
      <c r="U717" s="260"/>
      <c r="V717" s="260"/>
      <c r="W717" s="260"/>
      <c r="X717" s="260"/>
      <c r="Y717" s="260"/>
      <c r="Z717" s="260"/>
      <c r="AA717" s="264"/>
      <c r="AB717" s="260"/>
      <c r="AC717" s="260"/>
    </row>
    <row r="718">
      <c r="A718" s="259"/>
      <c r="B718" s="260"/>
      <c r="C718" s="260"/>
      <c r="D718" s="260"/>
      <c r="E718" s="260"/>
      <c r="F718" s="260"/>
      <c r="G718" s="260"/>
      <c r="H718" s="260"/>
      <c r="I718" s="260"/>
      <c r="J718" s="261"/>
      <c r="K718" s="260"/>
      <c r="L718" s="260"/>
      <c r="M718" s="260"/>
      <c r="N718" s="260"/>
      <c r="O718" s="260"/>
      <c r="P718" s="260"/>
      <c r="Q718" s="260"/>
      <c r="R718" s="260"/>
      <c r="S718" s="260"/>
      <c r="T718" s="279"/>
      <c r="U718" s="260"/>
      <c r="V718" s="260"/>
      <c r="W718" s="260"/>
      <c r="X718" s="260"/>
      <c r="Y718" s="260"/>
      <c r="Z718" s="260"/>
      <c r="AA718" s="264"/>
      <c r="AB718" s="260"/>
      <c r="AC718" s="260"/>
    </row>
    <row r="719">
      <c r="A719" s="259"/>
      <c r="B719" s="260"/>
      <c r="C719" s="260"/>
      <c r="D719" s="260"/>
      <c r="E719" s="260"/>
      <c r="F719" s="260"/>
      <c r="G719" s="260"/>
      <c r="H719" s="260"/>
      <c r="I719" s="260"/>
      <c r="J719" s="261"/>
      <c r="K719" s="260"/>
      <c r="L719" s="260"/>
      <c r="M719" s="260"/>
      <c r="N719" s="260"/>
      <c r="O719" s="260"/>
      <c r="P719" s="260"/>
      <c r="Q719" s="260"/>
      <c r="R719" s="260"/>
      <c r="S719" s="260"/>
      <c r="T719" s="279"/>
      <c r="U719" s="260"/>
      <c r="V719" s="260"/>
      <c r="W719" s="260"/>
      <c r="X719" s="260"/>
      <c r="Y719" s="260"/>
      <c r="Z719" s="260"/>
      <c r="AA719" s="264"/>
      <c r="AB719" s="260"/>
      <c r="AC719" s="260"/>
    </row>
    <row r="720">
      <c r="A720" s="259"/>
      <c r="B720" s="260"/>
      <c r="C720" s="260"/>
      <c r="D720" s="260"/>
      <c r="E720" s="260"/>
      <c r="F720" s="260"/>
      <c r="G720" s="260"/>
      <c r="H720" s="260"/>
      <c r="I720" s="260"/>
      <c r="J720" s="261"/>
      <c r="K720" s="260"/>
      <c r="L720" s="260"/>
      <c r="M720" s="260"/>
      <c r="N720" s="260"/>
      <c r="O720" s="260"/>
      <c r="P720" s="260"/>
      <c r="Q720" s="260"/>
      <c r="R720" s="260"/>
      <c r="S720" s="260"/>
      <c r="T720" s="279"/>
      <c r="U720" s="260"/>
      <c r="V720" s="260"/>
      <c r="W720" s="260"/>
      <c r="X720" s="260"/>
      <c r="Y720" s="260"/>
      <c r="Z720" s="260"/>
      <c r="AA720" s="264"/>
      <c r="AB720" s="260"/>
      <c r="AC720" s="260"/>
    </row>
    <row r="721">
      <c r="A721" s="259"/>
      <c r="B721" s="260"/>
      <c r="C721" s="260"/>
      <c r="D721" s="260"/>
      <c r="E721" s="260"/>
      <c r="F721" s="260"/>
      <c r="G721" s="260"/>
      <c r="H721" s="260"/>
      <c r="I721" s="260"/>
      <c r="J721" s="261"/>
      <c r="K721" s="260"/>
      <c r="L721" s="260"/>
      <c r="M721" s="260"/>
      <c r="N721" s="260"/>
      <c r="O721" s="260"/>
      <c r="P721" s="260"/>
      <c r="Q721" s="260"/>
      <c r="R721" s="260"/>
      <c r="S721" s="260"/>
      <c r="T721" s="279"/>
      <c r="U721" s="260"/>
      <c r="V721" s="260"/>
      <c r="W721" s="260"/>
      <c r="X721" s="260"/>
      <c r="Y721" s="260"/>
      <c r="Z721" s="260"/>
      <c r="AA721" s="264"/>
      <c r="AB721" s="260"/>
      <c r="AC721" s="260"/>
    </row>
    <row r="722">
      <c r="A722" s="259"/>
      <c r="B722" s="260"/>
      <c r="C722" s="260"/>
      <c r="D722" s="260"/>
      <c r="E722" s="260"/>
      <c r="F722" s="260"/>
      <c r="G722" s="260"/>
      <c r="H722" s="260"/>
      <c r="I722" s="260"/>
      <c r="J722" s="261"/>
      <c r="K722" s="260"/>
      <c r="L722" s="260"/>
      <c r="M722" s="260"/>
      <c r="N722" s="260"/>
      <c r="O722" s="260"/>
      <c r="P722" s="260"/>
      <c r="Q722" s="260"/>
      <c r="R722" s="260"/>
      <c r="S722" s="260"/>
      <c r="T722" s="279"/>
      <c r="U722" s="260"/>
      <c r="V722" s="260"/>
      <c r="W722" s="260"/>
      <c r="X722" s="260"/>
      <c r="Y722" s="260"/>
      <c r="Z722" s="260"/>
      <c r="AA722" s="264"/>
      <c r="AB722" s="260"/>
      <c r="AC722" s="260"/>
    </row>
    <row r="723">
      <c r="A723" s="259"/>
      <c r="B723" s="260"/>
      <c r="C723" s="260"/>
      <c r="D723" s="260"/>
      <c r="E723" s="260"/>
      <c r="F723" s="260"/>
      <c r="G723" s="260"/>
      <c r="H723" s="260"/>
      <c r="I723" s="260"/>
      <c r="J723" s="261"/>
      <c r="K723" s="260"/>
      <c r="L723" s="260"/>
      <c r="M723" s="260"/>
      <c r="N723" s="260"/>
      <c r="O723" s="260"/>
      <c r="P723" s="260"/>
      <c r="Q723" s="260"/>
      <c r="R723" s="260"/>
      <c r="S723" s="260"/>
      <c r="T723" s="279"/>
      <c r="U723" s="260"/>
      <c r="V723" s="260"/>
      <c r="W723" s="260"/>
      <c r="X723" s="260"/>
      <c r="Y723" s="260"/>
      <c r="Z723" s="260"/>
      <c r="AA723" s="264"/>
      <c r="AB723" s="260"/>
      <c r="AC723" s="260"/>
    </row>
    <row r="724">
      <c r="A724" s="259"/>
      <c r="B724" s="260"/>
      <c r="C724" s="260"/>
      <c r="D724" s="260"/>
      <c r="E724" s="260"/>
      <c r="F724" s="260"/>
      <c r="G724" s="260"/>
      <c r="H724" s="260"/>
      <c r="I724" s="260"/>
      <c r="J724" s="261"/>
      <c r="K724" s="260"/>
      <c r="L724" s="260"/>
      <c r="M724" s="260"/>
      <c r="N724" s="260"/>
      <c r="O724" s="260"/>
      <c r="P724" s="260"/>
      <c r="Q724" s="260"/>
      <c r="R724" s="260"/>
      <c r="S724" s="260"/>
      <c r="T724" s="279"/>
      <c r="U724" s="260"/>
      <c r="V724" s="260"/>
      <c r="W724" s="260"/>
      <c r="X724" s="260"/>
      <c r="Y724" s="260"/>
      <c r="Z724" s="260"/>
      <c r="AA724" s="264"/>
      <c r="AB724" s="260"/>
      <c r="AC724" s="260"/>
    </row>
    <row r="725">
      <c r="A725" s="259"/>
      <c r="B725" s="260"/>
      <c r="C725" s="260"/>
      <c r="D725" s="260"/>
      <c r="E725" s="260"/>
      <c r="F725" s="260"/>
      <c r="G725" s="260"/>
      <c r="H725" s="260"/>
      <c r="I725" s="260"/>
      <c r="J725" s="261"/>
      <c r="K725" s="260"/>
      <c r="L725" s="260"/>
      <c r="M725" s="260"/>
      <c r="N725" s="260"/>
      <c r="O725" s="260"/>
      <c r="P725" s="260"/>
      <c r="Q725" s="260"/>
      <c r="R725" s="260"/>
      <c r="S725" s="260"/>
      <c r="T725" s="279"/>
      <c r="U725" s="260"/>
      <c r="V725" s="260"/>
      <c r="W725" s="260"/>
      <c r="X725" s="260"/>
      <c r="Y725" s="260"/>
      <c r="Z725" s="260"/>
      <c r="AA725" s="264"/>
      <c r="AB725" s="260"/>
      <c r="AC725" s="260"/>
    </row>
    <row r="726">
      <c r="A726" s="259"/>
      <c r="B726" s="260"/>
      <c r="C726" s="260"/>
      <c r="D726" s="260"/>
      <c r="E726" s="260"/>
      <c r="F726" s="260"/>
      <c r="G726" s="260"/>
      <c r="H726" s="260"/>
      <c r="I726" s="260"/>
      <c r="J726" s="261"/>
      <c r="K726" s="260"/>
      <c r="L726" s="260"/>
      <c r="M726" s="260"/>
      <c r="N726" s="260"/>
      <c r="O726" s="260"/>
      <c r="P726" s="260"/>
      <c r="Q726" s="260"/>
      <c r="R726" s="260"/>
      <c r="S726" s="260"/>
      <c r="T726" s="279"/>
      <c r="U726" s="260"/>
      <c r="V726" s="260"/>
      <c r="W726" s="260"/>
      <c r="X726" s="260"/>
      <c r="Y726" s="260"/>
      <c r="Z726" s="260"/>
      <c r="AA726" s="264"/>
      <c r="AB726" s="260"/>
      <c r="AC726" s="260"/>
    </row>
    <row r="727">
      <c r="A727" s="259"/>
      <c r="B727" s="260"/>
      <c r="C727" s="260"/>
      <c r="D727" s="260"/>
      <c r="E727" s="260"/>
      <c r="F727" s="260"/>
      <c r="G727" s="260"/>
      <c r="H727" s="260"/>
      <c r="I727" s="260"/>
      <c r="J727" s="261"/>
      <c r="K727" s="260"/>
      <c r="L727" s="260"/>
      <c r="M727" s="260"/>
      <c r="N727" s="260"/>
      <c r="O727" s="260"/>
      <c r="P727" s="260"/>
      <c r="Q727" s="260"/>
      <c r="R727" s="260"/>
      <c r="S727" s="260"/>
      <c r="T727" s="279"/>
      <c r="U727" s="260"/>
      <c r="V727" s="260"/>
      <c r="W727" s="260"/>
      <c r="X727" s="260"/>
      <c r="Y727" s="260"/>
      <c r="Z727" s="260"/>
      <c r="AA727" s="264"/>
      <c r="AB727" s="260"/>
      <c r="AC727" s="260"/>
    </row>
    <row r="728">
      <c r="A728" s="259"/>
      <c r="B728" s="260"/>
      <c r="C728" s="260"/>
      <c r="D728" s="260"/>
      <c r="E728" s="260"/>
      <c r="F728" s="260"/>
      <c r="G728" s="260"/>
      <c r="H728" s="260"/>
      <c r="I728" s="260"/>
      <c r="J728" s="261"/>
      <c r="K728" s="260"/>
      <c r="L728" s="260"/>
      <c r="M728" s="260"/>
      <c r="N728" s="260"/>
      <c r="O728" s="260"/>
      <c r="P728" s="260"/>
      <c r="Q728" s="260"/>
      <c r="R728" s="260"/>
      <c r="S728" s="260"/>
      <c r="T728" s="279"/>
      <c r="U728" s="260"/>
      <c r="V728" s="260"/>
      <c r="W728" s="260"/>
      <c r="X728" s="260"/>
      <c r="Y728" s="260"/>
      <c r="Z728" s="260"/>
      <c r="AA728" s="264"/>
      <c r="AB728" s="260"/>
      <c r="AC728" s="260"/>
    </row>
    <row r="729">
      <c r="A729" s="259"/>
      <c r="B729" s="260"/>
      <c r="C729" s="260"/>
      <c r="D729" s="260"/>
      <c r="E729" s="260"/>
      <c r="F729" s="260"/>
      <c r="G729" s="260"/>
      <c r="H729" s="260"/>
      <c r="I729" s="260"/>
      <c r="J729" s="261"/>
      <c r="K729" s="260"/>
      <c r="L729" s="260"/>
      <c r="M729" s="260"/>
      <c r="N729" s="260"/>
      <c r="O729" s="260"/>
      <c r="P729" s="260"/>
      <c r="Q729" s="260"/>
      <c r="R729" s="260"/>
      <c r="S729" s="260"/>
      <c r="T729" s="279"/>
      <c r="U729" s="260"/>
      <c r="V729" s="260"/>
      <c r="W729" s="260"/>
      <c r="X729" s="260"/>
      <c r="Y729" s="260"/>
      <c r="Z729" s="260"/>
      <c r="AA729" s="264"/>
      <c r="AB729" s="260"/>
      <c r="AC729" s="260"/>
    </row>
    <row r="730">
      <c r="A730" s="259"/>
      <c r="B730" s="260"/>
      <c r="C730" s="260"/>
      <c r="D730" s="260"/>
      <c r="E730" s="260"/>
      <c r="F730" s="260"/>
      <c r="G730" s="260"/>
      <c r="H730" s="260"/>
      <c r="I730" s="260"/>
      <c r="J730" s="261"/>
      <c r="K730" s="260"/>
      <c r="L730" s="260"/>
      <c r="M730" s="260"/>
      <c r="N730" s="260"/>
      <c r="O730" s="260"/>
      <c r="P730" s="260"/>
      <c r="Q730" s="260"/>
      <c r="R730" s="260"/>
      <c r="S730" s="260"/>
      <c r="T730" s="279"/>
      <c r="U730" s="260"/>
      <c r="V730" s="260"/>
      <c r="W730" s="260"/>
      <c r="X730" s="260"/>
      <c r="Y730" s="260"/>
      <c r="Z730" s="260"/>
      <c r="AA730" s="264"/>
      <c r="AB730" s="260"/>
      <c r="AC730" s="260"/>
    </row>
    <row r="731">
      <c r="A731" s="259"/>
      <c r="B731" s="260"/>
      <c r="C731" s="260"/>
      <c r="D731" s="260"/>
      <c r="E731" s="260"/>
      <c r="F731" s="260"/>
      <c r="G731" s="260"/>
      <c r="H731" s="260"/>
      <c r="I731" s="260"/>
      <c r="J731" s="261"/>
      <c r="K731" s="260"/>
      <c r="L731" s="260"/>
      <c r="M731" s="260"/>
      <c r="N731" s="260"/>
      <c r="O731" s="260"/>
      <c r="P731" s="260"/>
      <c r="Q731" s="260"/>
      <c r="R731" s="260"/>
      <c r="S731" s="260"/>
      <c r="T731" s="279"/>
      <c r="U731" s="260"/>
      <c r="V731" s="260"/>
      <c r="W731" s="260"/>
      <c r="X731" s="260"/>
      <c r="Y731" s="260"/>
      <c r="Z731" s="260"/>
      <c r="AA731" s="264"/>
      <c r="AB731" s="260"/>
      <c r="AC731" s="260"/>
    </row>
    <row r="732">
      <c r="A732" s="259"/>
      <c r="B732" s="260"/>
      <c r="C732" s="260"/>
      <c r="D732" s="260"/>
      <c r="E732" s="260"/>
      <c r="F732" s="260"/>
      <c r="G732" s="260"/>
      <c r="H732" s="260"/>
      <c r="I732" s="260"/>
      <c r="J732" s="261"/>
      <c r="K732" s="260"/>
      <c r="L732" s="260"/>
      <c r="M732" s="260"/>
      <c r="N732" s="260"/>
      <c r="O732" s="260"/>
      <c r="P732" s="260"/>
      <c r="Q732" s="260"/>
      <c r="R732" s="260"/>
      <c r="S732" s="260"/>
      <c r="T732" s="279"/>
      <c r="U732" s="260"/>
      <c r="V732" s="260"/>
      <c r="W732" s="260"/>
      <c r="X732" s="260"/>
      <c r="Y732" s="260"/>
      <c r="Z732" s="260"/>
      <c r="AA732" s="264"/>
      <c r="AB732" s="260"/>
      <c r="AC732" s="260"/>
    </row>
    <row r="733">
      <c r="A733" s="259"/>
      <c r="B733" s="260"/>
      <c r="C733" s="260"/>
      <c r="D733" s="260"/>
      <c r="E733" s="260"/>
      <c r="F733" s="260"/>
      <c r="G733" s="260"/>
      <c r="H733" s="260"/>
      <c r="I733" s="260"/>
      <c r="J733" s="261"/>
      <c r="K733" s="260"/>
      <c r="L733" s="260"/>
      <c r="M733" s="260"/>
      <c r="N733" s="260"/>
      <c r="O733" s="260"/>
      <c r="P733" s="260"/>
      <c r="Q733" s="260"/>
      <c r="R733" s="260"/>
      <c r="S733" s="260"/>
      <c r="T733" s="279"/>
      <c r="U733" s="260"/>
      <c r="V733" s="260"/>
      <c r="W733" s="260"/>
      <c r="X733" s="260"/>
      <c r="Y733" s="260"/>
      <c r="Z733" s="260"/>
      <c r="AA733" s="264"/>
      <c r="AB733" s="260"/>
      <c r="AC733" s="260"/>
    </row>
    <row r="734">
      <c r="A734" s="259"/>
      <c r="B734" s="260"/>
      <c r="C734" s="260"/>
      <c r="D734" s="260"/>
      <c r="E734" s="260"/>
      <c r="F734" s="260"/>
      <c r="G734" s="260"/>
      <c r="H734" s="260"/>
      <c r="I734" s="260"/>
      <c r="J734" s="261"/>
      <c r="K734" s="260"/>
      <c r="L734" s="260"/>
      <c r="M734" s="260"/>
      <c r="N734" s="260"/>
      <c r="O734" s="260"/>
      <c r="P734" s="260"/>
      <c r="Q734" s="260"/>
      <c r="R734" s="260"/>
      <c r="S734" s="260"/>
      <c r="T734" s="279"/>
      <c r="U734" s="260"/>
      <c r="V734" s="260"/>
      <c r="W734" s="260"/>
      <c r="X734" s="260"/>
      <c r="Y734" s="260"/>
      <c r="Z734" s="260"/>
      <c r="AA734" s="264"/>
      <c r="AB734" s="260"/>
      <c r="AC734" s="260"/>
    </row>
    <row r="735">
      <c r="A735" s="259"/>
      <c r="B735" s="260"/>
      <c r="C735" s="260"/>
      <c r="D735" s="260"/>
      <c r="E735" s="260"/>
      <c r="F735" s="260"/>
      <c r="G735" s="260"/>
      <c r="H735" s="260"/>
      <c r="I735" s="260"/>
      <c r="J735" s="261"/>
      <c r="K735" s="260"/>
      <c r="L735" s="260"/>
      <c r="M735" s="260"/>
      <c r="N735" s="260"/>
      <c r="O735" s="260"/>
      <c r="P735" s="260"/>
      <c r="Q735" s="260"/>
      <c r="R735" s="260"/>
      <c r="S735" s="260"/>
      <c r="T735" s="279"/>
      <c r="U735" s="260"/>
      <c r="V735" s="260"/>
      <c r="W735" s="260"/>
      <c r="X735" s="260"/>
      <c r="Y735" s="260"/>
      <c r="Z735" s="260"/>
      <c r="AA735" s="264"/>
      <c r="AB735" s="260"/>
      <c r="AC735" s="260"/>
    </row>
    <row r="736">
      <c r="A736" s="259"/>
      <c r="B736" s="260"/>
      <c r="C736" s="260"/>
      <c r="D736" s="260"/>
      <c r="E736" s="260"/>
      <c r="F736" s="260"/>
      <c r="G736" s="260"/>
      <c r="H736" s="260"/>
      <c r="I736" s="260"/>
      <c r="J736" s="261"/>
      <c r="K736" s="260"/>
      <c r="L736" s="260"/>
      <c r="M736" s="260"/>
      <c r="N736" s="260"/>
      <c r="O736" s="260"/>
      <c r="P736" s="260"/>
      <c r="Q736" s="260"/>
      <c r="R736" s="260"/>
      <c r="S736" s="260"/>
      <c r="T736" s="279"/>
      <c r="U736" s="260"/>
      <c r="V736" s="260"/>
      <c r="W736" s="260"/>
      <c r="X736" s="260"/>
      <c r="Y736" s="260"/>
      <c r="Z736" s="260"/>
      <c r="AA736" s="264"/>
      <c r="AB736" s="260"/>
      <c r="AC736" s="260"/>
    </row>
    <row r="737">
      <c r="A737" s="259"/>
      <c r="B737" s="260"/>
      <c r="C737" s="260"/>
      <c r="D737" s="260"/>
      <c r="E737" s="260"/>
      <c r="F737" s="260"/>
      <c r="G737" s="260"/>
      <c r="H737" s="260"/>
      <c r="I737" s="260"/>
      <c r="J737" s="261"/>
      <c r="K737" s="260"/>
      <c r="L737" s="260"/>
      <c r="M737" s="260"/>
      <c r="N737" s="260"/>
      <c r="O737" s="260"/>
      <c r="P737" s="260"/>
      <c r="Q737" s="260"/>
      <c r="R737" s="260"/>
      <c r="S737" s="260"/>
      <c r="T737" s="279"/>
      <c r="U737" s="260"/>
      <c r="V737" s="260"/>
      <c r="W737" s="260"/>
      <c r="X737" s="260"/>
      <c r="Y737" s="260"/>
      <c r="Z737" s="260"/>
      <c r="AA737" s="264"/>
      <c r="AB737" s="260"/>
      <c r="AC737" s="260"/>
    </row>
    <row r="738">
      <c r="A738" s="259"/>
      <c r="B738" s="260"/>
      <c r="C738" s="260"/>
      <c r="D738" s="260"/>
      <c r="E738" s="260"/>
      <c r="F738" s="260"/>
      <c r="G738" s="260"/>
      <c r="H738" s="260"/>
      <c r="I738" s="260"/>
      <c r="J738" s="261"/>
      <c r="K738" s="260"/>
      <c r="L738" s="260"/>
      <c r="M738" s="260"/>
      <c r="N738" s="260"/>
      <c r="O738" s="260"/>
      <c r="P738" s="260"/>
      <c r="Q738" s="260"/>
      <c r="R738" s="260"/>
      <c r="S738" s="260"/>
      <c r="T738" s="279"/>
      <c r="U738" s="260"/>
      <c r="V738" s="260"/>
      <c r="W738" s="260"/>
      <c r="X738" s="260"/>
      <c r="Y738" s="260"/>
      <c r="Z738" s="260"/>
      <c r="AA738" s="264"/>
      <c r="AB738" s="260"/>
      <c r="AC738" s="260"/>
    </row>
    <row r="739">
      <c r="A739" s="259"/>
      <c r="B739" s="260"/>
      <c r="C739" s="260"/>
      <c r="D739" s="260"/>
      <c r="E739" s="260"/>
      <c r="F739" s="260"/>
      <c r="G739" s="260"/>
      <c r="H739" s="260"/>
      <c r="I739" s="260"/>
      <c r="J739" s="261"/>
      <c r="K739" s="260"/>
      <c r="L739" s="260"/>
      <c r="M739" s="260"/>
      <c r="N739" s="260"/>
      <c r="O739" s="260"/>
      <c r="P739" s="260"/>
      <c r="Q739" s="260"/>
      <c r="R739" s="260"/>
      <c r="S739" s="260"/>
      <c r="T739" s="279"/>
      <c r="U739" s="260"/>
      <c r="V739" s="260"/>
      <c r="W739" s="260"/>
      <c r="X739" s="260"/>
      <c r="Y739" s="260"/>
      <c r="Z739" s="260"/>
      <c r="AA739" s="264"/>
      <c r="AB739" s="260"/>
      <c r="AC739" s="260"/>
    </row>
    <row r="740">
      <c r="A740" s="259"/>
      <c r="B740" s="260"/>
      <c r="C740" s="260"/>
      <c r="D740" s="260"/>
      <c r="E740" s="260"/>
      <c r="F740" s="260"/>
      <c r="G740" s="260"/>
      <c r="H740" s="260"/>
      <c r="I740" s="260"/>
      <c r="J740" s="261"/>
      <c r="K740" s="260"/>
      <c r="L740" s="260"/>
      <c r="M740" s="260"/>
      <c r="N740" s="260"/>
      <c r="O740" s="260"/>
      <c r="P740" s="260"/>
      <c r="Q740" s="260"/>
      <c r="R740" s="260"/>
      <c r="S740" s="260"/>
      <c r="T740" s="279"/>
      <c r="U740" s="260"/>
      <c r="V740" s="260"/>
      <c r="W740" s="260"/>
      <c r="X740" s="260"/>
      <c r="Y740" s="260"/>
      <c r="Z740" s="260"/>
      <c r="AA740" s="264"/>
      <c r="AB740" s="260"/>
      <c r="AC740" s="260"/>
    </row>
    <row r="741">
      <c r="A741" s="259"/>
      <c r="B741" s="260"/>
      <c r="C741" s="260"/>
      <c r="D741" s="260"/>
      <c r="E741" s="260"/>
      <c r="F741" s="260"/>
      <c r="G741" s="260"/>
      <c r="H741" s="260"/>
      <c r="I741" s="260"/>
      <c r="J741" s="261"/>
      <c r="K741" s="260"/>
      <c r="L741" s="260"/>
      <c r="M741" s="260"/>
      <c r="N741" s="260"/>
      <c r="O741" s="260"/>
      <c r="P741" s="260"/>
      <c r="Q741" s="260"/>
      <c r="R741" s="260"/>
      <c r="S741" s="260"/>
      <c r="T741" s="279"/>
      <c r="U741" s="260"/>
      <c r="V741" s="260"/>
      <c r="W741" s="260"/>
      <c r="X741" s="260"/>
      <c r="Y741" s="260"/>
      <c r="Z741" s="260"/>
      <c r="AA741" s="264"/>
      <c r="AB741" s="260"/>
      <c r="AC741" s="260"/>
    </row>
    <row r="742">
      <c r="A742" s="259"/>
      <c r="B742" s="260"/>
      <c r="C742" s="260"/>
      <c r="D742" s="260"/>
      <c r="E742" s="260"/>
      <c r="F742" s="260"/>
      <c r="G742" s="260"/>
      <c r="H742" s="260"/>
      <c r="I742" s="260"/>
      <c r="J742" s="261"/>
      <c r="K742" s="260"/>
      <c r="L742" s="260"/>
      <c r="M742" s="260"/>
      <c r="N742" s="260"/>
      <c r="O742" s="260"/>
      <c r="P742" s="260"/>
      <c r="Q742" s="260"/>
      <c r="R742" s="260"/>
      <c r="S742" s="260"/>
      <c r="T742" s="279"/>
      <c r="U742" s="260"/>
      <c r="V742" s="260"/>
      <c r="W742" s="260"/>
      <c r="X742" s="260"/>
      <c r="Y742" s="260"/>
      <c r="Z742" s="260"/>
      <c r="AA742" s="264"/>
      <c r="AB742" s="260"/>
      <c r="AC742" s="260"/>
    </row>
    <row r="743">
      <c r="A743" s="259"/>
      <c r="B743" s="260"/>
      <c r="C743" s="260"/>
      <c r="D743" s="260"/>
      <c r="E743" s="260"/>
      <c r="F743" s="260"/>
      <c r="G743" s="260"/>
      <c r="H743" s="260"/>
      <c r="I743" s="260"/>
      <c r="J743" s="261"/>
      <c r="K743" s="260"/>
      <c r="L743" s="260"/>
      <c r="M743" s="260"/>
      <c r="N743" s="260"/>
      <c r="O743" s="260"/>
      <c r="P743" s="260"/>
      <c r="Q743" s="260"/>
      <c r="R743" s="260"/>
      <c r="S743" s="260"/>
      <c r="T743" s="279"/>
      <c r="U743" s="260"/>
      <c r="V743" s="260"/>
      <c r="W743" s="260"/>
      <c r="X743" s="260"/>
      <c r="Y743" s="260"/>
      <c r="Z743" s="260"/>
      <c r="AA743" s="264"/>
      <c r="AB743" s="260"/>
      <c r="AC743" s="260"/>
    </row>
    <row r="744">
      <c r="A744" s="259"/>
      <c r="B744" s="260"/>
      <c r="C744" s="260"/>
      <c r="D744" s="260"/>
      <c r="E744" s="260"/>
      <c r="F744" s="260"/>
      <c r="G744" s="260"/>
      <c r="H744" s="260"/>
      <c r="I744" s="260"/>
      <c r="J744" s="261"/>
      <c r="K744" s="260"/>
      <c r="L744" s="260"/>
      <c r="M744" s="260"/>
      <c r="N744" s="260"/>
      <c r="O744" s="260"/>
      <c r="P744" s="260"/>
      <c r="Q744" s="260"/>
      <c r="R744" s="260"/>
      <c r="S744" s="260"/>
      <c r="T744" s="279"/>
      <c r="U744" s="260"/>
      <c r="V744" s="260"/>
      <c r="W744" s="260"/>
      <c r="X744" s="260"/>
      <c r="Y744" s="260"/>
      <c r="Z744" s="260"/>
      <c r="AA744" s="264"/>
      <c r="AB744" s="260"/>
      <c r="AC744" s="260"/>
    </row>
    <row r="745">
      <c r="A745" s="259"/>
      <c r="B745" s="260"/>
      <c r="C745" s="260"/>
      <c r="D745" s="260"/>
      <c r="E745" s="260"/>
      <c r="F745" s="260"/>
      <c r="G745" s="260"/>
      <c r="H745" s="260"/>
      <c r="I745" s="260"/>
      <c r="J745" s="261"/>
      <c r="K745" s="260"/>
      <c r="L745" s="260"/>
      <c r="M745" s="260"/>
      <c r="N745" s="260"/>
      <c r="O745" s="260"/>
      <c r="P745" s="260"/>
      <c r="Q745" s="260"/>
      <c r="R745" s="260"/>
      <c r="S745" s="260"/>
      <c r="T745" s="279"/>
      <c r="U745" s="260"/>
      <c r="V745" s="260"/>
      <c r="W745" s="260"/>
      <c r="X745" s="260"/>
      <c r="Y745" s="260"/>
      <c r="Z745" s="260"/>
      <c r="AA745" s="264"/>
      <c r="AB745" s="260"/>
      <c r="AC745" s="260"/>
    </row>
    <row r="746">
      <c r="A746" s="259"/>
      <c r="B746" s="260"/>
      <c r="C746" s="260"/>
      <c r="D746" s="260"/>
      <c r="E746" s="260"/>
      <c r="F746" s="260"/>
      <c r="G746" s="260"/>
      <c r="H746" s="260"/>
      <c r="I746" s="260"/>
      <c r="J746" s="261"/>
      <c r="K746" s="260"/>
      <c r="L746" s="260"/>
      <c r="M746" s="260"/>
      <c r="N746" s="260"/>
      <c r="O746" s="260"/>
      <c r="P746" s="260"/>
      <c r="Q746" s="260"/>
      <c r="R746" s="260"/>
      <c r="S746" s="260"/>
      <c r="T746" s="279"/>
      <c r="U746" s="260"/>
      <c r="V746" s="260"/>
      <c r="W746" s="260"/>
      <c r="X746" s="260"/>
      <c r="Y746" s="260"/>
      <c r="Z746" s="260"/>
      <c r="AA746" s="264"/>
      <c r="AB746" s="260"/>
      <c r="AC746" s="260"/>
    </row>
    <row r="747">
      <c r="A747" s="259"/>
      <c r="B747" s="260"/>
      <c r="C747" s="260"/>
      <c r="D747" s="260"/>
      <c r="E747" s="260"/>
      <c r="F747" s="260"/>
      <c r="G747" s="260"/>
      <c r="H747" s="260"/>
      <c r="I747" s="260"/>
      <c r="J747" s="261"/>
      <c r="K747" s="260"/>
      <c r="L747" s="260"/>
      <c r="M747" s="260"/>
      <c r="N747" s="260"/>
      <c r="O747" s="260"/>
      <c r="P747" s="260"/>
      <c r="Q747" s="260"/>
      <c r="R747" s="260"/>
      <c r="S747" s="260"/>
      <c r="T747" s="279"/>
      <c r="U747" s="260"/>
      <c r="V747" s="260"/>
      <c r="W747" s="260"/>
      <c r="X747" s="260"/>
      <c r="Y747" s="260"/>
      <c r="Z747" s="260"/>
      <c r="AA747" s="264"/>
      <c r="AB747" s="260"/>
      <c r="AC747" s="260"/>
    </row>
    <row r="748">
      <c r="A748" s="259"/>
      <c r="B748" s="260"/>
      <c r="C748" s="260"/>
      <c r="D748" s="260"/>
      <c r="E748" s="260"/>
      <c r="F748" s="260"/>
      <c r="G748" s="260"/>
      <c r="H748" s="260"/>
      <c r="I748" s="260"/>
      <c r="J748" s="261"/>
      <c r="K748" s="260"/>
      <c r="L748" s="260"/>
      <c r="M748" s="260"/>
      <c r="N748" s="260"/>
      <c r="O748" s="260"/>
      <c r="P748" s="260"/>
      <c r="Q748" s="260"/>
      <c r="R748" s="260"/>
      <c r="S748" s="260"/>
      <c r="T748" s="279"/>
      <c r="U748" s="260"/>
      <c r="V748" s="260"/>
      <c r="W748" s="260"/>
      <c r="X748" s="260"/>
      <c r="Y748" s="260"/>
      <c r="Z748" s="260"/>
      <c r="AA748" s="264"/>
      <c r="AB748" s="260"/>
      <c r="AC748" s="260"/>
    </row>
    <row r="749">
      <c r="A749" s="259"/>
      <c r="B749" s="260"/>
      <c r="C749" s="260"/>
      <c r="D749" s="260"/>
      <c r="E749" s="260"/>
      <c r="F749" s="260"/>
      <c r="G749" s="260"/>
      <c r="H749" s="260"/>
      <c r="I749" s="260"/>
      <c r="J749" s="261"/>
      <c r="K749" s="260"/>
      <c r="L749" s="260"/>
      <c r="M749" s="260"/>
      <c r="N749" s="260"/>
      <c r="O749" s="260"/>
      <c r="P749" s="260"/>
      <c r="Q749" s="260"/>
      <c r="R749" s="260"/>
      <c r="S749" s="260"/>
      <c r="T749" s="279"/>
      <c r="U749" s="260"/>
      <c r="V749" s="260"/>
      <c r="W749" s="260"/>
      <c r="X749" s="260"/>
      <c r="Y749" s="260"/>
      <c r="Z749" s="260"/>
      <c r="AA749" s="264"/>
      <c r="AB749" s="260"/>
      <c r="AC749" s="260"/>
    </row>
    <row r="750">
      <c r="A750" s="259"/>
      <c r="B750" s="260"/>
      <c r="C750" s="260"/>
      <c r="D750" s="260"/>
      <c r="E750" s="260"/>
      <c r="F750" s="260"/>
      <c r="G750" s="260"/>
      <c r="H750" s="260"/>
      <c r="I750" s="260"/>
      <c r="J750" s="261"/>
      <c r="K750" s="260"/>
      <c r="L750" s="260"/>
      <c r="M750" s="260"/>
      <c r="N750" s="260"/>
      <c r="O750" s="260"/>
      <c r="P750" s="260"/>
      <c r="Q750" s="260"/>
      <c r="R750" s="260"/>
      <c r="S750" s="260"/>
      <c r="T750" s="279"/>
      <c r="U750" s="260"/>
      <c r="V750" s="260"/>
      <c r="W750" s="260"/>
      <c r="X750" s="260"/>
      <c r="Y750" s="260"/>
      <c r="Z750" s="260"/>
      <c r="AA750" s="264"/>
      <c r="AB750" s="260"/>
      <c r="AC750" s="260"/>
    </row>
    <row r="751">
      <c r="A751" s="259"/>
      <c r="B751" s="260"/>
      <c r="C751" s="260"/>
      <c r="D751" s="260"/>
      <c r="E751" s="260"/>
      <c r="F751" s="260"/>
      <c r="G751" s="260"/>
      <c r="H751" s="260"/>
      <c r="I751" s="260"/>
      <c r="J751" s="261"/>
      <c r="K751" s="260"/>
      <c r="L751" s="260"/>
      <c r="M751" s="260"/>
      <c r="N751" s="260"/>
      <c r="O751" s="260"/>
      <c r="P751" s="260"/>
      <c r="Q751" s="260"/>
      <c r="R751" s="260"/>
      <c r="S751" s="260"/>
      <c r="T751" s="279"/>
      <c r="U751" s="260"/>
      <c r="V751" s="260"/>
      <c r="W751" s="260"/>
      <c r="X751" s="260"/>
      <c r="Y751" s="260"/>
      <c r="Z751" s="260"/>
      <c r="AA751" s="264"/>
      <c r="AB751" s="260"/>
      <c r="AC751" s="260"/>
    </row>
    <row r="752">
      <c r="A752" s="259"/>
      <c r="B752" s="260"/>
      <c r="C752" s="260"/>
      <c r="D752" s="260"/>
      <c r="E752" s="260"/>
      <c r="F752" s="260"/>
      <c r="G752" s="260"/>
      <c r="H752" s="260"/>
      <c r="I752" s="260"/>
      <c r="J752" s="261"/>
      <c r="K752" s="260"/>
      <c r="L752" s="260"/>
      <c r="M752" s="260"/>
      <c r="N752" s="260"/>
      <c r="O752" s="260"/>
      <c r="P752" s="260"/>
      <c r="Q752" s="260"/>
      <c r="R752" s="260"/>
      <c r="S752" s="260"/>
      <c r="T752" s="279"/>
      <c r="U752" s="260"/>
      <c r="V752" s="260"/>
      <c r="W752" s="260"/>
      <c r="X752" s="260"/>
      <c r="Y752" s="260"/>
      <c r="Z752" s="260"/>
      <c r="AA752" s="264"/>
      <c r="AB752" s="260"/>
      <c r="AC752" s="260"/>
    </row>
    <row r="753">
      <c r="A753" s="259"/>
      <c r="B753" s="260"/>
      <c r="C753" s="260"/>
      <c r="D753" s="260"/>
      <c r="E753" s="260"/>
      <c r="F753" s="260"/>
      <c r="G753" s="260"/>
      <c r="H753" s="260"/>
      <c r="I753" s="260"/>
      <c r="J753" s="261"/>
      <c r="K753" s="260"/>
      <c r="L753" s="260"/>
      <c r="M753" s="260"/>
      <c r="N753" s="260"/>
      <c r="O753" s="260"/>
      <c r="P753" s="260"/>
      <c r="Q753" s="260"/>
      <c r="R753" s="260"/>
      <c r="S753" s="260"/>
      <c r="T753" s="279"/>
      <c r="U753" s="260"/>
      <c r="V753" s="260"/>
      <c r="W753" s="260"/>
      <c r="X753" s="260"/>
      <c r="Y753" s="260"/>
      <c r="Z753" s="260"/>
      <c r="AA753" s="264"/>
      <c r="AB753" s="260"/>
      <c r="AC753" s="260"/>
    </row>
    <row r="754">
      <c r="A754" s="259"/>
      <c r="B754" s="260"/>
      <c r="C754" s="260"/>
      <c r="D754" s="260"/>
      <c r="E754" s="260"/>
      <c r="F754" s="260"/>
      <c r="G754" s="260"/>
      <c r="H754" s="260"/>
      <c r="I754" s="260"/>
      <c r="J754" s="261"/>
      <c r="K754" s="260"/>
      <c r="L754" s="260"/>
      <c r="M754" s="260"/>
      <c r="N754" s="260"/>
      <c r="O754" s="260"/>
      <c r="P754" s="260"/>
      <c r="Q754" s="260"/>
      <c r="R754" s="260"/>
      <c r="S754" s="260"/>
      <c r="T754" s="279"/>
      <c r="U754" s="260"/>
      <c r="V754" s="260"/>
      <c r="W754" s="260"/>
      <c r="X754" s="260"/>
      <c r="Y754" s="260"/>
      <c r="Z754" s="260"/>
      <c r="AA754" s="264"/>
      <c r="AB754" s="260"/>
      <c r="AC754" s="260"/>
    </row>
    <row r="755">
      <c r="A755" s="259"/>
      <c r="B755" s="260"/>
      <c r="C755" s="260"/>
      <c r="D755" s="260"/>
      <c r="E755" s="260"/>
      <c r="F755" s="260"/>
      <c r="G755" s="260"/>
      <c r="H755" s="260"/>
      <c r="I755" s="260"/>
      <c r="J755" s="261"/>
      <c r="K755" s="260"/>
      <c r="L755" s="260"/>
      <c r="M755" s="260"/>
      <c r="N755" s="260"/>
      <c r="O755" s="260"/>
      <c r="P755" s="260"/>
      <c r="Q755" s="260"/>
      <c r="R755" s="260"/>
      <c r="S755" s="260"/>
      <c r="T755" s="279"/>
      <c r="U755" s="260"/>
      <c r="V755" s="260"/>
      <c r="W755" s="260"/>
      <c r="X755" s="260"/>
      <c r="Y755" s="260"/>
      <c r="Z755" s="260"/>
      <c r="AA755" s="264"/>
      <c r="AB755" s="260"/>
      <c r="AC755" s="260"/>
    </row>
    <row r="756">
      <c r="A756" s="259"/>
      <c r="B756" s="260"/>
      <c r="C756" s="260"/>
      <c r="D756" s="260"/>
      <c r="E756" s="260"/>
      <c r="F756" s="260"/>
      <c r="G756" s="260"/>
      <c r="H756" s="260"/>
      <c r="I756" s="260"/>
      <c r="J756" s="261"/>
      <c r="K756" s="260"/>
      <c r="L756" s="260"/>
      <c r="M756" s="260"/>
      <c r="N756" s="260"/>
      <c r="O756" s="260"/>
      <c r="P756" s="260"/>
      <c r="Q756" s="260"/>
      <c r="R756" s="260"/>
      <c r="S756" s="260"/>
      <c r="T756" s="279"/>
      <c r="U756" s="260"/>
      <c r="V756" s="260"/>
      <c r="W756" s="260"/>
      <c r="X756" s="260"/>
      <c r="Y756" s="260"/>
      <c r="Z756" s="260"/>
      <c r="AA756" s="264"/>
      <c r="AB756" s="260"/>
      <c r="AC756" s="260"/>
    </row>
    <row r="757">
      <c r="A757" s="259"/>
      <c r="B757" s="260"/>
      <c r="C757" s="260"/>
      <c r="D757" s="260"/>
      <c r="E757" s="260"/>
      <c r="F757" s="260"/>
      <c r="G757" s="260"/>
      <c r="H757" s="260"/>
      <c r="I757" s="260"/>
      <c r="J757" s="261"/>
      <c r="K757" s="260"/>
      <c r="L757" s="260"/>
      <c r="M757" s="260"/>
      <c r="N757" s="260"/>
      <c r="O757" s="260"/>
      <c r="P757" s="260"/>
      <c r="Q757" s="260"/>
      <c r="R757" s="260"/>
      <c r="S757" s="260"/>
      <c r="T757" s="279"/>
      <c r="U757" s="260"/>
      <c r="V757" s="260"/>
      <c r="W757" s="260"/>
      <c r="X757" s="260"/>
      <c r="Y757" s="260"/>
      <c r="Z757" s="260"/>
      <c r="AA757" s="264"/>
      <c r="AB757" s="260"/>
      <c r="AC757" s="260"/>
    </row>
    <row r="758">
      <c r="A758" s="259"/>
      <c r="B758" s="260"/>
      <c r="C758" s="260"/>
      <c r="D758" s="260"/>
      <c r="E758" s="260"/>
      <c r="F758" s="260"/>
      <c r="G758" s="260"/>
      <c r="H758" s="260"/>
      <c r="I758" s="260"/>
      <c r="J758" s="261"/>
      <c r="K758" s="260"/>
      <c r="L758" s="260"/>
      <c r="M758" s="260"/>
      <c r="N758" s="260"/>
      <c r="O758" s="260"/>
      <c r="P758" s="260"/>
      <c r="Q758" s="260"/>
      <c r="R758" s="260"/>
      <c r="S758" s="260"/>
      <c r="T758" s="279"/>
      <c r="U758" s="260"/>
      <c r="V758" s="260"/>
      <c r="W758" s="260"/>
      <c r="X758" s="260"/>
      <c r="Y758" s="260"/>
      <c r="Z758" s="260"/>
      <c r="AA758" s="264"/>
      <c r="AB758" s="260"/>
      <c r="AC758" s="260"/>
    </row>
    <row r="759">
      <c r="A759" s="259"/>
      <c r="B759" s="260"/>
      <c r="C759" s="260"/>
      <c r="D759" s="260"/>
      <c r="E759" s="260"/>
      <c r="F759" s="260"/>
      <c r="G759" s="260"/>
      <c r="H759" s="260"/>
      <c r="I759" s="260"/>
      <c r="J759" s="261"/>
      <c r="K759" s="260"/>
      <c r="L759" s="260"/>
      <c r="M759" s="260"/>
      <c r="N759" s="260"/>
      <c r="O759" s="260"/>
      <c r="P759" s="260"/>
      <c r="Q759" s="260"/>
      <c r="R759" s="260"/>
      <c r="S759" s="260"/>
      <c r="T759" s="279"/>
      <c r="U759" s="260"/>
      <c r="V759" s="260"/>
      <c r="W759" s="260"/>
      <c r="X759" s="260"/>
      <c r="Y759" s="260"/>
      <c r="Z759" s="260"/>
      <c r="AA759" s="264"/>
      <c r="AB759" s="260"/>
      <c r="AC759" s="260"/>
    </row>
    <row r="760">
      <c r="A760" s="259"/>
      <c r="B760" s="260"/>
      <c r="C760" s="260"/>
      <c r="D760" s="260"/>
      <c r="E760" s="260"/>
      <c r="F760" s="260"/>
      <c r="G760" s="260"/>
      <c r="H760" s="260"/>
      <c r="I760" s="260"/>
      <c r="J760" s="261"/>
      <c r="K760" s="260"/>
      <c r="L760" s="260"/>
      <c r="M760" s="260"/>
      <c r="N760" s="260"/>
      <c r="O760" s="260"/>
      <c r="P760" s="260"/>
      <c r="Q760" s="260"/>
      <c r="R760" s="260"/>
      <c r="S760" s="260"/>
      <c r="T760" s="279"/>
      <c r="U760" s="260"/>
      <c r="V760" s="260"/>
      <c r="W760" s="260"/>
      <c r="X760" s="260"/>
      <c r="Y760" s="260"/>
      <c r="Z760" s="260"/>
      <c r="AA760" s="264"/>
      <c r="AB760" s="260"/>
      <c r="AC760" s="260"/>
    </row>
    <row r="761">
      <c r="A761" s="259"/>
      <c r="B761" s="260"/>
      <c r="C761" s="260"/>
      <c r="D761" s="260"/>
      <c r="E761" s="260"/>
      <c r="F761" s="260"/>
      <c r="G761" s="260"/>
      <c r="H761" s="260"/>
      <c r="I761" s="260"/>
      <c r="J761" s="261"/>
      <c r="K761" s="260"/>
      <c r="L761" s="260"/>
      <c r="M761" s="260"/>
      <c r="N761" s="260"/>
      <c r="O761" s="260"/>
      <c r="P761" s="260"/>
      <c r="Q761" s="260"/>
      <c r="R761" s="260"/>
      <c r="S761" s="260"/>
      <c r="T761" s="279"/>
      <c r="U761" s="260"/>
      <c r="V761" s="260"/>
      <c r="W761" s="260"/>
      <c r="X761" s="260"/>
      <c r="Y761" s="260"/>
      <c r="Z761" s="260"/>
      <c r="AA761" s="264"/>
      <c r="AB761" s="260"/>
      <c r="AC761" s="260"/>
    </row>
    <row r="762">
      <c r="A762" s="259"/>
      <c r="B762" s="260"/>
      <c r="C762" s="260"/>
      <c r="D762" s="260"/>
      <c r="E762" s="260"/>
      <c r="F762" s="260"/>
      <c r="G762" s="260"/>
      <c r="H762" s="260"/>
      <c r="I762" s="260"/>
      <c r="J762" s="261"/>
      <c r="K762" s="260"/>
      <c r="L762" s="260"/>
      <c r="M762" s="260"/>
      <c r="N762" s="260"/>
      <c r="O762" s="260"/>
      <c r="P762" s="260"/>
      <c r="Q762" s="260"/>
      <c r="R762" s="260"/>
      <c r="S762" s="260"/>
      <c r="T762" s="279"/>
      <c r="U762" s="260"/>
      <c r="V762" s="260"/>
      <c r="W762" s="260"/>
      <c r="X762" s="260"/>
      <c r="Y762" s="260"/>
      <c r="Z762" s="260"/>
      <c r="AA762" s="264"/>
      <c r="AB762" s="260"/>
      <c r="AC762" s="260"/>
    </row>
    <row r="763">
      <c r="A763" s="259"/>
      <c r="B763" s="260"/>
      <c r="C763" s="260"/>
      <c r="D763" s="260"/>
      <c r="E763" s="260"/>
      <c r="F763" s="260"/>
      <c r="G763" s="260"/>
      <c r="H763" s="260"/>
      <c r="I763" s="260"/>
      <c r="J763" s="261"/>
      <c r="K763" s="260"/>
      <c r="L763" s="260"/>
      <c r="M763" s="260"/>
      <c r="N763" s="260"/>
      <c r="O763" s="260"/>
      <c r="P763" s="260"/>
      <c r="Q763" s="260"/>
      <c r="R763" s="260"/>
      <c r="S763" s="260"/>
      <c r="T763" s="279"/>
      <c r="U763" s="260"/>
      <c r="V763" s="260"/>
      <c r="W763" s="260"/>
      <c r="X763" s="260"/>
      <c r="Y763" s="260"/>
      <c r="Z763" s="260"/>
      <c r="AA763" s="264"/>
      <c r="AB763" s="260"/>
      <c r="AC763" s="260"/>
    </row>
    <row r="764">
      <c r="A764" s="259"/>
      <c r="B764" s="260"/>
      <c r="C764" s="260"/>
      <c r="D764" s="260"/>
      <c r="E764" s="260"/>
      <c r="F764" s="260"/>
      <c r="G764" s="260"/>
      <c r="H764" s="260"/>
      <c r="I764" s="260"/>
      <c r="J764" s="261"/>
      <c r="K764" s="260"/>
      <c r="L764" s="260"/>
      <c r="M764" s="260"/>
      <c r="N764" s="260"/>
      <c r="O764" s="260"/>
      <c r="P764" s="260"/>
      <c r="Q764" s="260"/>
      <c r="R764" s="260"/>
      <c r="S764" s="260"/>
      <c r="T764" s="279"/>
      <c r="U764" s="260"/>
      <c r="V764" s="260"/>
      <c r="W764" s="260"/>
      <c r="X764" s="260"/>
      <c r="Y764" s="260"/>
      <c r="Z764" s="260"/>
      <c r="AA764" s="264"/>
      <c r="AB764" s="260"/>
      <c r="AC764" s="260"/>
    </row>
    <row r="765">
      <c r="A765" s="259"/>
      <c r="B765" s="260"/>
      <c r="C765" s="260"/>
      <c r="D765" s="260"/>
      <c r="E765" s="260"/>
      <c r="F765" s="260"/>
      <c r="G765" s="260"/>
      <c r="H765" s="260"/>
      <c r="I765" s="260"/>
      <c r="J765" s="261"/>
      <c r="K765" s="260"/>
      <c r="L765" s="260"/>
      <c r="M765" s="260"/>
      <c r="N765" s="260"/>
      <c r="O765" s="260"/>
      <c r="P765" s="260"/>
      <c r="Q765" s="260"/>
      <c r="R765" s="260"/>
      <c r="S765" s="260"/>
      <c r="T765" s="279"/>
      <c r="U765" s="260"/>
      <c r="V765" s="260"/>
      <c r="W765" s="260"/>
      <c r="X765" s="260"/>
      <c r="Y765" s="260"/>
      <c r="Z765" s="260"/>
      <c r="AA765" s="264"/>
      <c r="AB765" s="260"/>
      <c r="AC765" s="260"/>
    </row>
    <row r="766">
      <c r="A766" s="259"/>
      <c r="B766" s="260"/>
      <c r="C766" s="260"/>
      <c r="D766" s="260"/>
      <c r="E766" s="260"/>
      <c r="F766" s="260"/>
      <c r="G766" s="260"/>
      <c r="H766" s="260"/>
      <c r="I766" s="260"/>
      <c r="J766" s="261"/>
      <c r="K766" s="260"/>
      <c r="L766" s="260"/>
      <c r="M766" s="260"/>
      <c r="N766" s="260"/>
      <c r="O766" s="260"/>
      <c r="P766" s="260"/>
      <c r="Q766" s="260"/>
      <c r="R766" s="260"/>
      <c r="S766" s="260"/>
      <c r="T766" s="279"/>
      <c r="U766" s="260"/>
      <c r="V766" s="260"/>
      <c r="W766" s="260"/>
      <c r="X766" s="260"/>
      <c r="Y766" s="260"/>
      <c r="Z766" s="260"/>
      <c r="AA766" s="264"/>
      <c r="AB766" s="260"/>
      <c r="AC766" s="260"/>
    </row>
    <row r="767">
      <c r="A767" s="259"/>
      <c r="B767" s="260"/>
      <c r="C767" s="260"/>
      <c r="D767" s="260"/>
      <c r="E767" s="260"/>
      <c r="F767" s="260"/>
      <c r="G767" s="260"/>
      <c r="H767" s="260"/>
      <c r="I767" s="260"/>
      <c r="J767" s="261"/>
      <c r="K767" s="260"/>
      <c r="L767" s="260"/>
      <c r="M767" s="260"/>
      <c r="N767" s="260"/>
      <c r="O767" s="260"/>
      <c r="P767" s="260"/>
      <c r="Q767" s="260"/>
      <c r="R767" s="260"/>
      <c r="S767" s="260"/>
      <c r="T767" s="279"/>
      <c r="U767" s="260"/>
      <c r="V767" s="260"/>
      <c r="W767" s="260"/>
      <c r="X767" s="260"/>
      <c r="Y767" s="260"/>
      <c r="Z767" s="260"/>
      <c r="AA767" s="264"/>
      <c r="AB767" s="260"/>
      <c r="AC767" s="260"/>
    </row>
    <row r="768">
      <c r="A768" s="259"/>
      <c r="B768" s="260"/>
      <c r="C768" s="260"/>
      <c r="D768" s="260"/>
      <c r="E768" s="260"/>
      <c r="F768" s="260"/>
      <c r="G768" s="260"/>
      <c r="H768" s="260"/>
      <c r="I768" s="260"/>
      <c r="J768" s="261"/>
      <c r="K768" s="260"/>
      <c r="L768" s="260"/>
      <c r="M768" s="260"/>
      <c r="N768" s="260"/>
      <c r="O768" s="260"/>
      <c r="P768" s="260"/>
      <c r="Q768" s="260"/>
      <c r="R768" s="260"/>
      <c r="S768" s="260"/>
      <c r="T768" s="279"/>
      <c r="U768" s="260"/>
      <c r="V768" s="260"/>
      <c r="W768" s="260"/>
      <c r="X768" s="260"/>
      <c r="Y768" s="260"/>
      <c r="Z768" s="260"/>
      <c r="AA768" s="264"/>
      <c r="AB768" s="260"/>
      <c r="AC768" s="260"/>
    </row>
    <row r="769">
      <c r="A769" s="259"/>
      <c r="B769" s="260"/>
      <c r="C769" s="260"/>
      <c r="D769" s="260"/>
      <c r="E769" s="260"/>
      <c r="F769" s="260"/>
      <c r="G769" s="260"/>
      <c r="H769" s="260"/>
      <c r="I769" s="260"/>
      <c r="J769" s="261"/>
      <c r="K769" s="260"/>
      <c r="L769" s="260"/>
      <c r="M769" s="260"/>
      <c r="N769" s="260"/>
      <c r="O769" s="260"/>
      <c r="P769" s="260"/>
      <c r="Q769" s="260"/>
      <c r="R769" s="260"/>
      <c r="S769" s="260"/>
      <c r="T769" s="279"/>
      <c r="U769" s="260"/>
      <c r="V769" s="260"/>
      <c r="W769" s="260"/>
      <c r="X769" s="260"/>
      <c r="Y769" s="260"/>
      <c r="Z769" s="260"/>
      <c r="AA769" s="264"/>
      <c r="AB769" s="260"/>
      <c r="AC769" s="260"/>
    </row>
    <row r="770">
      <c r="A770" s="259"/>
      <c r="B770" s="260"/>
      <c r="C770" s="260"/>
      <c r="D770" s="260"/>
      <c r="E770" s="260"/>
      <c r="F770" s="260"/>
      <c r="G770" s="260"/>
      <c r="H770" s="260"/>
      <c r="I770" s="260"/>
      <c r="J770" s="261"/>
      <c r="K770" s="260"/>
      <c r="L770" s="260"/>
      <c r="M770" s="260"/>
      <c r="N770" s="260"/>
      <c r="O770" s="260"/>
      <c r="P770" s="260"/>
      <c r="Q770" s="260"/>
      <c r="R770" s="260"/>
      <c r="S770" s="260"/>
      <c r="T770" s="279"/>
      <c r="U770" s="260"/>
      <c r="V770" s="260"/>
      <c r="W770" s="260"/>
      <c r="X770" s="260"/>
      <c r="Y770" s="260"/>
      <c r="Z770" s="260"/>
      <c r="AA770" s="264"/>
      <c r="AB770" s="260"/>
      <c r="AC770" s="260"/>
    </row>
    <row r="771">
      <c r="A771" s="259"/>
      <c r="B771" s="260"/>
      <c r="C771" s="260"/>
      <c r="D771" s="260"/>
      <c r="E771" s="260"/>
      <c r="F771" s="260"/>
      <c r="G771" s="260"/>
      <c r="H771" s="260"/>
      <c r="I771" s="260"/>
      <c r="J771" s="261"/>
      <c r="K771" s="260"/>
      <c r="L771" s="260"/>
      <c r="M771" s="260"/>
      <c r="N771" s="260"/>
      <c r="O771" s="260"/>
      <c r="P771" s="260"/>
      <c r="Q771" s="260"/>
      <c r="R771" s="260"/>
      <c r="S771" s="260"/>
      <c r="T771" s="279"/>
      <c r="U771" s="260"/>
      <c r="V771" s="260"/>
      <c r="W771" s="260"/>
      <c r="X771" s="260"/>
      <c r="Y771" s="260"/>
      <c r="Z771" s="260"/>
      <c r="AA771" s="264"/>
      <c r="AB771" s="260"/>
      <c r="AC771" s="260"/>
    </row>
    <row r="772">
      <c r="A772" s="259"/>
      <c r="B772" s="260"/>
      <c r="C772" s="260"/>
      <c r="D772" s="260"/>
      <c r="E772" s="260"/>
      <c r="F772" s="260"/>
      <c r="G772" s="260"/>
      <c r="H772" s="260"/>
      <c r="I772" s="260"/>
      <c r="J772" s="261"/>
      <c r="K772" s="260"/>
      <c r="L772" s="260"/>
      <c r="M772" s="260"/>
      <c r="N772" s="260"/>
      <c r="O772" s="260"/>
      <c r="P772" s="260"/>
      <c r="Q772" s="260"/>
      <c r="R772" s="260"/>
      <c r="S772" s="260"/>
      <c r="T772" s="279"/>
      <c r="U772" s="260"/>
      <c r="V772" s="260"/>
      <c r="W772" s="260"/>
      <c r="X772" s="260"/>
      <c r="Y772" s="260"/>
      <c r="Z772" s="260"/>
      <c r="AA772" s="264"/>
      <c r="AB772" s="260"/>
      <c r="AC772" s="260"/>
    </row>
    <row r="773">
      <c r="A773" s="259"/>
      <c r="B773" s="260"/>
      <c r="C773" s="260"/>
      <c r="D773" s="260"/>
      <c r="E773" s="260"/>
      <c r="F773" s="260"/>
      <c r="G773" s="260"/>
      <c r="H773" s="260"/>
      <c r="I773" s="260"/>
      <c r="J773" s="261"/>
      <c r="K773" s="260"/>
      <c r="L773" s="260"/>
      <c r="M773" s="260"/>
      <c r="N773" s="260"/>
      <c r="O773" s="260"/>
      <c r="P773" s="260"/>
      <c r="Q773" s="260"/>
      <c r="R773" s="260"/>
      <c r="S773" s="260"/>
      <c r="T773" s="279"/>
      <c r="U773" s="260"/>
      <c r="V773" s="260"/>
      <c r="W773" s="260"/>
      <c r="X773" s="260"/>
      <c r="Y773" s="260"/>
      <c r="Z773" s="260"/>
      <c r="AA773" s="264"/>
      <c r="AB773" s="260"/>
      <c r="AC773" s="260"/>
    </row>
    <row r="774">
      <c r="A774" s="259"/>
      <c r="B774" s="260"/>
      <c r="C774" s="260"/>
      <c r="D774" s="260"/>
      <c r="E774" s="260"/>
      <c r="F774" s="260"/>
      <c r="G774" s="260"/>
      <c r="H774" s="260"/>
      <c r="I774" s="260"/>
      <c r="J774" s="261"/>
      <c r="K774" s="260"/>
      <c r="L774" s="260"/>
      <c r="M774" s="260"/>
      <c r="N774" s="260"/>
      <c r="O774" s="260"/>
      <c r="P774" s="260"/>
      <c r="Q774" s="260"/>
      <c r="R774" s="260"/>
      <c r="S774" s="260"/>
      <c r="T774" s="279"/>
      <c r="U774" s="260"/>
      <c r="V774" s="260"/>
      <c r="W774" s="260"/>
      <c r="X774" s="260"/>
      <c r="Y774" s="260"/>
      <c r="Z774" s="260"/>
      <c r="AA774" s="264"/>
      <c r="AB774" s="260"/>
      <c r="AC774" s="260"/>
    </row>
    <row r="775">
      <c r="A775" s="259"/>
      <c r="B775" s="260"/>
      <c r="C775" s="260"/>
      <c r="D775" s="260"/>
      <c r="E775" s="260"/>
      <c r="F775" s="260"/>
      <c r="G775" s="260"/>
      <c r="H775" s="260"/>
      <c r="I775" s="260"/>
      <c r="J775" s="261"/>
      <c r="K775" s="260"/>
      <c r="L775" s="260"/>
      <c r="M775" s="260"/>
      <c r="N775" s="260"/>
      <c r="O775" s="260"/>
      <c r="P775" s="260"/>
      <c r="Q775" s="260"/>
      <c r="R775" s="260"/>
      <c r="S775" s="260"/>
      <c r="T775" s="279"/>
      <c r="U775" s="260"/>
      <c r="V775" s="260"/>
      <c r="W775" s="260"/>
      <c r="X775" s="260"/>
      <c r="Y775" s="260"/>
      <c r="Z775" s="260"/>
      <c r="AA775" s="264"/>
      <c r="AB775" s="260"/>
      <c r="AC775" s="260"/>
    </row>
    <row r="776">
      <c r="A776" s="259"/>
      <c r="B776" s="260"/>
      <c r="C776" s="260"/>
      <c r="D776" s="260"/>
      <c r="E776" s="260"/>
      <c r="F776" s="260"/>
      <c r="G776" s="260"/>
      <c r="H776" s="260"/>
      <c r="I776" s="260"/>
      <c r="J776" s="261"/>
      <c r="K776" s="260"/>
      <c r="L776" s="260"/>
      <c r="M776" s="260"/>
      <c r="N776" s="260"/>
      <c r="O776" s="260"/>
      <c r="P776" s="260"/>
      <c r="Q776" s="260"/>
      <c r="R776" s="260"/>
      <c r="S776" s="260"/>
      <c r="T776" s="279"/>
      <c r="U776" s="260"/>
      <c r="V776" s="260"/>
      <c r="W776" s="260"/>
      <c r="X776" s="260"/>
      <c r="Y776" s="260"/>
      <c r="Z776" s="260"/>
      <c r="AA776" s="264"/>
      <c r="AB776" s="260"/>
      <c r="AC776" s="260"/>
    </row>
    <row r="777">
      <c r="A777" s="259"/>
      <c r="B777" s="260"/>
      <c r="C777" s="260"/>
      <c r="D777" s="260"/>
      <c r="E777" s="260"/>
      <c r="F777" s="260"/>
      <c r="G777" s="260"/>
      <c r="H777" s="260"/>
      <c r="I777" s="260"/>
      <c r="J777" s="261"/>
      <c r="K777" s="260"/>
      <c r="L777" s="260"/>
      <c r="M777" s="260"/>
      <c r="N777" s="260"/>
      <c r="O777" s="260"/>
      <c r="P777" s="260"/>
      <c r="Q777" s="260"/>
      <c r="R777" s="260"/>
      <c r="S777" s="260"/>
      <c r="T777" s="279"/>
      <c r="U777" s="260"/>
      <c r="V777" s="260"/>
      <c r="W777" s="260"/>
      <c r="X777" s="260"/>
      <c r="Y777" s="260"/>
      <c r="Z777" s="260"/>
      <c r="AA777" s="264"/>
      <c r="AB777" s="260"/>
      <c r="AC777" s="260"/>
    </row>
    <row r="778">
      <c r="A778" s="259"/>
      <c r="B778" s="260"/>
      <c r="C778" s="260"/>
      <c r="D778" s="260"/>
      <c r="E778" s="260"/>
      <c r="F778" s="260"/>
      <c r="G778" s="260"/>
      <c r="H778" s="260"/>
      <c r="I778" s="260"/>
      <c r="J778" s="261"/>
      <c r="K778" s="260"/>
      <c r="L778" s="260"/>
      <c r="M778" s="260"/>
      <c r="N778" s="260"/>
      <c r="O778" s="260"/>
      <c r="P778" s="260"/>
      <c r="Q778" s="260"/>
      <c r="R778" s="260"/>
      <c r="S778" s="260"/>
      <c r="T778" s="279"/>
      <c r="U778" s="260"/>
      <c r="V778" s="260"/>
      <c r="W778" s="260"/>
      <c r="X778" s="260"/>
      <c r="Y778" s="260"/>
      <c r="Z778" s="260"/>
      <c r="AA778" s="264"/>
      <c r="AB778" s="260"/>
      <c r="AC778" s="260"/>
    </row>
    <row r="779">
      <c r="A779" s="259"/>
      <c r="B779" s="260"/>
      <c r="C779" s="260"/>
      <c r="D779" s="260"/>
      <c r="E779" s="260"/>
      <c r="F779" s="260"/>
      <c r="G779" s="260"/>
      <c r="H779" s="260"/>
      <c r="I779" s="260"/>
      <c r="J779" s="261"/>
      <c r="K779" s="260"/>
      <c r="L779" s="260"/>
      <c r="M779" s="260"/>
      <c r="N779" s="260"/>
      <c r="O779" s="260"/>
      <c r="P779" s="260"/>
      <c r="Q779" s="260"/>
      <c r="R779" s="260"/>
      <c r="S779" s="260"/>
      <c r="T779" s="279"/>
      <c r="U779" s="260"/>
      <c r="V779" s="260"/>
      <c r="W779" s="260"/>
      <c r="X779" s="260"/>
      <c r="Y779" s="260"/>
      <c r="Z779" s="260"/>
      <c r="AA779" s="264"/>
      <c r="AB779" s="260"/>
      <c r="AC779" s="260"/>
    </row>
    <row r="780">
      <c r="A780" s="259"/>
      <c r="B780" s="260"/>
      <c r="C780" s="260"/>
      <c r="D780" s="260"/>
      <c r="E780" s="260"/>
      <c r="F780" s="260"/>
      <c r="G780" s="260"/>
      <c r="H780" s="260"/>
      <c r="I780" s="260"/>
      <c r="J780" s="261"/>
      <c r="K780" s="260"/>
      <c r="L780" s="260"/>
      <c r="M780" s="260"/>
      <c r="N780" s="260"/>
      <c r="O780" s="260"/>
      <c r="P780" s="260"/>
      <c r="Q780" s="260"/>
      <c r="R780" s="260"/>
      <c r="S780" s="260"/>
      <c r="T780" s="279"/>
      <c r="U780" s="260"/>
      <c r="V780" s="260"/>
      <c r="W780" s="260"/>
      <c r="X780" s="260"/>
      <c r="Y780" s="260"/>
      <c r="Z780" s="260"/>
      <c r="AA780" s="264"/>
      <c r="AB780" s="260"/>
      <c r="AC780" s="260"/>
    </row>
    <row r="781">
      <c r="A781" s="259"/>
      <c r="B781" s="260"/>
      <c r="C781" s="260"/>
      <c r="D781" s="260"/>
      <c r="E781" s="260"/>
      <c r="F781" s="260"/>
      <c r="G781" s="260"/>
      <c r="H781" s="260"/>
      <c r="I781" s="260"/>
      <c r="J781" s="261"/>
      <c r="K781" s="260"/>
      <c r="L781" s="260"/>
      <c r="M781" s="260"/>
      <c r="N781" s="260"/>
      <c r="O781" s="260"/>
      <c r="P781" s="260"/>
      <c r="Q781" s="260"/>
      <c r="R781" s="260"/>
      <c r="S781" s="260"/>
      <c r="T781" s="279"/>
      <c r="U781" s="260"/>
      <c r="V781" s="260"/>
      <c r="W781" s="260"/>
      <c r="X781" s="260"/>
      <c r="Y781" s="260"/>
      <c r="Z781" s="260"/>
      <c r="AA781" s="264"/>
      <c r="AB781" s="260"/>
      <c r="AC781" s="260"/>
    </row>
    <row r="782">
      <c r="A782" s="259"/>
      <c r="B782" s="260"/>
      <c r="C782" s="260"/>
      <c r="D782" s="260"/>
      <c r="E782" s="260"/>
      <c r="F782" s="260"/>
      <c r="G782" s="260"/>
      <c r="H782" s="260"/>
      <c r="I782" s="260"/>
      <c r="J782" s="261"/>
      <c r="K782" s="260"/>
      <c r="L782" s="260"/>
      <c r="M782" s="260"/>
      <c r="N782" s="260"/>
      <c r="O782" s="260"/>
      <c r="P782" s="260"/>
      <c r="Q782" s="260"/>
      <c r="R782" s="260"/>
      <c r="S782" s="260"/>
      <c r="T782" s="279"/>
      <c r="U782" s="260"/>
      <c r="V782" s="260"/>
      <c r="W782" s="260"/>
      <c r="X782" s="260"/>
      <c r="Y782" s="260"/>
      <c r="Z782" s="260"/>
      <c r="AA782" s="264"/>
      <c r="AB782" s="260"/>
      <c r="AC782" s="260"/>
    </row>
    <row r="783">
      <c r="A783" s="259"/>
      <c r="B783" s="260"/>
      <c r="C783" s="260"/>
      <c r="D783" s="260"/>
      <c r="E783" s="260"/>
      <c r="F783" s="260"/>
      <c r="G783" s="260"/>
      <c r="H783" s="260"/>
      <c r="I783" s="260"/>
      <c r="J783" s="261"/>
      <c r="K783" s="260"/>
      <c r="L783" s="260"/>
      <c r="M783" s="260"/>
      <c r="N783" s="260"/>
      <c r="O783" s="260"/>
      <c r="P783" s="260"/>
      <c r="Q783" s="260"/>
      <c r="R783" s="260"/>
      <c r="S783" s="260"/>
      <c r="T783" s="279"/>
      <c r="U783" s="260"/>
      <c r="V783" s="260"/>
      <c r="W783" s="260"/>
      <c r="X783" s="260"/>
      <c r="Y783" s="260"/>
      <c r="Z783" s="260"/>
      <c r="AA783" s="264"/>
      <c r="AB783" s="260"/>
      <c r="AC783" s="260"/>
    </row>
    <row r="784">
      <c r="A784" s="259"/>
      <c r="B784" s="260"/>
      <c r="C784" s="260"/>
      <c r="D784" s="260"/>
      <c r="E784" s="260"/>
      <c r="F784" s="260"/>
      <c r="G784" s="260"/>
      <c r="H784" s="260"/>
      <c r="I784" s="260"/>
      <c r="J784" s="261"/>
      <c r="K784" s="260"/>
      <c r="L784" s="260"/>
      <c r="M784" s="260"/>
      <c r="N784" s="260"/>
      <c r="O784" s="260"/>
      <c r="P784" s="260"/>
      <c r="Q784" s="260"/>
      <c r="R784" s="260"/>
      <c r="S784" s="260"/>
      <c r="T784" s="279"/>
      <c r="U784" s="260"/>
      <c r="V784" s="260"/>
      <c r="W784" s="260"/>
      <c r="X784" s="260"/>
      <c r="Y784" s="260"/>
      <c r="Z784" s="260"/>
      <c r="AA784" s="264"/>
      <c r="AB784" s="260"/>
      <c r="AC784" s="260"/>
    </row>
    <row r="785">
      <c r="A785" s="259"/>
      <c r="B785" s="260"/>
      <c r="C785" s="260"/>
      <c r="D785" s="260"/>
      <c r="E785" s="260"/>
      <c r="F785" s="260"/>
      <c r="G785" s="260"/>
      <c r="H785" s="260"/>
      <c r="I785" s="260"/>
      <c r="J785" s="261"/>
      <c r="K785" s="260"/>
      <c r="L785" s="260"/>
      <c r="M785" s="260"/>
      <c r="N785" s="260"/>
      <c r="O785" s="260"/>
      <c r="P785" s="260"/>
      <c r="Q785" s="260"/>
      <c r="R785" s="260"/>
      <c r="S785" s="260"/>
      <c r="T785" s="279"/>
      <c r="U785" s="260"/>
      <c r="V785" s="260"/>
      <c r="W785" s="260"/>
      <c r="X785" s="260"/>
      <c r="Y785" s="260"/>
      <c r="Z785" s="260"/>
      <c r="AA785" s="264"/>
      <c r="AB785" s="260"/>
      <c r="AC785" s="260"/>
    </row>
    <row r="786">
      <c r="A786" s="259"/>
      <c r="B786" s="260"/>
      <c r="C786" s="260"/>
      <c r="D786" s="260"/>
      <c r="E786" s="260"/>
      <c r="F786" s="260"/>
      <c r="G786" s="260"/>
      <c r="H786" s="260"/>
      <c r="I786" s="260"/>
      <c r="J786" s="261"/>
      <c r="K786" s="260"/>
      <c r="L786" s="260"/>
      <c r="M786" s="260"/>
      <c r="N786" s="260"/>
      <c r="O786" s="260"/>
      <c r="P786" s="260"/>
      <c r="Q786" s="260"/>
      <c r="R786" s="260"/>
      <c r="S786" s="260"/>
      <c r="T786" s="279"/>
      <c r="U786" s="260"/>
      <c r="V786" s="260"/>
      <c r="W786" s="260"/>
      <c r="X786" s="260"/>
      <c r="Y786" s="260"/>
      <c r="Z786" s="260"/>
      <c r="AA786" s="264"/>
      <c r="AB786" s="260"/>
      <c r="AC786" s="260"/>
    </row>
    <row r="787">
      <c r="A787" s="259"/>
      <c r="B787" s="260"/>
      <c r="C787" s="260"/>
      <c r="D787" s="260"/>
      <c r="E787" s="260"/>
      <c r="F787" s="260"/>
      <c r="G787" s="260"/>
      <c r="H787" s="260"/>
      <c r="I787" s="260"/>
      <c r="J787" s="261"/>
      <c r="K787" s="260"/>
      <c r="L787" s="260"/>
      <c r="M787" s="260"/>
      <c r="N787" s="260"/>
      <c r="O787" s="260"/>
      <c r="P787" s="260"/>
      <c r="Q787" s="260"/>
      <c r="R787" s="260"/>
      <c r="S787" s="260"/>
      <c r="T787" s="279"/>
      <c r="U787" s="260"/>
      <c r="V787" s="260"/>
      <c r="W787" s="260"/>
      <c r="X787" s="260"/>
      <c r="Y787" s="260"/>
      <c r="Z787" s="260"/>
      <c r="AA787" s="264"/>
      <c r="AB787" s="260"/>
      <c r="AC787" s="260"/>
    </row>
    <row r="788">
      <c r="A788" s="259"/>
      <c r="B788" s="260"/>
      <c r="C788" s="260"/>
      <c r="D788" s="260"/>
      <c r="E788" s="260"/>
      <c r="F788" s="260"/>
      <c r="G788" s="260"/>
      <c r="H788" s="260"/>
      <c r="I788" s="260"/>
      <c r="J788" s="261"/>
      <c r="K788" s="260"/>
      <c r="L788" s="260"/>
      <c r="M788" s="260"/>
      <c r="N788" s="260"/>
      <c r="O788" s="260"/>
      <c r="P788" s="260"/>
      <c r="Q788" s="260"/>
      <c r="R788" s="260"/>
      <c r="S788" s="260"/>
      <c r="T788" s="279"/>
      <c r="U788" s="260"/>
      <c r="V788" s="260"/>
      <c r="W788" s="260"/>
      <c r="X788" s="260"/>
      <c r="Y788" s="260"/>
      <c r="Z788" s="260"/>
      <c r="AA788" s="264"/>
      <c r="AB788" s="260"/>
      <c r="AC788" s="260"/>
    </row>
    <row r="789">
      <c r="A789" s="259"/>
      <c r="B789" s="260"/>
      <c r="C789" s="260"/>
      <c r="D789" s="260"/>
      <c r="E789" s="260"/>
      <c r="F789" s="260"/>
      <c r="G789" s="260"/>
      <c r="H789" s="260"/>
      <c r="I789" s="260"/>
      <c r="J789" s="261"/>
      <c r="K789" s="260"/>
      <c r="L789" s="260"/>
      <c r="M789" s="260"/>
      <c r="N789" s="260"/>
      <c r="O789" s="260"/>
      <c r="P789" s="260"/>
      <c r="Q789" s="260"/>
      <c r="R789" s="260"/>
      <c r="S789" s="260"/>
      <c r="T789" s="279"/>
      <c r="U789" s="260"/>
      <c r="V789" s="260"/>
      <c r="W789" s="260"/>
      <c r="X789" s="260"/>
      <c r="Y789" s="260"/>
      <c r="Z789" s="260"/>
      <c r="AA789" s="264"/>
      <c r="AB789" s="260"/>
      <c r="AC789" s="260"/>
    </row>
    <row r="790">
      <c r="A790" s="259"/>
      <c r="B790" s="260"/>
      <c r="C790" s="260"/>
      <c r="D790" s="260"/>
      <c r="E790" s="260"/>
      <c r="F790" s="260"/>
      <c r="G790" s="260"/>
      <c r="H790" s="260"/>
      <c r="I790" s="260"/>
      <c r="J790" s="261"/>
      <c r="K790" s="260"/>
      <c r="L790" s="260"/>
      <c r="M790" s="260"/>
      <c r="N790" s="260"/>
      <c r="O790" s="260"/>
      <c r="P790" s="260"/>
      <c r="Q790" s="260"/>
      <c r="R790" s="260"/>
      <c r="S790" s="260"/>
      <c r="T790" s="279"/>
      <c r="U790" s="260"/>
      <c r="V790" s="260"/>
      <c r="W790" s="260"/>
      <c r="X790" s="260"/>
      <c r="Y790" s="260"/>
      <c r="Z790" s="260"/>
      <c r="AA790" s="264"/>
      <c r="AB790" s="260"/>
      <c r="AC790" s="260"/>
    </row>
    <row r="791">
      <c r="A791" s="259"/>
      <c r="B791" s="260"/>
      <c r="C791" s="260"/>
      <c r="D791" s="260"/>
      <c r="E791" s="260"/>
      <c r="F791" s="260"/>
      <c r="G791" s="260"/>
      <c r="H791" s="260"/>
      <c r="I791" s="260"/>
      <c r="J791" s="261"/>
      <c r="K791" s="260"/>
      <c r="L791" s="260"/>
      <c r="M791" s="260"/>
      <c r="N791" s="260"/>
      <c r="O791" s="260"/>
      <c r="P791" s="260"/>
      <c r="Q791" s="260"/>
      <c r="R791" s="260"/>
      <c r="S791" s="260"/>
      <c r="T791" s="279"/>
      <c r="U791" s="260"/>
      <c r="V791" s="260"/>
      <c r="W791" s="260"/>
      <c r="X791" s="260"/>
      <c r="Y791" s="260"/>
      <c r="Z791" s="260"/>
      <c r="AA791" s="264"/>
      <c r="AB791" s="260"/>
      <c r="AC791" s="260"/>
    </row>
    <row r="792">
      <c r="A792" s="259"/>
      <c r="B792" s="260"/>
      <c r="C792" s="260"/>
      <c r="D792" s="260"/>
      <c r="E792" s="260"/>
      <c r="F792" s="260"/>
      <c r="G792" s="260"/>
      <c r="H792" s="260"/>
      <c r="I792" s="260"/>
      <c r="J792" s="261"/>
      <c r="K792" s="260"/>
      <c r="L792" s="260"/>
      <c r="M792" s="260"/>
      <c r="N792" s="260"/>
      <c r="O792" s="260"/>
      <c r="P792" s="260"/>
      <c r="Q792" s="260"/>
      <c r="R792" s="260"/>
      <c r="S792" s="260"/>
      <c r="T792" s="279"/>
      <c r="U792" s="260"/>
      <c r="V792" s="260"/>
      <c r="W792" s="260"/>
      <c r="X792" s="260"/>
      <c r="Y792" s="260"/>
      <c r="Z792" s="260"/>
      <c r="AA792" s="264"/>
      <c r="AB792" s="260"/>
      <c r="AC792" s="260"/>
    </row>
    <row r="793">
      <c r="A793" s="259"/>
      <c r="B793" s="260"/>
      <c r="C793" s="260"/>
      <c r="D793" s="260"/>
      <c r="E793" s="260"/>
      <c r="F793" s="260"/>
      <c r="G793" s="260"/>
      <c r="H793" s="260"/>
      <c r="I793" s="260"/>
      <c r="J793" s="261"/>
      <c r="K793" s="260"/>
      <c r="L793" s="260"/>
      <c r="M793" s="260"/>
      <c r="N793" s="260"/>
      <c r="O793" s="260"/>
      <c r="P793" s="260"/>
      <c r="Q793" s="260"/>
      <c r="R793" s="260"/>
      <c r="S793" s="260"/>
      <c r="T793" s="279"/>
      <c r="U793" s="260"/>
      <c r="V793" s="260"/>
      <c r="W793" s="260"/>
      <c r="X793" s="260"/>
      <c r="Y793" s="260"/>
      <c r="Z793" s="260"/>
      <c r="AA793" s="264"/>
      <c r="AB793" s="260"/>
      <c r="AC793" s="260"/>
    </row>
    <row r="794">
      <c r="A794" s="259"/>
      <c r="B794" s="260"/>
      <c r="C794" s="260"/>
      <c r="D794" s="260"/>
      <c r="E794" s="260"/>
      <c r="F794" s="260"/>
      <c r="G794" s="260"/>
      <c r="H794" s="260"/>
      <c r="I794" s="260"/>
      <c r="J794" s="261"/>
      <c r="K794" s="260"/>
      <c r="L794" s="260"/>
      <c r="M794" s="260"/>
      <c r="N794" s="260"/>
      <c r="O794" s="260"/>
      <c r="P794" s="260"/>
      <c r="Q794" s="260"/>
      <c r="R794" s="260"/>
      <c r="S794" s="260"/>
      <c r="T794" s="279"/>
      <c r="U794" s="260"/>
      <c r="V794" s="260"/>
      <c r="W794" s="260"/>
      <c r="X794" s="260"/>
      <c r="Y794" s="260"/>
      <c r="Z794" s="260"/>
      <c r="AA794" s="264"/>
      <c r="AB794" s="260"/>
      <c r="AC794" s="260"/>
    </row>
    <row r="795">
      <c r="A795" s="259"/>
      <c r="B795" s="260"/>
      <c r="C795" s="260"/>
      <c r="D795" s="260"/>
      <c r="E795" s="260"/>
      <c r="F795" s="260"/>
      <c r="G795" s="260"/>
      <c r="H795" s="260"/>
      <c r="I795" s="260"/>
      <c r="J795" s="261"/>
      <c r="K795" s="260"/>
      <c r="L795" s="260"/>
      <c r="M795" s="260"/>
      <c r="N795" s="260"/>
      <c r="O795" s="260"/>
      <c r="P795" s="260"/>
      <c r="Q795" s="260"/>
      <c r="R795" s="260"/>
      <c r="S795" s="260"/>
      <c r="T795" s="279"/>
      <c r="U795" s="260"/>
      <c r="V795" s="260"/>
      <c r="W795" s="260"/>
      <c r="X795" s="260"/>
      <c r="Y795" s="260"/>
      <c r="Z795" s="260"/>
      <c r="AA795" s="264"/>
      <c r="AB795" s="260"/>
      <c r="AC795" s="260"/>
    </row>
    <row r="796">
      <c r="A796" s="259"/>
      <c r="B796" s="260"/>
      <c r="C796" s="260"/>
      <c r="D796" s="260"/>
      <c r="E796" s="260"/>
      <c r="F796" s="260"/>
      <c r="G796" s="260"/>
      <c r="H796" s="260"/>
      <c r="I796" s="260"/>
      <c r="J796" s="261"/>
      <c r="K796" s="260"/>
      <c r="L796" s="260"/>
      <c r="M796" s="260"/>
      <c r="N796" s="260"/>
      <c r="O796" s="260"/>
      <c r="P796" s="260"/>
      <c r="Q796" s="260"/>
      <c r="R796" s="260"/>
      <c r="S796" s="260"/>
      <c r="T796" s="279"/>
      <c r="U796" s="260"/>
      <c r="V796" s="260"/>
      <c r="W796" s="260"/>
      <c r="X796" s="260"/>
      <c r="Y796" s="260"/>
      <c r="Z796" s="260"/>
      <c r="AA796" s="264"/>
      <c r="AB796" s="260"/>
      <c r="AC796" s="260"/>
    </row>
    <row r="797">
      <c r="A797" s="259"/>
      <c r="B797" s="260"/>
      <c r="C797" s="260"/>
      <c r="D797" s="260"/>
      <c r="E797" s="260"/>
      <c r="F797" s="260"/>
      <c r="G797" s="260"/>
      <c r="H797" s="260"/>
      <c r="I797" s="260"/>
      <c r="J797" s="261"/>
      <c r="K797" s="260"/>
      <c r="L797" s="260"/>
      <c r="M797" s="260"/>
      <c r="N797" s="260"/>
      <c r="O797" s="260"/>
      <c r="P797" s="260"/>
      <c r="Q797" s="260"/>
      <c r="R797" s="260"/>
      <c r="S797" s="260"/>
      <c r="T797" s="279"/>
      <c r="U797" s="260"/>
      <c r="V797" s="260"/>
      <c r="W797" s="260"/>
      <c r="X797" s="260"/>
      <c r="Y797" s="260"/>
      <c r="Z797" s="260"/>
      <c r="AA797" s="264"/>
      <c r="AB797" s="260"/>
      <c r="AC797" s="260"/>
    </row>
    <row r="798">
      <c r="A798" s="259"/>
      <c r="B798" s="260"/>
      <c r="C798" s="260"/>
      <c r="D798" s="260"/>
      <c r="E798" s="260"/>
      <c r="F798" s="260"/>
      <c r="G798" s="260"/>
      <c r="H798" s="260"/>
      <c r="I798" s="260"/>
      <c r="J798" s="261"/>
      <c r="K798" s="260"/>
      <c r="L798" s="260"/>
      <c r="M798" s="260"/>
      <c r="N798" s="260"/>
      <c r="O798" s="260"/>
      <c r="P798" s="260"/>
      <c r="Q798" s="260"/>
      <c r="R798" s="260"/>
      <c r="S798" s="260"/>
      <c r="T798" s="279"/>
      <c r="U798" s="260"/>
      <c r="V798" s="260"/>
      <c r="W798" s="260"/>
      <c r="X798" s="260"/>
      <c r="Y798" s="260"/>
      <c r="Z798" s="260"/>
      <c r="AA798" s="264"/>
      <c r="AB798" s="260"/>
      <c r="AC798" s="260"/>
    </row>
    <row r="799">
      <c r="A799" s="259"/>
      <c r="B799" s="260"/>
      <c r="C799" s="260"/>
      <c r="D799" s="260"/>
      <c r="E799" s="260"/>
      <c r="F799" s="260"/>
      <c r="G799" s="260"/>
      <c r="H799" s="260"/>
      <c r="I799" s="260"/>
      <c r="J799" s="261"/>
      <c r="K799" s="260"/>
      <c r="L799" s="260"/>
      <c r="M799" s="260"/>
      <c r="N799" s="260"/>
      <c r="O799" s="260"/>
      <c r="P799" s="260"/>
      <c r="Q799" s="260"/>
      <c r="R799" s="260"/>
      <c r="S799" s="260"/>
      <c r="T799" s="279"/>
      <c r="U799" s="260"/>
      <c r="V799" s="260"/>
      <c r="W799" s="260"/>
      <c r="X799" s="260"/>
      <c r="Y799" s="260"/>
      <c r="Z799" s="260"/>
      <c r="AA799" s="264"/>
      <c r="AB799" s="260"/>
      <c r="AC799" s="260"/>
    </row>
    <row r="800">
      <c r="A800" s="259"/>
      <c r="B800" s="260"/>
      <c r="C800" s="260"/>
      <c r="D800" s="260"/>
      <c r="E800" s="260"/>
      <c r="F800" s="260"/>
      <c r="G800" s="260"/>
      <c r="H800" s="260"/>
      <c r="I800" s="260"/>
      <c r="J800" s="261"/>
      <c r="K800" s="260"/>
      <c r="L800" s="260"/>
      <c r="M800" s="260"/>
      <c r="N800" s="260"/>
      <c r="O800" s="260"/>
      <c r="P800" s="260"/>
      <c r="Q800" s="260"/>
      <c r="R800" s="260"/>
      <c r="S800" s="260"/>
      <c r="T800" s="279"/>
      <c r="U800" s="260"/>
      <c r="V800" s="260"/>
      <c r="W800" s="260"/>
      <c r="X800" s="260"/>
      <c r="Y800" s="260"/>
      <c r="Z800" s="260"/>
      <c r="AA800" s="264"/>
      <c r="AB800" s="260"/>
      <c r="AC800" s="260"/>
    </row>
    <row r="801">
      <c r="A801" s="259"/>
      <c r="B801" s="260"/>
      <c r="C801" s="260"/>
      <c r="D801" s="260"/>
      <c r="E801" s="260"/>
      <c r="F801" s="260"/>
      <c r="G801" s="260"/>
      <c r="H801" s="260"/>
      <c r="I801" s="260"/>
      <c r="J801" s="261"/>
      <c r="K801" s="260"/>
      <c r="L801" s="260"/>
      <c r="M801" s="260"/>
      <c r="N801" s="260"/>
      <c r="O801" s="260"/>
      <c r="P801" s="260"/>
      <c r="Q801" s="260"/>
      <c r="R801" s="260"/>
      <c r="S801" s="260"/>
      <c r="T801" s="279"/>
      <c r="U801" s="260"/>
      <c r="V801" s="260"/>
      <c r="W801" s="260"/>
      <c r="X801" s="260"/>
      <c r="Y801" s="260"/>
      <c r="Z801" s="260"/>
      <c r="AA801" s="264"/>
      <c r="AB801" s="260"/>
      <c r="AC801" s="260"/>
    </row>
    <row r="802">
      <c r="A802" s="259"/>
      <c r="B802" s="260"/>
      <c r="C802" s="260"/>
      <c r="D802" s="260"/>
      <c r="E802" s="260"/>
      <c r="F802" s="260"/>
      <c r="G802" s="260"/>
      <c r="H802" s="260"/>
      <c r="I802" s="260"/>
      <c r="J802" s="261"/>
      <c r="K802" s="260"/>
      <c r="L802" s="260"/>
      <c r="M802" s="260"/>
      <c r="N802" s="260"/>
      <c r="O802" s="260"/>
      <c r="P802" s="260"/>
      <c r="Q802" s="260"/>
      <c r="R802" s="260"/>
      <c r="S802" s="260"/>
      <c r="T802" s="279"/>
      <c r="U802" s="260"/>
      <c r="V802" s="260"/>
      <c r="W802" s="260"/>
      <c r="X802" s="260"/>
      <c r="Y802" s="260"/>
      <c r="Z802" s="260"/>
      <c r="AA802" s="264"/>
      <c r="AB802" s="260"/>
      <c r="AC802" s="260"/>
    </row>
    <row r="803">
      <c r="A803" s="259"/>
      <c r="B803" s="260"/>
      <c r="C803" s="260"/>
      <c r="D803" s="260"/>
      <c r="E803" s="260"/>
      <c r="F803" s="260"/>
      <c r="G803" s="260"/>
      <c r="H803" s="260"/>
      <c r="I803" s="260"/>
      <c r="J803" s="261"/>
      <c r="K803" s="260"/>
      <c r="L803" s="260"/>
      <c r="M803" s="260"/>
      <c r="N803" s="260"/>
      <c r="O803" s="260"/>
      <c r="P803" s="260"/>
      <c r="Q803" s="260"/>
      <c r="R803" s="260"/>
      <c r="S803" s="260"/>
      <c r="T803" s="279"/>
      <c r="U803" s="260"/>
      <c r="V803" s="260"/>
      <c r="W803" s="260"/>
      <c r="X803" s="260"/>
      <c r="Y803" s="260"/>
      <c r="Z803" s="260"/>
      <c r="AA803" s="264"/>
      <c r="AB803" s="260"/>
      <c r="AC803" s="260"/>
    </row>
    <row r="804">
      <c r="A804" s="259"/>
      <c r="B804" s="260"/>
      <c r="C804" s="260"/>
      <c r="D804" s="260"/>
      <c r="E804" s="260"/>
      <c r="F804" s="260"/>
      <c r="G804" s="260"/>
      <c r="H804" s="260"/>
      <c r="I804" s="260"/>
      <c r="J804" s="261"/>
      <c r="K804" s="260"/>
      <c r="L804" s="260"/>
      <c r="M804" s="260"/>
      <c r="N804" s="260"/>
      <c r="O804" s="260"/>
      <c r="P804" s="260"/>
      <c r="Q804" s="260"/>
      <c r="R804" s="260"/>
      <c r="S804" s="260"/>
      <c r="T804" s="279"/>
      <c r="U804" s="260"/>
      <c r="V804" s="260"/>
      <c r="W804" s="260"/>
      <c r="X804" s="260"/>
      <c r="Y804" s="260"/>
      <c r="Z804" s="260"/>
      <c r="AA804" s="264"/>
      <c r="AB804" s="260"/>
      <c r="AC804" s="260"/>
    </row>
    <row r="805">
      <c r="A805" s="259"/>
      <c r="B805" s="260"/>
      <c r="C805" s="260"/>
      <c r="D805" s="260"/>
      <c r="E805" s="260"/>
      <c r="F805" s="260"/>
      <c r="G805" s="260"/>
      <c r="H805" s="260"/>
      <c r="I805" s="260"/>
      <c r="J805" s="261"/>
      <c r="K805" s="260"/>
      <c r="L805" s="260"/>
      <c r="M805" s="260"/>
      <c r="N805" s="260"/>
      <c r="O805" s="260"/>
      <c r="P805" s="260"/>
      <c r="Q805" s="260"/>
      <c r="R805" s="260"/>
      <c r="S805" s="260"/>
      <c r="T805" s="279"/>
      <c r="U805" s="260"/>
      <c r="V805" s="260"/>
      <c r="W805" s="260"/>
      <c r="X805" s="260"/>
      <c r="Y805" s="260"/>
      <c r="Z805" s="260"/>
      <c r="AA805" s="264"/>
      <c r="AB805" s="260"/>
      <c r="AC805" s="260"/>
    </row>
    <row r="806">
      <c r="A806" s="259"/>
      <c r="B806" s="260"/>
      <c r="C806" s="260"/>
      <c r="D806" s="260"/>
      <c r="E806" s="260"/>
      <c r="F806" s="260"/>
      <c r="G806" s="260"/>
      <c r="H806" s="260"/>
      <c r="I806" s="260"/>
      <c r="J806" s="261"/>
      <c r="K806" s="260"/>
      <c r="L806" s="260"/>
      <c r="M806" s="260"/>
      <c r="N806" s="260"/>
      <c r="O806" s="260"/>
      <c r="P806" s="260"/>
      <c r="Q806" s="260"/>
      <c r="R806" s="260"/>
      <c r="S806" s="260"/>
      <c r="T806" s="279"/>
      <c r="U806" s="260"/>
      <c r="V806" s="260"/>
      <c r="W806" s="260"/>
      <c r="X806" s="260"/>
      <c r="Y806" s="260"/>
      <c r="Z806" s="260"/>
      <c r="AA806" s="264"/>
      <c r="AB806" s="260"/>
      <c r="AC806" s="260"/>
    </row>
    <row r="807">
      <c r="A807" s="259"/>
      <c r="B807" s="260"/>
      <c r="C807" s="260"/>
      <c r="D807" s="260"/>
      <c r="E807" s="260"/>
      <c r="F807" s="260"/>
      <c r="G807" s="260"/>
      <c r="H807" s="260"/>
      <c r="I807" s="260"/>
      <c r="J807" s="261"/>
      <c r="K807" s="260"/>
      <c r="L807" s="260"/>
      <c r="M807" s="260"/>
      <c r="N807" s="260"/>
      <c r="O807" s="260"/>
      <c r="P807" s="260"/>
      <c r="Q807" s="260"/>
      <c r="R807" s="260"/>
      <c r="S807" s="260"/>
      <c r="T807" s="279"/>
      <c r="U807" s="260"/>
      <c r="V807" s="260"/>
      <c r="W807" s="260"/>
      <c r="X807" s="260"/>
      <c r="Y807" s="260"/>
      <c r="Z807" s="260"/>
      <c r="AA807" s="264"/>
      <c r="AB807" s="260"/>
      <c r="AC807" s="260"/>
    </row>
    <row r="808">
      <c r="A808" s="259"/>
      <c r="B808" s="260"/>
      <c r="C808" s="260"/>
      <c r="D808" s="260"/>
      <c r="E808" s="260"/>
      <c r="F808" s="260"/>
      <c r="G808" s="260"/>
      <c r="H808" s="260"/>
      <c r="I808" s="260"/>
      <c r="J808" s="261"/>
      <c r="K808" s="260"/>
      <c r="L808" s="260"/>
      <c r="M808" s="260"/>
      <c r="N808" s="260"/>
      <c r="O808" s="260"/>
      <c r="P808" s="260"/>
      <c r="Q808" s="260"/>
      <c r="R808" s="260"/>
      <c r="S808" s="260"/>
      <c r="T808" s="279"/>
      <c r="U808" s="260"/>
      <c r="V808" s="260"/>
      <c r="W808" s="260"/>
      <c r="X808" s="260"/>
      <c r="Y808" s="260"/>
      <c r="Z808" s="260"/>
      <c r="AA808" s="264"/>
      <c r="AB808" s="260"/>
      <c r="AC808" s="260"/>
    </row>
    <row r="809">
      <c r="A809" s="259"/>
      <c r="B809" s="260"/>
      <c r="C809" s="260"/>
      <c r="D809" s="260"/>
      <c r="E809" s="260"/>
      <c r="F809" s="260"/>
      <c r="G809" s="260"/>
      <c r="H809" s="260"/>
      <c r="I809" s="260"/>
      <c r="J809" s="261"/>
      <c r="K809" s="260"/>
      <c r="L809" s="260"/>
      <c r="M809" s="260"/>
      <c r="N809" s="260"/>
      <c r="O809" s="260"/>
      <c r="P809" s="260"/>
      <c r="Q809" s="260"/>
      <c r="R809" s="260"/>
      <c r="S809" s="260"/>
      <c r="T809" s="279"/>
      <c r="U809" s="260"/>
      <c r="V809" s="260"/>
      <c r="W809" s="260"/>
      <c r="X809" s="260"/>
      <c r="Y809" s="260"/>
      <c r="Z809" s="260"/>
      <c r="AA809" s="264"/>
      <c r="AB809" s="260"/>
      <c r="AC809" s="260"/>
    </row>
    <row r="810">
      <c r="A810" s="259"/>
      <c r="B810" s="260"/>
      <c r="C810" s="260"/>
      <c r="D810" s="260"/>
      <c r="E810" s="260"/>
      <c r="F810" s="260"/>
      <c r="G810" s="260"/>
      <c r="H810" s="260"/>
      <c r="I810" s="260"/>
      <c r="J810" s="261"/>
      <c r="K810" s="260"/>
      <c r="L810" s="260"/>
      <c r="M810" s="260"/>
      <c r="N810" s="260"/>
      <c r="O810" s="260"/>
      <c r="P810" s="260"/>
      <c r="Q810" s="260"/>
      <c r="R810" s="260"/>
      <c r="S810" s="260"/>
      <c r="T810" s="279"/>
      <c r="U810" s="260"/>
      <c r="V810" s="260"/>
      <c r="W810" s="260"/>
      <c r="X810" s="260"/>
      <c r="Y810" s="260"/>
      <c r="Z810" s="260"/>
      <c r="AA810" s="264"/>
      <c r="AB810" s="260"/>
      <c r="AC810" s="260"/>
    </row>
    <row r="811">
      <c r="A811" s="259"/>
      <c r="B811" s="260"/>
      <c r="C811" s="260"/>
      <c r="D811" s="260"/>
      <c r="E811" s="260"/>
      <c r="F811" s="260"/>
      <c r="G811" s="260"/>
      <c r="H811" s="260"/>
      <c r="I811" s="260"/>
      <c r="J811" s="261"/>
      <c r="K811" s="260"/>
      <c r="L811" s="260"/>
      <c r="M811" s="260"/>
      <c r="N811" s="260"/>
      <c r="O811" s="260"/>
      <c r="P811" s="260"/>
      <c r="Q811" s="260"/>
      <c r="R811" s="260"/>
      <c r="S811" s="260"/>
      <c r="T811" s="279"/>
      <c r="U811" s="260"/>
      <c r="V811" s="260"/>
      <c r="W811" s="260"/>
      <c r="X811" s="260"/>
      <c r="Y811" s="260"/>
      <c r="Z811" s="260"/>
      <c r="AA811" s="264"/>
      <c r="AB811" s="260"/>
      <c r="AC811" s="260"/>
    </row>
    <row r="812">
      <c r="A812" s="259"/>
      <c r="B812" s="260"/>
      <c r="C812" s="260"/>
      <c r="D812" s="260"/>
      <c r="E812" s="260"/>
      <c r="F812" s="260"/>
      <c r="G812" s="260"/>
      <c r="H812" s="260"/>
      <c r="I812" s="260"/>
      <c r="J812" s="261"/>
      <c r="K812" s="260"/>
      <c r="L812" s="260"/>
      <c r="M812" s="260"/>
      <c r="N812" s="260"/>
      <c r="O812" s="260"/>
      <c r="P812" s="260"/>
      <c r="Q812" s="260"/>
      <c r="R812" s="260"/>
      <c r="S812" s="260"/>
      <c r="T812" s="279"/>
      <c r="U812" s="260"/>
      <c r="V812" s="260"/>
      <c r="W812" s="260"/>
      <c r="X812" s="260"/>
      <c r="Y812" s="260"/>
      <c r="Z812" s="260"/>
      <c r="AA812" s="264"/>
      <c r="AB812" s="260"/>
      <c r="AC812" s="260"/>
    </row>
    <row r="813">
      <c r="A813" s="259"/>
      <c r="B813" s="260"/>
      <c r="C813" s="260"/>
      <c r="D813" s="260"/>
      <c r="E813" s="260"/>
      <c r="F813" s="260"/>
      <c r="G813" s="260"/>
      <c r="H813" s="260"/>
      <c r="I813" s="260"/>
      <c r="J813" s="261"/>
      <c r="K813" s="260"/>
      <c r="L813" s="260"/>
      <c r="M813" s="260"/>
      <c r="N813" s="260"/>
      <c r="O813" s="260"/>
      <c r="P813" s="260"/>
      <c r="Q813" s="260"/>
      <c r="R813" s="260"/>
      <c r="S813" s="260"/>
      <c r="T813" s="279"/>
      <c r="U813" s="260"/>
      <c r="V813" s="260"/>
      <c r="W813" s="260"/>
      <c r="X813" s="260"/>
      <c r="Y813" s="260"/>
      <c r="Z813" s="260"/>
      <c r="AA813" s="264"/>
      <c r="AB813" s="260"/>
      <c r="AC813" s="260"/>
    </row>
    <row r="814">
      <c r="A814" s="259"/>
      <c r="B814" s="260"/>
      <c r="C814" s="260"/>
      <c r="D814" s="260"/>
      <c r="E814" s="260"/>
      <c r="F814" s="260"/>
      <c r="G814" s="260"/>
      <c r="H814" s="260"/>
      <c r="I814" s="260"/>
      <c r="J814" s="261"/>
      <c r="K814" s="260"/>
      <c r="L814" s="260"/>
      <c r="M814" s="260"/>
      <c r="N814" s="260"/>
      <c r="O814" s="260"/>
      <c r="P814" s="260"/>
      <c r="Q814" s="260"/>
      <c r="R814" s="260"/>
      <c r="S814" s="260"/>
      <c r="T814" s="279"/>
      <c r="U814" s="260"/>
      <c r="V814" s="260"/>
      <c r="W814" s="260"/>
      <c r="X814" s="260"/>
      <c r="Y814" s="260"/>
      <c r="Z814" s="260"/>
      <c r="AA814" s="264"/>
      <c r="AB814" s="260"/>
      <c r="AC814" s="260"/>
    </row>
    <row r="815">
      <c r="A815" s="259"/>
      <c r="B815" s="260"/>
      <c r="C815" s="260"/>
      <c r="D815" s="260"/>
      <c r="E815" s="260"/>
      <c r="F815" s="260"/>
      <c r="G815" s="260"/>
      <c r="H815" s="260"/>
      <c r="I815" s="260"/>
      <c r="J815" s="261"/>
      <c r="K815" s="260"/>
      <c r="L815" s="260"/>
      <c r="M815" s="260"/>
      <c r="N815" s="260"/>
      <c r="O815" s="260"/>
      <c r="P815" s="260"/>
      <c r="Q815" s="260"/>
      <c r="R815" s="260"/>
      <c r="S815" s="260"/>
      <c r="T815" s="279"/>
      <c r="U815" s="260"/>
      <c r="V815" s="260"/>
      <c r="W815" s="260"/>
      <c r="X815" s="260"/>
      <c r="Y815" s="260"/>
      <c r="Z815" s="260"/>
      <c r="AA815" s="264"/>
      <c r="AB815" s="260"/>
      <c r="AC815" s="260"/>
    </row>
    <row r="816">
      <c r="A816" s="259"/>
      <c r="B816" s="260"/>
      <c r="C816" s="260"/>
      <c r="D816" s="260"/>
      <c r="E816" s="260"/>
      <c r="F816" s="260"/>
      <c r="G816" s="260"/>
      <c r="H816" s="260"/>
      <c r="I816" s="260"/>
      <c r="J816" s="261"/>
      <c r="K816" s="260"/>
      <c r="L816" s="260"/>
      <c r="M816" s="260"/>
      <c r="N816" s="260"/>
      <c r="O816" s="260"/>
      <c r="P816" s="260"/>
      <c r="Q816" s="260"/>
      <c r="R816" s="260"/>
      <c r="S816" s="260"/>
      <c r="T816" s="279"/>
      <c r="U816" s="260"/>
      <c r="V816" s="260"/>
      <c r="W816" s="260"/>
      <c r="X816" s="260"/>
      <c r="Y816" s="260"/>
      <c r="Z816" s="260"/>
      <c r="AA816" s="264"/>
      <c r="AB816" s="260"/>
      <c r="AC816" s="260"/>
    </row>
    <row r="817">
      <c r="A817" s="259"/>
      <c r="B817" s="260"/>
      <c r="C817" s="260"/>
      <c r="D817" s="260"/>
      <c r="E817" s="260"/>
      <c r="F817" s="260"/>
      <c r="G817" s="260"/>
      <c r="H817" s="260"/>
      <c r="I817" s="260"/>
      <c r="J817" s="261"/>
      <c r="K817" s="260"/>
      <c r="L817" s="260"/>
      <c r="M817" s="260"/>
      <c r="N817" s="260"/>
      <c r="O817" s="260"/>
      <c r="P817" s="260"/>
      <c r="Q817" s="260"/>
      <c r="R817" s="260"/>
      <c r="S817" s="260"/>
      <c r="T817" s="279"/>
      <c r="U817" s="260"/>
      <c r="V817" s="260"/>
      <c r="W817" s="260"/>
      <c r="X817" s="260"/>
      <c r="Y817" s="260"/>
      <c r="Z817" s="260"/>
      <c r="AA817" s="264"/>
      <c r="AB817" s="260"/>
      <c r="AC817" s="260"/>
    </row>
    <row r="818">
      <c r="A818" s="259"/>
      <c r="B818" s="260"/>
      <c r="C818" s="260"/>
      <c r="D818" s="260"/>
      <c r="E818" s="260"/>
      <c r="F818" s="260"/>
      <c r="G818" s="260"/>
      <c r="H818" s="260"/>
      <c r="I818" s="260"/>
      <c r="J818" s="261"/>
      <c r="K818" s="260"/>
      <c r="L818" s="260"/>
      <c r="M818" s="260"/>
      <c r="N818" s="260"/>
      <c r="O818" s="260"/>
      <c r="P818" s="260"/>
      <c r="Q818" s="260"/>
      <c r="R818" s="260"/>
      <c r="S818" s="260"/>
      <c r="T818" s="279"/>
      <c r="U818" s="260"/>
      <c r="V818" s="260"/>
      <c r="W818" s="260"/>
      <c r="X818" s="260"/>
      <c r="Y818" s="260"/>
      <c r="Z818" s="260"/>
      <c r="AA818" s="264"/>
      <c r="AB818" s="260"/>
      <c r="AC818" s="260"/>
    </row>
    <row r="819">
      <c r="A819" s="259"/>
      <c r="B819" s="260"/>
      <c r="C819" s="260"/>
      <c r="D819" s="260"/>
      <c r="E819" s="260"/>
      <c r="F819" s="260"/>
      <c r="G819" s="260"/>
      <c r="H819" s="260"/>
      <c r="I819" s="260"/>
      <c r="J819" s="261"/>
      <c r="K819" s="260"/>
      <c r="L819" s="260"/>
      <c r="M819" s="260"/>
      <c r="N819" s="260"/>
      <c r="O819" s="260"/>
      <c r="P819" s="260"/>
      <c r="Q819" s="260"/>
      <c r="R819" s="260"/>
      <c r="S819" s="260"/>
      <c r="T819" s="279"/>
      <c r="U819" s="260"/>
      <c r="V819" s="260"/>
      <c r="W819" s="260"/>
      <c r="X819" s="260"/>
      <c r="Y819" s="260"/>
      <c r="Z819" s="260"/>
      <c r="AA819" s="264"/>
      <c r="AB819" s="260"/>
      <c r="AC819" s="260"/>
    </row>
    <row r="820">
      <c r="A820" s="259"/>
      <c r="B820" s="260"/>
      <c r="C820" s="260"/>
      <c r="D820" s="260"/>
      <c r="E820" s="260"/>
      <c r="F820" s="260"/>
      <c r="G820" s="260"/>
      <c r="H820" s="260"/>
      <c r="I820" s="260"/>
      <c r="J820" s="261"/>
      <c r="K820" s="260"/>
      <c r="L820" s="260"/>
      <c r="M820" s="260"/>
      <c r="N820" s="260"/>
      <c r="O820" s="260"/>
      <c r="P820" s="260"/>
      <c r="Q820" s="260"/>
      <c r="R820" s="260"/>
      <c r="S820" s="260"/>
      <c r="T820" s="279"/>
      <c r="U820" s="260"/>
      <c r="V820" s="260"/>
      <c r="W820" s="260"/>
      <c r="X820" s="260"/>
      <c r="Y820" s="260"/>
      <c r="Z820" s="260"/>
      <c r="AA820" s="264"/>
      <c r="AB820" s="260"/>
      <c r="AC820" s="260"/>
    </row>
    <row r="821">
      <c r="A821" s="259"/>
      <c r="B821" s="260"/>
      <c r="C821" s="260"/>
      <c r="D821" s="260"/>
      <c r="E821" s="260"/>
      <c r="F821" s="260"/>
      <c r="G821" s="260"/>
      <c r="H821" s="260"/>
      <c r="I821" s="260"/>
      <c r="J821" s="261"/>
      <c r="K821" s="260"/>
      <c r="L821" s="260"/>
      <c r="M821" s="260"/>
      <c r="N821" s="260"/>
      <c r="O821" s="260"/>
      <c r="P821" s="260"/>
      <c r="Q821" s="260"/>
      <c r="R821" s="260"/>
      <c r="S821" s="260"/>
      <c r="T821" s="279"/>
      <c r="U821" s="260"/>
      <c r="V821" s="260"/>
      <c r="W821" s="260"/>
      <c r="X821" s="260"/>
      <c r="Y821" s="260"/>
      <c r="Z821" s="260"/>
      <c r="AA821" s="264"/>
      <c r="AB821" s="260"/>
      <c r="AC821" s="260"/>
    </row>
    <row r="822">
      <c r="A822" s="259"/>
      <c r="B822" s="260"/>
      <c r="C822" s="260"/>
      <c r="D822" s="260"/>
      <c r="E822" s="260"/>
      <c r="F822" s="260"/>
      <c r="G822" s="260"/>
      <c r="H822" s="260"/>
      <c r="I822" s="260"/>
      <c r="J822" s="261"/>
      <c r="K822" s="260"/>
      <c r="L822" s="260"/>
      <c r="M822" s="260"/>
      <c r="N822" s="260"/>
      <c r="O822" s="260"/>
      <c r="P822" s="260"/>
      <c r="Q822" s="260"/>
      <c r="R822" s="260"/>
      <c r="S822" s="260"/>
      <c r="T822" s="279"/>
      <c r="U822" s="260"/>
      <c r="V822" s="260"/>
      <c r="W822" s="260"/>
      <c r="X822" s="260"/>
      <c r="Y822" s="260"/>
      <c r="Z822" s="260"/>
      <c r="AA822" s="264"/>
      <c r="AB822" s="260"/>
      <c r="AC822" s="260"/>
    </row>
    <row r="823">
      <c r="A823" s="259"/>
      <c r="B823" s="260"/>
      <c r="C823" s="260"/>
      <c r="D823" s="260"/>
      <c r="E823" s="260"/>
      <c r="F823" s="260"/>
      <c r="G823" s="260"/>
      <c r="H823" s="260"/>
      <c r="I823" s="260"/>
      <c r="J823" s="261"/>
      <c r="K823" s="260"/>
      <c r="L823" s="260"/>
      <c r="M823" s="260"/>
      <c r="N823" s="260"/>
      <c r="O823" s="260"/>
      <c r="P823" s="260"/>
      <c r="Q823" s="260"/>
      <c r="R823" s="260"/>
      <c r="S823" s="260"/>
      <c r="T823" s="279"/>
      <c r="U823" s="260"/>
      <c r="V823" s="260"/>
      <c r="W823" s="260"/>
      <c r="X823" s="260"/>
      <c r="Y823" s="260"/>
      <c r="Z823" s="260"/>
      <c r="AA823" s="264"/>
      <c r="AB823" s="260"/>
      <c r="AC823" s="260"/>
    </row>
    <row r="824">
      <c r="A824" s="259"/>
      <c r="B824" s="260"/>
      <c r="C824" s="260"/>
      <c r="D824" s="260"/>
      <c r="E824" s="260"/>
      <c r="F824" s="260"/>
      <c r="G824" s="260"/>
      <c r="H824" s="260"/>
      <c r="I824" s="260"/>
      <c r="J824" s="261"/>
      <c r="K824" s="260"/>
      <c r="L824" s="260"/>
      <c r="M824" s="260"/>
      <c r="N824" s="260"/>
      <c r="O824" s="260"/>
      <c r="P824" s="260"/>
      <c r="Q824" s="260"/>
      <c r="R824" s="260"/>
      <c r="S824" s="260"/>
      <c r="T824" s="279"/>
      <c r="U824" s="260"/>
      <c r="V824" s="260"/>
      <c r="W824" s="260"/>
      <c r="X824" s="260"/>
      <c r="Y824" s="260"/>
      <c r="Z824" s="260"/>
      <c r="AA824" s="264"/>
      <c r="AB824" s="260"/>
      <c r="AC824" s="260"/>
    </row>
    <row r="825">
      <c r="A825" s="259"/>
      <c r="B825" s="260"/>
      <c r="C825" s="260"/>
      <c r="D825" s="260"/>
      <c r="E825" s="260"/>
      <c r="F825" s="260"/>
      <c r="G825" s="260"/>
      <c r="H825" s="260"/>
      <c r="I825" s="260"/>
      <c r="J825" s="261"/>
      <c r="K825" s="260"/>
      <c r="L825" s="260"/>
      <c r="M825" s="260"/>
      <c r="N825" s="260"/>
      <c r="O825" s="260"/>
      <c r="P825" s="260"/>
      <c r="Q825" s="260"/>
      <c r="R825" s="260"/>
      <c r="S825" s="260"/>
      <c r="T825" s="279"/>
      <c r="U825" s="260"/>
      <c r="V825" s="260"/>
      <c r="W825" s="260"/>
      <c r="X825" s="260"/>
      <c r="Y825" s="260"/>
      <c r="Z825" s="260"/>
      <c r="AA825" s="264"/>
      <c r="AB825" s="260"/>
      <c r="AC825" s="260"/>
    </row>
    <row r="826">
      <c r="A826" s="259"/>
      <c r="B826" s="260"/>
      <c r="C826" s="260"/>
      <c r="D826" s="260"/>
      <c r="E826" s="260"/>
      <c r="F826" s="260"/>
      <c r="G826" s="260"/>
      <c r="H826" s="260"/>
      <c r="I826" s="260"/>
      <c r="J826" s="261"/>
      <c r="K826" s="260"/>
      <c r="L826" s="260"/>
      <c r="M826" s="260"/>
      <c r="N826" s="260"/>
      <c r="O826" s="260"/>
      <c r="P826" s="260"/>
      <c r="Q826" s="260"/>
      <c r="R826" s="260"/>
      <c r="S826" s="260"/>
      <c r="T826" s="279"/>
      <c r="U826" s="260"/>
      <c r="V826" s="260"/>
      <c r="W826" s="260"/>
      <c r="X826" s="260"/>
      <c r="Y826" s="260"/>
      <c r="Z826" s="260"/>
      <c r="AA826" s="264"/>
      <c r="AB826" s="260"/>
      <c r="AC826" s="260"/>
    </row>
    <row r="827">
      <c r="A827" s="259"/>
      <c r="B827" s="260"/>
      <c r="C827" s="260"/>
      <c r="D827" s="260"/>
      <c r="E827" s="260"/>
      <c r="F827" s="260"/>
      <c r="G827" s="260"/>
      <c r="H827" s="260"/>
      <c r="I827" s="260"/>
      <c r="J827" s="261"/>
      <c r="K827" s="260"/>
      <c r="L827" s="260"/>
      <c r="M827" s="260"/>
      <c r="N827" s="260"/>
      <c r="O827" s="260"/>
      <c r="P827" s="260"/>
      <c r="Q827" s="260"/>
      <c r="R827" s="260"/>
      <c r="S827" s="260"/>
      <c r="T827" s="279"/>
      <c r="U827" s="260"/>
      <c r="V827" s="260"/>
      <c r="W827" s="260"/>
      <c r="X827" s="260"/>
      <c r="Y827" s="260"/>
      <c r="Z827" s="260"/>
      <c r="AA827" s="264"/>
      <c r="AB827" s="260"/>
      <c r="AC827" s="260"/>
    </row>
    <row r="828">
      <c r="A828" s="259"/>
      <c r="B828" s="260"/>
      <c r="C828" s="260"/>
      <c r="D828" s="260"/>
      <c r="E828" s="260"/>
      <c r="F828" s="260"/>
      <c r="G828" s="260"/>
      <c r="H828" s="260"/>
      <c r="I828" s="260"/>
      <c r="J828" s="261"/>
      <c r="K828" s="260"/>
      <c r="L828" s="260"/>
      <c r="M828" s="260"/>
      <c r="N828" s="260"/>
      <c r="O828" s="260"/>
      <c r="P828" s="260"/>
      <c r="Q828" s="260"/>
      <c r="R828" s="260"/>
      <c r="S828" s="260"/>
      <c r="T828" s="279"/>
      <c r="U828" s="260"/>
      <c r="V828" s="260"/>
      <c r="W828" s="260"/>
      <c r="X828" s="260"/>
      <c r="Y828" s="260"/>
      <c r="Z828" s="260"/>
      <c r="AA828" s="264"/>
      <c r="AB828" s="260"/>
      <c r="AC828" s="260"/>
    </row>
    <row r="829">
      <c r="A829" s="259"/>
      <c r="B829" s="260"/>
      <c r="C829" s="260"/>
      <c r="D829" s="260"/>
      <c r="E829" s="260"/>
      <c r="F829" s="260"/>
      <c r="G829" s="260"/>
      <c r="H829" s="260"/>
      <c r="I829" s="260"/>
      <c r="J829" s="261"/>
      <c r="K829" s="260"/>
      <c r="L829" s="260"/>
      <c r="M829" s="260"/>
      <c r="N829" s="260"/>
      <c r="O829" s="260"/>
      <c r="P829" s="260"/>
      <c r="Q829" s="260"/>
      <c r="R829" s="260"/>
      <c r="S829" s="260"/>
      <c r="T829" s="279"/>
      <c r="U829" s="260"/>
      <c r="V829" s="260"/>
      <c r="W829" s="260"/>
      <c r="X829" s="260"/>
      <c r="Y829" s="260"/>
      <c r="Z829" s="260"/>
      <c r="AA829" s="264"/>
      <c r="AB829" s="260"/>
      <c r="AC829" s="260"/>
    </row>
    <row r="830">
      <c r="A830" s="259"/>
      <c r="B830" s="260"/>
      <c r="C830" s="260"/>
      <c r="D830" s="260"/>
      <c r="E830" s="260"/>
      <c r="F830" s="260"/>
      <c r="G830" s="260"/>
      <c r="H830" s="260"/>
      <c r="I830" s="260"/>
      <c r="J830" s="261"/>
      <c r="K830" s="260"/>
      <c r="L830" s="260"/>
      <c r="M830" s="260"/>
      <c r="N830" s="260"/>
      <c r="O830" s="260"/>
      <c r="P830" s="260"/>
      <c r="Q830" s="260"/>
      <c r="R830" s="260"/>
      <c r="S830" s="260"/>
      <c r="T830" s="279"/>
      <c r="U830" s="260"/>
      <c r="V830" s="260"/>
      <c r="W830" s="260"/>
      <c r="X830" s="260"/>
      <c r="Y830" s="260"/>
      <c r="Z830" s="260"/>
      <c r="AA830" s="264"/>
      <c r="AB830" s="260"/>
      <c r="AC830" s="260"/>
    </row>
    <row r="831">
      <c r="A831" s="259"/>
      <c r="B831" s="260"/>
      <c r="C831" s="260"/>
      <c r="D831" s="260"/>
      <c r="E831" s="260"/>
      <c r="F831" s="260"/>
      <c r="G831" s="260"/>
      <c r="H831" s="260"/>
      <c r="I831" s="260"/>
      <c r="J831" s="261"/>
      <c r="K831" s="260"/>
      <c r="L831" s="260"/>
      <c r="M831" s="260"/>
      <c r="N831" s="260"/>
      <c r="O831" s="260"/>
      <c r="P831" s="260"/>
      <c r="Q831" s="260"/>
      <c r="R831" s="260"/>
      <c r="S831" s="260"/>
      <c r="T831" s="279"/>
      <c r="U831" s="260"/>
      <c r="V831" s="260"/>
      <c r="W831" s="260"/>
      <c r="X831" s="260"/>
      <c r="Y831" s="260"/>
      <c r="Z831" s="260"/>
      <c r="AA831" s="264"/>
      <c r="AB831" s="260"/>
      <c r="AC831" s="260"/>
    </row>
    <row r="832">
      <c r="A832" s="259"/>
      <c r="B832" s="260"/>
      <c r="C832" s="260"/>
      <c r="D832" s="260"/>
      <c r="E832" s="260"/>
      <c r="F832" s="260"/>
      <c r="G832" s="260"/>
      <c r="H832" s="260"/>
      <c r="I832" s="260"/>
      <c r="J832" s="261"/>
      <c r="K832" s="260"/>
      <c r="L832" s="260"/>
      <c r="M832" s="260"/>
      <c r="N832" s="260"/>
      <c r="O832" s="260"/>
      <c r="P832" s="260"/>
      <c r="Q832" s="260"/>
      <c r="R832" s="260"/>
      <c r="S832" s="260"/>
      <c r="T832" s="279"/>
      <c r="U832" s="260"/>
      <c r="V832" s="260"/>
      <c r="W832" s="260"/>
      <c r="X832" s="260"/>
      <c r="Y832" s="260"/>
      <c r="Z832" s="260"/>
      <c r="AA832" s="264"/>
      <c r="AB832" s="260"/>
      <c r="AC832" s="260"/>
    </row>
    <row r="833">
      <c r="A833" s="259"/>
      <c r="B833" s="260"/>
      <c r="C833" s="260"/>
      <c r="D833" s="260"/>
      <c r="E833" s="260"/>
      <c r="F833" s="260"/>
      <c r="G833" s="260"/>
      <c r="H833" s="260"/>
      <c r="I833" s="260"/>
      <c r="J833" s="261"/>
      <c r="K833" s="260"/>
      <c r="L833" s="260"/>
      <c r="M833" s="260"/>
      <c r="N833" s="260"/>
      <c r="O833" s="260"/>
      <c r="P833" s="260"/>
      <c r="Q833" s="260"/>
      <c r="R833" s="260"/>
      <c r="S833" s="260"/>
      <c r="T833" s="279"/>
      <c r="U833" s="260"/>
      <c r="V833" s="260"/>
      <c r="W833" s="260"/>
      <c r="X833" s="260"/>
      <c r="Y833" s="260"/>
      <c r="Z833" s="260"/>
      <c r="AA833" s="264"/>
      <c r="AB833" s="260"/>
      <c r="AC833" s="260"/>
    </row>
    <row r="834">
      <c r="A834" s="259"/>
      <c r="B834" s="260"/>
      <c r="C834" s="260"/>
      <c r="D834" s="260"/>
      <c r="E834" s="260"/>
      <c r="F834" s="260"/>
      <c r="G834" s="260"/>
      <c r="H834" s="260"/>
      <c r="I834" s="260"/>
      <c r="J834" s="261"/>
      <c r="K834" s="260"/>
      <c r="L834" s="260"/>
      <c r="M834" s="260"/>
      <c r="N834" s="260"/>
      <c r="O834" s="260"/>
      <c r="P834" s="260"/>
      <c r="Q834" s="260"/>
      <c r="R834" s="260"/>
      <c r="S834" s="260"/>
      <c r="T834" s="279"/>
      <c r="U834" s="260"/>
      <c r="V834" s="260"/>
      <c r="W834" s="260"/>
      <c r="X834" s="260"/>
      <c r="Y834" s="260"/>
      <c r="Z834" s="260"/>
      <c r="AA834" s="264"/>
      <c r="AB834" s="260"/>
      <c r="AC834" s="260"/>
    </row>
    <row r="835">
      <c r="A835" s="259"/>
      <c r="B835" s="260"/>
      <c r="C835" s="260"/>
      <c r="D835" s="260"/>
      <c r="E835" s="260"/>
      <c r="F835" s="260"/>
      <c r="G835" s="260"/>
      <c r="H835" s="260"/>
      <c r="I835" s="260"/>
      <c r="J835" s="261"/>
      <c r="K835" s="260"/>
      <c r="L835" s="260"/>
      <c r="M835" s="260"/>
      <c r="N835" s="260"/>
      <c r="O835" s="260"/>
      <c r="P835" s="260"/>
      <c r="Q835" s="260"/>
      <c r="R835" s="260"/>
      <c r="S835" s="260"/>
      <c r="T835" s="279"/>
      <c r="U835" s="260"/>
      <c r="V835" s="260"/>
      <c r="W835" s="260"/>
      <c r="X835" s="260"/>
      <c r="Y835" s="260"/>
      <c r="Z835" s="260"/>
      <c r="AA835" s="264"/>
      <c r="AB835" s="260"/>
      <c r="AC835" s="260"/>
    </row>
    <row r="836">
      <c r="A836" s="259"/>
      <c r="B836" s="260"/>
      <c r="C836" s="260"/>
      <c r="D836" s="260"/>
      <c r="E836" s="260"/>
      <c r="F836" s="260"/>
      <c r="G836" s="260"/>
      <c r="H836" s="260"/>
      <c r="I836" s="260"/>
      <c r="J836" s="261"/>
      <c r="K836" s="260"/>
      <c r="L836" s="260"/>
      <c r="M836" s="260"/>
      <c r="N836" s="260"/>
      <c r="O836" s="260"/>
      <c r="P836" s="260"/>
      <c r="Q836" s="260"/>
      <c r="R836" s="260"/>
      <c r="S836" s="260"/>
      <c r="T836" s="279"/>
      <c r="U836" s="260"/>
      <c r="V836" s="260"/>
      <c r="W836" s="260"/>
      <c r="X836" s="260"/>
      <c r="Y836" s="260"/>
      <c r="Z836" s="260"/>
      <c r="AA836" s="264"/>
      <c r="AB836" s="260"/>
      <c r="AC836" s="260"/>
    </row>
    <row r="837">
      <c r="A837" s="259"/>
      <c r="B837" s="260"/>
      <c r="C837" s="260"/>
      <c r="D837" s="260"/>
      <c r="E837" s="260"/>
      <c r="F837" s="260"/>
      <c r="G837" s="260"/>
      <c r="H837" s="260"/>
      <c r="I837" s="260"/>
      <c r="J837" s="261"/>
      <c r="K837" s="260"/>
      <c r="L837" s="260"/>
      <c r="M837" s="260"/>
      <c r="N837" s="260"/>
      <c r="O837" s="260"/>
      <c r="P837" s="260"/>
      <c r="Q837" s="260"/>
      <c r="R837" s="260"/>
      <c r="S837" s="260"/>
      <c r="T837" s="279"/>
      <c r="U837" s="260"/>
      <c r="V837" s="260"/>
      <c r="W837" s="260"/>
      <c r="X837" s="260"/>
      <c r="Y837" s="260"/>
      <c r="Z837" s="260"/>
      <c r="AA837" s="264"/>
      <c r="AB837" s="260"/>
      <c r="AC837" s="260"/>
    </row>
    <row r="838">
      <c r="A838" s="259"/>
      <c r="B838" s="260"/>
      <c r="C838" s="260"/>
      <c r="D838" s="260"/>
      <c r="E838" s="260"/>
      <c r="F838" s="260"/>
      <c r="G838" s="260"/>
      <c r="H838" s="260"/>
      <c r="I838" s="260"/>
      <c r="J838" s="261"/>
      <c r="K838" s="260"/>
      <c r="L838" s="260"/>
      <c r="M838" s="260"/>
      <c r="N838" s="260"/>
      <c r="O838" s="260"/>
      <c r="P838" s="260"/>
      <c r="Q838" s="260"/>
      <c r="R838" s="260"/>
      <c r="S838" s="260"/>
      <c r="T838" s="279"/>
      <c r="U838" s="260"/>
      <c r="V838" s="260"/>
      <c r="W838" s="260"/>
      <c r="X838" s="260"/>
      <c r="Y838" s="260"/>
      <c r="Z838" s="260"/>
      <c r="AA838" s="264"/>
      <c r="AB838" s="260"/>
      <c r="AC838" s="260"/>
    </row>
    <row r="839">
      <c r="A839" s="259"/>
      <c r="B839" s="260"/>
      <c r="C839" s="260"/>
      <c r="D839" s="260"/>
      <c r="E839" s="260"/>
      <c r="F839" s="260"/>
      <c r="G839" s="260"/>
      <c r="H839" s="260"/>
      <c r="I839" s="260"/>
      <c r="J839" s="261"/>
      <c r="K839" s="260"/>
      <c r="L839" s="260"/>
      <c r="M839" s="260"/>
      <c r="N839" s="260"/>
      <c r="O839" s="260"/>
      <c r="P839" s="260"/>
      <c r="Q839" s="260"/>
      <c r="R839" s="260"/>
      <c r="S839" s="260"/>
      <c r="T839" s="279"/>
      <c r="U839" s="260"/>
      <c r="V839" s="260"/>
      <c r="W839" s="260"/>
      <c r="X839" s="260"/>
      <c r="Y839" s="260"/>
      <c r="Z839" s="260"/>
      <c r="AA839" s="264"/>
      <c r="AB839" s="260"/>
      <c r="AC839" s="260"/>
    </row>
    <row r="840">
      <c r="A840" s="259"/>
      <c r="B840" s="260"/>
      <c r="C840" s="260"/>
      <c r="D840" s="260"/>
      <c r="E840" s="260"/>
      <c r="F840" s="260"/>
      <c r="G840" s="260"/>
      <c r="H840" s="260"/>
      <c r="I840" s="260"/>
      <c r="J840" s="261"/>
      <c r="K840" s="260"/>
      <c r="L840" s="260"/>
      <c r="M840" s="260"/>
      <c r="N840" s="260"/>
      <c r="O840" s="260"/>
      <c r="P840" s="260"/>
      <c r="Q840" s="260"/>
      <c r="R840" s="260"/>
      <c r="S840" s="260"/>
      <c r="T840" s="279"/>
      <c r="U840" s="260"/>
      <c r="V840" s="260"/>
      <c r="W840" s="260"/>
      <c r="X840" s="260"/>
      <c r="Y840" s="260"/>
      <c r="Z840" s="260"/>
      <c r="AA840" s="264"/>
      <c r="AB840" s="260"/>
      <c r="AC840" s="260"/>
    </row>
    <row r="841">
      <c r="A841" s="259"/>
      <c r="B841" s="260"/>
      <c r="C841" s="260"/>
      <c r="D841" s="260"/>
      <c r="E841" s="260"/>
      <c r="F841" s="260"/>
      <c r="G841" s="260"/>
      <c r="H841" s="260"/>
      <c r="I841" s="260"/>
      <c r="J841" s="261"/>
      <c r="K841" s="260"/>
      <c r="L841" s="260"/>
      <c r="M841" s="260"/>
      <c r="N841" s="260"/>
      <c r="O841" s="260"/>
      <c r="P841" s="260"/>
      <c r="Q841" s="260"/>
      <c r="R841" s="260"/>
      <c r="S841" s="260"/>
      <c r="T841" s="279"/>
      <c r="U841" s="260"/>
      <c r="V841" s="260"/>
      <c r="W841" s="260"/>
      <c r="X841" s="260"/>
      <c r="Y841" s="260"/>
      <c r="Z841" s="260"/>
      <c r="AA841" s="264"/>
      <c r="AB841" s="260"/>
      <c r="AC841" s="260"/>
    </row>
    <row r="842">
      <c r="A842" s="259"/>
      <c r="B842" s="260"/>
      <c r="C842" s="260"/>
      <c r="D842" s="260"/>
      <c r="E842" s="260"/>
      <c r="F842" s="260"/>
      <c r="G842" s="260"/>
      <c r="H842" s="260"/>
      <c r="I842" s="260"/>
      <c r="J842" s="261"/>
      <c r="K842" s="260"/>
      <c r="L842" s="260"/>
      <c r="M842" s="260"/>
      <c r="N842" s="260"/>
      <c r="O842" s="260"/>
      <c r="P842" s="260"/>
      <c r="Q842" s="260"/>
      <c r="R842" s="260"/>
      <c r="S842" s="260"/>
      <c r="T842" s="279"/>
      <c r="U842" s="260"/>
      <c r="V842" s="260"/>
      <c r="W842" s="260"/>
      <c r="X842" s="260"/>
      <c r="Y842" s="260"/>
      <c r="Z842" s="260"/>
      <c r="AA842" s="264"/>
      <c r="AB842" s="260"/>
      <c r="AC842" s="260"/>
    </row>
    <row r="843">
      <c r="A843" s="259"/>
      <c r="B843" s="260"/>
      <c r="C843" s="260"/>
      <c r="D843" s="260"/>
      <c r="E843" s="260"/>
      <c r="F843" s="260"/>
      <c r="G843" s="260"/>
      <c r="H843" s="260"/>
      <c r="I843" s="260"/>
      <c r="J843" s="261"/>
      <c r="K843" s="260"/>
      <c r="L843" s="260"/>
      <c r="M843" s="260"/>
      <c r="N843" s="260"/>
      <c r="O843" s="260"/>
      <c r="P843" s="260"/>
      <c r="Q843" s="260"/>
      <c r="R843" s="260"/>
      <c r="S843" s="260"/>
      <c r="T843" s="279"/>
      <c r="U843" s="260"/>
      <c r="V843" s="260"/>
      <c r="W843" s="260"/>
      <c r="X843" s="260"/>
      <c r="Y843" s="260"/>
      <c r="Z843" s="260"/>
      <c r="AA843" s="264"/>
      <c r="AB843" s="260"/>
      <c r="AC843" s="260"/>
    </row>
    <row r="844">
      <c r="A844" s="259"/>
      <c r="B844" s="260"/>
      <c r="C844" s="260"/>
      <c r="D844" s="260"/>
      <c r="E844" s="260"/>
      <c r="F844" s="260"/>
      <c r="G844" s="260"/>
      <c r="H844" s="260"/>
      <c r="I844" s="260"/>
      <c r="J844" s="261"/>
      <c r="K844" s="260"/>
      <c r="L844" s="260"/>
      <c r="M844" s="260"/>
      <c r="N844" s="260"/>
      <c r="O844" s="260"/>
      <c r="P844" s="260"/>
      <c r="Q844" s="260"/>
      <c r="R844" s="260"/>
      <c r="S844" s="260"/>
      <c r="T844" s="279"/>
      <c r="U844" s="260"/>
      <c r="V844" s="260"/>
      <c r="W844" s="260"/>
      <c r="X844" s="260"/>
      <c r="Y844" s="260"/>
      <c r="Z844" s="260"/>
      <c r="AA844" s="264"/>
      <c r="AB844" s="260"/>
      <c r="AC844" s="260"/>
    </row>
    <row r="845">
      <c r="A845" s="259"/>
      <c r="B845" s="260"/>
      <c r="C845" s="260"/>
      <c r="D845" s="260"/>
      <c r="E845" s="260"/>
      <c r="F845" s="260"/>
      <c r="G845" s="260"/>
      <c r="H845" s="260"/>
      <c r="I845" s="260"/>
      <c r="J845" s="261"/>
      <c r="K845" s="260"/>
      <c r="L845" s="260"/>
      <c r="M845" s="260"/>
      <c r="N845" s="260"/>
      <c r="O845" s="260"/>
      <c r="P845" s="260"/>
      <c r="Q845" s="260"/>
      <c r="R845" s="260"/>
      <c r="S845" s="260"/>
      <c r="T845" s="279"/>
      <c r="U845" s="260"/>
      <c r="V845" s="260"/>
      <c r="W845" s="260"/>
      <c r="X845" s="260"/>
      <c r="Y845" s="260"/>
      <c r="Z845" s="260"/>
      <c r="AA845" s="264"/>
      <c r="AB845" s="260"/>
      <c r="AC845" s="260"/>
    </row>
    <row r="846">
      <c r="A846" s="259"/>
      <c r="B846" s="260"/>
      <c r="C846" s="260"/>
      <c r="D846" s="260"/>
      <c r="E846" s="260"/>
      <c r="F846" s="260"/>
      <c r="G846" s="260"/>
      <c r="H846" s="260"/>
      <c r="I846" s="260"/>
      <c r="J846" s="261"/>
      <c r="K846" s="260"/>
      <c r="L846" s="260"/>
      <c r="M846" s="260"/>
      <c r="N846" s="260"/>
      <c r="O846" s="260"/>
      <c r="P846" s="260"/>
      <c r="Q846" s="260"/>
      <c r="R846" s="260"/>
      <c r="S846" s="260"/>
      <c r="T846" s="279"/>
      <c r="U846" s="260"/>
      <c r="V846" s="260"/>
      <c r="W846" s="260"/>
      <c r="X846" s="260"/>
      <c r="Y846" s="260"/>
      <c r="Z846" s="260"/>
      <c r="AA846" s="264"/>
      <c r="AB846" s="260"/>
      <c r="AC846" s="260"/>
    </row>
    <row r="847">
      <c r="A847" s="259"/>
      <c r="B847" s="260"/>
      <c r="C847" s="260"/>
      <c r="D847" s="260"/>
      <c r="E847" s="260"/>
      <c r="F847" s="260"/>
      <c r="G847" s="260"/>
      <c r="H847" s="260"/>
      <c r="I847" s="260"/>
      <c r="J847" s="261"/>
      <c r="K847" s="260"/>
      <c r="L847" s="260"/>
      <c r="M847" s="260"/>
      <c r="N847" s="260"/>
      <c r="O847" s="260"/>
      <c r="P847" s="260"/>
      <c r="Q847" s="260"/>
      <c r="R847" s="260"/>
      <c r="S847" s="260"/>
      <c r="T847" s="279"/>
      <c r="U847" s="260"/>
      <c r="V847" s="260"/>
      <c r="W847" s="260"/>
      <c r="X847" s="260"/>
      <c r="Y847" s="260"/>
      <c r="Z847" s="260"/>
      <c r="AA847" s="264"/>
      <c r="AB847" s="260"/>
      <c r="AC847" s="260"/>
    </row>
    <row r="848">
      <c r="A848" s="259"/>
      <c r="B848" s="260"/>
      <c r="C848" s="260"/>
      <c r="D848" s="260"/>
      <c r="E848" s="260"/>
      <c r="F848" s="260"/>
      <c r="G848" s="260"/>
      <c r="H848" s="260"/>
      <c r="I848" s="260"/>
      <c r="J848" s="261"/>
      <c r="K848" s="260"/>
      <c r="L848" s="260"/>
      <c r="M848" s="260"/>
      <c r="N848" s="260"/>
      <c r="O848" s="260"/>
      <c r="P848" s="260"/>
      <c r="Q848" s="260"/>
      <c r="R848" s="260"/>
      <c r="S848" s="260"/>
      <c r="T848" s="279"/>
      <c r="U848" s="260"/>
      <c r="V848" s="260"/>
      <c r="W848" s="260"/>
      <c r="X848" s="260"/>
      <c r="Y848" s="260"/>
      <c r="Z848" s="260"/>
      <c r="AA848" s="264"/>
      <c r="AB848" s="260"/>
      <c r="AC848" s="260"/>
    </row>
    <row r="849">
      <c r="A849" s="259"/>
      <c r="B849" s="260"/>
      <c r="C849" s="260"/>
      <c r="D849" s="260"/>
      <c r="E849" s="260"/>
      <c r="F849" s="260"/>
      <c r="G849" s="260"/>
      <c r="H849" s="260"/>
      <c r="I849" s="260"/>
      <c r="J849" s="261"/>
      <c r="K849" s="260"/>
      <c r="L849" s="260"/>
      <c r="M849" s="260"/>
      <c r="N849" s="260"/>
      <c r="O849" s="260"/>
      <c r="P849" s="260"/>
      <c r="Q849" s="260"/>
      <c r="R849" s="260"/>
      <c r="S849" s="260"/>
      <c r="T849" s="279"/>
      <c r="U849" s="260"/>
      <c r="V849" s="260"/>
      <c r="W849" s="260"/>
      <c r="X849" s="260"/>
      <c r="Y849" s="260"/>
      <c r="Z849" s="260"/>
      <c r="AA849" s="264"/>
      <c r="AB849" s="260"/>
      <c r="AC849" s="260"/>
    </row>
  </sheetData>
  <customSheetViews>
    <customSheetView guid="{2B3FED7C-0E79-4DC7-A43A-F67ACACD2000}" filter="1" showAutoFilter="1">
      <autoFilter ref="$L$3:$L$849"/>
    </customSheetView>
  </customSheetViews>
  <mergeCells count="1">
    <mergeCell ref="A1:E1"/>
  </mergeCells>
  <dataValidations>
    <dataValidation type="list" allowBlank="1" sqref="I3">
      <formula1>"YES,NO"</formula1>
    </dataValidation>
    <dataValidation type="list" allowBlank="1" sqref="C3">
      <formula1>#REF!</formula1>
    </dataValidation>
    <dataValidation type="list" allowBlank="1" sqref="F3">
      <formula1>"El Paso,Santa Teresa,Sunland Park,Horizon City,Las Cruces,Socorro"</formula1>
    </dataValidation>
    <dataValidation type="custom" allowBlank="1" showDropDown="1" sqref="K3 N3:P3 S3">
      <formula1>OR(NOT(ISERROR(DATEVALUE(K3))), AND(ISNUMBER(K3), LEFT(CELL("format", K3))="D"))</formula1>
    </dataValidation>
    <dataValidation type="list" allowBlank="1" sqref="G3">
      <formula1>"TX,N.M. "</formula1>
    </dataValidation>
    <dataValidation type="list" allowBlank="1" sqref="H3">
      <formula1>"88063,88008,79938,79927,79928,88088,79934,79924,88001"</formula1>
    </dataValidation>
    <dataValidation type="custom" allowBlank="1" showDropDown="1" sqref="J3">
      <formula1>AND(ISNUMBER(J3),(NOT(OR(NOT(ISERROR(DATEVALUE(J3))), AND(ISNUMBER(J3), LEFT(CELL("format", J3))="D")))))</formula1>
    </dataValidation>
    <dataValidation type="list" allowBlank="1" sqref="B3">
      <formula1>"Yes,No"</formula1>
    </dataValidation>
    <dataValidation type="list" allowBlank="1" sqref="Q3 T3 Y3 AC3">
      <formula1>#REF!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4" t="s">
        <v>3</v>
      </c>
      <c r="B1" s="285" t="s">
        <v>4</v>
      </c>
      <c r="C1" s="285" t="s">
        <v>5</v>
      </c>
      <c r="D1" s="284" t="s">
        <v>18</v>
      </c>
      <c r="E1" s="284" t="s">
        <v>571</v>
      </c>
      <c r="F1" s="284" t="s">
        <v>572</v>
      </c>
      <c r="G1" s="284" t="s">
        <v>6</v>
      </c>
      <c r="H1" s="284" t="s">
        <v>7</v>
      </c>
      <c r="I1" s="284" t="s">
        <v>8</v>
      </c>
      <c r="J1" s="284" t="s">
        <v>9</v>
      </c>
      <c r="K1" s="284" t="s">
        <v>10</v>
      </c>
      <c r="L1" s="285" t="s">
        <v>11</v>
      </c>
      <c r="M1" s="285" t="s">
        <v>12</v>
      </c>
      <c r="N1" s="286" t="s">
        <v>13</v>
      </c>
      <c r="O1" s="284" t="s">
        <v>16</v>
      </c>
      <c r="P1" s="284" t="s">
        <v>14</v>
      </c>
      <c r="Q1" s="285" t="s">
        <v>239</v>
      </c>
      <c r="R1" s="285" t="s">
        <v>17</v>
      </c>
      <c r="S1" s="285" t="s">
        <v>19</v>
      </c>
      <c r="T1" s="284" t="s">
        <v>20</v>
      </c>
      <c r="U1" s="284" t="s">
        <v>21</v>
      </c>
      <c r="V1" s="284" t="s">
        <v>243</v>
      </c>
      <c r="W1" s="284" t="s">
        <v>22</v>
      </c>
      <c r="X1" s="284" t="s">
        <v>23</v>
      </c>
      <c r="Y1" s="287" t="s">
        <v>24</v>
      </c>
      <c r="Z1" s="284" t="s">
        <v>245</v>
      </c>
      <c r="AA1" s="284" t="s">
        <v>25</v>
      </c>
    </row>
    <row r="2">
      <c r="A2" s="119">
        <v>17.0</v>
      </c>
      <c r="B2" s="288" t="s">
        <v>573</v>
      </c>
      <c r="C2" s="119" t="s">
        <v>574</v>
      </c>
      <c r="D2" s="288" t="s">
        <v>575</v>
      </c>
      <c r="E2" s="119" t="s">
        <v>575</v>
      </c>
      <c r="F2" s="119"/>
      <c r="G2" s="119" t="s">
        <v>575</v>
      </c>
      <c r="H2" s="119" t="s">
        <v>575</v>
      </c>
      <c r="I2" s="119" t="s">
        <v>575</v>
      </c>
      <c r="J2" s="119" t="s">
        <v>575</v>
      </c>
      <c r="K2" s="119" t="s">
        <v>575</v>
      </c>
      <c r="L2" s="119" t="s">
        <v>573</v>
      </c>
      <c r="M2" s="119" t="s">
        <v>573</v>
      </c>
      <c r="N2" s="266" t="s">
        <v>575</v>
      </c>
      <c r="O2" s="119" t="s">
        <v>573</v>
      </c>
      <c r="P2" s="119" t="s">
        <v>575</v>
      </c>
      <c r="Q2" s="119" t="s">
        <v>573</v>
      </c>
      <c r="R2" s="119" t="s">
        <v>575</v>
      </c>
      <c r="S2" s="284" t="s">
        <v>573</v>
      </c>
      <c r="T2" s="119" t="s">
        <v>575</v>
      </c>
      <c r="U2" s="119" t="s">
        <v>575</v>
      </c>
      <c r="V2" s="119" t="s">
        <v>575</v>
      </c>
      <c r="W2" s="119" t="s">
        <v>576</v>
      </c>
      <c r="X2" s="119" t="s">
        <v>575</v>
      </c>
      <c r="Y2" s="287" t="s">
        <v>575</v>
      </c>
      <c r="Z2" s="119" t="s">
        <v>575</v>
      </c>
      <c r="AA2" s="119" t="s">
        <v>576</v>
      </c>
    </row>
    <row r="4">
      <c r="A4" s="289" t="s">
        <v>515</v>
      </c>
      <c r="B4" s="289" t="s">
        <v>516</v>
      </c>
      <c r="C4" s="289" t="s">
        <v>28</v>
      </c>
      <c r="D4" s="289" t="s">
        <v>30</v>
      </c>
      <c r="E4" s="285" t="s">
        <v>517</v>
      </c>
      <c r="F4" s="285" t="s">
        <v>26</v>
      </c>
      <c r="G4" s="289" t="s">
        <v>518</v>
      </c>
      <c r="H4" s="289" t="s">
        <v>519</v>
      </c>
      <c r="I4" s="289" t="s">
        <v>33</v>
      </c>
      <c r="J4" s="289" t="s">
        <v>520</v>
      </c>
      <c r="K4" s="289" t="s">
        <v>35</v>
      </c>
      <c r="L4" s="286" t="s">
        <v>36</v>
      </c>
    </row>
    <row r="5">
      <c r="A5" s="119"/>
      <c r="B5" s="119" t="s">
        <v>577</v>
      </c>
      <c r="C5" s="266" t="s">
        <v>522</v>
      </c>
      <c r="D5" s="119" t="s">
        <v>523</v>
      </c>
      <c r="E5" s="119" t="s">
        <v>524</v>
      </c>
      <c r="F5" s="119" t="s">
        <v>525</v>
      </c>
      <c r="G5" s="266" t="s">
        <v>526</v>
      </c>
      <c r="H5" s="119" t="s">
        <v>527</v>
      </c>
      <c r="I5" s="119" t="s">
        <v>528</v>
      </c>
      <c r="J5" s="290"/>
      <c r="K5" s="266" t="s">
        <v>529</v>
      </c>
      <c r="L5" s="266" t="s">
        <v>530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13"/>
    <col customWidth="1" min="3" max="3" width="37.63"/>
    <col customWidth="1" min="4" max="4" width="23.88"/>
    <col customWidth="1" min="8" max="8" width="13.63"/>
    <col customWidth="1" min="9" max="9" width="21.75"/>
    <col customWidth="1" min="10" max="10" width="13.75"/>
    <col customWidth="1" min="11" max="11" width="22.13"/>
    <col customWidth="1" min="12" max="12" width="21.25"/>
    <col customWidth="1" min="13" max="13" width="25.38"/>
    <col customWidth="1" min="14" max="14" width="22.0"/>
    <col customWidth="1" min="15" max="15" width="14.88"/>
    <col customWidth="1" min="16" max="16" width="16.38"/>
    <col customWidth="1" min="17" max="17" width="21.38"/>
    <col customWidth="1" min="18" max="18" width="19.75"/>
    <col customWidth="1" min="19" max="19" width="29.75"/>
    <col customWidth="1" min="20" max="20" width="37.63"/>
    <col customWidth="1" min="21" max="21" width="37.0"/>
    <col customWidth="1" min="22" max="22" width="19.5"/>
    <col customWidth="1" min="23" max="23" width="27.38"/>
    <col customWidth="1" min="24" max="24" width="37.63"/>
  </cols>
  <sheetData>
    <row r="1" ht="22.5" customHeight="1">
      <c r="A1" s="110" t="s">
        <v>3</v>
      </c>
      <c r="B1" s="291" t="s">
        <v>18</v>
      </c>
      <c r="C1" s="291" t="s">
        <v>6</v>
      </c>
      <c r="D1" s="291" t="s">
        <v>7</v>
      </c>
      <c r="E1" s="291" t="s">
        <v>8</v>
      </c>
      <c r="F1" s="291" t="s">
        <v>9</v>
      </c>
      <c r="G1" s="291" t="s">
        <v>10</v>
      </c>
      <c r="H1" s="292" t="s">
        <v>11</v>
      </c>
      <c r="I1" s="292" t="s">
        <v>12</v>
      </c>
      <c r="J1" s="293" t="s">
        <v>13</v>
      </c>
      <c r="K1" s="291" t="s">
        <v>578</v>
      </c>
      <c r="L1" s="291" t="s">
        <v>16</v>
      </c>
      <c r="M1" s="291" t="s">
        <v>14</v>
      </c>
      <c r="N1" s="292" t="s">
        <v>239</v>
      </c>
      <c r="O1" s="292" t="s">
        <v>17</v>
      </c>
      <c r="P1" s="292" t="s">
        <v>19</v>
      </c>
      <c r="Q1" s="291" t="s">
        <v>20</v>
      </c>
      <c r="R1" s="291" t="s">
        <v>21</v>
      </c>
      <c r="S1" s="291" t="s">
        <v>243</v>
      </c>
      <c r="T1" s="291" t="s">
        <v>22</v>
      </c>
      <c r="U1" s="291" t="s">
        <v>23</v>
      </c>
      <c r="V1" s="294" t="s">
        <v>24</v>
      </c>
      <c r="W1" s="291" t="s">
        <v>245</v>
      </c>
      <c r="X1" s="291" t="s">
        <v>25</v>
      </c>
    </row>
    <row r="2" ht="22.5" customHeight="1">
      <c r="A2" s="225">
        <v>1.0</v>
      </c>
      <c r="B2" s="246"/>
      <c r="C2" s="225" t="s">
        <v>287</v>
      </c>
      <c r="D2" s="225" t="s">
        <v>288</v>
      </c>
      <c r="E2" s="225" t="s">
        <v>40</v>
      </c>
      <c r="F2" s="225" t="s">
        <v>41</v>
      </c>
      <c r="G2" s="225">
        <v>79934.0</v>
      </c>
      <c r="H2" s="225" t="s">
        <v>42</v>
      </c>
      <c r="J2" s="295">
        <v>331950.0</v>
      </c>
      <c r="K2" s="295">
        <f>J2/COUNTIF(Split_Agents[ADDRESS],D2)</f>
        <v>331950</v>
      </c>
      <c r="L2" s="296">
        <v>45784.0</v>
      </c>
      <c r="M2" s="296">
        <v>45813.0</v>
      </c>
      <c r="N2" s="297"/>
      <c r="O2" s="225" t="s">
        <v>143</v>
      </c>
      <c r="P2" s="298" t="s">
        <v>56</v>
      </c>
      <c r="Q2" s="225" t="s">
        <v>221</v>
      </c>
      <c r="R2" s="225" t="s">
        <v>289</v>
      </c>
      <c r="S2" s="225" t="s">
        <v>290</v>
      </c>
      <c r="T2" s="225" t="s">
        <v>579</v>
      </c>
      <c r="U2" s="225" t="s">
        <v>286</v>
      </c>
      <c r="V2" s="225" t="s">
        <v>291</v>
      </c>
      <c r="W2" s="225" t="s">
        <v>292</v>
      </c>
      <c r="X2" s="225" t="s">
        <v>75</v>
      </c>
    </row>
    <row r="3" ht="22.5" customHeight="1">
      <c r="A3" s="225">
        <v>2.0</v>
      </c>
      <c r="B3" s="246" t="s">
        <v>267</v>
      </c>
      <c r="C3" s="225" t="s">
        <v>383</v>
      </c>
      <c r="D3" s="225" t="s">
        <v>58</v>
      </c>
      <c r="E3" s="225" t="s">
        <v>40</v>
      </c>
      <c r="F3" s="225" t="s">
        <v>41</v>
      </c>
      <c r="G3" s="225">
        <v>79928.0</v>
      </c>
      <c r="H3" s="225" t="s">
        <v>42</v>
      </c>
      <c r="J3" s="295">
        <v>282950.0</v>
      </c>
      <c r="K3" s="295">
        <f>J3/COUNTIF(Split_Agents[ADDRESS],D3)</f>
        <v>282950</v>
      </c>
      <c r="L3" s="296">
        <v>45799.0</v>
      </c>
      <c r="M3" s="296">
        <v>45826.0</v>
      </c>
      <c r="N3" s="296">
        <v>45831.0</v>
      </c>
      <c r="O3" s="225" t="s">
        <v>59</v>
      </c>
      <c r="P3" s="299"/>
      <c r="Q3" s="225" t="s">
        <v>60</v>
      </c>
      <c r="R3" s="225" t="s">
        <v>61</v>
      </c>
      <c r="S3" s="225" t="s">
        <v>384</v>
      </c>
      <c r="T3" s="225" t="s">
        <v>580</v>
      </c>
      <c r="U3" s="225" t="s">
        <v>62</v>
      </c>
      <c r="V3" s="300" t="s">
        <v>63</v>
      </c>
      <c r="W3" s="225" t="s">
        <v>385</v>
      </c>
      <c r="X3" s="225" t="s">
        <v>158</v>
      </c>
    </row>
    <row r="4" ht="22.5" customHeight="1">
      <c r="A4" s="225">
        <v>3.0</v>
      </c>
      <c r="B4" s="225" t="s">
        <v>267</v>
      </c>
      <c r="C4" s="225" t="s">
        <v>387</v>
      </c>
      <c r="D4" s="225" t="s">
        <v>388</v>
      </c>
      <c r="E4" s="225" t="s">
        <v>40</v>
      </c>
      <c r="F4" s="225" t="s">
        <v>41</v>
      </c>
      <c r="G4" s="225">
        <v>79928.0</v>
      </c>
      <c r="H4" s="225" t="s">
        <v>42</v>
      </c>
      <c r="J4" s="295">
        <v>282950.0</v>
      </c>
      <c r="K4" s="301">
        <f>J4/COUNTIF(Split_Agents[ADDRESS],D4)</f>
        <v>141475</v>
      </c>
      <c r="L4" s="297"/>
      <c r="M4" s="296">
        <v>45824.0</v>
      </c>
      <c r="N4" s="297"/>
      <c r="O4" s="225" t="s">
        <v>153</v>
      </c>
      <c r="P4" s="299"/>
      <c r="Q4" s="225" t="s">
        <v>135</v>
      </c>
      <c r="R4" s="225" t="s">
        <v>72</v>
      </c>
      <c r="S4" s="225" t="s">
        <v>251</v>
      </c>
      <c r="T4" s="225" t="s">
        <v>580</v>
      </c>
      <c r="U4" s="225" t="s">
        <v>272</v>
      </c>
      <c r="V4" s="300" t="s">
        <v>273</v>
      </c>
      <c r="W4" s="225" t="s">
        <v>274</v>
      </c>
      <c r="X4" s="225" t="s">
        <v>86</v>
      </c>
    </row>
    <row r="5" ht="22.5" customHeight="1">
      <c r="A5" s="302">
        <v>3.0</v>
      </c>
      <c r="B5" s="23" t="s">
        <v>465</v>
      </c>
      <c r="C5" s="302" t="s">
        <v>387</v>
      </c>
      <c r="D5" s="302" t="s">
        <v>388</v>
      </c>
      <c r="E5" s="302" t="s">
        <v>40</v>
      </c>
      <c r="F5" s="302" t="s">
        <v>41</v>
      </c>
      <c r="G5" s="302">
        <v>79928.0</v>
      </c>
      <c r="H5" s="302" t="s">
        <v>42</v>
      </c>
      <c r="I5" s="302"/>
      <c r="J5" s="30">
        <v>282950.0</v>
      </c>
      <c r="K5" s="30">
        <f>J5/COUNTIF(Split_Agents[ADDRESS],D5)</f>
        <v>141475</v>
      </c>
      <c r="L5" s="41"/>
      <c r="M5" s="41">
        <v>45824.0</v>
      </c>
      <c r="N5" s="41"/>
      <c r="O5" s="302" t="s">
        <v>153</v>
      </c>
      <c r="P5" s="36"/>
      <c r="Q5" s="302" t="s">
        <v>135</v>
      </c>
      <c r="R5" s="302" t="s">
        <v>72</v>
      </c>
      <c r="S5" s="302" t="s">
        <v>251</v>
      </c>
      <c r="T5" s="302" t="s">
        <v>580</v>
      </c>
      <c r="U5" s="302" t="s">
        <v>272</v>
      </c>
      <c r="V5" s="38" t="s">
        <v>273</v>
      </c>
      <c r="W5" s="302" t="s">
        <v>274</v>
      </c>
      <c r="X5" s="302" t="s">
        <v>86</v>
      </c>
    </row>
    <row r="6" ht="22.5" customHeight="1">
      <c r="A6" s="225">
        <v>4.0</v>
      </c>
      <c r="B6" s="246"/>
      <c r="C6" s="225" t="s">
        <v>53</v>
      </c>
      <c r="D6" s="225" t="s">
        <v>275</v>
      </c>
      <c r="E6" s="225" t="s">
        <v>40</v>
      </c>
      <c r="F6" s="225" t="s">
        <v>41</v>
      </c>
      <c r="G6" s="225">
        <v>79938.0</v>
      </c>
      <c r="H6" s="225" t="s">
        <v>42</v>
      </c>
      <c r="J6" s="295">
        <v>264950.0</v>
      </c>
      <c r="K6" s="295">
        <f>J6/COUNTIF(Split_Agents[ADDRESS],D6)</f>
        <v>264950</v>
      </c>
      <c r="L6" s="296">
        <v>45845.0</v>
      </c>
      <c r="M6" s="296">
        <v>45845.0</v>
      </c>
      <c r="N6" s="297"/>
      <c r="O6" s="225" t="s">
        <v>201</v>
      </c>
      <c r="P6" s="299"/>
      <c r="Q6" s="225" t="s">
        <v>71</v>
      </c>
      <c r="R6" s="225" t="s">
        <v>72</v>
      </c>
      <c r="S6" s="225" t="s">
        <v>277</v>
      </c>
      <c r="T6" s="225" t="s">
        <v>581</v>
      </c>
      <c r="U6" s="225" t="s">
        <v>73</v>
      </c>
      <c r="V6" s="300" t="s">
        <v>74</v>
      </c>
      <c r="W6" s="225" t="s">
        <v>252</v>
      </c>
      <c r="X6" s="225" t="s">
        <v>75</v>
      </c>
    </row>
    <row r="7" ht="22.5" customHeight="1">
      <c r="A7" s="225">
        <v>5.0</v>
      </c>
      <c r="B7" s="246" t="s">
        <v>73</v>
      </c>
      <c r="C7" s="225" t="s">
        <v>278</v>
      </c>
      <c r="D7" s="225" t="s">
        <v>279</v>
      </c>
      <c r="E7" s="225" t="s">
        <v>40</v>
      </c>
      <c r="F7" s="225" t="s">
        <v>41</v>
      </c>
      <c r="G7" s="225">
        <v>79934.0</v>
      </c>
      <c r="H7" s="225" t="s">
        <v>42</v>
      </c>
      <c r="J7" s="295">
        <v>332950.0</v>
      </c>
      <c r="K7" s="295">
        <f>J7/COUNTIF(Split_Agents[ADDRESS],D7)</f>
        <v>332950</v>
      </c>
      <c r="L7" s="296">
        <v>45790.0</v>
      </c>
      <c r="M7" s="296">
        <v>45818.0</v>
      </c>
      <c r="N7" s="296">
        <v>45826.0</v>
      </c>
      <c r="O7" s="225" t="s">
        <v>197</v>
      </c>
      <c r="P7" s="299"/>
      <c r="Q7" s="225" t="s">
        <v>213</v>
      </c>
      <c r="R7" s="225" t="s">
        <v>281</v>
      </c>
      <c r="S7" s="225" t="s">
        <v>282</v>
      </c>
      <c r="T7" s="225" t="s">
        <v>582</v>
      </c>
      <c r="U7" s="225" t="s">
        <v>283</v>
      </c>
      <c r="V7" s="300" t="s">
        <v>284</v>
      </c>
      <c r="W7" s="225" t="s">
        <v>285</v>
      </c>
      <c r="X7" s="225" t="s">
        <v>186</v>
      </c>
    </row>
    <row r="8" ht="22.5" customHeight="1">
      <c r="A8" s="225">
        <v>6.0</v>
      </c>
      <c r="B8" s="246" t="s">
        <v>267</v>
      </c>
      <c r="C8" s="225" t="s">
        <v>376</v>
      </c>
      <c r="D8" s="225" t="s">
        <v>377</v>
      </c>
      <c r="E8" s="225" t="s">
        <v>192</v>
      </c>
      <c r="F8" s="225" t="s">
        <v>41</v>
      </c>
      <c r="G8" s="225">
        <v>79927.0</v>
      </c>
      <c r="H8" s="225" t="s">
        <v>42</v>
      </c>
      <c r="J8" s="295">
        <v>304950.0</v>
      </c>
      <c r="K8" s="301">
        <f>J8/COUNTIF(Split_Agents[ADDRESS],D8)</f>
        <v>304950</v>
      </c>
      <c r="L8" s="297"/>
      <c r="M8" s="296">
        <v>45828.0</v>
      </c>
      <c r="N8" s="297"/>
      <c r="O8" s="225" t="s">
        <v>179</v>
      </c>
      <c r="P8" s="299"/>
      <c r="Q8" s="225" t="s">
        <v>232</v>
      </c>
      <c r="R8" s="225" t="s">
        <v>378</v>
      </c>
      <c r="S8" s="225" t="s">
        <v>379</v>
      </c>
      <c r="T8" s="225" t="s">
        <v>583</v>
      </c>
      <c r="U8" s="225" t="s">
        <v>380</v>
      </c>
      <c r="V8" s="225" t="s">
        <v>381</v>
      </c>
      <c r="W8" s="225" t="s">
        <v>382</v>
      </c>
      <c r="X8" s="225" t="s">
        <v>163</v>
      </c>
    </row>
    <row r="9" ht="22.5" customHeight="1">
      <c r="A9" s="225">
        <v>8.0</v>
      </c>
      <c r="B9" s="246"/>
      <c r="C9" s="225" t="s">
        <v>396</v>
      </c>
      <c r="D9" s="225" t="s">
        <v>397</v>
      </c>
      <c r="E9" s="225" t="s">
        <v>187</v>
      </c>
      <c r="F9" s="225" t="s">
        <v>41</v>
      </c>
      <c r="G9" s="225">
        <v>79928.0</v>
      </c>
      <c r="H9" s="225" t="s">
        <v>42</v>
      </c>
      <c r="J9" s="295">
        <v>360950.0</v>
      </c>
      <c r="K9" s="301">
        <f>J9/COUNTIF(Split_Agents[ADDRESS],D9)</f>
        <v>360950</v>
      </c>
      <c r="L9" s="297"/>
      <c r="M9" s="296">
        <v>45791.0</v>
      </c>
      <c r="N9" s="297"/>
      <c r="O9" s="225" t="s">
        <v>215</v>
      </c>
      <c r="P9" s="299"/>
      <c r="Q9" s="225" t="s">
        <v>47</v>
      </c>
      <c r="R9" s="225" t="s">
        <v>398</v>
      </c>
      <c r="S9" s="225" t="s">
        <v>392</v>
      </c>
      <c r="T9" s="225" t="s">
        <v>580</v>
      </c>
      <c r="U9" s="225" t="s">
        <v>286</v>
      </c>
      <c r="V9" s="300" t="s">
        <v>399</v>
      </c>
      <c r="W9" s="225" t="s">
        <v>292</v>
      </c>
      <c r="X9" s="225" t="s">
        <v>171</v>
      </c>
    </row>
    <row r="10" ht="22.5" customHeight="1">
      <c r="A10" s="225">
        <v>9.0</v>
      </c>
      <c r="B10" s="246" t="s">
        <v>73</v>
      </c>
      <c r="C10" s="225" t="s">
        <v>389</v>
      </c>
      <c r="D10" s="225" t="s">
        <v>390</v>
      </c>
      <c r="E10" s="225" t="s">
        <v>187</v>
      </c>
      <c r="F10" s="225" t="s">
        <v>41</v>
      </c>
      <c r="G10" s="225">
        <v>79928.0</v>
      </c>
      <c r="H10" s="225" t="s">
        <v>42</v>
      </c>
      <c r="J10" s="295">
        <v>274950.0</v>
      </c>
      <c r="K10" s="301">
        <f>J10/COUNTIF(Split_Agents[ADDRESS],D10)</f>
        <v>274950</v>
      </c>
      <c r="L10" s="297"/>
      <c r="M10" s="296">
        <v>45792.0</v>
      </c>
      <c r="N10" s="297"/>
      <c r="O10" s="225" t="s">
        <v>391</v>
      </c>
      <c r="P10" s="299"/>
      <c r="Q10" s="225" t="s">
        <v>47</v>
      </c>
      <c r="R10" s="225" t="s">
        <v>48</v>
      </c>
      <c r="S10" s="225" t="s">
        <v>392</v>
      </c>
      <c r="T10" s="225" t="s">
        <v>580</v>
      </c>
      <c r="U10" s="225" t="s">
        <v>393</v>
      </c>
      <c r="V10" s="300" t="s">
        <v>394</v>
      </c>
      <c r="W10" s="225" t="s">
        <v>395</v>
      </c>
      <c r="X10" s="225" t="s">
        <v>163</v>
      </c>
    </row>
    <row r="11" ht="22.5" customHeight="1">
      <c r="A11" s="225">
        <v>10.0</v>
      </c>
      <c r="B11" s="225" t="s">
        <v>50</v>
      </c>
      <c r="C11" s="225" t="s">
        <v>400</v>
      </c>
      <c r="D11" s="225" t="s">
        <v>401</v>
      </c>
      <c r="E11" s="225" t="s">
        <v>40</v>
      </c>
      <c r="F11" s="225" t="s">
        <v>41</v>
      </c>
      <c r="G11" s="225">
        <v>79928.0</v>
      </c>
      <c r="H11" s="225" t="s">
        <v>415</v>
      </c>
      <c r="I11" s="225" t="s">
        <v>43</v>
      </c>
      <c r="J11" s="295">
        <v>277950.0</v>
      </c>
      <c r="K11" s="295">
        <f>J11/COUNTIF(Split_Agents[ADDRESS],D11)</f>
        <v>277950</v>
      </c>
      <c r="L11" s="296">
        <v>45758.0</v>
      </c>
      <c r="M11" s="296">
        <v>45782.0</v>
      </c>
      <c r="N11" s="296">
        <v>45835.0</v>
      </c>
      <c r="O11" s="225" t="s">
        <v>391</v>
      </c>
      <c r="P11" s="298" t="s">
        <v>46</v>
      </c>
      <c r="Q11" s="225" t="s">
        <v>47</v>
      </c>
      <c r="R11" s="225">
        <v>9.157998249E9</v>
      </c>
      <c r="S11" s="225" t="s">
        <v>392</v>
      </c>
      <c r="T11" s="225" t="s">
        <v>580</v>
      </c>
      <c r="U11" s="225" t="s">
        <v>50</v>
      </c>
      <c r="V11" s="300">
        <v>9.152828346E9</v>
      </c>
      <c r="W11" s="225" t="s">
        <v>403</v>
      </c>
      <c r="X11" s="225" t="s">
        <v>171</v>
      </c>
    </row>
    <row r="12" ht="22.5" customHeight="1">
      <c r="A12" s="225">
        <v>11.0</v>
      </c>
      <c r="B12" s="225" t="s">
        <v>267</v>
      </c>
      <c r="C12" s="225" t="s">
        <v>404</v>
      </c>
      <c r="D12" s="225" t="s">
        <v>90</v>
      </c>
      <c r="E12" s="225" t="s">
        <v>40</v>
      </c>
      <c r="F12" s="225" t="s">
        <v>41</v>
      </c>
      <c r="G12" s="225">
        <v>79928.0</v>
      </c>
      <c r="H12" s="225" t="s">
        <v>415</v>
      </c>
      <c r="J12" s="295">
        <v>274950.0</v>
      </c>
      <c r="K12" s="301">
        <f>J12/COUNTIF(Split_Agents[ADDRESS],D12)</f>
        <v>274950</v>
      </c>
      <c r="L12" s="297"/>
      <c r="M12" s="296">
        <v>45778.0</v>
      </c>
      <c r="N12" s="297"/>
      <c r="O12" s="225" t="s">
        <v>584</v>
      </c>
      <c r="P12" s="246" t="s">
        <v>585</v>
      </c>
      <c r="Q12" s="225" t="s">
        <v>586</v>
      </c>
      <c r="R12" s="225" t="s">
        <v>405</v>
      </c>
      <c r="S12" s="225" t="s">
        <v>257</v>
      </c>
      <c r="T12" s="225" t="s">
        <v>587</v>
      </c>
      <c r="U12" s="225" t="s">
        <v>406</v>
      </c>
      <c r="V12" s="300" t="s">
        <v>407</v>
      </c>
      <c r="W12" s="225" t="s">
        <v>408</v>
      </c>
      <c r="X12" s="225" t="s">
        <v>163</v>
      </c>
    </row>
    <row r="13" ht="22.5" customHeight="1">
      <c r="A13" s="225">
        <v>12.0</v>
      </c>
      <c r="B13" s="225" t="s">
        <v>73</v>
      </c>
      <c r="C13" s="225" t="s">
        <v>409</v>
      </c>
      <c r="D13" s="225" t="s">
        <v>410</v>
      </c>
      <c r="E13" s="225" t="s">
        <v>40</v>
      </c>
      <c r="F13" s="225" t="s">
        <v>41</v>
      </c>
      <c r="G13" s="225">
        <v>79934.0</v>
      </c>
      <c r="H13" s="225" t="s">
        <v>415</v>
      </c>
      <c r="J13" s="295">
        <v>259950.0</v>
      </c>
      <c r="K13" s="301">
        <f>J13/COUNTIF(Split_Agents[ADDRESS],D13)</f>
        <v>259950</v>
      </c>
      <c r="L13" s="297"/>
      <c r="M13" s="296">
        <v>45777.0</v>
      </c>
      <c r="N13" s="297"/>
      <c r="O13" s="225" t="s">
        <v>153</v>
      </c>
      <c r="P13" s="299"/>
      <c r="Q13" s="225" t="s">
        <v>586</v>
      </c>
      <c r="R13" s="225" t="s">
        <v>405</v>
      </c>
      <c r="S13" s="225" t="s">
        <v>257</v>
      </c>
      <c r="T13" s="225" t="s">
        <v>580</v>
      </c>
      <c r="U13" s="225" t="s">
        <v>588</v>
      </c>
      <c r="V13" s="300" t="s">
        <v>74</v>
      </c>
      <c r="W13" s="225" t="s">
        <v>252</v>
      </c>
      <c r="X13" s="225" t="s">
        <v>171</v>
      </c>
    </row>
    <row r="14" ht="22.5" customHeight="1">
      <c r="A14" s="225">
        <v>13.0</v>
      </c>
      <c r="B14" s="246" t="s">
        <v>73</v>
      </c>
      <c r="C14" s="225" t="s">
        <v>366</v>
      </c>
      <c r="D14" s="225" t="s">
        <v>367</v>
      </c>
      <c r="E14" s="225" t="s">
        <v>40</v>
      </c>
      <c r="F14" s="225" t="s">
        <v>41</v>
      </c>
      <c r="G14" s="225">
        <v>79934.0</v>
      </c>
      <c r="H14" s="225" t="s">
        <v>42</v>
      </c>
      <c r="J14" s="295">
        <v>332950.0</v>
      </c>
      <c r="K14" s="295">
        <f>J14/COUNTIF(Split_Agents[ADDRESS],D14)</f>
        <v>332950</v>
      </c>
      <c r="L14" s="296">
        <v>45834.0</v>
      </c>
      <c r="M14" s="296">
        <v>45856.0</v>
      </c>
      <c r="N14" s="297"/>
      <c r="O14" s="225" t="s">
        <v>219</v>
      </c>
      <c r="P14" s="299"/>
      <c r="Q14" s="225" t="s">
        <v>234</v>
      </c>
      <c r="R14" s="225" t="s">
        <v>368</v>
      </c>
      <c r="S14" s="225" t="s">
        <v>369</v>
      </c>
      <c r="T14" s="225" t="s">
        <v>589</v>
      </c>
      <c r="U14" s="225" t="s">
        <v>370</v>
      </c>
      <c r="V14" s="300" t="s">
        <v>371</v>
      </c>
      <c r="W14" s="225" t="s">
        <v>372</v>
      </c>
      <c r="X14" s="225" t="s">
        <v>158</v>
      </c>
    </row>
    <row r="15" ht="22.5" customHeight="1">
      <c r="A15" s="225">
        <v>14.0</v>
      </c>
      <c r="B15" s="246" t="s">
        <v>267</v>
      </c>
      <c r="C15" s="225" t="s">
        <v>268</v>
      </c>
      <c r="D15" s="225" t="s">
        <v>269</v>
      </c>
      <c r="E15" s="225" t="s">
        <v>40</v>
      </c>
      <c r="F15" s="225" t="s">
        <v>41</v>
      </c>
      <c r="G15" s="225">
        <v>79938.0</v>
      </c>
      <c r="H15" s="225" t="s">
        <v>42</v>
      </c>
      <c r="J15" s="295">
        <v>264950.0</v>
      </c>
      <c r="K15" s="301">
        <f>J15/COUNTIF(Split_Agents[ADDRESS],D15)</f>
        <v>264950</v>
      </c>
      <c r="L15" s="297"/>
      <c r="M15" s="296">
        <v>45856.0</v>
      </c>
      <c r="N15" s="297"/>
      <c r="O15" s="225" t="s">
        <v>153</v>
      </c>
      <c r="P15" s="299"/>
      <c r="Q15" s="225" t="s">
        <v>217</v>
      </c>
      <c r="R15" s="225" t="s">
        <v>270</v>
      </c>
      <c r="S15" s="225" t="s">
        <v>271</v>
      </c>
      <c r="T15" s="225" t="s">
        <v>590</v>
      </c>
      <c r="U15" s="225" t="s">
        <v>272</v>
      </c>
      <c r="V15" s="300" t="s">
        <v>273</v>
      </c>
      <c r="W15" s="225" t="s">
        <v>274</v>
      </c>
      <c r="X15" s="225" t="s">
        <v>86</v>
      </c>
    </row>
    <row r="16" ht="22.5" customHeight="1">
      <c r="A16" s="225">
        <v>15.0</v>
      </c>
      <c r="B16" s="246"/>
      <c r="C16" s="225" t="s">
        <v>373</v>
      </c>
      <c r="D16" s="225" t="s">
        <v>374</v>
      </c>
      <c r="E16" s="225" t="s">
        <v>40</v>
      </c>
      <c r="F16" s="225" t="s">
        <v>41</v>
      </c>
      <c r="G16" s="225">
        <v>79934.0</v>
      </c>
      <c r="H16" s="225" t="s">
        <v>42</v>
      </c>
      <c r="I16" s="225" t="s">
        <v>43</v>
      </c>
      <c r="J16" s="295">
        <v>259950.0</v>
      </c>
      <c r="K16" s="295">
        <f>J16/COUNTIF(Split_Agents[ADDRESS],D16)</f>
        <v>259950</v>
      </c>
      <c r="L16" s="296">
        <v>45818.0</v>
      </c>
      <c r="M16" s="296">
        <v>45838.0</v>
      </c>
      <c r="N16" s="296">
        <v>45838.0</v>
      </c>
      <c r="O16" s="225" t="s">
        <v>227</v>
      </c>
      <c r="P16" s="298" t="s">
        <v>70</v>
      </c>
      <c r="Q16" s="225" t="s">
        <v>199</v>
      </c>
      <c r="R16" s="225" t="s">
        <v>72</v>
      </c>
      <c r="S16" s="225" t="s">
        <v>375</v>
      </c>
      <c r="T16" s="225" t="s">
        <v>591</v>
      </c>
      <c r="U16" s="225" t="s">
        <v>73</v>
      </c>
      <c r="V16" s="300" t="s">
        <v>74</v>
      </c>
      <c r="W16" s="225" t="s">
        <v>252</v>
      </c>
      <c r="X16" s="225" t="s">
        <v>75</v>
      </c>
    </row>
    <row r="17" ht="22.5" customHeight="1">
      <c r="A17" s="225">
        <v>16.0</v>
      </c>
      <c r="B17" s="225" t="s">
        <v>296</v>
      </c>
      <c r="C17" s="225"/>
      <c r="D17" s="225" t="s">
        <v>362</v>
      </c>
      <c r="E17" s="225" t="s">
        <v>187</v>
      </c>
      <c r="F17" s="225" t="s">
        <v>41</v>
      </c>
      <c r="G17" s="225">
        <v>79928.0</v>
      </c>
      <c r="H17" s="225" t="s">
        <v>415</v>
      </c>
      <c r="I17" s="225" t="s">
        <v>43</v>
      </c>
      <c r="J17" s="295"/>
      <c r="K17" s="295">
        <f>J17/COUNTIF(Split_Agents[ADDRESS],D17)</f>
        <v>0</v>
      </c>
      <c r="L17" s="296">
        <v>45831.0</v>
      </c>
      <c r="M17" s="296"/>
      <c r="N17" s="297"/>
      <c r="O17" s="225"/>
      <c r="P17" s="299"/>
      <c r="Q17" s="225"/>
      <c r="R17" s="225"/>
      <c r="S17" s="246"/>
      <c r="T17" s="246"/>
      <c r="U17" s="225"/>
      <c r="V17" s="300"/>
      <c r="W17" s="225"/>
      <c r="X17" s="246"/>
    </row>
    <row r="18" ht="22.5" customHeight="1">
      <c r="A18" s="302">
        <v>16.0</v>
      </c>
      <c r="B18" s="23" t="s">
        <v>592</v>
      </c>
      <c r="C18" s="302"/>
      <c r="D18" s="302" t="s">
        <v>362</v>
      </c>
      <c r="E18" s="302" t="s">
        <v>187</v>
      </c>
      <c r="F18" s="302" t="s">
        <v>41</v>
      </c>
      <c r="G18" s="302">
        <v>79928.0</v>
      </c>
      <c r="H18" s="302" t="s">
        <v>415</v>
      </c>
      <c r="I18" s="302" t="s">
        <v>43</v>
      </c>
      <c r="J18" s="30"/>
      <c r="K18" s="30">
        <f>J18/COUNTIF(Split_Agents[ADDRESS],D18)</f>
        <v>0</v>
      </c>
      <c r="L18" s="41">
        <v>45831.0</v>
      </c>
      <c r="M18" s="41"/>
      <c r="N18" s="41"/>
      <c r="O18" s="302"/>
      <c r="P18" s="36"/>
      <c r="Q18" s="302"/>
      <c r="R18" s="302"/>
      <c r="S18" s="302"/>
      <c r="T18" s="302"/>
      <c r="U18" s="302"/>
      <c r="V18" s="38"/>
      <c r="W18" s="302"/>
      <c r="X18" s="302"/>
    </row>
    <row r="19" ht="22.5" customHeight="1">
      <c r="A19" s="225">
        <v>18.0</v>
      </c>
      <c r="B19" s="299"/>
      <c r="C19" s="225" t="s">
        <v>253</v>
      </c>
      <c r="D19" s="225" t="s">
        <v>254</v>
      </c>
      <c r="E19" s="225"/>
      <c r="F19" s="225"/>
      <c r="G19" s="225"/>
      <c r="H19" s="225"/>
      <c r="I19" s="225"/>
      <c r="J19" s="295">
        <v>274950.0</v>
      </c>
      <c r="K19" s="295">
        <f>J19/COUNTIF(Split_Agents[ADDRESS],D19)</f>
        <v>274950</v>
      </c>
      <c r="L19" s="296"/>
      <c r="M19" s="296">
        <v>45894.0</v>
      </c>
      <c r="N19" s="296"/>
      <c r="O19" s="225" t="s">
        <v>59</v>
      </c>
      <c r="P19" s="298"/>
      <c r="Q19" s="225" t="s">
        <v>155</v>
      </c>
      <c r="R19" s="225" t="s">
        <v>256</v>
      </c>
      <c r="S19" s="225" t="s">
        <v>257</v>
      </c>
      <c r="T19" s="225" t="s">
        <v>593</v>
      </c>
      <c r="U19" s="225" t="s">
        <v>73</v>
      </c>
      <c r="V19" s="300" t="s">
        <v>74</v>
      </c>
      <c r="W19" s="225" t="s">
        <v>252</v>
      </c>
      <c r="X19" s="225" t="s">
        <v>75</v>
      </c>
    </row>
    <row r="20" ht="22.5" customHeight="1">
      <c r="A20" s="225">
        <v>19.0</v>
      </c>
      <c r="B20" s="246" t="s">
        <v>73</v>
      </c>
      <c r="C20" s="225" t="s">
        <v>265</v>
      </c>
      <c r="D20" s="225" t="s">
        <v>266</v>
      </c>
      <c r="E20" s="225"/>
      <c r="F20" s="225"/>
      <c r="G20" s="225"/>
      <c r="H20" s="225"/>
      <c r="I20" s="225"/>
      <c r="J20" s="295">
        <v>328950.0</v>
      </c>
      <c r="K20" s="295">
        <f>J20/COUNTIF(Split_Agents[ADDRESS],D20)</f>
        <v>328950</v>
      </c>
      <c r="L20" s="296"/>
      <c r="M20" s="296">
        <v>45866.0</v>
      </c>
      <c r="N20" s="296"/>
      <c r="O20" s="225" t="s">
        <v>139</v>
      </c>
      <c r="P20" s="298"/>
      <c r="Q20" s="225" t="s">
        <v>135</v>
      </c>
      <c r="R20" s="225" t="s">
        <v>72</v>
      </c>
      <c r="S20" s="225" t="s">
        <v>251</v>
      </c>
      <c r="T20" s="225" t="s">
        <v>593</v>
      </c>
      <c r="U20" s="225" t="s">
        <v>588</v>
      </c>
      <c r="V20" s="300" t="s">
        <v>74</v>
      </c>
      <c r="W20" s="225" t="s">
        <v>252</v>
      </c>
      <c r="X20" s="225" t="s">
        <v>75</v>
      </c>
    </row>
    <row r="21" ht="22.5" customHeight="1">
      <c r="A21" s="225">
        <v>20.0</v>
      </c>
      <c r="B21" s="225" t="s">
        <v>296</v>
      </c>
      <c r="C21" s="225" t="s">
        <v>259</v>
      </c>
      <c r="D21" s="225" t="s">
        <v>260</v>
      </c>
      <c r="E21" s="225"/>
      <c r="F21" s="225"/>
      <c r="G21" s="225"/>
      <c r="H21" s="225"/>
      <c r="I21" s="225"/>
      <c r="J21" s="295">
        <v>274950.0</v>
      </c>
      <c r="K21" s="295">
        <f>J21/COUNTIF(Split_Agents[ADDRESS],D21)</f>
        <v>137475</v>
      </c>
      <c r="L21" s="296"/>
      <c r="M21" s="296">
        <v>45869.0</v>
      </c>
      <c r="N21" s="296"/>
      <c r="O21" s="225" t="s">
        <v>153</v>
      </c>
      <c r="P21" s="298"/>
      <c r="Q21" s="225" t="s">
        <v>228</v>
      </c>
      <c r="R21" s="225">
        <v>5.7377817185E10</v>
      </c>
      <c r="S21" s="225" t="s">
        <v>261</v>
      </c>
      <c r="T21" s="225" t="s">
        <v>594</v>
      </c>
      <c r="U21" s="225" t="s">
        <v>262</v>
      </c>
      <c r="V21" s="303" t="s">
        <v>263</v>
      </c>
      <c r="W21" s="225" t="s">
        <v>264</v>
      </c>
      <c r="X21" s="225" t="s">
        <v>86</v>
      </c>
    </row>
    <row r="22" ht="22.5" customHeight="1">
      <c r="A22" s="302">
        <v>20.0</v>
      </c>
      <c r="B22" s="23" t="s">
        <v>456</v>
      </c>
      <c r="C22" s="302" t="s">
        <v>259</v>
      </c>
      <c r="D22" s="302" t="s">
        <v>260</v>
      </c>
      <c r="E22" s="302"/>
      <c r="F22" s="302"/>
      <c r="G22" s="302"/>
      <c r="H22" s="302"/>
      <c r="I22" s="302"/>
      <c r="J22" s="30">
        <v>274950.0</v>
      </c>
      <c r="K22" s="30">
        <f>J22/COUNTIF(Split_Agents[ADDRESS],D22)</f>
        <v>137475</v>
      </c>
      <c r="L22" s="41"/>
      <c r="M22" s="41">
        <v>45869.0</v>
      </c>
      <c r="N22" s="41"/>
      <c r="O22" s="302" t="s">
        <v>153</v>
      </c>
      <c r="P22" s="304"/>
      <c r="Q22" s="302" t="s">
        <v>228</v>
      </c>
      <c r="R22" s="302">
        <v>5.7377817185E10</v>
      </c>
      <c r="S22" s="304" t="s">
        <v>261</v>
      </c>
      <c r="T22" s="304" t="s">
        <v>594</v>
      </c>
      <c r="U22" s="302" t="s">
        <v>262</v>
      </c>
      <c r="V22" s="305" t="s">
        <v>263</v>
      </c>
      <c r="W22" s="302" t="s">
        <v>264</v>
      </c>
      <c r="X22" s="304" t="s">
        <v>86</v>
      </c>
    </row>
    <row r="23" ht="22.5" customHeight="1">
      <c r="A23" s="225">
        <v>21.0</v>
      </c>
      <c r="B23" s="246"/>
      <c r="C23" s="225" t="s">
        <v>358</v>
      </c>
      <c r="D23" s="225" t="s">
        <v>359</v>
      </c>
      <c r="E23" s="225"/>
      <c r="F23" s="225"/>
      <c r="G23" s="225"/>
      <c r="H23" s="225"/>
      <c r="I23" s="225"/>
      <c r="J23" s="295">
        <v>274950.0</v>
      </c>
      <c r="K23" s="295">
        <f>J23/COUNTIF(Split_Agents[ADDRESS],D23)</f>
        <v>274950</v>
      </c>
      <c r="L23" s="296"/>
      <c r="M23" s="296">
        <v>45887.0</v>
      </c>
      <c r="N23" s="296"/>
      <c r="O23" s="225" t="s">
        <v>231</v>
      </c>
      <c r="P23" s="298"/>
      <c r="Q23" s="225" t="s">
        <v>161</v>
      </c>
      <c r="R23" s="225" t="s">
        <v>326</v>
      </c>
      <c r="S23" s="225" t="s">
        <v>327</v>
      </c>
      <c r="T23" s="225" t="s">
        <v>595</v>
      </c>
      <c r="U23" s="225" t="s">
        <v>73</v>
      </c>
      <c r="V23" s="225" t="s">
        <v>74</v>
      </c>
      <c r="W23" s="225" t="s">
        <v>252</v>
      </c>
      <c r="X23" s="225" t="s">
        <v>75</v>
      </c>
    </row>
    <row r="24" ht="22.5" customHeight="1">
      <c r="A24" s="225">
        <v>22.0</v>
      </c>
      <c r="B24" s="246"/>
      <c r="C24" s="225" t="s">
        <v>331</v>
      </c>
      <c r="D24" s="225" t="s">
        <v>332</v>
      </c>
      <c r="E24" s="225"/>
      <c r="F24" s="225"/>
      <c r="G24" s="225"/>
      <c r="H24" s="225" t="s">
        <v>42</v>
      </c>
      <c r="I24" s="225"/>
      <c r="J24" s="295">
        <v>274950.0</v>
      </c>
      <c r="K24" s="295">
        <f>J24/COUNTIF(Split_Agents[ADDRESS],D24)</f>
        <v>274950</v>
      </c>
      <c r="L24" s="296"/>
      <c r="M24" s="296">
        <v>45922.0</v>
      </c>
      <c r="N24" s="296"/>
      <c r="O24" s="225" t="s">
        <v>229</v>
      </c>
      <c r="P24" s="298" t="s">
        <v>596</v>
      </c>
      <c r="Q24" s="225" t="s">
        <v>135</v>
      </c>
      <c r="R24" s="225" t="s">
        <v>250</v>
      </c>
      <c r="S24" s="225" t="s">
        <v>251</v>
      </c>
      <c r="T24" s="225" t="s">
        <v>597</v>
      </c>
      <c r="U24" s="225" t="s">
        <v>73</v>
      </c>
      <c r="V24" s="225" t="s">
        <v>74</v>
      </c>
      <c r="W24" s="225" t="s">
        <v>252</v>
      </c>
      <c r="X24" s="225" t="s">
        <v>75</v>
      </c>
    </row>
    <row r="25" ht="22.5" customHeight="1">
      <c r="A25" s="225">
        <v>23.0</v>
      </c>
      <c r="B25" s="246" t="s">
        <v>267</v>
      </c>
      <c r="C25" s="225" t="s">
        <v>344</v>
      </c>
      <c r="D25" s="225" t="s">
        <v>345</v>
      </c>
      <c r="E25" s="225"/>
      <c r="F25" s="225"/>
      <c r="G25" s="225"/>
      <c r="H25" s="225"/>
      <c r="I25" s="225"/>
      <c r="J25" s="295">
        <v>282950.0</v>
      </c>
      <c r="K25" s="295">
        <f>J25/COUNTIF(Split_Agents[ADDRESS],D25)</f>
        <v>282950</v>
      </c>
      <c r="L25" s="296"/>
      <c r="M25" s="296">
        <v>45898.0</v>
      </c>
      <c r="N25" s="296"/>
      <c r="O25" s="225" t="s">
        <v>173</v>
      </c>
      <c r="P25" s="298"/>
      <c r="Q25" s="225" t="s">
        <v>157</v>
      </c>
      <c r="R25" s="225" t="s">
        <v>346</v>
      </c>
      <c r="S25" s="225" t="s">
        <v>347</v>
      </c>
      <c r="T25" s="225" t="s">
        <v>590</v>
      </c>
      <c r="U25" s="225" t="s">
        <v>348</v>
      </c>
      <c r="V25" s="225" t="s">
        <v>349</v>
      </c>
      <c r="W25" s="225" t="s">
        <v>350</v>
      </c>
      <c r="X25" s="225" t="s">
        <v>158</v>
      </c>
    </row>
    <row r="26" ht="22.5" customHeight="1">
      <c r="A26" s="225">
        <v>24.0</v>
      </c>
      <c r="B26" s="246" t="s">
        <v>267</v>
      </c>
      <c r="C26" s="225" t="s">
        <v>352</v>
      </c>
      <c r="D26" s="225" t="s">
        <v>353</v>
      </c>
      <c r="E26" s="225"/>
      <c r="F26" s="225"/>
      <c r="G26" s="225"/>
      <c r="H26" s="225"/>
      <c r="I26" s="225"/>
      <c r="J26" s="295">
        <v>346950.0</v>
      </c>
      <c r="K26" s="295">
        <f>J26/COUNTIF(Split_Agents[ADDRESS],D26)</f>
        <v>346950</v>
      </c>
      <c r="L26" s="296"/>
      <c r="M26" s="296">
        <v>45891.0</v>
      </c>
      <c r="N26" s="296"/>
      <c r="O26" s="225" t="s">
        <v>79</v>
      </c>
      <c r="P26" s="298"/>
      <c r="Q26" s="225" t="s">
        <v>184</v>
      </c>
      <c r="R26" s="225" t="s">
        <v>354</v>
      </c>
      <c r="S26" s="225" t="s">
        <v>355</v>
      </c>
      <c r="T26" s="225" t="s">
        <v>598</v>
      </c>
      <c r="U26" s="225" t="s">
        <v>599</v>
      </c>
      <c r="V26" s="225">
        <v>9.1525276E9</v>
      </c>
      <c r="W26" s="225" t="s">
        <v>357</v>
      </c>
      <c r="X26" s="225" t="s">
        <v>163</v>
      </c>
    </row>
    <row r="27" ht="22.5" customHeight="1">
      <c r="A27" s="225">
        <v>25.0</v>
      </c>
      <c r="B27" s="246" t="s">
        <v>267</v>
      </c>
      <c r="C27" s="225" t="s">
        <v>335</v>
      </c>
      <c r="D27" s="225" t="s">
        <v>336</v>
      </c>
      <c r="E27" s="225"/>
      <c r="F27" s="225"/>
      <c r="G27" s="225"/>
      <c r="H27" s="225"/>
      <c r="I27" s="225"/>
      <c r="J27" s="295">
        <v>304950.0</v>
      </c>
      <c r="K27" s="295">
        <f>J27/COUNTIF(Split_Agents[ADDRESS],D27)</f>
        <v>304950</v>
      </c>
      <c r="L27" s="296"/>
      <c r="M27" s="296">
        <v>45901.0</v>
      </c>
      <c r="N27" s="296"/>
      <c r="O27" s="225" t="s">
        <v>193</v>
      </c>
      <c r="P27" s="298" t="s">
        <v>600</v>
      </c>
      <c r="Q27" s="225" t="s">
        <v>207</v>
      </c>
      <c r="R27" s="225" t="s">
        <v>338</v>
      </c>
      <c r="S27" s="225" t="s">
        <v>339</v>
      </c>
      <c r="T27" s="225" t="s">
        <v>601</v>
      </c>
      <c r="U27" s="225" t="s">
        <v>340</v>
      </c>
      <c r="V27" s="225" t="s">
        <v>341</v>
      </c>
      <c r="W27" s="225" t="s">
        <v>342</v>
      </c>
      <c r="X27" s="225" t="s">
        <v>343</v>
      </c>
    </row>
    <row r="28" ht="22.5" customHeight="1">
      <c r="A28" s="225">
        <v>26.0</v>
      </c>
      <c r="B28" s="246"/>
      <c r="C28" s="225" t="s">
        <v>247</v>
      </c>
      <c r="D28" s="225" t="s">
        <v>248</v>
      </c>
      <c r="E28" s="225"/>
      <c r="F28" s="225"/>
      <c r="G28" s="225"/>
      <c r="H28" s="225" t="s">
        <v>42</v>
      </c>
      <c r="I28" s="225"/>
      <c r="J28" s="295">
        <v>274950.0</v>
      </c>
      <c r="K28" s="295">
        <f>J28/COUNTIF(Split_Agents[ADDRESS],D28)</f>
        <v>274950</v>
      </c>
      <c r="L28" s="296"/>
      <c r="M28" s="296">
        <v>45930.0</v>
      </c>
      <c r="N28" s="296"/>
      <c r="O28" s="225" t="s">
        <v>176</v>
      </c>
      <c r="P28" s="298"/>
      <c r="Q28" s="225" t="s">
        <v>135</v>
      </c>
      <c r="R28" s="225" t="s">
        <v>250</v>
      </c>
      <c r="S28" s="225" t="s">
        <v>251</v>
      </c>
      <c r="T28" s="225" t="s">
        <v>580</v>
      </c>
      <c r="U28" s="225" t="s">
        <v>73</v>
      </c>
      <c r="V28" s="225">
        <v>9.153552887E9</v>
      </c>
      <c r="W28" s="225" t="s">
        <v>252</v>
      </c>
      <c r="X28" s="225" t="s">
        <v>75</v>
      </c>
    </row>
    <row r="29" ht="22.5" customHeight="1">
      <c r="A29" s="225">
        <v>27.0</v>
      </c>
      <c r="B29" s="246" t="s">
        <v>73</v>
      </c>
      <c r="C29" s="225" t="s">
        <v>421</v>
      </c>
      <c r="D29" s="225" t="s">
        <v>420</v>
      </c>
      <c r="E29" s="225"/>
      <c r="F29" s="225"/>
      <c r="G29" s="225"/>
      <c r="H29" s="225" t="s">
        <v>415</v>
      </c>
      <c r="I29" s="225"/>
      <c r="J29" s="295">
        <v>272950.0</v>
      </c>
      <c r="K29" s="295">
        <f>J29/COUNTIF(Split_Agents[ADDRESS],D29)</f>
        <v>272950</v>
      </c>
      <c r="L29" s="296"/>
      <c r="M29" s="296">
        <v>46078.0</v>
      </c>
      <c r="N29" s="296"/>
      <c r="O29" s="225" t="s">
        <v>222</v>
      </c>
      <c r="P29" s="298"/>
      <c r="Q29" s="225" t="s">
        <v>141</v>
      </c>
      <c r="R29" s="225" t="s">
        <v>300</v>
      </c>
      <c r="S29" s="225" t="s">
        <v>423</v>
      </c>
      <c r="T29" s="225" t="s">
        <v>580</v>
      </c>
      <c r="U29" s="225" t="s">
        <v>602</v>
      </c>
      <c r="V29" s="225" t="s">
        <v>301</v>
      </c>
      <c r="W29" s="225" t="s">
        <v>425</v>
      </c>
      <c r="X29" s="225" t="s">
        <v>86</v>
      </c>
    </row>
  </sheetData>
  <dataValidations>
    <dataValidation type="custom" allowBlank="1" showDropDown="1" sqref="L2:N29">
      <formula1>OR(NOT(ISERROR(DATEVALUE(L2))), AND(ISNUMBER(L2), LEFT(CELL("format", L2))="D"))</formula1>
    </dataValidation>
    <dataValidation type="custom" allowBlank="1" showDropDown="1" sqref="J2:K29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3" max="3" width="18.25"/>
    <col customWidth="1" min="4" max="4" width="13.0"/>
    <col customWidth="1" min="5" max="5" width="31.25"/>
    <col customWidth="1" min="7" max="7" width="29.88"/>
    <col customWidth="1" min="9" max="9" width="27.5"/>
    <col customWidth="1" min="11" max="11" width="24.63"/>
    <col customWidth="1" min="13" max="13" width="13.88"/>
    <col customWidth="1" min="14" max="14" width="23.88"/>
    <col customWidth="1" min="15" max="15" width="13.75"/>
    <col customWidth="1" min="16" max="16" width="26.13"/>
  </cols>
  <sheetData>
    <row r="1" ht="22.5" customHeight="1">
      <c r="A1" s="110" t="s">
        <v>603</v>
      </c>
      <c r="C1" s="110" t="s">
        <v>604</v>
      </c>
      <c r="E1" s="110" t="s">
        <v>605</v>
      </c>
      <c r="G1" s="110" t="s">
        <v>606</v>
      </c>
      <c r="I1" s="110" t="s">
        <v>96</v>
      </c>
      <c r="K1" s="110" t="s">
        <v>96</v>
      </c>
      <c r="M1" s="110" t="s">
        <v>96</v>
      </c>
      <c r="N1" s="110" t="s">
        <v>515</v>
      </c>
      <c r="O1" s="110" t="s">
        <v>550</v>
      </c>
      <c r="P1" s="201" t="s">
        <v>607</v>
      </c>
      <c r="Q1" s="201" t="s">
        <v>608</v>
      </c>
    </row>
    <row r="2" ht="22.5" customHeight="1">
      <c r="A2" s="225" t="s">
        <v>218</v>
      </c>
      <c r="C2" s="225" t="s">
        <v>158</v>
      </c>
      <c r="E2" s="225" t="s">
        <v>220</v>
      </c>
      <c r="G2" s="225" t="s">
        <v>255</v>
      </c>
      <c r="K2" s="111" t="str">
        <f>IFERROR(__xludf.DUMMYFUNCTION("IMPORTRANGE(""1bLPtpyEKkIlBd0SmoMi5S_d50ra_8JmbfRqZAjpzZMI"",""'Agent Directory / Role'!$B$2:$B"")"),"Alan Gutierrez")</f>
        <v>Alan Gutierrez</v>
      </c>
      <c r="M2" s="111" t="str">
        <f>IFERROR(__xludf.DUMMYFUNCTION("QUERY(
  ARRAYFORMULA(
    SPLIT(
      FLATTEN(
        TRIM(
          SPLIT(
            FILTER(EdwardsHomes2025[ASSISTING AGENT], LEN(EdwardsHomes2025[ASSISTING AGENT])),
            "",""
          )
        )
        &amp; ""♠"" &amp; EdwardsHomes2025[ADDRE"&amp;"SS]
        &amp; ""♠"" &amp; EdwardsHomes2025[SALES PRICE]
        &amp; ""♠"" &amp; TRIM(SPLIT(EdwardsHomes2025[REALTOR PARTNER], "","")) 
      ),
      ""♠""
    )
  ),
  ""SELECT Col1, Col2, Col3, Col4 WHERE NOT Col1 MATCHES '^[0-9]+.*' and not Col1 matches '♠♠♠'"","&amp;"
  0
)"),"#VALUE!")</f>
        <v>#VALUE!</v>
      </c>
      <c r="N2" s="225"/>
      <c r="O2" s="225"/>
      <c r="P2" s="306"/>
      <c r="Q2" s="306" t="str">
        <f>IFERROR(1/COUNTIF(AuxTable1[Address],AuxTable1[Address]),"")</f>
        <v/>
      </c>
    </row>
    <row r="3" ht="22.5" customHeight="1">
      <c r="A3" s="23" t="s">
        <v>214</v>
      </c>
      <c r="C3" s="23" t="s">
        <v>196</v>
      </c>
      <c r="E3" s="225" t="s">
        <v>209</v>
      </c>
      <c r="G3" s="225" t="s">
        <v>458</v>
      </c>
      <c r="I3" s="111" t="str">
        <f>IFERROR(__xludf.DUMMYFUNCTION("QUERY(
  IMPORTRANGE(""1bLPtpyEKkIlBd0SmoMi5S_d50ra_8JmbfRqZAjpzZMI"", ""'Agent Directory / Role'!B2:F""),
  ""SELECT Col1 WHERE Col5 = 'Active' or Col5 = ''"",
  0
)"),"Alex Morales")</f>
        <v>Alex Morales</v>
      </c>
      <c r="K3" s="36" t="str">
        <f>IFERROR(__xludf.DUMMYFUNCTION("""COMPUTED_VALUE"""),"Alex Morales")</f>
        <v>Alex Morales</v>
      </c>
      <c r="M3" s="111" t="str">
        <f>IFERROR(__xludf.DUMMYFUNCTION("""COMPUTED_VALUE"""),"#VALUE!")</f>
        <v>#VALUE!</v>
      </c>
      <c r="N3" s="111"/>
      <c r="O3" s="111"/>
      <c r="P3" s="36"/>
      <c r="Q3" s="306" t="str">
        <f>IFERROR(1/COUNTIF(AuxTable1[Address],AuxTable1[Address]),"")</f>
        <v/>
      </c>
    </row>
    <row r="4" ht="22.5" customHeight="1">
      <c r="A4" s="225" t="s">
        <v>609</v>
      </c>
      <c r="C4" s="225" t="s">
        <v>75</v>
      </c>
      <c r="E4" s="23" t="s">
        <v>56</v>
      </c>
      <c r="G4" s="225" t="s">
        <v>610</v>
      </c>
      <c r="I4" s="111" t="str">
        <f>IFERROR(__xludf.DUMMYFUNCTION("""COMPUTED_VALUE"""),"Angel Alba")</f>
        <v>Angel Alba</v>
      </c>
      <c r="K4" s="36" t="str">
        <f>IFERROR(__xludf.DUMMYFUNCTION("""COMPUTED_VALUE"""),"Angel Alba")</f>
        <v>Angel Alba</v>
      </c>
      <c r="M4" s="111" t="str">
        <f>IFERROR(__xludf.DUMMYFUNCTION("""COMPUTED_VALUE"""),"Mark Morales")</f>
        <v>Mark Morales</v>
      </c>
      <c r="N4" s="111" t="str">
        <f>IFERROR(__xludf.DUMMYFUNCTION("""COMPUTED_VALUE"""),"7309 John Gerald Way")</f>
        <v>7309 John Gerald Way</v>
      </c>
      <c r="O4" s="111">
        <f>IFERROR(__xludf.DUMMYFUNCTION("""COMPUTED_VALUE"""),272950.0)</f>
        <v>272950</v>
      </c>
      <c r="P4" s="36" t="str">
        <f>IFERROR(__xludf.DUMMYFUNCTION("""COMPUTED_VALUE"""),"Jesse Loya")</f>
        <v>Jesse Loya</v>
      </c>
      <c r="Q4" s="306">
        <f>IFERROR(1/COUNTIF(AuxTable1[Address],AuxTable1[Address]),"")</f>
        <v>1</v>
      </c>
    </row>
    <row r="5" ht="22.5" customHeight="1">
      <c r="A5" s="225" t="s">
        <v>611</v>
      </c>
      <c r="C5" s="225" t="s">
        <v>163</v>
      </c>
      <c r="E5" s="23" t="s">
        <v>612</v>
      </c>
      <c r="G5" s="225" t="s">
        <v>333</v>
      </c>
      <c r="I5" s="36" t="str">
        <f>IFERROR(__xludf.DUMMYFUNCTION("""COMPUTED_VALUE"""),"Angel Almeida")</f>
        <v>Angel Almeida</v>
      </c>
      <c r="K5" s="36" t="str">
        <f>IFERROR(__xludf.DUMMYFUNCTION("""COMPUTED_VALUE"""),"Angel Almeida")</f>
        <v>Angel Almeida</v>
      </c>
      <c r="M5" s="111" t="str">
        <f>IFERROR(__xludf.DUMMYFUNCTION("""COMPUTED_VALUE"""),"Mark Morales")</f>
        <v>Mark Morales</v>
      </c>
      <c r="N5" s="111" t="str">
        <f>IFERROR(__xludf.DUMMYFUNCTION("""COMPUTED_VALUE"""),"7324 Fray Garcia Way")</f>
        <v>7324 Fray Garcia Way</v>
      </c>
      <c r="O5" s="111">
        <f>IFERROR(__xludf.DUMMYFUNCTION("""COMPUTED_VALUE"""),269950.0)</f>
        <v>269950</v>
      </c>
      <c r="P5" s="36" t="str">
        <f>IFERROR(__xludf.DUMMYFUNCTION("""COMPUTED_VALUE"""),"Jesse Loya")</f>
        <v>Jesse Loya</v>
      </c>
      <c r="Q5" s="306">
        <f>IFERROR(1/COUNTIF(AuxTable1[Address],AuxTable1[Address]),"")</f>
        <v>1</v>
      </c>
    </row>
    <row r="6" ht="22.5" customHeight="1">
      <c r="A6" s="225" t="s">
        <v>210</v>
      </c>
      <c r="C6" s="225" t="s">
        <v>171</v>
      </c>
      <c r="E6" s="23" t="s">
        <v>212</v>
      </c>
      <c r="G6" s="225" t="s">
        <v>337</v>
      </c>
      <c r="I6" s="111" t="str">
        <f>IFERROR(__xludf.DUMMYFUNCTION("""COMPUTED_VALUE"""),"Arian Wallace")</f>
        <v>Arian Wallace</v>
      </c>
      <c r="K6" s="36" t="str">
        <f>IFERROR(__xludf.DUMMYFUNCTION("""COMPUTED_VALUE"""),"Angie Utajara")</f>
        <v>Angie Utajara</v>
      </c>
      <c r="M6" s="111" t="str">
        <f>IFERROR(__xludf.DUMMYFUNCTION("""COMPUTED_VALUE"""),"Angel Alba")</f>
        <v>Angel Alba</v>
      </c>
      <c r="N6" s="111" t="str">
        <f>IFERROR(__xludf.DUMMYFUNCTION("""COMPUTED_VALUE"""),"252 Park Vista Pl.")</f>
        <v>252 Park Vista Pl.</v>
      </c>
      <c r="O6" s="111">
        <f>IFERROR(__xludf.DUMMYFUNCTION("""COMPUTED_VALUE"""),301950.0)</f>
        <v>301950</v>
      </c>
      <c r="P6" s="36" t="str">
        <f>IFERROR(__xludf.DUMMYFUNCTION("""COMPUTED_VALUE"""),"Fernando Sanchez")</f>
        <v>Fernando Sanchez</v>
      </c>
      <c r="Q6" s="306">
        <f>IFERROR(1/COUNTIF(AuxTable1[Address],AuxTable1[Address]),"")</f>
        <v>1</v>
      </c>
    </row>
    <row r="7" ht="22.5" customHeight="1">
      <c r="A7" s="225" t="s">
        <v>613</v>
      </c>
      <c r="C7" s="23" t="s">
        <v>86</v>
      </c>
      <c r="E7" s="23" t="s">
        <v>614</v>
      </c>
      <c r="G7" s="225" t="s">
        <v>299</v>
      </c>
      <c r="I7" s="111" t="str">
        <f>IFERROR(__xludf.DUMMYFUNCTION("""COMPUTED_VALUE"""),"Ashley Martin")</f>
        <v>Ashley Martin</v>
      </c>
      <c r="K7" s="36" t="str">
        <f>IFERROR(__xludf.DUMMYFUNCTION("""COMPUTED_VALUE"""),"Arian Wallace")</f>
        <v>Arian Wallace</v>
      </c>
      <c r="M7" s="111" t="str">
        <f>IFERROR(__xludf.DUMMYFUNCTION("""COMPUTED_VALUE"""),"Mark Morales")</f>
        <v>Mark Morales</v>
      </c>
      <c r="N7" s="111" t="str">
        <f>IFERROR(__xludf.DUMMYFUNCTION("""COMPUTED_VALUE"""),"7333 John Gerald Way")</f>
        <v>7333 John Gerald Way</v>
      </c>
      <c r="O7" s="111">
        <f>IFERROR(__xludf.DUMMYFUNCTION("""COMPUTED_VALUE"""),269950.0)</f>
        <v>269950</v>
      </c>
      <c r="P7" s="36" t="str">
        <f>IFERROR(__xludf.DUMMYFUNCTION("""COMPUTED_VALUE"""),"Edgar Barrio")</f>
        <v>Edgar Barrio</v>
      </c>
      <c r="Q7" s="306">
        <f>IFERROR(1/COUNTIF(AuxTable1[Address],AuxTable1[Address]),"")</f>
        <v>1</v>
      </c>
    </row>
    <row r="8" ht="22.5" customHeight="1">
      <c r="A8" s="225" t="s">
        <v>156</v>
      </c>
      <c r="C8" s="23" t="s">
        <v>178</v>
      </c>
      <c r="E8" s="23" t="s">
        <v>615</v>
      </c>
      <c r="G8" s="225" t="s">
        <v>616</v>
      </c>
      <c r="I8" s="111" t="str">
        <f>IFERROR(__xludf.DUMMYFUNCTION("""COMPUTED_VALUE"""),"Audrey Gutierrez")</f>
        <v>Audrey Gutierrez</v>
      </c>
      <c r="K8" s="36" t="str">
        <f>IFERROR(__xludf.DUMMYFUNCTION("""COMPUTED_VALUE"""),"Arturo Blanchet")</f>
        <v>Arturo Blanchet</v>
      </c>
      <c r="M8" s="111" t="str">
        <f>IFERROR(__xludf.DUMMYFUNCTION("""COMPUTED_VALUE"""),"Mark Morales")</f>
        <v>Mark Morales</v>
      </c>
      <c r="N8" s="111" t="str">
        <f>IFERROR(__xludf.DUMMYFUNCTION("""COMPUTED_VALUE"""),"12317 Ben Dowell Way")</f>
        <v>12317 Ben Dowell Way</v>
      </c>
      <c r="O8" s="111">
        <f>IFERROR(__xludf.DUMMYFUNCTION("""COMPUTED_VALUE"""),269950.0)</f>
        <v>269950</v>
      </c>
      <c r="P8" s="36" t="str">
        <f>IFERROR(__xludf.DUMMYFUNCTION("""COMPUTED_VALUE"""),"Mark Morales")</f>
        <v>Mark Morales</v>
      </c>
      <c r="Q8" s="306">
        <f>IFERROR(1/COUNTIF(AuxTable1[Address],AuxTable1[Address]),"")</f>
        <v>1</v>
      </c>
    </row>
    <row r="9" ht="22.5" customHeight="1">
      <c r="A9" s="225" t="s">
        <v>617</v>
      </c>
      <c r="C9" s="23" t="s">
        <v>175</v>
      </c>
      <c r="E9" s="23" t="s">
        <v>618</v>
      </c>
      <c r="G9" s="225" t="s">
        <v>619</v>
      </c>
      <c r="I9" s="111" t="str">
        <f>IFERROR(__xludf.DUMMYFUNCTION("""COMPUTED_VALUE"""),"Carina Gutierrez")</f>
        <v>Carina Gutierrez</v>
      </c>
      <c r="K9" s="36" t="str">
        <f>IFERROR(__xludf.DUMMYFUNCTION("""COMPUTED_VALUE"""),"Ashley Martin")</f>
        <v>Ashley Martin</v>
      </c>
      <c r="M9" s="111" t="str">
        <f>IFERROR(__xludf.DUMMYFUNCTION("""COMPUTED_VALUE"""),"Edgar Barrio")</f>
        <v>Edgar Barrio</v>
      </c>
      <c r="N9" s="111" t="str">
        <f>IFERROR(__xludf.DUMMYFUNCTION("""COMPUTED_VALUE"""),"12305 Ben Dowell Way ")</f>
        <v>12305 Ben Dowell Way </v>
      </c>
      <c r="O9" s="111">
        <f>IFERROR(__xludf.DUMMYFUNCTION("""COMPUTED_VALUE"""),269950.0)</f>
        <v>269950</v>
      </c>
      <c r="P9" s="36" t="str">
        <f>IFERROR(__xludf.DUMMYFUNCTION("""COMPUTED_VALUE"""),"Edgar Barrio")</f>
        <v>Edgar Barrio</v>
      </c>
      <c r="Q9" s="306">
        <f>IFERROR(1/COUNTIF(AuxTable1[Address],AuxTable1[Address]),"")</f>
        <v>1</v>
      </c>
    </row>
    <row r="10" ht="22.5" customHeight="1">
      <c r="A10" s="225" t="s">
        <v>620</v>
      </c>
      <c r="C10" s="225" t="s">
        <v>186</v>
      </c>
      <c r="E10" s="23" t="s">
        <v>621</v>
      </c>
      <c r="G10" s="225" t="s">
        <v>622</v>
      </c>
      <c r="I10" s="36" t="str">
        <f>IFERROR(__xludf.DUMMYFUNCTION("""COMPUTED_VALUE"""),"Cassandra Vasquez")</f>
        <v>Cassandra Vasquez</v>
      </c>
      <c r="K10" s="36" t="str">
        <f>IFERROR(__xludf.DUMMYFUNCTION("""COMPUTED_VALUE"""),"Audrey Gutierrez")</f>
        <v>Audrey Gutierrez</v>
      </c>
      <c r="M10" s="111" t="str">
        <f>IFERROR(__xludf.DUMMYFUNCTION("""COMPUTED_VALUE"""),"Mark Morales")</f>
        <v>Mark Morales</v>
      </c>
      <c r="N10" s="111" t="str">
        <f>IFERROR(__xludf.DUMMYFUNCTION("""COMPUTED_VALUE"""),"7341 JOHN GERALD WAY ")</f>
        <v>7341 JOHN GERALD WAY </v>
      </c>
      <c r="O10" s="111">
        <f>IFERROR(__xludf.DUMMYFUNCTION("""COMPUTED_VALUE"""),269950.0)</f>
        <v>269950</v>
      </c>
      <c r="P10" s="36" t="str">
        <f>IFERROR(__xludf.DUMMYFUNCTION("""COMPUTED_VALUE"""),"Mark Morales")</f>
        <v>Mark Morales</v>
      </c>
      <c r="Q10" s="306">
        <f>IFERROR(1/COUNTIF(AuxTable1[Address],AuxTable1[Address]),"")</f>
        <v>1</v>
      </c>
    </row>
    <row r="11" ht="22.5" customHeight="1">
      <c r="A11" s="225" t="s">
        <v>623</v>
      </c>
      <c r="C11" s="23" t="s">
        <v>191</v>
      </c>
      <c r="E11" s="23" t="s">
        <v>206</v>
      </c>
      <c r="I11" s="111" t="str">
        <f>IFERROR(__xludf.DUMMYFUNCTION("""COMPUTED_VALUE"""),"Derek Almeida")</f>
        <v>Derek Almeida</v>
      </c>
      <c r="K11" s="36" t="str">
        <f>IFERROR(__xludf.DUMMYFUNCTION("""COMPUTED_VALUE"""),"Carina Gutierrez")</f>
        <v>Carina Gutierrez</v>
      </c>
      <c r="M11" s="111" t="str">
        <f>IFERROR(__xludf.DUMMYFUNCTION("""COMPUTED_VALUE"""),"#VALUE!")</f>
        <v>#VALUE!</v>
      </c>
      <c r="N11" s="111"/>
      <c r="O11" s="111"/>
      <c r="P11" s="36"/>
      <c r="Q11" s="306" t="str">
        <f>IFERROR(1/COUNTIF(AuxTable1[Address],AuxTable1[Address]),"")</f>
        <v/>
      </c>
    </row>
    <row r="12" ht="22.5" customHeight="1">
      <c r="A12" s="225" t="s">
        <v>208</v>
      </c>
      <c r="E12" s="23" t="s">
        <v>624</v>
      </c>
      <c r="I12" s="111" t="str">
        <f>IFERROR(__xludf.DUMMYFUNCTION("""COMPUTED_VALUE"""),"Diana Caballero")</f>
        <v>Diana Caballero</v>
      </c>
      <c r="K12" s="36" t="str">
        <f>IFERROR(__xludf.DUMMYFUNCTION("""COMPUTED_VALUE"""),"Cassandra Vasquez")</f>
        <v>Cassandra Vasquez</v>
      </c>
      <c r="M12" s="111" t="str">
        <f>IFERROR(__xludf.DUMMYFUNCTION("""COMPUTED_VALUE"""),"#VALUE!")</f>
        <v>#VALUE!</v>
      </c>
      <c r="N12" s="111"/>
      <c r="O12" s="111"/>
      <c r="P12" s="36"/>
      <c r="Q12" s="306" t="str">
        <f>IFERROR(1/COUNTIF(AuxTable1[Address],AuxTable1[Address]),"")</f>
        <v/>
      </c>
    </row>
    <row r="13" ht="22.5" customHeight="1">
      <c r="A13" s="225" t="s">
        <v>195</v>
      </c>
      <c r="E13" s="23" t="s">
        <v>625</v>
      </c>
      <c r="I13" s="111" t="str">
        <f>IFERROR(__xludf.DUMMYFUNCTION("""COMPUTED_VALUE"""),"Diana Romero")</f>
        <v>Diana Romero</v>
      </c>
      <c r="K13" s="36" t="str">
        <f>IFERROR(__xludf.DUMMYFUNCTION("""COMPUTED_VALUE"""),"Dario")</f>
        <v>Dario</v>
      </c>
      <c r="M13" s="111" t="str">
        <f>IFERROR(__xludf.DUMMYFUNCTION("""COMPUTED_VALUE"""),"#VALUE!")</f>
        <v>#VALUE!</v>
      </c>
      <c r="N13" s="111"/>
      <c r="O13" s="111"/>
      <c r="P13" s="36"/>
      <c r="Q13" s="306" t="str">
        <f>IFERROR(1/COUNTIF(AuxTable1[Address],AuxTable1[Address]),"")</f>
        <v/>
      </c>
    </row>
    <row r="14" ht="22.5" customHeight="1">
      <c r="A14" s="225" t="s">
        <v>190</v>
      </c>
      <c r="E14" s="23" t="s">
        <v>626</v>
      </c>
      <c r="I14" s="36" t="str">
        <f>IFERROR(__xludf.DUMMYFUNCTION("""COMPUTED_VALUE"""),"Edgar Barrio")</f>
        <v>Edgar Barrio</v>
      </c>
      <c r="K14" s="36" t="str">
        <f>IFERROR(__xludf.DUMMYFUNCTION("""COMPUTED_VALUE"""),"Derek Almeida")</f>
        <v>Derek Almeida</v>
      </c>
      <c r="M14" s="111" t="str">
        <f>IFERROR(__xludf.DUMMYFUNCTION("""COMPUTED_VALUE"""),"#VALUE!")</f>
        <v>#VALUE!</v>
      </c>
      <c r="N14" s="111"/>
      <c r="O14" s="111"/>
      <c r="P14" s="36"/>
      <c r="Q14" s="306" t="str">
        <f>IFERROR(1/COUNTIF(AuxTable1[Address],AuxTable1[Address]),"")</f>
        <v/>
      </c>
    </row>
    <row r="15" ht="22.5" customHeight="1">
      <c r="A15" s="225" t="s">
        <v>136</v>
      </c>
      <c r="E15" s="23" t="s">
        <v>627</v>
      </c>
      <c r="I15" s="111" t="str">
        <f>IFERROR(__xludf.DUMMYFUNCTION("""COMPUTED_VALUE"""),"Elsa Martinez")</f>
        <v>Elsa Martinez</v>
      </c>
      <c r="K15" s="36" t="str">
        <f>IFERROR(__xludf.DUMMYFUNCTION("""COMPUTED_VALUE"""),"Diana Caballero")</f>
        <v>Diana Caballero</v>
      </c>
      <c r="M15" s="111" t="str">
        <f>IFERROR(__xludf.DUMMYFUNCTION("""COMPUTED_VALUE"""),"#VALUE!")</f>
        <v>#VALUE!</v>
      </c>
      <c r="N15" s="111"/>
      <c r="O15" s="111"/>
      <c r="P15" s="36"/>
      <c r="Q15" s="306" t="str">
        <f>IFERROR(1/COUNTIF(AuxTable1[Address],AuxTable1[Address]),"")</f>
        <v/>
      </c>
    </row>
    <row r="16" ht="22.5" customHeight="1">
      <c r="A16" s="23" t="s">
        <v>148</v>
      </c>
      <c r="E16" s="23" t="s">
        <v>628</v>
      </c>
      <c r="I16" s="111" t="str">
        <f>IFERROR(__xludf.DUMMYFUNCTION("""COMPUTED_VALUE"""),"Gabby Baca")</f>
        <v>Gabby Baca</v>
      </c>
      <c r="K16" s="36" t="str">
        <f>IFERROR(__xludf.DUMMYFUNCTION("""COMPUTED_VALUE"""),"Diana Romero")</f>
        <v>Diana Romero</v>
      </c>
      <c r="M16" s="111" t="str">
        <f>IFERROR(__xludf.DUMMYFUNCTION("""COMPUTED_VALUE"""),"#VALUE!")</f>
        <v>#VALUE!</v>
      </c>
      <c r="N16" s="111"/>
      <c r="O16" s="111"/>
      <c r="P16" s="36"/>
      <c r="Q16" s="306" t="str">
        <f>IFERROR(1/COUNTIF(AuxTable1[Address],AuxTable1[Address]),"")</f>
        <v/>
      </c>
    </row>
    <row r="17" ht="22.5" customHeight="1">
      <c r="A17" s="225" t="s">
        <v>162</v>
      </c>
      <c r="E17" s="23" t="s">
        <v>46</v>
      </c>
      <c r="I17" s="111" t="str">
        <f>IFERROR(__xludf.DUMMYFUNCTION("""COMPUTED_VALUE"""),"Juan Amaya")</f>
        <v>Juan Amaya</v>
      </c>
      <c r="K17" s="36" t="str">
        <f>IFERROR(__xludf.DUMMYFUNCTION("""COMPUTED_VALUE"""),"Edgar Barrio")</f>
        <v>Edgar Barrio</v>
      </c>
      <c r="M17" s="111" t="str">
        <f>IFERROR(__xludf.DUMMYFUNCTION("""COMPUTED_VALUE"""),"#VALUE!")</f>
        <v>#VALUE!</v>
      </c>
      <c r="N17" s="111"/>
      <c r="O17" s="111"/>
      <c r="P17" s="36"/>
      <c r="Q17" s="306" t="str">
        <f>IFERROR(1/COUNTIF(AuxTable1[Address],AuxTable1[Address]),"")</f>
        <v/>
      </c>
    </row>
    <row r="18" ht="22.5" customHeight="1">
      <c r="A18" s="225" t="s">
        <v>629</v>
      </c>
      <c r="E18" s="23" t="s">
        <v>216</v>
      </c>
      <c r="I18" s="111" t="str">
        <f>IFERROR(__xludf.DUMMYFUNCTION("""COMPUTED_VALUE"""),"Kaleb Ibarra")</f>
        <v>Kaleb Ibarra</v>
      </c>
      <c r="K18" s="36" t="str">
        <f>IFERROR(__xludf.DUMMYFUNCTION("""COMPUTED_VALUE"""),"Elsa Martinez")</f>
        <v>Elsa Martinez</v>
      </c>
      <c r="M18" s="111" t="str">
        <f>IFERROR(__xludf.DUMMYFUNCTION("""COMPUTED_VALUE"""),"#VALUE!")</f>
        <v>#VALUE!</v>
      </c>
      <c r="N18" s="111"/>
      <c r="O18" s="111"/>
      <c r="P18" s="36"/>
      <c r="Q18" s="306" t="str">
        <f>IFERROR(1/COUNTIF(AuxTable1[Address],AuxTable1[Address]),"")</f>
        <v/>
      </c>
    </row>
    <row r="19" ht="22.5" customHeight="1">
      <c r="A19" s="23" t="s">
        <v>200</v>
      </c>
      <c r="E19" s="23" t="s">
        <v>630</v>
      </c>
      <c r="I19" s="111" t="str">
        <f>IFERROR(__xludf.DUMMYFUNCTION("""COMPUTED_VALUE"""),"Karla Santillan")</f>
        <v>Karla Santillan</v>
      </c>
      <c r="K19" s="36" t="str">
        <f>IFERROR(__xludf.DUMMYFUNCTION("""COMPUTED_VALUE"""),"Fernanda Cereceres")</f>
        <v>Fernanda Cereceres</v>
      </c>
      <c r="M19" s="111" t="str">
        <f>IFERROR(__xludf.DUMMYFUNCTION("""COMPUTED_VALUE"""),"#VALUE!")</f>
        <v>#VALUE!</v>
      </c>
      <c r="N19" s="111"/>
      <c r="O19" s="111"/>
      <c r="P19" s="36"/>
      <c r="Q19" s="306" t="str">
        <f>IFERROR(1/COUNTIF(AuxTable1[Address],AuxTable1[Address]),"")</f>
        <v/>
      </c>
    </row>
    <row r="20" ht="22.5" customHeight="1">
      <c r="E20" s="23" t="s">
        <v>189</v>
      </c>
      <c r="I20" s="111" t="str">
        <f>IFERROR(__xludf.DUMMYFUNCTION("""COMPUTED_VALUE"""),"Marisol Dominguez")</f>
        <v>Marisol Dominguez</v>
      </c>
      <c r="K20" s="36" t="str">
        <f>IFERROR(__xludf.DUMMYFUNCTION("""COMPUTED_VALUE"""),"Gabby Baca")</f>
        <v>Gabby Baca</v>
      </c>
      <c r="M20" s="111" t="str">
        <f>IFERROR(__xludf.DUMMYFUNCTION("""COMPUTED_VALUE"""),"#VALUE!")</f>
        <v>#VALUE!</v>
      </c>
      <c r="N20" s="111"/>
      <c r="O20" s="111"/>
      <c r="P20" s="36"/>
      <c r="Q20" s="306" t="str">
        <f>IFERROR(1/COUNTIF(AuxTable1[Address],AuxTable1[Address]),"")</f>
        <v/>
      </c>
    </row>
    <row r="21" ht="22.5" customHeight="1">
      <c r="E21" s="23" t="s">
        <v>194</v>
      </c>
      <c r="I21" s="111" t="str">
        <f>IFERROR(__xludf.DUMMYFUNCTION("""COMPUTED_VALUE"""),"Mark Morales")</f>
        <v>Mark Morales</v>
      </c>
      <c r="K21" s="36" t="str">
        <f>IFERROR(__xludf.DUMMYFUNCTION("""COMPUTED_VALUE"""),"Jesse Loya")</f>
        <v>Jesse Loya</v>
      </c>
      <c r="M21" s="111" t="str">
        <f>IFERROR(__xludf.DUMMYFUNCTION("""COMPUTED_VALUE"""),"Priscilla Ramos")</f>
        <v>Priscilla Ramos</v>
      </c>
      <c r="N21" s="111" t="str">
        <f>IFERROR(__xludf.DUMMYFUNCTION("""COMPUTED_VALUE"""),"12844 Fredericksberg")</f>
        <v>12844 Fredericksberg</v>
      </c>
      <c r="O21" s="111">
        <f>IFERROR(__xludf.DUMMYFUNCTION("""COMPUTED_VALUE"""),369950.0)</f>
        <v>369950</v>
      </c>
      <c r="P21" s="36" t="str">
        <f>IFERROR(__xludf.DUMMYFUNCTION("""COMPUTED_VALUE"""),"Oscar Rivas")</f>
        <v>Oscar Rivas</v>
      </c>
      <c r="Q21" s="306">
        <f>IFERROR(1/COUNTIF(AuxTable1[Address],AuxTable1[Address]),"")</f>
        <v>1</v>
      </c>
    </row>
    <row r="22" ht="22.5" customHeight="1">
      <c r="I22" s="111" t="str">
        <f>IFERROR(__xludf.DUMMYFUNCTION("""COMPUTED_VALUE"""),"Michelle Beltran")</f>
        <v>Michelle Beltran</v>
      </c>
      <c r="K22" s="36" t="str">
        <f>IFERROR(__xludf.DUMMYFUNCTION("""COMPUTED_VALUE"""),"Juan Amaya")</f>
        <v>Juan Amaya</v>
      </c>
      <c r="M22" s="111" t="str">
        <f>IFERROR(__xludf.DUMMYFUNCTION("""COMPUTED_VALUE"""),"#VALUE!")</f>
        <v>#VALUE!</v>
      </c>
      <c r="N22" s="111"/>
      <c r="O22" s="111"/>
      <c r="P22" s="36"/>
      <c r="Q22" s="306" t="str">
        <f>IFERROR(1/COUNTIF(AuxTable1[Address],AuxTable1[Address]),"")</f>
        <v/>
      </c>
    </row>
    <row r="23" ht="22.5" customHeight="1">
      <c r="I23" s="111" t="str">
        <f>IFERROR(__xludf.DUMMYFUNCTION("""COMPUTED_VALUE"""),"Michelle Botello")</f>
        <v>Michelle Botello</v>
      </c>
      <c r="K23" s="36" t="str">
        <f>IFERROR(__xludf.DUMMYFUNCTION("""COMPUTED_VALUE"""),"Kaleb Ibarra")</f>
        <v>Kaleb Ibarra</v>
      </c>
      <c r="M23" s="111" t="str">
        <f>IFERROR(__xludf.DUMMYFUNCTION("""COMPUTED_VALUE"""),"#VALUE!")</f>
        <v>#VALUE!</v>
      </c>
      <c r="N23" s="111"/>
      <c r="O23" s="111"/>
      <c r="P23" s="36"/>
      <c r="Q23" s="306" t="str">
        <f>IFERROR(1/COUNTIF(AuxTable1[Address],AuxTable1[Address]),"")</f>
        <v/>
      </c>
    </row>
    <row r="24" ht="22.5" customHeight="1">
      <c r="I24" s="111" t="str">
        <f>IFERROR(__xludf.DUMMYFUNCTION("""COMPUTED_VALUE"""),"Priscilla Ramos")</f>
        <v>Priscilla Ramos</v>
      </c>
      <c r="K24" s="36" t="str">
        <f>IFERROR(__xludf.DUMMYFUNCTION("""COMPUTED_VALUE"""),"Karla Santillan")</f>
        <v>Karla Santillan</v>
      </c>
      <c r="M24" s="111" t="str">
        <f>IFERROR(__xludf.DUMMYFUNCTION("""COMPUTED_VALUE"""),"Alex Morales")</f>
        <v>Alex Morales</v>
      </c>
      <c r="N24" s="111" t="str">
        <f>IFERROR(__xludf.DUMMYFUNCTION("""COMPUTED_VALUE"""),"904 Sandhurst Pl.")</f>
        <v>904 Sandhurst Pl.</v>
      </c>
      <c r="O24" s="111">
        <f>IFERROR(__xludf.DUMMYFUNCTION("""COMPUTED_VALUE"""),279950.0)</f>
        <v>279950</v>
      </c>
      <c r="P24" s="36" t="str">
        <f>IFERROR(__xludf.DUMMYFUNCTION("""COMPUTED_VALUE"""),"Faride Scarlett")</f>
        <v>Faride Scarlett</v>
      </c>
      <c r="Q24" s="306">
        <f>IFERROR(1/COUNTIF(AuxTable1[Address],AuxTable1[Address]),"")</f>
        <v>1</v>
      </c>
    </row>
    <row r="25" ht="22.5" customHeight="1">
      <c r="I25" s="36" t="str">
        <f>IFERROR(__xludf.DUMMYFUNCTION("""COMPUTED_VALUE"""),"Susana Terrazas")</f>
        <v>Susana Terrazas</v>
      </c>
      <c r="K25" s="36" t="str">
        <f>IFERROR(__xludf.DUMMYFUNCTION("""COMPUTED_VALUE"""),"Lizeth Lozano")</f>
        <v>Lizeth Lozano</v>
      </c>
      <c r="M25" s="111" t="str">
        <f>IFERROR(__xludf.DUMMYFUNCTION("""COMPUTED_VALUE"""),"Mark Morales")</f>
        <v>Mark Morales</v>
      </c>
      <c r="N25" s="111" t="str">
        <f>IFERROR(__xludf.DUMMYFUNCTION("""COMPUTED_VALUE"""),"13921 Paseo Bosque Avenue")</f>
        <v>13921 Paseo Bosque Avenue</v>
      </c>
      <c r="O25" s="111">
        <f>IFERROR(__xludf.DUMMYFUNCTION("""COMPUTED_VALUE"""),274950.0)</f>
        <v>274950</v>
      </c>
      <c r="P25" s="36" t="str">
        <f>IFERROR(__xludf.DUMMYFUNCTION("""COMPUTED_VALUE"""),"Mark Morales")</f>
        <v>Mark Morales</v>
      </c>
      <c r="Q25" s="306">
        <f>IFERROR(1/COUNTIF(AuxTable1[Address],AuxTable1[Address]),"")</f>
        <v>1</v>
      </c>
    </row>
    <row r="26" ht="22.5" customHeight="1">
      <c r="I26" s="111" t="str">
        <f>IFERROR(__xludf.DUMMYFUNCTION("""COMPUTED_VALUE"""),"Vada Garcia")</f>
        <v>Vada Garcia</v>
      </c>
      <c r="K26" s="36" t="str">
        <f>IFERROR(__xludf.DUMMYFUNCTION("""COMPUTED_VALUE"""),"Marisol Dominguez")</f>
        <v>Marisol Dominguez</v>
      </c>
      <c r="M26" s="111" t="str">
        <f>IFERROR(__xludf.DUMMYFUNCTION("""COMPUTED_VALUE"""),"Alex Morales")</f>
        <v>Alex Morales</v>
      </c>
      <c r="N26" s="111" t="str">
        <f>IFERROR(__xludf.DUMMYFUNCTION("""COMPUTED_VALUE"""),"15029 Destination ")</f>
        <v>15029 Destination </v>
      </c>
      <c r="O26" s="111">
        <f>IFERROR(__xludf.DUMMYFUNCTION("""COMPUTED_VALUE"""),274950.0)</f>
        <v>274950</v>
      </c>
      <c r="P26" s="36" t="str">
        <f>IFERROR(__xludf.DUMMYFUNCTION("""COMPUTED_VALUE"""),"Caren Carver")</f>
        <v>Caren Carver</v>
      </c>
      <c r="Q26" s="306">
        <f>IFERROR(1/COUNTIF(AuxTable1[Address],AuxTable1[Address]),"")</f>
        <v>1</v>
      </c>
    </row>
    <row r="27" ht="22.5" customHeight="1">
      <c r="I27" s="111" t="str">
        <f>IFERROR(__xludf.DUMMYFUNCTION("""COMPUTED_VALUE"""),"Valerie Gomez")</f>
        <v>Valerie Gomez</v>
      </c>
      <c r="K27" s="36" t="str">
        <f>IFERROR(__xludf.DUMMYFUNCTION("""COMPUTED_VALUE"""),"Mark Morales")</f>
        <v>Mark Morales</v>
      </c>
      <c r="M27" s="111" t="str">
        <f>IFERROR(__xludf.DUMMYFUNCTION("""COMPUTED_VALUE"""),"#VALUE!")</f>
        <v>#VALUE!</v>
      </c>
      <c r="N27" s="111"/>
      <c r="O27" s="111"/>
      <c r="P27" s="36"/>
      <c r="Q27" s="306" t="str">
        <f>IFERROR(1/COUNTIF(AuxTable1[Address],AuxTable1[Address]),"")</f>
        <v/>
      </c>
    </row>
    <row r="28" ht="22.5" customHeight="1">
      <c r="I28" s="36"/>
      <c r="K28" s="36" t="str">
        <f>IFERROR(__xludf.DUMMYFUNCTION("""COMPUTED_VALUE"""),"Michelle Beltran")</f>
        <v>Michelle Beltran</v>
      </c>
      <c r="M28" s="111" t="str">
        <f>IFERROR(__xludf.DUMMYFUNCTION("""COMPUTED_VALUE"""),"#VALUE!")</f>
        <v>#VALUE!</v>
      </c>
      <c r="N28" s="111"/>
      <c r="O28" s="111"/>
      <c r="P28" s="36"/>
      <c r="Q28" s="306" t="str">
        <f>IFERROR(1/COUNTIF(AuxTable1[Address],AuxTable1[Address]),"")</f>
        <v/>
      </c>
    </row>
    <row r="29" ht="22.5" customHeight="1">
      <c r="I29" s="36"/>
      <c r="K29" s="36" t="str">
        <f>IFERROR(__xludf.DUMMYFUNCTION("""COMPUTED_VALUE"""),"Michelle Botello")</f>
        <v>Michelle Botello</v>
      </c>
      <c r="M29" s="111" t="str">
        <f>IFERROR(__xludf.DUMMYFUNCTION("""COMPUTED_VALUE"""),"Alex Morales")</f>
        <v>Alex Morales</v>
      </c>
      <c r="N29" s="111" t="str">
        <f>IFERROR(__xludf.DUMMYFUNCTION("""COMPUTED_VALUE"""),"13789 Lorenz")</f>
        <v>13789 Lorenz</v>
      </c>
      <c r="O29" s="111">
        <f>IFERROR(__xludf.DUMMYFUNCTION("""COMPUTED_VALUE"""),282950.0)</f>
        <v>282950</v>
      </c>
      <c r="P29" s="36" t="str">
        <f>IFERROR(__xludf.DUMMYFUNCTION("""COMPUTED_VALUE"""),"Pamela Gonzalez Pulido")</f>
        <v>Pamela Gonzalez Pulido</v>
      </c>
      <c r="Q29" s="306">
        <f>IFERROR(1/COUNTIF(AuxTable1[Address],AuxTable1[Address]),"")</f>
        <v>1</v>
      </c>
    </row>
    <row r="30" ht="22.5" customHeight="1">
      <c r="I30" s="36"/>
      <c r="K30" s="36" t="str">
        <f>IFERROR(__xludf.DUMMYFUNCTION("""COMPUTED_VALUE"""),"Paul Oropeza")</f>
        <v>Paul Oropeza</v>
      </c>
      <c r="M30" s="111" t="str">
        <f>IFERROR(__xludf.DUMMYFUNCTION("""COMPUTED_VALUE"""),"#VALUE!")</f>
        <v>#VALUE!</v>
      </c>
      <c r="N30" s="111"/>
      <c r="O30" s="111"/>
      <c r="P30" s="36"/>
      <c r="Q30" s="306" t="str">
        <f>IFERROR(1/COUNTIF(AuxTable1[Address],AuxTable1[Address]),"")</f>
        <v/>
      </c>
    </row>
    <row r="31" ht="22.5" customHeight="1">
      <c r="I31" s="36"/>
      <c r="K31" s="36" t="str">
        <f>IFERROR(__xludf.DUMMYFUNCTION("""COMPUTED_VALUE"""),"Priscilla Ramos")</f>
        <v>Priscilla Ramos</v>
      </c>
      <c r="M31" s="111" t="str">
        <f>IFERROR(__xludf.DUMMYFUNCTION("""COMPUTED_VALUE"""),"#VALUE!")</f>
        <v>#VALUE!</v>
      </c>
      <c r="N31" s="111"/>
      <c r="O31" s="111"/>
      <c r="P31" s="36"/>
      <c r="Q31" s="306" t="str">
        <f>IFERROR(1/COUNTIF(AuxTable1[Address],AuxTable1[Address]),"")</f>
        <v/>
      </c>
    </row>
    <row r="32" ht="22.5" customHeight="1">
      <c r="I32" s="36"/>
      <c r="K32" s="36" t="str">
        <f>IFERROR(__xludf.DUMMYFUNCTION("""COMPUTED_VALUE"""),"Ruby Sandoval")</f>
        <v>Ruby Sandoval</v>
      </c>
      <c r="M32" s="111" t="str">
        <f>IFERROR(__xludf.DUMMYFUNCTION("""COMPUTED_VALUE"""),"#VALUE!")</f>
        <v>#VALUE!</v>
      </c>
      <c r="N32" s="111"/>
      <c r="O32" s="111"/>
      <c r="P32" s="36"/>
      <c r="Q32" s="306" t="str">
        <f>IFERROR(1/COUNTIF(AuxTable1[Address],AuxTable1[Address]),"")</f>
        <v/>
      </c>
    </row>
    <row r="33" ht="22.5" customHeight="1">
      <c r="I33" s="36"/>
      <c r="K33" s="36" t="str">
        <f>IFERROR(__xludf.DUMMYFUNCTION("""COMPUTED_VALUE"""),"Susana Terrazas")</f>
        <v>Susana Terrazas</v>
      </c>
      <c r="M33" s="111" t="str">
        <f>IFERROR(__xludf.DUMMYFUNCTION("""COMPUTED_VALUE"""),"#VALUE!")</f>
        <v>#VALUE!</v>
      </c>
      <c r="N33" s="111"/>
      <c r="O33" s="111"/>
      <c r="P33" s="36"/>
      <c r="Q33" s="306" t="str">
        <f>IFERROR(1/COUNTIF(AuxTable1[Address],AuxTable1[Address]),"")</f>
        <v/>
      </c>
    </row>
    <row r="34" ht="22.5" customHeight="1">
      <c r="I34" s="36"/>
      <c r="K34" s="36" t="str">
        <f>IFERROR(__xludf.DUMMYFUNCTION("""COMPUTED_VALUE"""),"Vada Garcia")</f>
        <v>Vada Garcia</v>
      </c>
      <c r="M34" s="111" t="str">
        <f>IFERROR(__xludf.DUMMYFUNCTION("""COMPUTED_VALUE"""),"#VALUE!")</f>
        <v>#VALUE!</v>
      </c>
      <c r="N34" s="111"/>
      <c r="O34" s="111"/>
      <c r="P34" s="36"/>
      <c r="Q34" s="306" t="str">
        <f>IFERROR(1/COUNTIF(AuxTable1[Address],AuxTable1[Address]),"")</f>
        <v/>
      </c>
    </row>
    <row r="35" ht="22.5" customHeight="1">
      <c r="I35" s="36"/>
      <c r="K35" s="36" t="str">
        <f>IFERROR(__xludf.DUMMYFUNCTION("""COMPUTED_VALUE"""),"Valerie Gomez")</f>
        <v>Valerie Gomez</v>
      </c>
      <c r="M35" s="111" t="str">
        <f>IFERROR(__xludf.DUMMYFUNCTION("""COMPUTED_VALUE"""),"#VALUE!")</f>
        <v>#VALUE!</v>
      </c>
      <c r="N35" s="111"/>
      <c r="O35" s="111"/>
      <c r="P35" s="36"/>
      <c r="Q35" s="306" t="str">
        <f>IFERROR(1/COUNTIF(AuxTable1[Address],AuxTable1[Address]),"")</f>
        <v/>
      </c>
    </row>
    <row r="36" ht="22.5" customHeight="1">
      <c r="I36" s="36"/>
      <c r="K36" s="36"/>
      <c r="M36" s="111" t="str">
        <f>IFERROR(__xludf.DUMMYFUNCTION("""COMPUTED_VALUE"""),"Mark Morales")</f>
        <v>Mark Morales</v>
      </c>
      <c r="N36" s="111" t="str">
        <f>IFERROR(__xludf.DUMMYFUNCTION("""COMPUTED_VALUE"""),"15060 Destination")</f>
        <v>15060 Destination</v>
      </c>
      <c r="O36" s="111">
        <f>IFERROR(__xludf.DUMMYFUNCTION("""COMPUTED_VALUE"""),274950.0)</f>
        <v>274950</v>
      </c>
      <c r="P36" s="36" t="str">
        <f>IFERROR(__xludf.DUMMYFUNCTION("""COMPUTED_VALUE"""),"Mark Morales")</f>
        <v>Mark Morales</v>
      </c>
      <c r="Q36" s="306">
        <f>IFERROR(1/COUNTIF(AuxTable1[Address],AuxTable1[Address]),"")</f>
        <v>1</v>
      </c>
    </row>
    <row r="37" ht="22.5" customHeight="1">
      <c r="I37" s="36"/>
      <c r="K37" s="36"/>
      <c r="M37" s="111" t="str">
        <f>IFERROR(__xludf.DUMMYFUNCTION("""COMPUTED_VALUE"""),"Mark Morales")</f>
        <v>Mark Morales</v>
      </c>
      <c r="N37" s="111" t="str">
        <f>IFERROR(__xludf.DUMMYFUNCTION("""COMPUTED_VALUE"""),"817 Paseo Pacifico")</f>
        <v>817 Paseo Pacifico</v>
      </c>
      <c r="O37" s="111">
        <f>IFERROR(__xludf.DUMMYFUNCTION("""COMPUTED_VALUE"""),279950.0)</f>
        <v>279950</v>
      </c>
      <c r="P37" s="36" t="str">
        <f>IFERROR(__xludf.DUMMYFUNCTION("""COMPUTED_VALUE"""),"Mark Morales")</f>
        <v>Mark Morales</v>
      </c>
      <c r="Q37" s="306">
        <f>IFERROR(1/COUNTIF(AuxTable1[Address],AuxTable1[Address]),"")</f>
        <v>1</v>
      </c>
    </row>
    <row r="38" ht="22.5" customHeight="1">
      <c r="I38" s="36"/>
      <c r="K38" s="36"/>
      <c r="M38" s="111" t="str">
        <f>IFERROR(__xludf.DUMMYFUNCTION("""COMPUTED_VALUE"""),"Alex Morales")</f>
        <v>Alex Morales</v>
      </c>
      <c r="N38" s="111" t="str">
        <f>IFERROR(__xludf.DUMMYFUNCTION("""COMPUTED_VALUE"""),"1037 Callie")</f>
        <v>1037 Callie</v>
      </c>
      <c r="O38" s="111">
        <f>IFERROR(__xludf.DUMMYFUNCTION("""COMPUTED_VALUE"""),304950.0)</f>
        <v>304950</v>
      </c>
      <c r="P38" s="36" t="str">
        <f>IFERROR(__xludf.DUMMYFUNCTION("""COMPUTED_VALUE"""),"Loren Favela")</f>
        <v>Loren Favela</v>
      </c>
      <c r="Q38" s="306">
        <f>IFERROR(1/COUNTIF(AuxTable1[Address],AuxTable1[Address]),"")</f>
        <v>1</v>
      </c>
    </row>
    <row r="39" ht="22.5" customHeight="1">
      <c r="I39" s="36"/>
      <c r="K39" s="36"/>
      <c r="M39" s="111" t="str">
        <f>IFERROR(__xludf.DUMMYFUNCTION("""COMPUTED_VALUE"""),"Mark Morales")</f>
        <v>Mark Morales</v>
      </c>
      <c r="N39" s="111" t="str">
        <f>IFERROR(__xludf.DUMMYFUNCTION("""COMPUTED_VALUE"""),"3849 Peak Pl")</f>
        <v>3849 Peak Pl</v>
      </c>
      <c r="O39" s="111">
        <f>IFERROR(__xludf.DUMMYFUNCTION("""COMPUTED_VALUE"""),274950.0)</f>
        <v>274950</v>
      </c>
      <c r="P39" s="36" t="str">
        <f>IFERROR(__xludf.DUMMYFUNCTION("""COMPUTED_VALUE"""),"Mark Morales")</f>
        <v>Mark Morales</v>
      </c>
      <c r="Q39" s="306">
        <f>IFERROR(1/COUNTIF(AuxTable1[Address],AuxTable1[Address]),"")</f>
        <v>1</v>
      </c>
    </row>
    <row r="40" ht="22.5" customHeight="1">
      <c r="I40" s="36"/>
      <c r="K40" s="36"/>
      <c r="M40" s="111" t="str">
        <f>IFERROR(__xludf.DUMMYFUNCTION("""COMPUTED_VALUE"""),"Alex Morales")</f>
        <v>Alex Morales</v>
      </c>
      <c r="N40" s="111" t="str">
        <f>IFERROR(__xludf.DUMMYFUNCTION("""COMPUTED_VALUE"""),"12716 Middlesbrough")</f>
        <v>12716 Middlesbrough</v>
      </c>
      <c r="O40" s="111">
        <f>IFERROR(__xludf.DUMMYFUNCTION("""COMPUTED_VALUE"""),346950.0)</f>
        <v>346950</v>
      </c>
      <c r="P40" s="36" t="str">
        <f>IFERROR(__xludf.DUMMYFUNCTION("""COMPUTED_VALUE"""),"David Acosta")</f>
        <v>David Acosta</v>
      </c>
      <c r="Q40" s="306">
        <f>IFERROR(1/COUNTIF(AuxTable1[Address],AuxTable1[Address]),"")</f>
        <v>1</v>
      </c>
    </row>
    <row r="41" ht="22.5" customHeight="1">
      <c r="I41" s="36"/>
      <c r="K41" s="36"/>
      <c r="M41" s="127" t="str">
        <f>IFERROR(__xludf.DUMMYFUNCTION("""COMPUTED_VALUE"""),"Mark Morales")</f>
        <v>Mark Morales</v>
      </c>
      <c r="N41" s="127" t="str">
        <f>IFERROR(__xludf.DUMMYFUNCTION("""COMPUTED_VALUE"""),"812 Paseo Pacifico")</f>
        <v>812 Paseo Pacifico</v>
      </c>
      <c r="O41" s="127">
        <f>IFERROR(__xludf.DUMMYFUNCTION("""COMPUTED_VALUE"""),274950.0)</f>
        <v>274950</v>
      </c>
      <c r="P41" s="127" t="str">
        <f>IFERROR(__xludf.DUMMYFUNCTION("""COMPUTED_VALUE"""),"Mark Morales")</f>
        <v>Mark Morales</v>
      </c>
    </row>
    <row r="42" ht="22.5" customHeight="1">
      <c r="I42" s="36"/>
      <c r="K42" s="36"/>
      <c r="M42" s="127" t="str">
        <f>IFERROR(__xludf.DUMMYFUNCTION("""COMPUTED_VALUE"""),"Jesse Loya")</f>
        <v>Jesse Loya</v>
      </c>
      <c r="N42" s="127" t="str">
        <f>IFERROR(__xludf.DUMMYFUNCTION("""COMPUTED_VALUE"""),"15033 Function")</f>
        <v>15033 Function</v>
      </c>
      <c r="O42" s="127">
        <f>IFERROR(__xludf.DUMMYFUNCTION("""COMPUTED_VALUE"""),274950.0)</f>
        <v>274950</v>
      </c>
      <c r="P42" s="127" t="str">
        <f>IFERROR(__xludf.DUMMYFUNCTION("""COMPUTED_VALUE"""),"Alfonso Yanez")</f>
        <v>Alfonso Yanez</v>
      </c>
    </row>
    <row r="43" ht="22.5" customHeight="1">
      <c r="I43" s="36"/>
      <c r="K43" s="36"/>
      <c r="M43" s="127" t="str">
        <f>IFERROR(__xludf.DUMMYFUNCTION("""COMPUTED_VALUE"""),"Diana Caballero")</f>
        <v>Diana Caballero</v>
      </c>
      <c r="N43" s="127" t="str">
        <f>IFERROR(__xludf.DUMMYFUNCTION("""COMPUTED_VALUE"""),"15033 Function")</f>
        <v>15033 Function</v>
      </c>
      <c r="O43" s="127">
        <f>IFERROR(__xludf.DUMMYFUNCTION("""COMPUTED_VALUE"""),274950.0)</f>
        <v>274950</v>
      </c>
      <c r="P43" s="127" t="str">
        <f>IFERROR(__xludf.DUMMYFUNCTION("""COMPUTED_VALUE"""),"Alfonso Yanez")</f>
        <v>Alfonso Yanez</v>
      </c>
    </row>
    <row r="44" ht="22.5" customHeight="1">
      <c r="I44" s="36"/>
      <c r="K44" s="36"/>
      <c r="M44" s="127" t="str">
        <f>IFERROR(__xludf.DUMMYFUNCTION("""COMPUTED_VALUE"""),"Jesse Loya")</f>
        <v>Jesse Loya</v>
      </c>
      <c r="N44" s="127" t="str">
        <f>IFERROR(__xludf.DUMMYFUNCTION("""COMPUTED_VALUE"""),"12812 Middlesbrough Ave")</f>
        <v>12812 Middlesbrough Ave</v>
      </c>
      <c r="O44" s="127">
        <f>IFERROR(__xludf.DUMMYFUNCTION("""COMPUTED_VALUE"""),346950.0)</f>
        <v>346950</v>
      </c>
      <c r="P44" s="127" t="str">
        <f>IFERROR(__xludf.DUMMYFUNCTION("""COMPUTED_VALUE"""),"Christopher Gil")</f>
        <v>Christopher Gil</v>
      </c>
    </row>
    <row r="45" ht="22.5" customHeight="1">
      <c r="I45" s="36"/>
      <c r="K45" s="36"/>
      <c r="M45" s="127" t="str">
        <f>IFERROR(__xludf.DUMMYFUNCTION("""COMPUTED_VALUE"""),"Juan Amaya")</f>
        <v>Juan Amaya</v>
      </c>
      <c r="N45" s="127" t="str">
        <f>IFERROR(__xludf.DUMMYFUNCTION("""COMPUTED_VALUE"""),"12812 Middlesbrough Ave")</f>
        <v>12812 Middlesbrough Ave</v>
      </c>
      <c r="O45" s="127">
        <f>IFERROR(__xludf.DUMMYFUNCTION("""COMPUTED_VALUE"""),346950.0)</f>
        <v>346950</v>
      </c>
      <c r="P45" s="127" t="str">
        <f>IFERROR(__xludf.DUMMYFUNCTION("""COMPUTED_VALUE"""),"Christopher Gil")</f>
        <v>Christopher Gil</v>
      </c>
    </row>
    <row r="46" ht="22.5" customHeight="1">
      <c r="I46" s="36"/>
      <c r="K46" s="36"/>
      <c r="M46" s="127" t="str">
        <f>IFERROR(__xludf.DUMMYFUNCTION("""COMPUTED_VALUE"""),"Mark Morales")</f>
        <v>Mark Morales</v>
      </c>
      <c r="N46" s="127" t="str">
        <f>IFERROR(__xludf.DUMMYFUNCTION("""COMPUTED_VALUE"""),"51089 Sand Verbena")</f>
        <v>51089 Sand Verbena</v>
      </c>
      <c r="O46" s="127">
        <f>IFERROR(__xludf.DUMMYFUNCTION("""COMPUTED_VALUE"""),328950.0)</f>
        <v>328950</v>
      </c>
      <c r="P46" s="127" t="str">
        <f>IFERROR(__xludf.DUMMYFUNCTION("""COMPUTED_VALUE"""),"Mark Morales")</f>
        <v>Mark Morales</v>
      </c>
    </row>
    <row r="47" ht="22.5" customHeight="1">
      <c r="I47" s="36"/>
      <c r="K47" s="36"/>
      <c r="M47" s="127" t="str">
        <f>IFERROR(__xludf.DUMMYFUNCTION("""COMPUTED_VALUE"""),"Mark Morales")</f>
        <v>Mark Morales</v>
      </c>
      <c r="N47" s="127" t="str">
        <f>IFERROR(__xludf.DUMMYFUNCTION("""COMPUTED_VALUE"""),"51013 Desert Calico")</f>
        <v>51013 Desert Calico</v>
      </c>
      <c r="O47" s="127">
        <f>IFERROR(__xludf.DUMMYFUNCTION("""COMPUTED_VALUE"""),332950.0)</f>
        <v>332950</v>
      </c>
      <c r="P47" s="127" t="str">
        <f>IFERROR(__xludf.DUMMYFUNCTION("""COMPUTED_VALUE"""),"Jacalyn L Perez")</f>
        <v>Jacalyn L Perez</v>
      </c>
    </row>
    <row r="48" ht="22.5" customHeight="1">
      <c r="I48" s="36"/>
      <c r="K48" s="36"/>
      <c r="M48" s="127" t="str">
        <f>IFERROR(__xludf.DUMMYFUNCTION("""COMPUTED_VALUE"""),"Alex Morales")</f>
        <v>Alex Morales</v>
      </c>
      <c r="N48" s="127" t="str">
        <f>IFERROR(__xludf.DUMMYFUNCTION("""COMPUTED_VALUE"""),"15209 Purpose")</f>
        <v>15209 Purpose</v>
      </c>
      <c r="O48" s="127">
        <f>IFERROR(__xludf.DUMMYFUNCTION("""COMPUTED_VALUE"""),264950.0)</f>
        <v>264950</v>
      </c>
      <c r="P48" s="127" t="str">
        <f>IFERROR(__xludf.DUMMYFUNCTION("""COMPUTED_VALUE"""),"Alberto Sanchez")</f>
        <v>Alberto Sanchez</v>
      </c>
    </row>
    <row r="49" ht="22.5" customHeight="1">
      <c r="I49" s="36"/>
      <c r="K49" s="36"/>
      <c r="M49" s="127" t="str">
        <f>IFERROR(__xludf.DUMMYFUNCTION("""COMPUTED_VALUE"""),"Mark Morales")</f>
        <v>Mark Morales</v>
      </c>
      <c r="N49" s="127" t="str">
        <f>IFERROR(__xludf.DUMMYFUNCTION("""COMPUTED_VALUE"""),"15024 Ambition")</f>
        <v>15024 Ambition</v>
      </c>
      <c r="O49" s="127">
        <f>IFERROR(__xludf.DUMMYFUNCTION("""COMPUTED_VALUE"""),264950.0)</f>
        <v>264950</v>
      </c>
      <c r="P49" s="127" t="str">
        <f>IFERROR(__xludf.DUMMYFUNCTION("""COMPUTED_VALUE"""),"Mark Morales")</f>
        <v>Mark Morales</v>
      </c>
    </row>
    <row r="50" ht="22.5" customHeight="1">
      <c r="I50" s="36"/>
      <c r="K50" s="36"/>
      <c r="M50" s="127" t="str">
        <f>IFERROR(__xludf.DUMMYFUNCTION("""COMPUTED_VALUE"""),"Mark Morales")</f>
        <v>Mark Morales</v>
      </c>
      <c r="N50" s="127" t="str">
        <f>IFERROR(__xludf.DUMMYFUNCTION("""COMPUTED_VALUE"""),"12468 Cayo Norte")</f>
        <v>12468 Cayo Norte</v>
      </c>
      <c r="O50" s="127">
        <f>IFERROR(__xludf.DUMMYFUNCTION("""COMPUTED_VALUE"""),259950.0)</f>
        <v>259950</v>
      </c>
      <c r="P50" s="127" t="str">
        <f>IFERROR(__xludf.DUMMYFUNCTION("""COMPUTED_VALUE"""),"Mark Morales")</f>
        <v>Mark Morales</v>
      </c>
    </row>
    <row r="51" ht="22.5" customHeight="1">
      <c r="I51" s="36"/>
      <c r="K51" s="36"/>
      <c r="M51" s="127" t="str">
        <f>IFERROR(__xludf.DUMMYFUNCTION("""COMPUTED_VALUE"""),"Alex Morales")</f>
        <v>Alex Morales</v>
      </c>
      <c r="N51" s="127" t="str">
        <f>IFERROR(__xludf.DUMMYFUNCTION("""COMPUTED_VALUE"""),"1041 Callie")</f>
        <v>1041 Callie</v>
      </c>
      <c r="O51" s="127">
        <f>IFERROR(__xludf.DUMMYFUNCTION("""COMPUTED_VALUE"""),304950.0)</f>
        <v>304950</v>
      </c>
      <c r="P51" s="127" t="str">
        <f>IFERROR(__xludf.DUMMYFUNCTION("""COMPUTED_VALUE"""),"Deleina Galvan")</f>
        <v>Deleina Galvan</v>
      </c>
    </row>
    <row r="52" ht="22.5" customHeight="1">
      <c r="I52" s="36"/>
      <c r="K52" s="36"/>
      <c r="M52" s="127" t="str">
        <f>IFERROR(__xludf.DUMMYFUNCTION("""COMPUTED_VALUE"""),"Alex Morales")</f>
        <v>Alex Morales</v>
      </c>
      <c r="N52" s="127" t="str">
        <f>IFERROR(__xludf.DUMMYFUNCTION("""COMPUTED_VALUE"""),"13961 Lorenz Ave")</f>
        <v>13961 Lorenz Ave</v>
      </c>
      <c r="O52" s="127">
        <f>IFERROR(__xludf.DUMMYFUNCTION("""COMPUTED_VALUE"""),282950.0)</f>
        <v>282950</v>
      </c>
      <c r="P52" s="127" t="str">
        <f>IFERROR(__xludf.DUMMYFUNCTION("""COMPUTED_VALUE"""),"Angel Flores")</f>
        <v>Angel Flores</v>
      </c>
    </row>
    <row r="53" ht="22.5" customHeight="1">
      <c r="I53" s="36"/>
      <c r="K53" s="36"/>
      <c r="M53" s="127" t="str">
        <f>IFERROR(__xludf.DUMMYFUNCTION("""COMPUTED_VALUE"""),"Alex Morales")</f>
        <v>Alex Morales</v>
      </c>
      <c r="N53" s="127" t="str">
        <f>IFERROR(__xludf.DUMMYFUNCTION("""COMPUTED_VALUE"""),"13721 Lorenz")</f>
        <v>13721 Lorenz</v>
      </c>
      <c r="O53" s="127">
        <f>IFERROR(__xludf.DUMMYFUNCTION("""COMPUTED_VALUE"""),282950.0)</f>
        <v>282950</v>
      </c>
      <c r="P53" s="127" t="str">
        <f>IFERROR(__xludf.DUMMYFUNCTION("""COMPUTED_VALUE"""),"Alberto Sanchez")</f>
        <v>Alberto Sanchez</v>
      </c>
    </row>
    <row r="54" ht="22.5" customHeight="1">
      <c r="I54" s="36"/>
      <c r="K54" s="36"/>
      <c r="M54" s="127" t="str">
        <f>IFERROR(__xludf.DUMMYFUNCTION("""COMPUTED_VALUE"""),"Priscilla Ramos")</f>
        <v>Priscilla Ramos</v>
      </c>
      <c r="N54" s="127" t="str">
        <f>IFERROR(__xludf.DUMMYFUNCTION("""COMPUTED_VALUE"""),"13721 Lorenz")</f>
        <v>13721 Lorenz</v>
      </c>
      <c r="O54" s="127">
        <f>IFERROR(__xludf.DUMMYFUNCTION("""COMPUTED_VALUE"""),282950.0)</f>
        <v>282950</v>
      </c>
      <c r="P54" s="127" t="str">
        <f>IFERROR(__xludf.DUMMYFUNCTION("""COMPUTED_VALUE"""),"Alberto Sanchez")</f>
        <v>Alberto Sanchez</v>
      </c>
    </row>
    <row r="55" ht="22.5" customHeight="1">
      <c r="I55" s="36"/>
      <c r="K55" s="36"/>
      <c r="M55" s="127" t="str">
        <f>IFERROR(__xludf.DUMMYFUNCTION("""COMPUTED_VALUE"""),"Mark Morales")</f>
        <v>Mark Morales</v>
      </c>
      <c r="N55" s="127" t="str">
        <f>IFERROR(__xludf.DUMMYFUNCTION("""COMPUTED_VALUE"""),"51013 Purple Mat")</f>
        <v>51013 Purple Mat</v>
      </c>
      <c r="O55" s="127">
        <f>IFERROR(__xludf.DUMMYFUNCTION("""COMPUTED_VALUE"""),332950.0)</f>
        <v>332950</v>
      </c>
      <c r="P55" s="127" t="str">
        <f>IFERROR(__xludf.DUMMYFUNCTION("""COMPUTED_VALUE"""),"Seiichi Yoshizaki")</f>
        <v>Seiichi Yoshizaki</v>
      </c>
    </row>
    <row r="56" ht="22.5" customHeight="1">
      <c r="I56" s="36"/>
      <c r="K56" s="36"/>
      <c r="M56" s="127" t="str">
        <f>IFERROR(__xludf.DUMMYFUNCTION("""COMPUTED_VALUE"""),"Edgar Barrio")</f>
        <v>Edgar Barrio</v>
      </c>
      <c r="N56" s="127" t="str">
        <f>IFERROR(__xludf.DUMMYFUNCTION("""COMPUTED_VALUE"""),"51086 Desert Calico")</f>
        <v>51086 Desert Calico</v>
      </c>
      <c r="O56" s="127">
        <f>IFERROR(__xludf.DUMMYFUNCTION("""COMPUTED_VALUE"""),331950.0)</f>
        <v>331950</v>
      </c>
      <c r="P56" s="127" t="str">
        <f>IFERROR(__xludf.DUMMYFUNCTION("""COMPUTED_VALUE"""),"Edgar Barrio")</f>
        <v>Edgar Barrio</v>
      </c>
    </row>
    <row r="57" ht="22.5" customHeight="1">
      <c r="I57" s="36"/>
      <c r="K57" s="36"/>
      <c r="M57" s="127" t="str">
        <f>IFERROR(__xludf.DUMMYFUNCTION("""COMPUTED_VALUE"""),"Mark Morales")</f>
        <v>Mark Morales</v>
      </c>
      <c r="N57" s="127" t="str">
        <f>IFERROR(__xludf.DUMMYFUNCTION("""COMPUTED_VALUE"""),"825 Paseo Tranquilo Pl")</f>
        <v>825 Paseo Tranquilo Pl</v>
      </c>
      <c r="O57" s="127">
        <f>IFERROR(__xludf.DUMMYFUNCTION("""COMPUTED_VALUE"""),274950.0)</f>
        <v>274950</v>
      </c>
      <c r="P57" s="127" t="str">
        <f>IFERROR(__xludf.DUMMYFUNCTION("""COMPUTED_VALUE"""),"Lizeth Lozano")</f>
        <v>Lizeth Lozano</v>
      </c>
    </row>
    <row r="58" ht="22.5" customHeight="1">
      <c r="I58" s="36"/>
      <c r="K58" s="36"/>
      <c r="M58" s="127" t="str">
        <f>IFERROR(__xludf.DUMMYFUNCTION("""COMPUTED_VALUE"""),"Edgar Barrio")</f>
        <v>Edgar Barrio</v>
      </c>
      <c r="N58" s="127" t="str">
        <f>IFERROR(__xludf.DUMMYFUNCTION("""COMPUTED_VALUE"""),"12700 Middlesbrough Avenue")</f>
        <v>12700 Middlesbrough Avenue</v>
      </c>
      <c r="O58" s="127">
        <f>IFERROR(__xludf.DUMMYFUNCTION("""COMPUTED_VALUE"""),360950.0)</f>
        <v>360950</v>
      </c>
      <c r="P58" s="127" t="str">
        <f>IFERROR(__xludf.DUMMYFUNCTION("""COMPUTED_VALUE"""),"Edgar Barrio")</f>
        <v>Edgar Barrio</v>
      </c>
    </row>
    <row r="59" ht="22.5" customHeight="1">
      <c r="I59" s="36"/>
      <c r="K59" s="36"/>
      <c r="M59" s="127" t="str">
        <f>IFERROR(__xludf.DUMMYFUNCTION("""COMPUTED_VALUE"""),"Vada Garcia")</f>
        <v>Vada Garcia</v>
      </c>
      <c r="N59" s="127" t="str">
        <f>IFERROR(__xludf.DUMMYFUNCTION("""COMPUTED_VALUE"""),"804 Paseo Pacifico Pl")</f>
        <v>804 Paseo Pacifico Pl</v>
      </c>
      <c r="O59" s="127">
        <f>IFERROR(__xludf.DUMMYFUNCTION("""COMPUTED_VALUE"""),277950.0)</f>
        <v>277950</v>
      </c>
      <c r="P59" s="127" t="str">
        <f>IFERROR(__xludf.DUMMYFUNCTION("""COMPUTED_VALUE"""),"Vada Garcia")</f>
        <v>Vada Garcia</v>
      </c>
    </row>
    <row r="60" ht="22.5" customHeight="1">
      <c r="I60" s="36"/>
      <c r="K60" s="36"/>
      <c r="M60" s="127" t="str">
        <f>IFERROR(__xludf.DUMMYFUNCTION("""COMPUTED_VALUE"""),"Alex Morales")</f>
        <v>Alex Morales</v>
      </c>
      <c r="N60" s="127" t="str">
        <f>IFERROR(__xludf.DUMMYFUNCTION("""COMPUTED_VALUE"""),"813 Paseo Pacifico")</f>
        <v>813 Paseo Pacifico</v>
      </c>
      <c r="O60" s="127">
        <f>IFERROR(__xludf.DUMMYFUNCTION("""COMPUTED_VALUE"""),274950.0)</f>
        <v>274950</v>
      </c>
      <c r="P60" s="127" t="str">
        <f>IFERROR(__xludf.DUMMYFUNCTION("""COMPUTED_VALUE"""),"Carmen Luna")</f>
        <v>Carmen Luna</v>
      </c>
    </row>
    <row r="61" ht="22.5" customHeight="1">
      <c r="I61" s="36"/>
      <c r="K61" s="36"/>
      <c r="M61" s="127" t="str">
        <f>IFERROR(__xludf.DUMMYFUNCTION("""COMPUTED_VALUE"""),"Mark Morales")</f>
        <v>Mark Morales</v>
      </c>
      <c r="N61" s="127" t="str">
        <f>IFERROR(__xludf.DUMMYFUNCTION("""COMPUTED_VALUE"""),"12437 Polo Norte Dr")</f>
        <v>12437 Polo Norte Dr</v>
      </c>
      <c r="O61" s="127">
        <f>IFERROR(__xludf.DUMMYFUNCTION("""COMPUTED_VALUE"""),259950.0)</f>
        <v>259950</v>
      </c>
      <c r="P61" s="127" t="str">
        <f>IFERROR(__xludf.DUMMYFUNCTION("""COMPUTED_VALUE"""),"Mark Morales")</f>
        <v>Mark Morales</v>
      </c>
    </row>
    <row r="62" ht="22.5" customHeight="1">
      <c r="I62" s="36"/>
      <c r="K62" s="36"/>
      <c r="M62" s="127" t="str">
        <f>IFERROR(__xludf.DUMMYFUNCTION("""COMPUTED_VALUE"""),"Edgar Barrio")</f>
        <v>Edgar Barrio</v>
      </c>
      <c r="N62" s="127" t="str">
        <f>IFERROR(__xludf.DUMMYFUNCTION("""COMPUTED_VALUE"""),"15232 Imagine Dr")</f>
        <v>15232 Imagine Dr</v>
      </c>
      <c r="O62" s="127">
        <f>IFERROR(__xludf.DUMMYFUNCTION("""COMPUTED_VALUE"""),264950.0)</f>
        <v>264950</v>
      </c>
      <c r="P62" s="127" t="str">
        <f>IFERROR(__xludf.DUMMYFUNCTION("""COMPUTED_VALUE"""),"Edgar Barrio")</f>
        <v>Edgar Barrio</v>
      </c>
    </row>
    <row r="63" ht="22.5" customHeight="1">
      <c r="I63" s="36"/>
      <c r="K63" s="36"/>
      <c r="M63" s="127" t="str">
        <f>IFERROR(__xludf.DUMMYFUNCTION("""COMPUTED_VALUE"""),"#N/A")</f>
        <v>#N/A</v>
      </c>
      <c r="N63" s="127"/>
      <c r="O63" s="127"/>
      <c r="P63" s="127"/>
    </row>
    <row r="64" ht="22.5" customHeight="1">
      <c r="I64" s="36"/>
      <c r="K64" s="36"/>
      <c r="M64" s="127" t="str">
        <f>IFERROR(__xludf.DUMMYFUNCTION("""COMPUTED_VALUE"""),"#N/A")</f>
        <v>#N/A</v>
      </c>
      <c r="N64" s="127"/>
      <c r="O64" s="127"/>
      <c r="P64" s="127"/>
    </row>
    <row r="65" ht="22.5" customHeight="1">
      <c r="I65" s="36"/>
      <c r="K65" s="36"/>
    </row>
    <row r="66" ht="22.5" customHeight="1">
      <c r="I66" s="36"/>
      <c r="K66" s="36"/>
    </row>
    <row r="67" ht="22.5" customHeight="1">
      <c r="I67" s="36"/>
      <c r="K67" s="36"/>
    </row>
    <row r="68" ht="22.5" customHeight="1">
      <c r="I68" s="36"/>
      <c r="K68" s="36"/>
    </row>
    <row r="69" ht="22.5" customHeight="1">
      <c r="I69" s="36"/>
      <c r="K69" s="36"/>
    </row>
    <row r="70" ht="22.5" customHeight="1">
      <c r="I70" s="36"/>
      <c r="K70" s="36"/>
    </row>
    <row r="71" ht="22.5" customHeight="1">
      <c r="I71" s="36"/>
      <c r="K71" s="36"/>
    </row>
    <row r="72" ht="22.5" customHeight="1">
      <c r="I72" s="36"/>
      <c r="K72" s="36"/>
    </row>
    <row r="73" ht="22.5" customHeight="1">
      <c r="I73" s="36"/>
      <c r="K73" s="36"/>
    </row>
    <row r="74" ht="22.5" customHeight="1">
      <c r="I74" s="36"/>
      <c r="K74" s="36"/>
    </row>
    <row r="75" ht="22.5" customHeight="1">
      <c r="I75" s="36"/>
      <c r="K75" s="36"/>
    </row>
    <row r="76" ht="22.5" customHeight="1">
      <c r="I76" s="36"/>
      <c r="K76" s="36"/>
    </row>
    <row r="77" ht="22.5" customHeight="1">
      <c r="I77" s="36"/>
      <c r="K77" s="36"/>
    </row>
    <row r="78" ht="22.5" customHeight="1">
      <c r="I78" s="36"/>
      <c r="K78" s="36"/>
    </row>
    <row r="79" ht="22.5" customHeight="1">
      <c r="I79" s="36"/>
      <c r="K79" s="36"/>
    </row>
    <row r="80" ht="22.5" customHeight="1">
      <c r="I80" s="36"/>
      <c r="K80" s="36"/>
    </row>
    <row r="81" ht="22.5" customHeight="1">
      <c r="I81" s="36"/>
      <c r="K81" s="36"/>
    </row>
    <row r="82" ht="22.5" customHeight="1">
      <c r="I82" s="36"/>
      <c r="K82" s="36"/>
    </row>
    <row r="83" ht="22.5" customHeight="1">
      <c r="I83" s="36"/>
      <c r="K83" s="36"/>
    </row>
    <row r="84" ht="22.5" customHeight="1">
      <c r="I84" s="36"/>
      <c r="K84" s="36"/>
    </row>
    <row r="85" ht="22.5" customHeight="1">
      <c r="I85" s="36"/>
      <c r="K85" s="36"/>
    </row>
    <row r="86" ht="22.5" customHeight="1">
      <c r="I86" s="36"/>
      <c r="K86" s="36"/>
    </row>
    <row r="87" ht="22.5" customHeight="1">
      <c r="I87" s="36"/>
      <c r="K87" s="36"/>
    </row>
    <row r="88" ht="22.5" customHeight="1">
      <c r="I88" s="36"/>
      <c r="K88" s="36"/>
    </row>
    <row r="89" ht="22.5" customHeight="1">
      <c r="I89" s="36"/>
      <c r="K89" s="36"/>
    </row>
    <row r="90" ht="22.5" customHeight="1">
      <c r="I90" s="36"/>
      <c r="K90" s="36"/>
    </row>
    <row r="91" ht="22.5" customHeight="1">
      <c r="I91" s="36"/>
      <c r="K91" s="36"/>
    </row>
    <row r="92" ht="22.5" customHeight="1">
      <c r="I92" s="36"/>
      <c r="K92" s="36"/>
    </row>
    <row r="93" ht="22.5" customHeight="1">
      <c r="I93" s="36"/>
      <c r="K93" s="36"/>
    </row>
    <row r="94" ht="22.5" customHeight="1">
      <c r="I94" s="36"/>
      <c r="K94" s="36"/>
    </row>
    <row r="95" ht="22.5" customHeight="1">
      <c r="I95" s="36"/>
      <c r="K95" s="36"/>
    </row>
    <row r="96" ht="22.5" customHeight="1">
      <c r="I96" s="36"/>
      <c r="K96" s="36"/>
    </row>
    <row r="97" ht="22.5" customHeight="1">
      <c r="I97" s="36"/>
      <c r="K97" s="36"/>
    </row>
    <row r="98" ht="22.5" customHeight="1">
      <c r="I98" s="36"/>
      <c r="K98" s="36"/>
    </row>
    <row r="99" ht="22.5" customHeight="1">
      <c r="I99" s="36"/>
      <c r="K99" s="36"/>
    </row>
    <row r="100" ht="22.5" customHeight="1">
      <c r="I100" s="36"/>
      <c r="K100" s="36"/>
    </row>
    <row r="101" ht="22.5" customHeight="1">
      <c r="I101" s="36"/>
      <c r="K101" s="36"/>
    </row>
    <row r="102" ht="22.5" customHeight="1">
      <c r="I102" s="36"/>
      <c r="K102" s="36"/>
    </row>
    <row r="103" ht="22.5" customHeight="1">
      <c r="I103" s="36"/>
      <c r="K103" s="36"/>
    </row>
    <row r="104" ht="22.5" customHeight="1">
      <c r="I104" s="36"/>
      <c r="K104" s="36"/>
    </row>
    <row r="105" ht="22.5" customHeight="1">
      <c r="I105" s="36"/>
      <c r="K105" s="36"/>
    </row>
    <row r="106" ht="22.5" customHeight="1">
      <c r="I106" s="36"/>
      <c r="K106" s="36"/>
    </row>
    <row r="107" ht="22.5" customHeight="1">
      <c r="I107" s="36"/>
      <c r="K107" s="36"/>
    </row>
    <row r="108" ht="22.5" customHeight="1">
      <c r="I108" s="36"/>
      <c r="K108" s="36"/>
    </row>
    <row r="109" ht="22.5" customHeight="1">
      <c r="I109" s="36"/>
      <c r="K109" s="36"/>
    </row>
    <row r="110" ht="22.5" customHeight="1">
      <c r="I110" s="36"/>
      <c r="K110" s="36"/>
    </row>
    <row r="111" ht="22.5" customHeight="1">
      <c r="I111" s="36"/>
      <c r="K111" s="36"/>
    </row>
    <row r="112" ht="22.5" customHeight="1">
      <c r="I112" s="36"/>
      <c r="K112" s="36"/>
    </row>
    <row r="113" ht="22.5" customHeight="1">
      <c r="I113" s="36"/>
      <c r="K113" s="36"/>
    </row>
    <row r="114" ht="22.5" customHeight="1">
      <c r="I114" s="36"/>
      <c r="K114" s="36"/>
    </row>
    <row r="115" ht="22.5" customHeight="1">
      <c r="I115" s="36"/>
      <c r="K115" s="36"/>
    </row>
    <row r="116" ht="22.5" customHeight="1">
      <c r="I116" s="36"/>
      <c r="K116" s="36"/>
    </row>
    <row r="117" ht="22.5" customHeight="1">
      <c r="I117" s="36"/>
      <c r="K117" s="36"/>
    </row>
    <row r="118" ht="22.5" customHeight="1">
      <c r="I118" s="36"/>
      <c r="K118" s="36"/>
    </row>
    <row r="119" ht="22.5" customHeight="1">
      <c r="I119" s="36"/>
      <c r="K119" s="36"/>
    </row>
    <row r="120" ht="22.5" customHeight="1">
      <c r="I120" s="36"/>
      <c r="K120" s="36"/>
    </row>
    <row r="121" ht="22.5" customHeight="1">
      <c r="I121" s="36"/>
      <c r="K121" s="36"/>
    </row>
    <row r="122" ht="22.5" customHeight="1">
      <c r="I122" s="36"/>
      <c r="K122" s="36"/>
    </row>
    <row r="123" ht="22.5" customHeight="1">
      <c r="I123" s="36"/>
      <c r="K123" s="36"/>
    </row>
    <row r="124" ht="22.5" customHeight="1">
      <c r="I124" s="36"/>
      <c r="K124" s="36"/>
    </row>
    <row r="125" ht="22.5" customHeight="1">
      <c r="I125" s="36"/>
      <c r="K125" s="36"/>
    </row>
    <row r="126" ht="22.5" customHeight="1">
      <c r="I126" s="36"/>
      <c r="K126" s="36"/>
    </row>
    <row r="127" ht="22.5" customHeight="1">
      <c r="I127" s="36"/>
      <c r="K127" s="36"/>
    </row>
    <row r="128" ht="22.5" customHeight="1">
      <c r="I128" s="36"/>
      <c r="K128" s="36"/>
    </row>
    <row r="129" ht="22.5" customHeight="1">
      <c r="I129" s="36"/>
      <c r="K129" s="36"/>
    </row>
    <row r="130" ht="22.5" customHeight="1">
      <c r="I130" s="36"/>
      <c r="K130" s="36"/>
    </row>
    <row r="131" ht="22.5" customHeight="1">
      <c r="I131" s="36"/>
      <c r="K131" s="36"/>
    </row>
    <row r="132" ht="22.5" customHeight="1">
      <c r="I132" s="36"/>
      <c r="K132" s="36"/>
    </row>
    <row r="133" ht="22.5" customHeight="1">
      <c r="I133" s="36"/>
      <c r="K133" s="36"/>
    </row>
    <row r="134" ht="22.5" customHeight="1">
      <c r="I134" s="36"/>
      <c r="K134" s="36"/>
    </row>
    <row r="135" ht="22.5" customHeight="1">
      <c r="I135" s="36"/>
      <c r="K135" s="36"/>
    </row>
    <row r="136" ht="22.5" customHeight="1">
      <c r="I136" s="36"/>
      <c r="K136" s="36"/>
    </row>
    <row r="137" ht="22.5" customHeight="1">
      <c r="I137" s="36"/>
      <c r="K137" s="36"/>
    </row>
    <row r="138" ht="22.5" customHeight="1">
      <c r="I138" s="36"/>
      <c r="K138" s="36"/>
    </row>
    <row r="139" ht="22.5" customHeight="1">
      <c r="I139" s="36"/>
      <c r="K139" s="36"/>
    </row>
    <row r="140" ht="22.5" customHeight="1">
      <c r="I140" s="36"/>
      <c r="K140" s="36"/>
    </row>
    <row r="141" ht="22.5" customHeight="1">
      <c r="I141" s="36"/>
      <c r="K141" s="36"/>
    </row>
    <row r="142" ht="22.5" customHeight="1">
      <c r="I142" s="36"/>
      <c r="K142" s="36"/>
    </row>
    <row r="143" ht="22.5" customHeight="1">
      <c r="I143" s="36"/>
      <c r="K143" s="36"/>
    </row>
    <row r="144" ht="22.5" customHeight="1">
      <c r="I144" s="36"/>
      <c r="K144" s="36"/>
    </row>
    <row r="145" ht="22.5" customHeight="1">
      <c r="I145" s="36"/>
      <c r="K145" s="36"/>
    </row>
    <row r="146" ht="22.5" customHeight="1">
      <c r="I146" s="36"/>
      <c r="K146" s="36"/>
    </row>
    <row r="147" ht="22.5" customHeight="1">
      <c r="I147" s="36"/>
      <c r="K147" s="36"/>
    </row>
    <row r="148" ht="22.5" customHeight="1">
      <c r="I148" s="36"/>
      <c r="K148" s="36"/>
    </row>
    <row r="149" ht="22.5" customHeight="1">
      <c r="I149" s="36"/>
      <c r="K149" s="36"/>
    </row>
    <row r="150" ht="22.5" customHeight="1">
      <c r="I150" s="36"/>
      <c r="K150" s="36"/>
    </row>
    <row r="151" ht="22.5" customHeight="1">
      <c r="I151" s="36"/>
      <c r="K151" s="36"/>
    </row>
    <row r="152" ht="22.5" customHeight="1">
      <c r="I152" s="36"/>
      <c r="K152" s="36"/>
    </row>
    <row r="153" ht="22.5" customHeight="1">
      <c r="I153" s="36"/>
      <c r="K153" s="36"/>
    </row>
    <row r="154" ht="22.5" customHeight="1">
      <c r="I154" s="36"/>
      <c r="K154" s="36"/>
    </row>
    <row r="155" ht="22.5" customHeight="1">
      <c r="I155" s="36"/>
      <c r="K155" s="36"/>
    </row>
    <row r="156" ht="22.5" customHeight="1">
      <c r="I156" s="36"/>
      <c r="K156" s="36"/>
    </row>
    <row r="157" ht="22.5" customHeight="1">
      <c r="I157" s="36"/>
      <c r="K157" s="36"/>
    </row>
    <row r="158" ht="22.5" customHeight="1">
      <c r="I158" s="36"/>
      <c r="K158" s="36"/>
    </row>
    <row r="159" ht="22.5" customHeight="1">
      <c r="I159" s="36"/>
      <c r="K159" s="36"/>
    </row>
    <row r="160" ht="22.5" customHeight="1">
      <c r="I160" s="36"/>
      <c r="K160" s="36"/>
    </row>
    <row r="161" ht="22.5" customHeight="1">
      <c r="I161" s="36"/>
      <c r="K161" s="36"/>
    </row>
    <row r="162" ht="22.5" customHeight="1">
      <c r="I162" s="36"/>
      <c r="K162" s="36"/>
    </row>
    <row r="163" ht="22.5" customHeight="1">
      <c r="I163" s="36"/>
      <c r="K163" s="36"/>
    </row>
    <row r="164" ht="22.5" customHeight="1">
      <c r="I164" s="36"/>
      <c r="K164" s="36"/>
    </row>
    <row r="165" ht="22.5" customHeight="1">
      <c r="I165" s="36"/>
      <c r="K165" s="36"/>
    </row>
    <row r="166" ht="22.5" customHeight="1">
      <c r="I166" s="36"/>
      <c r="K166" s="36"/>
    </row>
    <row r="167" ht="22.5" customHeight="1">
      <c r="I167" s="36"/>
      <c r="K167" s="36"/>
    </row>
    <row r="168" ht="22.5" customHeight="1">
      <c r="I168" s="36"/>
      <c r="K168" s="36"/>
    </row>
    <row r="169" ht="22.5" customHeight="1">
      <c r="I169" s="36"/>
      <c r="K169" s="36"/>
    </row>
    <row r="170" ht="22.5" customHeight="1">
      <c r="I170" s="36"/>
      <c r="K170" s="36"/>
    </row>
    <row r="171" ht="22.5" customHeight="1">
      <c r="I171" s="36"/>
      <c r="K171" s="36"/>
    </row>
    <row r="172" ht="22.5" customHeight="1">
      <c r="I172" s="36"/>
      <c r="K172" s="36"/>
    </row>
    <row r="173" ht="22.5" customHeight="1">
      <c r="I173" s="36"/>
      <c r="K173" s="36"/>
    </row>
    <row r="174" ht="22.5" customHeight="1">
      <c r="I174" s="36"/>
      <c r="K174" s="36"/>
    </row>
    <row r="175" ht="22.5" customHeight="1">
      <c r="I175" s="36"/>
      <c r="K175" s="36"/>
    </row>
    <row r="176" ht="22.5" customHeight="1">
      <c r="I176" s="36"/>
      <c r="K176" s="36"/>
    </row>
    <row r="177" ht="22.5" customHeight="1">
      <c r="I177" s="36"/>
      <c r="K177" s="36"/>
    </row>
    <row r="178" ht="22.5" customHeight="1">
      <c r="I178" s="36"/>
      <c r="K178" s="36"/>
    </row>
    <row r="179" ht="22.5" customHeight="1">
      <c r="I179" s="36"/>
      <c r="K179" s="36"/>
    </row>
    <row r="180" ht="22.5" customHeight="1">
      <c r="I180" s="36"/>
      <c r="K180" s="36"/>
    </row>
    <row r="181" ht="22.5" customHeight="1">
      <c r="I181" s="36"/>
      <c r="K181" s="36"/>
    </row>
    <row r="182" ht="22.5" customHeight="1">
      <c r="I182" s="36"/>
      <c r="K182" s="36"/>
    </row>
    <row r="183" ht="22.5" customHeight="1">
      <c r="I183" s="36"/>
      <c r="K183" s="36"/>
    </row>
    <row r="184" ht="22.5" customHeight="1">
      <c r="I184" s="36"/>
      <c r="K184" s="36"/>
    </row>
    <row r="185" ht="22.5" customHeight="1">
      <c r="I185" s="36"/>
      <c r="K185" s="36"/>
    </row>
    <row r="186" ht="22.5" customHeight="1">
      <c r="I186" s="36"/>
      <c r="K186" s="36"/>
    </row>
    <row r="187" ht="22.5" customHeight="1">
      <c r="I187" s="36"/>
      <c r="K187" s="36"/>
    </row>
    <row r="188" ht="22.5" customHeight="1">
      <c r="I188" s="36"/>
      <c r="K188" s="36"/>
    </row>
    <row r="189" ht="22.5" customHeight="1">
      <c r="I189" s="36"/>
      <c r="K189" s="36"/>
    </row>
    <row r="190" ht="22.5" customHeight="1">
      <c r="I190" s="36"/>
      <c r="K190" s="36"/>
    </row>
    <row r="191" ht="22.5" customHeight="1">
      <c r="I191" s="36"/>
      <c r="K191" s="36"/>
    </row>
    <row r="192" ht="22.5" customHeight="1">
      <c r="I192" s="36"/>
      <c r="K192" s="36"/>
    </row>
    <row r="193" ht="22.5" customHeight="1">
      <c r="I193" s="36"/>
      <c r="K193" s="36"/>
    </row>
    <row r="194" ht="22.5" customHeight="1">
      <c r="I194" s="36"/>
      <c r="K194" s="36"/>
    </row>
    <row r="195" ht="22.5" customHeight="1">
      <c r="I195" s="36"/>
      <c r="K195" s="36"/>
    </row>
    <row r="196" ht="22.5" customHeight="1">
      <c r="I196" s="36"/>
      <c r="K196" s="36"/>
    </row>
    <row r="197" ht="22.5" customHeight="1">
      <c r="I197" s="36"/>
      <c r="K197" s="36"/>
    </row>
    <row r="198" ht="22.5" customHeight="1">
      <c r="I198" s="36"/>
      <c r="K198" s="36"/>
    </row>
    <row r="199" ht="22.5" customHeight="1">
      <c r="I199" s="36"/>
      <c r="K199" s="36"/>
    </row>
    <row r="200" ht="22.5" customHeight="1">
      <c r="I200" s="36"/>
      <c r="K200" s="36"/>
    </row>
    <row r="201" ht="22.5" customHeight="1">
      <c r="I201" s="36"/>
      <c r="K201" s="36"/>
    </row>
    <row r="202" ht="22.5" customHeight="1">
      <c r="I202" s="36"/>
      <c r="K202" s="36"/>
    </row>
    <row r="203" ht="22.5" customHeight="1">
      <c r="I203" s="36"/>
      <c r="K203" s="36"/>
    </row>
    <row r="204" ht="22.5" customHeight="1">
      <c r="I204" s="36"/>
      <c r="K204" s="36"/>
    </row>
    <row r="205" ht="22.5" customHeight="1">
      <c r="I205" s="36"/>
      <c r="K205" s="36"/>
    </row>
    <row r="206" ht="22.5" customHeight="1">
      <c r="I206" s="36"/>
      <c r="K206" s="36"/>
    </row>
    <row r="207" ht="22.5" customHeight="1">
      <c r="I207" s="36"/>
      <c r="K207" s="36"/>
    </row>
    <row r="208" ht="22.5" customHeight="1">
      <c r="I208" s="36"/>
      <c r="K208" s="36"/>
    </row>
    <row r="209" ht="22.5" customHeight="1">
      <c r="I209" s="36"/>
      <c r="K209" s="36"/>
    </row>
    <row r="210" ht="22.5" customHeight="1">
      <c r="I210" s="36"/>
      <c r="K210" s="36"/>
    </row>
    <row r="211" ht="22.5" customHeight="1">
      <c r="I211" s="36"/>
      <c r="K211" s="36"/>
    </row>
    <row r="212" ht="22.5" customHeight="1">
      <c r="I212" s="36"/>
      <c r="K212" s="36"/>
    </row>
    <row r="213" ht="22.5" customHeight="1">
      <c r="I213" s="36"/>
      <c r="K213" s="36"/>
    </row>
    <row r="214" ht="22.5" customHeight="1">
      <c r="I214" s="36"/>
      <c r="K214" s="36"/>
    </row>
    <row r="215" ht="22.5" customHeight="1">
      <c r="I215" s="36"/>
      <c r="K215" s="36"/>
    </row>
    <row r="216" ht="22.5" customHeight="1">
      <c r="I216" s="36"/>
      <c r="K216" s="36"/>
    </row>
    <row r="217" ht="22.5" customHeight="1">
      <c r="I217" s="36"/>
      <c r="K217" s="36"/>
    </row>
    <row r="218" ht="22.5" customHeight="1">
      <c r="I218" s="36"/>
      <c r="K218" s="36"/>
    </row>
    <row r="219" ht="22.5" customHeight="1">
      <c r="I219" s="36"/>
      <c r="K219" s="36"/>
    </row>
    <row r="220" ht="22.5" customHeight="1">
      <c r="I220" s="36"/>
      <c r="K220" s="36"/>
    </row>
    <row r="221" ht="22.5" customHeight="1">
      <c r="I221" s="36"/>
      <c r="K221" s="36"/>
    </row>
    <row r="222" ht="22.5" customHeight="1">
      <c r="I222" s="36"/>
      <c r="K222" s="36"/>
    </row>
    <row r="223" ht="22.5" customHeight="1">
      <c r="I223" s="36"/>
      <c r="K223" s="36"/>
    </row>
    <row r="224" ht="22.5" customHeight="1">
      <c r="I224" s="36"/>
      <c r="K224" s="36"/>
    </row>
    <row r="225" ht="22.5" customHeight="1">
      <c r="I225" s="36"/>
      <c r="K225" s="36"/>
    </row>
    <row r="226" ht="22.5" customHeight="1">
      <c r="I226" s="36"/>
      <c r="K226" s="36"/>
    </row>
    <row r="227" ht="22.5" customHeight="1">
      <c r="I227" s="36"/>
      <c r="K227" s="36"/>
    </row>
    <row r="228" ht="22.5" customHeight="1">
      <c r="I228" s="36"/>
      <c r="K228" s="36"/>
    </row>
    <row r="229" ht="22.5" customHeight="1">
      <c r="I229" s="36"/>
      <c r="K229" s="36"/>
    </row>
    <row r="230" ht="22.5" customHeight="1">
      <c r="I230" s="36"/>
      <c r="K230" s="36"/>
    </row>
    <row r="231" ht="22.5" customHeight="1">
      <c r="I231" s="36"/>
      <c r="K231" s="36"/>
    </row>
    <row r="232" ht="22.5" customHeight="1">
      <c r="I232" s="36"/>
      <c r="K232" s="36"/>
    </row>
    <row r="233" ht="22.5" customHeight="1">
      <c r="I233" s="36"/>
      <c r="K233" s="36"/>
    </row>
    <row r="234" ht="22.5" customHeight="1">
      <c r="I234" s="36"/>
      <c r="K234" s="36"/>
    </row>
    <row r="235" ht="22.5" customHeight="1">
      <c r="I235" s="36"/>
      <c r="K235" s="36"/>
    </row>
    <row r="236" ht="22.5" customHeight="1">
      <c r="I236" s="36"/>
      <c r="K236" s="36"/>
    </row>
    <row r="237" ht="22.5" customHeight="1">
      <c r="I237" s="36"/>
      <c r="K237" s="36"/>
    </row>
    <row r="238" ht="22.5" customHeight="1">
      <c r="I238" s="36"/>
      <c r="K238" s="36"/>
    </row>
    <row r="239" ht="22.5" customHeight="1">
      <c r="I239" s="36"/>
      <c r="K239" s="36"/>
    </row>
    <row r="240" ht="22.5" customHeight="1">
      <c r="I240" s="36"/>
      <c r="K240" s="36"/>
    </row>
    <row r="241" ht="22.5" customHeight="1">
      <c r="I241" s="36"/>
      <c r="K241" s="36"/>
    </row>
    <row r="242" ht="22.5" customHeight="1">
      <c r="I242" s="36"/>
      <c r="K242" s="36"/>
    </row>
    <row r="243" ht="22.5" customHeight="1">
      <c r="I243" s="36"/>
      <c r="K243" s="36"/>
    </row>
    <row r="244" ht="22.5" customHeight="1">
      <c r="I244" s="36"/>
      <c r="K244" s="36"/>
    </row>
    <row r="245" ht="22.5" customHeight="1">
      <c r="I245" s="36"/>
      <c r="K245" s="36"/>
    </row>
    <row r="246" ht="22.5" customHeight="1">
      <c r="I246" s="36"/>
      <c r="K246" s="36"/>
    </row>
    <row r="247" ht="22.5" customHeight="1">
      <c r="I247" s="36"/>
      <c r="K247" s="36"/>
    </row>
    <row r="248" ht="22.5" customHeight="1">
      <c r="I248" s="36"/>
      <c r="K248" s="36"/>
    </row>
    <row r="249" ht="22.5" customHeight="1">
      <c r="I249" s="36"/>
      <c r="K249" s="36"/>
    </row>
    <row r="250" ht="22.5" customHeight="1">
      <c r="I250" s="36"/>
      <c r="K250" s="36"/>
    </row>
    <row r="251" ht="22.5" customHeight="1">
      <c r="I251" s="36"/>
      <c r="K251" s="36"/>
    </row>
    <row r="252" ht="22.5" customHeight="1">
      <c r="I252" s="36"/>
      <c r="K252" s="36"/>
    </row>
    <row r="253" ht="22.5" customHeight="1">
      <c r="I253" s="36"/>
      <c r="K253" s="36"/>
    </row>
    <row r="254" ht="22.5" customHeight="1">
      <c r="I254" s="36"/>
      <c r="K254" s="36"/>
    </row>
    <row r="255" ht="22.5" customHeight="1">
      <c r="I255" s="36"/>
      <c r="K255" s="36"/>
    </row>
    <row r="256" ht="22.5" customHeight="1">
      <c r="I256" s="36"/>
      <c r="K256" s="36"/>
    </row>
    <row r="257" ht="22.5" customHeight="1">
      <c r="I257" s="36"/>
      <c r="K257" s="36"/>
    </row>
    <row r="258" ht="22.5" customHeight="1">
      <c r="I258" s="36"/>
      <c r="K258" s="36"/>
    </row>
    <row r="259" ht="22.5" customHeight="1">
      <c r="I259" s="36"/>
      <c r="K259" s="36"/>
    </row>
    <row r="260" ht="22.5" customHeight="1">
      <c r="I260" s="36"/>
      <c r="K260" s="36"/>
    </row>
    <row r="261" ht="22.5" customHeight="1">
      <c r="I261" s="36"/>
      <c r="K261" s="36"/>
    </row>
    <row r="262" ht="22.5" customHeight="1">
      <c r="I262" s="36"/>
      <c r="K262" s="36"/>
    </row>
    <row r="263" ht="22.5" customHeight="1">
      <c r="I263" s="36"/>
      <c r="K263" s="36"/>
    </row>
    <row r="264" ht="22.5" customHeight="1">
      <c r="I264" s="36"/>
      <c r="K264" s="36"/>
    </row>
    <row r="265" ht="22.5" customHeight="1">
      <c r="I265" s="36"/>
      <c r="K265" s="36"/>
    </row>
    <row r="266" ht="22.5" customHeight="1">
      <c r="I266" s="36"/>
      <c r="K266" s="36"/>
    </row>
    <row r="267" ht="22.5" customHeight="1">
      <c r="I267" s="36"/>
      <c r="K267" s="36"/>
    </row>
    <row r="268" ht="22.5" customHeight="1">
      <c r="I268" s="36"/>
      <c r="K268" s="36"/>
    </row>
    <row r="269" ht="22.5" customHeight="1">
      <c r="I269" s="36"/>
      <c r="K269" s="36"/>
    </row>
    <row r="270" ht="22.5" customHeight="1">
      <c r="I270" s="36"/>
      <c r="K270" s="36"/>
    </row>
    <row r="271" ht="22.5" customHeight="1">
      <c r="I271" s="36"/>
      <c r="K271" s="36"/>
    </row>
    <row r="272" ht="22.5" customHeight="1">
      <c r="I272" s="36"/>
      <c r="K272" s="36"/>
    </row>
    <row r="273" ht="22.5" customHeight="1">
      <c r="I273" s="36"/>
      <c r="K273" s="36"/>
    </row>
    <row r="274" ht="22.5" customHeight="1">
      <c r="I274" s="36"/>
      <c r="K274" s="36"/>
    </row>
    <row r="275" ht="22.5" customHeight="1">
      <c r="I275" s="36"/>
      <c r="K275" s="36"/>
    </row>
    <row r="276" ht="22.5" customHeight="1">
      <c r="I276" s="36"/>
      <c r="K276" s="36"/>
    </row>
    <row r="277" ht="22.5" customHeight="1">
      <c r="I277" s="36"/>
      <c r="K277" s="36"/>
    </row>
    <row r="278" ht="22.5" customHeight="1">
      <c r="I278" s="36"/>
      <c r="K278" s="36"/>
    </row>
    <row r="279" ht="22.5" customHeight="1">
      <c r="I279" s="36"/>
      <c r="K279" s="36"/>
    </row>
    <row r="280" ht="22.5" customHeight="1">
      <c r="I280" s="36"/>
      <c r="K280" s="36"/>
    </row>
    <row r="281" ht="22.5" customHeight="1">
      <c r="I281" s="36"/>
      <c r="K281" s="36"/>
    </row>
    <row r="282" ht="22.5" customHeight="1">
      <c r="I282" s="36"/>
      <c r="K282" s="36"/>
    </row>
    <row r="283" ht="22.5" customHeight="1">
      <c r="I283" s="36"/>
      <c r="K283" s="36"/>
    </row>
    <row r="284" ht="22.5" customHeight="1">
      <c r="I284" s="36"/>
      <c r="K284" s="36"/>
    </row>
    <row r="285" ht="22.5" customHeight="1">
      <c r="I285" s="36"/>
      <c r="K285" s="36"/>
    </row>
    <row r="286" ht="22.5" customHeight="1">
      <c r="I286" s="36"/>
      <c r="K286" s="36"/>
    </row>
    <row r="287" ht="22.5" customHeight="1">
      <c r="I287" s="36"/>
      <c r="K287" s="36"/>
    </row>
    <row r="288" ht="22.5" customHeight="1">
      <c r="I288" s="36"/>
      <c r="K288" s="36"/>
    </row>
    <row r="289" ht="22.5" customHeight="1">
      <c r="I289" s="36"/>
      <c r="K289" s="36"/>
    </row>
    <row r="290" ht="22.5" customHeight="1">
      <c r="I290" s="36"/>
      <c r="K290" s="36"/>
    </row>
    <row r="291" ht="22.5" customHeight="1">
      <c r="I291" s="36"/>
      <c r="K291" s="36"/>
    </row>
    <row r="292" ht="22.5" customHeight="1">
      <c r="I292" s="36"/>
      <c r="K292" s="36"/>
    </row>
    <row r="293" ht="22.5" customHeight="1">
      <c r="I293" s="36"/>
      <c r="K293" s="36"/>
    </row>
    <row r="294" ht="22.5" customHeight="1">
      <c r="I294" s="36"/>
      <c r="K294" s="36"/>
    </row>
    <row r="295" ht="22.5" customHeight="1">
      <c r="I295" s="36"/>
      <c r="K295" s="36"/>
    </row>
    <row r="296" ht="22.5" customHeight="1">
      <c r="I296" s="36"/>
      <c r="K296" s="36"/>
    </row>
    <row r="297" ht="22.5" customHeight="1">
      <c r="I297" s="36"/>
      <c r="K297" s="36"/>
    </row>
    <row r="298" ht="22.5" customHeight="1">
      <c r="I298" s="36"/>
      <c r="K298" s="36"/>
    </row>
    <row r="299" ht="22.5" customHeight="1">
      <c r="I299" s="36"/>
      <c r="K299" s="36"/>
    </row>
    <row r="300" ht="22.5" customHeight="1">
      <c r="I300" s="36"/>
      <c r="K300" s="36"/>
    </row>
    <row r="301" ht="22.5" customHeight="1">
      <c r="I301" s="36"/>
      <c r="K301" s="36"/>
    </row>
    <row r="302" ht="22.5" customHeight="1">
      <c r="I302" s="36"/>
      <c r="K302" s="36"/>
    </row>
    <row r="303" ht="22.5" customHeight="1">
      <c r="I303" s="36"/>
      <c r="K303" s="36"/>
    </row>
    <row r="304" ht="22.5" customHeight="1">
      <c r="I304" s="36"/>
      <c r="K304" s="36"/>
    </row>
    <row r="305" ht="22.5" customHeight="1">
      <c r="I305" s="36"/>
      <c r="K305" s="36"/>
    </row>
    <row r="306" ht="22.5" customHeight="1">
      <c r="I306" s="36"/>
      <c r="K306" s="36"/>
    </row>
    <row r="307" ht="22.5" customHeight="1">
      <c r="I307" s="36"/>
      <c r="K307" s="36"/>
    </row>
    <row r="308" ht="22.5" customHeight="1">
      <c r="I308" s="36"/>
      <c r="K308" s="36"/>
    </row>
    <row r="309" ht="22.5" customHeight="1">
      <c r="I309" s="36"/>
      <c r="K309" s="36"/>
    </row>
    <row r="310" ht="22.5" customHeight="1">
      <c r="I310" s="36"/>
      <c r="K310" s="36"/>
    </row>
    <row r="311" ht="22.5" customHeight="1">
      <c r="I311" s="36"/>
      <c r="K311" s="36"/>
    </row>
    <row r="312" ht="22.5" customHeight="1">
      <c r="I312" s="36"/>
      <c r="K312" s="36"/>
    </row>
    <row r="313" ht="22.5" customHeight="1">
      <c r="I313" s="36"/>
      <c r="K313" s="36"/>
    </row>
    <row r="314" ht="22.5" customHeight="1">
      <c r="I314" s="36"/>
      <c r="K314" s="36"/>
    </row>
    <row r="315" ht="22.5" customHeight="1">
      <c r="I315" s="36"/>
      <c r="K315" s="36"/>
    </row>
    <row r="316" ht="22.5" customHeight="1">
      <c r="I316" s="36"/>
      <c r="K316" s="36"/>
    </row>
    <row r="317" ht="22.5" customHeight="1">
      <c r="I317" s="36"/>
      <c r="K317" s="36"/>
    </row>
    <row r="318" ht="22.5" customHeight="1">
      <c r="I318" s="36"/>
      <c r="K318" s="36"/>
    </row>
    <row r="319" ht="22.5" customHeight="1">
      <c r="I319" s="36"/>
      <c r="K319" s="36"/>
    </row>
    <row r="320" ht="22.5" customHeight="1">
      <c r="I320" s="36"/>
      <c r="K320" s="36"/>
    </row>
    <row r="321" ht="22.5" customHeight="1">
      <c r="I321" s="36"/>
      <c r="K321" s="36"/>
    </row>
    <row r="322" ht="22.5" customHeight="1">
      <c r="I322" s="36"/>
      <c r="K322" s="36"/>
    </row>
    <row r="323" ht="22.5" customHeight="1">
      <c r="I323" s="36"/>
      <c r="K323" s="36"/>
    </row>
    <row r="324" ht="22.5" customHeight="1">
      <c r="I324" s="36"/>
      <c r="K324" s="36"/>
    </row>
    <row r="325" ht="22.5" customHeight="1">
      <c r="I325" s="36"/>
      <c r="K325" s="36"/>
    </row>
    <row r="326" ht="22.5" customHeight="1">
      <c r="I326" s="36"/>
      <c r="K326" s="36"/>
    </row>
    <row r="327" ht="22.5" customHeight="1">
      <c r="I327" s="36"/>
      <c r="K327" s="36"/>
    </row>
    <row r="328" ht="22.5" customHeight="1">
      <c r="I328" s="36"/>
      <c r="K328" s="36"/>
    </row>
    <row r="329" ht="22.5" customHeight="1">
      <c r="I329" s="36"/>
      <c r="K329" s="36"/>
    </row>
    <row r="330" ht="22.5" customHeight="1">
      <c r="I330" s="36"/>
      <c r="K330" s="36"/>
    </row>
    <row r="331" ht="22.5" customHeight="1">
      <c r="I331" s="36"/>
      <c r="K331" s="36"/>
    </row>
    <row r="332" ht="22.5" customHeight="1">
      <c r="I332" s="36"/>
      <c r="K332" s="36"/>
    </row>
    <row r="333" ht="22.5" customHeight="1">
      <c r="I333" s="36"/>
      <c r="K333" s="36"/>
    </row>
    <row r="334" ht="22.5" customHeight="1">
      <c r="I334" s="36"/>
      <c r="K334" s="36"/>
    </row>
    <row r="335" ht="22.5" customHeight="1">
      <c r="I335" s="36"/>
      <c r="K335" s="36"/>
    </row>
    <row r="336" ht="22.5" customHeight="1">
      <c r="I336" s="36"/>
      <c r="K336" s="36"/>
    </row>
    <row r="337" ht="22.5" customHeight="1">
      <c r="I337" s="36"/>
      <c r="K337" s="36"/>
    </row>
    <row r="338" ht="22.5" customHeight="1">
      <c r="I338" s="36"/>
      <c r="K338" s="36"/>
    </row>
    <row r="339" ht="22.5" customHeight="1">
      <c r="I339" s="36"/>
      <c r="K339" s="36"/>
    </row>
    <row r="340" ht="22.5" customHeight="1">
      <c r="I340" s="36"/>
      <c r="K340" s="36"/>
    </row>
    <row r="341" ht="22.5" customHeight="1">
      <c r="I341" s="36"/>
      <c r="K341" s="36"/>
    </row>
    <row r="342" ht="22.5" customHeight="1">
      <c r="I342" s="36"/>
      <c r="K342" s="36"/>
    </row>
    <row r="343" ht="22.5" customHeight="1">
      <c r="I343" s="36"/>
      <c r="K343" s="36"/>
    </row>
    <row r="344" ht="22.5" customHeight="1">
      <c r="I344" s="36"/>
      <c r="K344" s="36"/>
    </row>
    <row r="345" ht="22.5" customHeight="1">
      <c r="I345" s="36"/>
      <c r="K345" s="36"/>
    </row>
    <row r="346" ht="22.5" customHeight="1">
      <c r="I346" s="36"/>
      <c r="K346" s="36"/>
    </row>
    <row r="347" ht="22.5" customHeight="1">
      <c r="I347" s="36"/>
      <c r="K347" s="36"/>
    </row>
    <row r="348" ht="22.5" customHeight="1">
      <c r="I348" s="36"/>
      <c r="K348" s="36"/>
    </row>
    <row r="349" ht="22.5" customHeight="1">
      <c r="I349" s="36"/>
      <c r="K349" s="36"/>
    </row>
    <row r="350" ht="22.5" customHeight="1">
      <c r="I350" s="36"/>
      <c r="K350" s="36"/>
    </row>
    <row r="351" ht="22.5" customHeight="1">
      <c r="I351" s="36"/>
      <c r="K351" s="36"/>
    </row>
    <row r="352" ht="22.5" customHeight="1">
      <c r="I352" s="36"/>
      <c r="K352" s="36"/>
    </row>
    <row r="353" ht="22.5" customHeight="1">
      <c r="I353" s="36"/>
      <c r="K353" s="36"/>
    </row>
    <row r="354" ht="22.5" customHeight="1">
      <c r="I354" s="36"/>
      <c r="K354" s="36"/>
    </row>
    <row r="355" ht="22.5" customHeight="1">
      <c r="I355" s="36"/>
      <c r="K355" s="36"/>
    </row>
    <row r="356" ht="22.5" customHeight="1">
      <c r="I356" s="36"/>
      <c r="K356" s="36"/>
    </row>
    <row r="357" ht="22.5" customHeight="1">
      <c r="I357" s="36"/>
      <c r="K357" s="36"/>
    </row>
    <row r="358" ht="22.5" customHeight="1">
      <c r="I358" s="36"/>
      <c r="K358" s="36"/>
    </row>
    <row r="359" ht="22.5" customHeight="1">
      <c r="I359" s="36"/>
      <c r="K359" s="36"/>
    </row>
    <row r="360" ht="22.5" customHeight="1">
      <c r="I360" s="36"/>
      <c r="K360" s="36"/>
    </row>
    <row r="361" ht="22.5" customHeight="1">
      <c r="I361" s="36"/>
      <c r="K361" s="36"/>
    </row>
    <row r="362" ht="22.5" customHeight="1">
      <c r="I362" s="36"/>
      <c r="K362" s="36"/>
    </row>
    <row r="363" ht="22.5" customHeight="1">
      <c r="I363" s="36"/>
      <c r="K363" s="36"/>
    </row>
    <row r="364" ht="22.5" customHeight="1">
      <c r="I364" s="36"/>
      <c r="K364" s="36"/>
    </row>
    <row r="365" ht="22.5" customHeight="1">
      <c r="I365" s="36"/>
      <c r="K365" s="36"/>
    </row>
    <row r="366" ht="22.5" customHeight="1">
      <c r="I366" s="36"/>
      <c r="K366" s="36"/>
    </row>
    <row r="367" ht="22.5" customHeight="1">
      <c r="I367" s="36"/>
      <c r="K367" s="36"/>
    </row>
    <row r="368" ht="22.5" customHeight="1">
      <c r="I368" s="36"/>
      <c r="K368" s="36"/>
    </row>
    <row r="369" ht="22.5" customHeight="1">
      <c r="I369" s="36"/>
      <c r="K369" s="36"/>
    </row>
    <row r="370" ht="22.5" customHeight="1">
      <c r="I370" s="36"/>
      <c r="K370" s="36"/>
    </row>
    <row r="371" ht="22.5" customHeight="1">
      <c r="I371" s="36"/>
      <c r="K371" s="36"/>
    </row>
    <row r="372" ht="22.5" customHeight="1">
      <c r="I372" s="36"/>
      <c r="K372" s="36"/>
    </row>
    <row r="373" ht="22.5" customHeight="1">
      <c r="I373" s="36"/>
      <c r="K373" s="36"/>
    </row>
    <row r="374" ht="22.5" customHeight="1">
      <c r="I374" s="36"/>
      <c r="K374" s="36"/>
    </row>
    <row r="375" ht="22.5" customHeight="1">
      <c r="I375" s="36"/>
      <c r="K375" s="36"/>
    </row>
    <row r="376" ht="22.5" customHeight="1">
      <c r="I376" s="36"/>
      <c r="K376" s="36"/>
    </row>
    <row r="377" ht="22.5" customHeight="1">
      <c r="I377" s="36"/>
      <c r="K377" s="36"/>
    </row>
    <row r="378" ht="22.5" customHeight="1">
      <c r="I378" s="36"/>
      <c r="K378" s="36"/>
    </row>
    <row r="379" ht="22.5" customHeight="1">
      <c r="I379" s="36"/>
      <c r="K379" s="36"/>
    </row>
    <row r="380" ht="22.5" customHeight="1">
      <c r="I380" s="36"/>
      <c r="K380" s="36"/>
    </row>
    <row r="381" ht="22.5" customHeight="1">
      <c r="I381" s="36"/>
      <c r="K381" s="36"/>
    </row>
    <row r="382" ht="22.5" customHeight="1">
      <c r="I382" s="36"/>
      <c r="K382" s="36"/>
    </row>
    <row r="383" ht="22.5" customHeight="1">
      <c r="I383" s="36"/>
      <c r="K383" s="36"/>
    </row>
    <row r="384" ht="22.5" customHeight="1">
      <c r="I384" s="36"/>
      <c r="K384" s="36"/>
    </row>
    <row r="385" ht="22.5" customHeight="1">
      <c r="I385" s="36"/>
      <c r="K385" s="36"/>
    </row>
    <row r="386" ht="22.5" customHeight="1">
      <c r="I386" s="36"/>
      <c r="K386" s="36"/>
    </row>
    <row r="387" ht="22.5" customHeight="1">
      <c r="I387" s="36"/>
      <c r="K387" s="36"/>
    </row>
    <row r="388" ht="22.5" customHeight="1">
      <c r="I388" s="36"/>
      <c r="K388" s="36"/>
    </row>
    <row r="389" ht="22.5" customHeight="1">
      <c r="I389" s="36"/>
      <c r="K389" s="36"/>
    </row>
    <row r="390" ht="22.5" customHeight="1">
      <c r="I390" s="36"/>
      <c r="K390" s="36"/>
    </row>
    <row r="391" ht="22.5" customHeight="1">
      <c r="I391" s="36"/>
      <c r="K391" s="36"/>
    </row>
    <row r="392" ht="22.5" customHeight="1">
      <c r="I392" s="36"/>
      <c r="K392" s="36"/>
    </row>
    <row r="393" ht="22.5" customHeight="1">
      <c r="I393" s="36"/>
      <c r="K393" s="36"/>
    </row>
    <row r="394" ht="22.5" customHeight="1">
      <c r="I394" s="36"/>
      <c r="K394" s="36"/>
    </row>
    <row r="395" ht="22.5" customHeight="1">
      <c r="I395" s="36"/>
      <c r="K395" s="36"/>
    </row>
    <row r="396" ht="22.5" customHeight="1">
      <c r="I396" s="36"/>
      <c r="K396" s="36"/>
    </row>
    <row r="397" ht="22.5" customHeight="1">
      <c r="I397" s="36"/>
      <c r="K397" s="36"/>
    </row>
    <row r="398" ht="22.5" customHeight="1">
      <c r="I398" s="36"/>
      <c r="K398" s="36"/>
    </row>
    <row r="399" ht="22.5" customHeight="1">
      <c r="I399" s="36"/>
      <c r="K399" s="36"/>
    </row>
    <row r="400" ht="22.5" customHeight="1">
      <c r="I400" s="36"/>
      <c r="K400" s="36"/>
    </row>
    <row r="401" ht="22.5" customHeight="1">
      <c r="I401" s="36"/>
      <c r="K401" s="36"/>
    </row>
    <row r="402" ht="22.5" customHeight="1">
      <c r="I402" s="36"/>
      <c r="K402" s="36"/>
    </row>
    <row r="403" ht="22.5" customHeight="1">
      <c r="I403" s="36"/>
      <c r="K403" s="36"/>
    </row>
    <row r="404" ht="22.5" customHeight="1">
      <c r="I404" s="36"/>
      <c r="K404" s="36"/>
    </row>
    <row r="405" ht="22.5" customHeight="1">
      <c r="I405" s="36"/>
      <c r="K405" s="36"/>
    </row>
    <row r="406" ht="22.5" customHeight="1">
      <c r="I406" s="36"/>
      <c r="K406" s="36"/>
    </row>
    <row r="407" ht="22.5" customHeight="1">
      <c r="I407" s="36"/>
      <c r="K407" s="36"/>
    </row>
    <row r="408" ht="22.5" customHeight="1">
      <c r="I408" s="36"/>
      <c r="K408" s="36"/>
    </row>
    <row r="409" ht="22.5" customHeight="1">
      <c r="I409" s="36"/>
      <c r="K409" s="36"/>
    </row>
    <row r="410" ht="22.5" customHeight="1">
      <c r="I410" s="36"/>
      <c r="K410" s="36"/>
    </row>
    <row r="411" ht="22.5" customHeight="1">
      <c r="I411" s="36"/>
      <c r="K411" s="36"/>
    </row>
    <row r="412" ht="22.5" customHeight="1">
      <c r="I412" s="36"/>
      <c r="K412" s="36"/>
    </row>
    <row r="413" ht="22.5" customHeight="1">
      <c r="I413" s="36"/>
      <c r="K413" s="36"/>
    </row>
    <row r="414" ht="22.5" customHeight="1">
      <c r="I414" s="36"/>
      <c r="K414" s="36"/>
    </row>
    <row r="415" ht="22.5" customHeight="1">
      <c r="I415" s="36"/>
      <c r="K415" s="36"/>
    </row>
    <row r="416" ht="22.5" customHeight="1">
      <c r="I416" s="36"/>
      <c r="K416" s="36"/>
    </row>
    <row r="417" ht="22.5" customHeight="1">
      <c r="I417" s="36"/>
      <c r="K417" s="36"/>
    </row>
    <row r="418" ht="22.5" customHeight="1">
      <c r="I418" s="36"/>
      <c r="K418" s="36"/>
    </row>
    <row r="419" ht="22.5" customHeight="1">
      <c r="I419" s="36"/>
      <c r="K419" s="36"/>
    </row>
    <row r="420" ht="22.5" customHeight="1">
      <c r="I420" s="36"/>
      <c r="K420" s="36"/>
    </row>
    <row r="421" ht="22.5" customHeight="1">
      <c r="I421" s="36"/>
      <c r="K421" s="36"/>
    </row>
    <row r="422" ht="22.5" customHeight="1">
      <c r="I422" s="36"/>
      <c r="K422" s="36"/>
    </row>
    <row r="423" ht="22.5" customHeight="1">
      <c r="I423" s="36"/>
      <c r="K423" s="36"/>
    </row>
    <row r="424" ht="22.5" customHeight="1">
      <c r="I424" s="36"/>
      <c r="K424" s="36"/>
    </row>
    <row r="425" ht="22.5" customHeight="1">
      <c r="I425" s="36"/>
      <c r="K425" s="36"/>
    </row>
    <row r="426" ht="22.5" customHeight="1">
      <c r="I426" s="36"/>
      <c r="K426" s="36"/>
    </row>
    <row r="427" ht="22.5" customHeight="1">
      <c r="I427" s="36"/>
      <c r="K427" s="36"/>
    </row>
    <row r="428" ht="22.5" customHeight="1">
      <c r="I428" s="36"/>
      <c r="K428" s="36"/>
    </row>
    <row r="429" ht="22.5" customHeight="1">
      <c r="I429" s="36"/>
      <c r="K429" s="36"/>
    </row>
    <row r="430" ht="22.5" customHeight="1">
      <c r="I430" s="36"/>
      <c r="K430" s="36"/>
    </row>
    <row r="431" ht="22.5" customHeight="1">
      <c r="I431" s="36"/>
      <c r="K431" s="36"/>
    </row>
    <row r="432" ht="22.5" customHeight="1">
      <c r="I432" s="36"/>
      <c r="K432" s="36"/>
    </row>
    <row r="433" ht="22.5" customHeight="1">
      <c r="I433" s="36"/>
      <c r="K433" s="36"/>
    </row>
    <row r="434" ht="22.5" customHeight="1">
      <c r="I434" s="36"/>
      <c r="K434" s="36"/>
    </row>
    <row r="435" ht="22.5" customHeight="1">
      <c r="I435" s="36"/>
      <c r="K435" s="36"/>
    </row>
    <row r="436" ht="22.5" customHeight="1">
      <c r="I436" s="36"/>
      <c r="K436" s="36"/>
    </row>
    <row r="437" ht="22.5" customHeight="1">
      <c r="I437" s="36"/>
      <c r="K437" s="36"/>
    </row>
    <row r="438" ht="22.5" customHeight="1">
      <c r="I438" s="36"/>
      <c r="K438" s="36"/>
    </row>
    <row r="439" ht="22.5" customHeight="1">
      <c r="I439" s="36"/>
      <c r="K439" s="36"/>
    </row>
    <row r="440" ht="22.5" customHeight="1">
      <c r="I440" s="36"/>
      <c r="K440" s="36"/>
    </row>
    <row r="441" ht="22.5" customHeight="1">
      <c r="I441" s="36"/>
      <c r="K441" s="36"/>
    </row>
    <row r="442" ht="22.5" customHeight="1">
      <c r="I442" s="36"/>
      <c r="K442" s="36"/>
    </row>
    <row r="443" ht="22.5" customHeight="1">
      <c r="I443" s="36"/>
      <c r="K443" s="36"/>
    </row>
    <row r="444" ht="22.5" customHeight="1">
      <c r="I444" s="36"/>
      <c r="K444" s="36"/>
    </row>
    <row r="445" ht="22.5" customHeight="1">
      <c r="I445" s="36"/>
      <c r="K445" s="36"/>
    </row>
    <row r="446" ht="22.5" customHeight="1">
      <c r="I446" s="36"/>
      <c r="K446" s="36"/>
    </row>
    <row r="447" ht="22.5" customHeight="1">
      <c r="I447" s="36"/>
      <c r="K447" s="36"/>
    </row>
    <row r="448" ht="22.5" customHeight="1">
      <c r="I448" s="36"/>
      <c r="K448" s="36"/>
    </row>
    <row r="449" ht="22.5" customHeight="1">
      <c r="I449" s="36"/>
      <c r="K449" s="36"/>
    </row>
    <row r="450" ht="22.5" customHeight="1">
      <c r="I450" s="36"/>
      <c r="K450" s="36"/>
    </row>
    <row r="451" ht="22.5" customHeight="1">
      <c r="I451" s="36"/>
      <c r="K451" s="36"/>
    </row>
    <row r="452" ht="22.5" customHeight="1">
      <c r="I452" s="36"/>
      <c r="K452" s="36"/>
    </row>
    <row r="453" ht="22.5" customHeight="1">
      <c r="I453" s="36"/>
      <c r="K453" s="36"/>
    </row>
    <row r="454" ht="22.5" customHeight="1">
      <c r="I454" s="36"/>
      <c r="K454" s="36"/>
    </row>
    <row r="455" ht="22.5" customHeight="1">
      <c r="I455" s="36"/>
      <c r="K455" s="36"/>
    </row>
    <row r="456" ht="22.5" customHeight="1">
      <c r="I456" s="36"/>
      <c r="K456" s="36"/>
    </row>
    <row r="457" ht="22.5" customHeight="1">
      <c r="I457" s="36"/>
      <c r="K457" s="36"/>
    </row>
    <row r="458" ht="22.5" customHeight="1">
      <c r="I458" s="36"/>
      <c r="K458" s="36"/>
    </row>
    <row r="459" ht="22.5" customHeight="1">
      <c r="I459" s="36"/>
      <c r="K459" s="36"/>
    </row>
    <row r="460" ht="22.5" customHeight="1">
      <c r="I460" s="36"/>
      <c r="K460" s="36"/>
    </row>
    <row r="461" ht="22.5" customHeight="1">
      <c r="I461" s="36"/>
      <c r="K461" s="36"/>
    </row>
    <row r="462" ht="22.5" customHeight="1">
      <c r="I462" s="36"/>
      <c r="K462" s="36"/>
    </row>
    <row r="463" ht="22.5" customHeight="1">
      <c r="I463" s="36"/>
      <c r="K463" s="36"/>
    </row>
    <row r="464" ht="22.5" customHeight="1">
      <c r="I464" s="36"/>
      <c r="K464" s="36"/>
    </row>
    <row r="465" ht="22.5" customHeight="1">
      <c r="I465" s="36"/>
      <c r="K465" s="36"/>
    </row>
    <row r="466" ht="22.5" customHeight="1">
      <c r="I466" s="36"/>
      <c r="K466" s="36"/>
    </row>
    <row r="467" ht="22.5" customHeight="1">
      <c r="I467" s="36"/>
      <c r="K467" s="36"/>
    </row>
    <row r="468" ht="22.5" customHeight="1">
      <c r="I468" s="36"/>
      <c r="K468" s="36"/>
    </row>
    <row r="469" ht="22.5" customHeight="1">
      <c r="I469" s="36"/>
      <c r="K469" s="36"/>
    </row>
    <row r="470" ht="22.5" customHeight="1">
      <c r="I470" s="36"/>
      <c r="K470" s="36"/>
    </row>
    <row r="471" ht="22.5" customHeight="1">
      <c r="I471" s="36"/>
      <c r="K471" s="36"/>
    </row>
    <row r="472" ht="22.5" customHeight="1">
      <c r="I472" s="36"/>
      <c r="K472" s="36"/>
    </row>
    <row r="473" ht="22.5" customHeight="1">
      <c r="I473" s="36"/>
      <c r="K473" s="36"/>
    </row>
    <row r="474" ht="22.5" customHeight="1">
      <c r="I474" s="36"/>
      <c r="K474" s="36"/>
    </row>
    <row r="475" ht="22.5" customHeight="1">
      <c r="I475" s="36"/>
      <c r="K475" s="36"/>
    </row>
    <row r="476" ht="22.5" customHeight="1">
      <c r="I476" s="36"/>
      <c r="K476" s="36"/>
    </row>
    <row r="477" ht="22.5" customHeight="1">
      <c r="I477" s="36"/>
      <c r="K477" s="36"/>
    </row>
    <row r="478" ht="22.5" customHeight="1">
      <c r="I478" s="36"/>
      <c r="K478" s="36"/>
    </row>
    <row r="479" ht="22.5" customHeight="1">
      <c r="I479" s="36"/>
      <c r="K479" s="36"/>
    </row>
    <row r="480" ht="22.5" customHeight="1">
      <c r="I480" s="36"/>
      <c r="K480" s="36"/>
    </row>
    <row r="481" ht="22.5" customHeight="1">
      <c r="I481" s="36"/>
      <c r="K481" s="36"/>
    </row>
    <row r="482" ht="22.5" customHeight="1">
      <c r="I482" s="36"/>
      <c r="K482" s="36"/>
    </row>
    <row r="483" ht="22.5" customHeight="1">
      <c r="I483" s="36"/>
      <c r="K483" s="36"/>
    </row>
    <row r="484" ht="22.5" customHeight="1">
      <c r="I484" s="36"/>
      <c r="K484" s="36"/>
    </row>
    <row r="485" ht="22.5" customHeight="1">
      <c r="I485" s="36"/>
      <c r="K485" s="36"/>
    </row>
    <row r="486" ht="22.5" customHeight="1">
      <c r="I486" s="36"/>
      <c r="K486" s="36"/>
    </row>
    <row r="487" ht="22.5" customHeight="1">
      <c r="I487" s="36"/>
      <c r="K487" s="36"/>
    </row>
    <row r="488" ht="22.5" customHeight="1">
      <c r="I488" s="36"/>
      <c r="K488" s="36"/>
    </row>
    <row r="489" ht="22.5" customHeight="1">
      <c r="I489" s="36"/>
      <c r="K489" s="36"/>
    </row>
    <row r="490" ht="22.5" customHeight="1">
      <c r="I490" s="36"/>
      <c r="K490" s="36"/>
    </row>
    <row r="491" ht="22.5" customHeight="1">
      <c r="I491" s="36"/>
      <c r="K491" s="36"/>
    </row>
    <row r="492" ht="22.5" customHeight="1">
      <c r="I492" s="36"/>
      <c r="K492" s="36"/>
    </row>
    <row r="493" ht="22.5" customHeight="1">
      <c r="I493" s="36"/>
      <c r="K493" s="36"/>
    </row>
    <row r="494" ht="22.5" customHeight="1">
      <c r="I494" s="36"/>
      <c r="K494" s="36"/>
    </row>
    <row r="495" ht="22.5" customHeight="1">
      <c r="I495" s="36"/>
      <c r="K495" s="36"/>
    </row>
    <row r="496" ht="22.5" customHeight="1">
      <c r="I496" s="36"/>
      <c r="K496" s="36"/>
    </row>
    <row r="497" ht="22.5" customHeight="1">
      <c r="I497" s="36"/>
      <c r="K497" s="36"/>
    </row>
    <row r="498" ht="22.5" customHeight="1">
      <c r="I498" s="36"/>
      <c r="K498" s="36"/>
    </row>
    <row r="499" ht="22.5" customHeight="1">
      <c r="I499" s="36"/>
      <c r="K499" s="36"/>
    </row>
    <row r="500" ht="22.5" customHeight="1">
      <c r="I500" s="36"/>
      <c r="K500" s="36"/>
    </row>
    <row r="501" ht="22.5" customHeight="1">
      <c r="I501" s="36"/>
      <c r="K501" s="36"/>
    </row>
    <row r="502" ht="22.5" customHeight="1">
      <c r="I502" s="36"/>
      <c r="K502" s="36"/>
    </row>
    <row r="503" ht="22.5" customHeight="1">
      <c r="I503" s="36"/>
      <c r="K503" s="36"/>
    </row>
    <row r="504" ht="22.5" customHeight="1">
      <c r="I504" s="36"/>
      <c r="K504" s="36"/>
    </row>
    <row r="505" ht="22.5" customHeight="1">
      <c r="I505" s="36"/>
      <c r="K505" s="36"/>
    </row>
    <row r="506" ht="22.5" customHeight="1">
      <c r="I506" s="36"/>
      <c r="K506" s="36"/>
    </row>
    <row r="507" ht="22.5" customHeight="1">
      <c r="I507" s="36"/>
      <c r="K507" s="36"/>
    </row>
    <row r="508" ht="22.5" customHeight="1">
      <c r="I508" s="36"/>
      <c r="K508" s="36"/>
    </row>
    <row r="509" ht="22.5" customHeight="1">
      <c r="I509" s="36"/>
      <c r="K509" s="36"/>
    </row>
    <row r="510" ht="22.5" customHeight="1">
      <c r="I510" s="36"/>
      <c r="K510" s="36"/>
    </row>
    <row r="511" ht="22.5" customHeight="1">
      <c r="I511" s="36"/>
      <c r="K511" s="36"/>
    </row>
    <row r="512" ht="22.5" customHeight="1">
      <c r="I512" s="36"/>
      <c r="K512" s="36"/>
    </row>
    <row r="513" ht="22.5" customHeight="1">
      <c r="I513" s="36"/>
      <c r="K513" s="36"/>
    </row>
    <row r="514" ht="22.5" customHeight="1">
      <c r="I514" s="36"/>
      <c r="K514" s="36"/>
    </row>
    <row r="515" ht="22.5" customHeight="1">
      <c r="I515" s="36"/>
      <c r="K515" s="36"/>
    </row>
    <row r="516" ht="22.5" customHeight="1">
      <c r="I516" s="36"/>
      <c r="K516" s="36"/>
    </row>
    <row r="517" ht="22.5" customHeight="1">
      <c r="I517" s="36"/>
      <c r="K517" s="36"/>
    </row>
    <row r="518" ht="22.5" customHeight="1">
      <c r="I518" s="36"/>
      <c r="K518" s="36"/>
    </row>
    <row r="519" ht="22.5" customHeight="1">
      <c r="I519" s="36"/>
      <c r="K519" s="36"/>
    </row>
    <row r="520" ht="22.5" customHeight="1">
      <c r="I520" s="36"/>
      <c r="K520" s="36"/>
    </row>
    <row r="521" ht="22.5" customHeight="1">
      <c r="I521" s="36"/>
      <c r="K521" s="36"/>
    </row>
    <row r="522" ht="22.5" customHeight="1">
      <c r="I522" s="36"/>
      <c r="K522" s="36"/>
    </row>
    <row r="523" ht="22.5" customHeight="1">
      <c r="I523" s="36"/>
      <c r="K523" s="36"/>
    </row>
    <row r="524" ht="22.5" customHeight="1">
      <c r="I524" s="36"/>
      <c r="K524" s="36"/>
    </row>
    <row r="525" ht="22.5" customHeight="1">
      <c r="I525" s="36"/>
      <c r="K525" s="36"/>
    </row>
    <row r="526" ht="22.5" customHeight="1">
      <c r="I526" s="36"/>
      <c r="K526" s="36"/>
    </row>
    <row r="527" ht="22.5" customHeight="1">
      <c r="I527" s="36"/>
      <c r="K527" s="36"/>
    </row>
    <row r="528" ht="22.5" customHeight="1">
      <c r="I528" s="36"/>
      <c r="K528" s="36"/>
    </row>
    <row r="529" ht="22.5" customHeight="1">
      <c r="I529" s="36"/>
      <c r="K529" s="36"/>
    </row>
    <row r="530" ht="22.5" customHeight="1">
      <c r="I530" s="36"/>
      <c r="K530" s="36"/>
    </row>
    <row r="531" ht="22.5" customHeight="1">
      <c r="I531" s="36"/>
      <c r="K531" s="36"/>
    </row>
    <row r="532" ht="22.5" customHeight="1">
      <c r="I532" s="36"/>
      <c r="K532" s="36"/>
    </row>
    <row r="533" ht="22.5" customHeight="1">
      <c r="I533" s="36"/>
      <c r="K533" s="36"/>
    </row>
    <row r="534" ht="22.5" customHeight="1">
      <c r="I534" s="36"/>
      <c r="K534" s="36"/>
    </row>
    <row r="535" ht="22.5" customHeight="1">
      <c r="I535" s="36"/>
      <c r="K535" s="36"/>
    </row>
    <row r="536" ht="22.5" customHeight="1">
      <c r="I536" s="36"/>
      <c r="K536" s="36"/>
    </row>
    <row r="537" ht="22.5" customHeight="1">
      <c r="I537" s="36"/>
      <c r="K537" s="36"/>
    </row>
    <row r="538" ht="22.5" customHeight="1">
      <c r="I538" s="36"/>
      <c r="K538" s="36"/>
    </row>
    <row r="539" ht="22.5" customHeight="1">
      <c r="I539" s="36"/>
      <c r="K539" s="36"/>
    </row>
    <row r="540" ht="22.5" customHeight="1">
      <c r="I540" s="36"/>
      <c r="K540" s="36"/>
    </row>
    <row r="541" ht="22.5" customHeight="1">
      <c r="I541" s="36"/>
      <c r="K541" s="36"/>
    </row>
    <row r="542" ht="22.5" customHeight="1">
      <c r="I542" s="36"/>
      <c r="K542" s="36"/>
    </row>
    <row r="543" ht="22.5" customHeight="1">
      <c r="I543" s="36"/>
      <c r="K543" s="36"/>
    </row>
    <row r="544" ht="22.5" customHeight="1">
      <c r="I544" s="36"/>
      <c r="K544" s="36"/>
    </row>
    <row r="545" ht="22.5" customHeight="1">
      <c r="I545" s="36"/>
      <c r="K545" s="36"/>
    </row>
    <row r="546" ht="22.5" customHeight="1">
      <c r="I546" s="36"/>
      <c r="K546" s="36"/>
    </row>
    <row r="547" ht="22.5" customHeight="1">
      <c r="I547" s="36"/>
      <c r="K547" s="36"/>
    </row>
    <row r="548" ht="22.5" customHeight="1">
      <c r="I548" s="36"/>
      <c r="K548" s="36"/>
    </row>
    <row r="549" ht="22.5" customHeight="1">
      <c r="I549" s="36"/>
      <c r="K549" s="36"/>
    </row>
    <row r="550" ht="22.5" customHeight="1">
      <c r="I550" s="36"/>
      <c r="K550" s="36"/>
    </row>
    <row r="551" ht="22.5" customHeight="1">
      <c r="I551" s="36"/>
      <c r="K551" s="36"/>
    </row>
    <row r="552" ht="22.5" customHeight="1">
      <c r="I552" s="36"/>
      <c r="K552" s="36"/>
    </row>
    <row r="553" ht="22.5" customHeight="1">
      <c r="I553" s="36"/>
      <c r="K553" s="36"/>
    </row>
    <row r="554" ht="22.5" customHeight="1">
      <c r="I554" s="36"/>
      <c r="K554" s="36"/>
    </row>
    <row r="555" ht="22.5" customHeight="1">
      <c r="I555" s="36"/>
      <c r="K555" s="36"/>
    </row>
    <row r="556" ht="22.5" customHeight="1">
      <c r="I556" s="36"/>
      <c r="K556" s="36"/>
    </row>
    <row r="557" ht="22.5" customHeight="1">
      <c r="I557" s="36"/>
      <c r="K557" s="36"/>
    </row>
    <row r="558" ht="22.5" customHeight="1">
      <c r="I558" s="36"/>
      <c r="K558" s="36"/>
    </row>
    <row r="559" ht="22.5" customHeight="1">
      <c r="I559" s="36"/>
      <c r="K559" s="36"/>
    </row>
    <row r="560" ht="22.5" customHeight="1">
      <c r="I560" s="36"/>
      <c r="K560" s="36"/>
    </row>
    <row r="561" ht="22.5" customHeight="1">
      <c r="I561" s="36"/>
      <c r="K561" s="36"/>
    </row>
    <row r="562" ht="22.5" customHeight="1">
      <c r="I562" s="36"/>
      <c r="K562" s="36"/>
    </row>
    <row r="563" ht="22.5" customHeight="1">
      <c r="I563" s="36"/>
      <c r="K563" s="36"/>
    </row>
    <row r="564" ht="22.5" customHeight="1">
      <c r="I564" s="36"/>
      <c r="K564" s="36"/>
    </row>
    <row r="565" ht="22.5" customHeight="1">
      <c r="I565" s="36"/>
      <c r="K565" s="36"/>
    </row>
    <row r="566" ht="22.5" customHeight="1">
      <c r="I566" s="36"/>
      <c r="K566" s="36"/>
    </row>
    <row r="567" ht="22.5" customHeight="1">
      <c r="I567" s="36"/>
      <c r="K567" s="36"/>
    </row>
    <row r="568" ht="22.5" customHeight="1">
      <c r="I568" s="36"/>
      <c r="K568" s="36"/>
    </row>
    <row r="569" ht="22.5" customHeight="1">
      <c r="I569" s="36"/>
      <c r="K569" s="36"/>
    </row>
    <row r="570" ht="22.5" customHeight="1">
      <c r="I570" s="36"/>
      <c r="K570" s="36"/>
    </row>
    <row r="571" ht="22.5" customHeight="1">
      <c r="I571" s="36"/>
      <c r="K571" s="36"/>
    </row>
    <row r="572" ht="22.5" customHeight="1">
      <c r="I572" s="36"/>
      <c r="K572" s="36"/>
    </row>
    <row r="573" ht="22.5" customHeight="1">
      <c r="I573" s="36"/>
      <c r="K573" s="36"/>
    </row>
    <row r="574" ht="22.5" customHeight="1">
      <c r="I574" s="36"/>
      <c r="K574" s="36"/>
    </row>
    <row r="575" ht="22.5" customHeight="1">
      <c r="I575" s="36"/>
      <c r="K575" s="36"/>
    </row>
    <row r="576" ht="22.5" customHeight="1">
      <c r="I576" s="36"/>
      <c r="K576" s="36"/>
    </row>
    <row r="577" ht="22.5" customHeight="1">
      <c r="I577" s="36"/>
      <c r="K577" s="36"/>
    </row>
    <row r="578" ht="22.5" customHeight="1">
      <c r="I578" s="36"/>
      <c r="K578" s="36"/>
    </row>
    <row r="579" ht="22.5" customHeight="1">
      <c r="I579" s="36"/>
      <c r="K579" s="36"/>
    </row>
    <row r="580" ht="22.5" customHeight="1">
      <c r="I580" s="36"/>
      <c r="K580" s="36"/>
    </row>
    <row r="581" ht="22.5" customHeight="1">
      <c r="I581" s="36"/>
      <c r="K581" s="36"/>
    </row>
    <row r="582" ht="22.5" customHeight="1">
      <c r="I582" s="36"/>
      <c r="K582" s="36"/>
    </row>
    <row r="583" ht="22.5" customHeight="1">
      <c r="I583" s="36"/>
      <c r="K583" s="36"/>
    </row>
    <row r="584" ht="22.5" customHeight="1">
      <c r="I584" s="36"/>
      <c r="K584" s="36"/>
    </row>
    <row r="585" ht="22.5" customHeight="1">
      <c r="I585" s="36"/>
      <c r="K585" s="36"/>
    </row>
    <row r="586" ht="22.5" customHeight="1">
      <c r="I586" s="36"/>
      <c r="K586" s="36"/>
    </row>
    <row r="587" ht="22.5" customHeight="1">
      <c r="I587" s="36"/>
      <c r="K587" s="36"/>
    </row>
    <row r="588" ht="22.5" customHeight="1">
      <c r="I588" s="36"/>
      <c r="K588" s="36"/>
    </row>
    <row r="589" ht="22.5" customHeight="1">
      <c r="I589" s="36"/>
      <c r="K589" s="36"/>
    </row>
    <row r="590" ht="22.5" customHeight="1">
      <c r="I590" s="36"/>
      <c r="K590" s="36"/>
    </row>
    <row r="591" ht="22.5" customHeight="1">
      <c r="I591" s="36"/>
      <c r="K591" s="36"/>
    </row>
    <row r="592" ht="22.5" customHeight="1">
      <c r="I592" s="36"/>
      <c r="K592" s="36"/>
    </row>
    <row r="593" ht="22.5" customHeight="1">
      <c r="I593" s="36"/>
      <c r="K593" s="36"/>
    </row>
    <row r="594" ht="22.5" customHeight="1">
      <c r="I594" s="36"/>
      <c r="K594" s="36"/>
    </row>
    <row r="595" ht="22.5" customHeight="1">
      <c r="I595" s="36"/>
      <c r="K595" s="36"/>
    </row>
    <row r="596" ht="22.5" customHeight="1">
      <c r="I596" s="36"/>
      <c r="K596" s="36"/>
    </row>
    <row r="597" ht="22.5" customHeight="1">
      <c r="I597" s="36"/>
      <c r="K597" s="36"/>
    </row>
    <row r="598" ht="22.5" customHeight="1">
      <c r="I598" s="36"/>
      <c r="K598" s="36"/>
    </row>
    <row r="599" ht="22.5" customHeight="1">
      <c r="I599" s="36"/>
      <c r="K599" s="36"/>
    </row>
    <row r="600" ht="22.5" customHeight="1">
      <c r="I600" s="36"/>
      <c r="K600" s="36"/>
    </row>
    <row r="601" ht="22.5" customHeight="1">
      <c r="I601" s="36"/>
      <c r="K601" s="36"/>
    </row>
    <row r="602" ht="22.5" customHeight="1">
      <c r="I602" s="36"/>
      <c r="K602" s="36"/>
    </row>
    <row r="603" ht="22.5" customHeight="1">
      <c r="I603" s="36"/>
      <c r="K603" s="36"/>
    </row>
    <row r="604" ht="22.5" customHeight="1">
      <c r="I604" s="36"/>
      <c r="K604" s="36"/>
    </row>
    <row r="605" ht="22.5" customHeight="1">
      <c r="I605" s="36"/>
      <c r="K605" s="36"/>
    </row>
    <row r="606" ht="22.5" customHeight="1">
      <c r="I606" s="36"/>
      <c r="K606" s="36"/>
    </row>
    <row r="607" ht="22.5" customHeight="1">
      <c r="I607" s="36"/>
      <c r="K607" s="36"/>
    </row>
    <row r="608" ht="22.5" customHeight="1">
      <c r="I608" s="36"/>
      <c r="K608" s="36"/>
    </row>
    <row r="609" ht="22.5" customHeight="1">
      <c r="I609" s="36"/>
      <c r="K609" s="36"/>
    </row>
    <row r="610" ht="22.5" customHeight="1">
      <c r="I610" s="36"/>
      <c r="K610" s="36"/>
    </row>
    <row r="611" ht="22.5" customHeight="1">
      <c r="I611" s="36"/>
      <c r="K611" s="36"/>
    </row>
    <row r="612" ht="22.5" customHeight="1">
      <c r="I612" s="36"/>
      <c r="K612" s="36"/>
    </row>
    <row r="613" ht="22.5" customHeight="1">
      <c r="I613" s="36"/>
      <c r="K613" s="36"/>
    </row>
    <row r="614" ht="22.5" customHeight="1">
      <c r="I614" s="36"/>
      <c r="K614" s="36"/>
    </row>
    <row r="615" ht="22.5" customHeight="1">
      <c r="I615" s="36"/>
      <c r="K615" s="36"/>
    </row>
    <row r="616" ht="22.5" customHeight="1">
      <c r="I616" s="36"/>
      <c r="K616" s="36"/>
    </row>
    <row r="617" ht="22.5" customHeight="1">
      <c r="I617" s="36"/>
      <c r="K617" s="36"/>
    </row>
    <row r="618" ht="22.5" customHeight="1">
      <c r="I618" s="36"/>
      <c r="K618" s="36"/>
    </row>
    <row r="619" ht="22.5" customHeight="1">
      <c r="I619" s="36"/>
      <c r="K619" s="36"/>
    </row>
    <row r="620" ht="22.5" customHeight="1">
      <c r="I620" s="36"/>
      <c r="K620" s="36"/>
    </row>
    <row r="621" ht="22.5" customHeight="1">
      <c r="I621" s="36"/>
      <c r="K621" s="36"/>
    </row>
    <row r="622" ht="22.5" customHeight="1">
      <c r="I622" s="36"/>
      <c r="K622" s="36"/>
    </row>
    <row r="623" ht="22.5" customHeight="1">
      <c r="I623" s="36"/>
      <c r="K623" s="36"/>
    </row>
    <row r="624" ht="22.5" customHeight="1">
      <c r="I624" s="36"/>
      <c r="K624" s="36"/>
    </row>
    <row r="625" ht="22.5" customHeight="1">
      <c r="I625" s="36"/>
      <c r="K625" s="36"/>
    </row>
    <row r="626" ht="22.5" customHeight="1">
      <c r="I626" s="36"/>
      <c r="K626" s="36"/>
    </row>
    <row r="627" ht="22.5" customHeight="1">
      <c r="I627" s="36"/>
      <c r="K627" s="36"/>
    </row>
    <row r="628" ht="22.5" customHeight="1">
      <c r="I628" s="36"/>
      <c r="K628" s="36"/>
    </row>
    <row r="629" ht="22.5" customHeight="1">
      <c r="I629" s="36"/>
      <c r="K629" s="36"/>
    </row>
    <row r="630" ht="22.5" customHeight="1">
      <c r="I630" s="36"/>
      <c r="K630" s="36"/>
    </row>
    <row r="631" ht="22.5" customHeight="1">
      <c r="I631" s="36"/>
      <c r="K631" s="36"/>
    </row>
    <row r="632" ht="22.5" customHeight="1">
      <c r="I632" s="36"/>
      <c r="K632" s="36"/>
    </row>
    <row r="633" ht="22.5" customHeight="1">
      <c r="I633" s="36"/>
      <c r="K633" s="36"/>
    </row>
    <row r="634" ht="22.5" customHeight="1">
      <c r="I634" s="36"/>
      <c r="K634" s="36"/>
    </row>
    <row r="635" ht="22.5" customHeight="1">
      <c r="I635" s="36"/>
      <c r="K635" s="36"/>
    </row>
    <row r="636" ht="22.5" customHeight="1">
      <c r="I636" s="36"/>
      <c r="K636" s="36"/>
    </row>
    <row r="637" ht="22.5" customHeight="1">
      <c r="I637" s="36"/>
      <c r="K637" s="36"/>
    </row>
    <row r="638" ht="22.5" customHeight="1">
      <c r="I638" s="36"/>
      <c r="K638" s="36"/>
    </row>
    <row r="639" ht="22.5" customHeight="1">
      <c r="I639" s="36"/>
      <c r="K639" s="36"/>
    </row>
    <row r="640" ht="22.5" customHeight="1">
      <c r="I640" s="36"/>
      <c r="K640" s="36"/>
    </row>
    <row r="641" ht="22.5" customHeight="1">
      <c r="I641" s="36"/>
      <c r="K641" s="36"/>
    </row>
    <row r="642" ht="22.5" customHeight="1">
      <c r="I642" s="36"/>
      <c r="K642" s="36"/>
    </row>
    <row r="643" ht="22.5" customHeight="1">
      <c r="I643" s="36"/>
      <c r="K643" s="36"/>
    </row>
    <row r="644" ht="22.5" customHeight="1">
      <c r="I644" s="36"/>
      <c r="K644" s="36"/>
    </row>
    <row r="645" ht="22.5" customHeight="1">
      <c r="I645" s="36"/>
      <c r="K645" s="36"/>
    </row>
    <row r="646" ht="22.5" customHeight="1">
      <c r="I646" s="36"/>
      <c r="K646" s="36"/>
    </row>
    <row r="647" ht="22.5" customHeight="1">
      <c r="I647" s="36"/>
      <c r="K647" s="36"/>
    </row>
    <row r="648" ht="22.5" customHeight="1">
      <c r="I648" s="36"/>
      <c r="K648" s="36"/>
    </row>
    <row r="649" ht="22.5" customHeight="1">
      <c r="I649" s="36"/>
      <c r="K649" s="36"/>
    </row>
    <row r="650" ht="22.5" customHeight="1">
      <c r="I650" s="36"/>
      <c r="K650" s="36"/>
    </row>
    <row r="651" ht="22.5" customHeight="1">
      <c r="I651" s="36"/>
      <c r="K651" s="36"/>
    </row>
    <row r="652" ht="22.5" customHeight="1">
      <c r="I652" s="36"/>
      <c r="K652" s="36"/>
    </row>
    <row r="653" ht="22.5" customHeight="1">
      <c r="I653" s="36"/>
      <c r="K653" s="36"/>
    </row>
    <row r="654" ht="22.5" customHeight="1">
      <c r="I654" s="36"/>
      <c r="K654" s="36"/>
    </row>
    <row r="655" ht="22.5" customHeight="1">
      <c r="I655" s="36"/>
      <c r="K655" s="36"/>
    </row>
    <row r="656" ht="22.5" customHeight="1">
      <c r="I656" s="36"/>
      <c r="K656" s="36"/>
    </row>
    <row r="657" ht="22.5" customHeight="1">
      <c r="I657" s="36"/>
      <c r="K657" s="36"/>
    </row>
    <row r="658" ht="22.5" customHeight="1">
      <c r="I658" s="36"/>
      <c r="K658" s="36"/>
    </row>
    <row r="659" ht="22.5" customHeight="1">
      <c r="I659" s="36"/>
      <c r="K659" s="36"/>
    </row>
    <row r="660" ht="22.5" customHeight="1">
      <c r="I660" s="36"/>
      <c r="K660" s="36"/>
    </row>
    <row r="661" ht="22.5" customHeight="1">
      <c r="I661" s="36"/>
      <c r="K661" s="36"/>
    </row>
    <row r="662" ht="22.5" customHeight="1">
      <c r="I662" s="36"/>
      <c r="K662" s="36"/>
    </row>
    <row r="663" ht="22.5" customHeight="1">
      <c r="I663" s="36"/>
      <c r="K663" s="36"/>
    </row>
    <row r="664" ht="22.5" customHeight="1">
      <c r="I664" s="36"/>
      <c r="K664" s="36"/>
    </row>
    <row r="665" ht="22.5" customHeight="1">
      <c r="I665" s="36"/>
      <c r="K665" s="36"/>
    </row>
    <row r="666" ht="22.5" customHeight="1">
      <c r="I666" s="36"/>
      <c r="K666" s="36"/>
    </row>
    <row r="667" ht="22.5" customHeight="1">
      <c r="I667" s="36"/>
      <c r="K667" s="36"/>
    </row>
    <row r="668" ht="22.5" customHeight="1">
      <c r="I668" s="36"/>
      <c r="K668" s="36"/>
    </row>
    <row r="669" ht="22.5" customHeight="1">
      <c r="I669" s="36"/>
      <c r="K669" s="36"/>
    </row>
    <row r="670" ht="22.5" customHeight="1">
      <c r="I670" s="36"/>
      <c r="K670" s="36"/>
    </row>
    <row r="671" ht="22.5" customHeight="1">
      <c r="I671" s="36"/>
      <c r="K671" s="36"/>
    </row>
    <row r="672" ht="22.5" customHeight="1">
      <c r="I672" s="36"/>
      <c r="K672" s="36"/>
    </row>
    <row r="673" ht="22.5" customHeight="1">
      <c r="I673" s="36"/>
      <c r="K673" s="36"/>
    </row>
    <row r="674" ht="22.5" customHeight="1">
      <c r="I674" s="36"/>
      <c r="K674" s="36"/>
    </row>
    <row r="675" ht="22.5" customHeight="1">
      <c r="I675" s="36"/>
      <c r="K675" s="36"/>
    </row>
    <row r="676" ht="22.5" customHeight="1">
      <c r="I676" s="36"/>
      <c r="K676" s="36"/>
    </row>
    <row r="677" ht="22.5" customHeight="1">
      <c r="I677" s="36"/>
      <c r="K677" s="36"/>
    </row>
    <row r="678" ht="22.5" customHeight="1">
      <c r="I678" s="36"/>
      <c r="K678" s="36"/>
    </row>
    <row r="679" ht="22.5" customHeight="1">
      <c r="I679" s="36"/>
      <c r="K679" s="36"/>
    </row>
    <row r="680" ht="22.5" customHeight="1">
      <c r="I680" s="36"/>
      <c r="K680" s="36"/>
    </row>
    <row r="681" ht="22.5" customHeight="1">
      <c r="I681" s="36"/>
      <c r="K681" s="36"/>
    </row>
    <row r="682" ht="22.5" customHeight="1">
      <c r="I682" s="36"/>
      <c r="K682" s="36"/>
    </row>
    <row r="683" ht="22.5" customHeight="1">
      <c r="I683" s="36"/>
      <c r="K683" s="36"/>
    </row>
    <row r="684" ht="22.5" customHeight="1">
      <c r="I684" s="36"/>
      <c r="K684" s="36"/>
    </row>
    <row r="685" ht="22.5" customHeight="1">
      <c r="I685" s="36"/>
      <c r="K685" s="36"/>
    </row>
    <row r="686" ht="22.5" customHeight="1">
      <c r="I686" s="36"/>
      <c r="K686" s="36"/>
    </row>
    <row r="687" ht="22.5" customHeight="1">
      <c r="I687" s="36"/>
      <c r="K687" s="36"/>
    </row>
    <row r="688" ht="22.5" customHeight="1">
      <c r="I688" s="36"/>
      <c r="K688" s="36"/>
    </row>
    <row r="689" ht="22.5" customHeight="1">
      <c r="I689" s="36"/>
      <c r="K689" s="36"/>
    </row>
    <row r="690" ht="22.5" customHeight="1">
      <c r="I690" s="36"/>
      <c r="K690" s="36"/>
    </row>
    <row r="691" ht="22.5" customHeight="1">
      <c r="I691" s="36"/>
      <c r="K691" s="36"/>
    </row>
    <row r="692" ht="22.5" customHeight="1">
      <c r="I692" s="36"/>
      <c r="K692" s="36"/>
    </row>
    <row r="693" ht="22.5" customHeight="1">
      <c r="I693" s="36"/>
      <c r="K693" s="36"/>
    </row>
    <row r="694" ht="22.5" customHeight="1">
      <c r="I694" s="36"/>
      <c r="K694" s="36"/>
    </row>
    <row r="695" ht="22.5" customHeight="1">
      <c r="I695" s="36"/>
      <c r="K695" s="36"/>
    </row>
    <row r="696" ht="22.5" customHeight="1">
      <c r="I696" s="36"/>
      <c r="K696" s="36"/>
    </row>
    <row r="697" ht="22.5" customHeight="1">
      <c r="I697" s="36"/>
      <c r="K697" s="36"/>
    </row>
    <row r="698" ht="22.5" customHeight="1">
      <c r="I698" s="36"/>
      <c r="K698" s="36"/>
    </row>
    <row r="699" ht="22.5" customHeight="1">
      <c r="I699" s="36"/>
      <c r="K699" s="36"/>
    </row>
    <row r="700" ht="22.5" customHeight="1">
      <c r="I700" s="36"/>
      <c r="K700" s="36"/>
    </row>
    <row r="701" ht="22.5" customHeight="1">
      <c r="I701" s="36"/>
      <c r="K701" s="36"/>
    </row>
    <row r="702" ht="22.5" customHeight="1">
      <c r="I702" s="36"/>
      <c r="K702" s="36"/>
    </row>
    <row r="703" ht="22.5" customHeight="1">
      <c r="I703" s="36"/>
      <c r="K703" s="36"/>
    </row>
    <row r="704" ht="22.5" customHeight="1">
      <c r="I704" s="36"/>
      <c r="K704" s="36"/>
    </row>
    <row r="705" ht="22.5" customHeight="1">
      <c r="I705" s="36"/>
      <c r="K705" s="36"/>
    </row>
    <row r="706" ht="22.5" customHeight="1">
      <c r="I706" s="36"/>
      <c r="K706" s="36"/>
    </row>
    <row r="707" ht="22.5" customHeight="1">
      <c r="I707" s="36"/>
      <c r="K707" s="36"/>
    </row>
    <row r="708" ht="22.5" customHeight="1">
      <c r="I708" s="36"/>
      <c r="K708" s="36"/>
    </row>
    <row r="709" ht="22.5" customHeight="1">
      <c r="I709" s="36"/>
      <c r="K709" s="36"/>
    </row>
    <row r="710" ht="22.5" customHeight="1">
      <c r="I710" s="36"/>
      <c r="K710" s="36"/>
    </row>
    <row r="711" ht="22.5" customHeight="1">
      <c r="I711" s="36"/>
      <c r="K711" s="36"/>
    </row>
    <row r="712" ht="22.5" customHeight="1">
      <c r="I712" s="36"/>
      <c r="K712" s="36"/>
    </row>
    <row r="713" ht="22.5" customHeight="1">
      <c r="I713" s="36"/>
      <c r="K713" s="36"/>
    </row>
    <row r="714" ht="22.5" customHeight="1">
      <c r="I714" s="36"/>
      <c r="K714" s="36"/>
    </row>
    <row r="715" ht="22.5" customHeight="1">
      <c r="I715" s="36"/>
      <c r="K715" s="36"/>
    </row>
    <row r="716" ht="22.5" customHeight="1">
      <c r="I716" s="36"/>
      <c r="K716" s="36"/>
    </row>
    <row r="717" ht="22.5" customHeight="1">
      <c r="I717" s="36"/>
      <c r="K717" s="36"/>
    </row>
    <row r="718" ht="22.5" customHeight="1">
      <c r="I718" s="36"/>
      <c r="K718" s="36"/>
    </row>
    <row r="719" ht="22.5" customHeight="1">
      <c r="I719" s="36"/>
      <c r="K719" s="36"/>
    </row>
    <row r="720" ht="22.5" customHeight="1">
      <c r="I720" s="36"/>
      <c r="K720" s="36"/>
    </row>
    <row r="721" ht="22.5" customHeight="1">
      <c r="I721" s="36"/>
      <c r="K721" s="36"/>
    </row>
    <row r="722" ht="22.5" customHeight="1">
      <c r="I722" s="36"/>
      <c r="K722" s="36"/>
    </row>
    <row r="723" ht="22.5" customHeight="1">
      <c r="I723" s="36"/>
      <c r="K723" s="36"/>
    </row>
    <row r="724" ht="22.5" customHeight="1">
      <c r="I724" s="36"/>
      <c r="K724" s="36"/>
    </row>
    <row r="725" ht="22.5" customHeight="1">
      <c r="I725" s="36"/>
      <c r="K725" s="36"/>
    </row>
    <row r="726" ht="22.5" customHeight="1">
      <c r="I726" s="36"/>
      <c r="K726" s="36"/>
    </row>
    <row r="727" ht="22.5" customHeight="1">
      <c r="I727" s="36"/>
      <c r="K727" s="36"/>
    </row>
    <row r="728" ht="22.5" customHeight="1">
      <c r="I728" s="36"/>
      <c r="K728" s="36"/>
    </row>
    <row r="729" ht="22.5" customHeight="1">
      <c r="I729" s="36"/>
      <c r="K729" s="36"/>
    </row>
    <row r="730" ht="22.5" customHeight="1">
      <c r="I730" s="36"/>
      <c r="K730" s="36"/>
    </row>
    <row r="731" ht="22.5" customHeight="1">
      <c r="I731" s="36"/>
      <c r="K731" s="36"/>
    </row>
    <row r="732" ht="22.5" customHeight="1">
      <c r="I732" s="36"/>
      <c r="K732" s="36"/>
    </row>
    <row r="733" ht="22.5" customHeight="1">
      <c r="I733" s="36"/>
      <c r="K733" s="36"/>
    </row>
    <row r="734" ht="22.5" customHeight="1">
      <c r="I734" s="36"/>
      <c r="K734" s="36"/>
    </row>
    <row r="735" ht="22.5" customHeight="1">
      <c r="I735" s="36"/>
      <c r="K735" s="36"/>
    </row>
    <row r="736" ht="22.5" customHeight="1">
      <c r="I736" s="36"/>
      <c r="K736" s="36"/>
    </row>
    <row r="737" ht="22.5" customHeight="1">
      <c r="I737" s="36"/>
      <c r="K737" s="36"/>
    </row>
    <row r="738" ht="22.5" customHeight="1">
      <c r="I738" s="36"/>
      <c r="K738" s="36"/>
    </row>
    <row r="739" ht="22.5" customHeight="1">
      <c r="I739" s="36"/>
      <c r="K739" s="36"/>
    </row>
    <row r="740" ht="22.5" customHeight="1">
      <c r="I740" s="36"/>
      <c r="K740" s="36"/>
    </row>
    <row r="741" ht="22.5" customHeight="1">
      <c r="I741" s="36"/>
      <c r="K741" s="36"/>
    </row>
    <row r="742" ht="22.5" customHeight="1">
      <c r="I742" s="36"/>
      <c r="K742" s="36"/>
    </row>
    <row r="743" ht="22.5" customHeight="1">
      <c r="I743" s="36"/>
      <c r="K743" s="36"/>
    </row>
    <row r="744" ht="22.5" customHeight="1">
      <c r="I744" s="36"/>
      <c r="K744" s="36"/>
    </row>
    <row r="745" ht="22.5" customHeight="1">
      <c r="I745" s="36"/>
      <c r="K745" s="36"/>
    </row>
    <row r="746" ht="22.5" customHeight="1">
      <c r="I746" s="36"/>
      <c r="K746" s="36"/>
    </row>
    <row r="747" ht="22.5" customHeight="1">
      <c r="I747" s="36"/>
      <c r="K747" s="36"/>
    </row>
    <row r="748" ht="22.5" customHeight="1">
      <c r="I748" s="36"/>
      <c r="K748" s="36"/>
    </row>
    <row r="749" ht="22.5" customHeight="1">
      <c r="I749" s="36"/>
      <c r="K749" s="36"/>
    </row>
    <row r="750" ht="22.5" customHeight="1">
      <c r="I750" s="36"/>
      <c r="K750" s="36"/>
    </row>
    <row r="751" ht="22.5" customHeight="1">
      <c r="I751" s="36"/>
      <c r="K751" s="36"/>
    </row>
    <row r="752" ht="22.5" customHeight="1">
      <c r="I752" s="36"/>
      <c r="K752" s="36"/>
    </row>
    <row r="753" ht="22.5" customHeight="1">
      <c r="I753" s="36"/>
      <c r="K753" s="36"/>
    </row>
    <row r="754" ht="22.5" customHeight="1">
      <c r="I754" s="36"/>
      <c r="K754" s="36"/>
    </row>
    <row r="755" ht="22.5" customHeight="1">
      <c r="I755" s="36"/>
      <c r="K755" s="36"/>
    </row>
    <row r="756" ht="22.5" customHeight="1">
      <c r="I756" s="36"/>
      <c r="K756" s="36"/>
    </row>
    <row r="757" ht="22.5" customHeight="1">
      <c r="I757" s="36"/>
      <c r="K757" s="36"/>
    </row>
    <row r="758" ht="22.5" customHeight="1">
      <c r="I758" s="36"/>
      <c r="K758" s="36"/>
    </row>
    <row r="759" ht="22.5" customHeight="1">
      <c r="I759" s="36"/>
      <c r="K759" s="36"/>
    </row>
    <row r="760" ht="22.5" customHeight="1">
      <c r="I760" s="36"/>
      <c r="K760" s="36"/>
    </row>
    <row r="761" ht="22.5" customHeight="1">
      <c r="I761" s="36"/>
      <c r="K761" s="36"/>
    </row>
    <row r="762" ht="22.5" customHeight="1">
      <c r="I762" s="36"/>
      <c r="K762" s="36"/>
    </row>
    <row r="763" ht="22.5" customHeight="1">
      <c r="I763" s="36"/>
      <c r="K763" s="36"/>
    </row>
    <row r="764" ht="22.5" customHeight="1">
      <c r="I764" s="36"/>
      <c r="K764" s="36"/>
    </row>
    <row r="765" ht="22.5" customHeight="1">
      <c r="I765" s="36"/>
      <c r="K765" s="36"/>
    </row>
    <row r="766" ht="22.5" customHeight="1">
      <c r="I766" s="36"/>
      <c r="K766" s="36"/>
    </row>
    <row r="767" ht="22.5" customHeight="1">
      <c r="I767" s="36"/>
      <c r="K767" s="36"/>
    </row>
    <row r="768" ht="22.5" customHeight="1">
      <c r="I768" s="36"/>
      <c r="K768" s="36"/>
    </row>
    <row r="769" ht="22.5" customHeight="1">
      <c r="I769" s="36"/>
      <c r="K769" s="36"/>
    </row>
    <row r="770" ht="22.5" customHeight="1">
      <c r="I770" s="36"/>
      <c r="K770" s="36"/>
    </row>
    <row r="771" ht="22.5" customHeight="1">
      <c r="I771" s="36"/>
      <c r="K771" s="36"/>
    </row>
    <row r="772" ht="22.5" customHeight="1">
      <c r="I772" s="36"/>
      <c r="K772" s="36"/>
    </row>
    <row r="773" ht="22.5" customHeight="1">
      <c r="I773" s="36"/>
      <c r="K773" s="36"/>
    </row>
    <row r="774" ht="22.5" customHeight="1">
      <c r="I774" s="36"/>
      <c r="K774" s="36"/>
    </row>
    <row r="775" ht="22.5" customHeight="1">
      <c r="I775" s="36"/>
      <c r="K775" s="36"/>
    </row>
    <row r="776" ht="22.5" customHeight="1">
      <c r="I776" s="36"/>
      <c r="K776" s="36"/>
    </row>
    <row r="777" ht="22.5" customHeight="1">
      <c r="I777" s="36"/>
      <c r="K777" s="36"/>
    </row>
    <row r="778" ht="22.5" customHeight="1">
      <c r="I778" s="36"/>
      <c r="K778" s="36"/>
    </row>
    <row r="779" ht="22.5" customHeight="1">
      <c r="I779" s="36"/>
      <c r="K779" s="36"/>
    </row>
    <row r="780" ht="22.5" customHeight="1">
      <c r="I780" s="36"/>
      <c r="K780" s="36"/>
    </row>
    <row r="781" ht="22.5" customHeight="1">
      <c r="I781" s="36"/>
      <c r="K781" s="36"/>
    </row>
    <row r="782" ht="22.5" customHeight="1">
      <c r="I782" s="36"/>
      <c r="K782" s="36"/>
    </row>
    <row r="783" ht="22.5" customHeight="1">
      <c r="I783" s="36"/>
      <c r="K783" s="36"/>
    </row>
    <row r="784" ht="22.5" customHeight="1">
      <c r="I784" s="36"/>
      <c r="K784" s="36"/>
    </row>
    <row r="785" ht="22.5" customHeight="1">
      <c r="I785" s="36"/>
      <c r="K785" s="36"/>
    </row>
    <row r="786" ht="22.5" customHeight="1">
      <c r="I786" s="36"/>
      <c r="K786" s="36"/>
    </row>
    <row r="787" ht="22.5" customHeight="1">
      <c r="I787" s="36"/>
      <c r="K787" s="36"/>
    </row>
    <row r="788" ht="22.5" customHeight="1">
      <c r="I788" s="36"/>
      <c r="K788" s="36"/>
    </row>
    <row r="789" ht="22.5" customHeight="1">
      <c r="I789" s="36"/>
      <c r="K789" s="36"/>
    </row>
    <row r="790" ht="22.5" customHeight="1">
      <c r="I790" s="36"/>
      <c r="K790" s="36"/>
    </row>
    <row r="791" ht="22.5" customHeight="1">
      <c r="I791" s="36"/>
      <c r="K791" s="36"/>
    </row>
    <row r="792" ht="22.5" customHeight="1">
      <c r="I792" s="36"/>
      <c r="K792" s="36"/>
    </row>
    <row r="793" ht="22.5" customHeight="1">
      <c r="I793" s="36"/>
      <c r="K793" s="36"/>
    </row>
    <row r="794" ht="22.5" customHeight="1">
      <c r="I794" s="36"/>
      <c r="K794" s="36"/>
    </row>
    <row r="795" ht="22.5" customHeight="1">
      <c r="I795" s="36"/>
      <c r="K795" s="36"/>
    </row>
    <row r="796" ht="22.5" customHeight="1">
      <c r="I796" s="36"/>
      <c r="K796" s="36"/>
    </row>
    <row r="797" ht="22.5" customHeight="1">
      <c r="I797" s="36"/>
      <c r="K797" s="36"/>
    </row>
    <row r="798" ht="22.5" customHeight="1">
      <c r="I798" s="36"/>
      <c r="K798" s="36"/>
    </row>
    <row r="799" ht="22.5" customHeight="1">
      <c r="I799" s="36"/>
      <c r="K799" s="36"/>
    </row>
    <row r="800" ht="22.5" customHeight="1">
      <c r="I800" s="36"/>
      <c r="K800" s="36"/>
    </row>
    <row r="801" ht="22.5" customHeight="1">
      <c r="I801" s="36"/>
      <c r="K801" s="36"/>
    </row>
    <row r="802" ht="22.5" customHeight="1">
      <c r="I802" s="36"/>
      <c r="K802" s="36"/>
    </row>
    <row r="803" ht="22.5" customHeight="1">
      <c r="I803" s="36"/>
      <c r="K803" s="36"/>
    </row>
    <row r="804" ht="22.5" customHeight="1">
      <c r="I804" s="36"/>
      <c r="K804" s="36"/>
    </row>
    <row r="805" ht="22.5" customHeight="1">
      <c r="I805" s="36"/>
      <c r="K805" s="36"/>
    </row>
    <row r="806" ht="22.5" customHeight="1">
      <c r="I806" s="36"/>
      <c r="K806" s="36"/>
    </row>
    <row r="807" ht="22.5" customHeight="1">
      <c r="I807" s="36"/>
      <c r="K807" s="36"/>
    </row>
    <row r="808" ht="22.5" customHeight="1">
      <c r="I808" s="36"/>
      <c r="K808" s="36"/>
    </row>
    <row r="809" ht="22.5" customHeight="1">
      <c r="I809" s="36"/>
      <c r="K809" s="36"/>
    </row>
    <row r="810" ht="22.5" customHeight="1">
      <c r="I810" s="36"/>
      <c r="K810" s="36"/>
    </row>
    <row r="811" ht="22.5" customHeight="1">
      <c r="I811" s="36"/>
      <c r="K811" s="36"/>
    </row>
    <row r="812" ht="22.5" customHeight="1">
      <c r="I812" s="36"/>
      <c r="K812" s="36"/>
    </row>
    <row r="813" ht="22.5" customHeight="1">
      <c r="I813" s="36"/>
      <c r="K813" s="36"/>
    </row>
    <row r="814" ht="22.5" customHeight="1">
      <c r="I814" s="36"/>
      <c r="K814" s="36"/>
    </row>
    <row r="815" ht="22.5" customHeight="1">
      <c r="I815" s="36"/>
      <c r="K815" s="36"/>
    </row>
    <row r="816" ht="22.5" customHeight="1">
      <c r="I816" s="36"/>
      <c r="K816" s="36"/>
    </row>
    <row r="817" ht="22.5" customHeight="1">
      <c r="I817" s="36"/>
      <c r="K817" s="36"/>
    </row>
    <row r="818" ht="22.5" customHeight="1">
      <c r="I818" s="36"/>
      <c r="K818" s="36"/>
    </row>
    <row r="819" ht="22.5" customHeight="1">
      <c r="I819" s="36"/>
      <c r="K819" s="36"/>
    </row>
    <row r="820" ht="22.5" customHeight="1">
      <c r="I820" s="36"/>
      <c r="K820" s="36"/>
    </row>
    <row r="821" ht="22.5" customHeight="1">
      <c r="I821" s="36"/>
      <c r="K821" s="36"/>
    </row>
    <row r="822" ht="22.5" customHeight="1">
      <c r="I822" s="36"/>
      <c r="K822" s="36"/>
    </row>
    <row r="823" ht="22.5" customHeight="1">
      <c r="I823" s="36"/>
      <c r="K823" s="36"/>
    </row>
    <row r="824" ht="22.5" customHeight="1">
      <c r="I824" s="36"/>
      <c r="K824" s="36"/>
    </row>
    <row r="825" ht="22.5" customHeight="1">
      <c r="I825" s="36"/>
      <c r="K825" s="36"/>
    </row>
    <row r="826" ht="22.5" customHeight="1">
      <c r="I826" s="36"/>
      <c r="K826" s="36"/>
    </row>
    <row r="827" ht="22.5" customHeight="1">
      <c r="I827" s="36"/>
      <c r="K827" s="36"/>
    </row>
    <row r="828" ht="22.5" customHeight="1">
      <c r="I828" s="36"/>
      <c r="K828" s="36"/>
    </row>
    <row r="829" ht="22.5" customHeight="1">
      <c r="I829" s="36"/>
      <c r="K829" s="36"/>
    </row>
    <row r="830" ht="22.5" customHeight="1">
      <c r="I830" s="36"/>
      <c r="K830" s="36"/>
    </row>
    <row r="831" ht="22.5" customHeight="1">
      <c r="I831" s="36"/>
      <c r="K831" s="36"/>
    </row>
    <row r="832" ht="22.5" customHeight="1">
      <c r="I832" s="36"/>
      <c r="K832" s="36"/>
    </row>
    <row r="833" ht="22.5" customHeight="1">
      <c r="I833" s="36"/>
      <c r="K833" s="36"/>
    </row>
    <row r="834" ht="22.5" customHeight="1">
      <c r="I834" s="36"/>
      <c r="K834" s="36"/>
    </row>
    <row r="835" ht="22.5" customHeight="1">
      <c r="I835" s="36"/>
      <c r="K835" s="36"/>
    </row>
    <row r="836" ht="22.5" customHeight="1">
      <c r="I836" s="36"/>
      <c r="K836" s="36"/>
    </row>
    <row r="837" ht="22.5" customHeight="1">
      <c r="I837" s="36"/>
      <c r="K837" s="36"/>
    </row>
    <row r="838" ht="22.5" customHeight="1">
      <c r="I838" s="36"/>
      <c r="K838" s="36"/>
    </row>
    <row r="839" ht="22.5" customHeight="1">
      <c r="I839" s="36"/>
      <c r="K839" s="36"/>
    </row>
    <row r="840" ht="22.5" customHeight="1">
      <c r="I840" s="36"/>
      <c r="K840" s="36"/>
    </row>
    <row r="841" ht="22.5" customHeight="1">
      <c r="I841" s="36"/>
      <c r="K841" s="36"/>
    </row>
    <row r="842" ht="22.5" customHeight="1">
      <c r="I842" s="36"/>
      <c r="K842" s="36"/>
    </row>
    <row r="843" ht="22.5" customHeight="1">
      <c r="I843" s="36"/>
      <c r="K843" s="36"/>
    </row>
    <row r="844" ht="22.5" customHeight="1">
      <c r="I844" s="36"/>
      <c r="K844" s="36"/>
    </row>
    <row r="845" ht="22.5" customHeight="1">
      <c r="I845" s="36"/>
      <c r="K845" s="36"/>
    </row>
    <row r="846" ht="22.5" customHeight="1">
      <c r="I846" s="36"/>
      <c r="K846" s="36"/>
    </row>
    <row r="847" ht="22.5" customHeight="1">
      <c r="I847" s="36"/>
      <c r="K847" s="36"/>
    </row>
    <row r="848" ht="22.5" customHeight="1">
      <c r="I848" s="36"/>
      <c r="K848" s="36"/>
    </row>
    <row r="849" ht="22.5" customHeight="1">
      <c r="I849" s="36"/>
      <c r="K849" s="36"/>
    </row>
    <row r="850" ht="22.5" customHeight="1">
      <c r="I850" s="36"/>
      <c r="K850" s="36"/>
    </row>
    <row r="851" ht="22.5" customHeight="1">
      <c r="I851" s="36"/>
      <c r="K851" s="36"/>
    </row>
    <row r="852" ht="22.5" customHeight="1">
      <c r="I852" s="36"/>
      <c r="K852" s="36"/>
    </row>
    <row r="853" ht="22.5" customHeight="1">
      <c r="I853" s="36"/>
      <c r="K853" s="36"/>
    </row>
    <row r="854" ht="22.5" customHeight="1">
      <c r="I854" s="36"/>
      <c r="K854" s="36"/>
    </row>
    <row r="855" ht="22.5" customHeight="1">
      <c r="I855" s="36"/>
      <c r="K855" s="36"/>
    </row>
    <row r="856" ht="22.5" customHeight="1">
      <c r="I856" s="36"/>
      <c r="K856" s="36"/>
    </row>
    <row r="857" ht="22.5" customHeight="1">
      <c r="I857" s="36"/>
      <c r="K857" s="36"/>
    </row>
    <row r="858" ht="22.5" customHeight="1">
      <c r="I858" s="36"/>
      <c r="K858" s="36"/>
    </row>
    <row r="859" ht="22.5" customHeight="1">
      <c r="I859" s="36"/>
      <c r="K859" s="36"/>
    </row>
    <row r="860" ht="22.5" customHeight="1">
      <c r="I860" s="36"/>
      <c r="K860" s="36"/>
    </row>
    <row r="861" ht="22.5" customHeight="1">
      <c r="I861" s="36"/>
      <c r="K861" s="36"/>
    </row>
    <row r="862" ht="22.5" customHeight="1">
      <c r="I862" s="36"/>
      <c r="K862" s="36"/>
    </row>
    <row r="863" ht="22.5" customHeight="1">
      <c r="I863" s="36"/>
      <c r="K863" s="36"/>
    </row>
    <row r="864" ht="22.5" customHeight="1">
      <c r="I864" s="36"/>
      <c r="K864" s="36"/>
    </row>
    <row r="865" ht="22.5" customHeight="1">
      <c r="I865" s="36"/>
      <c r="K865" s="36"/>
    </row>
    <row r="866" ht="22.5" customHeight="1">
      <c r="I866" s="36"/>
      <c r="K866" s="36"/>
    </row>
    <row r="867" ht="22.5" customHeight="1">
      <c r="I867" s="36"/>
      <c r="K867" s="36"/>
    </row>
    <row r="868" ht="22.5" customHeight="1">
      <c r="I868" s="36"/>
      <c r="K868" s="36"/>
    </row>
    <row r="869" ht="22.5" customHeight="1">
      <c r="I869" s="36"/>
      <c r="K869" s="36"/>
    </row>
    <row r="870" ht="22.5" customHeight="1">
      <c r="I870" s="36"/>
      <c r="K870" s="36"/>
    </row>
    <row r="871" ht="22.5" customHeight="1">
      <c r="I871" s="36"/>
      <c r="K871" s="36"/>
    </row>
    <row r="872" ht="22.5" customHeight="1">
      <c r="I872" s="36"/>
      <c r="K872" s="36"/>
    </row>
    <row r="873" ht="22.5" customHeight="1">
      <c r="I873" s="36"/>
      <c r="K873" s="36"/>
    </row>
    <row r="874" ht="22.5" customHeight="1">
      <c r="I874" s="36"/>
      <c r="K874" s="36"/>
    </row>
    <row r="875" ht="22.5" customHeight="1">
      <c r="I875" s="36"/>
      <c r="K875" s="36"/>
    </row>
    <row r="876" ht="22.5" customHeight="1">
      <c r="I876" s="36"/>
      <c r="K876" s="36"/>
    </row>
    <row r="877" ht="22.5" customHeight="1">
      <c r="I877" s="36"/>
      <c r="K877" s="36"/>
    </row>
    <row r="878" ht="22.5" customHeight="1">
      <c r="I878" s="36"/>
      <c r="K878" s="36"/>
    </row>
    <row r="879" ht="22.5" customHeight="1">
      <c r="I879" s="36"/>
      <c r="K879" s="36"/>
    </row>
    <row r="880" ht="22.5" customHeight="1">
      <c r="I880" s="36"/>
      <c r="K880" s="36"/>
    </row>
    <row r="881" ht="22.5" customHeight="1">
      <c r="I881" s="36"/>
      <c r="K881" s="36"/>
    </row>
    <row r="882" ht="22.5" customHeight="1">
      <c r="I882" s="36"/>
      <c r="K882" s="36"/>
    </row>
    <row r="883" ht="22.5" customHeight="1">
      <c r="I883" s="36"/>
      <c r="K883" s="36"/>
    </row>
    <row r="884" ht="22.5" customHeight="1">
      <c r="I884" s="36"/>
      <c r="K884" s="36"/>
    </row>
    <row r="885" ht="22.5" customHeight="1">
      <c r="I885" s="36"/>
      <c r="K885" s="36"/>
    </row>
    <row r="886" ht="22.5" customHeight="1">
      <c r="I886" s="36"/>
      <c r="K886" s="36"/>
    </row>
    <row r="887" ht="22.5" customHeight="1">
      <c r="I887" s="36"/>
      <c r="K887" s="36"/>
    </row>
    <row r="888" ht="22.5" customHeight="1">
      <c r="I888" s="36"/>
      <c r="K888" s="36"/>
    </row>
    <row r="889" ht="22.5" customHeight="1">
      <c r="I889" s="36"/>
      <c r="K889" s="36"/>
    </row>
    <row r="890" ht="22.5" customHeight="1">
      <c r="I890" s="36"/>
      <c r="K890" s="36"/>
    </row>
    <row r="891" ht="22.5" customHeight="1">
      <c r="I891" s="36"/>
      <c r="K891" s="36"/>
    </row>
    <row r="892" ht="22.5" customHeight="1">
      <c r="I892" s="36"/>
      <c r="K892" s="36"/>
    </row>
    <row r="893" ht="22.5" customHeight="1">
      <c r="I893" s="36"/>
      <c r="K893" s="36"/>
    </row>
    <row r="894" ht="22.5" customHeight="1">
      <c r="I894" s="36"/>
      <c r="K894" s="36"/>
    </row>
    <row r="895" ht="22.5" customHeight="1">
      <c r="I895" s="36"/>
      <c r="K895" s="36"/>
    </row>
    <row r="896" ht="22.5" customHeight="1">
      <c r="I896" s="36"/>
      <c r="K896" s="36"/>
    </row>
    <row r="897" ht="22.5" customHeight="1">
      <c r="I897" s="36"/>
      <c r="K897" s="36"/>
    </row>
    <row r="898" ht="22.5" customHeight="1">
      <c r="I898" s="36"/>
      <c r="K898" s="36"/>
    </row>
    <row r="899" ht="22.5" customHeight="1">
      <c r="I899" s="36"/>
      <c r="K899" s="36"/>
    </row>
    <row r="900" ht="22.5" customHeight="1">
      <c r="I900" s="36"/>
      <c r="K900" s="36"/>
    </row>
    <row r="901" ht="22.5" customHeight="1">
      <c r="I901" s="36"/>
      <c r="K901" s="36"/>
    </row>
    <row r="902" ht="22.5" customHeight="1">
      <c r="I902" s="36"/>
      <c r="K902" s="36"/>
    </row>
    <row r="903" ht="22.5" customHeight="1">
      <c r="I903" s="36"/>
      <c r="K903" s="36"/>
    </row>
    <row r="904" ht="22.5" customHeight="1">
      <c r="I904" s="36"/>
      <c r="K904" s="36"/>
    </row>
    <row r="905" ht="22.5" customHeight="1">
      <c r="I905" s="36"/>
      <c r="K905" s="36"/>
    </row>
    <row r="906" ht="22.5" customHeight="1">
      <c r="I906" s="36"/>
      <c r="K906" s="36"/>
    </row>
    <row r="907" ht="22.5" customHeight="1">
      <c r="I907" s="36"/>
      <c r="K907" s="36"/>
    </row>
    <row r="908" ht="22.5" customHeight="1">
      <c r="I908" s="36"/>
      <c r="K908" s="36"/>
    </row>
    <row r="909" ht="22.5" customHeight="1">
      <c r="I909" s="36"/>
      <c r="K909" s="36"/>
    </row>
    <row r="910" ht="22.5" customHeight="1">
      <c r="I910" s="36"/>
      <c r="K910" s="36"/>
    </row>
    <row r="911" ht="22.5" customHeight="1">
      <c r="I911" s="36"/>
      <c r="K911" s="36"/>
    </row>
    <row r="912" ht="22.5" customHeight="1">
      <c r="I912" s="36"/>
      <c r="K912" s="36"/>
    </row>
    <row r="913" ht="22.5" customHeight="1">
      <c r="I913" s="36"/>
      <c r="K913" s="36"/>
    </row>
    <row r="914" ht="22.5" customHeight="1">
      <c r="I914" s="36"/>
      <c r="K914" s="36"/>
    </row>
    <row r="915" ht="22.5" customHeight="1">
      <c r="I915" s="36"/>
      <c r="K915" s="36"/>
    </row>
    <row r="916" ht="22.5" customHeight="1">
      <c r="I916" s="36"/>
      <c r="K916" s="36"/>
    </row>
    <row r="917" ht="22.5" customHeight="1">
      <c r="I917" s="36"/>
      <c r="K917" s="36"/>
    </row>
    <row r="918" ht="22.5" customHeight="1">
      <c r="I918" s="36"/>
      <c r="K918" s="36"/>
    </row>
    <row r="919" ht="22.5" customHeight="1">
      <c r="I919" s="36"/>
      <c r="K919" s="36"/>
    </row>
    <row r="920" ht="22.5" customHeight="1">
      <c r="I920" s="36"/>
      <c r="K920" s="36"/>
    </row>
    <row r="921" ht="22.5" customHeight="1">
      <c r="I921" s="36"/>
      <c r="K921" s="36"/>
    </row>
    <row r="922" ht="22.5" customHeight="1">
      <c r="I922" s="36"/>
      <c r="K922" s="36"/>
    </row>
    <row r="923" ht="22.5" customHeight="1">
      <c r="I923" s="36"/>
      <c r="K923" s="36"/>
    </row>
    <row r="924" ht="22.5" customHeight="1">
      <c r="I924" s="36"/>
      <c r="K924" s="36"/>
    </row>
    <row r="925" ht="22.5" customHeight="1">
      <c r="I925" s="36"/>
      <c r="K925" s="36"/>
    </row>
    <row r="926" ht="22.5" customHeight="1">
      <c r="I926" s="36"/>
      <c r="K926" s="36"/>
    </row>
    <row r="927" ht="22.5" customHeight="1">
      <c r="I927" s="36"/>
      <c r="K927" s="36"/>
    </row>
    <row r="928" ht="22.5" customHeight="1">
      <c r="I928" s="36"/>
      <c r="K928" s="36"/>
    </row>
    <row r="929" ht="22.5" customHeight="1">
      <c r="I929" s="36"/>
      <c r="K929" s="36"/>
    </row>
    <row r="930" ht="22.5" customHeight="1">
      <c r="I930" s="36"/>
      <c r="K930" s="36"/>
    </row>
    <row r="931" ht="22.5" customHeight="1">
      <c r="I931" s="36"/>
      <c r="K931" s="36"/>
    </row>
    <row r="932" ht="22.5" customHeight="1">
      <c r="I932" s="36"/>
      <c r="K932" s="36"/>
    </row>
    <row r="933" ht="22.5" customHeight="1">
      <c r="I933" s="36"/>
      <c r="K933" s="36"/>
    </row>
    <row r="934" ht="22.5" customHeight="1">
      <c r="I934" s="36"/>
      <c r="K934" s="36"/>
    </row>
    <row r="935" ht="22.5" customHeight="1">
      <c r="I935" s="36"/>
      <c r="K935" s="36"/>
    </row>
    <row r="936" ht="22.5" customHeight="1">
      <c r="I936" s="36"/>
      <c r="K936" s="36"/>
    </row>
    <row r="937" ht="22.5" customHeight="1">
      <c r="I937" s="36"/>
      <c r="K937" s="36"/>
    </row>
    <row r="938" ht="22.5" customHeight="1">
      <c r="I938" s="36"/>
      <c r="K938" s="36"/>
    </row>
    <row r="939" ht="22.5" customHeight="1">
      <c r="I939" s="36"/>
      <c r="K939" s="36"/>
    </row>
    <row r="940" ht="22.5" customHeight="1">
      <c r="I940" s="36"/>
      <c r="K940" s="36"/>
    </row>
    <row r="941" ht="22.5" customHeight="1">
      <c r="I941" s="36"/>
      <c r="K941" s="36"/>
    </row>
    <row r="942" ht="22.5" customHeight="1">
      <c r="I942" s="36"/>
      <c r="K942" s="36"/>
    </row>
    <row r="943" ht="22.5" customHeight="1">
      <c r="I943" s="36"/>
      <c r="K943" s="36"/>
    </row>
    <row r="944" ht="22.5" customHeight="1">
      <c r="I944" s="36"/>
      <c r="K944" s="36"/>
    </row>
    <row r="945" ht="22.5" customHeight="1">
      <c r="I945" s="36"/>
      <c r="K945" s="36"/>
    </row>
    <row r="946" ht="22.5" customHeight="1">
      <c r="I946" s="36"/>
      <c r="K946" s="36"/>
    </row>
    <row r="947" ht="22.5" customHeight="1">
      <c r="I947" s="36"/>
      <c r="K947" s="36"/>
    </row>
    <row r="948" ht="22.5" customHeight="1">
      <c r="I948" s="36"/>
      <c r="K948" s="36"/>
    </row>
    <row r="949" ht="22.5" customHeight="1">
      <c r="I949" s="36"/>
      <c r="K949" s="36"/>
    </row>
    <row r="950" ht="22.5" customHeight="1">
      <c r="I950" s="36"/>
      <c r="K950" s="36"/>
    </row>
    <row r="951" ht="22.5" customHeight="1">
      <c r="I951" s="36"/>
      <c r="K951" s="36"/>
    </row>
    <row r="952" ht="22.5" customHeight="1">
      <c r="I952" s="36"/>
      <c r="K952" s="36"/>
    </row>
    <row r="953" ht="22.5" customHeight="1">
      <c r="I953" s="36"/>
      <c r="K953" s="36"/>
    </row>
    <row r="954" ht="22.5" customHeight="1">
      <c r="I954" s="36"/>
      <c r="K954" s="36"/>
    </row>
    <row r="955" ht="22.5" customHeight="1">
      <c r="I955" s="36"/>
      <c r="K955" s="36"/>
    </row>
    <row r="956" ht="22.5" customHeight="1">
      <c r="I956" s="36"/>
      <c r="K956" s="36"/>
    </row>
    <row r="957" ht="22.5" customHeight="1">
      <c r="I957" s="36"/>
      <c r="K957" s="36"/>
    </row>
    <row r="958" ht="22.5" customHeight="1">
      <c r="I958" s="36"/>
      <c r="K958" s="36"/>
    </row>
    <row r="959" ht="22.5" customHeight="1">
      <c r="I959" s="36"/>
      <c r="K959" s="36"/>
    </row>
    <row r="960" ht="22.5" customHeight="1">
      <c r="I960" s="36"/>
      <c r="K960" s="36"/>
    </row>
    <row r="961" ht="22.5" customHeight="1">
      <c r="I961" s="36"/>
      <c r="K961" s="36"/>
    </row>
    <row r="962" ht="22.5" customHeight="1">
      <c r="I962" s="36"/>
      <c r="K962" s="36"/>
    </row>
    <row r="963" ht="22.5" customHeight="1">
      <c r="I963" s="36"/>
      <c r="K963" s="36"/>
    </row>
    <row r="964" ht="22.5" customHeight="1">
      <c r="I964" s="36"/>
      <c r="K964" s="36"/>
    </row>
    <row r="965" ht="22.5" customHeight="1">
      <c r="I965" s="36"/>
      <c r="K965" s="36"/>
    </row>
    <row r="966" ht="22.5" customHeight="1">
      <c r="I966" s="36"/>
      <c r="K966" s="36"/>
    </row>
    <row r="967" ht="22.5" customHeight="1">
      <c r="I967" s="36"/>
      <c r="K967" s="36"/>
    </row>
    <row r="968" ht="22.5" customHeight="1">
      <c r="I968" s="36"/>
      <c r="K968" s="36"/>
    </row>
    <row r="969" ht="22.5" customHeight="1">
      <c r="I969" s="36"/>
      <c r="K969" s="36"/>
    </row>
    <row r="970" ht="22.5" customHeight="1">
      <c r="I970" s="36"/>
      <c r="K970" s="36"/>
    </row>
    <row r="971" ht="22.5" customHeight="1">
      <c r="I971" s="36"/>
      <c r="K971" s="36"/>
    </row>
    <row r="972" ht="22.5" customHeight="1">
      <c r="I972" s="36"/>
      <c r="K972" s="36"/>
    </row>
    <row r="973" ht="22.5" customHeight="1">
      <c r="I973" s="36"/>
      <c r="K973" s="36"/>
    </row>
    <row r="974" ht="22.5" customHeight="1">
      <c r="I974" s="36"/>
      <c r="K974" s="36"/>
    </row>
    <row r="975" ht="22.5" customHeight="1">
      <c r="I975" s="36"/>
      <c r="K975" s="36"/>
    </row>
    <row r="976" ht="22.5" customHeight="1">
      <c r="I976" s="36"/>
      <c r="K976" s="36"/>
    </row>
    <row r="977" ht="22.5" customHeight="1">
      <c r="I977" s="36"/>
      <c r="K977" s="36"/>
    </row>
    <row r="978" ht="22.5" customHeight="1">
      <c r="I978" s="36"/>
      <c r="K978" s="36"/>
    </row>
    <row r="979" ht="22.5" customHeight="1">
      <c r="I979" s="36"/>
      <c r="K979" s="36"/>
    </row>
    <row r="980" ht="22.5" customHeight="1">
      <c r="I980" s="36"/>
      <c r="K980" s="36"/>
    </row>
    <row r="981" ht="22.5" customHeight="1">
      <c r="I981" s="36"/>
      <c r="K981" s="36"/>
    </row>
    <row r="982" ht="22.5" customHeight="1">
      <c r="I982" s="36"/>
      <c r="K982" s="36"/>
    </row>
    <row r="983" ht="22.5" customHeight="1">
      <c r="I983" s="36"/>
      <c r="K983" s="36"/>
    </row>
    <row r="984" ht="22.5" customHeight="1">
      <c r="I984" s="36"/>
      <c r="K984" s="36"/>
    </row>
    <row r="985" ht="22.5" customHeight="1">
      <c r="I985" s="36"/>
      <c r="K985" s="36"/>
    </row>
    <row r="986" ht="22.5" customHeight="1">
      <c r="I986" s="36"/>
      <c r="K986" s="36"/>
    </row>
    <row r="987" ht="22.5" customHeight="1">
      <c r="I987" s="36"/>
      <c r="K987" s="36"/>
    </row>
    <row r="988" ht="22.5" customHeight="1">
      <c r="I988" s="36"/>
      <c r="K988" s="36"/>
    </row>
    <row r="989" ht="22.5" customHeight="1">
      <c r="I989" s="36"/>
      <c r="K989" s="36"/>
    </row>
    <row r="990" ht="22.5" customHeight="1">
      <c r="I990" s="36"/>
      <c r="K990" s="36"/>
    </row>
    <row r="991" ht="22.5" customHeight="1">
      <c r="I991" s="36"/>
      <c r="K991" s="36"/>
    </row>
    <row r="992" ht="22.5" customHeight="1">
      <c r="I992" s="36"/>
      <c r="K992" s="36"/>
    </row>
    <row r="993" ht="22.5" customHeight="1">
      <c r="I993" s="36"/>
      <c r="K993" s="36"/>
    </row>
    <row r="994" ht="22.5" customHeight="1">
      <c r="I994" s="36"/>
      <c r="K994" s="36"/>
    </row>
    <row r="995" ht="22.5" customHeight="1">
      <c r="I995" s="36"/>
      <c r="K995" s="36"/>
    </row>
    <row r="996" ht="22.5" customHeight="1">
      <c r="I996" s="36"/>
      <c r="K996" s="36"/>
    </row>
    <row r="997" ht="22.5" customHeight="1">
      <c r="I997" s="36"/>
      <c r="K997" s="36"/>
    </row>
    <row r="998" ht="22.5" customHeight="1">
      <c r="I998" s="36"/>
      <c r="K998" s="36"/>
    </row>
    <row r="999" ht="22.5" customHeight="1">
      <c r="I999" s="36"/>
      <c r="K999" s="36"/>
    </row>
    <row r="1000" ht="22.5" customHeight="1">
      <c r="I1000" s="36"/>
      <c r="K1000" s="36"/>
    </row>
    <row r="1001" ht="22.5" customHeight="1">
      <c r="I1001" s="36"/>
      <c r="K1001" s="36"/>
    </row>
    <row r="1002" ht="22.5" customHeight="1">
      <c r="I1002" s="36"/>
      <c r="K1002" s="36"/>
    </row>
  </sheetData>
  <drawing r:id="rId2"/>
  <legacyDrawing r:id="rId3"/>
  <tableParts count="7"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4" max="4" width="24.5"/>
    <col customWidth="1" min="15" max="15" width="23.5"/>
  </cols>
  <sheetData>
    <row r="1">
      <c r="A1" s="307"/>
      <c r="B1" s="308"/>
      <c r="C1" s="309" t="s">
        <v>631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10" t="s">
        <v>632</v>
      </c>
      <c r="Q1" s="8"/>
      <c r="R1" s="8"/>
      <c r="S1" s="8"/>
      <c r="T1" s="8"/>
      <c r="U1" s="9"/>
      <c r="V1" s="8"/>
      <c r="W1" s="310" t="s">
        <v>633</v>
      </c>
      <c r="X1" s="11"/>
      <c r="Y1" s="11"/>
      <c r="Z1" s="11"/>
      <c r="AA1" s="11"/>
      <c r="AB1" s="11"/>
      <c r="AC1" s="11"/>
      <c r="AD1" s="11"/>
      <c r="AE1" s="11"/>
      <c r="AF1" s="11"/>
      <c r="AG1" s="12"/>
      <c r="AH1" s="311"/>
      <c r="AI1" s="312" t="s">
        <v>634</v>
      </c>
      <c r="AJ1" s="313"/>
      <c r="AK1" s="313"/>
      <c r="AL1" s="313"/>
      <c r="AM1" s="313"/>
      <c r="AN1" s="313"/>
      <c r="AO1" s="313"/>
      <c r="AP1" s="313"/>
      <c r="AQ1" s="313"/>
      <c r="AR1" s="314"/>
      <c r="AS1" s="8"/>
      <c r="AT1" s="8"/>
      <c r="AU1" s="315" t="s">
        <v>635</v>
      </c>
      <c r="AV1" s="5"/>
      <c r="AW1" s="5"/>
      <c r="AX1" s="5"/>
      <c r="AY1" s="5"/>
      <c r="AZ1" s="5"/>
      <c r="BA1" s="5"/>
      <c r="BB1" s="5"/>
      <c r="BC1" s="5"/>
      <c r="BD1" s="6"/>
      <c r="BE1" s="8"/>
      <c r="BF1" s="8"/>
      <c r="BG1" s="8"/>
      <c r="BH1" s="8"/>
      <c r="BI1" s="8"/>
      <c r="BJ1" s="8"/>
      <c r="BK1" s="8"/>
      <c r="BL1" s="8"/>
      <c r="BM1" s="316"/>
    </row>
    <row r="2" ht="22.5" customHeight="1">
      <c r="A2" s="317" t="s">
        <v>3</v>
      </c>
      <c r="B2" s="318" t="s">
        <v>636</v>
      </c>
      <c r="C2" s="317" t="s">
        <v>6</v>
      </c>
      <c r="D2" s="317" t="s">
        <v>7</v>
      </c>
      <c r="E2" s="317" t="s">
        <v>8</v>
      </c>
      <c r="F2" s="317" t="s">
        <v>9</v>
      </c>
      <c r="G2" s="317" t="s">
        <v>10</v>
      </c>
      <c r="H2" s="318" t="s">
        <v>11</v>
      </c>
      <c r="I2" s="318" t="s">
        <v>637</v>
      </c>
      <c r="J2" s="319" t="s">
        <v>13</v>
      </c>
      <c r="K2" s="317" t="s">
        <v>14</v>
      </c>
      <c r="L2" s="318" t="s">
        <v>638</v>
      </c>
      <c r="M2" s="317" t="s">
        <v>16</v>
      </c>
      <c r="N2" s="318" t="s">
        <v>122</v>
      </c>
      <c r="O2" s="317" t="s">
        <v>18</v>
      </c>
      <c r="P2" s="318" t="s">
        <v>19</v>
      </c>
      <c r="Q2" s="317" t="s">
        <v>20</v>
      </c>
      <c r="R2" s="317" t="s">
        <v>21</v>
      </c>
      <c r="S2" s="317" t="s">
        <v>22</v>
      </c>
      <c r="T2" s="317" t="s">
        <v>23</v>
      </c>
      <c r="U2" s="320" t="s">
        <v>24</v>
      </c>
      <c r="V2" s="317" t="s">
        <v>25</v>
      </c>
      <c r="W2" s="321" t="s">
        <v>26</v>
      </c>
      <c r="X2" s="321" t="s">
        <v>27</v>
      </c>
      <c r="Y2" s="321" t="s">
        <v>28</v>
      </c>
      <c r="Z2" s="318" t="s">
        <v>29</v>
      </c>
      <c r="AA2" s="321" t="s">
        <v>30</v>
      </c>
      <c r="AB2" s="321" t="s">
        <v>31</v>
      </c>
      <c r="AC2" s="321" t="s">
        <v>32</v>
      </c>
      <c r="AD2" s="321" t="s">
        <v>33</v>
      </c>
      <c r="AE2" s="321" t="s">
        <v>34</v>
      </c>
      <c r="AF2" s="321" t="s">
        <v>35</v>
      </c>
      <c r="AG2" s="319" t="s">
        <v>36</v>
      </c>
      <c r="AH2" s="318" t="s">
        <v>639</v>
      </c>
      <c r="AI2" s="317" t="s">
        <v>640</v>
      </c>
      <c r="AJ2" s="317" t="s">
        <v>641</v>
      </c>
      <c r="AK2" s="322" t="s">
        <v>642</v>
      </c>
      <c r="AL2" s="323" t="s">
        <v>643</v>
      </c>
      <c r="AM2" s="323" t="s">
        <v>644</v>
      </c>
      <c r="AN2" s="319" t="s">
        <v>645</v>
      </c>
      <c r="AO2" s="319" t="s">
        <v>646</v>
      </c>
      <c r="AP2" s="319" t="s">
        <v>647</v>
      </c>
      <c r="AQ2" s="319" t="s">
        <v>648</v>
      </c>
      <c r="AR2" s="319" t="s">
        <v>649</v>
      </c>
      <c r="AS2" s="317" t="s">
        <v>650</v>
      </c>
      <c r="AT2" s="317" t="s">
        <v>651</v>
      </c>
      <c r="AU2" s="317" t="s">
        <v>652</v>
      </c>
      <c r="AV2" s="317" t="s">
        <v>653</v>
      </c>
      <c r="AW2" s="317" t="s">
        <v>641</v>
      </c>
      <c r="AX2" s="317" t="s">
        <v>654</v>
      </c>
      <c r="AY2" s="317" t="s">
        <v>655</v>
      </c>
      <c r="AZ2" s="317" t="s">
        <v>656</v>
      </c>
      <c r="BA2" s="323" t="s">
        <v>657</v>
      </c>
      <c r="BB2" s="323" t="s">
        <v>658</v>
      </c>
      <c r="BC2" s="317" t="s">
        <v>659</v>
      </c>
      <c r="BD2" s="317" t="s">
        <v>660</v>
      </c>
      <c r="BE2" s="317" t="s">
        <v>661</v>
      </c>
      <c r="BF2" s="317" t="s">
        <v>662</v>
      </c>
      <c r="BG2" s="317" t="s">
        <v>663</v>
      </c>
      <c r="BH2" s="317" t="s">
        <v>664</v>
      </c>
      <c r="BI2" s="317" t="s">
        <v>665</v>
      </c>
      <c r="BJ2" s="317" t="s">
        <v>666</v>
      </c>
      <c r="BK2" s="317" t="s">
        <v>667</v>
      </c>
      <c r="BL2" s="317" t="s">
        <v>668</v>
      </c>
      <c r="BM2" s="317" t="s">
        <v>669</v>
      </c>
    </row>
    <row r="3" ht="22.5" customHeight="1">
      <c r="A3" s="36"/>
      <c r="B3" s="33" t="s">
        <v>415</v>
      </c>
      <c r="C3" s="36" t="s">
        <v>670</v>
      </c>
      <c r="D3" s="36" t="s">
        <v>671</v>
      </c>
      <c r="E3" s="33" t="s">
        <v>672</v>
      </c>
      <c r="F3" s="33" t="s">
        <v>673</v>
      </c>
      <c r="G3" s="33">
        <v>88008.0</v>
      </c>
      <c r="H3" s="33" t="s">
        <v>42</v>
      </c>
      <c r="I3" s="33" t="s">
        <v>674</v>
      </c>
      <c r="J3" s="30">
        <v>374000.0</v>
      </c>
      <c r="K3" s="35">
        <v>45716.0</v>
      </c>
      <c r="L3" s="35">
        <v>45714.0</v>
      </c>
      <c r="M3" s="41"/>
      <c r="N3" s="36"/>
      <c r="O3" s="33" t="s">
        <v>675</v>
      </c>
      <c r="P3" s="304" t="s">
        <v>46</v>
      </c>
      <c r="Q3" s="36" t="s">
        <v>676</v>
      </c>
      <c r="R3" s="36"/>
      <c r="S3" s="33" t="s">
        <v>677</v>
      </c>
      <c r="T3" s="36" t="s">
        <v>678</v>
      </c>
      <c r="U3" s="38"/>
      <c r="V3" s="36"/>
      <c r="W3" s="31" t="s">
        <v>679</v>
      </c>
      <c r="X3" s="31"/>
      <c r="Y3" s="30">
        <f t="shared" ref="Y3:Y38" si="1">J3*X3</f>
        <v>0</v>
      </c>
      <c r="Z3" s="31"/>
      <c r="AA3" s="30"/>
      <c r="AB3" s="30">
        <f t="shared" ref="AB3:AB38" si="2">Y3+Z3+AA3</f>
        <v>0</v>
      </c>
      <c r="AC3" s="31"/>
      <c r="AD3" s="30">
        <f t="shared" ref="AD3:AD38" si="3">AC3*J3</f>
        <v>0</v>
      </c>
      <c r="AE3" s="30"/>
      <c r="AF3" s="30">
        <f t="shared" ref="AF3:AF38" si="4">AD3+AE3</f>
        <v>0</v>
      </c>
      <c r="AG3" s="30">
        <f t="shared" ref="AG3:AG38" si="5">AF3+AB3</f>
        <v>0</v>
      </c>
      <c r="AH3" s="324"/>
      <c r="AI3" s="324"/>
      <c r="AJ3" s="325"/>
      <c r="AK3" s="326"/>
      <c r="AL3" s="327"/>
      <c r="AM3" s="327"/>
      <c r="AN3" s="325"/>
      <c r="AO3" s="325"/>
      <c r="AP3" s="327"/>
      <c r="AQ3" s="327"/>
      <c r="AR3" s="327"/>
      <c r="AS3" s="328"/>
      <c r="AT3" s="36"/>
      <c r="AU3" s="329"/>
      <c r="AV3" s="36"/>
      <c r="AW3" s="36"/>
      <c r="AX3" s="36"/>
      <c r="AY3" s="36"/>
      <c r="AZ3" s="36"/>
      <c r="BA3" s="36"/>
      <c r="BB3" s="328"/>
      <c r="BC3" s="327"/>
      <c r="BD3" s="36"/>
      <c r="BE3" s="36"/>
      <c r="BF3" s="36"/>
      <c r="BG3" s="36"/>
      <c r="BH3" s="36"/>
      <c r="BI3" s="36"/>
      <c r="BJ3" s="36"/>
      <c r="BK3" s="36"/>
      <c r="BL3" s="36"/>
      <c r="BM3" s="36"/>
    </row>
    <row r="4" ht="22.5" customHeight="1">
      <c r="A4" s="36"/>
      <c r="B4" s="33" t="s">
        <v>42</v>
      </c>
      <c r="C4" s="36" t="s">
        <v>680</v>
      </c>
      <c r="D4" s="36" t="s">
        <v>681</v>
      </c>
      <c r="E4" s="33" t="s">
        <v>40</v>
      </c>
      <c r="F4" s="33" t="s">
        <v>41</v>
      </c>
      <c r="G4" s="33">
        <v>79934.0</v>
      </c>
      <c r="H4" s="33" t="s">
        <v>42</v>
      </c>
      <c r="I4" s="33" t="s">
        <v>682</v>
      </c>
      <c r="J4" s="30">
        <v>319500.0</v>
      </c>
      <c r="K4" s="35">
        <v>45694.0</v>
      </c>
      <c r="L4" s="35">
        <v>45714.0</v>
      </c>
      <c r="M4" s="41"/>
      <c r="N4" s="36"/>
      <c r="O4" s="33" t="s">
        <v>683</v>
      </c>
      <c r="P4" s="304" t="s">
        <v>46</v>
      </c>
      <c r="Q4" s="36" t="s">
        <v>684</v>
      </c>
      <c r="R4" s="36"/>
      <c r="S4" s="33" t="s">
        <v>685</v>
      </c>
      <c r="T4" s="36" t="s">
        <v>451</v>
      </c>
      <c r="U4" s="38"/>
      <c r="V4" s="36"/>
      <c r="W4" s="31">
        <v>0.06</v>
      </c>
      <c r="X4" s="31"/>
      <c r="Y4" s="30">
        <f t="shared" si="1"/>
        <v>0</v>
      </c>
      <c r="Z4" s="31"/>
      <c r="AA4" s="30"/>
      <c r="AB4" s="30">
        <f t="shared" si="2"/>
        <v>0</v>
      </c>
      <c r="AC4" s="31"/>
      <c r="AD4" s="30">
        <f t="shared" si="3"/>
        <v>0</v>
      </c>
      <c r="AE4" s="30"/>
      <c r="AF4" s="30">
        <f t="shared" si="4"/>
        <v>0</v>
      </c>
      <c r="AG4" s="30">
        <f t="shared" si="5"/>
        <v>0</v>
      </c>
      <c r="AH4" s="324"/>
      <c r="AI4" s="324"/>
      <c r="AJ4" s="325"/>
      <c r="AK4" s="326"/>
      <c r="AL4" s="327"/>
      <c r="AM4" s="327"/>
      <c r="AN4" s="325"/>
      <c r="AO4" s="325"/>
      <c r="AP4" s="327"/>
      <c r="AQ4" s="327"/>
      <c r="AR4" s="327"/>
      <c r="AS4" s="328"/>
      <c r="AT4" s="36"/>
      <c r="AU4" s="329"/>
      <c r="AV4" s="36"/>
      <c r="AW4" s="36"/>
      <c r="AX4" s="36"/>
      <c r="AY4" s="36"/>
      <c r="AZ4" s="36"/>
      <c r="BA4" s="36"/>
      <c r="BB4" s="328"/>
      <c r="BC4" s="327"/>
      <c r="BD4" s="36"/>
      <c r="BE4" s="36"/>
      <c r="BF4" s="36"/>
      <c r="BG4" s="36"/>
      <c r="BH4" s="36"/>
      <c r="BI4" s="36"/>
      <c r="BJ4" s="36"/>
      <c r="BK4" s="36"/>
      <c r="BL4" s="36"/>
      <c r="BM4" s="36"/>
    </row>
    <row r="5" ht="22.5" customHeight="1">
      <c r="A5" s="36"/>
      <c r="B5" s="33" t="s">
        <v>415</v>
      </c>
      <c r="C5" s="36" t="s">
        <v>686</v>
      </c>
      <c r="D5" s="36" t="s">
        <v>687</v>
      </c>
      <c r="E5" s="33" t="s">
        <v>672</v>
      </c>
      <c r="F5" s="33" t="s">
        <v>673</v>
      </c>
      <c r="G5" s="33">
        <v>88088.0</v>
      </c>
      <c r="H5" s="33" t="s">
        <v>42</v>
      </c>
      <c r="I5" s="33" t="s">
        <v>688</v>
      </c>
      <c r="J5" s="30">
        <v>374000.0</v>
      </c>
      <c r="K5" s="35">
        <v>45716.0</v>
      </c>
      <c r="L5" s="35">
        <v>45715.0</v>
      </c>
      <c r="M5" s="35">
        <v>45693.0</v>
      </c>
      <c r="N5" s="36"/>
      <c r="O5" s="33" t="s">
        <v>689</v>
      </c>
      <c r="P5" s="304" t="s">
        <v>46</v>
      </c>
      <c r="Q5" s="36" t="s">
        <v>690</v>
      </c>
      <c r="R5" s="36" t="s">
        <v>691</v>
      </c>
      <c r="S5" s="33" t="s">
        <v>692</v>
      </c>
      <c r="T5" s="36" t="s">
        <v>693</v>
      </c>
      <c r="U5" s="38" t="s">
        <v>694</v>
      </c>
      <c r="V5" s="36" t="s">
        <v>695</v>
      </c>
      <c r="W5" s="31">
        <v>0.06</v>
      </c>
      <c r="X5" s="31">
        <v>0.03</v>
      </c>
      <c r="Y5" s="30">
        <f t="shared" si="1"/>
        <v>11220</v>
      </c>
      <c r="Z5" s="31">
        <v>0.03</v>
      </c>
      <c r="AA5" s="30">
        <v>0.0</v>
      </c>
      <c r="AB5" s="30">
        <f t="shared" si="2"/>
        <v>11220.03</v>
      </c>
      <c r="AC5" s="31">
        <v>0.03</v>
      </c>
      <c r="AD5" s="30">
        <f t="shared" si="3"/>
        <v>11220</v>
      </c>
      <c r="AE5" s="30">
        <v>0.0</v>
      </c>
      <c r="AF5" s="30">
        <f t="shared" si="4"/>
        <v>11220</v>
      </c>
      <c r="AG5" s="30">
        <f t="shared" si="5"/>
        <v>22440.03</v>
      </c>
      <c r="AH5" s="324"/>
      <c r="AI5" s="324"/>
      <c r="AJ5" s="325"/>
      <c r="AK5" s="326"/>
      <c r="AL5" s="327"/>
      <c r="AM5" s="327"/>
      <c r="AN5" s="325"/>
      <c r="AO5" s="325"/>
      <c r="AP5" s="327"/>
      <c r="AQ5" s="327"/>
      <c r="AR5" s="327"/>
      <c r="AS5" s="328"/>
      <c r="AT5" s="36"/>
      <c r="AU5" s="329"/>
      <c r="AV5" s="36"/>
      <c r="AW5" s="36"/>
      <c r="AX5" s="36"/>
      <c r="AY5" s="36"/>
      <c r="AZ5" s="36"/>
      <c r="BA5" s="36"/>
      <c r="BB5" s="328"/>
      <c r="BC5" s="327"/>
      <c r="BD5" s="36"/>
      <c r="BE5" s="36"/>
      <c r="BF5" s="36"/>
      <c r="BG5" s="36"/>
      <c r="BH5" s="36"/>
      <c r="BI5" s="36"/>
      <c r="BJ5" s="36"/>
      <c r="BK5" s="36"/>
      <c r="BL5" s="36"/>
      <c r="BM5" s="36"/>
    </row>
    <row r="6" ht="22.5" customHeight="1">
      <c r="A6" s="36"/>
      <c r="B6" s="33" t="s">
        <v>42</v>
      </c>
      <c r="C6" s="36" t="s">
        <v>696</v>
      </c>
      <c r="D6" s="36" t="s">
        <v>697</v>
      </c>
      <c r="E6" s="33" t="s">
        <v>40</v>
      </c>
      <c r="F6" s="33" t="s">
        <v>41</v>
      </c>
      <c r="G6" s="33">
        <v>79938.0</v>
      </c>
      <c r="H6" s="33" t="s">
        <v>42</v>
      </c>
      <c r="I6" s="33" t="s">
        <v>688</v>
      </c>
      <c r="J6" s="30">
        <v>460000.0</v>
      </c>
      <c r="K6" s="35">
        <v>45716.0</v>
      </c>
      <c r="L6" s="35">
        <v>45715.0</v>
      </c>
      <c r="M6" s="35">
        <v>45691.0</v>
      </c>
      <c r="N6" s="36" t="s">
        <v>698</v>
      </c>
      <c r="O6" s="33" t="s">
        <v>699</v>
      </c>
      <c r="P6" s="304" t="s">
        <v>46</v>
      </c>
      <c r="Q6" s="36" t="s">
        <v>700</v>
      </c>
      <c r="R6" s="36" t="s">
        <v>701</v>
      </c>
      <c r="S6" s="33" t="s">
        <v>162</v>
      </c>
      <c r="T6" s="36" t="s">
        <v>320</v>
      </c>
      <c r="U6" s="38" t="s">
        <v>321</v>
      </c>
      <c r="V6" s="36" t="s">
        <v>702</v>
      </c>
      <c r="W6" s="31">
        <v>0.06</v>
      </c>
      <c r="X6" s="31">
        <v>0.03</v>
      </c>
      <c r="Y6" s="30">
        <f t="shared" si="1"/>
        <v>13800</v>
      </c>
      <c r="Z6" s="31">
        <v>0.03</v>
      </c>
      <c r="AA6" s="30">
        <v>0.0</v>
      </c>
      <c r="AB6" s="30">
        <f t="shared" si="2"/>
        <v>13800.03</v>
      </c>
      <c r="AC6" s="31">
        <v>0.03</v>
      </c>
      <c r="AD6" s="30">
        <f t="shared" si="3"/>
        <v>13800</v>
      </c>
      <c r="AE6" s="30">
        <v>0.0</v>
      </c>
      <c r="AF6" s="30">
        <f t="shared" si="4"/>
        <v>13800</v>
      </c>
      <c r="AG6" s="30">
        <f t="shared" si="5"/>
        <v>27600.03</v>
      </c>
      <c r="AH6" s="324"/>
      <c r="AI6" s="324"/>
      <c r="AJ6" s="325"/>
      <c r="AK6" s="326"/>
      <c r="AL6" s="327"/>
      <c r="AM6" s="327"/>
      <c r="AN6" s="325"/>
      <c r="AO6" s="325"/>
      <c r="AP6" s="327"/>
      <c r="AQ6" s="327"/>
      <c r="AR6" s="327"/>
      <c r="AS6" s="328"/>
      <c r="AT6" s="36"/>
      <c r="AU6" s="36"/>
      <c r="AV6" s="36"/>
      <c r="AW6" s="36"/>
      <c r="AX6" s="36"/>
      <c r="AY6" s="36"/>
      <c r="AZ6" s="36"/>
      <c r="BA6" s="36"/>
      <c r="BB6" s="328"/>
      <c r="BC6" s="327"/>
      <c r="BD6" s="36"/>
      <c r="BE6" s="36"/>
      <c r="BF6" s="36"/>
      <c r="BG6" s="36"/>
      <c r="BH6" s="36"/>
      <c r="BI6" s="36"/>
      <c r="BJ6" s="36"/>
      <c r="BK6" s="36"/>
      <c r="BL6" s="36"/>
      <c r="BM6" s="36"/>
    </row>
    <row r="7" ht="22.5" customHeight="1">
      <c r="A7" s="36"/>
      <c r="B7" s="33" t="s">
        <v>415</v>
      </c>
      <c r="C7" s="36" t="s">
        <v>703</v>
      </c>
      <c r="D7" s="36" t="s">
        <v>704</v>
      </c>
      <c r="E7" s="33" t="s">
        <v>672</v>
      </c>
      <c r="F7" s="33" t="s">
        <v>673</v>
      </c>
      <c r="G7" s="33">
        <v>88088.0</v>
      </c>
      <c r="H7" s="33" t="s">
        <v>42</v>
      </c>
      <c r="I7" s="33"/>
      <c r="J7" s="30">
        <v>374000.0</v>
      </c>
      <c r="K7" s="35">
        <v>45720.0</v>
      </c>
      <c r="L7" s="35">
        <v>45720.0</v>
      </c>
      <c r="M7" s="35">
        <v>45693.0</v>
      </c>
      <c r="N7" s="36"/>
      <c r="O7" s="33" t="s">
        <v>393</v>
      </c>
      <c r="P7" s="304" t="s">
        <v>46</v>
      </c>
      <c r="Q7" s="36" t="s">
        <v>47</v>
      </c>
      <c r="R7" s="36" t="s">
        <v>705</v>
      </c>
      <c r="S7" s="33" t="s">
        <v>49</v>
      </c>
      <c r="T7" s="36" t="s">
        <v>706</v>
      </c>
      <c r="U7" s="38" t="s">
        <v>707</v>
      </c>
      <c r="V7" s="36"/>
      <c r="W7" s="31"/>
      <c r="X7" s="31"/>
      <c r="Y7" s="30">
        <f t="shared" si="1"/>
        <v>0</v>
      </c>
      <c r="Z7" s="31"/>
      <c r="AA7" s="30"/>
      <c r="AB7" s="30">
        <f t="shared" si="2"/>
        <v>0</v>
      </c>
      <c r="AC7" s="31"/>
      <c r="AD7" s="30">
        <f t="shared" si="3"/>
        <v>0</v>
      </c>
      <c r="AE7" s="30"/>
      <c r="AF7" s="30">
        <f t="shared" si="4"/>
        <v>0</v>
      </c>
      <c r="AG7" s="30">
        <f t="shared" si="5"/>
        <v>0</v>
      </c>
      <c r="AH7" s="324"/>
      <c r="AI7" s="324"/>
      <c r="AJ7" s="325"/>
      <c r="AK7" s="326"/>
      <c r="AL7" s="327"/>
      <c r="AM7" s="327"/>
      <c r="AN7" s="325"/>
      <c r="AO7" s="325"/>
      <c r="AP7" s="327"/>
      <c r="AQ7" s="327"/>
      <c r="AR7" s="327"/>
      <c r="AS7" s="328"/>
      <c r="AT7" s="36"/>
      <c r="AU7" s="329"/>
      <c r="AV7" s="36"/>
      <c r="AW7" s="36"/>
      <c r="AX7" s="36"/>
      <c r="AY7" s="36"/>
      <c r="AZ7" s="36"/>
      <c r="BA7" s="36"/>
      <c r="BB7" s="328"/>
      <c r="BC7" s="327"/>
      <c r="BD7" s="36"/>
      <c r="BE7" s="36"/>
      <c r="BF7" s="36"/>
      <c r="BG7" s="36"/>
      <c r="BH7" s="36"/>
      <c r="BI7" s="36"/>
      <c r="BJ7" s="36"/>
      <c r="BK7" s="36"/>
      <c r="BL7" s="36"/>
      <c r="BM7" s="36"/>
    </row>
    <row r="8" ht="22.5" customHeight="1">
      <c r="A8" s="36"/>
      <c r="B8" s="33" t="s">
        <v>415</v>
      </c>
      <c r="C8" s="36" t="s">
        <v>708</v>
      </c>
      <c r="D8" s="36" t="s">
        <v>709</v>
      </c>
      <c r="E8" s="33" t="s">
        <v>40</v>
      </c>
      <c r="F8" s="33" t="s">
        <v>41</v>
      </c>
      <c r="G8" s="33">
        <v>79938.0</v>
      </c>
      <c r="H8" s="33" t="s">
        <v>42</v>
      </c>
      <c r="I8" s="33"/>
      <c r="J8" s="30">
        <v>337500.0</v>
      </c>
      <c r="K8" s="35">
        <v>45720.0</v>
      </c>
      <c r="L8" s="35">
        <v>45720.0</v>
      </c>
      <c r="M8" s="35">
        <v>45693.0</v>
      </c>
      <c r="N8" s="36" t="s">
        <v>710</v>
      </c>
      <c r="O8" s="33" t="s">
        <v>73</v>
      </c>
      <c r="P8" s="304" t="s">
        <v>46</v>
      </c>
      <c r="Q8" s="36" t="s">
        <v>223</v>
      </c>
      <c r="R8" s="36">
        <v>9.157914156E9</v>
      </c>
      <c r="S8" s="33" t="s">
        <v>49</v>
      </c>
      <c r="T8" s="36" t="s">
        <v>711</v>
      </c>
      <c r="U8" s="38">
        <v>9.154947233E9</v>
      </c>
      <c r="V8" s="36" t="s">
        <v>712</v>
      </c>
      <c r="W8" s="31">
        <v>0.05</v>
      </c>
      <c r="X8" s="31">
        <v>0.03</v>
      </c>
      <c r="Y8" s="30">
        <f t="shared" si="1"/>
        <v>10125</v>
      </c>
      <c r="Z8" s="31">
        <v>0.02</v>
      </c>
      <c r="AA8" s="30">
        <v>0.0</v>
      </c>
      <c r="AB8" s="30">
        <f t="shared" si="2"/>
        <v>10125.02</v>
      </c>
      <c r="AC8" s="31">
        <v>0.03</v>
      </c>
      <c r="AD8" s="30">
        <f t="shared" si="3"/>
        <v>10125</v>
      </c>
      <c r="AE8" s="30">
        <v>0.0</v>
      </c>
      <c r="AF8" s="30">
        <f t="shared" si="4"/>
        <v>10125</v>
      </c>
      <c r="AG8" s="30">
        <f t="shared" si="5"/>
        <v>20250.02</v>
      </c>
      <c r="AH8" s="324"/>
      <c r="AI8" s="324"/>
      <c r="AJ8" s="325"/>
      <c r="AK8" s="326"/>
      <c r="AL8" s="327"/>
      <c r="AM8" s="327"/>
      <c r="AN8" s="325"/>
      <c r="AO8" s="325"/>
      <c r="AP8" s="327"/>
      <c r="AQ8" s="327"/>
      <c r="AR8" s="327"/>
      <c r="AS8" s="328"/>
      <c r="AT8" s="36"/>
      <c r="AU8" s="329"/>
      <c r="AV8" s="36"/>
      <c r="AW8" s="36"/>
      <c r="AX8" s="36"/>
      <c r="AY8" s="36"/>
      <c r="AZ8" s="36"/>
      <c r="BA8" s="36"/>
      <c r="BB8" s="328"/>
      <c r="BC8" s="327"/>
      <c r="BD8" s="36"/>
      <c r="BE8" s="36"/>
      <c r="BF8" s="36"/>
      <c r="BG8" s="36"/>
      <c r="BH8" s="36"/>
      <c r="BI8" s="36"/>
      <c r="BJ8" s="36"/>
      <c r="BK8" s="36"/>
      <c r="BL8" s="36"/>
      <c r="BM8" s="36"/>
    </row>
    <row r="9" ht="22.5" customHeight="1">
      <c r="A9" s="36"/>
      <c r="B9" s="33" t="s">
        <v>415</v>
      </c>
      <c r="C9" s="36" t="s">
        <v>713</v>
      </c>
      <c r="D9" s="36" t="s">
        <v>714</v>
      </c>
      <c r="E9" s="33" t="s">
        <v>40</v>
      </c>
      <c r="F9" s="33" t="s">
        <v>41</v>
      </c>
      <c r="G9" s="33">
        <v>79927.0</v>
      </c>
      <c r="H9" s="33" t="s">
        <v>42</v>
      </c>
      <c r="I9" s="33" t="s">
        <v>682</v>
      </c>
      <c r="J9" s="30">
        <v>279500.0</v>
      </c>
      <c r="K9" s="35">
        <v>45691.0</v>
      </c>
      <c r="L9" s="41">
        <v>45721.0</v>
      </c>
      <c r="M9" s="35">
        <v>45660.0</v>
      </c>
      <c r="N9" s="36"/>
      <c r="O9" s="33" t="s">
        <v>715</v>
      </c>
      <c r="P9" s="304" t="s">
        <v>716</v>
      </c>
      <c r="Q9" s="36" t="s">
        <v>717</v>
      </c>
      <c r="R9" s="36"/>
      <c r="S9" s="33" t="s">
        <v>598</v>
      </c>
      <c r="T9" s="36" t="s">
        <v>718</v>
      </c>
      <c r="U9" s="38"/>
      <c r="V9" s="36"/>
      <c r="W9" s="31"/>
      <c r="X9" s="31">
        <v>0.03</v>
      </c>
      <c r="Y9" s="30">
        <f t="shared" si="1"/>
        <v>8385</v>
      </c>
      <c r="Z9" s="31">
        <v>0.03</v>
      </c>
      <c r="AA9" s="30">
        <f>Z9*M9</f>
        <v>1369.8</v>
      </c>
      <c r="AB9" s="30">
        <f t="shared" si="2"/>
        <v>9754.83</v>
      </c>
      <c r="AC9" s="31">
        <v>0.03</v>
      </c>
      <c r="AD9" s="30">
        <f t="shared" si="3"/>
        <v>8385</v>
      </c>
      <c r="AE9" s="30">
        <v>2000.0</v>
      </c>
      <c r="AF9" s="30">
        <f t="shared" si="4"/>
        <v>10385</v>
      </c>
      <c r="AG9" s="30">
        <f t="shared" si="5"/>
        <v>20139.83</v>
      </c>
      <c r="AH9" s="324"/>
      <c r="AI9" s="324">
        <v>0.035</v>
      </c>
      <c r="AJ9" s="325">
        <f>J9*AI9</f>
        <v>9782.5</v>
      </c>
      <c r="AK9" s="326">
        <v>0.8</v>
      </c>
      <c r="AL9" s="327">
        <f>AJ9*0.2</f>
        <v>1956.5</v>
      </c>
      <c r="AM9" s="327">
        <f>AJ9-AL9</f>
        <v>7826</v>
      </c>
      <c r="AN9" s="325">
        <f>J9*0.01</f>
        <v>2795</v>
      </c>
      <c r="AO9" s="325">
        <v>0.0</v>
      </c>
      <c r="AP9" s="327"/>
      <c r="AQ9" s="327"/>
      <c r="AR9" s="327">
        <f>AM9-AN9-AO9-AP9-AQ9</f>
        <v>5031</v>
      </c>
      <c r="AS9" s="328"/>
      <c r="AT9" s="36"/>
      <c r="AU9" s="329"/>
      <c r="AV9" s="36"/>
      <c r="AW9" s="36"/>
      <c r="AX9" s="36"/>
      <c r="AY9" s="36"/>
      <c r="AZ9" s="36"/>
      <c r="BA9" s="36"/>
      <c r="BB9" s="328"/>
      <c r="BC9" s="327"/>
      <c r="BD9" s="328"/>
      <c r="BE9" s="328"/>
      <c r="BF9" s="36"/>
      <c r="BG9" s="36"/>
      <c r="BH9" s="36"/>
      <c r="BI9" s="36"/>
      <c r="BJ9" s="36"/>
      <c r="BK9" s="36"/>
      <c r="BL9" s="36"/>
      <c r="BM9" s="36"/>
    </row>
    <row r="10" ht="22.5" customHeight="1">
      <c r="A10" s="36"/>
      <c r="B10" s="33" t="s">
        <v>42</v>
      </c>
      <c r="C10" s="36" t="s">
        <v>719</v>
      </c>
      <c r="D10" s="36" t="s">
        <v>720</v>
      </c>
      <c r="E10" s="33" t="s">
        <v>40</v>
      </c>
      <c r="F10" s="33" t="s">
        <v>41</v>
      </c>
      <c r="G10" s="33">
        <v>79928.0</v>
      </c>
      <c r="H10" s="33" t="s">
        <v>42</v>
      </c>
      <c r="I10" s="33"/>
      <c r="J10" s="30">
        <v>342000.0</v>
      </c>
      <c r="K10" s="35">
        <v>45719.0</v>
      </c>
      <c r="L10" s="35">
        <v>45723.0</v>
      </c>
      <c r="M10" s="35">
        <v>45692.0</v>
      </c>
      <c r="N10" s="36"/>
      <c r="O10" s="33" t="s">
        <v>675</v>
      </c>
      <c r="P10" s="304" t="s">
        <v>46</v>
      </c>
      <c r="Q10" s="36" t="s">
        <v>676</v>
      </c>
      <c r="R10" s="36"/>
      <c r="S10" s="33" t="s">
        <v>677</v>
      </c>
      <c r="T10" s="36"/>
      <c r="U10" s="38"/>
      <c r="V10" s="36"/>
      <c r="W10" s="31"/>
      <c r="X10" s="31"/>
      <c r="Y10" s="30">
        <f t="shared" si="1"/>
        <v>0</v>
      </c>
      <c r="Z10" s="31"/>
      <c r="AA10" s="30"/>
      <c r="AB10" s="30">
        <f t="shared" si="2"/>
        <v>0</v>
      </c>
      <c r="AC10" s="31"/>
      <c r="AD10" s="30">
        <f t="shared" si="3"/>
        <v>0</v>
      </c>
      <c r="AE10" s="30"/>
      <c r="AF10" s="30">
        <f t="shared" si="4"/>
        <v>0</v>
      </c>
      <c r="AG10" s="30">
        <f t="shared" si="5"/>
        <v>0</v>
      </c>
      <c r="AH10" s="324"/>
      <c r="AI10" s="324"/>
      <c r="AJ10" s="325"/>
      <c r="AK10" s="326"/>
      <c r="AL10" s="327"/>
      <c r="AM10" s="327"/>
      <c r="AN10" s="325"/>
      <c r="AO10" s="325"/>
      <c r="AP10" s="327"/>
      <c r="AQ10" s="327"/>
      <c r="AR10" s="327"/>
      <c r="AS10" s="328"/>
      <c r="AT10" s="36"/>
      <c r="AU10" s="329"/>
      <c r="AV10" s="36"/>
      <c r="AW10" s="36"/>
      <c r="AX10" s="36"/>
      <c r="AY10" s="36"/>
      <c r="AZ10" s="36"/>
      <c r="BA10" s="36"/>
      <c r="BB10" s="328"/>
      <c r="BC10" s="327"/>
      <c r="BD10" s="36"/>
      <c r="BE10" s="36"/>
      <c r="BF10" s="36"/>
      <c r="BG10" s="36"/>
      <c r="BH10" s="36"/>
      <c r="BI10" s="36"/>
      <c r="BJ10" s="36"/>
      <c r="BK10" s="36"/>
      <c r="BL10" s="36"/>
      <c r="BM10" s="36"/>
    </row>
    <row r="11" ht="22.5" customHeight="1">
      <c r="A11" s="36"/>
      <c r="B11" s="33" t="s">
        <v>42</v>
      </c>
      <c r="C11" s="36" t="s">
        <v>721</v>
      </c>
      <c r="D11" s="36" t="s">
        <v>722</v>
      </c>
      <c r="E11" s="33" t="s">
        <v>40</v>
      </c>
      <c r="F11" s="33" t="s">
        <v>41</v>
      </c>
      <c r="G11" s="33">
        <v>79928.0</v>
      </c>
      <c r="H11" s="33" t="s">
        <v>42</v>
      </c>
      <c r="I11" s="33"/>
      <c r="J11" s="30">
        <v>342000.0</v>
      </c>
      <c r="K11" s="35">
        <v>45726.0</v>
      </c>
      <c r="L11" s="35">
        <v>45726.0</v>
      </c>
      <c r="M11" s="41"/>
      <c r="N11" s="36" t="s">
        <v>723</v>
      </c>
      <c r="O11" s="33" t="s">
        <v>73</v>
      </c>
      <c r="P11" s="304" t="s">
        <v>596</v>
      </c>
      <c r="Q11" s="36" t="s">
        <v>47</v>
      </c>
      <c r="R11" s="36" t="s">
        <v>48</v>
      </c>
      <c r="S11" s="33" t="s">
        <v>49</v>
      </c>
      <c r="T11" s="36" t="s">
        <v>73</v>
      </c>
      <c r="U11" s="38">
        <v>9.153552887E9</v>
      </c>
      <c r="V11" s="36" t="s">
        <v>702</v>
      </c>
      <c r="W11" s="31">
        <v>0.05</v>
      </c>
      <c r="X11" s="31">
        <v>0.03</v>
      </c>
      <c r="Y11" s="30">
        <f t="shared" si="1"/>
        <v>10260</v>
      </c>
      <c r="Z11" s="31">
        <v>0.02</v>
      </c>
      <c r="AA11" s="30">
        <v>0.0</v>
      </c>
      <c r="AB11" s="30">
        <f t="shared" si="2"/>
        <v>10260.02</v>
      </c>
      <c r="AC11" s="31">
        <v>0.03</v>
      </c>
      <c r="AD11" s="30">
        <f t="shared" si="3"/>
        <v>10260</v>
      </c>
      <c r="AE11" s="30">
        <v>2000.0</v>
      </c>
      <c r="AF11" s="30">
        <f t="shared" si="4"/>
        <v>12260</v>
      </c>
      <c r="AG11" s="30">
        <f t="shared" si="5"/>
        <v>22520.02</v>
      </c>
      <c r="AH11" s="324"/>
      <c r="AI11" s="324"/>
      <c r="AJ11" s="325"/>
      <c r="AK11" s="326"/>
      <c r="AL11" s="327"/>
      <c r="AM11" s="327"/>
      <c r="AN11" s="325"/>
      <c r="AO11" s="325"/>
      <c r="AP11" s="327"/>
      <c r="AQ11" s="327"/>
      <c r="AR11" s="327"/>
      <c r="AS11" s="328"/>
      <c r="AT11" s="36"/>
      <c r="AU11" s="329"/>
      <c r="AV11" s="36"/>
      <c r="AW11" s="36"/>
      <c r="AX11" s="36"/>
      <c r="AY11" s="36"/>
      <c r="AZ11" s="36"/>
      <c r="BA11" s="36"/>
      <c r="BB11" s="328"/>
      <c r="BC11" s="327"/>
      <c r="BD11" s="36"/>
      <c r="BE11" s="36"/>
      <c r="BF11" s="36"/>
      <c r="BG11" s="36"/>
      <c r="BH11" s="36"/>
      <c r="BI11" s="36"/>
      <c r="BJ11" s="36"/>
      <c r="BK11" s="36"/>
      <c r="BL11" s="36"/>
      <c r="BM11" s="36"/>
    </row>
    <row r="12" ht="22.5" customHeight="1">
      <c r="A12" s="36"/>
      <c r="B12" s="33" t="s">
        <v>415</v>
      </c>
      <c r="C12" s="36" t="s">
        <v>724</v>
      </c>
      <c r="D12" s="36" t="s">
        <v>725</v>
      </c>
      <c r="E12" s="33" t="s">
        <v>40</v>
      </c>
      <c r="F12" s="33" t="s">
        <v>41</v>
      </c>
      <c r="G12" s="33">
        <v>79924.0</v>
      </c>
      <c r="H12" s="33" t="s">
        <v>42</v>
      </c>
      <c r="I12" s="33" t="s">
        <v>43</v>
      </c>
      <c r="J12" s="30">
        <v>339000.0</v>
      </c>
      <c r="K12" s="35">
        <v>45727.0</v>
      </c>
      <c r="L12" s="35">
        <v>45727.0</v>
      </c>
      <c r="M12" s="35">
        <v>45700.0</v>
      </c>
      <c r="N12" s="36"/>
      <c r="O12" s="33" t="s">
        <v>675</v>
      </c>
      <c r="P12" s="304" t="s">
        <v>726</v>
      </c>
      <c r="Q12" s="36" t="s">
        <v>47</v>
      </c>
      <c r="R12" s="36" t="s">
        <v>705</v>
      </c>
      <c r="S12" s="33" t="s">
        <v>49</v>
      </c>
      <c r="T12" s="36" t="s">
        <v>727</v>
      </c>
      <c r="U12" s="38" t="s">
        <v>728</v>
      </c>
      <c r="V12" s="36" t="s">
        <v>729</v>
      </c>
      <c r="W12" s="31"/>
      <c r="X12" s="31"/>
      <c r="Y12" s="30">
        <f t="shared" si="1"/>
        <v>0</v>
      </c>
      <c r="Z12" s="31"/>
      <c r="AA12" s="30"/>
      <c r="AB12" s="30">
        <f t="shared" si="2"/>
        <v>0</v>
      </c>
      <c r="AC12" s="31"/>
      <c r="AD12" s="30">
        <f t="shared" si="3"/>
        <v>0</v>
      </c>
      <c r="AE12" s="30"/>
      <c r="AF12" s="30">
        <f t="shared" si="4"/>
        <v>0</v>
      </c>
      <c r="AG12" s="30">
        <f t="shared" si="5"/>
        <v>0</v>
      </c>
      <c r="AH12" s="324"/>
      <c r="AI12" s="324"/>
      <c r="AJ12" s="325"/>
      <c r="AK12" s="326"/>
      <c r="AL12" s="327"/>
      <c r="AM12" s="327"/>
      <c r="AN12" s="325"/>
      <c r="AO12" s="325"/>
      <c r="AP12" s="327"/>
      <c r="AQ12" s="327"/>
      <c r="AR12" s="327"/>
      <c r="AS12" s="328"/>
      <c r="AT12" s="36"/>
      <c r="AU12" s="329"/>
      <c r="AV12" s="36"/>
      <c r="AW12" s="36"/>
      <c r="AX12" s="36"/>
      <c r="AY12" s="36"/>
      <c r="AZ12" s="36"/>
      <c r="BA12" s="36"/>
      <c r="BB12" s="328"/>
      <c r="BC12" s="327"/>
      <c r="BD12" s="36"/>
      <c r="BE12" s="36"/>
      <c r="BF12" s="36"/>
      <c r="BG12" s="36"/>
      <c r="BH12" s="36"/>
      <c r="BI12" s="36"/>
      <c r="BJ12" s="36"/>
      <c r="BK12" s="36"/>
      <c r="BL12" s="36"/>
      <c r="BM12" s="36"/>
    </row>
    <row r="13" ht="22.5" customHeight="1">
      <c r="A13" s="36"/>
      <c r="B13" s="33" t="s">
        <v>42</v>
      </c>
      <c r="C13" s="36" t="s">
        <v>730</v>
      </c>
      <c r="D13" s="36" t="s">
        <v>731</v>
      </c>
      <c r="E13" s="33" t="s">
        <v>672</v>
      </c>
      <c r="F13" s="33" t="s">
        <v>673</v>
      </c>
      <c r="G13" s="33">
        <v>88008.0</v>
      </c>
      <c r="H13" s="33" t="s">
        <v>42</v>
      </c>
      <c r="I13" s="33"/>
      <c r="J13" s="30">
        <v>332000.0</v>
      </c>
      <c r="K13" s="35">
        <v>45730.0</v>
      </c>
      <c r="L13" s="35">
        <v>45730.0</v>
      </c>
      <c r="M13" s="35">
        <v>45709.0</v>
      </c>
      <c r="N13" s="36" t="s">
        <v>732</v>
      </c>
      <c r="O13" s="33" t="s">
        <v>733</v>
      </c>
      <c r="P13" s="304" t="s">
        <v>600</v>
      </c>
      <c r="Q13" s="36" t="s">
        <v>47</v>
      </c>
      <c r="R13" s="36" t="s">
        <v>705</v>
      </c>
      <c r="S13" s="33" t="s">
        <v>49</v>
      </c>
      <c r="T13" s="36" t="s">
        <v>733</v>
      </c>
      <c r="U13" s="38">
        <v>9.156941025E9</v>
      </c>
      <c r="V13" s="36" t="s">
        <v>702</v>
      </c>
      <c r="W13" s="31"/>
      <c r="X13" s="31"/>
      <c r="Y13" s="30">
        <f t="shared" si="1"/>
        <v>0</v>
      </c>
      <c r="Z13" s="31"/>
      <c r="AA13" s="30"/>
      <c r="AB13" s="30">
        <f t="shared" si="2"/>
        <v>0</v>
      </c>
      <c r="AC13" s="31"/>
      <c r="AD13" s="30">
        <f t="shared" si="3"/>
        <v>0</v>
      </c>
      <c r="AE13" s="30"/>
      <c r="AF13" s="30">
        <f t="shared" si="4"/>
        <v>0</v>
      </c>
      <c r="AG13" s="30">
        <f t="shared" si="5"/>
        <v>0</v>
      </c>
      <c r="AH13" s="324"/>
      <c r="AI13" s="324"/>
      <c r="AJ13" s="325"/>
      <c r="AK13" s="326"/>
      <c r="AL13" s="327"/>
      <c r="AM13" s="327"/>
      <c r="AN13" s="325"/>
      <c r="AO13" s="325"/>
      <c r="AP13" s="327"/>
      <c r="AQ13" s="327"/>
      <c r="AR13" s="327"/>
      <c r="AS13" s="328"/>
      <c r="AT13" s="36"/>
      <c r="AU13" s="329"/>
      <c r="AV13" s="36"/>
      <c r="AW13" s="36"/>
      <c r="AX13" s="36"/>
      <c r="AY13" s="36"/>
      <c r="AZ13" s="36"/>
      <c r="BA13" s="36"/>
      <c r="BB13" s="328"/>
      <c r="BC13" s="327"/>
      <c r="BD13" s="36"/>
      <c r="BE13" s="36"/>
      <c r="BF13" s="36"/>
      <c r="BG13" s="36"/>
      <c r="BH13" s="36"/>
      <c r="BI13" s="36"/>
      <c r="BJ13" s="36"/>
      <c r="BK13" s="36"/>
      <c r="BL13" s="36"/>
      <c r="BM13" s="36"/>
    </row>
    <row r="14" ht="22.5" customHeight="1">
      <c r="A14" s="36"/>
      <c r="B14" s="33" t="s">
        <v>42</v>
      </c>
      <c r="C14" s="36" t="s">
        <v>734</v>
      </c>
      <c r="D14" s="36" t="s">
        <v>735</v>
      </c>
      <c r="E14" s="33" t="s">
        <v>40</v>
      </c>
      <c r="F14" s="33" t="s">
        <v>41</v>
      </c>
      <c r="G14" s="33">
        <v>79938.0</v>
      </c>
      <c r="H14" s="33" t="s">
        <v>42</v>
      </c>
      <c r="I14" s="33" t="s">
        <v>682</v>
      </c>
      <c r="J14" s="30">
        <v>299000.0</v>
      </c>
      <c r="K14" s="35">
        <v>45722.0</v>
      </c>
      <c r="L14" s="35">
        <v>45730.0</v>
      </c>
      <c r="M14" s="35">
        <v>45700.0</v>
      </c>
      <c r="N14" s="36" t="s">
        <v>732</v>
      </c>
      <c r="O14" s="33" t="s">
        <v>73</v>
      </c>
      <c r="P14" s="304"/>
      <c r="Q14" s="36" t="s">
        <v>736</v>
      </c>
      <c r="R14" s="36">
        <v>9.152486551E9</v>
      </c>
      <c r="S14" s="33" t="s">
        <v>617</v>
      </c>
      <c r="T14" s="36"/>
      <c r="U14" s="38"/>
      <c r="V14" s="36"/>
      <c r="W14" s="31">
        <v>0.06</v>
      </c>
      <c r="X14" s="31">
        <v>0.03</v>
      </c>
      <c r="Y14" s="30">
        <f t="shared" si="1"/>
        <v>8970</v>
      </c>
      <c r="Z14" s="31"/>
      <c r="AA14" s="30">
        <v>5000.0</v>
      </c>
      <c r="AB14" s="30">
        <f t="shared" si="2"/>
        <v>13970</v>
      </c>
      <c r="AC14" s="31">
        <v>0.03</v>
      </c>
      <c r="AD14" s="30">
        <f t="shared" si="3"/>
        <v>8970</v>
      </c>
      <c r="AE14" s="30">
        <v>0.0</v>
      </c>
      <c r="AF14" s="30">
        <f t="shared" si="4"/>
        <v>8970</v>
      </c>
      <c r="AG14" s="30">
        <f t="shared" si="5"/>
        <v>22940</v>
      </c>
      <c r="AH14" s="324"/>
      <c r="AI14" s="324"/>
      <c r="AJ14" s="325"/>
      <c r="AK14" s="326"/>
      <c r="AL14" s="327"/>
      <c r="AM14" s="327"/>
      <c r="AN14" s="325"/>
      <c r="AO14" s="325"/>
      <c r="AP14" s="327"/>
      <c r="AQ14" s="327"/>
      <c r="AR14" s="327"/>
      <c r="AS14" s="328"/>
      <c r="AT14" s="36"/>
      <c r="AU14" s="329"/>
      <c r="AV14" s="36"/>
      <c r="AW14" s="36"/>
      <c r="AX14" s="36"/>
      <c r="AY14" s="36"/>
      <c r="AZ14" s="36"/>
      <c r="BA14" s="36"/>
      <c r="BB14" s="328"/>
      <c r="BC14" s="327"/>
      <c r="BD14" s="36"/>
      <c r="BE14" s="36"/>
      <c r="BF14" s="36"/>
      <c r="BG14" s="36"/>
      <c r="BH14" s="36"/>
      <c r="BI14" s="36"/>
      <c r="BJ14" s="36"/>
      <c r="BK14" s="36"/>
      <c r="BL14" s="36"/>
      <c r="BM14" s="36"/>
    </row>
    <row r="15" ht="22.5" customHeight="1">
      <c r="A15" s="36"/>
      <c r="B15" s="33" t="s">
        <v>415</v>
      </c>
      <c r="C15" s="36" t="s">
        <v>737</v>
      </c>
      <c r="D15" s="36" t="s">
        <v>738</v>
      </c>
      <c r="E15" s="33" t="s">
        <v>40</v>
      </c>
      <c r="F15" s="33" t="s">
        <v>41</v>
      </c>
      <c r="G15" s="33">
        <v>79927.0</v>
      </c>
      <c r="H15" s="33" t="s">
        <v>42</v>
      </c>
      <c r="I15" s="33"/>
      <c r="J15" s="30">
        <v>284500.0</v>
      </c>
      <c r="K15" s="41">
        <v>45730.0</v>
      </c>
      <c r="L15" s="41">
        <v>45730.0</v>
      </c>
      <c r="M15" s="41">
        <v>45707.0</v>
      </c>
      <c r="N15" s="36" t="s">
        <v>739</v>
      </c>
      <c r="O15" s="33" t="s">
        <v>740</v>
      </c>
      <c r="P15" s="304"/>
      <c r="Q15" s="36" t="s">
        <v>741</v>
      </c>
      <c r="R15" s="36" t="s">
        <v>742</v>
      </c>
      <c r="S15" s="33" t="s">
        <v>598</v>
      </c>
      <c r="T15" s="36" t="s">
        <v>743</v>
      </c>
      <c r="U15" s="36" t="s">
        <v>744</v>
      </c>
      <c r="V15" s="36" t="s">
        <v>745</v>
      </c>
      <c r="W15" s="31">
        <v>0.05</v>
      </c>
      <c r="X15" s="31">
        <v>0.03</v>
      </c>
      <c r="Y15" s="30">
        <f t="shared" si="1"/>
        <v>8535</v>
      </c>
      <c r="Z15" s="31">
        <v>0.02</v>
      </c>
      <c r="AA15" s="30"/>
      <c r="AB15" s="30">
        <f t="shared" si="2"/>
        <v>8535.02</v>
      </c>
      <c r="AC15" s="31">
        <v>0.03</v>
      </c>
      <c r="AD15" s="30">
        <f t="shared" si="3"/>
        <v>8535</v>
      </c>
      <c r="AE15" s="30">
        <v>2000.0</v>
      </c>
      <c r="AF15" s="30">
        <f t="shared" si="4"/>
        <v>10535</v>
      </c>
      <c r="AG15" s="30">
        <f t="shared" si="5"/>
        <v>19070.02</v>
      </c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</row>
    <row r="16" ht="22.5" customHeight="1">
      <c r="A16" s="36"/>
      <c r="B16" s="33" t="s">
        <v>415</v>
      </c>
      <c r="C16" s="36"/>
      <c r="D16" s="36" t="s">
        <v>746</v>
      </c>
      <c r="E16" s="33" t="s">
        <v>40</v>
      </c>
      <c r="F16" s="33" t="s">
        <v>41</v>
      </c>
      <c r="G16" s="33"/>
      <c r="H16" s="33" t="s">
        <v>42</v>
      </c>
      <c r="I16" s="33"/>
      <c r="J16" s="30"/>
      <c r="K16" s="35">
        <v>45730.0</v>
      </c>
      <c r="L16" s="35">
        <v>45730.0</v>
      </c>
      <c r="M16" s="41"/>
      <c r="N16" s="36"/>
      <c r="O16" s="33"/>
      <c r="P16" s="304"/>
      <c r="Q16" s="36" t="s">
        <v>135</v>
      </c>
      <c r="R16" s="36"/>
      <c r="S16" s="33"/>
      <c r="T16" s="36"/>
      <c r="U16" s="38"/>
      <c r="V16" s="36"/>
      <c r="W16" s="31"/>
      <c r="X16" s="31"/>
      <c r="Y16" s="30">
        <f t="shared" si="1"/>
        <v>0</v>
      </c>
      <c r="Z16" s="31"/>
      <c r="AA16" s="30"/>
      <c r="AB16" s="30">
        <f t="shared" si="2"/>
        <v>0</v>
      </c>
      <c r="AC16" s="31"/>
      <c r="AD16" s="30">
        <f t="shared" si="3"/>
        <v>0</v>
      </c>
      <c r="AE16" s="30"/>
      <c r="AF16" s="30">
        <f t="shared" si="4"/>
        <v>0</v>
      </c>
      <c r="AG16" s="30">
        <f t="shared" si="5"/>
        <v>0</v>
      </c>
      <c r="AH16" s="324"/>
      <c r="AI16" s="324"/>
      <c r="AJ16" s="325"/>
      <c r="AK16" s="326"/>
      <c r="AL16" s="327"/>
      <c r="AM16" s="327"/>
      <c r="AN16" s="325"/>
      <c r="AO16" s="325"/>
      <c r="AP16" s="327"/>
      <c r="AQ16" s="327"/>
      <c r="AR16" s="327"/>
      <c r="AS16" s="328"/>
      <c r="AT16" s="36"/>
      <c r="AU16" s="329"/>
      <c r="AV16" s="36"/>
      <c r="AW16" s="36"/>
      <c r="AX16" s="36"/>
      <c r="AY16" s="36"/>
      <c r="AZ16" s="36"/>
      <c r="BA16" s="36"/>
      <c r="BB16" s="328"/>
      <c r="BC16" s="327"/>
      <c r="BD16" s="36"/>
      <c r="BE16" s="36"/>
      <c r="BF16" s="36"/>
      <c r="BG16" s="36"/>
      <c r="BH16" s="36"/>
      <c r="BI16" s="36"/>
      <c r="BJ16" s="36"/>
      <c r="BK16" s="36"/>
      <c r="BL16" s="36"/>
      <c r="BM16" s="36"/>
    </row>
    <row r="17" ht="22.5" customHeight="1">
      <c r="A17" s="36"/>
      <c r="B17" s="33" t="s">
        <v>415</v>
      </c>
      <c r="C17" s="36" t="s">
        <v>747</v>
      </c>
      <c r="D17" s="36" t="s">
        <v>748</v>
      </c>
      <c r="E17" s="33" t="s">
        <v>40</v>
      </c>
      <c r="F17" s="33" t="s">
        <v>41</v>
      </c>
      <c r="G17" s="33">
        <v>79938.0</v>
      </c>
      <c r="H17" s="33" t="s">
        <v>42</v>
      </c>
      <c r="I17" s="33"/>
      <c r="J17" s="30">
        <v>305000.0</v>
      </c>
      <c r="K17" s="35">
        <v>45734.0</v>
      </c>
      <c r="L17" s="35">
        <v>45734.0</v>
      </c>
      <c r="M17" s="35">
        <v>45726.0</v>
      </c>
      <c r="N17" s="36" t="s">
        <v>739</v>
      </c>
      <c r="O17" s="33" t="s">
        <v>699</v>
      </c>
      <c r="P17" s="304"/>
      <c r="Q17" s="36" t="s">
        <v>749</v>
      </c>
      <c r="R17" s="36">
        <v>9.154787827E9</v>
      </c>
      <c r="S17" s="33" t="s">
        <v>750</v>
      </c>
      <c r="T17" s="36" t="s">
        <v>751</v>
      </c>
      <c r="U17" s="38">
        <v>9.152560007E9</v>
      </c>
      <c r="V17" s="36" t="s">
        <v>752</v>
      </c>
      <c r="W17" s="31"/>
      <c r="X17" s="31"/>
      <c r="Y17" s="30">
        <f t="shared" si="1"/>
        <v>0</v>
      </c>
      <c r="Z17" s="31"/>
      <c r="AA17" s="30"/>
      <c r="AB17" s="30">
        <f t="shared" si="2"/>
        <v>0</v>
      </c>
      <c r="AC17" s="31"/>
      <c r="AD17" s="30">
        <f t="shared" si="3"/>
        <v>0</v>
      </c>
      <c r="AE17" s="30"/>
      <c r="AF17" s="30">
        <f t="shared" si="4"/>
        <v>0</v>
      </c>
      <c r="AG17" s="30">
        <f t="shared" si="5"/>
        <v>0</v>
      </c>
      <c r="AH17" s="324"/>
      <c r="AI17" s="324"/>
      <c r="AJ17" s="325"/>
      <c r="AK17" s="326"/>
      <c r="AL17" s="327"/>
      <c r="AM17" s="327"/>
      <c r="AN17" s="325"/>
      <c r="AO17" s="325"/>
      <c r="AP17" s="327"/>
      <c r="AQ17" s="327"/>
      <c r="AR17" s="327"/>
      <c r="AS17" s="328"/>
      <c r="AT17" s="36"/>
      <c r="AU17" s="329"/>
      <c r="AV17" s="36"/>
      <c r="AW17" s="36"/>
      <c r="AX17" s="36"/>
      <c r="AY17" s="36"/>
      <c r="AZ17" s="36"/>
      <c r="BA17" s="36"/>
      <c r="BB17" s="328"/>
      <c r="BC17" s="327"/>
      <c r="BD17" s="36"/>
      <c r="BE17" s="36"/>
      <c r="BF17" s="36"/>
      <c r="BG17" s="36"/>
      <c r="BH17" s="36"/>
      <c r="BI17" s="36"/>
      <c r="BJ17" s="36"/>
      <c r="BK17" s="36"/>
      <c r="BL17" s="36"/>
      <c r="BM17" s="36"/>
    </row>
    <row r="18" ht="22.5" customHeight="1">
      <c r="A18" s="36"/>
      <c r="B18" s="33" t="s">
        <v>415</v>
      </c>
      <c r="C18" s="36" t="s">
        <v>753</v>
      </c>
      <c r="D18" s="36" t="s">
        <v>754</v>
      </c>
      <c r="E18" s="33" t="s">
        <v>672</v>
      </c>
      <c r="F18" s="33" t="s">
        <v>673</v>
      </c>
      <c r="G18" s="33">
        <v>88008.0</v>
      </c>
      <c r="H18" s="33" t="s">
        <v>42</v>
      </c>
      <c r="I18" s="33"/>
      <c r="J18" s="30">
        <v>338500.0</v>
      </c>
      <c r="K18" s="35">
        <v>45736.0</v>
      </c>
      <c r="L18" s="35">
        <v>45736.0</v>
      </c>
      <c r="M18" s="35">
        <v>45700.0</v>
      </c>
      <c r="N18" s="36"/>
      <c r="O18" s="33" t="s">
        <v>755</v>
      </c>
      <c r="P18" s="304" t="s">
        <v>756</v>
      </c>
      <c r="Q18" s="36" t="s">
        <v>47</v>
      </c>
      <c r="R18" s="36" t="s">
        <v>705</v>
      </c>
      <c r="S18" s="33" t="s">
        <v>49</v>
      </c>
      <c r="T18" s="36"/>
      <c r="U18" s="38"/>
      <c r="V18" s="36"/>
      <c r="W18" s="31"/>
      <c r="X18" s="31"/>
      <c r="Y18" s="30">
        <f t="shared" si="1"/>
        <v>0</v>
      </c>
      <c r="Z18" s="31"/>
      <c r="AA18" s="30"/>
      <c r="AB18" s="30">
        <f t="shared" si="2"/>
        <v>0</v>
      </c>
      <c r="AC18" s="31"/>
      <c r="AD18" s="30">
        <f t="shared" si="3"/>
        <v>0</v>
      </c>
      <c r="AE18" s="30"/>
      <c r="AF18" s="30">
        <f t="shared" si="4"/>
        <v>0</v>
      </c>
      <c r="AG18" s="30">
        <f t="shared" si="5"/>
        <v>0</v>
      </c>
      <c r="AH18" s="324"/>
      <c r="AI18" s="324"/>
      <c r="AJ18" s="325"/>
      <c r="AK18" s="326"/>
      <c r="AL18" s="327"/>
      <c r="AM18" s="327"/>
      <c r="AN18" s="325"/>
      <c r="AO18" s="325"/>
      <c r="AP18" s="327"/>
      <c r="AQ18" s="327"/>
      <c r="AR18" s="327"/>
      <c r="AS18" s="328"/>
      <c r="AT18" s="36"/>
      <c r="AU18" s="329"/>
      <c r="AV18" s="36"/>
      <c r="AW18" s="36"/>
      <c r="AX18" s="36"/>
      <c r="AY18" s="36"/>
      <c r="AZ18" s="36"/>
      <c r="BA18" s="36"/>
      <c r="BB18" s="328"/>
      <c r="BC18" s="327"/>
      <c r="BD18" s="36"/>
      <c r="BE18" s="36"/>
      <c r="BF18" s="36"/>
      <c r="BG18" s="36"/>
      <c r="BH18" s="36"/>
      <c r="BI18" s="36"/>
      <c r="BJ18" s="36"/>
      <c r="BK18" s="36"/>
      <c r="BL18" s="36"/>
      <c r="BM18" s="36"/>
    </row>
    <row r="19" ht="22.5" customHeight="1">
      <c r="A19" s="36"/>
      <c r="B19" s="33" t="s">
        <v>42</v>
      </c>
      <c r="C19" s="36" t="s">
        <v>757</v>
      </c>
      <c r="D19" s="36" t="s">
        <v>758</v>
      </c>
      <c r="E19" s="33" t="s">
        <v>187</v>
      </c>
      <c r="F19" s="33" t="s">
        <v>41</v>
      </c>
      <c r="G19" s="33">
        <v>79928.0</v>
      </c>
      <c r="H19" s="33" t="s">
        <v>42</v>
      </c>
      <c r="I19" s="33" t="s">
        <v>682</v>
      </c>
      <c r="J19" s="30">
        <v>357500.0</v>
      </c>
      <c r="K19" s="35">
        <v>45727.0</v>
      </c>
      <c r="L19" s="35">
        <v>45737.0</v>
      </c>
      <c r="M19" s="35">
        <v>45699.0</v>
      </c>
      <c r="N19" s="36"/>
      <c r="O19" s="33" t="s">
        <v>759</v>
      </c>
      <c r="P19" s="304"/>
      <c r="Q19" s="36" t="s">
        <v>736</v>
      </c>
      <c r="R19" s="36"/>
      <c r="S19" s="33" t="s">
        <v>617</v>
      </c>
      <c r="T19" s="36"/>
      <c r="U19" s="38"/>
      <c r="V19" s="36"/>
      <c r="W19" s="31"/>
      <c r="X19" s="31"/>
      <c r="Y19" s="30">
        <f t="shared" si="1"/>
        <v>0</v>
      </c>
      <c r="Z19" s="31"/>
      <c r="AA19" s="30"/>
      <c r="AB19" s="30">
        <f t="shared" si="2"/>
        <v>0</v>
      </c>
      <c r="AC19" s="31"/>
      <c r="AD19" s="30">
        <f t="shared" si="3"/>
        <v>0</v>
      </c>
      <c r="AE19" s="30"/>
      <c r="AF19" s="30">
        <f t="shared" si="4"/>
        <v>0</v>
      </c>
      <c r="AG19" s="30">
        <f t="shared" si="5"/>
        <v>0</v>
      </c>
      <c r="AH19" s="324"/>
      <c r="AI19" s="324"/>
      <c r="AJ19" s="325"/>
      <c r="AK19" s="326"/>
      <c r="AL19" s="327"/>
      <c r="AM19" s="327"/>
      <c r="AN19" s="325"/>
      <c r="AO19" s="325"/>
      <c r="AP19" s="327"/>
      <c r="AQ19" s="327"/>
      <c r="AR19" s="327"/>
      <c r="AS19" s="328"/>
      <c r="AT19" s="36"/>
      <c r="AU19" s="329"/>
      <c r="AV19" s="36"/>
      <c r="AW19" s="36"/>
      <c r="AX19" s="36"/>
      <c r="AY19" s="36"/>
      <c r="AZ19" s="36"/>
      <c r="BA19" s="36"/>
      <c r="BB19" s="328"/>
      <c r="BC19" s="327"/>
      <c r="BD19" s="36"/>
      <c r="BE19" s="36"/>
      <c r="BF19" s="36"/>
      <c r="BG19" s="36"/>
      <c r="BH19" s="36"/>
      <c r="BI19" s="36"/>
      <c r="BJ19" s="36"/>
      <c r="BK19" s="36"/>
      <c r="BL19" s="36"/>
      <c r="BM19" s="36"/>
    </row>
    <row r="20" ht="22.5" customHeight="1">
      <c r="A20" s="36"/>
      <c r="B20" s="33" t="s">
        <v>42</v>
      </c>
      <c r="C20" s="36" t="s">
        <v>760</v>
      </c>
      <c r="D20" s="36" t="s">
        <v>761</v>
      </c>
      <c r="E20" s="33" t="s">
        <v>40</v>
      </c>
      <c r="F20" s="33" t="s">
        <v>41</v>
      </c>
      <c r="G20" s="33">
        <v>79934.0</v>
      </c>
      <c r="H20" s="33" t="s">
        <v>42</v>
      </c>
      <c r="I20" s="33"/>
      <c r="J20" s="30">
        <v>284500.0</v>
      </c>
      <c r="K20" s="35">
        <v>45741.0</v>
      </c>
      <c r="L20" s="35">
        <v>45741.0</v>
      </c>
      <c r="M20" s="41"/>
      <c r="N20" s="36"/>
      <c r="O20" s="33" t="s">
        <v>762</v>
      </c>
      <c r="P20" s="304" t="s">
        <v>763</v>
      </c>
      <c r="Q20" s="36" t="s">
        <v>47</v>
      </c>
      <c r="R20" s="36" t="s">
        <v>705</v>
      </c>
      <c r="S20" s="33" t="s">
        <v>49</v>
      </c>
      <c r="T20" s="36"/>
      <c r="U20" s="38"/>
      <c r="V20" s="36"/>
      <c r="W20" s="31"/>
      <c r="X20" s="31"/>
      <c r="Y20" s="30">
        <f t="shared" si="1"/>
        <v>0</v>
      </c>
      <c r="Z20" s="31"/>
      <c r="AA20" s="30"/>
      <c r="AB20" s="30">
        <f t="shared" si="2"/>
        <v>0</v>
      </c>
      <c r="AC20" s="31"/>
      <c r="AD20" s="30">
        <f t="shared" si="3"/>
        <v>0</v>
      </c>
      <c r="AE20" s="30"/>
      <c r="AF20" s="30">
        <f t="shared" si="4"/>
        <v>0</v>
      </c>
      <c r="AG20" s="30">
        <f t="shared" si="5"/>
        <v>0</v>
      </c>
      <c r="AH20" s="324"/>
      <c r="AI20" s="324"/>
      <c r="AJ20" s="325"/>
      <c r="AK20" s="326"/>
      <c r="AL20" s="327"/>
      <c r="AM20" s="327"/>
      <c r="AN20" s="325"/>
      <c r="AO20" s="325"/>
      <c r="AP20" s="327"/>
      <c r="AQ20" s="327"/>
      <c r="AR20" s="327"/>
      <c r="AS20" s="328"/>
      <c r="AT20" s="36"/>
      <c r="AU20" s="329"/>
      <c r="AV20" s="36"/>
      <c r="AW20" s="36"/>
      <c r="AX20" s="36"/>
      <c r="AY20" s="36"/>
      <c r="AZ20" s="36"/>
      <c r="BA20" s="36"/>
      <c r="BB20" s="328"/>
      <c r="BC20" s="327"/>
      <c r="BD20" s="36"/>
      <c r="BE20" s="36"/>
      <c r="BF20" s="36"/>
      <c r="BG20" s="36"/>
      <c r="BH20" s="36"/>
      <c r="BI20" s="36"/>
      <c r="BJ20" s="36"/>
      <c r="BK20" s="36"/>
      <c r="BL20" s="36"/>
      <c r="BM20" s="36"/>
    </row>
    <row r="21" ht="22.5" customHeight="1">
      <c r="A21" s="36"/>
      <c r="B21" s="33" t="s">
        <v>415</v>
      </c>
      <c r="C21" s="36" t="s">
        <v>764</v>
      </c>
      <c r="D21" s="36" t="s">
        <v>765</v>
      </c>
      <c r="E21" s="33" t="s">
        <v>40</v>
      </c>
      <c r="F21" s="33" t="s">
        <v>41</v>
      </c>
      <c r="G21" s="33">
        <v>79924.0</v>
      </c>
      <c r="H21" s="33" t="s">
        <v>42</v>
      </c>
      <c r="I21" s="33" t="s">
        <v>415</v>
      </c>
      <c r="J21" s="30">
        <v>339000.0</v>
      </c>
      <c r="K21" s="35">
        <v>45741.0</v>
      </c>
      <c r="L21" s="35">
        <v>45741.0</v>
      </c>
      <c r="M21" s="35">
        <v>45714.0</v>
      </c>
      <c r="N21" s="36" t="s">
        <v>723</v>
      </c>
      <c r="O21" s="33" t="s">
        <v>689</v>
      </c>
      <c r="P21" s="304" t="s">
        <v>596</v>
      </c>
      <c r="Q21" s="36" t="s">
        <v>47</v>
      </c>
      <c r="R21" s="36" t="s">
        <v>705</v>
      </c>
      <c r="S21" s="33" t="s">
        <v>49</v>
      </c>
      <c r="T21" s="36" t="s">
        <v>766</v>
      </c>
      <c r="U21" s="38">
        <v>9.152764646E9</v>
      </c>
      <c r="V21" s="36" t="s">
        <v>767</v>
      </c>
      <c r="W21" s="31">
        <v>0.06</v>
      </c>
      <c r="X21" s="31">
        <v>0.03</v>
      </c>
      <c r="Y21" s="30">
        <f t="shared" si="1"/>
        <v>10170</v>
      </c>
      <c r="Z21" s="31"/>
      <c r="AA21" s="30"/>
      <c r="AB21" s="30">
        <f t="shared" si="2"/>
        <v>10170</v>
      </c>
      <c r="AC21" s="31"/>
      <c r="AD21" s="30">
        <f t="shared" si="3"/>
        <v>0</v>
      </c>
      <c r="AE21" s="30"/>
      <c r="AF21" s="30">
        <f t="shared" si="4"/>
        <v>0</v>
      </c>
      <c r="AG21" s="30">
        <f t="shared" si="5"/>
        <v>10170</v>
      </c>
      <c r="AH21" s="324"/>
      <c r="AI21" s="324"/>
      <c r="AJ21" s="325"/>
      <c r="AK21" s="326"/>
      <c r="AL21" s="327"/>
      <c r="AM21" s="327"/>
      <c r="AN21" s="325"/>
      <c r="AO21" s="325"/>
      <c r="AP21" s="327"/>
      <c r="AQ21" s="327"/>
      <c r="AR21" s="327"/>
      <c r="AS21" s="328"/>
      <c r="AT21" s="36"/>
      <c r="AU21" s="329"/>
      <c r="AV21" s="36"/>
      <c r="AW21" s="36"/>
      <c r="AX21" s="36"/>
      <c r="AY21" s="36"/>
      <c r="AZ21" s="36"/>
      <c r="BA21" s="36"/>
      <c r="BB21" s="328"/>
      <c r="BC21" s="327"/>
      <c r="BD21" s="36"/>
      <c r="BE21" s="36"/>
      <c r="BF21" s="36"/>
      <c r="BG21" s="36"/>
      <c r="BH21" s="36"/>
      <c r="BI21" s="36"/>
      <c r="BJ21" s="36"/>
      <c r="BK21" s="36"/>
      <c r="BL21" s="36"/>
      <c r="BM21" s="36"/>
    </row>
    <row r="22" ht="22.5" customHeight="1">
      <c r="A22" s="36"/>
      <c r="B22" s="33" t="s">
        <v>415</v>
      </c>
      <c r="C22" s="36" t="s">
        <v>768</v>
      </c>
      <c r="D22" s="36" t="s">
        <v>769</v>
      </c>
      <c r="E22" s="33" t="s">
        <v>770</v>
      </c>
      <c r="F22" s="33" t="s">
        <v>673</v>
      </c>
      <c r="G22" s="33">
        <v>88001.0</v>
      </c>
      <c r="H22" s="33" t="s">
        <v>42</v>
      </c>
      <c r="I22" s="33"/>
      <c r="J22" s="30">
        <v>475000.0</v>
      </c>
      <c r="K22" s="35">
        <v>45747.0</v>
      </c>
      <c r="L22" s="35">
        <v>45747.0</v>
      </c>
      <c r="M22" s="35">
        <v>45728.0</v>
      </c>
      <c r="N22" s="36" t="s">
        <v>771</v>
      </c>
      <c r="O22" s="33" t="s">
        <v>733</v>
      </c>
      <c r="P22" s="304"/>
      <c r="Q22" s="36" t="s">
        <v>772</v>
      </c>
      <c r="R22" s="36" t="s">
        <v>773</v>
      </c>
      <c r="S22" s="33" t="s">
        <v>598</v>
      </c>
      <c r="T22" s="36" t="s">
        <v>774</v>
      </c>
      <c r="U22" s="38">
        <v>9.152601907E9</v>
      </c>
      <c r="V22" s="36" t="s">
        <v>775</v>
      </c>
      <c r="W22" s="31">
        <v>0.06</v>
      </c>
      <c r="X22" s="31">
        <v>0.03</v>
      </c>
      <c r="Y22" s="30">
        <f t="shared" si="1"/>
        <v>14250</v>
      </c>
      <c r="Z22" s="31">
        <v>0.03</v>
      </c>
      <c r="AA22" s="30"/>
      <c r="AB22" s="30">
        <f t="shared" si="2"/>
        <v>14250.03</v>
      </c>
      <c r="AC22" s="31"/>
      <c r="AD22" s="30">
        <f t="shared" si="3"/>
        <v>0</v>
      </c>
      <c r="AE22" s="30"/>
      <c r="AF22" s="30">
        <f t="shared" si="4"/>
        <v>0</v>
      </c>
      <c r="AG22" s="30">
        <f t="shared" si="5"/>
        <v>14250.03</v>
      </c>
      <c r="AH22" s="324"/>
      <c r="AI22" s="324"/>
      <c r="AJ22" s="325"/>
      <c r="AK22" s="326"/>
      <c r="AL22" s="327"/>
      <c r="AM22" s="327"/>
      <c r="AN22" s="325"/>
      <c r="AO22" s="325"/>
      <c r="AP22" s="327"/>
      <c r="AQ22" s="327"/>
      <c r="AR22" s="327"/>
      <c r="AS22" s="328"/>
      <c r="AT22" s="36"/>
      <c r="AU22" s="329"/>
      <c r="AV22" s="36"/>
      <c r="AW22" s="36"/>
      <c r="AX22" s="36"/>
      <c r="AY22" s="36"/>
      <c r="AZ22" s="36"/>
      <c r="BA22" s="36"/>
      <c r="BB22" s="328"/>
      <c r="BC22" s="327"/>
      <c r="BD22" s="36"/>
      <c r="BE22" s="36"/>
      <c r="BF22" s="36"/>
      <c r="BG22" s="36"/>
      <c r="BH22" s="36"/>
      <c r="BI22" s="36"/>
      <c r="BJ22" s="36"/>
      <c r="BK22" s="36"/>
      <c r="BL22" s="36"/>
      <c r="BM22" s="36"/>
    </row>
    <row r="23" ht="22.5" customHeight="1">
      <c r="A23" s="36"/>
      <c r="B23" s="33" t="s">
        <v>415</v>
      </c>
      <c r="C23" s="36" t="s">
        <v>776</v>
      </c>
      <c r="D23" s="36" t="s">
        <v>777</v>
      </c>
      <c r="E23" s="33" t="s">
        <v>40</v>
      </c>
      <c r="F23" s="33" t="s">
        <v>41</v>
      </c>
      <c r="G23" s="33">
        <v>79924.0</v>
      </c>
      <c r="H23" s="33" t="s">
        <v>42</v>
      </c>
      <c r="I23" s="33"/>
      <c r="J23" s="30">
        <v>297500.0</v>
      </c>
      <c r="K23" s="35">
        <v>45751.0</v>
      </c>
      <c r="L23" s="35">
        <v>45751.0</v>
      </c>
      <c r="M23" s="41"/>
      <c r="N23" s="36"/>
      <c r="O23" s="33"/>
      <c r="P23" s="304"/>
      <c r="Q23" s="36"/>
      <c r="R23" s="36"/>
      <c r="S23" s="33"/>
      <c r="T23" s="36"/>
      <c r="U23" s="38"/>
      <c r="V23" s="36"/>
      <c r="W23" s="31"/>
      <c r="X23" s="31"/>
      <c r="Y23" s="30">
        <f t="shared" si="1"/>
        <v>0</v>
      </c>
      <c r="Z23" s="31"/>
      <c r="AA23" s="30"/>
      <c r="AB23" s="30">
        <f t="shared" si="2"/>
        <v>0</v>
      </c>
      <c r="AC23" s="31"/>
      <c r="AD23" s="30">
        <f t="shared" si="3"/>
        <v>0</v>
      </c>
      <c r="AE23" s="30"/>
      <c r="AF23" s="30">
        <f t="shared" si="4"/>
        <v>0</v>
      </c>
      <c r="AG23" s="30">
        <f t="shared" si="5"/>
        <v>0</v>
      </c>
      <c r="AH23" s="324"/>
      <c r="AI23" s="324"/>
      <c r="AJ23" s="325"/>
      <c r="AK23" s="326"/>
      <c r="AL23" s="327"/>
      <c r="AM23" s="327"/>
      <c r="AN23" s="325"/>
      <c r="AO23" s="325"/>
      <c r="AP23" s="327"/>
      <c r="AQ23" s="327"/>
      <c r="AR23" s="327"/>
      <c r="AS23" s="328"/>
      <c r="AT23" s="36"/>
      <c r="AU23" s="329"/>
      <c r="AV23" s="36"/>
      <c r="AW23" s="36"/>
      <c r="AX23" s="36"/>
      <c r="AY23" s="36"/>
      <c r="AZ23" s="36"/>
      <c r="BA23" s="36"/>
      <c r="BB23" s="328"/>
      <c r="BC23" s="327"/>
      <c r="BD23" s="36"/>
      <c r="BE23" s="36"/>
      <c r="BF23" s="36"/>
      <c r="BG23" s="36"/>
      <c r="BH23" s="36"/>
      <c r="BI23" s="36"/>
      <c r="BJ23" s="36"/>
      <c r="BK23" s="36"/>
      <c r="BL23" s="36"/>
      <c r="BM23" s="36"/>
    </row>
    <row r="24" ht="22.5" customHeight="1">
      <c r="A24" s="36"/>
      <c r="B24" s="33" t="s">
        <v>415</v>
      </c>
      <c r="C24" s="36" t="s">
        <v>778</v>
      </c>
      <c r="D24" s="36" t="s">
        <v>779</v>
      </c>
      <c r="E24" s="33" t="s">
        <v>40</v>
      </c>
      <c r="F24" s="33" t="s">
        <v>41</v>
      </c>
      <c r="G24" s="33">
        <v>79938.0</v>
      </c>
      <c r="H24" s="33" t="s">
        <v>42</v>
      </c>
      <c r="I24" s="33"/>
      <c r="J24" s="30">
        <v>304500.0</v>
      </c>
      <c r="K24" s="35">
        <v>45757.0</v>
      </c>
      <c r="L24" s="35">
        <v>45757.0</v>
      </c>
      <c r="M24" s="35">
        <v>45720.0</v>
      </c>
      <c r="N24" s="36" t="s">
        <v>780</v>
      </c>
      <c r="O24" s="33" t="s">
        <v>73</v>
      </c>
      <c r="P24" s="304"/>
      <c r="Q24" s="36" t="s">
        <v>781</v>
      </c>
      <c r="R24" s="36" t="s">
        <v>782</v>
      </c>
      <c r="S24" s="33" t="s">
        <v>49</v>
      </c>
      <c r="T24" s="36" t="s">
        <v>783</v>
      </c>
      <c r="U24" s="38">
        <v>9.152178131E9</v>
      </c>
      <c r="V24" s="36" t="s">
        <v>86</v>
      </c>
      <c r="W24" s="31"/>
      <c r="X24" s="31">
        <v>0.03</v>
      </c>
      <c r="Y24" s="30">
        <f t="shared" si="1"/>
        <v>9135</v>
      </c>
      <c r="Z24" s="31"/>
      <c r="AA24" s="30">
        <v>3000.0</v>
      </c>
      <c r="AB24" s="30">
        <f t="shared" si="2"/>
        <v>12135</v>
      </c>
      <c r="AC24" s="31">
        <v>0.03</v>
      </c>
      <c r="AD24" s="30">
        <f t="shared" si="3"/>
        <v>9135</v>
      </c>
      <c r="AE24" s="30"/>
      <c r="AF24" s="30">
        <f t="shared" si="4"/>
        <v>9135</v>
      </c>
      <c r="AG24" s="30">
        <f t="shared" si="5"/>
        <v>21270</v>
      </c>
      <c r="AH24" s="324"/>
      <c r="AI24" s="324"/>
      <c r="AJ24" s="325"/>
      <c r="AK24" s="326"/>
      <c r="AL24" s="327"/>
      <c r="AM24" s="327"/>
      <c r="AN24" s="325"/>
      <c r="AO24" s="325"/>
      <c r="AP24" s="327"/>
      <c r="AQ24" s="327"/>
      <c r="AR24" s="327"/>
      <c r="AS24" s="328"/>
      <c r="AT24" s="36"/>
      <c r="AU24" s="329"/>
      <c r="AV24" s="36"/>
      <c r="AW24" s="36"/>
      <c r="AX24" s="36"/>
      <c r="AY24" s="36"/>
      <c r="AZ24" s="36"/>
      <c r="BA24" s="36"/>
      <c r="BB24" s="328"/>
      <c r="BC24" s="327"/>
      <c r="BD24" s="36"/>
      <c r="BE24" s="36"/>
      <c r="BF24" s="36"/>
      <c r="BG24" s="36"/>
      <c r="BH24" s="36"/>
      <c r="BI24" s="36"/>
      <c r="BJ24" s="36"/>
      <c r="BK24" s="36"/>
      <c r="BL24" s="36"/>
      <c r="BM24" s="36"/>
    </row>
    <row r="25" ht="22.5" customHeight="1">
      <c r="A25" s="36"/>
      <c r="B25" s="33" t="s">
        <v>42</v>
      </c>
      <c r="C25" s="36" t="s">
        <v>784</v>
      </c>
      <c r="D25" s="36" t="s">
        <v>785</v>
      </c>
      <c r="E25" s="33" t="s">
        <v>672</v>
      </c>
      <c r="F25" s="33" t="s">
        <v>673</v>
      </c>
      <c r="G25" s="33">
        <v>88008.0</v>
      </c>
      <c r="H25" s="33" t="s">
        <v>42</v>
      </c>
      <c r="I25" s="33" t="s">
        <v>786</v>
      </c>
      <c r="J25" s="30">
        <v>375000.0</v>
      </c>
      <c r="K25" s="35">
        <v>45765.0</v>
      </c>
      <c r="L25" s="35">
        <v>45765.0</v>
      </c>
      <c r="M25" s="35">
        <v>45707.0</v>
      </c>
      <c r="N25" s="36" t="s">
        <v>723</v>
      </c>
      <c r="O25" s="33" t="s">
        <v>715</v>
      </c>
      <c r="P25" s="304" t="s">
        <v>600</v>
      </c>
      <c r="Q25" s="36" t="s">
        <v>155</v>
      </c>
      <c r="R25" s="36" t="s">
        <v>490</v>
      </c>
      <c r="S25" s="33" t="s">
        <v>49</v>
      </c>
      <c r="T25" s="36" t="s">
        <v>715</v>
      </c>
      <c r="U25" s="38" t="s">
        <v>787</v>
      </c>
      <c r="V25" s="36" t="s">
        <v>702</v>
      </c>
      <c r="W25" s="31">
        <v>0.03</v>
      </c>
      <c r="X25" s="31"/>
      <c r="Y25" s="30">
        <f t="shared" si="1"/>
        <v>0</v>
      </c>
      <c r="Z25" s="31"/>
      <c r="AA25" s="30"/>
      <c r="AB25" s="30">
        <f t="shared" si="2"/>
        <v>0</v>
      </c>
      <c r="AC25" s="31"/>
      <c r="AD25" s="30">
        <f t="shared" si="3"/>
        <v>0</v>
      </c>
      <c r="AE25" s="30"/>
      <c r="AF25" s="30">
        <f t="shared" si="4"/>
        <v>0</v>
      </c>
      <c r="AG25" s="30">
        <f t="shared" si="5"/>
        <v>0</v>
      </c>
      <c r="AH25" s="324"/>
      <c r="AI25" s="324"/>
      <c r="AJ25" s="325"/>
      <c r="AK25" s="326"/>
      <c r="AL25" s="327"/>
      <c r="AM25" s="327"/>
      <c r="AN25" s="325"/>
      <c r="AO25" s="325"/>
      <c r="AP25" s="327"/>
      <c r="AQ25" s="327"/>
      <c r="AR25" s="327"/>
      <c r="AS25" s="328"/>
      <c r="AT25" s="36"/>
      <c r="AU25" s="329"/>
      <c r="AV25" s="36"/>
      <c r="AW25" s="36"/>
      <c r="AX25" s="36"/>
      <c r="AY25" s="36"/>
      <c r="AZ25" s="36"/>
      <c r="BA25" s="36"/>
      <c r="BB25" s="328"/>
      <c r="BC25" s="327"/>
      <c r="BD25" s="36"/>
      <c r="BE25" s="36"/>
      <c r="BF25" s="36"/>
      <c r="BG25" s="36"/>
      <c r="BH25" s="36"/>
      <c r="BI25" s="36"/>
      <c r="BJ25" s="36"/>
      <c r="BK25" s="36"/>
      <c r="BL25" s="36"/>
      <c r="BM25" s="36"/>
    </row>
    <row r="26" ht="22.5" customHeight="1">
      <c r="A26" s="36"/>
      <c r="B26" s="33" t="s">
        <v>415</v>
      </c>
      <c r="C26" s="36" t="s">
        <v>788</v>
      </c>
      <c r="D26" s="36" t="s">
        <v>789</v>
      </c>
      <c r="E26" s="33" t="s">
        <v>672</v>
      </c>
      <c r="F26" s="33" t="s">
        <v>673</v>
      </c>
      <c r="G26" s="33">
        <v>88008.0</v>
      </c>
      <c r="H26" s="33" t="s">
        <v>42</v>
      </c>
      <c r="I26" s="33" t="s">
        <v>786</v>
      </c>
      <c r="J26" s="30">
        <v>375000.0</v>
      </c>
      <c r="K26" s="41">
        <v>45768.0</v>
      </c>
      <c r="L26" s="41">
        <v>45768.0</v>
      </c>
      <c r="M26" s="41">
        <v>45691.0</v>
      </c>
      <c r="N26" s="36"/>
      <c r="O26" s="33" t="s">
        <v>790</v>
      </c>
      <c r="P26" s="304" t="s">
        <v>600</v>
      </c>
      <c r="Q26" s="36" t="s">
        <v>791</v>
      </c>
      <c r="R26" s="36"/>
      <c r="S26" s="33" t="s">
        <v>156</v>
      </c>
      <c r="T26" s="36"/>
      <c r="U26" s="36"/>
      <c r="V26" s="36"/>
      <c r="W26" s="31"/>
      <c r="X26" s="31"/>
      <c r="Y26" s="30">
        <f t="shared" si="1"/>
        <v>0</v>
      </c>
      <c r="Z26" s="31"/>
      <c r="AA26" s="30"/>
      <c r="AB26" s="30">
        <f t="shared" si="2"/>
        <v>0</v>
      </c>
      <c r="AC26" s="31"/>
      <c r="AD26" s="30">
        <f t="shared" si="3"/>
        <v>0</v>
      </c>
      <c r="AE26" s="30"/>
      <c r="AF26" s="30">
        <f t="shared" si="4"/>
        <v>0</v>
      </c>
      <c r="AG26" s="30">
        <f t="shared" si="5"/>
        <v>0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</row>
    <row r="27" ht="22.5" customHeight="1">
      <c r="A27" s="36"/>
      <c r="B27" s="33" t="s">
        <v>415</v>
      </c>
      <c r="C27" s="36" t="s">
        <v>792</v>
      </c>
      <c r="D27" s="36" t="s">
        <v>793</v>
      </c>
      <c r="E27" s="33" t="s">
        <v>672</v>
      </c>
      <c r="F27" s="33" t="s">
        <v>673</v>
      </c>
      <c r="G27" s="33">
        <v>88008.0</v>
      </c>
      <c r="H27" s="33" t="s">
        <v>42</v>
      </c>
      <c r="I27" s="33"/>
      <c r="J27" s="30">
        <v>375000.0</v>
      </c>
      <c r="K27" s="35">
        <v>45772.0</v>
      </c>
      <c r="L27" s="35">
        <v>45772.0</v>
      </c>
      <c r="M27" s="35">
        <v>45726.0</v>
      </c>
      <c r="N27" s="36" t="s">
        <v>794</v>
      </c>
      <c r="O27" s="33" t="s">
        <v>73</v>
      </c>
      <c r="P27" s="304"/>
      <c r="Q27" s="36" t="s">
        <v>71</v>
      </c>
      <c r="R27" s="36">
        <v>9.157914162E9</v>
      </c>
      <c r="S27" s="33" t="s">
        <v>49</v>
      </c>
      <c r="T27" s="36" t="s">
        <v>283</v>
      </c>
      <c r="U27" s="38">
        <v>2.103653132E9</v>
      </c>
      <c r="V27" s="36" t="s">
        <v>795</v>
      </c>
      <c r="W27" s="31">
        <v>0.03</v>
      </c>
      <c r="X27" s="31">
        <v>0.03</v>
      </c>
      <c r="Y27" s="30">
        <f t="shared" si="1"/>
        <v>11250</v>
      </c>
      <c r="Z27" s="31"/>
      <c r="AA27" s="30"/>
      <c r="AB27" s="30">
        <f t="shared" si="2"/>
        <v>11250</v>
      </c>
      <c r="AC27" s="31"/>
      <c r="AD27" s="30">
        <f t="shared" si="3"/>
        <v>0</v>
      </c>
      <c r="AE27" s="30"/>
      <c r="AF27" s="30">
        <f t="shared" si="4"/>
        <v>0</v>
      </c>
      <c r="AG27" s="30">
        <f t="shared" si="5"/>
        <v>11250</v>
      </c>
      <c r="AH27" s="324"/>
      <c r="AI27" s="324"/>
      <c r="AJ27" s="325"/>
      <c r="AK27" s="326"/>
      <c r="AL27" s="327"/>
      <c r="AM27" s="327"/>
      <c r="AN27" s="325"/>
      <c r="AO27" s="325"/>
      <c r="AP27" s="327"/>
      <c r="AQ27" s="327"/>
      <c r="AR27" s="327"/>
      <c r="AS27" s="328"/>
      <c r="AT27" s="36"/>
      <c r="AU27" s="329"/>
      <c r="AV27" s="36"/>
      <c r="AW27" s="36"/>
      <c r="AX27" s="36"/>
      <c r="AY27" s="36"/>
      <c r="AZ27" s="36"/>
      <c r="BA27" s="36"/>
      <c r="BB27" s="328"/>
      <c r="BC27" s="327"/>
      <c r="BD27" s="36"/>
      <c r="BE27" s="36"/>
      <c r="BF27" s="36"/>
      <c r="BG27" s="36"/>
      <c r="BH27" s="36"/>
      <c r="BI27" s="36"/>
      <c r="BJ27" s="36"/>
      <c r="BK27" s="36"/>
      <c r="BL27" s="36"/>
      <c r="BM27" s="36"/>
    </row>
    <row r="28" ht="22.5" customHeight="1">
      <c r="A28" s="36"/>
      <c r="B28" s="33" t="s">
        <v>42</v>
      </c>
      <c r="C28" s="36" t="s">
        <v>796</v>
      </c>
      <c r="D28" s="36" t="s">
        <v>797</v>
      </c>
      <c r="E28" s="33" t="s">
        <v>40</v>
      </c>
      <c r="F28" s="33" t="s">
        <v>41</v>
      </c>
      <c r="G28" s="33">
        <v>79928.0</v>
      </c>
      <c r="H28" s="33" t="s">
        <v>42</v>
      </c>
      <c r="I28" s="33"/>
      <c r="J28" s="30">
        <v>460000.0</v>
      </c>
      <c r="K28" s="35">
        <v>45771.0</v>
      </c>
      <c r="L28" s="41"/>
      <c r="M28" s="35">
        <v>45719.0</v>
      </c>
      <c r="N28" s="36"/>
      <c r="O28" s="33" t="s">
        <v>798</v>
      </c>
      <c r="P28" s="304" t="s">
        <v>209</v>
      </c>
      <c r="Q28" s="36" t="s">
        <v>221</v>
      </c>
      <c r="R28" s="36" t="s">
        <v>799</v>
      </c>
      <c r="S28" s="33" t="s">
        <v>156</v>
      </c>
      <c r="T28" s="36" t="s">
        <v>286</v>
      </c>
      <c r="U28" s="38" t="s">
        <v>291</v>
      </c>
      <c r="V28" s="36" t="s">
        <v>702</v>
      </c>
      <c r="W28" s="31">
        <v>0.05</v>
      </c>
      <c r="X28" s="31">
        <v>0.03</v>
      </c>
      <c r="Y28" s="30">
        <f t="shared" si="1"/>
        <v>13800</v>
      </c>
      <c r="Z28" s="31">
        <v>0.02</v>
      </c>
      <c r="AA28" s="30">
        <v>0.0</v>
      </c>
      <c r="AB28" s="30">
        <f t="shared" si="2"/>
        <v>13800.02</v>
      </c>
      <c r="AC28" s="31">
        <v>0.03</v>
      </c>
      <c r="AD28" s="30">
        <f t="shared" si="3"/>
        <v>13800</v>
      </c>
      <c r="AE28" s="30">
        <v>4000.0</v>
      </c>
      <c r="AF28" s="30">
        <f t="shared" si="4"/>
        <v>17800</v>
      </c>
      <c r="AG28" s="30">
        <f t="shared" si="5"/>
        <v>31600.02</v>
      </c>
      <c r="AH28" s="324"/>
      <c r="AI28" s="324"/>
      <c r="AJ28" s="325"/>
      <c r="AK28" s="326"/>
      <c r="AL28" s="327"/>
      <c r="AM28" s="327"/>
      <c r="AN28" s="325"/>
      <c r="AO28" s="325"/>
      <c r="AP28" s="327"/>
      <c r="AQ28" s="327"/>
      <c r="AR28" s="327"/>
      <c r="AS28" s="328"/>
      <c r="AT28" s="36"/>
      <c r="AU28" s="329"/>
      <c r="AV28" s="36"/>
      <c r="AW28" s="36"/>
      <c r="AX28" s="36"/>
      <c r="AY28" s="36"/>
      <c r="AZ28" s="36"/>
      <c r="BA28" s="36"/>
      <c r="BB28" s="328"/>
      <c r="BC28" s="327"/>
      <c r="BD28" s="36"/>
      <c r="BE28" s="36"/>
      <c r="BF28" s="36"/>
      <c r="BG28" s="36"/>
      <c r="BH28" s="36"/>
      <c r="BI28" s="36"/>
      <c r="BJ28" s="36"/>
      <c r="BK28" s="36"/>
      <c r="BL28" s="36"/>
      <c r="BM28" s="36"/>
    </row>
    <row r="29" ht="22.5" customHeight="1">
      <c r="A29" s="36"/>
      <c r="B29" s="33" t="s">
        <v>42</v>
      </c>
      <c r="C29" s="36" t="s">
        <v>800</v>
      </c>
      <c r="D29" s="36" t="s">
        <v>801</v>
      </c>
      <c r="E29" s="33" t="s">
        <v>40</v>
      </c>
      <c r="F29" s="33" t="s">
        <v>41</v>
      </c>
      <c r="G29" s="33">
        <v>79924.0</v>
      </c>
      <c r="H29" s="33" t="s">
        <v>42</v>
      </c>
      <c r="I29" s="33" t="s">
        <v>802</v>
      </c>
      <c r="J29" s="30">
        <v>332000.0</v>
      </c>
      <c r="K29" s="41">
        <v>45709.0</v>
      </c>
      <c r="L29" s="41"/>
      <c r="M29" s="41">
        <v>45681.0</v>
      </c>
      <c r="N29" s="36" t="s">
        <v>803</v>
      </c>
      <c r="O29" s="33" t="s">
        <v>73</v>
      </c>
      <c r="P29" s="304" t="s">
        <v>614</v>
      </c>
      <c r="Q29" s="36" t="s">
        <v>47</v>
      </c>
      <c r="R29" s="36" t="s">
        <v>48</v>
      </c>
      <c r="S29" s="33" t="s">
        <v>49</v>
      </c>
      <c r="T29" s="36" t="s">
        <v>73</v>
      </c>
      <c r="U29" s="36" t="s">
        <v>74</v>
      </c>
      <c r="V29" s="36" t="s">
        <v>702</v>
      </c>
      <c r="W29" s="31">
        <v>0.06</v>
      </c>
      <c r="X29" s="31">
        <v>0.03</v>
      </c>
      <c r="Y29" s="30">
        <f t="shared" si="1"/>
        <v>9960</v>
      </c>
      <c r="Z29" s="31">
        <v>0.03</v>
      </c>
      <c r="AA29" s="30">
        <v>0.0</v>
      </c>
      <c r="AB29" s="30">
        <f t="shared" si="2"/>
        <v>9960.03</v>
      </c>
      <c r="AC29" s="31">
        <v>0.03</v>
      </c>
      <c r="AD29" s="30">
        <f t="shared" si="3"/>
        <v>9960</v>
      </c>
      <c r="AE29" s="30">
        <v>2500.0</v>
      </c>
      <c r="AF29" s="30">
        <f t="shared" si="4"/>
        <v>12460</v>
      </c>
      <c r="AG29" s="30">
        <f t="shared" si="5"/>
        <v>22420.03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</row>
    <row r="30" ht="22.5" customHeight="1">
      <c r="A30" s="36"/>
      <c r="B30" s="33" t="s">
        <v>42</v>
      </c>
      <c r="C30" s="36" t="s">
        <v>804</v>
      </c>
      <c r="D30" s="36" t="s">
        <v>805</v>
      </c>
      <c r="E30" s="33" t="s">
        <v>40</v>
      </c>
      <c r="F30" s="33" t="s">
        <v>41</v>
      </c>
      <c r="G30" s="33">
        <v>79924.0</v>
      </c>
      <c r="H30" s="33" t="s">
        <v>42</v>
      </c>
      <c r="I30" s="33" t="s">
        <v>802</v>
      </c>
      <c r="J30" s="30">
        <v>304500.0</v>
      </c>
      <c r="K30" s="35">
        <v>45713.0</v>
      </c>
      <c r="L30" s="41"/>
      <c r="M30" s="35">
        <v>45684.0</v>
      </c>
      <c r="N30" s="36" t="s">
        <v>806</v>
      </c>
      <c r="O30" s="33" t="s">
        <v>73</v>
      </c>
      <c r="P30" s="304" t="s">
        <v>807</v>
      </c>
      <c r="Q30" s="36" t="s">
        <v>221</v>
      </c>
      <c r="R30" s="36" t="s">
        <v>799</v>
      </c>
      <c r="S30" s="33" t="s">
        <v>156</v>
      </c>
      <c r="T30" s="36" t="s">
        <v>73</v>
      </c>
      <c r="U30" s="38" t="s">
        <v>74</v>
      </c>
      <c r="V30" s="36" t="s">
        <v>702</v>
      </c>
      <c r="W30" s="31">
        <v>0.06</v>
      </c>
      <c r="X30" s="31">
        <v>0.03</v>
      </c>
      <c r="Y30" s="30">
        <f t="shared" si="1"/>
        <v>9135</v>
      </c>
      <c r="Z30" s="31"/>
      <c r="AA30" s="30">
        <v>6000.0</v>
      </c>
      <c r="AB30" s="30">
        <f t="shared" si="2"/>
        <v>15135</v>
      </c>
      <c r="AC30" s="31">
        <v>0.03</v>
      </c>
      <c r="AD30" s="30">
        <f t="shared" si="3"/>
        <v>9135</v>
      </c>
      <c r="AE30" s="30">
        <v>1500.0</v>
      </c>
      <c r="AF30" s="30">
        <f t="shared" si="4"/>
        <v>10635</v>
      </c>
      <c r="AG30" s="30">
        <f t="shared" si="5"/>
        <v>25770</v>
      </c>
      <c r="AH30" s="324"/>
      <c r="AI30" s="324"/>
      <c r="AJ30" s="325"/>
      <c r="AK30" s="326"/>
      <c r="AL30" s="327"/>
      <c r="AM30" s="327"/>
      <c r="AN30" s="325"/>
      <c r="AO30" s="325"/>
      <c r="AP30" s="327"/>
      <c r="AQ30" s="327"/>
      <c r="AR30" s="327"/>
      <c r="AS30" s="328"/>
      <c r="AT30" s="36"/>
      <c r="AU30" s="329"/>
      <c r="AV30" s="36"/>
      <c r="AW30" s="36"/>
      <c r="AX30" s="36"/>
      <c r="AY30" s="36"/>
      <c r="AZ30" s="36"/>
      <c r="BA30" s="36"/>
      <c r="BB30" s="328"/>
      <c r="BC30" s="327"/>
      <c r="BD30" s="36"/>
      <c r="BE30" s="36"/>
      <c r="BF30" s="36"/>
      <c r="BG30" s="36"/>
      <c r="BH30" s="36"/>
      <c r="BI30" s="36"/>
      <c r="BJ30" s="36"/>
      <c r="BK30" s="36"/>
      <c r="BL30" s="36"/>
      <c r="BM30" s="36"/>
    </row>
    <row r="31" ht="22.5" customHeight="1">
      <c r="A31" s="36"/>
      <c r="B31" s="33" t="s">
        <v>42</v>
      </c>
      <c r="C31" s="36" t="s">
        <v>808</v>
      </c>
      <c r="D31" s="36" t="s">
        <v>809</v>
      </c>
      <c r="E31" s="33" t="s">
        <v>40</v>
      </c>
      <c r="F31" s="33" t="s">
        <v>41</v>
      </c>
      <c r="G31" s="33"/>
      <c r="H31" s="33" t="s">
        <v>415</v>
      </c>
      <c r="I31" s="33" t="s">
        <v>810</v>
      </c>
      <c r="J31" s="30"/>
      <c r="K31" s="41"/>
      <c r="L31" s="41"/>
      <c r="M31" s="41"/>
      <c r="N31" s="36"/>
      <c r="O31" s="33" t="s">
        <v>683</v>
      </c>
      <c r="P31" s="304"/>
      <c r="Q31" s="36"/>
      <c r="R31" s="36"/>
      <c r="S31" s="33"/>
      <c r="T31" s="36"/>
      <c r="U31" s="38"/>
      <c r="V31" s="36"/>
      <c r="W31" s="31"/>
      <c r="X31" s="31"/>
      <c r="Y31" s="30">
        <f t="shared" si="1"/>
        <v>0</v>
      </c>
      <c r="Z31" s="31"/>
      <c r="AA31" s="30"/>
      <c r="AB31" s="30">
        <f t="shared" si="2"/>
        <v>0</v>
      </c>
      <c r="AC31" s="31"/>
      <c r="AD31" s="30">
        <f t="shared" si="3"/>
        <v>0</v>
      </c>
      <c r="AE31" s="30"/>
      <c r="AF31" s="30">
        <f t="shared" si="4"/>
        <v>0</v>
      </c>
      <c r="AG31" s="30">
        <f t="shared" si="5"/>
        <v>0</v>
      </c>
      <c r="AH31" s="324"/>
      <c r="AI31" s="324"/>
      <c r="AJ31" s="325"/>
      <c r="AK31" s="326"/>
      <c r="AL31" s="327"/>
      <c r="AM31" s="327"/>
      <c r="AN31" s="325"/>
      <c r="AO31" s="325"/>
      <c r="AP31" s="327"/>
      <c r="AQ31" s="327"/>
      <c r="AR31" s="327"/>
      <c r="AS31" s="328"/>
      <c r="AT31" s="36"/>
      <c r="AU31" s="329"/>
      <c r="AV31" s="36"/>
      <c r="AW31" s="36"/>
      <c r="AX31" s="36"/>
      <c r="AY31" s="36"/>
      <c r="AZ31" s="36"/>
      <c r="BA31" s="36"/>
      <c r="BB31" s="328"/>
      <c r="BC31" s="327"/>
      <c r="BD31" s="36"/>
      <c r="BE31" s="36"/>
      <c r="BF31" s="36"/>
      <c r="BG31" s="36"/>
      <c r="BH31" s="36"/>
      <c r="BI31" s="36"/>
      <c r="BJ31" s="36"/>
      <c r="BK31" s="36"/>
      <c r="BL31" s="36"/>
      <c r="BM31" s="36"/>
    </row>
    <row r="32" ht="22.5" customHeight="1">
      <c r="A32" s="36"/>
      <c r="B32" s="33"/>
      <c r="C32" s="36"/>
      <c r="D32" s="36" t="s">
        <v>811</v>
      </c>
      <c r="E32" s="33" t="s">
        <v>672</v>
      </c>
      <c r="F32" s="33"/>
      <c r="G32" s="33"/>
      <c r="H32" s="33"/>
      <c r="I32" s="33"/>
      <c r="J32" s="30"/>
      <c r="K32" s="41"/>
      <c r="L32" s="41"/>
      <c r="M32" s="41"/>
      <c r="N32" s="36"/>
      <c r="O32" s="33"/>
      <c r="P32" s="304"/>
      <c r="Q32" s="36"/>
      <c r="R32" s="36"/>
      <c r="S32" s="33"/>
      <c r="T32" s="36"/>
      <c r="U32" s="38"/>
      <c r="V32" s="36"/>
      <c r="W32" s="31"/>
      <c r="X32" s="31"/>
      <c r="Y32" s="30">
        <f t="shared" si="1"/>
        <v>0</v>
      </c>
      <c r="Z32" s="31"/>
      <c r="AA32" s="30"/>
      <c r="AB32" s="30">
        <f t="shared" si="2"/>
        <v>0</v>
      </c>
      <c r="AC32" s="31"/>
      <c r="AD32" s="30">
        <f t="shared" si="3"/>
        <v>0</v>
      </c>
      <c r="AE32" s="30"/>
      <c r="AF32" s="30">
        <f t="shared" si="4"/>
        <v>0</v>
      </c>
      <c r="AG32" s="30">
        <f t="shared" si="5"/>
        <v>0</v>
      </c>
      <c r="AH32" s="324"/>
      <c r="AI32" s="324"/>
      <c r="AJ32" s="325"/>
      <c r="AK32" s="326"/>
      <c r="AL32" s="327"/>
      <c r="AM32" s="327"/>
      <c r="AN32" s="325"/>
      <c r="AO32" s="325"/>
      <c r="AP32" s="327"/>
      <c r="AQ32" s="327"/>
      <c r="AR32" s="327"/>
      <c r="AS32" s="328"/>
      <c r="AT32" s="36"/>
      <c r="AU32" s="329"/>
      <c r="AV32" s="36"/>
      <c r="AW32" s="36"/>
      <c r="AX32" s="36"/>
      <c r="AY32" s="36"/>
      <c r="AZ32" s="36"/>
      <c r="BA32" s="36"/>
      <c r="BB32" s="328"/>
      <c r="BC32" s="327"/>
      <c r="BD32" s="36"/>
      <c r="BE32" s="36"/>
      <c r="BF32" s="36"/>
      <c r="BG32" s="36"/>
      <c r="BH32" s="36"/>
      <c r="BI32" s="36"/>
      <c r="BJ32" s="36"/>
      <c r="BK32" s="36"/>
      <c r="BL32" s="36"/>
      <c r="BM32" s="36"/>
    </row>
    <row r="33" ht="22.5" customHeight="1">
      <c r="A33" s="36"/>
      <c r="B33" s="33"/>
      <c r="C33" s="36"/>
      <c r="D33" s="36"/>
      <c r="E33" s="33"/>
      <c r="F33" s="33"/>
      <c r="G33" s="33"/>
      <c r="H33" s="33"/>
      <c r="I33" s="33"/>
      <c r="J33" s="30"/>
      <c r="K33" s="41"/>
      <c r="L33" s="41"/>
      <c r="M33" s="41"/>
      <c r="N33" s="36"/>
      <c r="O33" s="33"/>
      <c r="P33" s="304"/>
      <c r="Q33" s="36"/>
      <c r="R33" s="36"/>
      <c r="S33" s="33"/>
      <c r="T33" s="36"/>
      <c r="U33" s="38"/>
      <c r="V33" s="36"/>
      <c r="W33" s="31"/>
      <c r="X33" s="31"/>
      <c r="Y33" s="30">
        <f t="shared" si="1"/>
        <v>0</v>
      </c>
      <c r="Z33" s="31"/>
      <c r="AA33" s="30"/>
      <c r="AB33" s="30">
        <f t="shared" si="2"/>
        <v>0</v>
      </c>
      <c r="AC33" s="31"/>
      <c r="AD33" s="30">
        <f t="shared" si="3"/>
        <v>0</v>
      </c>
      <c r="AE33" s="30"/>
      <c r="AF33" s="30">
        <f t="shared" si="4"/>
        <v>0</v>
      </c>
      <c r="AG33" s="30">
        <f t="shared" si="5"/>
        <v>0</v>
      </c>
      <c r="AH33" s="324"/>
      <c r="AI33" s="324"/>
      <c r="AJ33" s="325"/>
      <c r="AK33" s="326"/>
      <c r="AL33" s="327"/>
      <c r="AM33" s="327"/>
      <c r="AN33" s="325"/>
      <c r="AO33" s="325"/>
      <c r="AP33" s="327"/>
      <c r="AQ33" s="327"/>
      <c r="AR33" s="327"/>
      <c r="AS33" s="328"/>
      <c r="AT33" s="36"/>
      <c r="AU33" s="329"/>
      <c r="AV33" s="36"/>
      <c r="AW33" s="36"/>
      <c r="AX33" s="36"/>
      <c r="AY33" s="36"/>
      <c r="AZ33" s="36"/>
      <c r="BA33" s="36"/>
      <c r="BB33" s="328"/>
      <c r="BC33" s="327"/>
      <c r="BD33" s="36"/>
      <c r="BE33" s="36"/>
      <c r="BF33" s="36"/>
      <c r="BG33" s="36"/>
      <c r="BH33" s="36"/>
      <c r="BI33" s="36"/>
      <c r="BJ33" s="36"/>
      <c r="BK33" s="36"/>
      <c r="BL33" s="36"/>
      <c r="BM33" s="36"/>
    </row>
    <row r="34" ht="22.5" customHeight="1">
      <c r="A34" s="36"/>
      <c r="B34" s="33"/>
      <c r="C34" s="36"/>
      <c r="D34" s="36"/>
      <c r="E34" s="33"/>
      <c r="F34" s="33"/>
      <c r="G34" s="33"/>
      <c r="H34" s="33"/>
      <c r="I34" s="33"/>
      <c r="J34" s="30"/>
      <c r="K34" s="41"/>
      <c r="L34" s="41"/>
      <c r="M34" s="41"/>
      <c r="N34" s="36"/>
      <c r="O34" s="33"/>
      <c r="P34" s="304"/>
      <c r="Q34" s="36"/>
      <c r="R34" s="36"/>
      <c r="S34" s="33"/>
      <c r="T34" s="36"/>
      <c r="U34" s="38"/>
      <c r="V34" s="36"/>
      <c r="W34" s="31"/>
      <c r="X34" s="31"/>
      <c r="Y34" s="30">
        <f t="shared" si="1"/>
        <v>0</v>
      </c>
      <c r="Z34" s="31"/>
      <c r="AA34" s="30"/>
      <c r="AB34" s="30">
        <f t="shared" si="2"/>
        <v>0</v>
      </c>
      <c r="AC34" s="31"/>
      <c r="AD34" s="30">
        <f t="shared" si="3"/>
        <v>0</v>
      </c>
      <c r="AE34" s="30"/>
      <c r="AF34" s="30">
        <f t="shared" si="4"/>
        <v>0</v>
      </c>
      <c r="AG34" s="30">
        <f t="shared" si="5"/>
        <v>0</v>
      </c>
      <c r="AH34" s="324"/>
      <c r="AI34" s="324"/>
      <c r="AJ34" s="325"/>
      <c r="AK34" s="326"/>
      <c r="AL34" s="327"/>
      <c r="AM34" s="327"/>
      <c r="AN34" s="325"/>
      <c r="AO34" s="325"/>
      <c r="AP34" s="327"/>
      <c r="AQ34" s="327"/>
      <c r="AR34" s="327"/>
      <c r="AS34" s="328"/>
      <c r="AT34" s="36"/>
      <c r="AU34" s="329"/>
      <c r="AV34" s="36"/>
      <c r="AW34" s="36"/>
      <c r="AX34" s="36"/>
      <c r="AY34" s="36"/>
      <c r="AZ34" s="36"/>
      <c r="BA34" s="36"/>
      <c r="BB34" s="328"/>
      <c r="BC34" s="327"/>
      <c r="BD34" s="36"/>
      <c r="BE34" s="36"/>
      <c r="BF34" s="36"/>
      <c r="BG34" s="36"/>
      <c r="BH34" s="36"/>
      <c r="BI34" s="36"/>
      <c r="BJ34" s="36"/>
      <c r="BK34" s="36"/>
      <c r="BL34" s="36"/>
      <c r="BM34" s="36"/>
    </row>
    <row r="35" ht="22.5" customHeight="1">
      <c r="A35" s="36"/>
      <c r="B35" s="33"/>
      <c r="C35" s="36"/>
      <c r="D35" s="36"/>
      <c r="E35" s="33"/>
      <c r="F35" s="33"/>
      <c r="G35" s="33"/>
      <c r="H35" s="33"/>
      <c r="I35" s="33"/>
      <c r="J35" s="30"/>
      <c r="K35" s="41"/>
      <c r="L35" s="41"/>
      <c r="M35" s="41"/>
      <c r="N35" s="36"/>
      <c r="O35" s="33"/>
      <c r="P35" s="304"/>
      <c r="Q35" s="36"/>
      <c r="R35" s="36"/>
      <c r="S35" s="33"/>
      <c r="T35" s="36"/>
      <c r="U35" s="38"/>
      <c r="V35" s="36"/>
      <c r="W35" s="31"/>
      <c r="X35" s="31"/>
      <c r="Y35" s="30">
        <f t="shared" si="1"/>
        <v>0</v>
      </c>
      <c r="Z35" s="31"/>
      <c r="AA35" s="30"/>
      <c r="AB35" s="30">
        <f t="shared" si="2"/>
        <v>0</v>
      </c>
      <c r="AC35" s="31"/>
      <c r="AD35" s="30">
        <f t="shared" si="3"/>
        <v>0</v>
      </c>
      <c r="AE35" s="30"/>
      <c r="AF35" s="30">
        <f t="shared" si="4"/>
        <v>0</v>
      </c>
      <c r="AG35" s="30">
        <f t="shared" si="5"/>
        <v>0</v>
      </c>
      <c r="AH35" s="324"/>
      <c r="AI35" s="324"/>
      <c r="AJ35" s="325"/>
      <c r="AK35" s="326"/>
      <c r="AL35" s="327"/>
      <c r="AM35" s="327"/>
      <c r="AN35" s="325"/>
      <c r="AO35" s="325"/>
      <c r="AP35" s="327"/>
      <c r="AQ35" s="327"/>
      <c r="AR35" s="327"/>
      <c r="AS35" s="328"/>
      <c r="AT35" s="36"/>
      <c r="AU35" s="329"/>
      <c r="AV35" s="36"/>
      <c r="AW35" s="36"/>
      <c r="AX35" s="36"/>
      <c r="AY35" s="36"/>
      <c r="AZ35" s="36"/>
      <c r="BA35" s="36"/>
      <c r="BB35" s="328"/>
      <c r="BC35" s="327"/>
      <c r="BD35" s="36"/>
      <c r="BE35" s="36"/>
      <c r="BF35" s="36"/>
      <c r="BG35" s="36"/>
      <c r="BH35" s="36"/>
      <c r="BI35" s="36"/>
      <c r="BJ35" s="36"/>
      <c r="BK35" s="36"/>
      <c r="BL35" s="36"/>
      <c r="BM35" s="36"/>
    </row>
    <row r="36" ht="22.5" customHeight="1">
      <c r="A36" s="36"/>
      <c r="B36" s="33"/>
      <c r="C36" s="36"/>
      <c r="D36" s="36"/>
      <c r="E36" s="33"/>
      <c r="F36" s="33"/>
      <c r="G36" s="33"/>
      <c r="H36" s="33"/>
      <c r="I36" s="33"/>
      <c r="J36" s="30"/>
      <c r="K36" s="41"/>
      <c r="L36" s="41"/>
      <c r="M36" s="41"/>
      <c r="N36" s="36"/>
      <c r="O36" s="33"/>
      <c r="P36" s="304"/>
      <c r="Q36" s="36"/>
      <c r="R36" s="36"/>
      <c r="S36" s="33"/>
      <c r="T36" s="36"/>
      <c r="U36" s="38"/>
      <c r="V36" s="36"/>
      <c r="W36" s="31"/>
      <c r="X36" s="31"/>
      <c r="Y36" s="30">
        <f t="shared" si="1"/>
        <v>0</v>
      </c>
      <c r="Z36" s="31"/>
      <c r="AA36" s="30"/>
      <c r="AB36" s="30">
        <f t="shared" si="2"/>
        <v>0</v>
      </c>
      <c r="AC36" s="31"/>
      <c r="AD36" s="30">
        <f t="shared" si="3"/>
        <v>0</v>
      </c>
      <c r="AE36" s="30"/>
      <c r="AF36" s="30">
        <f t="shared" si="4"/>
        <v>0</v>
      </c>
      <c r="AG36" s="30">
        <f t="shared" si="5"/>
        <v>0</v>
      </c>
      <c r="AH36" s="324"/>
      <c r="AI36" s="324"/>
      <c r="AJ36" s="325"/>
      <c r="AK36" s="326"/>
      <c r="AL36" s="327"/>
      <c r="AM36" s="327"/>
      <c r="AN36" s="325"/>
      <c r="AO36" s="325"/>
      <c r="AP36" s="327"/>
      <c r="AQ36" s="327"/>
      <c r="AR36" s="327"/>
      <c r="AS36" s="328"/>
      <c r="AT36" s="36"/>
      <c r="AU36" s="329"/>
      <c r="AV36" s="36"/>
      <c r="AW36" s="36"/>
      <c r="AX36" s="36"/>
      <c r="AY36" s="36"/>
      <c r="AZ36" s="36"/>
      <c r="BA36" s="36"/>
      <c r="BB36" s="328"/>
      <c r="BC36" s="327"/>
      <c r="BD36" s="36"/>
      <c r="BE36" s="36"/>
      <c r="BF36" s="36"/>
      <c r="BG36" s="36"/>
      <c r="BH36" s="36"/>
      <c r="BI36" s="36"/>
      <c r="BJ36" s="36"/>
      <c r="BK36" s="36"/>
      <c r="BL36" s="36"/>
      <c r="BM36" s="36"/>
    </row>
    <row r="37" ht="22.5" customHeight="1">
      <c r="A37" s="36"/>
      <c r="B37" s="33"/>
      <c r="C37" s="36"/>
      <c r="D37" s="36"/>
      <c r="E37" s="33"/>
      <c r="F37" s="33"/>
      <c r="G37" s="33"/>
      <c r="H37" s="33"/>
      <c r="I37" s="33"/>
      <c r="J37" s="30"/>
      <c r="K37" s="41"/>
      <c r="L37" s="41"/>
      <c r="M37" s="41"/>
      <c r="N37" s="36"/>
      <c r="O37" s="33"/>
      <c r="P37" s="304"/>
      <c r="Q37" s="36"/>
      <c r="R37" s="36"/>
      <c r="S37" s="33"/>
      <c r="T37" s="36"/>
      <c r="U37" s="38"/>
      <c r="V37" s="36"/>
      <c r="W37" s="31"/>
      <c r="X37" s="31"/>
      <c r="Y37" s="30">
        <f t="shared" si="1"/>
        <v>0</v>
      </c>
      <c r="Z37" s="31"/>
      <c r="AA37" s="30"/>
      <c r="AB37" s="30">
        <f t="shared" si="2"/>
        <v>0</v>
      </c>
      <c r="AC37" s="31"/>
      <c r="AD37" s="30">
        <f t="shared" si="3"/>
        <v>0</v>
      </c>
      <c r="AE37" s="30"/>
      <c r="AF37" s="30">
        <f t="shared" si="4"/>
        <v>0</v>
      </c>
      <c r="AG37" s="30">
        <f t="shared" si="5"/>
        <v>0</v>
      </c>
      <c r="AH37" s="324"/>
      <c r="AI37" s="324"/>
      <c r="AJ37" s="325"/>
      <c r="AK37" s="326"/>
      <c r="AL37" s="327"/>
      <c r="AM37" s="327"/>
      <c r="AN37" s="325"/>
      <c r="AO37" s="325"/>
      <c r="AP37" s="327"/>
      <c r="AQ37" s="327"/>
      <c r="AR37" s="327"/>
      <c r="AS37" s="328"/>
      <c r="AT37" s="36"/>
      <c r="AU37" s="329"/>
      <c r="AV37" s="36"/>
      <c r="AW37" s="36"/>
      <c r="AX37" s="36"/>
      <c r="AY37" s="36"/>
      <c r="AZ37" s="36"/>
      <c r="BA37" s="36"/>
      <c r="BB37" s="328"/>
      <c r="BC37" s="327"/>
      <c r="BD37" s="36"/>
      <c r="BE37" s="36"/>
      <c r="BF37" s="36"/>
      <c r="BG37" s="36"/>
      <c r="BH37" s="36"/>
      <c r="BI37" s="36"/>
      <c r="BJ37" s="36"/>
      <c r="BK37" s="36"/>
      <c r="BL37" s="36"/>
      <c r="BM37" s="36"/>
    </row>
    <row r="38" ht="22.5" customHeight="1">
      <c r="A38" s="36"/>
      <c r="B38" s="33"/>
      <c r="C38" s="36"/>
      <c r="D38" s="36"/>
      <c r="E38" s="33"/>
      <c r="F38" s="33"/>
      <c r="G38" s="33"/>
      <c r="H38" s="33"/>
      <c r="I38" s="33"/>
      <c r="J38" s="30"/>
      <c r="K38" s="41"/>
      <c r="L38" s="41"/>
      <c r="M38" s="41"/>
      <c r="N38" s="36"/>
      <c r="O38" s="33"/>
      <c r="P38" s="304"/>
      <c r="Q38" s="36"/>
      <c r="R38" s="36"/>
      <c r="S38" s="33"/>
      <c r="T38" s="36"/>
      <c r="U38" s="38"/>
      <c r="V38" s="36"/>
      <c r="W38" s="31"/>
      <c r="X38" s="31"/>
      <c r="Y38" s="30">
        <f t="shared" si="1"/>
        <v>0</v>
      </c>
      <c r="Z38" s="31"/>
      <c r="AA38" s="30"/>
      <c r="AB38" s="30">
        <f t="shared" si="2"/>
        <v>0</v>
      </c>
      <c r="AC38" s="31"/>
      <c r="AD38" s="30">
        <f t="shared" si="3"/>
        <v>0</v>
      </c>
      <c r="AE38" s="30"/>
      <c r="AF38" s="30">
        <f t="shared" si="4"/>
        <v>0</v>
      </c>
      <c r="AG38" s="30">
        <f t="shared" si="5"/>
        <v>0</v>
      </c>
      <c r="AH38" s="324"/>
      <c r="AI38" s="324"/>
      <c r="AJ38" s="325"/>
      <c r="AK38" s="326"/>
      <c r="AL38" s="327"/>
      <c r="AM38" s="327"/>
      <c r="AN38" s="325"/>
      <c r="AO38" s="325"/>
      <c r="AP38" s="327"/>
      <c r="AQ38" s="327"/>
      <c r="AR38" s="327"/>
      <c r="AS38" s="328"/>
      <c r="AT38" s="36"/>
      <c r="AU38" s="329"/>
      <c r="AV38" s="36"/>
      <c r="AW38" s="36"/>
      <c r="AX38" s="36"/>
      <c r="AY38" s="36"/>
      <c r="AZ38" s="36"/>
      <c r="BA38" s="36"/>
      <c r="BB38" s="328"/>
      <c r="BC38" s="327"/>
      <c r="BD38" s="36"/>
      <c r="BE38" s="36"/>
      <c r="BF38" s="36"/>
      <c r="BG38" s="36"/>
      <c r="BH38" s="36"/>
      <c r="BI38" s="36"/>
      <c r="BJ38" s="36"/>
      <c r="BK38" s="36"/>
      <c r="BL38" s="36"/>
      <c r="BM38" s="36"/>
    </row>
    <row r="39" ht="22.5" customHeight="1">
      <c r="A39" s="36"/>
      <c r="B39" s="33"/>
      <c r="C39" s="36" t="s">
        <v>94</v>
      </c>
      <c r="D39" s="36"/>
      <c r="E39" s="33"/>
      <c r="F39" s="33"/>
      <c r="G39" s="33"/>
      <c r="H39" s="33"/>
      <c r="I39" s="33"/>
      <c r="J39" s="30">
        <f t="shared" ref="J39:J40" si="8">SUM(J3:J23)</f>
        <v>6854000</v>
      </c>
      <c r="K39" s="41"/>
      <c r="L39" s="41"/>
      <c r="M39" s="41"/>
      <c r="N39" s="36"/>
      <c r="O39" s="33"/>
      <c r="P39" s="304"/>
      <c r="Q39" s="325"/>
      <c r="R39" s="325"/>
      <c r="S39" s="33"/>
      <c r="T39" s="36"/>
      <c r="U39" s="38"/>
      <c r="V39" s="36" t="s">
        <v>95</v>
      </c>
      <c r="W39" s="31"/>
      <c r="X39" s="31"/>
      <c r="Y39" s="30">
        <f t="shared" ref="Y39:Y40" si="9">SUM(Y3:Y23)</f>
        <v>95715</v>
      </c>
      <c r="Z39" s="31"/>
      <c r="AA39" s="30"/>
      <c r="AB39" s="30">
        <f t="shared" ref="AB39:AB40" si="10">SUM(AB3:AB23)</f>
        <v>102084.98</v>
      </c>
      <c r="AC39" s="31"/>
      <c r="AD39" s="30">
        <f t="shared" ref="AD39:AG39" si="6">SUM(AD3:AD23)</f>
        <v>71295</v>
      </c>
      <c r="AE39" s="30">
        <f t="shared" si="6"/>
        <v>6000</v>
      </c>
      <c r="AF39" s="30">
        <f t="shared" si="6"/>
        <v>77295</v>
      </c>
      <c r="AG39" s="30">
        <f t="shared" si="6"/>
        <v>179379.98</v>
      </c>
      <c r="AH39" s="326"/>
      <c r="AI39" s="326"/>
      <c r="AJ39" s="327"/>
      <c r="AK39" s="326"/>
      <c r="AL39" s="327" t="str">
        <f t="shared" ref="AL39:AM39" si="7">SUM(#REF!)</f>
        <v>#REF!</v>
      </c>
      <c r="AM39" s="327" t="str">
        <f t="shared" si="7"/>
        <v>#REF!</v>
      </c>
      <c r="AN39" s="325"/>
      <c r="AO39" s="325" t="str">
        <f t="shared" ref="AO39:AO40" si="13">SUM(#REF!)</f>
        <v>#REF!</v>
      </c>
      <c r="AP39" s="327"/>
      <c r="AQ39" s="327"/>
      <c r="AR39" s="327"/>
      <c r="AS39" s="327"/>
      <c r="AT39" s="36"/>
      <c r="AU39" s="36"/>
      <c r="AV39" s="36"/>
      <c r="AW39" s="36"/>
      <c r="AX39" s="36"/>
      <c r="AY39" s="36"/>
      <c r="AZ39" s="36"/>
      <c r="BA39" s="36"/>
      <c r="BB39" s="328" t="str">
        <f t="shared" ref="BB39:BB40" si="14">SUM(#REF!)</f>
        <v>#REF!</v>
      </c>
      <c r="BC39" s="327"/>
      <c r="BD39" s="36"/>
      <c r="BE39" s="36"/>
      <c r="BF39" s="36"/>
      <c r="BG39" s="36"/>
      <c r="BH39" s="36"/>
      <c r="BI39" s="36"/>
      <c r="BJ39" s="36"/>
      <c r="BK39" s="36"/>
      <c r="BL39" s="36"/>
      <c r="BM39" s="36"/>
    </row>
    <row r="40" ht="22.5" customHeight="1">
      <c r="A40" s="36"/>
      <c r="B40" s="33"/>
      <c r="C40" s="36"/>
      <c r="D40" s="36"/>
      <c r="E40" s="33"/>
      <c r="F40" s="33"/>
      <c r="G40" s="33"/>
      <c r="H40" s="33"/>
      <c r="I40" s="33"/>
      <c r="J40" s="30">
        <f t="shared" si="8"/>
        <v>6784500</v>
      </c>
      <c r="K40" s="41"/>
      <c r="L40" s="41"/>
      <c r="M40" s="41"/>
      <c r="N40" s="36"/>
      <c r="O40" s="33"/>
      <c r="P40" s="304"/>
      <c r="Q40" s="325"/>
      <c r="R40" s="325"/>
      <c r="S40" s="33"/>
      <c r="T40" s="36"/>
      <c r="U40" s="38"/>
      <c r="V40" s="36"/>
      <c r="W40" s="31"/>
      <c r="X40" s="31"/>
      <c r="Y40" s="30">
        <f t="shared" si="9"/>
        <v>104850</v>
      </c>
      <c r="Z40" s="31"/>
      <c r="AA40" s="30"/>
      <c r="AB40" s="30">
        <f t="shared" si="10"/>
        <v>114219.98</v>
      </c>
      <c r="AC40" s="31"/>
      <c r="AD40" s="30">
        <f t="shared" ref="AD40:AG40" si="11">SUM(AD4:AD24)</f>
        <v>80430</v>
      </c>
      <c r="AE40" s="30">
        <f t="shared" si="11"/>
        <v>6000</v>
      </c>
      <c r="AF40" s="30">
        <f t="shared" si="11"/>
        <v>86430</v>
      </c>
      <c r="AG40" s="30">
        <f t="shared" si="11"/>
        <v>200649.98</v>
      </c>
      <c r="AH40" s="326"/>
      <c r="AI40" s="326"/>
      <c r="AJ40" s="327"/>
      <c r="AK40" s="326"/>
      <c r="AL40" s="327" t="str">
        <f t="shared" ref="AL40:AM40" si="12">SUM(#REF!)</f>
        <v>#REF!</v>
      </c>
      <c r="AM40" s="327" t="str">
        <f t="shared" si="12"/>
        <v>#REF!</v>
      </c>
      <c r="AN40" s="325"/>
      <c r="AO40" s="325" t="str">
        <f t="shared" si="13"/>
        <v>#REF!</v>
      </c>
      <c r="AP40" s="327"/>
      <c r="AQ40" s="327"/>
      <c r="AR40" s="327"/>
      <c r="AS40" s="327"/>
      <c r="AT40" s="36"/>
      <c r="AU40" s="36"/>
      <c r="AV40" s="36"/>
      <c r="AW40" s="36"/>
      <c r="AX40" s="36"/>
      <c r="AY40" s="36"/>
      <c r="AZ40" s="36"/>
      <c r="BA40" s="36"/>
      <c r="BB40" s="328" t="str">
        <f t="shared" si="14"/>
        <v>#REF!</v>
      </c>
      <c r="BC40" s="327"/>
      <c r="BD40" s="36"/>
      <c r="BE40" s="36"/>
      <c r="BF40" s="36"/>
      <c r="BG40" s="36"/>
      <c r="BH40" s="36"/>
      <c r="BI40" s="36"/>
      <c r="BJ40" s="36"/>
      <c r="BK40" s="36"/>
      <c r="BL40" s="36"/>
      <c r="BM40" s="36"/>
    </row>
    <row r="41">
      <c r="A41" s="80"/>
      <c r="B41" s="80"/>
      <c r="C41" s="80"/>
      <c r="D41" s="80"/>
      <c r="E41" s="80"/>
      <c r="F41" s="80"/>
      <c r="G41" s="80"/>
      <c r="H41" s="80"/>
      <c r="I41" s="81"/>
      <c r="J41" s="82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4"/>
      <c r="V41" s="80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2"/>
      <c r="AH41" s="330"/>
      <c r="AI41" s="330"/>
      <c r="AJ41" s="331"/>
      <c r="AK41" s="330"/>
      <c r="AL41" s="331"/>
      <c r="AM41" s="82"/>
      <c r="AN41" s="82"/>
      <c r="AO41" s="82"/>
      <c r="AP41" s="332"/>
      <c r="AQ41" s="332"/>
      <c r="AR41" s="332"/>
      <c r="AS41" s="331"/>
      <c r="AT41" s="80"/>
      <c r="AU41" s="80"/>
      <c r="AV41" s="80"/>
      <c r="AW41" s="80"/>
      <c r="AX41" s="80"/>
      <c r="AY41" s="80"/>
      <c r="AZ41" s="80"/>
      <c r="BA41" s="80"/>
      <c r="BB41" s="80"/>
      <c r="BC41" s="331"/>
      <c r="BD41" s="80"/>
      <c r="BE41" s="80"/>
      <c r="BF41" s="80"/>
      <c r="BG41" s="80"/>
      <c r="BH41" s="80"/>
      <c r="BI41" s="80"/>
      <c r="BJ41" s="80"/>
      <c r="BK41" s="80"/>
      <c r="BL41" s="80"/>
      <c r="BM41" s="80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91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7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7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7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7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7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7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7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7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7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7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7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7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7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7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7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7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7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7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7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7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7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7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7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7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7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7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7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7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7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7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7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7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7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7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7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7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7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7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  <c r="BM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7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7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7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7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7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7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7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</row>
    <row r="88">
      <c r="A88" s="100"/>
      <c r="B88" s="100"/>
      <c r="C88" s="94"/>
      <c r="D88" s="94"/>
      <c r="E88" s="94"/>
      <c r="F88" s="94"/>
      <c r="G88" s="94"/>
      <c r="H88" s="94"/>
      <c r="I88" s="94"/>
      <c r="J88" s="101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7"/>
      <c r="V88" s="94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1"/>
      <c r="AH88" s="333"/>
      <c r="AI88" s="333"/>
      <c r="AJ88" s="101"/>
      <c r="AK88" s="333"/>
      <c r="AL88" s="334"/>
      <c r="AM88" s="101"/>
      <c r="AN88" s="101"/>
      <c r="AO88" s="101"/>
      <c r="AP88" s="334"/>
      <c r="AQ88" s="334"/>
      <c r="AR88" s="334"/>
      <c r="AS88" s="335"/>
      <c r="AT88" s="94"/>
      <c r="AU88" s="94"/>
      <c r="AV88" s="94"/>
      <c r="AW88" s="94"/>
      <c r="AX88" s="94"/>
      <c r="AY88" s="94"/>
      <c r="AZ88" s="94"/>
      <c r="BA88" s="94"/>
      <c r="BB88" s="335"/>
      <c r="BC88" s="334"/>
      <c r="BD88" s="94"/>
      <c r="BE88" s="94"/>
      <c r="BF88" s="94"/>
      <c r="BG88" s="94"/>
      <c r="BH88" s="94"/>
      <c r="BI88" s="94"/>
      <c r="BJ88" s="94"/>
      <c r="BK88" s="94"/>
      <c r="BL88" s="94"/>
      <c r="BM88" s="94"/>
    </row>
    <row r="89">
      <c r="A89" s="100"/>
      <c r="B89" s="100"/>
      <c r="C89" s="94"/>
      <c r="D89" s="94"/>
      <c r="E89" s="94"/>
      <c r="F89" s="94"/>
      <c r="G89" s="94"/>
      <c r="H89" s="94"/>
      <c r="I89" s="94"/>
      <c r="J89" s="101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7"/>
      <c r="V89" s="94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1"/>
      <c r="AH89" s="333"/>
      <c r="AI89" s="333"/>
      <c r="AJ89" s="101"/>
      <c r="AK89" s="333"/>
      <c r="AL89" s="334"/>
      <c r="AM89" s="101"/>
      <c r="AN89" s="101"/>
      <c r="AO89" s="101"/>
      <c r="AP89" s="334"/>
      <c r="AQ89" s="334"/>
      <c r="AR89" s="334"/>
      <c r="AS89" s="335"/>
      <c r="AT89" s="94"/>
      <c r="AU89" s="94"/>
      <c r="AV89" s="94"/>
      <c r="AW89" s="94"/>
      <c r="AX89" s="94"/>
      <c r="AY89" s="94"/>
      <c r="AZ89" s="94"/>
      <c r="BA89" s="94"/>
      <c r="BB89" s="335"/>
      <c r="BC89" s="334"/>
      <c r="BD89" s="94"/>
      <c r="BE89" s="94"/>
      <c r="BF89" s="94"/>
      <c r="BG89" s="94"/>
      <c r="BH89" s="94"/>
      <c r="BI89" s="94"/>
      <c r="BJ89" s="94"/>
      <c r="BK89" s="94"/>
      <c r="BL89" s="94"/>
      <c r="BM89" s="94"/>
    </row>
    <row r="90">
      <c r="A90" s="100"/>
      <c r="B90" s="100"/>
      <c r="C90" s="94"/>
      <c r="D90" s="94"/>
      <c r="E90" s="94"/>
      <c r="F90" s="94"/>
      <c r="G90" s="94"/>
      <c r="H90" s="94"/>
      <c r="I90" s="94"/>
      <c r="J90" s="101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7"/>
      <c r="V90" s="94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1"/>
      <c r="AH90" s="333"/>
      <c r="AI90" s="333"/>
      <c r="AJ90" s="101"/>
      <c r="AK90" s="333"/>
      <c r="AL90" s="334"/>
      <c r="AM90" s="101"/>
      <c r="AN90" s="101"/>
      <c r="AO90" s="101"/>
      <c r="AP90" s="334"/>
      <c r="AQ90" s="334"/>
      <c r="AR90" s="334"/>
      <c r="AS90" s="335"/>
      <c r="AT90" s="94"/>
      <c r="AU90" s="94"/>
      <c r="AV90" s="94"/>
      <c r="AW90" s="94"/>
      <c r="AX90" s="94"/>
      <c r="AY90" s="94"/>
      <c r="AZ90" s="94"/>
      <c r="BA90" s="94"/>
      <c r="BB90" s="335"/>
      <c r="BC90" s="334"/>
      <c r="BD90" s="94"/>
      <c r="BE90" s="94"/>
      <c r="BF90" s="94"/>
      <c r="BG90" s="94"/>
      <c r="BH90" s="94"/>
      <c r="BI90" s="94"/>
      <c r="BJ90" s="94"/>
      <c r="BK90" s="94"/>
      <c r="BL90" s="94"/>
      <c r="BM90" s="94"/>
    </row>
    <row r="91">
      <c r="A91" s="100"/>
      <c r="B91" s="100"/>
      <c r="C91" s="94"/>
      <c r="D91" s="94"/>
      <c r="E91" s="94"/>
      <c r="F91" s="94"/>
      <c r="G91" s="94"/>
      <c r="H91" s="94"/>
      <c r="I91" s="94"/>
      <c r="J91" s="101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7"/>
      <c r="V91" s="94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1"/>
      <c r="AH91" s="333"/>
      <c r="AI91" s="333"/>
      <c r="AJ91" s="101"/>
      <c r="AK91" s="333"/>
      <c r="AL91" s="334"/>
      <c r="AM91" s="101"/>
      <c r="AN91" s="101"/>
      <c r="AO91" s="101"/>
      <c r="AP91" s="334"/>
      <c r="AQ91" s="334"/>
      <c r="AR91" s="334"/>
      <c r="AS91" s="335"/>
      <c r="AT91" s="94"/>
      <c r="AU91" s="94"/>
      <c r="AV91" s="94"/>
      <c r="AW91" s="94"/>
      <c r="AX91" s="94"/>
      <c r="AY91" s="94"/>
      <c r="AZ91" s="94"/>
      <c r="BA91" s="94"/>
      <c r="BB91" s="335"/>
      <c r="BC91" s="334"/>
      <c r="BD91" s="94"/>
      <c r="BE91" s="94"/>
      <c r="BF91" s="94"/>
      <c r="BG91" s="94"/>
      <c r="BH91" s="94"/>
      <c r="BI91" s="94"/>
      <c r="BJ91" s="94"/>
      <c r="BK91" s="94"/>
      <c r="BL91" s="94"/>
      <c r="BM91" s="94"/>
    </row>
    <row r="92">
      <c r="A92" s="100"/>
      <c r="B92" s="100"/>
      <c r="C92" s="94"/>
      <c r="D92" s="94"/>
      <c r="E92" s="94"/>
      <c r="F92" s="94"/>
      <c r="G92" s="94"/>
      <c r="H92" s="94"/>
      <c r="I92" s="94"/>
      <c r="J92" s="101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7"/>
      <c r="V92" s="94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1"/>
      <c r="AH92" s="333"/>
      <c r="AI92" s="333"/>
      <c r="AJ92" s="101"/>
      <c r="AK92" s="333"/>
      <c r="AL92" s="334"/>
      <c r="AM92" s="101"/>
      <c r="AN92" s="101"/>
      <c r="AO92" s="101"/>
      <c r="AP92" s="334"/>
      <c r="AQ92" s="334"/>
      <c r="AR92" s="334"/>
      <c r="AS92" s="335"/>
      <c r="AT92" s="94"/>
      <c r="AU92" s="94"/>
      <c r="AV92" s="94"/>
      <c r="AW92" s="94"/>
      <c r="AX92" s="94"/>
      <c r="AY92" s="94"/>
      <c r="AZ92" s="94"/>
      <c r="BA92" s="94"/>
      <c r="BB92" s="335"/>
      <c r="BC92" s="334"/>
      <c r="BD92" s="94"/>
      <c r="BE92" s="94"/>
      <c r="BF92" s="94"/>
      <c r="BG92" s="94"/>
      <c r="BH92" s="94"/>
      <c r="BI92" s="94"/>
      <c r="BJ92" s="94"/>
      <c r="BK92" s="94"/>
      <c r="BL92" s="94"/>
      <c r="BM92" s="94"/>
    </row>
    <row r="93">
      <c r="A93" s="100"/>
      <c r="B93" s="100"/>
      <c r="C93" s="94"/>
      <c r="D93" s="94"/>
      <c r="E93" s="94"/>
      <c r="F93" s="94"/>
      <c r="G93" s="94"/>
      <c r="H93" s="94"/>
      <c r="I93" s="94"/>
      <c r="J93" s="101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7"/>
      <c r="V93" s="94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1"/>
      <c r="AH93" s="333"/>
      <c r="AI93" s="333"/>
      <c r="AJ93" s="101"/>
      <c r="AK93" s="333"/>
      <c r="AL93" s="334"/>
      <c r="AM93" s="101"/>
      <c r="AN93" s="101"/>
      <c r="AO93" s="101"/>
      <c r="AP93" s="334"/>
      <c r="AQ93" s="334"/>
      <c r="AR93" s="334"/>
      <c r="AS93" s="335"/>
      <c r="AT93" s="94"/>
      <c r="AU93" s="94"/>
      <c r="AV93" s="94"/>
      <c r="AW93" s="94"/>
      <c r="AX93" s="94"/>
      <c r="AY93" s="94"/>
      <c r="AZ93" s="94"/>
      <c r="BA93" s="94"/>
      <c r="BB93" s="335"/>
      <c r="BC93" s="334"/>
      <c r="BD93" s="94"/>
      <c r="BE93" s="94"/>
      <c r="BF93" s="94"/>
      <c r="BG93" s="94"/>
      <c r="BH93" s="94"/>
      <c r="BI93" s="94"/>
      <c r="BJ93" s="94"/>
      <c r="BK93" s="94"/>
      <c r="BL93" s="94"/>
      <c r="BM93" s="94"/>
    </row>
    <row r="94">
      <c r="A94" s="100"/>
      <c r="B94" s="100"/>
      <c r="C94" s="94"/>
      <c r="D94" s="94"/>
      <c r="E94" s="94"/>
      <c r="F94" s="94"/>
      <c r="G94" s="94"/>
      <c r="H94" s="94"/>
      <c r="I94" s="94"/>
      <c r="J94" s="101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7"/>
      <c r="V94" s="94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1"/>
      <c r="AH94" s="333"/>
      <c r="AI94" s="333"/>
      <c r="AJ94" s="101"/>
      <c r="AK94" s="333"/>
      <c r="AL94" s="334"/>
      <c r="AM94" s="101"/>
      <c r="AN94" s="101"/>
      <c r="AO94" s="101"/>
      <c r="AP94" s="334"/>
      <c r="AQ94" s="334"/>
      <c r="AR94" s="334"/>
      <c r="AS94" s="335"/>
      <c r="AT94" s="94"/>
      <c r="AU94" s="94"/>
      <c r="AV94" s="94"/>
      <c r="AW94" s="94"/>
      <c r="AX94" s="94"/>
      <c r="AY94" s="94"/>
      <c r="AZ94" s="94"/>
      <c r="BA94" s="94"/>
      <c r="BB94" s="335"/>
      <c r="BC94" s="334"/>
      <c r="BD94" s="94"/>
      <c r="BE94" s="94"/>
      <c r="BF94" s="94"/>
      <c r="BG94" s="94"/>
      <c r="BH94" s="94"/>
      <c r="BI94" s="94"/>
      <c r="BJ94" s="94"/>
      <c r="BK94" s="94"/>
      <c r="BL94" s="94"/>
      <c r="BM94" s="94"/>
    </row>
    <row r="95">
      <c r="A95" s="100"/>
      <c r="B95" s="100"/>
      <c r="C95" s="94"/>
      <c r="D95" s="94"/>
      <c r="E95" s="94"/>
      <c r="F95" s="94"/>
      <c r="G95" s="94"/>
      <c r="H95" s="94"/>
      <c r="I95" s="94"/>
      <c r="J95" s="101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7"/>
      <c r="V95" s="94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1"/>
      <c r="AH95" s="333"/>
      <c r="AI95" s="333"/>
      <c r="AJ95" s="101"/>
      <c r="AK95" s="333"/>
      <c r="AL95" s="334"/>
      <c r="AM95" s="101"/>
      <c r="AN95" s="101"/>
      <c r="AO95" s="101"/>
      <c r="AP95" s="334"/>
      <c r="AQ95" s="334"/>
      <c r="AR95" s="334"/>
      <c r="AS95" s="335"/>
      <c r="AT95" s="94"/>
      <c r="AU95" s="94"/>
      <c r="AV95" s="94"/>
      <c r="AW95" s="94"/>
      <c r="AX95" s="94"/>
      <c r="AY95" s="94"/>
      <c r="AZ95" s="94"/>
      <c r="BA95" s="94"/>
      <c r="BB95" s="335"/>
      <c r="BC95" s="334"/>
      <c r="BD95" s="94"/>
      <c r="BE95" s="94"/>
      <c r="BF95" s="94"/>
      <c r="BG95" s="94"/>
      <c r="BH95" s="94"/>
      <c r="BI95" s="94"/>
      <c r="BJ95" s="94"/>
      <c r="BK95" s="94"/>
      <c r="BL95" s="94"/>
      <c r="BM95" s="94"/>
    </row>
    <row r="96">
      <c r="A96" s="100"/>
      <c r="B96" s="100"/>
      <c r="C96" s="94"/>
      <c r="D96" s="94"/>
      <c r="E96" s="94"/>
      <c r="F96" s="94"/>
      <c r="G96" s="94"/>
      <c r="H96" s="94"/>
      <c r="I96" s="94"/>
      <c r="J96" s="101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7"/>
      <c r="V96" s="94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1"/>
      <c r="AH96" s="333"/>
      <c r="AI96" s="333"/>
      <c r="AJ96" s="101"/>
      <c r="AK96" s="333"/>
      <c r="AL96" s="334"/>
      <c r="AM96" s="101"/>
      <c r="AN96" s="101"/>
      <c r="AO96" s="101"/>
      <c r="AP96" s="334"/>
      <c r="AQ96" s="334"/>
      <c r="AR96" s="334"/>
      <c r="AS96" s="335"/>
      <c r="AT96" s="94"/>
      <c r="AU96" s="94"/>
      <c r="AV96" s="94"/>
      <c r="AW96" s="94"/>
      <c r="AX96" s="94"/>
      <c r="AY96" s="94"/>
      <c r="AZ96" s="94"/>
      <c r="BA96" s="94"/>
      <c r="BB96" s="335"/>
      <c r="BC96" s="334"/>
      <c r="BD96" s="94"/>
      <c r="BE96" s="94"/>
      <c r="BF96" s="94"/>
      <c r="BG96" s="94"/>
      <c r="BH96" s="94"/>
      <c r="BI96" s="94"/>
      <c r="BJ96" s="94"/>
      <c r="BK96" s="94"/>
      <c r="BL96" s="94"/>
      <c r="BM96" s="94"/>
    </row>
    <row r="97">
      <c r="A97" s="100"/>
      <c r="B97" s="100"/>
      <c r="C97" s="94"/>
      <c r="D97" s="94"/>
      <c r="E97" s="94"/>
      <c r="F97" s="94"/>
      <c r="G97" s="94"/>
      <c r="H97" s="94"/>
      <c r="I97" s="94"/>
      <c r="J97" s="101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7"/>
      <c r="V97" s="94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1"/>
      <c r="AH97" s="333"/>
      <c r="AI97" s="333"/>
      <c r="AJ97" s="101"/>
      <c r="AK97" s="333"/>
      <c r="AL97" s="334"/>
      <c r="AM97" s="101"/>
      <c r="AN97" s="101"/>
      <c r="AO97" s="101"/>
      <c r="AP97" s="334"/>
      <c r="AQ97" s="334"/>
      <c r="AR97" s="334"/>
      <c r="AS97" s="335"/>
      <c r="AT97" s="94"/>
      <c r="AU97" s="94"/>
      <c r="AV97" s="94"/>
      <c r="AW97" s="94"/>
      <c r="AX97" s="94"/>
      <c r="AY97" s="94"/>
      <c r="AZ97" s="94"/>
      <c r="BA97" s="94"/>
      <c r="BB97" s="335"/>
      <c r="BC97" s="334"/>
      <c r="BD97" s="94"/>
      <c r="BE97" s="94"/>
      <c r="BF97" s="94"/>
      <c r="BG97" s="94"/>
      <c r="BH97" s="94"/>
      <c r="BI97" s="94"/>
      <c r="BJ97" s="94"/>
      <c r="BK97" s="94"/>
      <c r="BL97" s="94"/>
      <c r="BM97" s="94"/>
    </row>
    <row r="98">
      <c r="A98" s="100"/>
      <c r="B98" s="100"/>
      <c r="C98" s="94"/>
      <c r="D98" s="94"/>
      <c r="E98" s="94"/>
      <c r="F98" s="94"/>
      <c r="G98" s="94"/>
      <c r="H98" s="94"/>
      <c r="I98" s="94"/>
      <c r="J98" s="101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7"/>
      <c r="V98" s="94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1"/>
      <c r="AH98" s="333"/>
      <c r="AI98" s="333"/>
      <c r="AJ98" s="101"/>
      <c r="AK98" s="333"/>
      <c r="AL98" s="334"/>
      <c r="AM98" s="101"/>
      <c r="AN98" s="101"/>
      <c r="AO98" s="101"/>
      <c r="AP98" s="334"/>
      <c r="AQ98" s="334"/>
      <c r="AR98" s="334"/>
      <c r="AS98" s="335"/>
      <c r="AT98" s="94"/>
      <c r="AU98" s="94"/>
      <c r="AV98" s="94"/>
      <c r="AW98" s="94"/>
      <c r="AX98" s="94"/>
      <c r="AY98" s="94"/>
      <c r="AZ98" s="94"/>
      <c r="BA98" s="94"/>
      <c r="BB98" s="335"/>
      <c r="BC98" s="334"/>
      <c r="BD98" s="94"/>
      <c r="BE98" s="94"/>
      <c r="BF98" s="94"/>
      <c r="BG98" s="94"/>
      <c r="BH98" s="94"/>
      <c r="BI98" s="94"/>
      <c r="BJ98" s="94"/>
      <c r="BK98" s="94"/>
      <c r="BL98" s="94"/>
      <c r="BM98" s="94"/>
    </row>
    <row r="99">
      <c r="A99" s="100"/>
      <c r="B99" s="100"/>
      <c r="C99" s="94"/>
      <c r="D99" s="94"/>
      <c r="E99" s="94"/>
      <c r="F99" s="94"/>
      <c r="G99" s="94"/>
      <c r="H99" s="94"/>
      <c r="I99" s="94"/>
      <c r="J99" s="101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7"/>
      <c r="V99" s="94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1"/>
      <c r="AH99" s="333"/>
      <c r="AI99" s="333"/>
      <c r="AJ99" s="101"/>
      <c r="AK99" s="333"/>
      <c r="AL99" s="334"/>
      <c r="AM99" s="101"/>
      <c r="AN99" s="101"/>
      <c r="AO99" s="101"/>
      <c r="AP99" s="334"/>
      <c r="AQ99" s="334"/>
      <c r="AR99" s="334"/>
      <c r="AS99" s="335"/>
      <c r="AT99" s="94"/>
      <c r="AU99" s="94"/>
      <c r="AV99" s="94"/>
      <c r="AW99" s="94"/>
      <c r="AX99" s="94"/>
      <c r="AY99" s="94"/>
      <c r="AZ99" s="94"/>
      <c r="BA99" s="94"/>
      <c r="BB99" s="335"/>
      <c r="BC99" s="334"/>
      <c r="BD99" s="94"/>
      <c r="BE99" s="94"/>
      <c r="BF99" s="94"/>
      <c r="BG99" s="94"/>
      <c r="BH99" s="94"/>
      <c r="BI99" s="94"/>
      <c r="BJ99" s="94"/>
      <c r="BK99" s="94"/>
      <c r="BL99" s="94"/>
      <c r="BM99" s="94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4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7"/>
      <c r="V100" s="100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4"/>
      <c r="AH100" s="336"/>
      <c r="AI100" s="336"/>
      <c r="AJ100" s="337"/>
      <c r="AK100" s="100"/>
      <c r="AL100" s="337"/>
      <c r="AM100" s="104"/>
      <c r="AN100" s="104"/>
      <c r="AO100" s="104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4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7"/>
      <c r="V101" s="100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4"/>
      <c r="AH101" s="336"/>
      <c r="AI101" s="336"/>
      <c r="AJ101" s="337"/>
      <c r="AK101" s="100"/>
      <c r="AL101" s="337"/>
      <c r="AM101" s="104"/>
      <c r="AN101" s="104"/>
      <c r="AO101" s="104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4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7"/>
      <c r="V102" s="100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4"/>
      <c r="AH102" s="336"/>
      <c r="AI102" s="336"/>
      <c r="AJ102" s="337"/>
      <c r="AK102" s="100"/>
      <c r="AL102" s="337"/>
      <c r="AM102" s="104"/>
      <c r="AN102" s="104"/>
      <c r="AO102" s="104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4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7"/>
      <c r="V103" s="100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4"/>
      <c r="AH103" s="336"/>
      <c r="AI103" s="336"/>
      <c r="AJ103" s="337"/>
      <c r="AK103" s="100"/>
      <c r="AL103" s="337"/>
      <c r="AM103" s="104"/>
      <c r="AN103" s="104"/>
      <c r="AO103" s="104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2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4"/>
      <c r="V104" s="80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2"/>
      <c r="AH104" s="330"/>
      <c r="AI104" s="330"/>
      <c r="AJ104" s="331"/>
      <c r="AK104" s="80"/>
      <c r="AL104" s="331"/>
      <c r="AM104" s="82"/>
      <c r="AN104" s="82"/>
      <c r="AO104" s="82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2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4"/>
      <c r="V105" s="80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2"/>
      <c r="AH105" s="330"/>
      <c r="AI105" s="330"/>
      <c r="AJ105" s="331"/>
      <c r="AK105" s="80"/>
      <c r="AL105" s="331"/>
      <c r="AM105" s="82"/>
      <c r="AN105" s="82"/>
      <c r="AO105" s="82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2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4"/>
      <c r="V106" s="80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2"/>
      <c r="AH106" s="330"/>
      <c r="AI106" s="330"/>
      <c r="AJ106" s="331"/>
      <c r="AK106" s="80"/>
      <c r="AL106" s="331"/>
      <c r="AM106" s="82"/>
      <c r="AN106" s="82"/>
      <c r="AO106" s="82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2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4"/>
      <c r="V107" s="80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2"/>
      <c r="AH107" s="330"/>
      <c r="AI107" s="330"/>
      <c r="AJ107" s="331"/>
      <c r="AK107" s="80"/>
      <c r="AL107" s="331"/>
      <c r="AM107" s="82"/>
      <c r="AN107" s="82"/>
      <c r="AO107" s="82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2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4"/>
      <c r="V108" s="80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2"/>
      <c r="AH108" s="330"/>
      <c r="AI108" s="330"/>
      <c r="AJ108" s="331"/>
      <c r="AK108" s="80"/>
      <c r="AL108" s="331"/>
      <c r="AM108" s="82"/>
      <c r="AN108" s="82"/>
      <c r="AO108" s="82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2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4"/>
      <c r="V109" s="80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2"/>
      <c r="AH109" s="330"/>
      <c r="AI109" s="330"/>
      <c r="AJ109" s="331"/>
      <c r="AK109" s="80"/>
      <c r="AL109" s="331"/>
      <c r="AM109" s="82"/>
      <c r="AN109" s="82"/>
      <c r="AO109" s="82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2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4"/>
      <c r="V110" s="80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2"/>
      <c r="AH110" s="330"/>
      <c r="AI110" s="330"/>
      <c r="AJ110" s="331"/>
      <c r="AK110" s="80"/>
      <c r="AL110" s="331"/>
      <c r="AM110" s="82"/>
      <c r="AN110" s="82"/>
      <c r="AO110" s="82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2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4"/>
      <c r="V111" s="80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2"/>
      <c r="AH111" s="330"/>
      <c r="AI111" s="330"/>
      <c r="AJ111" s="331"/>
      <c r="AK111" s="80"/>
      <c r="AL111" s="331"/>
      <c r="AM111" s="82"/>
      <c r="AN111" s="82"/>
      <c r="AO111" s="82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2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4"/>
      <c r="V112" s="80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2"/>
      <c r="AH112" s="330"/>
      <c r="AI112" s="330"/>
      <c r="AJ112" s="331"/>
      <c r="AK112" s="80"/>
      <c r="AL112" s="331"/>
      <c r="AM112" s="82"/>
      <c r="AN112" s="82"/>
      <c r="AO112" s="82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2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4"/>
      <c r="V113" s="80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2"/>
      <c r="AH113" s="330"/>
      <c r="AI113" s="330"/>
      <c r="AJ113" s="331"/>
      <c r="AK113" s="80"/>
      <c r="AL113" s="331"/>
      <c r="AM113" s="82"/>
      <c r="AN113" s="82"/>
      <c r="AO113" s="82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2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4"/>
      <c r="V114" s="80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2"/>
      <c r="AH114" s="330"/>
      <c r="AI114" s="330"/>
      <c r="AJ114" s="331"/>
      <c r="AK114" s="80"/>
      <c r="AL114" s="331"/>
      <c r="AM114" s="82"/>
      <c r="AN114" s="82"/>
      <c r="AO114" s="82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2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4"/>
      <c r="V115" s="80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2"/>
      <c r="AH115" s="330"/>
      <c r="AI115" s="330"/>
      <c r="AJ115" s="331"/>
      <c r="AK115" s="80"/>
      <c r="AL115" s="331"/>
      <c r="AM115" s="82"/>
      <c r="AN115" s="82"/>
      <c r="AO115" s="82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2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4"/>
      <c r="V116" s="80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2"/>
      <c r="AH116" s="330"/>
      <c r="AI116" s="330"/>
      <c r="AJ116" s="331"/>
      <c r="AK116" s="80"/>
      <c r="AL116" s="331"/>
      <c r="AM116" s="82"/>
      <c r="AN116" s="82"/>
      <c r="AO116" s="82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2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4"/>
      <c r="V117" s="80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2"/>
      <c r="AH117" s="330"/>
      <c r="AI117" s="330"/>
      <c r="AJ117" s="331"/>
      <c r="AK117" s="80"/>
      <c r="AL117" s="331"/>
      <c r="AM117" s="82"/>
      <c r="AN117" s="82"/>
      <c r="AO117" s="82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2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4"/>
      <c r="V118" s="80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2"/>
      <c r="AH118" s="330"/>
      <c r="AI118" s="330"/>
      <c r="AJ118" s="331"/>
      <c r="AK118" s="80"/>
      <c r="AL118" s="331"/>
      <c r="AM118" s="82"/>
      <c r="AN118" s="82"/>
      <c r="AO118" s="82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2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4"/>
      <c r="V119" s="80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2"/>
      <c r="AH119" s="330"/>
      <c r="AI119" s="330"/>
      <c r="AJ119" s="331"/>
      <c r="AK119" s="80"/>
      <c r="AL119" s="331"/>
      <c r="AM119" s="82"/>
      <c r="AN119" s="82"/>
      <c r="AO119" s="82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2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4"/>
      <c r="V120" s="80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2"/>
      <c r="AH120" s="330"/>
      <c r="AI120" s="330"/>
      <c r="AJ120" s="331"/>
      <c r="AK120" s="80"/>
      <c r="AL120" s="331"/>
      <c r="AM120" s="82"/>
      <c r="AN120" s="82"/>
      <c r="AO120" s="82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2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4"/>
      <c r="V121" s="80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2"/>
      <c r="AH121" s="330"/>
      <c r="AI121" s="330"/>
      <c r="AJ121" s="331"/>
      <c r="AK121" s="80"/>
      <c r="AL121" s="331"/>
      <c r="AM121" s="82"/>
      <c r="AN121" s="82"/>
      <c r="AO121" s="82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2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4"/>
      <c r="V122" s="80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2"/>
      <c r="AH122" s="330"/>
      <c r="AI122" s="330"/>
      <c r="AJ122" s="331"/>
      <c r="AK122" s="80"/>
      <c r="AL122" s="331"/>
      <c r="AM122" s="82"/>
      <c r="AN122" s="82"/>
      <c r="AO122" s="82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2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4"/>
      <c r="V123" s="80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2"/>
      <c r="AH123" s="330"/>
      <c r="AI123" s="330"/>
      <c r="AJ123" s="331"/>
      <c r="AK123" s="80"/>
      <c r="AL123" s="331"/>
      <c r="AM123" s="82"/>
      <c r="AN123" s="82"/>
      <c r="AO123" s="82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2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4"/>
      <c r="V124" s="80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2"/>
      <c r="AH124" s="330"/>
      <c r="AI124" s="330"/>
      <c r="AJ124" s="331"/>
      <c r="AK124" s="80"/>
      <c r="AL124" s="331"/>
      <c r="AM124" s="82"/>
      <c r="AN124" s="82"/>
      <c r="AO124" s="82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2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4"/>
      <c r="V125" s="80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2"/>
      <c r="AH125" s="330"/>
      <c r="AI125" s="330"/>
      <c r="AJ125" s="331"/>
      <c r="AK125" s="80"/>
      <c r="AL125" s="331"/>
      <c r="AM125" s="82"/>
      <c r="AN125" s="82"/>
      <c r="AO125" s="82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2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4"/>
      <c r="V126" s="80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2"/>
      <c r="AH126" s="330"/>
      <c r="AI126" s="330"/>
      <c r="AJ126" s="331"/>
      <c r="AK126" s="80"/>
      <c r="AL126" s="331"/>
      <c r="AM126" s="82"/>
      <c r="AN126" s="82"/>
      <c r="AO126" s="82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2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4"/>
      <c r="V127" s="80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2"/>
      <c r="AH127" s="330"/>
      <c r="AI127" s="330"/>
      <c r="AJ127" s="331"/>
      <c r="AK127" s="80"/>
      <c r="AL127" s="331"/>
      <c r="AM127" s="82"/>
      <c r="AN127" s="82"/>
      <c r="AO127" s="82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2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4"/>
      <c r="V128" s="80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2"/>
      <c r="AH128" s="330"/>
      <c r="AI128" s="330"/>
      <c r="AJ128" s="331"/>
      <c r="AK128" s="80"/>
      <c r="AL128" s="331"/>
      <c r="AM128" s="82"/>
      <c r="AN128" s="82"/>
      <c r="AO128" s="82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2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4"/>
      <c r="V129" s="80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2"/>
      <c r="AH129" s="330"/>
      <c r="AI129" s="330"/>
      <c r="AJ129" s="331"/>
      <c r="AK129" s="80"/>
      <c r="AL129" s="331"/>
      <c r="AM129" s="82"/>
      <c r="AN129" s="82"/>
      <c r="AO129" s="82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2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4"/>
      <c r="V130" s="80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2"/>
      <c r="AH130" s="330"/>
      <c r="AI130" s="330"/>
      <c r="AJ130" s="331"/>
      <c r="AK130" s="80"/>
      <c r="AL130" s="331"/>
      <c r="AM130" s="82"/>
      <c r="AN130" s="82"/>
      <c r="AO130" s="82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2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4"/>
      <c r="V131" s="80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2"/>
      <c r="AH131" s="330"/>
      <c r="AI131" s="330"/>
      <c r="AJ131" s="331"/>
      <c r="AK131" s="80"/>
      <c r="AL131" s="331"/>
      <c r="AM131" s="82"/>
      <c r="AN131" s="82"/>
      <c r="AO131" s="82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2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4"/>
      <c r="V132" s="80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2"/>
      <c r="AH132" s="330"/>
      <c r="AI132" s="330"/>
      <c r="AJ132" s="331"/>
      <c r="AK132" s="80"/>
      <c r="AL132" s="331"/>
      <c r="AM132" s="82"/>
      <c r="AN132" s="82"/>
      <c r="AO132" s="82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2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4"/>
      <c r="V133" s="80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2"/>
      <c r="AH133" s="330"/>
      <c r="AI133" s="330"/>
      <c r="AJ133" s="331"/>
      <c r="AK133" s="80"/>
      <c r="AL133" s="331"/>
      <c r="AM133" s="82"/>
      <c r="AN133" s="82"/>
      <c r="AO133" s="82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2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4"/>
      <c r="V134" s="80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2"/>
      <c r="AH134" s="330"/>
      <c r="AI134" s="330"/>
      <c r="AJ134" s="331"/>
      <c r="AK134" s="80"/>
      <c r="AL134" s="331"/>
      <c r="AM134" s="82"/>
      <c r="AN134" s="82"/>
      <c r="AO134" s="82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2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4"/>
      <c r="V135" s="80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2"/>
      <c r="AH135" s="330"/>
      <c r="AI135" s="330"/>
      <c r="AJ135" s="331"/>
      <c r="AK135" s="80"/>
      <c r="AL135" s="331"/>
      <c r="AM135" s="82"/>
      <c r="AN135" s="82"/>
      <c r="AO135" s="82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2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4"/>
      <c r="V136" s="80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2"/>
      <c r="AH136" s="330"/>
      <c r="AI136" s="330"/>
      <c r="AJ136" s="331"/>
      <c r="AK136" s="80"/>
      <c r="AL136" s="331"/>
      <c r="AM136" s="82"/>
      <c r="AN136" s="82"/>
      <c r="AO136" s="82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2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4"/>
      <c r="V137" s="80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2"/>
      <c r="AH137" s="330"/>
      <c r="AI137" s="330"/>
      <c r="AJ137" s="331"/>
      <c r="AK137" s="80"/>
      <c r="AL137" s="331"/>
      <c r="AM137" s="82"/>
      <c r="AN137" s="82"/>
      <c r="AO137" s="82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2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4"/>
      <c r="V138" s="80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2"/>
      <c r="AH138" s="330"/>
      <c r="AI138" s="330"/>
      <c r="AJ138" s="331"/>
      <c r="AK138" s="80"/>
      <c r="AL138" s="331"/>
      <c r="AM138" s="82"/>
      <c r="AN138" s="82"/>
      <c r="AO138" s="82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2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4"/>
      <c r="V139" s="80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2"/>
      <c r="AH139" s="330"/>
      <c r="AI139" s="330"/>
      <c r="AJ139" s="331"/>
      <c r="AK139" s="80"/>
      <c r="AL139" s="331"/>
      <c r="AM139" s="82"/>
      <c r="AN139" s="82"/>
      <c r="AO139" s="82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2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4"/>
      <c r="V140" s="80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2"/>
      <c r="AH140" s="330"/>
      <c r="AI140" s="330"/>
      <c r="AJ140" s="331"/>
      <c r="AK140" s="80"/>
      <c r="AL140" s="331"/>
      <c r="AM140" s="82"/>
      <c r="AN140" s="82"/>
      <c r="AO140" s="82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2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4"/>
      <c r="V141" s="80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2"/>
      <c r="AH141" s="330"/>
      <c r="AI141" s="330"/>
      <c r="AJ141" s="331"/>
      <c r="AK141" s="80"/>
      <c r="AL141" s="331"/>
      <c r="AM141" s="82"/>
      <c r="AN141" s="82"/>
      <c r="AO141" s="82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2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4"/>
      <c r="V142" s="80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2"/>
      <c r="AH142" s="330"/>
      <c r="AI142" s="330"/>
      <c r="AJ142" s="331"/>
      <c r="AK142" s="80"/>
      <c r="AL142" s="331"/>
      <c r="AM142" s="82"/>
      <c r="AN142" s="82"/>
      <c r="AO142" s="82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2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4"/>
      <c r="V143" s="80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2"/>
      <c r="AH143" s="330"/>
      <c r="AI143" s="330"/>
      <c r="AJ143" s="331"/>
      <c r="AK143" s="80"/>
      <c r="AL143" s="331"/>
      <c r="AM143" s="82"/>
      <c r="AN143" s="82"/>
      <c r="AO143" s="82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2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4"/>
      <c r="V144" s="80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2"/>
      <c r="AH144" s="330"/>
      <c r="AI144" s="330"/>
      <c r="AJ144" s="331"/>
      <c r="AK144" s="80"/>
      <c r="AL144" s="331"/>
      <c r="AM144" s="82"/>
      <c r="AN144" s="82"/>
      <c r="AO144" s="82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2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4"/>
      <c r="V145" s="80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2"/>
      <c r="AH145" s="330"/>
      <c r="AI145" s="330"/>
      <c r="AJ145" s="331"/>
      <c r="AK145" s="80"/>
      <c r="AL145" s="331"/>
      <c r="AM145" s="82"/>
      <c r="AN145" s="82"/>
      <c r="AO145" s="82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2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4"/>
      <c r="V146" s="80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2"/>
      <c r="AH146" s="330"/>
      <c r="AI146" s="330"/>
      <c r="AJ146" s="331"/>
      <c r="AK146" s="80"/>
      <c r="AL146" s="331"/>
      <c r="AM146" s="82"/>
      <c r="AN146" s="82"/>
      <c r="AO146" s="82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2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4"/>
      <c r="V147" s="80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2"/>
      <c r="AH147" s="330"/>
      <c r="AI147" s="330"/>
      <c r="AJ147" s="331"/>
      <c r="AK147" s="80"/>
      <c r="AL147" s="331"/>
      <c r="AM147" s="82"/>
      <c r="AN147" s="82"/>
      <c r="AO147" s="82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2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4"/>
      <c r="V148" s="80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2"/>
      <c r="AH148" s="330"/>
      <c r="AI148" s="330"/>
      <c r="AJ148" s="331"/>
      <c r="AK148" s="80"/>
      <c r="AL148" s="331"/>
      <c r="AM148" s="82"/>
      <c r="AN148" s="82"/>
      <c r="AO148" s="82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2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4"/>
      <c r="V149" s="80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2"/>
      <c r="AH149" s="330"/>
      <c r="AI149" s="330"/>
      <c r="AJ149" s="331"/>
      <c r="AK149" s="80"/>
      <c r="AL149" s="331"/>
      <c r="AM149" s="82"/>
      <c r="AN149" s="82"/>
      <c r="AO149" s="82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2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4"/>
      <c r="V150" s="80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2"/>
      <c r="AH150" s="330"/>
      <c r="AI150" s="330"/>
      <c r="AJ150" s="331"/>
      <c r="AK150" s="80"/>
      <c r="AL150" s="331"/>
      <c r="AM150" s="82"/>
      <c r="AN150" s="82"/>
      <c r="AO150" s="82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2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4"/>
      <c r="V151" s="80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2"/>
      <c r="AH151" s="330"/>
      <c r="AI151" s="330"/>
      <c r="AJ151" s="331"/>
      <c r="AK151" s="80"/>
      <c r="AL151" s="331"/>
      <c r="AM151" s="82"/>
      <c r="AN151" s="82"/>
      <c r="AO151" s="82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2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4"/>
      <c r="V152" s="80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2"/>
      <c r="AH152" s="330"/>
      <c r="AI152" s="330"/>
      <c r="AJ152" s="331"/>
      <c r="AK152" s="80"/>
      <c r="AL152" s="331"/>
      <c r="AM152" s="82"/>
      <c r="AN152" s="82"/>
      <c r="AO152" s="82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2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4"/>
      <c r="V153" s="80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2"/>
      <c r="AH153" s="330"/>
      <c r="AI153" s="330"/>
      <c r="AJ153" s="331"/>
      <c r="AK153" s="80"/>
      <c r="AL153" s="331"/>
      <c r="AM153" s="82"/>
      <c r="AN153" s="82"/>
      <c r="AO153" s="82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2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4"/>
      <c r="V154" s="80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2"/>
      <c r="AH154" s="330"/>
      <c r="AI154" s="330"/>
      <c r="AJ154" s="331"/>
      <c r="AK154" s="80"/>
      <c r="AL154" s="331"/>
      <c r="AM154" s="82"/>
      <c r="AN154" s="82"/>
      <c r="AO154" s="82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2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4"/>
      <c r="V155" s="80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2"/>
      <c r="AH155" s="330"/>
      <c r="AI155" s="330"/>
      <c r="AJ155" s="331"/>
      <c r="AK155" s="80"/>
      <c r="AL155" s="331"/>
      <c r="AM155" s="82"/>
      <c r="AN155" s="82"/>
      <c r="AO155" s="82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2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4"/>
      <c r="V156" s="80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2"/>
      <c r="AH156" s="330"/>
      <c r="AI156" s="330"/>
      <c r="AJ156" s="331"/>
      <c r="AK156" s="80"/>
      <c r="AL156" s="331"/>
      <c r="AM156" s="82"/>
      <c r="AN156" s="82"/>
      <c r="AO156" s="82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2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4"/>
      <c r="V157" s="80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2"/>
      <c r="AH157" s="330"/>
      <c r="AI157" s="330"/>
      <c r="AJ157" s="331"/>
      <c r="AK157" s="80"/>
      <c r="AL157" s="331"/>
      <c r="AM157" s="82"/>
      <c r="AN157" s="82"/>
      <c r="AO157" s="82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2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4"/>
      <c r="V158" s="80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2"/>
      <c r="AH158" s="330"/>
      <c r="AI158" s="330"/>
      <c r="AJ158" s="331"/>
      <c r="AK158" s="80"/>
      <c r="AL158" s="331"/>
      <c r="AM158" s="82"/>
      <c r="AN158" s="82"/>
      <c r="AO158" s="82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2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4"/>
      <c r="V159" s="80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2"/>
      <c r="AH159" s="330"/>
      <c r="AI159" s="330"/>
      <c r="AJ159" s="331"/>
      <c r="AK159" s="80"/>
      <c r="AL159" s="331"/>
      <c r="AM159" s="82"/>
      <c r="AN159" s="82"/>
      <c r="AO159" s="82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2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4"/>
      <c r="V160" s="80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2"/>
      <c r="AH160" s="330"/>
      <c r="AI160" s="330"/>
      <c r="AJ160" s="331"/>
      <c r="AK160" s="80"/>
      <c r="AL160" s="331"/>
      <c r="AM160" s="82"/>
      <c r="AN160" s="82"/>
      <c r="AO160" s="82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2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4"/>
      <c r="V161" s="80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2"/>
      <c r="AH161" s="330"/>
      <c r="AI161" s="330"/>
      <c r="AJ161" s="331"/>
      <c r="AK161" s="80"/>
      <c r="AL161" s="331"/>
      <c r="AM161" s="82"/>
      <c r="AN161" s="82"/>
      <c r="AO161" s="82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2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4"/>
      <c r="V162" s="80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2"/>
      <c r="AH162" s="330"/>
      <c r="AI162" s="330"/>
      <c r="AJ162" s="331"/>
      <c r="AK162" s="80"/>
      <c r="AL162" s="331"/>
      <c r="AM162" s="82"/>
      <c r="AN162" s="82"/>
      <c r="AO162" s="82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2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4"/>
      <c r="V163" s="80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2"/>
      <c r="AH163" s="330"/>
      <c r="AI163" s="330"/>
      <c r="AJ163" s="331"/>
      <c r="AK163" s="80"/>
      <c r="AL163" s="331"/>
      <c r="AM163" s="82"/>
      <c r="AN163" s="82"/>
      <c r="AO163" s="82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2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4"/>
      <c r="V164" s="80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2"/>
      <c r="AH164" s="330"/>
      <c r="AI164" s="330"/>
      <c r="AJ164" s="331"/>
      <c r="AK164" s="80"/>
      <c r="AL164" s="331"/>
      <c r="AM164" s="82"/>
      <c r="AN164" s="82"/>
      <c r="AO164" s="82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2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4"/>
      <c r="V165" s="80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2"/>
      <c r="AH165" s="330"/>
      <c r="AI165" s="330"/>
      <c r="AJ165" s="331"/>
      <c r="AK165" s="80"/>
      <c r="AL165" s="331"/>
      <c r="AM165" s="82"/>
      <c r="AN165" s="82"/>
      <c r="AO165" s="82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2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4"/>
      <c r="V166" s="80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2"/>
      <c r="AH166" s="330"/>
      <c r="AI166" s="330"/>
      <c r="AJ166" s="331"/>
      <c r="AK166" s="80"/>
      <c r="AL166" s="331"/>
      <c r="AM166" s="82"/>
      <c r="AN166" s="82"/>
      <c r="AO166" s="82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2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4"/>
      <c r="V167" s="80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2"/>
      <c r="AH167" s="330"/>
      <c r="AI167" s="330"/>
      <c r="AJ167" s="331"/>
      <c r="AK167" s="80"/>
      <c r="AL167" s="331"/>
      <c r="AM167" s="82"/>
      <c r="AN167" s="82"/>
      <c r="AO167" s="82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2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4"/>
      <c r="V168" s="80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2"/>
      <c r="AH168" s="330"/>
      <c r="AI168" s="330"/>
      <c r="AJ168" s="331"/>
      <c r="AK168" s="80"/>
      <c r="AL168" s="331"/>
      <c r="AM168" s="82"/>
      <c r="AN168" s="82"/>
      <c r="AO168" s="82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2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4"/>
      <c r="V169" s="80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2"/>
      <c r="AH169" s="330"/>
      <c r="AI169" s="330"/>
      <c r="AJ169" s="331"/>
      <c r="AK169" s="80"/>
      <c r="AL169" s="331"/>
      <c r="AM169" s="82"/>
      <c r="AN169" s="82"/>
      <c r="AO169" s="82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2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4"/>
      <c r="V170" s="80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2"/>
      <c r="AH170" s="330"/>
      <c r="AI170" s="330"/>
      <c r="AJ170" s="331"/>
      <c r="AK170" s="80"/>
      <c r="AL170" s="331"/>
      <c r="AM170" s="82"/>
      <c r="AN170" s="82"/>
      <c r="AO170" s="82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2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4"/>
      <c r="V171" s="80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2"/>
      <c r="AH171" s="330"/>
      <c r="AI171" s="330"/>
      <c r="AJ171" s="331"/>
      <c r="AK171" s="80"/>
      <c r="AL171" s="331"/>
      <c r="AM171" s="82"/>
      <c r="AN171" s="82"/>
      <c r="AO171" s="82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2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4"/>
      <c r="V172" s="80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2"/>
      <c r="AH172" s="330"/>
      <c r="AI172" s="330"/>
      <c r="AJ172" s="331"/>
      <c r="AK172" s="80"/>
      <c r="AL172" s="331"/>
      <c r="AM172" s="82"/>
      <c r="AN172" s="82"/>
      <c r="AO172" s="82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2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4"/>
      <c r="V173" s="80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2"/>
      <c r="AH173" s="330"/>
      <c r="AI173" s="330"/>
      <c r="AJ173" s="331"/>
      <c r="AK173" s="80"/>
      <c r="AL173" s="331"/>
      <c r="AM173" s="82"/>
      <c r="AN173" s="82"/>
      <c r="AO173" s="82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2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4"/>
      <c r="V174" s="80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2"/>
      <c r="AH174" s="330"/>
      <c r="AI174" s="330"/>
      <c r="AJ174" s="331"/>
      <c r="AK174" s="80"/>
      <c r="AL174" s="331"/>
      <c r="AM174" s="82"/>
      <c r="AN174" s="82"/>
      <c r="AO174" s="82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2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4"/>
      <c r="V175" s="80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2"/>
      <c r="AH175" s="330"/>
      <c r="AI175" s="330"/>
      <c r="AJ175" s="331"/>
      <c r="AK175" s="80"/>
      <c r="AL175" s="331"/>
      <c r="AM175" s="82"/>
      <c r="AN175" s="82"/>
      <c r="AO175" s="82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2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4"/>
      <c r="V176" s="80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2"/>
      <c r="AH176" s="330"/>
      <c r="AI176" s="330"/>
      <c r="AJ176" s="331"/>
      <c r="AK176" s="80"/>
      <c r="AL176" s="331"/>
      <c r="AM176" s="82"/>
      <c r="AN176" s="82"/>
      <c r="AO176" s="82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2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4"/>
      <c r="V177" s="80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2"/>
      <c r="AH177" s="330"/>
      <c r="AI177" s="330"/>
      <c r="AJ177" s="331"/>
      <c r="AK177" s="80"/>
      <c r="AL177" s="331"/>
      <c r="AM177" s="82"/>
      <c r="AN177" s="82"/>
      <c r="AO177" s="82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2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4"/>
      <c r="V178" s="80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2"/>
      <c r="AH178" s="330"/>
      <c r="AI178" s="330"/>
      <c r="AJ178" s="331"/>
      <c r="AK178" s="80"/>
      <c r="AL178" s="331"/>
      <c r="AM178" s="82"/>
      <c r="AN178" s="82"/>
      <c r="AO178" s="82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2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4"/>
      <c r="V179" s="80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2"/>
      <c r="AH179" s="330"/>
      <c r="AI179" s="330"/>
      <c r="AJ179" s="331"/>
      <c r="AK179" s="80"/>
      <c r="AL179" s="331"/>
      <c r="AM179" s="82"/>
      <c r="AN179" s="82"/>
      <c r="AO179" s="82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2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4"/>
      <c r="V180" s="80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2"/>
      <c r="AH180" s="330"/>
      <c r="AI180" s="330"/>
      <c r="AJ180" s="331"/>
      <c r="AK180" s="80"/>
      <c r="AL180" s="331"/>
      <c r="AM180" s="82"/>
      <c r="AN180" s="82"/>
      <c r="AO180" s="82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2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4"/>
      <c r="V181" s="80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2"/>
      <c r="AH181" s="330"/>
      <c r="AI181" s="330"/>
      <c r="AJ181" s="331"/>
      <c r="AK181" s="80"/>
      <c r="AL181" s="331"/>
      <c r="AM181" s="82"/>
      <c r="AN181" s="82"/>
      <c r="AO181" s="82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2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4"/>
      <c r="V182" s="80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2"/>
      <c r="AH182" s="330"/>
      <c r="AI182" s="330"/>
      <c r="AJ182" s="331"/>
      <c r="AK182" s="80"/>
      <c r="AL182" s="331"/>
      <c r="AM182" s="82"/>
      <c r="AN182" s="82"/>
      <c r="AO182" s="82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2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4"/>
      <c r="V183" s="80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2"/>
      <c r="AH183" s="330"/>
      <c r="AI183" s="330"/>
      <c r="AJ183" s="331"/>
      <c r="AK183" s="80"/>
      <c r="AL183" s="331"/>
      <c r="AM183" s="82"/>
      <c r="AN183" s="82"/>
      <c r="AO183" s="82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2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4"/>
      <c r="V184" s="80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2"/>
      <c r="AH184" s="330"/>
      <c r="AI184" s="330"/>
      <c r="AJ184" s="331"/>
      <c r="AK184" s="80"/>
      <c r="AL184" s="331"/>
      <c r="AM184" s="82"/>
      <c r="AN184" s="82"/>
      <c r="AO184" s="82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2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4"/>
      <c r="V185" s="80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2"/>
      <c r="AH185" s="330"/>
      <c r="AI185" s="330"/>
      <c r="AJ185" s="331"/>
      <c r="AK185" s="80"/>
      <c r="AL185" s="331"/>
      <c r="AM185" s="82"/>
      <c r="AN185" s="82"/>
      <c r="AO185" s="82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2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4"/>
      <c r="V186" s="80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2"/>
      <c r="AH186" s="330"/>
      <c r="AI186" s="330"/>
      <c r="AJ186" s="331"/>
      <c r="AK186" s="80"/>
      <c r="AL186" s="331"/>
      <c r="AM186" s="82"/>
      <c r="AN186" s="82"/>
      <c r="AO186" s="82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2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4"/>
      <c r="V187" s="80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2"/>
      <c r="AH187" s="330"/>
      <c r="AI187" s="330"/>
      <c r="AJ187" s="331"/>
      <c r="AK187" s="80"/>
      <c r="AL187" s="331"/>
      <c r="AM187" s="82"/>
      <c r="AN187" s="82"/>
      <c r="AO187" s="82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2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4"/>
      <c r="V188" s="80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2"/>
      <c r="AH188" s="330"/>
      <c r="AI188" s="330"/>
      <c r="AJ188" s="331"/>
      <c r="AK188" s="80"/>
      <c r="AL188" s="331"/>
      <c r="AM188" s="82"/>
      <c r="AN188" s="82"/>
      <c r="AO188" s="82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2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4"/>
      <c r="V189" s="80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2"/>
      <c r="AH189" s="330"/>
      <c r="AI189" s="330"/>
      <c r="AJ189" s="331"/>
      <c r="AK189" s="80"/>
      <c r="AL189" s="331"/>
      <c r="AM189" s="82"/>
      <c r="AN189" s="82"/>
      <c r="AO189" s="82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2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4"/>
      <c r="V190" s="80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2"/>
      <c r="AH190" s="330"/>
      <c r="AI190" s="330"/>
      <c r="AJ190" s="331"/>
      <c r="AK190" s="80"/>
      <c r="AL190" s="331"/>
      <c r="AM190" s="82"/>
      <c r="AN190" s="82"/>
      <c r="AO190" s="82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2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4"/>
      <c r="V191" s="80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2"/>
      <c r="AH191" s="330"/>
      <c r="AI191" s="330"/>
      <c r="AJ191" s="331"/>
      <c r="AK191" s="80"/>
      <c r="AL191" s="331"/>
      <c r="AM191" s="82"/>
      <c r="AN191" s="82"/>
      <c r="AO191" s="82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2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4"/>
      <c r="V192" s="80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2"/>
      <c r="AH192" s="330"/>
      <c r="AI192" s="330"/>
      <c r="AJ192" s="331"/>
      <c r="AK192" s="80"/>
      <c r="AL192" s="331"/>
      <c r="AM192" s="82"/>
      <c r="AN192" s="82"/>
      <c r="AO192" s="82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2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4"/>
      <c r="V193" s="80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2"/>
      <c r="AH193" s="330"/>
      <c r="AI193" s="330"/>
      <c r="AJ193" s="331"/>
      <c r="AK193" s="80"/>
      <c r="AL193" s="331"/>
      <c r="AM193" s="82"/>
      <c r="AN193" s="82"/>
      <c r="AO193" s="82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2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4"/>
      <c r="V194" s="80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2"/>
      <c r="AH194" s="330"/>
      <c r="AI194" s="330"/>
      <c r="AJ194" s="331"/>
      <c r="AK194" s="80"/>
      <c r="AL194" s="331"/>
      <c r="AM194" s="82"/>
      <c r="AN194" s="82"/>
      <c r="AO194" s="82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2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4"/>
      <c r="V195" s="80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2"/>
      <c r="AH195" s="330"/>
      <c r="AI195" s="330"/>
      <c r="AJ195" s="331"/>
      <c r="AK195" s="80"/>
      <c r="AL195" s="331"/>
      <c r="AM195" s="82"/>
      <c r="AN195" s="82"/>
      <c r="AO195" s="82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2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4"/>
      <c r="V196" s="80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2"/>
      <c r="AH196" s="330"/>
      <c r="AI196" s="330"/>
      <c r="AJ196" s="331"/>
      <c r="AK196" s="80"/>
      <c r="AL196" s="331"/>
      <c r="AM196" s="82"/>
      <c r="AN196" s="82"/>
      <c r="AO196" s="82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2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4"/>
      <c r="V197" s="80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2"/>
      <c r="AH197" s="330"/>
      <c r="AI197" s="330"/>
      <c r="AJ197" s="331"/>
      <c r="AK197" s="80"/>
      <c r="AL197" s="331"/>
      <c r="AM197" s="82"/>
      <c r="AN197" s="82"/>
      <c r="AO197" s="82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2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4"/>
      <c r="V198" s="80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2"/>
      <c r="AH198" s="330"/>
      <c r="AI198" s="330"/>
      <c r="AJ198" s="331"/>
      <c r="AK198" s="80"/>
      <c r="AL198" s="331"/>
      <c r="AM198" s="82"/>
      <c r="AN198" s="82"/>
      <c r="AO198" s="82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2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4"/>
      <c r="V199" s="80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2"/>
      <c r="AH199" s="330"/>
      <c r="AI199" s="330"/>
      <c r="AJ199" s="331"/>
      <c r="AK199" s="80"/>
      <c r="AL199" s="331"/>
      <c r="AM199" s="82"/>
      <c r="AN199" s="82"/>
      <c r="AO199" s="82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2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4"/>
      <c r="V200" s="80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2"/>
      <c r="AH200" s="330"/>
      <c r="AI200" s="330"/>
      <c r="AJ200" s="331"/>
      <c r="AK200" s="80"/>
      <c r="AL200" s="331"/>
      <c r="AM200" s="82"/>
      <c r="AN200" s="82"/>
      <c r="AO200" s="82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2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4"/>
      <c r="V201" s="80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2"/>
      <c r="AH201" s="330"/>
      <c r="AI201" s="330"/>
      <c r="AJ201" s="331"/>
      <c r="AK201" s="80"/>
      <c r="AL201" s="331"/>
      <c r="AM201" s="82"/>
      <c r="AN201" s="82"/>
      <c r="AO201" s="82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2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4"/>
      <c r="V202" s="80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2"/>
      <c r="AH202" s="330"/>
      <c r="AI202" s="330"/>
      <c r="AJ202" s="331"/>
      <c r="AK202" s="80"/>
      <c r="AL202" s="331"/>
      <c r="AM202" s="82"/>
      <c r="AN202" s="82"/>
      <c r="AO202" s="82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2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4"/>
      <c r="V203" s="80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2"/>
      <c r="AH203" s="330"/>
      <c r="AI203" s="330"/>
      <c r="AJ203" s="331"/>
      <c r="AK203" s="80"/>
      <c r="AL203" s="331"/>
      <c r="AM203" s="82"/>
      <c r="AN203" s="82"/>
      <c r="AO203" s="82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2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4"/>
      <c r="V204" s="80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2"/>
      <c r="AH204" s="330"/>
      <c r="AI204" s="330"/>
      <c r="AJ204" s="331"/>
      <c r="AK204" s="80"/>
      <c r="AL204" s="331"/>
      <c r="AM204" s="82"/>
      <c r="AN204" s="82"/>
      <c r="AO204" s="82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2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4"/>
      <c r="V205" s="80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2"/>
      <c r="AH205" s="330"/>
      <c r="AI205" s="330"/>
      <c r="AJ205" s="331"/>
      <c r="AK205" s="80"/>
      <c r="AL205" s="331"/>
      <c r="AM205" s="82"/>
      <c r="AN205" s="82"/>
      <c r="AO205" s="82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2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4"/>
      <c r="V206" s="80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2"/>
      <c r="AH206" s="330"/>
      <c r="AI206" s="330"/>
      <c r="AJ206" s="331"/>
      <c r="AK206" s="80"/>
      <c r="AL206" s="331"/>
      <c r="AM206" s="82"/>
      <c r="AN206" s="82"/>
      <c r="AO206" s="82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2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4"/>
      <c r="V207" s="80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2"/>
      <c r="AH207" s="330"/>
      <c r="AI207" s="330"/>
      <c r="AJ207" s="331"/>
      <c r="AK207" s="80"/>
      <c r="AL207" s="331"/>
      <c r="AM207" s="82"/>
      <c r="AN207" s="82"/>
      <c r="AO207" s="82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2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4"/>
      <c r="V208" s="80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2"/>
      <c r="AH208" s="330"/>
      <c r="AI208" s="330"/>
      <c r="AJ208" s="331"/>
      <c r="AK208" s="80"/>
      <c r="AL208" s="331"/>
      <c r="AM208" s="82"/>
      <c r="AN208" s="82"/>
      <c r="AO208" s="82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2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4"/>
      <c r="V209" s="80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2"/>
      <c r="AH209" s="330"/>
      <c r="AI209" s="330"/>
      <c r="AJ209" s="331"/>
      <c r="AK209" s="80"/>
      <c r="AL209" s="331"/>
      <c r="AM209" s="82"/>
      <c r="AN209" s="82"/>
      <c r="AO209" s="82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2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4"/>
      <c r="V210" s="80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2"/>
      <c r="AH210" s="330"/>
      <c r="AI210" s="330"/>
      <c r="AJ210" s="331"/>
      <c r="AK210" s="80"/>
      <c r="AL210" s="331"/>
      <c r="AM210" s="82"/>
      <c r="AN210" s="82"/>
      <c r="AO210" s="82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2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4"/>
      <c r="V211" s="80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2"/>
      <c r="AH211" s="330"/>
      <c r="AI211" s="330"/>
      <c r="AJ211" s="331"/>
      <c r="AK211" s="80"/>
      <c r="AL211" s="331"/>
      <c r="AM211" s="82"/>
      <c r="AN211" s="82"/>
      <c r="AO211" s="82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2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4"/>
      <c r="V212" s="80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2"/>
      <c r="AH212" s="330"/>
      <c r="AI212" s="330"/>
      <c r="AJ212" s="331"/>
      <c r="AK212" s="80"/>
      <c r="AL212" s="331"/>
      <c r="AM212" s="82"/>
      <c r="AN212" s="82"/>
      <c r="AO212" s="82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2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4"/>
      <c r="V213" s="80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2"/>
      <c r="AH213" s="330"/>
      <c r="AI213" s="330"/>
      <c r="AJ213" s="331"/>
      <c r="AK213" s="80"/>
      <c r="AL213" s="331"/>
      <c r="AM213" s="82"/>
      <c r="AN213" s="82"/>
      <c r="AO213" s="82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2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4"/>
      <c r="V214" s="80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2"/>
      <c r="AH214" s="330"/>
      <c r="AI214" s="330"/>
      <c r="AJ214" s="331"/>
      <c r="AK214" s="80"/>
      <c r="AL214" s="331"/>
      <c r="AM214" s="82"/>
      <c r="AN214" s="82"/>
      <c r="AO214" s="82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2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4"/>
      <c r="V215" s="80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2"/>
      <c r="AH215" s="330"/>
      <c r="AI215" s="330"/>
      <c r="AJ215" s="331"/>
      <c r="AK215" s="80"/>
      <c r="AL215" s="331"/>
      <c r="AM215" s="82"/>
      <c r="AN215" s="82"/>
      <c r="AO215" s="82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2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4"/>
      <c r="V216" s="80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2"/>
      <c r="AH216" s="330"/>
      <c r="AI216" s="330"/>
      <c r="AJ216" s="331"/>
      <c r="AK216" s="80"/>
      <c r="AL216" s="331"/>
      <c r="AM216" s="82"/>
      <c r="AN216" s="82"/>
      <c r="AO216" s="82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2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4"/>
      <c r="V217" s="80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2"/>
      <c r="AH217" s="330"/>
      <c r="AI217" s="330"/>
      <c r="AJ217" s="331"/>
      <c r="AK217" s="80"/>
      <c r="AL217" s="331"/>
      <c r="AM217" s="82"/>
      <c r="AN217" s="82"/>
      <c r="AO217" s="82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2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4"/>
      <c r="V218" s="80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2"/>
      <c r="AH218" s="330"/>
      <c r="AI218" s="330"/>
      <c r="AJ218" s="331"/>
      <c r="AK218" s="80"/>
      <c r="AL218" s="331"/>
      <c r="AM218" s="82"/>
      <c r="AN218" s="82"/>
      <c r="AO218" s="82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2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4"/>
      <c r="V219" s="80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2"/>
      <c r="AH219" s="330"/>
      <c r="AI219" s="330"/>
      <c r="AJ219" s="331"/>
      <c r="AK219" s="80"/>
      <c r="AL219" s="331"/>
      <c r="AM219" s="82"/>
      <c r="AN219" s="82"/>
      <c r="AO219" s="82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2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4"/>
      <c r="V220" s="80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2"/>
      <c r="AH220" s="330"/>
      <c r="AI220" s="330"/>
      <c r="AJ220" s="331"/>
      <c r="AK220" s="80"/>
      <c r="AL220" s="331"/>
      <c r="AM220" s="82"/>
      <c r="AN220" s="82"/>
      <c r="AO220" s="82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2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4"/>
      <c r="V221" s="80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2"/>
      <c r="AH221" s="330"/>
      <c r="AI221" s="330"/>
      <c r="AJ221" s="331"/>
      <c r="AK221" s="80"/>
      <c r="AL221" s="331"/>
      <c r="AM221" s="82"/>
      <c r="AN221" s="82"/>
      <c r="AO221" s="82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2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4"/>
      <c r="V222" s="80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2"/>
      <c r="AH222" s="330"/>
      <c r="AI222" s="330"/>
      <c r="AJ222" s="331"/>
      <c r="AK222" s="80"/>
      <c r="AL222" s="331"/>
      <c r="AM222" s="82"/>
      <c r="AN222" s="82"/>
      <c r="AO222" s="82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2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4"/>
      <c r="V223" s="80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2"/>
      <c r="AH223" s="330"/>
      <c r="AI223" s="330"/>
      <c r="AJ223" s="331"/>
      <c r="AK223" s="80"/>
      <c r="AL223" s="331"/>
      <c r="AM223" s="82"/>
      <c r="AN223" s="82"/>
      <c r="AO223" s="82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2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4"/>
      <c r="V224" s="80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2"/>
      <c r="AH224" s="330"/>
      <c r="AI224" s="330"/>
      <c r="AJ224" s="331"/>
      <c r="AK224" s="80"/>
      <c r="AL224" s="331"/>
      <c r="AM224" s="82"/>
      <c r="AN224" s="82"/>
      <c r="AO224" s="82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2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4"/>
      <c r="V225" s="80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2"/>
      <c r="AH225" s="330"/>
      <c r="AI225" s="330"/>
      <c r="AJ225" s="331"/>
      <c r="AK225" s="80"/>
      <c r="AL225" s="331"/>
      <c r="AM225" s="82"/>
      <c r="AN225" s="82"/>
      <c r="AO225" s="82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2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4"/>
      <c r="V226" s="80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2"/>
      <c r="AH226" s="330"/>
      <c r="AI226" s="330"/>
      <c r="AJ226" s="331"/>
      <c r="AK226" s="80"/>
      <c r="AL226" s="331"/>
      <c r="AM226" s="82"/>
      <c r="AN226" s="82"/>
      <c r="AO226" s="82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2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4"/>
      <c r="V227" s="80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2"/>
      <c r="AH227" s="330"/>
      <c r="AI227" s="330"/>
      <c r="AJ227" s="331"/>
      <c r="AK227" s="80"/>
      <c r="AL227" s="331"/>
      <c r="AM227" s="82"/>
      <c r="AN227" s="82"/>
      <c r="AO227" s="82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2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4"/>
      <c r="V228" s="80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2"/>
      <c r="AH228" s="330"/>
      <c r="AI228" s="330"/>
      <c r="AJ228" s="331"/>
      <c r="AK228" s="80"/>
      <c r="AL228" s="331"/>
      <c r="AM228" s="82"/>
      <c r="AN228" s="82"/>
      <c r="AO228" s="82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2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4"/>
      <c r="V229" s="80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2"/>
      <c r="AH229" s="330"/>
      <c r="AI229" s="330"/>
      <c r="AJ229" s="331"/>
      <c r="AK229" s="80"/>
      <c r="AL229" s="331"/>
      <c r="AM229" s="82"/>
      <c r="AN229" s="82"/>
      <c r="AO229" s="82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2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4"/>
      <c r="V230" s="80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2"/>
      <c r="AH230" s="330"/>
      <c r="AI230" s="330"/>
      <c r="AJ230" s="331"/>
      <c r="AK230" s="80"/>
      <c r="AL230" s="331"/>
      <c r="AM230" s="82"/>
      <c r="AN230" s="82"/>
      <c r="AO230" s="82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2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4"/>
      <c r="V231" s="80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2"/>
      <c r="AH231" s="330"/>
      <c r="AI231" s="330"/>
      <c r="AJ231" s="331"/>
      <c r="AK231" s="80"/>
      <c r="AL231" s="331"/>
      <c r="AM231" s="82"/>
      <c r="AN231" s="82"/>
      <c r="AO231" s="82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2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4"/>
      <c r="V232" s="80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2"/>
      <c r="AH232" s="330"/>
      <c r="AI232" s="330"/>
      <c r="AJ232" s="331"/>
      <c r="AK232" s="80"/>
      <c r="AL232" s="331"/>
      <c r="AM232" s="82"/>
      <c r="AN232" s="82"/>
      <c r="AO232" s="82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2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4"/>
      <c r="V233" s="80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2"/>
      <c r="AH233" s="330"/>
      <c r="AI233" s="330"/>
      <c r="AJ233" s="331"/>
      <c r="AK233" s="80"/>
      <c r="AL233" s="331"/>
      <c r="AM233" s="82"/>
      <c r="AN233" s="82"/>
      <c r="AO233" s="82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2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4"/>
      <c r="V234" s="80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2"/>
      <c r="AH234" s="330"/>
      <c r="AI234" s="330"/>
      <c r="AJ234" s="331"/>
      <c r="AK234" s="80"/>
      <c r="AL234" s="331"/>
      <c r="AM234" s="82"/>
      <c r="AN234" s="82"/>
      <c r="AO234" s="82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2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4"/>
      <c r="V235" s="80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2"/>
      <c r="AH235" s="330"/>
      <c r="AI235" s="330"/>
      <c r="AJ235" s="331"/>
      <c r="AK235" s="80"/>
      <c r="AL235" s="331"/>
      <c r="AM235" s="82"/>
      <c r="AN235" s="82"/>
      <c r="AO235" s="82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2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4"/>
      <c r="V236" s="80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2"/>
      <c r="AH236" s="330"/>
      <c r="AI236" s="330"/>
      <c r="AJ236" s="331"/>
      <c r="AK236" s="80"/>
      <c r="AL236" s="331"/>
      <c r="AM236" s="82"/>
      <c r="AN236" s="82"/>
      <c r="AO236" s="82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2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4"/>
      <c r="V237" s="80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2"/>
      <c r="AH237" s="330"/>
      <c r="AI237" s="330"/>
      <c r="AJ237" s="331"/>
      <c r="AK237" s="80"/>
      <c r="AL237" s="331"/>
      <c r="AM237" s="82"/>
      <c r="AN237" s="82"/>
      <c r="AO237" s="82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2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4"/>
      <c r="V238" s="80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2"/>
      <c r="AH238" s="330"/>
      <c r="AI238" s="330"/>
      <c r="AJ238" s="331"/>
      <c r="AK238" s="80"/>
      <c r="AL238" s="331"/>
      <c r="AM238" s="82"/>
      <c r="AN238" s="82"/>
      <c r="AO238" s="82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2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4"/>
      <c r="V239" s="80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2"/>
      <c r="AH239" s="330"/>
      <c r="AI239" s="330"/>
      <c r="AJ239" s="331"/>
      <c r="AK239" s="80"/>
      <c r="AL239" s="331"/>
      <c r="AM239" s="82"/>
      <c r="AN239" s="82"/>
      <c r="AO239" s="82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2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4"/>
      <c r="V240" s="80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2"/>
      <c r="AH240" s="330"/>
      <c r="AI240" s="330"/>
      <c r="AJ240" s="331"/>
      <c r="AK240" s="80"/>
      <c r="AL240" s="331"/>
      <c r="AM240" s="82"/>
      <c r="AN240" s="82"/>
      <c r="AO240" s="82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2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4"/>
      <c r="V241" s="80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2"/>
      <c r="AH241" s="330"/>
      <c r="AI241" s="330"/>
      <c r="AJ241" s="331"/>
      <c r="AK241" s="80"/>
      <c r="AL241" s="331"/>
      <c r="AM241" s="82"/>
      <c r="AN241" s="82"/>
      <c r="AO241" s="82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2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4"/>
      <c r="V242" s="80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2"/>
      <c r="AH242" s="330"/>
      <c r="AI242" s="330"/>
      <c r="AJ242" s="331"/>
      <c r="AK242" s="80"/>
      <c r="AL242" s="331"/>
      <c r="AM242" s="82"/>
      <c r="AN242" s="82"/>
      <c r="AO242" s="82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2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4"/>
      <c r="V243" s="80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2"/>
      <c r="AH243" s="330"/>
      <c r="AI243" s="330"/>
      <c r="AJ243" s="331"/>
      <c r="AK243" s="80"/>
      <c r="AL243" s="331"/>
      <c r="AM243" s="82"/>
      <c r="AN243" s="82"/>
      <c r="AO243" s="82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2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4"/>
      <c r="V244" s="80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2"/>
      <c r="AH244" s="330"/>
      <c r="AI244" s="330"/>
      <c r="AJ244" s="331"/>
      <c r="AK244" s="80"/>
      <c r="AL244" s="331"/>
      <c r="AM244" s="82"/>
      <c r="AN244" s="82"/>
      <c r="AO244" s="82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2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4"/>
      <c r="V245" s="80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2"/>
      <c r="AH245" s="330"/>
      <c r="AI245" s="330"/>
      <c r="AJ245" s="331"/>
      <c r="AK245" s="80"/>
      <c r="AL245" s="331"/>
      <c r="AM245" s="82"/>
      <c r="AN245" s="82"/>
      <c r="AO245" s="82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2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4"/>
      <c r="V246" s="80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2"/>
      <c r="AH246" s="330"/>
      <c r="AI246" s="330"/>
      <c r="AJ246" s="331"/>
      <c r="AK246" s="80"/>
      <c r="AL246" s="331"/>
      <c r="AM246" s="82"/>
      <c r="AN246" s="82"/>
      <c r="AO246" s="82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2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4"/>
      <c r="V247" s="80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2"/>
      <c r="AH247" s="330"/>
      <c r="AI247" s="330"/>
      <c r="AJ247" s="331"/>
      <c r="AK247" s="80"/>
      <c r="AL247" s="331"/>
      <c r="AM247" s="82"/>
      <c r="AN247" s="82"/>
      <c r="AO247" s="82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2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4"/>
      <c r="V248" s="80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2"/>
      <c r="AH248" s="330"/>
      <c r="AI248" s="330"/>
      <c r="AJ248" s="331"/>
      <c r="AK248" s="80"/>
      <c r="AL248" s="331"/>
      <c r="AM248" s="82"/>
      <c r="AN248" s="82"/>
      <c r="AO248" s="82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2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4"/>
      <c r="V249" s="80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2"/>
      <c r="AH249" s="330"/>
      <c r="AI249" s="330"/>
      <c r="AJ249" s="331"/>
      <c r="AK249" s="80"/>
      <c r="AL249" s="331"/>
      <c r="AM249" s="82"/>
      <c r="AN249" s="82"/>
      <c r="AO249" s="82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2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4"/>
      <c r="V250" s="80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2"/>
      <c r="AH250" s="330"/>
      <c r="AI250" s="330"/>
      <c r="AJ250" s="331"/>
      <c r="AK250" s="80"/>
      <c r="AL250" s="331"/>
      <c r="AM250" s="82"/>
      <c r="AN250" s="82"/>
      <c r="AO250" s="82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2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4"/>
      <c r="V251" s="80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2"/>
      <c r="AH251" s="330"/>
      <c r="AI251" s="330"/>
      <c r="AJ251" s="331"/>
      <c r="AK251" s="80"/>
      <c r="AL251" s="331"/>
      <c r="AM251" s="82"/>
      <c r="AN251" s="82"/>
      <c r="AO251" s="82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2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4"/>
      <c r="V252" s="80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2"/>
      <c r="AH252" s="330"/>
      <c r="AI252" s="330"/>
      <c r="AJ252" s="331"/>
      <c r="AK252" s="80"/>
      <c r="AL252" s="331"/>
      <c r="AM252" s="82"/>
      <c r="AN252" s="82"/>
      <c r="AO252" s="82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2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4"/>
      <c r="V253" s="80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2"/>
      <c r="AH253" s="330"/>
      <c r="AI253" s="330"/>
      <c r="AJ253" s="331"/>
      <c r="AK253" s="80"/>
      <c r="AL253" s="331"/>
      <c r="AM253" s="82"/>
      <c r="AN253" s="82"/>
      <c r="AO253" s="82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2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4"/>
      <c r="V254" s="80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2"/>
      <c r="AH254" s="330"/>
      <c r="AI254" s="330"/>
      <c r="AJ254" s="331"/>
      <c r="AK254" s="80"/>
      <c r="AL254" s="331"/>
      <c r="AM254" s="82"/>
      <c r="AN254" s="82"/>
      <c r="AO254" s="82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2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4"/>
      <c r="V255" s="80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2"/>
      <c r="AH255" s="330"/>
      <c r="AI255" s="330"/>
      <c r="AJ255" s="331"/>
      <c r="AK255" s="80"/>
      <c r="AL255" s="331"/>
      <c r="AM255" s="82"/>
      <c r="AN255" s="82"/>
      <c r="AO255" s="82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2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4"/>
      <c r="V256" s="80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2"/>
      <c r="AH256" s="330"/>
      <c r="AI256" s="330"/>
      <c r="AJ256" s="331"/>
      <c r="AK256" s="80"/>
      <c r="AL256" s="331"/>
      <c r="AM256" s="82"/>
      <c r="AN256" s="82"/>
      <c r="AO256" s="82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2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4"/>
      <c r="V257" s="80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2"/>
      <c r="AH257" s="330"/>
      <c r="AI257" s="330"/>
      <c r="AJ257" s="331"/>
      <c r="AK257" s="80"/>
      <c r="AL257" s="331"/>
      <c r="AM257" s="82"/>
      <c r="AN257" s="82"/>
      <c r="AO257" s="82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2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4"/>
      <c r="V258" s="80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2"/>
      <c r="AH258" s="330"/>
      <c r="AI258" s="330"/>
      <c r="AJ258" s="331"/>
      <c r="AK258" s="80"/>
      <c r="AL258" s="331"/>
      <c r="AM258" s="82"/>
      <c r="AN258" s="82"/>
      <c r="AO258" s="82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2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4"/>
      <c r="V259" s="80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2"/>
      <c r="AH259" s="330"/>
      <c r="AI259" s="330"/>
      <c r="AJ259" s="331"/>
      <c r="AK259" s="80"/>
      <c r="AL259" s="331"/>
      <c r="AM259" s="82"/>
      <c r="AN259" s="82"/>
      <c r="AO259" s="82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2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4"/>
      <c r="V260" s="80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2"/>
      <c r="AH260" s="330"/>
      <c r="AI260" s="330"/>
      <c r="AJ260" s="331"/>
      <c r="AK260" s="80"/>
      <c r="AL260" s="331"/>
      <c r="AM260" s="82"/>
      <c r="AN260" s="82"/>
      <c r="AO260" s="82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2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4"/>
      <c r="V261" s="80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2"/>
      <c r="AH261" s="330"/>
      <c r="AI261" s="330"/>
      <c r="AJ261" s="331"/>
      <c r="AK261" s="80"/>
      <c r="AL261" s="331"/>
      <c r="AM261" s="82"/>
      <c r="AN261" s="82"/>
      <c r="AO261" s="82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2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4"/>
      <c r="V262" s="80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2"/>
      <c r="AH262" s="330"/>
      <c r="AI262" s="330"/>
      <c r="AJ262" s="331"/>
      <c r="AK262" s="80"/>
      <c r="AL262" s="331"/>
      <c r="AM262" s="82"/>
      <c r="AN262" s="82"/>
      <c r="AO262" s="82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2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4"/>
      <c r="V263" s="80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2"/>
      <c r="AH263" s="330"/>
      <c r="AI263" s="330"/>
      <c r="AJ263" s="331"/>
      <c r="AK263" s="80"/>
      <c r="AL263" s="331"/>
      <c r="AM263" s="82"/>
      <c r="AN263" s="82"/>
      <c r="AO263" s="82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2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4"/>
      <c r="V264" s="80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2"/>
      <c r="AH264" s="330"/>
      <c r="AI264" s="330"/>
      <c r="AJ264" s="331"/>
      <c r="AK264" s="80"/>
      <c r="AL264" s="331"/>
      <c r="AM264" s="82"/>
      <c r="AN264" s="82"/>
      <c r="AO264" s="82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2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4"/>
      <c r="V265" s="80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2"/>
      <c r="AH265" s="330"/>
      <c r="AI265" s="330"/>
      <c r="AJ265" s="331"/>
      <c r="AK265" s="80"/>
      <c r="AL265" s="331"/>
      <c r="AM265" s="82"/>
      <c r="AN265" s="82"/>
      <c r="AO265" s="82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2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4"/>
      <c r="V266" s="80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2"/>
      <c r="AH266" s="330"/>
      <c r="AI266" s="330"/>
      <c r="AJ266" s="331"/>
      <c r="AK266" s="80"/>
      <c r="AL266" s="331"/>
      <c r="AM266" s="82"/>
      <c r="AN266" s="82"/>
      <c r="AO266" s="82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2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4"/>
      <c r="V267" s="80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2"/>
      <c r="AH267" s="330"/>
      <c r="AI267" s="330"/>
      <c r="AJ267" s="331"/>
      <c r="AK267" s="80"/>
      <c r="AL267" s="331"/>
      <c r="AM267" s="82"/>
      <c r="AN267" s="82"/>
      <c r="AO267" s="82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2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4"/>
      <c r="V268" s="80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2"/>
      <c r="AH268" s="330"/>
      <c r="AI268" s="330"/>
      <c r="AJ268" s="331"/>
      <c r="AK268" s="80"/>
      <c r="AL268" s="331"/>
      <c r="AM268" s="82"/>
      <c r="AN268" s="82"/>
      <c r="AO268" s="82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2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4"/>
      <c r="V269" s="80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2"/>
      <c r="AH269" s="330"/>
      <c r="AI269" s="330"/>
      <c r="AJ269" s="331"/>
      <c r="AK269" s="80"/>
      <c r="AL269" s="331"/>
      <c r="AM269" s="82"/>
      <c r="AN269" s="82"/>
      <c r="AO269" s="82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2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4"/>
      <c r="V270" s="80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2"/>
      <c r="AH270" s="330"/>
      <c r="AI270" s="330"/>
      <c r="AJ270" s="331"/>
      <c r="AK270" s="80"/>
      <c r="AL270" s="331"/>
      <c r="AM270" s="82"/>
      <c r="AN270" s="82"/>
      <c r="AO270" s="82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2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4"/>
      <c r="V271" s="80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2"/>
      <c r="AH271" s="330"/>
      <c r="AI271" s="330"/>
      <c r="AJ271" s="331"/>
      <c r="AK271" s="80"/>
      <c r="AL271" s="331"/>
      <c r="AM271" s="82"/>
      <c r="AN271" s="82"/>
      <c r="AO271" s="82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2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4"/>
      <c r="V272" s="80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2"/>
      <c r="AH272" s="330"/>
      <c r="AI272" s="330"/>
      <c r="AJ272" s="331"/>
      <c r="AK272" s="80"/>
      <c r="AL272" s="331"/>
      <c r="AM272" s="82"/>
      <c r="AN272" s="82"/>
      <c r="AO272" s="82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2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4"/>
      <c r="V273" s="80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2"/>
      <c r="AH273" s="330"/>
      <c r="AI273" s="330"/>
      <c r="AJ273" s="331"/>
      <c r="AK273" s="80"/>
      <c r="AL273" s="331"/>
      <c r="AM273" s="82"/>
      <c r="AN273" s="82"/>
      <c r="AO273" s="82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2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4"/>
      <c r="V274" s="80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2"/>
      <c r="AH274" s="330"/>
      <c r="AI274" s="330"/>
      <c r="AJ274" s="331"/>
      <c r="AK274" s="80"/>
      <c r="AL274" s="331"/>
      <c r="AM274" s="82"/>
      <c r="AN274" s="82"/>
      <c r="AO274" s="82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2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4"/>
      <c r="V275" s="80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2"/>
      <c r="AH275" s="330"/>
      <c r="AI275" s="330"/>
      <c r="AJ275" s="331"/>
      <c r="AK275" s="80"/>
      <c r="AL275" s="331"/>
      <c r="AM275" s="82"/>
      <c r="AN275" s="82"/>
      <c r="AO275" s="82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2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4"/>
      <c r="V276" s="80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2"/>
      <c r="AH276" s="330"/>
      <c r="AI276" s="330"/>
      <c r="AJ276" s="331"/>
      <c r="AK276" s="80"/>
      <c r="AL276" s="331"/>
      <c r="AM276" s="82"/>
      <c r="AN276" s="82"/>
      <c r="AO276" s="82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2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4"/>
      <c r="V277" s="80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2"/>
      <c r="AH277" s="330"/>
      <c r="AI277" s="330"/>
      <c r="AJ277" s="331"/>
      <c r="AK277" s="80"/>
      <c r="AL277" s="331"/>
      <c r="AM277" s="82"/>
      <c r="AN277" s="82"/>
      <c r="AO277" s="82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2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4"/>
      <c r="V278" s="80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2"/>
      <c r="AH278" s="330"/>
      <c r="AI278" s="330"/>
      <c r="AJ278" s="331"/>
      <c r="AK278" s="80"/>
      <c r="AL278" s="331"/>
      <c r="AM278" s="82"/>
      <c r="AN278" s="82"/>
      <c r="AO278" s="82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2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4"/>
      <c r="V279" s="80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2"/>
      <c r="AH279" s="330"/>
      <c r="AI279" s="330"/>
      <c r="AJ279" s="331"/>
      <c r="AK279" s="80"/>
      <c r="AL279" s="331"/>
      <c r="AM279" s="82"/>
      <c r="AN279" s="82"/>
      <c r="AO279" s="82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2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4"/>
      <c r="V280" s="80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2"/>
      <c r="AH280" s="330"/>
      <c r="AI280" s="330"/>
      <c r="AJ280" s="331"/>
      <c r="AK280" s="80"/>
      <c r="AL280" s="331"/>
      <c r="AM280" s="82"/>
      <c r="AN280" s="82"/>
      <c r="AO280" s="82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2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4"/>
      <c r="V281" s="80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2"/>
      <c r="AH281" s="330"/>
      <c r="AI281" s="330"/>
      <c r="AJ281" s="331"/>
      <c r="AK281" s="80"/>
      <c r="AL281" s="331"/>
      <c r="AM281" s="82"/>
      <c r="AN281" s="82"/>
      <c r="AO281" s="82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2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4"/>
      <c r="V282" s="80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2"/>
      <c r="AH282" s="330"/>
      <c r="AI282" s="330"/>
      <c r="AJ282" s="331"/>
      <c r="AK282" s="80"/>
      <c r="AL282" s="331"/>
      <c r="AM282" s="82"/>
      <c r="AN282" s="82"/>
      <c r="AO282" s="82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2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4"/>
      <c r="V283" s="80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2"/>
      <c r="AH283" s="330"/>
      <c r="AI283" s="330"/>
      <c r="AJ283" s="331"/>
      <c r="AK283" s="80"/>
      <c r="AL283" s="331"/>
      <c r="AM283" s="82"/>
      <c r="AN283" s="82"/>
      <c r="AO283" s="82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2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4"/>
      <c r="V284" s="80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2"/>
      <c r="AH284" s="330"/>
      <c r="AI284" s="330"/>
      <c r="AJ284" s="331"/>
      <c r="AK284" s="80"/>
      <c r="AL284" s="331"/>
      <c r="AM284" s="82"/>
      <c r="AN284" s="82"/>
      <c r="AO284" s="82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2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4"/>
      <c r="V285" s="80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2"/>
      <c r="AH285" s="330"/>
      <c r="AI285" s="330"/>
      <c r="AJ285" s="331"/>
      <c r="AK285" s="80"/>
      <c r="AL285" s="331"/>
      <c r="AM285" s="82"/>
      <c r="AN285" s="82"/>
      <c r="AO285" s="82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2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4"/>
      <c r="V286" s="80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2"/>
      <c r="AH286" s="330"/>
      <c r="AI286" s="330"/>
      <c r="AJ286" s="331"/>
      <c r="AK286" s="80"/>
      <c r="AL286" s="331"/>
      <c r="AM286" s="82"/>
      <c r="AN286" s="82"/>
      <c r="AO286" s="82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2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4"/>
      <c r="V287" s="80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2"/>
      <c r="AH287" s="330"/>
      <c r="AI287" s="330"/>
      <c r="AJ287" s="331"/>
      <c r="AK287" s="80"/>
      <c r="AL287" s="331"/>
      <c r="AM287" s="82"/>
      <c r="AN287" s="82"/>
      <c r="AO287" s="82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2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4"/>
      <c r="V288" s="80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2"/>
      <c r="AH288" s="330"/>
      <c r="AI288" s="330"/>
      <c r="AJ288" s="331"/>
      <c r="AK288" s="80"/>
      <c r="AL288" s="331"/>
      <c r="AM288" s="82"/>
      <c r="AN288" s="82"/>
      <c r="AO288" s="82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2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4"/>
      <c r="V289" s="80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2"/>
      <c r="AH289" s="330"/>
      <c r="AI289" s="330"/>
      <c r="AJ289" s="331"/>
      <c r="AK289" s="80"/>
      <c r="AL289" s="331"/>
      <c r="AM289" s="82"/>
      <c r="AN289" s="82"/>
      <c r="AO289" s="82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2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4"/>
      <c r="V290" s="80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2"/>
      <c r="AH290" s="330"/>
      <c r="AI290" s="330"/>
      <c r="AJ290" s="331"/>
      <c r="AK290" s="80"/>
      <c r="AL290" s="331"/>
      <c r="AM290" s="82"/>
      <c r="AN290" s="82"/>
      <c r="AO290" s="82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2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4"/>
      <c r="V291" s="80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2"/>
      <c r="AH291" s="330"/>
      <c r="AI291" s="330"/>
      <c r="AJ291" s="331"/>
      <c r="AK291" s="80"/>
      <c r="AL291" s="331"/>
      <c r="AM291" s="82"/>
      <c r="AN291" s="82"/>
      <c r="AO291" s="82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2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4"/>
      <c r="V292" s="80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2"/>
      <c r="AH292" s="330"/>
      <c r="AI292" s="330"/>
      <c r="AJ292" s="331"/>
      <c r="AK292" s="80"/>
      <c r="AL292" s="331"/>
      <c r="AM292" s="82"/>
      <c r="AN292" s="82"/>
      <c r="AO292" s="82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2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4"/>
      <c r="V293" s="80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2"/>
      <c r="AH293" s="330"/>
      <c r="AI293" s="330"/>
      <c r="AJ293" s="331"/>
      <c r="AK293" s="80"/>
      <c r="AL293" s="331"/>
      <c r="AM293" s="82"/>
      <c r="AN293" s="82"/>
      <c r="AO293" s="82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2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4"/>
      <c r="V294" s="80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2"/>
      <c r="AH294" s="330"/>
      <c r="AI294" s="330"/>
      <c r="AJ294" s="331"/>
      <c r="AK294" s="80"/>
      <c r="AL294" s="331"/>
      <c r="AM294" s="82"/>
      <c r="AN294" s="82"/>
      <c r="AO294" s="82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2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4"/>
      <c r="V295" s="80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2"/>
      <c r="AH295" s="330"/>
      <c r="AI295" s="330"/>
      <c r="AJ295" s="331"/>
      <c r="AK295" s="80"/>
      <c r="AL295" s="331"/>
      <c r="AM295" s="82"/>
      <c r="AN295" s="82"/>
      <c r="AO295" s="82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2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4"/>
      <c r="V296" s="80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2"/>
      <c r="AH296" s="330"/>
      <c r="AI296" s="330"/>
      <c r="AJ296" s="331"/>
      <c r="AK296" s="80"/>
      <c r="AL296" s="331"/>
      <c r="AM296" s="82"/>
      <c r="AN296" s="82"/>
      <c r="AO296" s="82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2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4"/>
      <c r="V297" s="80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2"/>
      <c r="AH297" s="330"/>
      <c r="AI297" s="330"/>
      <c r="AJ297" s="331"/>
      <c r="AK297" s="80"/>
      <c r="AL297" s="331"/>
      <c r="AM297" s="82"/>
      <c r="AN297" s="82"/>
      <c r="AO297" s="82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2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4"/>
      <c r="V298" s="80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2"/>
      <c r="AH298" s="330"/>
      <c r="AI298" s="330"/>
      <c r="AJ298" s="331"/>
      <c r="AK298" s="80"/>
      <c r="AL298" s="331"/>
      <c r="AM298" s="82"/>
      <c r="AN298" s="82"/>
      <c r="AO298" s="82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2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4"/>
      <c r="V299" s="80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2"/>
      <c r="AH299" s="330"/>
      <c r="AI299" s="330"/>
      <c r="AJ299" s="331"/>
      <c r="AK299" s="80"/>
      <c r="AL299" s="331"/>
      <c r="AM299" s="82"/>
      <c r="AN299" s="82"/>
      <c r="AO299" s="82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2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4"/>
      <c r="V300" s="80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2"/>
      <c r="AH300" s="330"/>
      <c r="AI300" s="330"/>
      <c r="AJ300" s="331"/>
      <c r="AK300" s="80"/>
      <c r="AL300" s="331"/>
      <c r="AM300" s="82"/>
      <c r="AN300" s="82"/>
      <c r="AO300" s="82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2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4"/>
      <c r="V301" s="80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2"/>
      <c r="AH301" s="330"/>
      <c r="AI301" s="330"/>
      <c r="AJ301" s="331"/>
      <c r="AK301" s="80"/>
      <c r="AL301" s="331"/>
      <c r="AM301" s="82"/>
      <c r="AN301" s="82"/>
      <c r="AO301" s="82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2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4"/>
      <c r="V302" s="80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2"/>
      <c r="AH302" s="330"/>
      <c r="AI302" s="330"/>
      <c r="AJ302" s="331"/>
      <c r="AK302" s="80"/>
      <c r="AL302" s="331"/>
      <c r="AM302" s="82"/>
      <c r="AN302" s="82"/>
      <c r="AO302" s="82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2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4"/>
      <c r="V303" s="80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2"/>
      <c r="AH303" s="330"/>
      <c r="AI303" s="330"/>
      <c r="AJ303" s="331"/>
      <c r="AK303" s="80"/>
      <c r="AL303" s="331"/>
      <c r="AM303" s="82"/>
      <c r="AN303" s="82"/>
      <c r="AO303" s="82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2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4"/>
      <c r="V304" s="80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2"/>
      <c r="AH304" s="330"/>
      <c r="AI304" s="330"/>
      <c r="AJ304" s="331"/>
      <c r="AK304" s="80"/>
      <c r="AL304" s="331"/>
      <c r="AM304" s="82"/>
      <c r="AN304" s="82"/>
      <c r="AO304" s="82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2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4"/>
      <c r="V305" s="80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2"/>
      <c r="AH305" s="330"/>
      <c r="AI305" s="330"/>
      <c r="AJ305" s="331"/>
      <c r="AK305" s="80"/>
      <c r="AL305" s="331"/>
      <c r="AM305" s="82"/>
      <c r="AN305" s="82"/>
      <c r="AO305" s="82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2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4"/>
      <c r="V306" s="80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2"/>
      <c r="AH306" s="330"/>
      <c r="AI306" s="330"/>
      <c r="AJ306" s="331"/>
      <c r="AK306" s="80"/>
      <c r="AL306" s="331"/>
      <c r="AM306" s="82"/>
      <c r="AN306" s="82"/>
      <c r="AO306" s="82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2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4"/>
      <c r="V307" s="80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2"/>
      <c r="AH307" s="330"/>
      <c r="AI307" s="330"/>
      <c r="AJ307" s="331"/>
      <c r="AK307" s="80"/>
      <c r="AL307" s="331"/>
      <c r="AM307" s="82"/>
      <c r="AN307" s="82"/>
      <c r="AO307" s="82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2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4"/>
      <c r="V308" s="80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2"/>
      <c r="AH308" s="330"/>
      <c r="AI308" s="330"/>
      <c r="AJ308" s="331"/>
      <c r="AK308" s="80"/>
      <c r="AL308" s="331"/>
      <c r="AM308" s="82"/>
      <c r="AN308" s="82"/>
      <c r="AO308" s="82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2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4"/>
      <c r="V309" s="80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2"/>
      <c r="AH309" s="330"/>
      <c r="AI309" s="330"/>
      <c r="AJ309" s="331"/>
      <c r="AK309" s="80"/>
      <c r="AL309" s="331"/>
      <c r="AM309" s="82"/>
      <c r="AN309" s="82"/>
      <c r="AO309" s="82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2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4"/>
      <c r="V310" s="80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2"/>
      <c r="AH310" s="330"/>
      <c r="AI310" s="330"/>
      <c r="AJ310" s="331"/>
      <c r="AK310" s="80"/>
      <c r="AL310" s="331"/>
      <c r="AM310" s="82"/>
      <c r="AN310" s="82"/>
      <c r="AO310" s="82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2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4"/>
      <c r="V311" s="80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2"/>
      <c r="AH311" s="330"/>
      <c r="AI311" s="330"/>
      <c r="AJ311" s="331"/>
      <c r="AK311" s="80"/>
      <c r="AL311" s="331"/>
      <c r="AM311" s="82"/>
      <c r="AN311" s="82"/>
      <c r="AO311" s="82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2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4"/>
      <c r="V312" s="80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2"/>
      <c r="AH312" s="330"/>
      <c r="AI312" s="330"/>
      <c r="AJ312" s="331"/>
      <c r="AK312" s="80"/>
      <c r="AL312" s="331"/>
      <c r="AM312" s="82"/>
      <c r="AN312" s="82"/>
      <c r="AO312" s="82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2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4"/>
      <c r="V313" s="80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2"/>
      <c r="AH313" s="330"/>
      <c r="AI313" s="330"/>
      <c r="AJ313" s="331"/>
      <c r="AK313" s="80"/>
      <c r="AL313" s="331"/>
      <c r="AM313" s="82"/>
      <c r="AN313" s="82"/>
      <c r="AO313" s="82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2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4"/>
      <c r="V314" s="80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2"/>
      <c r="AH314" s="330"/>
      <c r="AI314" s="330"/>
      <c r="AJ314" s="331"/>
      <c r="AK314" s="80"/>
      <c r="AL314" s="331"/>
      <c r="AM314" s="82"/>
      <c r="AN314" s="82"/>
      <c r="AO314" s="82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2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4"/>
      <c r="V315" s="80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2"/>
      <c r="AH315" s="330"/>
      <c r="AI315" s="330"/>
      <c r="AJ315" s="331"/>
      <c r="AK315" s="80"/>
      <c r="AL315" s="331"/>
      <c r="AM315" s="82"/>
      <c r="AN315" s="82"/>
      <c r="AO315" s="82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2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4"/>
      <c r="V316" s="80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2"/>
      <c r="AH316" s="330"/>
      <c r="AI316" s="330"/>
      <c r="AJ316" s="331"/>
      <c r="AK316" s="80"/>
      <c r="AL316" s="331"/>
      <c r="AM316" s="82"/>
      <c r="AN316" s="82"/>
      <c r="AO316" s="82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2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4"/>
      <c r="V317" s="80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2"/>
      <c r="AH317" s="330"/>
      <c r="AI317" s="330"/>
      <c r="AJ317" s="331"/>
      <c r="AK317" s="80"/>
      <c r="AL317" s="331"/>
      <c r="AM317" s="82"/>
      <c r="AN317" s="82"/>
      <c r="AO317" s="82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2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4"/>
      <c r="V318" s="80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2"/>
      <c r="AH318" s="330"/>
      <c r="AI318" s="330"/>
      <c r="AJ318" s="331"/>
      <c r="AK318" s="80"/>
      <c r="AL318" s="331"/>
      <c r="AM318" s="82"/>
      <c r="AN318" s="82"/>
      <c r="AO318" s="82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2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4"/>
      <c r="V319" s="80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2"/>
      <c r="AH319" s="330"/>
      <c r="AI319" s="330"/>
      <c r="AJ319" s="331"/>
      <c r="AK319" s="80"/>
      <c r="AL319" s="331"/>
      <c r="AM319" s="82"/>
      <c r="AN319" s="82"/>
      <c r="AO319" s="82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2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4"/>
      <c r="V320" s="80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2"/>
      <c r="AH320" s="330"/>
      <c r="AI320" s="330"/>
      <c r="AJ320" s="331"/>
      <c r="AK320" s="80"/>
      <c r="AL320" s="331"/>
      <c r="AM320" s="82"/>
      <c r="AN320" s="82"/>
      <c r="AO320" s="82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2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4"/>
      <c r="V321" s="80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2"/>
      <c r="AH321" s="330"/>
      <c r="AI321" s="330"/>
      <c r="AJ321" s="331"/>
      <c r="AK321" s="80"/>
      <c r="AL321" s="331"/>
      <c r="AM321" s="82"/>
      <c r="AN321" s="82"/>
      <c r="AO321" s="82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2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4"/>
      <c r="V322" s="80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2"/>
      <c r="AH322" s="330"/>
      <c r="AI322" s="330"/>
      <c r="AJ322" s="331"/>
      <c r="AK322" s="80"/>
      <c r="AL322" s="331"/>
      <c r="AM322" s="82"/>
      <c r="AN322" s="82"/>
      <c r="AO322" s="82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2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4"/>
      <c r="V323" s="80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2"/>
      <c r="AH323" s="330"/>
      <c r="AI323" s="330"/>
      <c r="AJ323" s="331"/>
      <c r="AK323" s="80"/>
      <c r="AL323" s="331"/>
      <c r="AM323" s="82"/>
      <c r="AN323" s="82"/>
      <c r="AO323" s="82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2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4"/>
      <c r="V324" s="80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2"/>
      <c r="AH324" s="330"/>
      <c r="AI324" s="330"/>
      <c r="AJ324" s="331"/>
      <c r="AK324" s="80"/>
      <c r="AL324" s="331"/>
      <c r="AM324" s="82"/>
      <c r="AN324" s="82"/>
      <c r="AO324" s="82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2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4"/>
      <c r="V325" s="80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2"/>
      <c r="AH325" s="330"/>
      <c r="AI325" s="330"/>
      <c r="AJ325" s="331"/>
      <c r="AK325" s="80"/>
      <c r="AL325" s="331"/>
      <c r="AM325" s="82"/>
      <c r="AN325" s="82"/>
      <c r="AO325" s="82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2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4"/>
      <c r="V326" s="80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2"/>
      <c r="AH326" s="330"/>
      <c r="AI326" s="330"/>
      <c r="AJ326" s="331"/>
      <c r="AK326" s="80"/>
      <c r="AL326" s="331"/>
      <c r="AM326" s="82"/>
      <c r="AN326" s="82"/>
      <c r="AO326" s="82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2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4"/>
      <c r="V327" s="80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2"/>
      <c r="AH327" s="330"/>
      <c r="AI327" s="330"/>
      <c r="AJ327" s="331"/>
      <c r="AK327" s="80"/>
      <c r="AL327" s="331"/>
      <c r="AM327" s="82"/>
      <c r="AN327" s="82"/>
      <c r="AO327" s="82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2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4"/>
      <c r="V328" s="80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2"/>
      <c r="AH328" s="330"/>
      <c r="AI328" s="330"/>
      <c r="AJ328" s="331"/>
      <c r="AK328" s="80"/>
      <c r="AL328" s="331"/>
      <c r="AM328" s="82"/>
      <c r="AN328" s="82"/>
      <c r="AO328" s="82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2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4"/>
      <c r="V329" s="80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2"/>
      <c r="AH329" s="330"/>
      <c r="AI329" s="330"/>
      <c r="AJ329" s="331"/>
      <c r="AK329" s="80"/>
      <c r="AL329" s="331"/>
      <c r="AM329" s="82"/>
      <c r="AN329" s="82"/>
      <c r="AO329" s="82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2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4"/>
      <c r="V330" s="80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2"/>
      <c r="AH330" s="330"/>
      <c r="AI330" s="330"/>
      <c r="AJ330" s="331"/>
      <c r="AK330" s="80"/>
      <c r="AL330" s="331"/>
      <c r="AM330" s="82"/>
      <c r="AN330" s="82"/>
      <c r="AO330" s="82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2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4"/>
      <c r="V331" s="80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2"/>
      <c r="AH331" s="330"/>
      <c r="AI331" s="330"/>
      <c r="AJ331" s="331"/>
      <c r="AK331" s="80"/>
      <c r="AL331" s="331"/>
      <c r="AM331" s="82"/>
      <c r="AN331" s="82"/>
      <c r="AO331" s="82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2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4"/>
      <c r="V332" s="80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2"/>
      <c r="AH332" s="330"/>
      <c r="AI332" s="330"/>
      <c r="AJ332" s="331"/>
      <c r="AK332" s="80"/>
      <c r="AL332" s="331"/>
      <c r="AM332" s="82"/>
      <c r="AN332" s="82"/>
      <c r="AO332" s="82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2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4"/>
      <c r="V333" s="80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2"/>
      <c r="AH333" s="330"/>
      <c r="AI333" s="330"/>
      <c r="AJ333" s="331"/>
      <c r="AK333" s="80"/>
      <c r="AL333" s="331"/>
      <c r="AM333" s="82"/>
      <c r="AN333" s="82"/>
      <c r="AO333" s="82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2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4"/>
      <c r="V334" s="80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2"/>
      <c r="AH334" s="330"/>
      <c r="AI334" s="330"/>
      <c r="AJ334" s="331"/>
      <c r="AK334" s="80"/>
      <c r="AL334" s="331"/>
      <c r="AM334" s="82"/>
      <c r="AN334" s="82"/>
      <c r="AO334" s="82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2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4"/>
      <c r="V335" s="80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2"/>
      <c r="AH335" s="330"/>
      <c r="AI335" s="330"/>
      <c r="AJ335" s="331"/>
      <c r="AK335" s="80"/>
      <c r="AL335" s="331"/>
      <c r="AM335" s="82"/>
      <c r="AN335" s="82"/>
      <c r="AO335" s="82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2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4"/>
      <c r="V336" s="80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2"/>
      <c r="AH336" s="330"/>
      <c r="AI336" s="330"/>
      <c r="AJ336" s="331"/>
      <c r="AK336" s="80"/>
      <c r="AL336" s="331"/>
      <c r="AM336" s="82"/>
      <c r="AN336" s="82"/>
      <c r="AO336" s="82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2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4"/>
      <c r="V337" s="80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2"/>
      <c r="AH337" s="330"/>
      <c r="AI337" s="330"/>
      <c r="AJ337" s="331"/>
      <c r="AK337" s="80"/>
      <c r="AL337" s="331"/>
      <c r="AM337" s="82"/>
      <c r="AN337" s="82"/>
      <c r="AO337" s="82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2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4"/>
      <c r="V338" s="80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2"/>
      <c r="AH338" s="330"/>
      <c r="AI338" s="330"/>
      <c r="AJ338" s="331"/>
      <c r="AK338" s="80"/>
      <c r="AL338" s="331"/>
      <c r="AM338" s="82"/>
      <c r="AN338" s="82"/>
      <c r="AO338" s="82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2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4"/>
      <c r="V339" s="80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2"/>
      <c r="AH339" s="330"/>
      <c r="AI339" s="330"/>
      <c r="AJ339" s="331"/>
      <c r="AK339" s="80"/>
      <c r="AL339" s="331"/>
      <c r="AM339" s="82"/>
      <c r="AN339" s="82"/>
      <c r="AO339" s="82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2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4"/>
      <c r="V340" s="80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2"/>
      <c r="AH340" s="330"/>
      <c r="AI340" s="330"/>
      <c r="AJ340" s="331"/>
      <c r="AK340" s="80"/>
      <c r="AL340" s="331"/>
      <c r="AM340" s="82"/>
      <c r="AN340" s="82"/>
      <c r="AO340" s="82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2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4"/>
      <c r="V341" s="80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2"/>
      <c r="AH341" s="330"/>
      <c r="AI341" s="330"/>
      <c r="AJ341" s="331"/>
      <c r="AK341" s="80"/>
      <c r="AL341" s="331"/>
      <c r="AM341" s="82"/>
      <c r="AN341" s="82"/>
      <c r="AO341" s="82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2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4"/>
      <c r="V342" s="80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2"/>
      <c r="AH342" s="330"/>
      <c r="AI342" s="330"/>
      <c r="AJ342" s="331"/>
      <c r="AK342" s="80"/>
      <c r="AL342" s="331"/>
      <c r="AM342" s="82"/>
      <c r="AN342" s="82"/>
      <c r="AO342" s="82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2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4"/>
      <c r="V343" s="80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2"/>
      <c r="AH343" s="330"/>
      <c r="AI343" s="330"/>
      <c r="AJ343" s="331"/>
      <c r="AK343" s="80"/>
      <c r="AL343" s="331"/>
      <c r="AM343" s="82"/>
      <c r="AN343" s="82"/>
      <c r="AO343" s="82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2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4"/>
      <c r="V344" s="80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2"/>
      <c r="AH344" s="330"/>
      <c r="AI344" s="330"/>
      <c r="AJ344" s="331"/>
      <c r="AK344" s="80"/>
      <c r="AL344" s="331"/>
      <c r="AM344" s="82"/>
      <c r="AN344" s="82"/>
      <c r="AO344" s="82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2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4"/>
      <c r="V345" s="80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2"/>
      <c r="AH345" s="330"/>
      <c r="AI345" s="330"/>
      <c r="AJ345" s="331"/>
      <c r="AK345" s="80"/>
      <c r="AL345" s="331"/>
      <c r="AM345" s="82"/>
      <c r="AN345" s="82"/>
      <c r="AO345" s="82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2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4"/>
      <c r="V346" s="80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2"/>
      <c r="AH346" s="330"/>
      <c r="AI346" s="330"/>
      <c r="AJ346" s="331"/>
      <c r="AK346" s="80"/>
      <c r="AL346" s="331"/>
      <c r="AM346" s="82"/>
      <c r="AN346" s="82"/>
      <c r="AO346" s="82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2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4"/>
      <c r="V347" s="80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2"/>
      <c r="AH347" s="330"/>
      <c r="AI347" s="330"/>
      <c r="AJ347" s="331"/>
      <c r="AK347" s="80"/>
      <c r="AL347" s="331"/>
      <c r="AM347" s="82"/>
      <c r="AN347" s="82"/>
      <c r="AO347" s="82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2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4"/>
      <c r="V348" s="80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2"/>
      <c r="AH348" s="330"/>
      <c r="AI348" s="330"/>
      <c r="AJ348" s="331"/>
      <c r="AK348" s="80"/>
      <c r="AL348" s="331"/>
      <c r="AM348" s="82"/>
      <c r="AN348" s="82"/>
      <c r="AO348" s="82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2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4"/>
      <c r="V349" s="80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2"/>
      <c r="AH349" s="330"/>
      <c r="AI349" s="330"/>
      <c r="AJ349" s="331"/>
      <c r="AK349" s="80"/>
      <c r="AL349" s="331"/>
      <c r="AM349" s="82"/>
      <c r="AN349" s="82"/>
      <c r="AO349" s="82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2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4"/>
      <c r="V350" s="80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2"/>
      <c r="AH350" s="330"/>
      <c r="AI350" s="330"/>
      <c r="AJ350" s="331"/>
      <c r="AK350" s="80"/>
      <c r="AL350" s="331"/>
      <c r="AM350" s="82"/>
      <c r="AN350" s="82"/>
      <c r="AO350" s="82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2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4"/>
      <c r="V351" s="80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2"/>
      <c r="AH351" s="330"/>
      <c r="AI351" s="330"/>
      <c r="AJ351" s="331"/>
      <c r="AK351" s="80"/>
      <c r="AL351" s="331"/>
      <c r="AM351" s="82"/>
      <c r="AN351" s="82"/>
      <c r="AO351" s="82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2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4"/>
      <c r="V352" s="80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2"/>
      <c r="AH352" s="330"/>
      <c r="AI352" s="330"/>
      <c r="AJ352" s="331"/>
      <c r="AK352" s="80"/>
      <c r="AL352" s="331"/>
      <c r="AM352" s="82"/>
      <c r="AN352" s="82"/>
      <c r="AO352" s="82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2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4"/>
      <c r="V353" s="80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2"/>
      <c r="AH353" s="330"/>
      <c r="AI353" s="330"/>
      <c r="AJ353" s="331"/>
      <c r="AK353" s="80"/>
      <c r="AL353" s="331"/>
      <c r="AM353" s="82"/>
      <c r="AN353" s="82"/>
      <c r="AO353" s="82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2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4"/>
      <c r="V354" s="80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2"/>
      <c r="AH354" s="330"/>
      <c r="AI354" s="330"/>
      <c r="AJ354" s="331"/>
      <c r="AK354" s="80"/>
      <c r="AL354" s="331"/>
      <c r="AM354" s="82"/>
      <c r="AN354" s="82"/>
      <c r="AO354" s="82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2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4"/>
      <c r="V355" s="80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2"/>
      <c r="AH355" s="330"/>
      <c r="AI355" s="330"/>
      <c r="AJ355" s="331"/>
      <c r="AK355" s="80"/>
      <c r="AL355" s="331"/>
      <c r="AM355" s="82"/>
      <c r="AN355" s="82"/>
      <c r="AO355" s="82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2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4"/>
      <c r="V356" s="80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2"/>
      <c r="AH356" s="330"/>
      <c r="AI356" s="330"/>
      <c r="AJ356" s="331"/>
      <c r="AK356" s="80"/>
      <c r="AL356" s="331"/>
      <c r="AM356" s="82"/>
      <c r="AN356" s="82"/>
      <c r="AO356" s="82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2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4"/>
      <c r="V357" s="80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2"/>
      <c r="AH357" s="330"/>
      <c r="AI357" s="330"/>
      <c r="AJ357" s="331"/>
      <c r="AK357" s="80"/>
      <c r="AL357" s="331"/>
      <c r="AM357" s="82"/>
      <c r="AN357" s="82"/>
      <c r="AO357" s="82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2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4"/>
      <c r="V358" s="80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2"/>
      <c r="AH358" s="330"/>
      <c r="AI358" s="330"/>
      <c r="AJ358" s="331"/>
      <c r="AK358" s="80"/>
      <c r="AL358" s="331"/>
      <c r="AM358" s="82"/>
      <c r="AN358" s="82"/>
      <c r="AO358" s="82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2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4"/>
      <c r="V359" s="80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2"/>
      <c r="AH359" s="330"/>
      <c r="AI359" s="330"/>
      <c r="AJ359" s="331"/>
      <c r="AK359" s="80"/>
      <c r="AL359" s="331"/>
      <c r="AM359" s="82"/>
      <c r="AN359" s="82"/>
      <c r="AO359" s="82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2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4"/>
      <c r="V360" s="80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2"/>
      <c r="AH360" s="330"/>
      <c r="AI360" s="330"/>
      <c r="AJ360" s="331"/>
      <c r="AK360" s="80"/>
      <c r="AL360" s="331"/>
      <c r="AM360" s="82"/>
      <c r="AN360" s="82"/>
      <c r="AO360" s="82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2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4"/>
      <c r="V361" s="80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2"/>
      <c r="AH361" s="330"/>
      <c r="AI361" s="330"/>
      <c r="AJ361" s="331"/>
      <c r="AK361" s="80"/>
      <c r="AL361" s="331"/>
      <c r="AM361" s="82"/>
      <c r="AN361" s="82"/>
      <c r="AO361" s="82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2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4"/>
      <c r="V362" s="80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2"/>
      <c r="AH362" s="330"/>
      <c r="AI362" s="330"/>
      <c r="AJ362" s="331"/>
      <c r="AK362" s="80"/>
      <c r="AL362" s="331"/>
      <c r="AM362" s="82"/>
      <c r="AN362" s="82"/>
      <c r="AO362" s="82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2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4"/>
      <c r="V363" s="80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2"/>
      <c r="AH363" s="330"/>
      <c r="AI363" s="330"/>
      <c r="AJ363" s="331"/>
      <c r="AK363" s="80"/>
      <c r="AL363" s="331"/>
      <c r="AM363" s="82"/>
      <c r="AN363" s="82"/>
      <c r="AO363" s="82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2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4"/>
      <c r="V364" s="80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2"/>
      <c r="AH364" s="330"/>
      <c r="AI364" s="330"/>
      <c r="AJ364" s="331"/>
      <c r="AK364" s="80"/>
      <c r="AL364" s="331"/>
      <c r="AM364" s="82"/>
      <c r="AN364" s="82"/>
      <c r="AO364" s="82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2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4"/>
      <c r="V365" s="80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2"/>
      <c r="AH365" s="330"/>
      <c r="AI365" s="330"/>
      <c r="AJ365" s="331"/>
      <c r="AK365" s="80"/>
      <c r="AL365" s="331"/>
      <c r="AM365" s="82"/>
      <c r="AN365" s="82"/>
      <c r="AO365" s="82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2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4"/>
      <c r="V366" s="80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2"/>
      <c r="AH366" s="330"/>
      <c r="AI366" s="330"/>
      <c r="AJ366" s="331"/>
      <c r="AK366" s="80"/>
      <c r="AL366" s="331"/>
      <c r="AM366" s="82"/>
      <c r="AN366" s="82"/>
      <c r="AO366" s="82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2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4"/>
      <c r="V367" s="80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2"/>
      <c r="AH367" s="330"/>
      <c r="AI367" s="330"/>
      <c r="AJ367" s="331"/>
      <c r="AK367" s="80"/>
      <c r="AL367" s="331"/>
      <c r="AM367" s="82"/>
      <c r="AN367" s="82"/>
      <c r="AO367" s="82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2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4"/>
      <c r="V368" s="80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2"/>
      <c r="AH368" s="330"/>
      <c r="AI368" s="330"/>
      <c r="AJ368" s="331"/>
      <c r="AK368" s="80"/>
      <c r="AL368" s="331"/>
      <c r="AM368" s="82"/>
      <c r="AN368" s="82"/>
      <c r="AO368" s="82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2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4"/>
      <c r="V369" s="80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2"/>
      <c r="AH369" s="330"/>
      <c r="AI369" s="330"/>
      <c r="AJ369" s="331"/>
      <c r="AK369" s="80"/>
      <c r="AL369" s="331"/>
      <c r="AM369" s="82"/>
      <c r="AN369" s="82"/>
      <c r="AO369" s="82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2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4"/>
      <c r="V370" s="80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2"/>
      <c r="AH370" s="330"/>
      <c r="AI370" s="330"/>
      <c r="AJ370" s="331"/>
      <c r="AK370" s="80"/>
      <c r="AL370" s="331"/>
      <c r="AM370" s="82"/>
      <c r="AN370" s="82"/>
      <c r="AO370" s="82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2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4"/>
      <c r="V371" s="80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2"/>
      <c r="AH371" s="330"/>
      <c r="AI371" s="330"/>
      <c r="AJ371" s="331"/>
      <c r="AK371" s="80"/>
      <c r="AL371" s="331"/>
      <c r="AM371" s="82"/>
      <c r="AN371" s="82"/>
      <c r="AO371" s="82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2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4"/>
      <c r="V372" s="80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2"/>
      <c r="AH372" s="330"/>
      <c r="AI372" s="330"/>
      <c r="AJ372" s="331"/>
      <c r="AK372" s="80"/>
      <c r="AL372" s="331"/>
      <c r="AM372" s="82"/>
      <c r="AN372" s="82"/>
      <c r="AO372" s="82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2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4"/>
      <c r="V373" s="80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2"/>
      <c r="AH373" s="330"/>
      <c r="AI373" s="330"/>
      <c r="AJ373" s="331"/>
      <c r="AK373" s="80"/>
      <c r="AL373" s="331"/>
      <c r="AM373" s="82"/>
      <c r="AN373" s="82"/>
      <c r="AO373" s="82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2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4"/>
      <c r="V374" s="80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2"/>
      <c r="AH374" s="330"/>
      <c r="AI374" s="330"/>
      <c r="AJ374" s="331"/>
      <c r="AK374" s="80"/>
      <c r="AL374" s="331"/>
      <c r="AM374" s="82"/>
      <c r="AN374" s="82"/>
      <c r="AO374" s="82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2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4"/>
      <c r="V375" s="80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2"/>
      <c r="AH375" s="330"/>
      <c r="AI375" s="330"/>
      <c r="AJ375" s="331"/>
      <c r="AK375" s="80"/>
      <c r="AL375" s="331"/>
      <c r="AM375" s="82"/>
      <c r="AN375" s="82"/>
      <c r="AO375" s="82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2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4"/>
      <c r="V376" s="80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2"/>
      <c r="AH376" s="330"/>
      <c r="AI376" s="330"/>
      <c r="AJ376" s="331"/>
      <c r="AK376" s="80"/>
      <c r="AL376" s="331"/>
      <c r="AM376" s="82"/>
      <c r="AN376" s="82"/>
      <c r="AO376" s="82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2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4"/>
      <c r="V377" s="80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2"/>
      <c r="AH377" s="330"/>
      <c r="AI377" s="330"/>
      <c r="AJ377" s="331"/>
      <c r="AK377" s="80"/>
      <c r="AL377" s="331"/>
      <c r="AM377" s="82"/>
      <c r="AN377" s="82"/>
      <c r="AO377" s="82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2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4"/>
      <c r="V378" s="80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2"/>
      <c r="AH378" s="330"/>
      <c r="AI378" s="330"/>
      <c r="AJ378" s="331"/>
      <c r="AK378" s="80"/>
      <c r="AL378" s="331"/>
      <c r="AM378" s="82"/>
      <c r="AN378" s="82"/>
      <c r="AO378" s="82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2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4"/>
      <c r="V379" s="80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2"/>
      <c r="AH379" s="330"/>
      <c r="AI379" s="330"/>
      <c r="AJ379" s="331"/>
      <c r="AK379" s="80"/>
      <c r="AL379" s="331"/>
      <c r="AM379" s="82"/>
      <c r="AN379" s="82"/>
      <c r="AO379" s="82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2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4"/>
      <c r="V380" s="80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2"/>
      <c r="AH380" s="330"/>
      <c r="AI380" s="330"/>
      <c r="AJ380" s="331"/>
      <c r="AK380" s="80"/>
      <c r="AL380" s="331"/>
      <c r="AM380" s="82"/>
      <c r="AN380" s="82"/>
      <c r="AO380" s="82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2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4"/>
      <c r="V381" s="80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2"/>
      <c r="AH381" s="330"/>
      <c r="AI381" s="330"/>
      <c r="AJ381" s="331"/>
      <c r="AK381" s="80"/>
      <c r="AL381" s="331"/>
      <c r="AM381" s="82"/>
      <c r="AN381" s="82"/>
      <c r="AO381" s="82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2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4"/>
      <c r="V382" s="80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2"/>
      <c r="AH382" s="330"/>
      <c r="AI382" s="330"/>
      <c r="AJ382" s="331"/>
      <c r="AK382" s="80"/>
      <c r="AL382" s="331"/>
      <c r="AM382" s="82"/>
      <c r="AN382" s="82"/>
      <c r="AO382" s="82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2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4"/>
      <c r="V383" s="80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2"/>
      <c r="AH383" s="330"/>
      <c r="AI383" s="330"/>
      <c r="AJ383" s="331"/>
      <c r="AK383" s="80"/>
      <c r="AL383" s="331"/>
      <c r="AM383" s="82"/>
      <c r="AN383" s="82"/>
      <c r="AO383" s="82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2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4"/>
      <c r="V384" s="80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2"/>
      <c r="AH384" s="330"/>
      <c r="AI384" s="330"/>
      <c r="AJ384" s="331"/>
      <c r="AK384" s="80"/>
      <c r="AL384" s="331"/>
      <c r="AM384" s="82"/>
      <c r="AN384" s="82"/>
      <c r="AO384" s="82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2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4"/>
      <c r="V385" s="80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2"/>
      <c r="AH385" s="330"/>
      <c r="AI385" s="330"/>
      <c r="AJ385" s="331"/>
      <c r="AK385" s="80"/>
      <c r="AL385" s="331"/>
      <c r="AM385" s="82"/>
      <c r="AN385" s="82"/>
      <c r="AO385" s="82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2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4"/>
      <c r="V386" s="80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2"/>
      <c r="AH386" s="330"/>
      <c r="AI386" s="330"/>
      <c r="AJ386" s="331"/>
      <c r="AK386" s="80"/>
      <c r="AL386" s="331"/>
      <c r="AM386" s="82"/>
      <c r="AN386" s="82"/>
      <c r="AO386" s="82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2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4"/>
      <c r="V387" s="80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2"/>
      <c r="AH387" s="330"/>
      <c r="AI387" s="330"/>
      <c r="AJ387" s="331"/>
      <c r="AK387" s="80"/>
      <c r="AL387" s="331"/>
      <c r="AM387" s="82"/>
      <c r="AN387" s="82"/>
      <c r="AO387" s="82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2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4"/>
      <c r="V388" s="80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2"/>
      <c r="AH388" s="330"/>
      <c r="AI388" s="330"/>
      <c r="AJ388" s="331"/>
      <c r="AK388" s="80"/>
      <c r="AL388" s="331"/>
      <c r="AM388" s="82"/>
      <c r="AN388" s="82"/>
      <c r="AO388" s="82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2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4"/>
      <c r="V389" s="80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2"/>
      <c r="AH389" s="330"/>
      <c r="AI389" s="330"/>
      <c r="AJ389" s="331"/>
      <c r="AK389" s="80"/>
      <c r="AL389" s="331"/>
      <c r="AM389" s="82"/>
      <c r="AN389" s="82"/>
      <c r="AO389" s="82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2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4"/>
      <c r="V390" s="80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2"/>
      <c r="AH390" s="330"/>
      <c r="AI390" s="330"/>
      <c r="AJ390" s="331"/>
      <c r="AK390" s="80"/>
      <c r="AL390" s="331"/>
      <c r="AM390" s="82"/>
      <c r="AN390" s="82"/>
      <c r="AO390" s="82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2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4"/>
      <c r="V391" s="80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2"/>
      <c r="AH391" s="330"/>
      <c r="AI391" s="330"/>
      <c r="AJ391" s="331"/>
      <c r="AK391" s="80"/>
      <c r="AL391" s="331"/>
      <c r="AM391" s="82"/>
      <c r="AN391" s="82"/>
      <c r="AO391" s="82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2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4"/>
      <c r="V392" s="80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2"/>
      <c r="AH392" s="330"/>
      <c r="AI392" s="330"/>
      <c r="AJ392" s="331"/>
      <c r="AK392" s="80"/>
      <c r="AL392" s="331"/>
      <c r="AM392" s="82"/>
      <c r="AN392" s="82"/>
      <c r="AO392" s="82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2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4"/>
      <c r="V393" s="80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2"/>
      <c r="AH393" s="330"/>
      <c r="AI393" s="330"/>
      <c r="AJ393" s="331"/>
      <c r="AK393" s="80"/>
      <c r="AL393" s="331"/>
      <c r="AM393" s="82"/>
      <c r="AN393" s="82"/>
      <c r="AO393" s="82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2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4"/>
      <c r="V394" s="80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2"/>
      <c r="AH394" s="330"/>
      <c r="AI394" s="330"/>
      <c r="AJ394" s="331"/>
      <c r="AK394" s="80"/>
      <c r="AL394" s="331"/>
      <c r="AM394" s="82"/>
      <c r="AN394" s="82"/>
      <c r="AO394" s="82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2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4"/>
      <c r="V395" s="80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2"/>
      <c r="AH395" s="330"/>
      <c r="AI395" s="330"/>
      <c r="AJ395" s="331"/>
      <c r="AK395" s="80"/>
      <c r="AL395" s="331"/>
      <c r="AM395" s="82"/>
      <c r="AN395" s="82"/>
      <c r="AO395" s="82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2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4"/>
      <c r="V396" s="80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2"/>
      <c r="AH396" s="330"/>
      <c r="AI396" s="330"/>
      <c r="AJ396" s="331"/>
      <c r="AK396" s="80"/>
      <c r="AL396" s="331"/>
      <c r="AM396" s="82"/>
      <c r="AN396" s="82"/>
      <c r="AO396" s="82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2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4"/>
      <c r="V397" s="80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2"/>
      <c r="AH397" s="330"/>
      <c r="AI397" s="330"/>
      <c r="AJ397" s="331"/>
      <c r="AK397" s="80"/>
      <c r="AL397" s="331"/>
      <c r="AM397" s="82"/>
      <c r="AN397" s="82"/>
      <c r="AO397" s="82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2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4"/>
      <c r="V398" s="80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2"/>
      <c r="AH398" s="330"/>
      <c r="AI398" s="330"/>
      <c r="AJ398" s="331"/>
      <c r="AK398" s="80"/>
      <c r="AL398" s="331"/>
      <c r="AM398" s="82"/>
      <c r="AN398" s="82"/>
      <c r="AO398" s="82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2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4"/>
      <c r="V399" s="80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2"/>
      <c r="AH399" s="330"/>
      <c r="AI399" s="330"/>
      <c r="AJ399" s="331"/>
      <c r="AK399" s="80"/>
      <c r="AL399" s="331"/>
      <c r="AM399" s="82"/>
      <c r="AN399" s="82"/>
      <c r="AO399" s="82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2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4"/>
      <c r="V400" s="80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2"/>
      <c r="AH400" s="330"/>
      <c r="AI400" s="330"/>
      <c r="AJ400" s="331"/>
      <c r="AK400" s="80"/>
      <c r="AL400" s="331"/>
      <c r="AM400" s="82"/>
      <c r="AN400" s="82"/>
      <c r="AO400" s="82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2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4"/>
      <c r="V401" s="80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2"/>
      <c r="AH401" s="330"/>
      <c r="AI401" s="330"/>
      <c r="AJ401" s="331"/>
      <c r="AK401" s="80"/>
      <c r="AL401" s="331"/>
      <c r="AM401" s="82"/>
      <c r="AN401" s="82"/>
      <c r="AO401" s="82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2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4"/>
      <c r="V402" s="80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2"/>
      <c r="AH402" s="330"/>
      <c r="AI402" s="330"/>
      <c r="AJ402" s="331"/>
      <c r="AK402" s="80"/>
      <c r="AL402" s="331"/>
      <c r="AM402" s="82"/>
      <c r="AN402" s="82"/>
      <c r="AO402" s="82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2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4"/>
      <c r="V403" s="80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2"/>
      <c r="AH403" s="330"/>
      <c r="AI403" s="330"/>
      <c r="AJ403" s="331"/>
      <c r="AK403" s="80"/>
      <c r="AL403" s="331"/>
      <c r="AM403" s="82"/>
      <c r="AN403" s="82"/>
      <c r="AO403" s="82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2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4"/>
      <c r="V404" s="80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2"/>
      <c r="AH404" s="330"/>
      <c r="AI404" s="330"/>
      <c r="AJ404" s="331"/>
      <c r="AK404" s="80"/>
      <c r="AL404" s="331"/>
      <c r="AM404" s="82"/>
      <c r="AN404" s="82"/>
      <c r="AO404" s="82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2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4"/>
      <c r="V405" s="80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2"/>
      <c r="AH405" s="330"/>
      <c r="AI405" s="330"/>
      <c r="AJ405" s="331"/>
      <c r="AK405" s="80"/>
      <c r="AL405" s="331"/>
      <c r="AM405" s="82"/>
      <c r="AN405" s="82"/>
      <c r="AO405" s="82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2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4"/>
      <c r="V406" s="80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2"/>
      <c r="AH406" s="330"/>
      <c r="AI406" s="330"/>
      <c r="AJ406" s="331"/>
      <c r="AK406" s="80"/>
      <c r="AL406" s="331"/>
      <c r="AM406" s="82"/>
      <c r="AN406" s="82"/>
      <c r="AO406" s="82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2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4"/>
      <c r="V407" s="80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2"/>
      <c r="AH407" s="330"/>
      <c r="AI407" s="330"/>
      <c r="AJ407" s="331"/>
      <c r="AK407" s="80"/>
      <c r="AL407" s="331"/>
      <c r="AM407" s="82"/>
      <c r="AN407" s="82"/>
      <c r="AO407" s="82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2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4"/>
      <c r="V408" s="80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2"/>
      <c r="AH408" s="330"/>
      <c r="AI408" s="330"/>
      <c r="AJ408" s="331"/>
      <c r="AK408" s="80"/>
      <c r="AL408" s="331"/>
      <c r="AM408" s="82"/>
      <c r="AN408" s="82"/>
      <c r="AO408" s="82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2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4"/>
      <c r="V409" s="80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2"/>
      <c r="AH409" s="330"/>
      <c r="AI409" s="330"/>
      <c r="AJ409" s="331"/>
      <c r="AK409" s="80"/>
      <c r="AL409" s="331"/>
      <c r="AM409" s="82"/>
      <c r="AN409" s="82"/>
      <c r="AO409" s="82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2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4"/>
      <c r="V410" s="80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2"/>
      <c r="AH410" s="330"/>
      <c r="AI410" s="330"/>
      <c r="AJ410" s="331"/>
      <c r="AK410" s="80"/>
      <c r="AL410" s="331"/>
      <c r="AM410" s="82"/>
      <c r="AN410" s="82"/>
      <c r="AO410" s="82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2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4"/>
      <c r="V411" s="80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2"/>
      <c r="AH411" s="330"/>
      <c r="AI411" s="330"/>
      <c r="AJ411" s="331"/>
      <c r="AK411" s="80"/>
      <c r="AL411" s="331"/>
      <c r="AM411" s="82"/>
      <c r="AN411" s="82"/>
      <c r="AO411" s="82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2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4"/>
      <c r="V412" s="80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2"/>
      <c r="AH412" s="330"/>
      <c r="AI412" s="330"/>
      <c r="AJ412" s="331"/>
      <c r="AK412" s="80"/>
      <c r="AL412" s="331"/>
      <c r="AM412" s="82"/>
      <c r="AN412" s="82"/>
      <c r="AO412" s="82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2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4"/>
      <c r="V413" s="80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2"/>
      <c r="AH413" s="330"/>
      <c r="AI413" s="330"/>
      <c r="AJ413" s="331"/>
      <c r="AK413" s="80"/>
      <c r="AL413" s="331"/>
      <c r="AM413" s="82"/>
      <c r="AN413" s="82"/>
      <c r="AO413" s="82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2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4"/>
      <c r="V414" s="80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2"/>
      <c r="AH414" s="330"/>
      <c r="AI414" s="330"/>
      <c r="AJ414" s="331"/>
      <c r="AK414" s="80"/>
      <c r="AL414" s="331"/>
      <c r="AM414" s="82"/>
      <c r="AN414" s="82"/>
      <c r="AO414" s="82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2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4"/>
      <c r="V415" s="80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2"/>
      <c r="AH415" s="330"/>
      <c r="AI415" s="330"/>
      <c r="AJ415" s="331"/>
      <c r="AK415" s="80"/>
      <c r="AL415" s="331"/>
      <c r="AM415" s="82"/>
      <c r="AN415" s="82"/>
      <c r="AO415" s="82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2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4"/>
      <c r="V416" s="80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2"/>
      <c r="AH416" s="330"/>
      <c r="AI416" s="330"/>
      <c r="AJ416" s="331"/>
      <c r="AK416" s="80"/>
      <c r="AL416" s="331"/>
      <c r="AM416" s="82"/>
      <c r="AN416" s="82"/>
      <c r="AO416" s="82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2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4"/>
      <c r="V417" s="80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2"/>
      <c r="AH417" s="330"/>
      <c r="AI417" s="330"/>
      <c r="AJ417" s="331"/>
      <c r="AK417" s="80"/>
      <c r="AL417" s="331"/>
      <c r="AM417" s="82"/>
      <c r="AN417" s="82"/>
      <c r="AO417" s="82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2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4"/>
      <c r="V418" s="80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2"/>
      <c r="AH418" s="330"/>
      <c r="AI418" s="330"/>
      <c r="AJ418" s="331"/>
      <c r="AK418" s="80"/>
      <c r="AL418" s="331"/>
      <c r="AM418" s="82"/>
      <c r="AN418" s="82"/>
      <c r="AO418" s="82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2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4"/>
      <c r="V419" s="80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2"/>
      <c r="AH419" s="330"/>
      <c r="AI419" s="330"/>
      <c r="AJ419" s="331"/>
      <c r="AK419" s="80"/>
      <c r="AL419" s="331"/>
      <c r="AM419" s="82"/>
      <c r="AN419" s="82"/>
      <c r="AO419" s="82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2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4"/>
      <c r="V420" s="80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2"/>
      <c r="AH420" s="330"/>
      <c r="AI420" s="330"/>
      <c r="AJ420" s="331"/>
      <c r="AK420" s="80"/>
      <c r="AL420" s="331"/>
      <c r="AM420" s="82"/>
      <c r="AN420" s="82"/>
      <c r="AO420" s="82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2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4"/>
      <c r="V421" s="80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2"/>
      <c r="AH421" s="330"/>
      <c r="AI421" s="330"/>
      <c r="AJ421" s="331"/>
      <c r="AK421" s="80"/>
      <c r="AL421" s="331"/>
      <c r="AM421" s="82"/>
      <c r="AN421" s="82"/>
      <c r="AO421" s="82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2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4"/>
      <c r="V422" s="80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2"/>
      <c r="AH422" s="330"/>
      <c r="AI422" s="330"/>
      <c r="AJ422" s="331"/>
      <c r="AK422" s="80"/>
      <c r="AL422" s="331"/>
      <c r="AM422" s="82"/>
      <c r="AN422" s="82"/>
      <c r="AO422" s="82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2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4"/>
      <c r="V423" s="80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2"/>
      <c r="AH423" s="330"/>
      <c r="AI423" s="330"/>
      <c r="AJ423" s="331"/>
      <c r="AK423" s="80"/>
      <c r="AL423" s="331"/>
      <c r="AM423" s="82"/>
      <c r="AN423" s="82"/>
      <c r="AO423" s="82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2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4"/>
      <c r="V424" s="80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2"/>
      <c r="AH424" s="330"/>
      <c r="AI424" s="330"/>
      <c r="AJ424" s="331"/>
      <c r="AK424" s="80"/>
      <c r="AL424" s="331"/>
      <c r="AM424" s="82"/>
      <c r="AN424" s="82"/>
      <c r="AO424" s="82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2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4"/>
      <c r="V425" s="80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2"/>
      <c r="AH425" s="330"/>
      <c r="AI425" s="330"/>
      <c r="AJ425" s="331"/>
      <c r="AK425" s="80"/>
      <c r="AL425" s="331"/>
      <c r="AM425" s="82"/>
      <c r="AN425" s="82"/>
      <c r="AO425" s="82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2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4"/>
      <c r="V426" s="80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2"/>
      <c r="AH426" s="330"/>
      <c r="AI426" s="330"/>
      <c r="AJ426" s="331"/>
      <c r="AK426" s="80"/>
      <c r="AL426" s="331"/>
      <c r="AM426" s="82"/>
      <c r="AN426" s="82"/>
      <c r="AO426" s="82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2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4"/>
      <c r="V427" s="80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2"/>
      <c r="AH427" s="330"/>
      <c r="AI427" s="330"/>
      <c r="AJ427" s="331"/>
      <c r="AK427" s="80"/>
      <c r="AL427" s="331"/>
      <c r="AM427" s="82"/>
      <c r="AN427" s="82"/>
      <c r="AO427" s="82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2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4"/>
      <c r="V428" s="80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2"/>
      <c r="AH428" s="330"/>
      <c r="AI428" s="330"/>
      <c r="AJ428" s="331"/>
      <c r="AK428" s="80"/>
      <c r="AL428" s="331"/>
      <c r="AM428" s="82"/>
      <c r="AN428" s="82"/>
      <c r="AO428" s="82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2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4"/>
      <c r="V429" s="80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2"/>
      <c r="AH429" s="330"/>
      <c r="AI429" s="330"/>
      <c r="AJ429" s="331"/>
      <c r="AK429" s="80"/>
      <c r="AL429" s="331"/>
      <c r="AM429" s="82"/>
      <c r="AN429" s="82"/>
      <c r="AO429" s="82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2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4"/>
      <c r="V430" s="80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2"/>
      <c r="AH430" s="330"/>
      <c r="AI430" s="330"/>
      <c r="AJ430" s="331"/>
      <c r="AK430" s="80"/>
      <c r="AL430" s="331"/>
      <c r="AM430" s="82"/>
      <c r="AN430" s="82"/>
      <c r="AO430" s="82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2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4"/>
      <c r="V431" s="80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2"/>
      <c r="AH431" s="330"/>
      <c r="AI431" s="330"/>
      <c r="AJ431" s="331"/>
      <c r="AK431" s="80"/>
      <c r="AL431" s="331"/>
      <c r="AM431" s="82"/>
      <c r="AN431" s="82"/>
      <c r="AO431" s="82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2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4"/>
      <c r="V432" s="80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2"/>
      <c r="AH432" s="330"/>
      <c r="AI432" s="330"/>
      <c r="AJ432" s="331"/>
      <c r="AK432" s="80"/>
      <c r="AL432" s="331"/>
      <c r="AM432" s="82"/>
      <c r="AN432" s="82"/>
      <c r="AO432" s="82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2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4"/>
      <c r="V433" s="80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2"/>
      <c r="AH433" s="330"/>
      <c r="AI433" s="330"/>
      <c r="AJ433" s="331"/>
      <c r="AK433" s="80"/>
      <c r="AL433" s="331"/>
      <c r="AM433" s="82"/>
      <c r="AN433" s="82"/>
      <c r="AO433" s="82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2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4"/>
      <c r="V434" s="80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2"/>
      <c r="AH434" s="330"/>
      <c r="AI434" s="330"/>
      <c r="AJ434" s="331"/>
      <c r="AK434" s="80"/>
      <c r="AL434" s="331"/>
      <c r="AM434" s="82"/>
      <c r="AN434" s="82"/>
      <c r="AO434" s="82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2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4"/>
      <c r="V435" s="80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2"/>
      <c r="AH435" s="330"/>
      <c r="AI435" s="330"/>
      <c r="AJ435" s="331"/>
      <c r="AK435" s="80"/>
      <c r="AL435" s="331"/>
      <c r="AM435" s="82"/>
      <c r="AN435" s="82"/>
      <c r="AO435" s="82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2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4"/>
      <c r="V436" s="80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2"/>
      <c r="AH436" s="330"/>
      <c r="AI436" s="330"/>
      <c r="AJ436" s="331"/>
      <c r="AK436" s="80"/>
      <c r="AL436" s="331"/>
      <c r="AM436" s="82"/>
      <c r="AN436" s="82"/>
      <c r="AO436" s="82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2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4"/>
      <c r="V437" s="80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2"/>
      <c r="AH437" s="330"/>
      <c r="AI437" s="330"/>
      <c r="AJ437" s="331"/>
      <c r="AK437" s="80"/>
      <c r="AL437" s="331"/>
      <c r="AM437" s="82"/>
      <c r="AN437" s="82"/>
      <c r="AO437" s="82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2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4"/>
      <c r="V438" s="80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2"/>
      <c r="AH438" s="330"/>
      <c r="AI438" s="330"/>
      <c r="AJ438" s="331"/>
      <c r="AK438" s="80"/>
      <c r="AL438" s="331"/>
      <c r="AM438" s="82"/>
      <c r="AN438" s="82"/>
      <c r="AO438" s="82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2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4"/>
      <c r="V439" s="80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2"/>
      <c r="AH439" s="330"/>
      <c r="AI439" s="330"/>
      <c r="AJ439" s="331"/>
      <c r="AK439" s="80"/>
      <c r="AL439" s="331"/>
      <c r="AM439" s="82"/>
      <c r="AN439" s="82"/>
      <c r="AO439" s="82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2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4"/>
      <c r="V440" s="80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2"/>
      <c r="AH440" s="330"/>
      <c r="AI440" s="330"/>
      <c r="AJ440" s="331"/>
      <c r="AK440" s="80"/>
      <c r="AL440" s="331"/>
      <c r="AM440" s="82"/>
      <c r="AN440" s="82"/>
      <c r="AO440" s="82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2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4"/>
      <c r="V441" s="80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2"/>
      <c r="AH441" s="330"/>
      <c r="AI441" s="330"/>
      <c r="AJ441" s="331"/>
      <c r="AK441" s="80"/>
      <c r="AL441" s="331"/>
      <c r="AM441" s="82"/>
      <c r="AN441" s="82"/>
      <c r="AO441" s="82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2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4"/>
      <c r="V442" s="80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2"/>
      <c r="AH442" s="330"/>
      <c r="AI442" s="330"/>
      <c r="AJ442" s="331"/>
      <c r="AK442" s="80"/>
      <c r="AL442" s="331"/>
      <c r="AM442" s="82"/>
      <c r="AN442" s="82"/>
      <c r="AO442" s="82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2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4"/>
      <c r="V443" s="80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2"/>
      <c r="AH443" s="330"/>
      <c r="AI443" s="330"/>
      <c r="AJ443" s="331"/>
      <c r="AK443" s="80"/>
      <c r="AL443" s="331"/>
      <c r="AM443" s="82"/>
      <c r="AN443" s="82"/>
      <c r="AO443" s="82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2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4"/>
      <c r="V444" s="80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2"/>
      <c r="AH444" s="330"/>
      <c r="AI444" s="330"/>
      <c r="AJ444" s="331"/>
      <c r="AK444" s="80"/>
      <c r="AL444" s="331"/>
      <c r="AM444" s="82"/>
      <c r="AN444" s="82"/>
      <c r="AO444" s="82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2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4"/>
      <c r="V445" s="80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2"/>
      <c r="AH445" s="330"/>
      <c r="AI445" s="330"/>
      <c r="AJ445" s="331"/>
      <c r="AK445" s="80"/>
      <c r="AL445" s="331"/>
      <c r="AM445" s="82"/>
      <c r="AN445" s="82"/>
      <c r="AO445" s="82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2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4"/>
      <c r="V446" s="80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2"/>
      <c r="AH446" s="330"/>
      <c r="AI446" s="330"/>
      <c r="AJ446" s="331"/>
      <c r="AK446" s="80"/>
      <c r="AL446" s="331"/>
      <c r="AM446" s="82"/>
      <c r="AN446" s="82"/>
      <c r="AO446" s="82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2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4"/>
      <c r="V447" s="80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2"/>
      <c r="AH447" s="330"/>
      <c r="AI447" s="330"/>
      <c r="AJ447" s="331"/>
      <c r="AK447" s="80"/>
      <c r="AL447" s="331"/>
      <c r="AM447" s="82"/>
      <c r="AN447" s="82"/>
      <c r="AO447" s="82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2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4"/>
      <c r="V448" s="80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2"/>
      <c r="AH448" s="330"/>
      <c r="AI448" s="330"/>
      <c r="AJ448" s="331"/>
      <c r="AK448" s="80"/>
      <c r="AL448" s="331"/>
      <c r="AM448" s="82"/>
      <c r="AN448" s="82"/>
      <c r="AO448" s="82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2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4"/>
      <c r="V449" s="80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2"/>
      <c r="AH449" s="330"/>
      <c r="AI449" s="330"/>
      <c r="AJ449" s="331"/>
      <c r="AK449" s="80"/>
      <c r="AL449" s="331"/>
      <c r="AM449" s="82"/>
      <c r="AN449" s="82"/>
      <c r="AO449" s="82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2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4"/>
      <c r="V450" s="80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2"/>
      <c r="AH450" s="330"/>
      <c r="AI450" s="330"/>
      <c r="AJ450" s="331"/>
      <c r="AK450" s="80"/>
      <c r="AL450" s="331"/>
      <c r="AM450" s="82"/>
      <c r="AN450" s="82"/>
      <c r="AO450" s="82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2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4"/>
      <c r="V451" s="80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2"/>
      <c r="AH451" s="330"/>
      <c r="AI451" s="330"/>
      <c r="AJ451" s="331"/>
      <c r="AK451" s="80"/>
      <c r="AL451" s="331"/>
      <c r="AM451" s="82"/>
      <c r="AN451" s="82"/>
      <c r="AO451" s="82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2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4"/>
      <c r="V452" s="80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2"/>
      <c r="AH452" s="330"/>
      <c r="AI452" s="330"/>
      <c r="AJ452" s="331"/>
      <c r="AK452" s="80"/>
      <c r="AL452" s="331"/>
      <c r="AM452" s="82"/>
      <c r="AN452" s="82"/>
      <c r="AO452" s="82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2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4"/>
      <c r="V453" s="80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2"/>
      <c r="AH453" s="330"/>
      <c r="AI453" s="330"/>
      <c r="AJ453" s="331"/>
      <c r="AK453" s="80"/>
      <c r="AL453" s="331"/>
      <c r="AM453" s="82"/>
      <c r="AN453" s="82"/>
      <c r="AO453" s="82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2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4"/>
      <c r="V454" s="80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2"/>
      <c r="AH454" s="330"/>
      <c r="AI454" s="330"/>
      <c r="AJ454" s="331"/>
      <c r="AK454" s="80"/>
      <c r="AL454" s="331"/>
      <c r="AM454" s="82"/>
      <c r="AN454" s="82"/>
      <c r="AO454" s="82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2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4"/>
      <c r="V455" s="80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2"/>
      <c r="AH455" s="330"/>
      <c r="AI455" s="330"/>
      <c r="AJ455" s="331"/>
      <c r="AK455" s="80"/>
      <c r="AL455" s="331"/>
      <c r="AM455" s="82"/>
      <c r="AN455" s="82"/>
      <c r="AO455" s="82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2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4"/>
      <c r="V456" s="80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2"/>
      <c r="AH456" s="330"/>
      <c r="AI456" s="330"/>
      <c r="AJ456" s="331"/>
      <c r="AK456" s="80"/>
      <c r="AL456" s="331"/>
      <c r="AM456" s="82"/>
      <c r="AN456" s="82"/>
      <c r="AO456" s="82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2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4"/>
      <c r="V457" s="80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2"/>
      <c r="AH457" s="330"/>
      <c r="AI457" s="330"/>
      <c r="AJ457" s="331"/>
      <c r="AK457" s="80"/>
      <c r="AL457" s="331"/>
      <c r="AM457" s="82"/>
      <c r="AN457" s="82"/>
      <c r="AO457" s="82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2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4"/>
      <c r="V458" s="80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2"/>
      <c r="AH458" s="330"/>
      <c r="AI458" s="330"/>
      <c r="AJ458" s="331"/>
      <c r="AK458" s="80"/>
      <c r="AL458" s="331"/>
      <c r="AM458" s="82"/>
      <c r="AN458" s="82"/>
      <c r="AO458" s="82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2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4"/>
      <c r="V459" s="80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2"/>
      <c r="AH459" s="330"/>
      <c r="AI459" s="330"/>
      <c r="AJ459" s="331"/>
      <c r="AK459" s="80"/>
      <c r="AL459" s="331"/>
      <c r="AM459" s="82"/>
      <c r="AN459" s="82"/>
      <c r="AO459" s="82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2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4"/>
      <c r="V460" s="80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2"/>
      <c r="AH460" s="330"/>
      <c r="AI460" s="330"/>
      <c r="AJ460" s="331"/>
      <c r="AK460" s="80"/>
      <c r="AL460" s="331"/>
      <c r="AM460" s="82"/>
      <c r="AN460" s="82"/>
      <c r="AO460" s="82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2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4"/>
      <c r="V461" s="80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2"/>
      <c r="AH461" s="330"/>
      <c r="AI461" s="330"/>
      <c r="AJ461" s="331"/>
      <c r="AK461" s="80"/>
      <c r="AL461" s="331"/>
      <c r="AM461" s="82"/>
      <c r="AN461" s="82"/>
      <c r="AO461" s="82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2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4"/>
      <c r="V462" s="80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2"/>
      <c r="AH462" s="330"/>
      <c r="AI462" s="330"/>
      <c r="AJ462" s="331"/>
      <c r="AK462" s="80"/>
      <c r="AL462" s="331"/>
      <c r="AM462" s="82"/>
      <c r="AN462" s="82"/>
      <c r="AO462" s="82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2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4"/>
      <c r="V463" s="80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2"/>
      <c r="AH463" s="330"/>
      <c r="AI463" s="330"/>
      <c r="AJ463" s="331"/>
      <c r="AK463" s="80"/>
      <c r="AL463" s="331"/>
      <c r="AM463" s="82"/>
      <c r="AN463" s="82"/>
      <c r="AO463" s="82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2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4"/>
      <c r="V464" s="80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2"/>
      <c r="AH464" s="330"/>
      <c r="AI464" s="330"/>
      <c r="AJ464" s="331"/>
      <c r="AK464" s="80"/>
      <c r="AL464" s="331"/>
      <c r="AM464" s="82"/>
      <c r="AN464" s="82"/>
      <c r="AO464" s="82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2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4"/>
      <c r="V465" s="80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2"/>
      <c r="AH465" s="330"/>
      <c r="AI465" s="330"/>
      <c r="AJ465" s="331"/>
      <c r="AK465" s="80"/>
      <c r="AL465" s="331"/>
      <c r="AM465" s="82"/>
      <c r="AN465" s="82"/>
      <c r="AO465" s="82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2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4"/>
      <c r="V466" s="80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2"/>
      <c r="AH466" s="330"/>
      <c r="AI466" s="330"/>
      <c r="AJ466" s="331"/>
      <c r="AK466" s="80"/>
      <c r="AL466" s="331"/>
      <c r="AM466" s="82"/>
      <c r="AN466" s="82"/>
      <c r="AO466" s="82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2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4"/>
      <c r="V467" s="80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2"/>
      <c r="AH467" s="330"/>
      <c r="AI467" s="330"/>
      <c r="AJ467" s="331"/>
      <c r="AK467" s="80"/>
      <c r="AL467" s="331"/>
      <c r="AM467" s="82"/>
      <c r="AN467" s="82"/>
      <c r="AO467" s="82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2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4"/>
      <c r="V468" s="80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2"/>
      <c r="AH468" s="330"/>
      <c r="AI468" s="330"/>
      <c r="AJ468" s="331"/>
      <c r="AK468" s="80"/>
      <c r="AL468" s="331"/>
      <c r="AM468" s="82"/>
      <c r="AN468" s="82"/>
      <c r="AO468" s="82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2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4"/>
      <c r="V469" s="80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2"/>
      <c r="AH469" s="330"/>
      <c r="AI469" s="330"/>
      <c r="AJ469" s="331"/>
      <c r="AK469" s="80"/>
      <c r="AL469" s="331"/>
      <c r="AM469" s="82"/>
      <c r="AN469" s="82"/>
      <c r="AO469" s="82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2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4"/>
      <c r="V470" s="80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2"/>
      <c r="AH470" s="330"/>
      <c r="AI470" s="330"/>
      <c r="AJ470" s="331"/>
      <c r="AK470" s="80"/>
      <c r="AL470" s="331"/>
      <c r="AM470" s="82"/>
      <c r="AN470" s="82"/>
      <c r="AO470" s="82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2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4"/>
      <c r="V471" s="80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2"/>
      <c r="AH471" s="330"/>
      <c r="AI471" s="330"/>
      <c r="AJ471" s="331"/>
      <c r="AK471" s="80"/>
      <c r="AL471" s="331"/>
      <c r="AM471" s="82"/>
      <c r="AN471" s="82"/>
      <c r="AO471" s="82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2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4"/>
      <c r="V472" s="80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2"/>
      <c r="AH472" s="330"/>
      <c r="AI472" s="330"/>
      <c r="AJ472" s="331"/>
      <c r="AK472" s="80"/>
      <c r="AL472" s="331"/>
      <c r="AM472" s="82"/>
      <c r="AN472" s="82"/>
      <c r="AO472" s="82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2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4"/>
      <c r="V473" s="80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2"/>
      <c r="AH473" s="330"/>
      <c r="AI473" s="330"/>
      <c r="AJ473" s="331"/>
      <c r="AK473" s="80"/>
      <c r="AL473" s="331"/>
      <c r="AM473" s="82"/>
      <c r="AN473" s="82"/>
      <c r="AO473" s="82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2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4"/>
      <c r="V474" s="80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2"/>
      <c r="AH474" s="330"/>
      <c r="AI474" s="330"/>
      <c r="AJ474" s="331"/>
      <c r="AK474" s="80"/>
      <c r="AL474" s="331"/>
      <c r="AM474" s="82"/>
      <c r="AN474" s="82"/>
      <c r="AO474" s="82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2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4"/>
      <c r="V475" s="80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2"/>
      <c r="AH475" s="330"/>
      <c r="AI475" s="330"/>
      <c r="AJ475" s="331"/>
      <c r="AK475" s="80"/>
      <c r="AL475" s="331"/>
      <c r="AM475" s="82"/>
      <c r="AN475" s="82"/>
      <c r="AO475" s="82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2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4"/>
      <c r="V476" s="80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2"/>
      <c r="AH476" s="330"/>
      <c r="AI476" s="330"/>
      <c r="AJ476" s="331"/>
      <c r="AK476" s="80"/>
      <c r="AL476" s="331"/>
      <c r="AM476" s="82"/>
      <c r="AN476" s="82"/>
      <c r="AO476" s="82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2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4"/>
      <c r="V477" s="80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2"/>
      <c r="AH477" s="330"/>
      <c r="AI477" s="330"/>
      <c r="AJ477" s="331"/>
      <c r="AK477" s="80"/>
      <c r="AL477" s="331"/>
      <c r="AM477" s="82"/>
      <c r="AN477" s="82"/>
      <c r="AO477" s="82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2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4"/>
      <c r="V478" s="80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2"/>
      <c r="AH478" s="330"/>
      <c r="AI478" s="330"/>
      <c r="AJ478" s="331"/>
      <c r="AK478" s="80"/>
      <c r="AL478" s="331"/>
      <c r="AM478" s="82"/>
      <c r="AN478" s="82"/>
      <c r="AO478" s="82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2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4"/>
      <c r="V479" s="80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2"/>
      <c r="AH479" s="330"/>
      <c r="AI479" s="330"/>
      <c r="AJ479" s="331"/>
      <c r="AK479" s="80"/>
      <c r="AL479" s="331"/>
      <c r="AM479" s="82"/>
      <c r="AN479" s="82"/>
      <c r="AO479" s="82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2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4"/>
      <c r="V480" s="80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2"/>
      <c r="AH480" s="330"/>
      <c r="AI480" s="330"/>
      <c r="AJ480" s="331"/>
      <c r="AK480" s="80"/>
      <c r="AL480" s="331"/>
      <c r="AM480" s="82"/>
      <c r="AN480" s="82"/>
      <c r="AO480" s="82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2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4"/>
      <c r="V481" s="80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2"/>
      <c r="AH481" s="330"/>
      <c r="AI481" s="330"/>
      <c r="AJ481" s="331"/>
      <c r="AK481" s="80"/>
      <c r="AL481" s="331"/>
      <c r="AM481" s="82"/>
      <c r="AN481" s="82"/>
      <c r="AO481" s="82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2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4"/>
      <c r="V482" s="80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2"/>
      <c r="AH482" s="330"/>
      <c r="AI482" s="330"/>
      <c r="AJ482" s="331"/>
      <c r="AK482" s="80"/>
      <c r="AL482" s="331"/>
      <c r="AM482" s="82"/>
      <c r="AN482" s="82"/>
      <c r="AO482" s="82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2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4"/>
      <c r="V483" s="80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2"/>
      <c r="AH483" s="330"/>
      <c r="AI483" s="330"/>
      <c r="AJ483" s="331"/>
      <c r="AK483" s="80"/>
      <c r="AL483" s="331"/>
      <c r="AM483" s="82"/>
      <c r="AN483" s="82"/>
      <c r="AO483" s="82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2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4"/>
      <c r="V484" s="80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2"/>
      <c r="AH484" s="330"/>
      <c r="AI484" s="330"/>
      <c r="AJ484" s="331"/>
      <c r="AK484" s="80"/>
      <c r="AL484" s="331"/>
      <c r="AM484" s="82"/>
      <c r="AN484" s="82"/>
      <c r="AO484" s="82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2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4"/>
      <c r="V485" s="80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2"/>
      <c r="AH485" s="330"/>
      <c r="AI485" s="330"/>
      <c r="AJ485" s="331"/>
      <c r="AK485" s="80"/>
      <c r="AL485" s="331"/>
      <c r="AM485" s="82"/>
      <c r="AN485" s="82"/>
      <c r="AO485" s="82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2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4"/>
      <c r="V486" s="80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2"/>
      <c r="AH486" s="330"/>
      <c r="AI486" s="330"/>
      <c r="AJ486" s="331"/>
      <c r="AK486" s="80"/>
      <c r="AL486" s="331"/>
      <c r="AM486" s="82"/>
      <c r="AN486" s="82"/>
      <c r="AO486" s="82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2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4"/>
      <c r="V487" s="80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2"/>
      <c r="AH487" s="330"/>
      <c r="AI487" s="330"/>
      <c r="AJ487" s="331"/>
      <c r="AK487" s="80"/>
      <c r="AL487" s="331"/>
      <c r="AM487" s="82"/>
      <c r="AN487" s="82"/>
      <c r="AO487" s="82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2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4"/>
      <c r="V488" s="80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2"/>
      <c r="AH488" s="330"/>
      <c r="AI488" s="330"/>
      <c r="AJ488" s="331"/>
      <c r="AK488" s="80"/>
      <c r="AL488" s="331"/>
      <c r="AM488" s="82"/>
      <c r="AN488" s="82"/>
      <c r="AO488" s="82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2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4"/>
      <c r="V489" s="80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2"/>
      <c r="AH489" s="330"/>
      <c r="AI489" s="330"/>
      <c r="AJ489" s="331"/>
      <c r="AK489" s="80"/>
      <c r="AL489" s="331"/>
      <c r="AM489" s="82"/>
      <c r="AN489" s="82"/>
      <c r="AO489" s="82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2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4"/>
      <c r="V490" s="80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2"/>
      <c r="AH490" s="330"/>
      <c r="AI490" s="330"/>
      <c r="AJ490" s="331"/>
      <c r="AK490" s="80"/>
      <c r="AL490" s="331"/>
      <c r="AM490" s="82"/>
      <c r="AN490" s="82"/>
      <c r="AO490" s="82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2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4"/>
      <c r="V491" s="80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2"/>
      <c r="AH491" s="330"/>
      <c r="AI491" s="330"/>
      <c r="AJ491" s="331"/>
      <c r="AK491" s="80"/>
      <c r="AL491" s="331"/>
      <c r="AM491" s="82"/>
      <c r="AN491" s="82"/>
      <c r="AO491" s="82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2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4"/>
      <c r="V492" s="80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2"/>
      <c r="AH492" s="330"/>
      <c r="AI492" s="330"/>
      <c r="AJ492" s="331"/>
      <c r="AK492" s="80"/>
      <c r="AL492" s="331"/>
      <c r="AM492" s="82"/>
      <c r="AN492" s="82"/>
      <c r="AO492" s="82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2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4"/>
      <c r="V493" s="80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2"/>
      <c r="AH493" s="330"/>
      <c r="AI493" s="330"/>
      <c r="AJ493" s="331"/>
      <c r="AK493" s="80"/>
      <c r="AL493" s="331"/>
      <c r="AM493" s="82"/>
      <c r="AN493" s="82"/>
      <c r="AO493" s="82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2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4"/>
      <c r="V494" s="80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2"/>
      <c r="AH494" s="330"/>
      <c r="AI494" s="330"/>
      <c r="AJ494" s="331"/>
      <c r="AK494" s="80"/>
      <c r="AL494" s="331"/>
      <c r="AM494" s="82"/>
      <c r="AN494" s="82"/>
      <c r="AO494" s="82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2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4"/>
      <c r="V495" s="80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2"/>
      <c r="AH495" s="330"/>
      <c r="AI495" s="330"/>
      <c r="AJ495" s="331"/>
      <c r="AK495" s="80"/>
      <c r="AL495" s="331"/>
      <c r="AM495" s="82"/>
      <c r="AN495" s="82"/>
      <c r="AO495" s="82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2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4"/>
      <c r="V496" s="80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2"/>
      <c r="AH496" s="330"/>
      <c r="AI496" s="330"/>
      <c r="AJ496" s="331"/>
      <c r="AK496" s="80"/>
      <c r="AL496" s="331"/>
      <c r="AM496" s="82"/>
      <c r="AN496" s="82"/>
      <c r="AO496" s="82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2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4"/>
      <c r="V497" s="80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2"/>
      <c r="AH497" s="330"/>
      <c r="AI497" s="330"/>
      <c r="AJ497" s="331"/>
      <c r="AK497" s="80"/>
      <c r="AL497" s="331"/>
      <c r="AM497" s="82"/>
      <c r="AN497" s="82"/>
      <c r="AO497" s="82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2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4"/>
      <c r="V498" s="80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2"/>
      <c r="AH498" s="330"/>
      <c r="AI498" s="330"/>
      <c r="AJ498" s="331"/>
      <c r="AK498" s="80"/>
      <c r="AL498" s="331"/>
      <c r="AM498" s="82"/>
      <c r="AN498" s="82"/>
      <c r="AO498" s="82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2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4"/>
      <c r="V499" s="80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2"/>
      <c r="AH499" s="330"/>
      <c r="AI499" s="330"/>
      <c r="AJ499" s="331"/>
      <c r="AK499" s="80"/>
      <c r="AL499" s="331"/>
      <c r="AM499" s="82"/>
      <c r="AN499" s="82"/>
      <c r="AO499" s="82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2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4"/>
      <c r="V500" s="80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2"/>
      <c r="AH500" s="330"/>
      <c r="AI500" s="330"/>
      <c r="AJ500" s="331"/>
      <c r="AK500" s="80"/>
      <c r="AL500" s="331"/>
      <c r="AM500" s="82"/>
      <c r="AN500" s="82"/>
      <c r="AO500" s="82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2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4"/>
      <c r="V501" s="80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2"/>
      <c r="AH501" s="330"/>
      <c r="AI501" s="330"/>
      <c r="AJ501" s="331"/>
      <c r="AK501" s="80"/>
      <c r="AL501" s="331"/>
      <c r="AM501" s="82"/>
      <c r="AN501" s="82"/>
      <c r="AO501" s="82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2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4"/>
      <c r="V502" s="80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2"/>
      <c r="AH502" s="330"/>
      <c r="AI502" s="330"/>
      <c r="AJ502" s="331"/>
      <c r="AK502" s="80"/>
      <c r="AL502" s="331"/>
      <c r="AM502" s="82"/>
      <c r="AN502" s="82"/>
      <c r="AO502" s="82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2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4"/>
      <c r="V503" s="80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2"/>
      <c r="AH503" s="330"/>
      <c r="AI503" s="330"/>
      <c r="AJ503" s="331"/>
      <c r="AK503" s="80"/>
      <c r="AL503" s="331"/>
      <c r="AM503" s="82"/>
      <c r="AN503" s="82"/>
      <c r="AO503" s="82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2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4"/>
      <c r="V504" s="80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2"/>
      <c r="AH504" s="330"/>
      <c r="AI504" s="330"/>
      <c r="AJ504" s="331"/>
      <c r="AK504" s="80"/>
      <c r="AL504" s="331"/>
      <c r="AM504" s="82"/>
      <c r="AN504" s="82"/>
      <c r="AO504" s="82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2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4"/>
      <c r="V505" s="80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2"/>
      <c r="AH505" s="330"/>
      <c r="AI505" s="330"/>
      <c r="AJ505" s="331"/>
      <c r="AK505" s="80"/>
      <c r="AL505" s="331"/>
      <c r="AM505" s="82"/>
      <c r="AN505" s="82"/>
      <c r="AO505" s="82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2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4"/>
      <c r="V506" s="80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2"/>
      <c r="AH506" s="330"/>
      <c r="AI506" s="330"/>
      <c r="AJ506" s="331"/>
      <c r="AK506" s="80"/>
      <c r="AL506" s="331"/>
      <c r="AM506" s="82"/>
      <c r="AN506" s="82"/>
      <c r="AO506" s="82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2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4"/>
      <c r="V507" s="80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2"/>
      <c r="AH507" s="330"/>
      <c r="AI507" s="330"/>
      <c r="AJ507" s="331"/>
      <c r="AK507" s="80"/>
      <c r="AL507" s="331"/>
      <c r="AM507" s="82"/>
      <c r="AN507" s="82"/>
      <c r="AO507" s="82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2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4"/>
      <c r="V508" s="80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2"/>
      <c r="AH508" s="330"/>
      <c r="AI508" s="330"/>
      <c r="AJ508" s="331"/>
      <c r="AK508" s="80"/>
      <c r="AL508" s="331"/>
      <c r="AM508" s="82"/>
      <c r="AN508" s="82"/>
      <c r="AO508" s="82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2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4"/>
      <c r="V509" s="80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2"/>
      <c r="AH509" s="330"/>
      <c r="AI509" s="330"/>
      <c r="AJ509" s="331"/>
      <c r="AK509" s="80"/>
      <c r="AL509" s="331"/>
      <c r="AM509" s="82"/>
      <c r="AN509" s="82"/>
      <c r="AO509" s="82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2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4"/>
      <c r="V510" s="80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2"/>
      <c r="AH510" s="330"/>
      <c r="AI510" s="330"/>
      <c r="AJ510" s="331"/>
      <c r="AK510" s="80"/>
      <c r="AL510" s="331"/>
      <c r="AM510" s="82"/>
      <c r="AN510" s="82"/>
      <c r="AO510" s="82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2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4"/>
      <c r="V511" s="80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2"/>
      <c r="AH511" s="330"/>
      <c r="AI511" s="330"/>
      <c r="AJ511" s="331"/>
      <c r="AK511" s="80"/>
      <c r="AL511" s="331"/>
      <c r="AM511" s="82"/>
      <c r="AN511" s="82"/>
      <c r="AO511" s="82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2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4"/>
      <c r="V512" s="80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2"/>
      <c r="AH512" s="330"/>
      <c r="AI512" s="330"/>
      <c r="AJ512" s="331"/>
      <c r="AK512" s="80"/>
      <c r="AL512" s="331"/>
      <c r="AM512" s="82"/>
      <c r="AN512" s="82"/>
      <c r="AO512" s="82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2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4"/>
      <c r="V513" s="80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2"/>
      <c r="AH513" s="330"/>
      <c r="AI513" s="330"/>
      <c r="AJ513" s="331"/>
      <c r="AK513" s="80"/>
      <c r="AL513" s="331"/>
      <c r="AM513" s="82"/>
      <c r="AN513" s="82"/>
      <c r="AO513" s="82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2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4"/>
      <c r="V514" s="80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2"/>
      <c r="AH514" s="330"/>
      <c r="AI514" s="330"/>
      <c r="AJ514" s="331"/>
      <c r="AK514" s="80"/>
      <c r="AL514" s="331"/>
      <c r="AM514" s="82"/>
      <c r="AN514" s="82"/>
      <c r="AO514" s="82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2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4"/>
      <c r="V515" s="80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2"/>
      <c r="AH515" s="330"/>
      <c r="AI515" s="330"/>
      <c r="AJ515" s="331"/>
      <c r="AK515" s="80"/>
      <c r="AL515" s="331"/>
      <c r="AM515" s="82"/>
      <c r="AN515" s="82"/>
      <c r="AO515" s="82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2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4"/>
      <c r="V516" s="80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2"/>
      <c r="AH516" s="330"/>
      <c r="AI516" s="330"/>
      <c r="AJ516" s="331"/>
      <c r="AK516" s="80"/>
      <c r="AL516" s="331"/>
      <c r="AM516" s="82"/>
      <c r="AN516" s="82"/>
      <c r="AO516" s="82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2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4"/>
      <c r="V517" s="80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2"/>
      <c r="AH517" s="330"/>
      <c r="AI517" s="330"/>
      <c r="AJ517" s="331"/>
      <c r="AK517" s="80"/>
      <c r="AL517" s="331"/>
      <c r="AM517" s="82"/>
      <c r="AN517" s="82"/>
      <c r="AO517" s="82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2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4"/>
      <c r="V518" s="80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2"/>
      <c r="AH518" s="330"/>
      <c r="AI518" s="330"/>
      <c r="AJ518" s="331"/>
      <c r="AK518" s="80"/>
      <c r="AL518" s="331"/>
      <c r="AM518" s="82"/>
      <c r="AN518" s="82"/>
      <c r="AO518" s="82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2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4"/>
      <c r="V519" s="80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2"/>
      <c r="AH519" s="330"/>
      <c r="AI519" s="330"/>
      <c r="AJ519" s="331"/>
      <c r="AK519" s="80"/>
      <c r="AL519" s="331"/>
      <c r="AM519" s="82"/>
      <c r="AN519" s="82"/>
      <c r="AO519" s="82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2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4"/>
      <c r="V520" s="80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2"/>
      <c r="AH520" s="330"/>
      <c r="AI520" s="330"/>
      <c r="AJ520" s="331"/>
      <c r="AK520" s="80"/>
      <c r="AL520" s="331"/>
      <c r="AM520" s="82"/>
      <c r="AN520" s="82"/>
      <c r="AO520" s="82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2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4"/>
      <c r="V521" s="80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2"/>
      <c r="AH521" s="330"/>
      <c r="AI521" s="330"/>
      <c r="AJ521" s="331"/>
      <c r="AK521" s="80"/>
      <c r="AL521" s="331"/>
      <c r="AM521" s="82"/>
      <c r="AN521" s="82"/>
      <c r="AO521" s="82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2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4"/>
      <c r="V522" s="80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2"/>
      <c r="AH522" s="330"/>
      <c r="AI522" s="330"/>
      <c r="AJ522" s="331"/>
      <c r="AK522" s="80"/>
      <c r="AL522" s="331"/>
      <c r="AM522" s="82"/>
      <c r="AN522" s="82"/>
      <c r="AO522" s="82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2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4"/>
      <c r="V523" s="80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2"/>
      <c r="AH523" s="330"/>
      <c r="AI523" s="330"/>
      <c r="AJ523" s="331"/>
      <c r="AK523" s="80"/>
      <c r="AL523" s="331"/>
      <c r="AM523" s="82"/>
      <c r="AN523" s="82"/>
      <c r="AO523" s="82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2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4"/>
      <c r="V524" s="80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2"/>
      <c r="AH524" s="330"/>
      <c r="AI524" s="330"/>
      <c r="AJ524" s="331"/>
      <c r="AK524" s="80"/>
      <c r="AL524" s="331"/>
      <c r="AM524" s="82"/>
      <c r="AN524" s="82"/>
      <c r="AO524" s="82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2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4"/>
      <c r="V525" s="80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2"/>
      <c r="AH525" s="330"/>
      <c r="AI525" s="330"/>
      <c r="AJ525" s="331"/>
      <c r="AK525" s="80"/>
      <c r="AL525" s="331"/>
      <c r="AM525" s="82"/>
      <c r="AN525" s="82"/>
      <c r="AO525" s="82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2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4"/>
      <c r="V526" s="80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2"/>
      <c r="AH526" s="330"/>
      <c r="AI526" s="330"/>
      <c r="AJ526" s="331"/>
      <c r="AK526" s="80"/>
      <c r="AL526" s="331"/>
      <c r="AM526" s="82"/>
      <c r="AN526" s="82"/>
      <c r="AO526" s="82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2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4"/>
      <c r="V527" s="80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2"/>
      <c r="AH527" s="330"/>
      <c r="AI527" s="330"/>
      <c r="AJ527" s="331"/>
      <c r="AK527" s="80"/>
      <c r="AL527" s="331"/>
      <c r="AM527" s="82"/>
      <c r="AN527" s="82"/>
      <c r="AO527" s="82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2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4"/>
      <c r="V528" s="80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2"/>
      <c r="AH528" s="330"/>
      <c r="AI528" s="330"/>
      <c r="AJ528" s="331"/>
      <c r="AK528" s="80"/>
      <c r="AL528" s="331"/>
      <c r="AM528" s="82"/>
      <c r="AN528" s="82"/>
      <c r="AO528" s="82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2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4"/>
      <c r="V529" s="80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2"/>
      <c r="AH529" s="330"/>
      <c r="AI529" s="330"/>
      <c r="AJ529" s="331"/>
      <c r="AK529" s="80"/>
      <c r="AL529" s="331"/>
      <c r="AM529" s="82"/>
      <c r="AN529" s="82"/>
      <c r="AO529" s="82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2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4"/>
      <c r="V530" s="80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2"/>
      <c r="AH530" s="330"/>
      <c r="AI530" s="330"/>
      <c r="AJ530" s="331"/>
      <c r="AK530" s="80"/>
      <c r="AL530" s="331"/>
      <c r="AM530" s="82"/>
      <c r="AN530" s="82"/>
      <c r="AO530" s="82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2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4"/>
      <c r="V531" s="80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2"/>
      <c r="AH531" s="330"/>
      <c r="AI531" s="330"/>
      <c r="AJ531" s="331"/>
      <c r="AK531" s="80"/>
      <c r="AL531" s="331"/>
      <c r="AM531" s="82"/>
      <c r="AN531" s="82"/>
      <c r="AO531" s="82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2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4"/>
      <c r="V532" s="80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2"/>
      <c r="AH532" s="330"/>
      <c r="AI532" s="330"/>
      <c r="AJ532" s="331"/>
      <c r="AK532" s="80"/>
      <c r="AL532" s="331"/>
      <c r="AM532" s="82"/>
      <c r="AN532" s="82"/>
      <c r="AO532" s="82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2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4"/>
      <c r="V533" s="80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2"/>
      <c r="AH533" s="330"/>
      <c r="AI533" s="330"/>
      <c r="AJ533" s="331"/>
      <c r="AK533" s="80"/>
      <c r="AL533" s="331"/>
      <c r="AM533" s="82"/>
      <c r="AN533" s="82"/>
      <c r="AO533" s="82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2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4"/>
      <c r="V534" s="80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2"/>
      <c r="AH534" s="330"/>
      <c r="AI534" s="330"/>
      <c r="AJ534" s="331"/>
      <c r="AK534" s="80"/>
      <c r="AL534" s="331"/>
      <c r="AM534" s="82"/>
      <c r="AN534" s="82"/>
      <c r="AO534" s="82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2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4"/>
      <c r="V535" s="80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2"/>
      <c r="AH535" s="330"/>
      <c r="AI535" s="330"/>
      <c r="AJ535" s="331"/>
      <c r="AK535" s="80"/>
      <c r="AL535" s="331"/>
      <c r="AM535" s="82"/>
      <c r="AN535" s="82"/>
      <c r="AO535" s="82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2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4"/>
      <c r="V536" s="80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2"/>
      <c r="AH536" s="330"/>
      <c r="AI536" s="330"/>
      <c r="AJ536" s="331"/>
      <c r="AK536" s="80"/>
      <c r="AL536" s="331"/>
      <c r="AM536" s="82"/>
      <c r="AN536" s="82"/>
      <c r="AO536" s="82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2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4"/>
      <c r="V537" s="80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2"/>
      <c r="AH537" s="330"/>
      <c r="AI537" s="330"/>
      <c r="AJ537" s="331"/>
      <c r="AK537" s="80"/>
      <c r="AL537" s="331"/>
      <c r="AM537" s="82"/>
      <c r="AN537" s="82"/>
      <c r="AO537" s="82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2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4"/>
      <c r="V538" s="80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2"/>
      <c r="AH538" s="330"/>
      <c r="AI538" s="330"/>
      <c r="AJ538" s="331"/>
      <c r="AK538" s="80"/>
      <c r="AL538" s="331"/>
      <c r="AM538" s="82"/>
      <c r="AN538" s="82"/>
      <c r="AO538" s="82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2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4"/>
      <c r="V539" s="80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2"/>
      <c r="AH539" s="330"/>
      <c r="AI539" s="330"/>
      <c r="AJ539" s="331"/>
      <c r="AK539" s="80"/>
      <c r="AL539" s="331"/>
      <c r="AM539" s="82"/>
      <c r="AN539" s="82"/>
      <c r="AO539" s="82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2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4"/>
      <c r="V540" s="80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2"/>
      <c r="AH540" s="330"/>
      <c r="AI540" s="330"/>
      <c r="AJ540" s="331"/>
      <c r="AK540" s="80"/>
      <c r="AL540" s="331"/>
      <c r="AM540" s="82"/>
      <c r="AN540" s="82"/>
      <c r="AO540" s="82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2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4"/>
      <c r="V541" s="80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2"/>
      <c r="AH541" s="330"/>
      <c r="AI541" s="330"/>
      <c r="AJ541" s="331"/>
      <c r="AK541" s="80"/>
      <c r="AL541" s="331"/>
      <c r="AM541" s="82"/>
      <c r="AN541" s="82"/>
      <c r="AO541" s="82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2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4"/>
      <c r="V542" s="80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2"/>
      <c r="AH542" s="330"/>
      <c r="AI542" s="330"/>
      <c r="AJ542" s="331"/>
      <c r="AK542" s="80"/>
      <c r="AL542" s="331"/>
      <c r="AM542" s="82"/>
      <c r="AN542" s="82"/>
      <c r="AO542" s="82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  <c r="BE542" s="80"/>
      <c r="BF542" s="80"/>
      <c r="BG542" s="80"/>
      <c r="BH542" s="80"/>
      <c r="BI542" s="80"/>
      <c r="BJ542" s="80"/>
      <c r="BK542" s="80"/>
      <c r="BL542" s="80"/>
      <c r="BM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2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4"/>
      <c r="V543" s="80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2"/>
      <c r="AH543" s="330"/>
      <c r="AI543" s="330"/>
      <c r="AJ543" s="331"/>
      <c r="AK543" s="80"/>
      <c r="AL543" s="331"/>
      <c r="AM543" s="82"/>
      <c r="AN543" s="82"/>
      <c r="AO543" s="82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2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4"/>
      <c r="V544" s="80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2"/>
      <c r="AH544" s="330"/>
      <c r="AI544" s="330"/>
      <c r="AJ544" s="331"/>
      <c r="AK544" s="80"/>
      <c r="AL544" s="331"/>
      <c r="AM544" s="82"/>
      <c r="AN544" s="82"/>
      <c r="AO544" s="82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/>
      <c r="BJ544" s="80"/>
      <c r="BK544" s="80"/>
      <c r="BL544" s="80"/>
      <c r="BM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2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4"/>
      <c r="V545" s="80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2"/>
      <c r="AH545" s="330"/>
      <c r="AI545" s="330"/>
      <c r="AJ545" s="331"/>
      <c r="AK545" s="80"/>
      <c r="AL545" s="331"/>
      <c r="AM545" s="82"/>
      <c r="AN545" s="82"/>
      <c r="AO545" s="82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2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4"/>
      <c r="V546" s="80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2"/>
      <c r="AH546" s="330"/>
      <c r="AI546" s="330"/>
      <c r="AJ546" s="331"/>
      <c r="AK546" s="80"/>
      <c r="AL546" s="331"/>
      <c r="AM546" s="82"/>
      <c r="AN546" s="82"/>
      <c r="AO546" s="82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2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4"/>
      <c r="V547" s="80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2"/>
      <c r="AH547" s="330"/>
      <c r="AI547" s="330"/>
      <c r="AJ547" s="331"/>
      <c r="AK547" s="80"/>
      <c r="AL547" s="331"/>
      <c r="AM547" s="82"/>
      <c r="AN547" s="82"/>
      <c r="AO547" s="82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2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4"/>
      <c r="V548" s="80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2"/>
      <c r="AH548" s="330"/>
      <c r="AI548" s="330"/>
      <c r="AJ548" s="331"/>
      <c r="AK548" s="80"/>
      <c r="AL548" s="331"/>
      <c r="AM548" s="82"/>
      <c r="AN548" s="82"/>
      <c r="AO548" s="82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  <c r="BE548" s="80"/>
      <c r="BF548" s="80"/>
      <c r="BG548" s="80"/>
      <c r="BH548" s="80"/>
      <c r="BI548" s="80"/>
      <c r="BJ548" s="80"/>
      <c r="BK548" s="80"/>
      <c r="BL548" s="80"/>
      <c r="BM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2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4"/>
      <c r="V549" s="80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2"/>
      <c r="AH549" s="330"/>
      <c r="AI549" s="330"/>
      <c r="AJ549" s="331"/>
      <c r="AK549" s="80"/>
      <c r="AL549" s="331"/>
      <c r="AM549" s="82"/>
      <c r="AN549" s="82"/>
      <c r="AO549" s="82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2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4"/>
      <c r="V550" s="80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2"/>
      <c r="AH550" s="330"/>
      <c r="AI550" s="330"/>
      <c r="AJ550" s="331"/>
      <c r="AK550" s="80"/>
      <c r="AL550" s="331"/>
      <c r="AM550" s="82"/>
      <c r="AN550" s="82"/>
      <c r="AO550" s="82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2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4"/>
      <c r="V551" s="80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2"/>
      <c r="AH551" s="330"/>
      <c r="AI551" s="330"/>
      <c r="AJ551" s="331"/>
      <c r="AK551" s="80"/>
      <c r="AL551" s="331"/>
      <c r="AM551" s="82"/>
      <c r="AN551" s="82"/>
      <c r="AO551" s="82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2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4"/>
      <c r="V552" s="80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2"/>
      <c r="AH552" s="330"/>
      <c r="AI552" s="330"/>
      <c r="AJ552" s="331"/>
      <c r="AK552" s="80"/>
      <c r="AL552" s="331"/>
      <c r="AM552" s="82"/>
      <c r="AN552" s="82"/>
      <c r="AO552" s="82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2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4"/>
      <c r="V553" s="80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2"/>
      <c r="AH553" s="330"/>
      <c r="AI553" s="330"/>
      <c r="AJ553" s="331"/>
      <c r="AK553" s="80"/>
      <c r="AL553" s="331"/>
      <c r="AM553" s="82"/>
      <c r="AN553" s="82"/>
      <c r="AO553" s="82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2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4"/>
      <c r="V554" s="80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2"/>
      <c r="AH554" s="330"/>
      <c r="AI554" s="330"/>
      <c r="AJ554" s="331"/>
      <c r="AK554" s="80"/>
      <c r="AL554" s="331"/>
      <c r="AM554" s="82"/>
      <c r="AN554" s="82"/>
      <c r="AO554" s="82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2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4"/>
      <c r="V555" s="80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2"/>
      <c r="AH555" s="330"/>
      <c r="AI555" s="330"/>
      <c r="AJ555" s="331"/>
      <c r="AK555" s="80"/>
      <c r="AL555" s="331"/>
      <c r="AM555" s="82"/>
      <c r="AN555" s="82"/>
      <c r="AO555" s="82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2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4"/>
      <c r="V556" s="80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2"/>
      <c r="AH556" s="330"/>
      <c r="AI556" s="330"/>
      <c r="AJ556" s="331"/>
      <c r="AK556" s="80"/>
      <c r="AL556" s="331"/>
      <c r="AM556" s="82"/>
      <c r="AN556" s="82"/>
      <c r="AO556" s="82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2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4"/>
      <c r="V557" s="80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2"/>
      <c r="AH557" s="330"/>
      <c r="AI557" s="330"/>
      <c r="AJ557" s="331"/>
      <c r="AK557" s="80"/>
      <c r="AL557" s="331"/>
      <c r="AM557" s="82"/>
      <c r="AN557" s="82"/>
      <c r="AO557" s="82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2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4"/>
      <c r="V558" s="80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2"/>
      <c r="AH558" s="330"/>
      <c r="AI558" s="330"/>
      <c r="AJ558" s="331"/>
      <c r="AK558" s="80"/>
      <c r="AL558" s="331"/>
      <c r="AM558" s="82"/>
      <c r="AN558" s="82"/>
      <c r="AO558" s="82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  <c r="BE558" s="80"/>
      <c r="BF558" s="80"/>
      <c r="BG558" s="80"/>
      <c r="BH558" s="80"/>
      <c r="BI558" s="80"/>
      <c r="BJ558" s="80"/>
      <c r="BK558" s="80"/>
      <c r="BL558" s="80"/>
      <c r="BM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2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4"/>
      <c r="V559" s="80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2"/>
      <c r="AH559" s="330"/>
      <c r="AI559" s="330"/>
      <c r="AJ559" s="331"/>
      <c r="AK559" s="80"/>
      <c r="AL559" s="331"/>
      <c r="AM559" s="82"/>
      <c r="AN559" s="82"/>
      <c r="AO559" s="82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2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4"/>
      <c r="V560" s="80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2"/>
      <c r="AH560" s="330"/>
      <c r="AI560" s="330"/>
      <c r="AJ560" s="331"/>
      <c r="AK560" s="80"/>
      <c r="AL560" s="331"/>
      <c r="AM560" s="82"/>
      <c r="AN560" s="82"/>
      <c r="AO560" s="82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  <c r="BE560" s="80"/>
      <c r="BF560" s="80"/>
      <c r="BG560" s="80"/>
      <c r="BH560" s="80"/>
      <c r="BI560" s="80"/>
      <c r="BJ560" s="80"/>
      <c r="BK560" s="80"/>
      <c r="BL560" s="80"/>
      <c r="BM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2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4"/>
      <c r="V561" s="80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2"/>
      <c r="AH561" s="330"/>
      <c r="AI561" s="330"/>
      <c r="AJ561" s="331"/>
      <c r="AK561" s="80"/>
      <c r="AL561" s="331"/>
      <c r="AM561" s="82"/>
      <c r="AN561" s="82"/>
      <c r="AO561" s="82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2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4"/>
      <c r="V562" s="80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2"/>
      <c r="AH562" s="330"/>
      <c r="AI562" s="330"/>
      <c r="AJ562" s="331"/>
      <c r="AK562" s="80"/>
      <c r="AL562" s="331"/>
      <c r="AM562" s="82"/>
      <c r="AN562" s="82"/>
      <c r="AO562" s="82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  <c r="BB562" s="80"/>
      <c r="BC562" s="80"/>
      <c r="BD562" s="80"/>
      <c r="BE562" s="80"/>
      <c r="BF562" s="80"/>
      <c r="BG562" s="80"/>
      <c r="BH562" s="80"/>
      <c r="BI562" s="80"/>
      <c r="BJ562" s="80"/>
      <c r="BK562" s="80"/>
      <c r="BL562" s="80"/>
      <c r="BM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2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4"/>
      <c r="V563" s="80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2"/>
      <c r="AH563" s="330"/>
      <c r="AI563" s="330"/>
      <c r="AJ563" s="331"/>
      <c r="AK563" s="80"/>
      <c r="AL563" s="331"/>
      <c r="AM563" s="82"/>
      <c r="AN563" s="82"/>
      <c r="AO563" s="82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2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4"/>
      <c r="V564" s="80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2"/>
      <c r="AH564" s="330"/>
      <c r="AI564" s="330"/>
      <c r="AJ564" s="331"/>
      <c r="AK564" s="80"/>
      <c r="AL564" s="331"/>
      <c r="AM564" s="82"/>
      <c r="AN564" s="82"/>
      <c r="AO564" s="82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  <c r="BE564" s="80"/>
      <c r="BF564" s="80"/>
      <c r="BG564" s="80"/>
      <c r="BH564" s="80"/>
      <c r="BI564" s="80"/>
      <c r="BJ564" s="80"/>
      <c r="BK564" s="80"/>
      <c r="BL564" s="80"/>
      <c r="BM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2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4"/>
      <c r="V565" s="80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2"/>
      <c r="AH565" s="330"/>
      <c r="AI565" s="330"/>
      <c r="AJ565" s="331"/>
      <c r="AK565" s="80"/>
      <c r="AL565" s="331"/>
      <c r="AM565" s="82"/>
      <c r="AN565" s="82"/>
      <c r="AO565" s="82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  <c r="BB565" s="80"/>
      <c r="BC565" s="80"/>
      <c r="BD565" s="80"/>
      <c r="BE565" s="80"/>
      <c r="BF565" s="80"/>
      <c r="BG565" s="80"/>
      <c r="BH565" s="80"/>
      <c r="BI565" s="80"/>
      <c r="BJ565" s="80"/>
      <c r="BK565" s="80"/>
      <c r="BL565" s="80"/>
      <c r="BM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2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4"/>
      <c r="V566" s="80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2"/>
      <c r="AH566" s="330"/>
      <c r="AI566" s="330"/>
      <c r="AJ566" s="331"/>
      <c r="AK566" s="80"/>
      <c r="AL566" s="331"/>
      <c r="AM566" s="82"/>
      <c r="AN566" s="82"/>
      <c r="AO566" s="82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  <c r="BE566" s="80"/>
      <c r="BF566" s="80"/>
      <c r="BG566" s="80"/>
      <c r="BH566" s="80"/>
      <c r="BI566" s="80"/>
      <c r="BJ566" s="80"/>
      <c r="BK566" s="80"/>
      <c r="BL566" s="80"/>
      <c r="BM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2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4"/>
      <c r="V567" s="80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2"/>
      <c r="AH567" s="330"/>
      <c r="AI567" s="330"/>
      <c r="AJ567" s="331"/>
      <c r="AK567" s="80"/>
      <c r="AL567" s="331"/>
      <c r="AM567" s="82"/>
      <c r="AN567" s="82"/>
      <c r="AO567" s="82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2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4"/>
      <c r="V568" s="80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2"/>
      <c r="AH568" s="330"/>
      <c r="AI568" s="330"/>
      <c r="AJ568" s="331"/>
      <c r="AK568" s="80"/>
      <c r="AL568" s="331"/>
      <c r="AM568" s="82"/>
      <c r="AN568" s="82"/>
      <c r="AO568" s="82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  <c r="BE568" s="80"/>
      <c r="BF568" s="80"/>
      <c r="BG568" s="80"/>
      <c r="BH568" s="80"/>
      <c r="BI568" s="80"/>
      <c r="BJ568" s="80"/>
      <c r="BK568" s="80"/>
      <c r="BL568" s="80"/>
      <c r="BM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2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4"/>
      <c r="V569" s="80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2"/>
      <c r="AH569" s="330"/>
      <c r="AI569" s="330"/>
      <c r="AJ569" s="331"/>
      <c r="AK569" s="80"/>
      <c r="AL569" s="331"/>
      <c r="AM569" s="82"/>
      <c r="AN569" s="82"/>
      <c r="AO569" s="82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2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4"/>
      <c r="V570" s="80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2"/>
      <c r="AH570" s="330"/>
      <c r="AI570" s="330"/>
      <c r="AJ570" s="331"/>
      <c r="AK570" s="80"/>
      <c r="AL570" s="331"/>
      <c r="AM570" s="82"/>
      <c r="AN570" s="82"/>
      <c r="AO570" s="82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  <c r="BE570" s="80"/>
      <c r="BF570" s="80"/>
      <c r="BG570" s="80"/>
      <c r="BH570" s="80"/>
      <c r="BI570" s="80"/>
      <c r="BJ570" s="80"/>
      <c r="BK570" s="80"/>
      <c r="BL570" s="80"/>
      <c r="BM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2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4"/>
      <c r="V571" s="80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2"/>
      <c r="AH571" s="330"/>
      <c r="AI571" s="330"/>
      <c r="AJ571" s="331"/>
      <c r="AK571" s="80"/>
      <c r="AL571" s="331"/>
      <c r="AM571" s="82"/>
      <c r="AN571" s="82"/>
      <c r="AO571" s="82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2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4"/>
      <c r="V572" s="80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2"/>
      <c r="AH572" s="330"/>
      <c r="AI572" s="330"/>
      <c r="AJ572" s="331"/>
      <c r="AK572" s="80"/>
      <c r="AL572" s="331"/>
      <c r="AM572" s="82"/>
      <c r="AN572" s="82"/>
      <c r="AO572" s="82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  <c r="BE572" s="80"/>
      <c r="BF572" s="80"/>
      <c r="BG572" s="80"/>
      <c r="BH572" s="80"/>
      <c r="BI572" s="80"/>
      <c r="BJ572" s="80"/>
      <c r="BK572" s="80"/>
      <c r="BL572" s="80"/>
      <c r="BM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2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4"/>
      <c r="V573" s="80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2"/>
      <c r="AH573" s="330"/>
      <c r="AI573" s="330"/>
      <c r="AJ573" s="331"/>
      <c r="AK573" s="80"/>
      <c r="AL573" s="331"/>
      <c r="AM573" s="82"/>
      <c r="AN573" s="82"/>
      <c r="AO573" s="82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2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4"/>
      <c r="V574" s="80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2"/>
      <c r="AH574" s="330"/>
      <c r="AI574" s="330"/>
      <c r="AJ574" s="331"/>
      <c r="AK574" s="80"/>
      <c r="AL574" s="331"/>
      <c r="AM574" s="82"/>
      <c r="AN574" s="82"/>
      <c r="AO574" s="82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  <c r="BE574" s="80"/>
      <c r="BF574" s="80"/>
      <c r="BG574" s="80"/>
      <c r="BH574" s="80"/>
      <c r="BI574" s="80"/>
      <c r="BJ574" s="80"/>
      <c r="BK574" s="80"/>
      <c r="BL574" s="80"/>
      <c r="BM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2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4"/>
      <c r="V575" s="80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2"/>
      <c r="AH575" s="330"/>
      <c r="AI575" s="330"/>
      <c r="AJ575" s="331"/>
      <c r="AK575" s="80"/>
      <c r="AL575" s="331"/>
      <c r="AM575" s="82"/>
      <c r="AN575" s="82"/>
      <c r="AO575" s="82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  <c r="BB575" s="80"/>
      <c r="BC575" s="80"/>
      <c r="BD575" s="80"/>
      <c r="BE575" s="80"/>
      <c r="BF575" s="80"/>
      <c r="BG575" s="80"/>
      <c r="BH575" s="80"/>
      <c r="BI575" s="80"/>
      <c r="BJ575" s="80"/>
      <c r="BK575" s="80"/>
      <c r="BL575" s="80"/>
      <c r="BM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2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4"/>
      <c r="V576" s="80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2"/>
      <c r="AH576" s="330"/>
      <c r="AI576" s="330"/>
      <c r="AJ576" s="331"/>
      <c r="AK576" s="80"/>
      <c r="AL576" s="331"/>
      <c r="AM576" s="82"/>
      <c r="AN576" s="82"/>
      <c r="AO576" s="82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  <c r="BE576" s="80"/>
      <c r="BF576" s="80"/>
      <c r="BG576" s="80"/>
      <c r="BH576" s="80"/>
      <c r="BI576" s="80"/>
      <c r="BJ576" s="80"/>
      <c r="BK576" s="80"/>
      <c r="BL576" s="80"/>
      <c r="BM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2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4"/>
      <c r="V577" s="80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2"/>
      <c r="AH577" s="330"/>
      <c r="AI577" s="330"/>
      <c r="AJ577" s="331"/>
      <c r="AK577" s="80"/>
      <c r="AL577" s="331"/>
      <c r="AM577" s="82"/>
      <c r="AN577" s="82"/>
      <c r="AO577" s="82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/>
      <c r="BJ577" s="80"/>
      <c r="BK577" s="80"/>
      <c r="BL577" s="80"/>
      <c r="BM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2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4"/>
      <c r="V578" s="80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2"/>
      <c r="AH578" s="330"/>
      <c r="AI578" s="330"/>
      <c r="AJ578" s="331"/>
      <c r="AK578" s="80"/>
      <c r="AL578" s="331"/>
      <c r="AM578" s="82"/>
      <c r="AN578" s="82"/>
      <c r="AO578" s="82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  <c r="BE578" s="80"/>
      <c r="BF578" s="80"/>
      <c r="BG578" s="80"/>
      <c r="BH578" s="80"/>
      <c r="BI578" s="80"/>
      <c r="BJ578" s="80"/>
      <c r="BK578" s="80"/>
      <c r="BL578" s="80"/>
      <c r="BM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2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4"/>
      <c r="V579" s="80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2"/>
      <c r="AH579" s="330"/>
      <c r="AI579" s="330"/>
      <c r="AJ579" s="331"/>
      <c r="AK579" s="80"/>
      <c r="AL579" s="331"/>
      <c r="AM579" s="82"/>
      <c r="AN579" s="82"/>
      <c r="AO579" s="82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2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4"/>
      <c r="V580" s="80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2"/>
      <c r="AH580" s="330"/>
      <c r="AI580" s="330"/>
      <c r="AJ580" s="331"/>
      <c r="AK580" s="80"/>
      <c r="AL580" s="331"/>
      <c r="AM580" s="82"/>
      <c r="AN580" s="82"/>
      <c r="AO580" s="82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/>
      <c r="BJ580" s="80"/>
      <c r="BK580" s="80"/>
      <c r="BL580" s="80"/>
      <c r="BM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2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4"/>
      <c r="V581" s="80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2"/>
      <c r="AH581" s="330"/>
      <c r="AI581" s="330"/>
      <c r="AJ581" s="331"/>
      <c r="AK581" s="80"/>
      <c r="AL581" s="331"/>
      <c r="AM581" s="82"/>
      <c r="AN581" s="82"/>
      <c r="AO581" s="82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2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4"/>
      <c r="V582" s="80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2"/>
      <c r="AH582" s="330"/>
      <c r="AI582" s="330"/>
      <c r="AJ582" s="331"/>
      <c r="AK582" s="80"/>
      <c r="AL582" s="331"/>
      <c r="AM582" s="82"/>
      <c r="AN582" s="82"/>
      <c r="AO582" s="82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  <c r="BE582" s="80"/>
      <c r="BF582" s="80"/>
      <c r="BG582" s="80"/>
      <c r="BH582" s="80"/>
      <c r="BI582" s="80"/>
      <c r="BJ582" s="80"/>
      <c r="BK582" s="80"/>
      <c r="BL582" s="80"/>
      <c r="BM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2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4"/>
      <c r="V583" s="80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2"/>
      <c r="AH583" s="330"/>
      <c r="AI583" s="330"/>
      <c r="AJ583" s="331"/>
      <c r="AK583" s="80"/>
      <c r="AL583" s="331"/>
      <c r="AM583" s="82"/>
      <c r="AN583" s="82"/>
      <c r="AO583" s="82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  <c r="BB583" s="80"/>
      <c r="BC583" s="80"/>
      <c r="BD583" s="80"/>
      <c r="BE583" s="80"/>
      <c r="BF583" s="80"/>
      <c r="BG583" s="80"/>
      <c r="BH583" s="80"/>
      <c r="BI583" s="80"/>
      <c r="BJ583" s="80"/>
      <c r="BK583" s="80"/>
      <c r="BL583" s="80"/>
      <c r="BM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2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4"/>
      <c r="V584" s="80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2"/>
      <c r="AH584" s="330"/>
      <c r="AI584" s="330"/>
      <c r="AJ584" s="331"/>
      <c r="AK584" s="80"/>
      <c r="AL584" s="331"/>
      <c r="AM584" s="82"/>
      <c r="AN584" s="82"/>
      <c r="AO584" s="82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  <c r="BE584" s="80"/>
      <c r="BF584" s="80"/>
      <c r="BG584" s="80"/>
      <c r="BH584" s="80"/>
      <c r="BI584" s="80"/>
      <c r="BJ584" s="80"/>
      <c r="BK584" s="80"/>
      <c r="BL584" s="80"/>
      <c r="BM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2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4"/>
      <c r="V585" s="80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2"/>
      <c r="AH585" s="330"/>
      <c r="AI585" s="330"/>
      <c r="AJ585" s="331"/>
      <c r="AK585" s="80"/>
      <c r="AL585" s="331"/>
      <c r="AM585" s="82"/>
      <c r="AN585" s="82"/>
      <c r="AO585" s="82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  <c r="BB585" s="80"/>
      <c r="BC585" s="80"/>
      <c r="BD585" s="80"/>
      <c r="BE585" s="80"/>
      <c r="BF585" s="80"/>
      <c r="BG585" s="80"/>
      <c r="BH585" s="80"/>
      <c r="BI585" s="80"/>
      <c r="BJ585" s="80"/>
      <c r="BK585" s="80"/>
      <c r="BL585" s="80"/>
      <c r="BM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2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4"/>
      <c r="V586" s="80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2"/>
      <c r="AH586" s="330"/>
      <c r="AI586" s="330"/>
      <c r="AJ586" s="331"/>
      <c r="AK586" s="80"/>
      <c r="AL586" s="331"/>
      <c r="AM586" s="82"/>
      <c r="AN586" s="82"/>
      <c r="AO586" s="82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  <c r="BE586" s="80"/>
      <c r="BF586" s="80"/>
      <c r="BG586" s="80"/>
      <c r="BH586" s="80"/>
      <c r="BI586" s="80"/>
      <c r="BJ586" s="80"/>
      <c r="BK586" s="80"/>
      <c r="BL586" s="80"/>
      <c r="BM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2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4"/>
      <c r="V587" s="80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2"/>
      <c r="AH587" s="330"/>
      <c r="AI587" s="330"/>
      <c r="AJ587" s="331"/>
      <c r="AK587" s="80"/>
      <c r="AL587" s="331"/>
      <c r="AM587" s="82"/>
      <c r="AN587" s="82"/>
      <c r="AO587" s="82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2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4"/>
      <c r="V588" s="80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2"/>
      <c r="AH588" s="330"/>
      <c r="AI588" s="330"/>
      <c r="AJ588" s="331"/>
      <c r="AK588" s="80"/>
      <c r="AL588" s="331"/>
      <c r="AM588" s="82"/>
      <c r="AN588" s="82"/>
      <c r="AO588" s="82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/>
      <c r="BJ588" s="80"/>
      <c r="BK588" s="80"/>
      <c r="BL588" s="80"/>
      <c r="BM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2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4"/>
      <c r="V589" s="80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2"/>
      <c r="AH589" s="330"/>
      <c r="AI589" s="330"/>
      <c r="AJ589" s="331"/>
      <c r="AK589" s="80"/>
      <c r="AL589" s="331"/>
      <c r="AM589" s="82"/>
      <c r="AN589" s="82"/>
      <c r="AO589" s="82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2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4"/>
      <c r="V590" s="80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2"/>
      <c r="AH590" s="330"/>
      <c r="AI590" s="330"/>
      <c r="AJ590" s="331"/>
      <c r="AK590" s="80"/>
      <c r="AL590" s="331"/>
      <c r="AM590" s="82"/>
      <c r="AN590" s="82"/>
      <c r="AO590" s="82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  <c r="BE590" s="80"/>
      <c r="BF590" s="80"/>
      <c r="BG590" s="80"/>
      <c r="BH590" s="80"/>
      <c r="BI590" s="80"/>
      <c r="BJ590" s="80"/>
      <c r="BK590" s="80"/>
      <c r="BL590" s="80"/>
      <c r="BM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2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4"/>
      <c r="V591" s="80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2"/>
      <c r="AH591" s="330"/>
      <c r="AI591" s="330"/>
      <c r="AJ591" s="331"/>
      <c r="AK591" s="80"/>
      <c r="AL591" s="331"/>
      <c r="AM591" s="82"/>
      <c r="AN591" s="82"/>
      <c r="AO591" s="82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  <c r="BB591" s="80"/>
      <c r="BC591" s="80"/>
      <c r="BD591" s="80"/>
      <c r="BE591" s="80"/>
      <c r="BF591" s="80"/>
      <c r="BG591" s="80"/>
      <c r="BH591" s="80"/>
      <c r="BI591" s="80"/>
      <c r="BJ591" s="80"/>
      <c r="BK591" s="80"/>
      <c r="BL591" s="80"/>
      <c r="BM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2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4"/>
      <c r="V592" s="80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2"/>
      <c r="AH592" s="330"/>
      <c r="AI592" s="330"/>
      <c r="AJ592" s="331"/>
      <c r="AK592" s="80"/>
      <c r="AL592" s="331"/>
      <c r="AM592" s="82"/>
      <c r="AN592" s="82"/>
      <c r="AO592" s="82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  <c r="BE592" s="80"/>
      <c r="BF592" s="80"/>
      <c r="BG592" s="80"/>
      <c r="BH592" s="80"/>
      <c r="BI592" s="80"/>
      <c r="BJ592" s="80"/>
      <c r="BK592" s="80"/>
      <c r="BL592" s="80"/>
      <c r="BM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2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4"/>
      <c r="V593" s="80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2"/>
      <c r="AH593" s="330"/>
      <c r="AI593" s="330"/>
      <c r="AJ593" s="331"/>
      <c r="AK593" s="80"/>
      <c r="AL593" s="331"/>
      <c r="AM593" s="82"/>
      <c r="AN593" s="82"/>
      <c r="AO593" s="82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2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4"/>
      <c r="V594" s="80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2"/>
      <c r="AH594" s="330"/>
      <c r="AI594" s="330"/>
      <c r="AJ594" s="331"/>
      <c r="AK594" s="80"/>
      <c r="AL594" s="331"/>
      <c r="AM594" s="82"/>
      <c r="AN594" s="82"/>
      <c r="AO594" s="82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80"/>
      <c r="BK594" s="80"/>
      <c r="BL594" s="80"/>
      <c r="BM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2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4"/>
      <c r="V595" s="80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2"/>
      <c r="AH595" s="330"/>
      <c r="AI595" s="330"/>
      <c r="AJ595" s="331"/>
      <c r="AK595" s="80"/>
      <c r="AL595" s="331"/>
      <c r="AM595" s="82"/>
      <c r="AN595" s="82"/>
      <c r="AO595" s="82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2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4"/>
      <c r="V596" s="80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2"/>
      <c r="AH596" s="330"/>
      <c r="AI596" s="330"/>
      <c r="AJ596" s="331"/>
      <c r="AK596" s="80"/>
      <c r="AL596" s="331"/>
      <c r="AM596" s="82"/>
      <c r="AN596" s="82"/>
      <c r="AO596" s="82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2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4"/>
      <c r="V597" s="80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2"/>
      <c r="AH597" s="330"/>
      <c r="AI597" s="330"/>
      <c r="AJ597" s="331"/>
      <c r="AK597" s="80"/>
      <c r="AL597" s="331"/>
      <c r="AM597" s="82"/>
      <c r="AN597" s="82"/>
      <c r="AO597" s="82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2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4"/>
      <c r="V598" s="80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2"/>
      <c r="AH598" s="330"/>
      <c r="AI598" s="330"/>
      <c r="AJ598" s="331"/>
      <c r="AK598" s="80"/>
      <c r="AL598" s="331"/>
      <c r="AM598" s="82"/>
      <c r="AN598" s="82"/>
      <c r="AO598" s="82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80"/>
      <c r="BK598" s="80"/>
      <c r="BL598" s="80"/>
      <c r="BM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2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4"/>
      <c r="V599" s="80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2"/>
      <c r="AH599" s="330"/>
      <c r="AI599" s="330"/>
      <c r="AJ599" s="331"/>
      <c r="AK599" s="80"/>
      <c r="AL599" s="331"/>
      <c r="AM599" s="82"/>
      <c r="AN599" s="82"/>
      <c r="AO599" s="82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2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4"/>
      <c r="V600" s="80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2"/>
      <c r="AH600" s="330"/>
      <c r="AI600" s="330"/>
      <c r="AJ600" s="331"/>
      <c r="AK600" s="80"/>
      <c r="AL600" s="331"/>
      <c r="AM600" s="82"/>
      <c r="AN600" s="82"/>
      <c r="AO600" s="82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  <c r="BE600" s="80"/>
      <c r="BF600" s="80"/>
      <c r="BG600" s="80"/>
      <c r="BH600" s="80"/>
      <c r="BI600" s="80"/>
      <c r="BJ600" s="80"/>
      <c r="BK600" s="80"/>
      <c r="BL600" s="80"/>
      <c r="BM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2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4"/>
      <c r="V601" s="80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2"/>
      <c r="AH601" s="330"/>
      <c r="AI601" s="330"/>
      <c r="AJ601" s="331"/>
      <c r="AK601" s="80"/>
      <c r="AL601" s="331"/>
      <c r="AM601" s="82"/>
      <c r="AN601" s="82"/>
      <c r="AO601" s="82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2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4"/>
      <c r="V602" s="80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2"/>
      <c r="AH602" s="330"/>
      <c r="AI602" s="330"/>
      <c r="AJ602" s="331"/>
      <c r="AK602" s="80"/>
      <c r="AL602" s="331"/>
      <c r="AM602" s="82"/>
      <c r="AN602" s="82"/>
      <c r="AO602" s="82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  <c r="BE602" s="80"/>
      <c r="BF602" s="80"/>
      <c r="BG602" s="80"/>
      <c r="BH602" s="80"/>
      <c r="BI602" s="80"/>
      <c r="BJ602" s="80"/>
      <c r="BK602" s="80"/>
      <c r="BL602" s="80"/>
      <c r="BM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2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4"/>
      <c r="V603" s="80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2"/>
      <c r="AH603" s="330"/>
      <c r="AI603" s="330"/>
      <c r="AJ603" s="331"/>
      <c r="AK603" s="80"/>
      <c r="AL603" s="331"/>
      <c r="AM603" s="82"/>
      <c r="AN603" s="82"/>
      <c r="AO603" s="82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2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4"/>
      <c r="V604" s="80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2"/>
      <c r="AH604" s="330"/>
      <c r="AI604" s="330"/>
      <c r="AJ604" s="331"/>
      <c r="AK604" s="80"/>
      <c r="AL604" s="331"/>
      <c r="AM604" s="82"/>
      <c r="AN604" s="82"/>
      <c r="AO604" s="82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  <c r="BE604" s="80"/>
      <c r="BF604" s="80"/>
      <c r="BG604" s="80"/>
      <c r="BH604" s="80"/>
      <c r="BI604" s="80"/>
      <c r="BJ604" s="80"/>
      <c r="BK604" s="80"/>
      <c r="BL604" s="80"/>
      <c r="BM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2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4"/>
      <c r="V605" s="80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2"/>
      <c r="AH605" s="330"/>
      <c r="AI605" s="330"/>
      <c r="AJ605" s="331"/>
      <c r="AK605" s="80"/>
      <c r="AL605" s="331"/>
      <c r="AM605" s="82"/>
      <c r="AN605" s="82"/>
      <c r="AO605" s="82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2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4"/>
      <c r="V606" s="80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2"/>
      <c r="AH606" s="330"/>
      <c r="AI606" s="330"/>
      <c r="AJ606" s="331"/>
      <c r="AK606" s="80"/>
      <c r="AL606" s="331"/>
      <c r="AM606" s="82"/>
      <c r="AN606" s="82"/>
      <c r="AO606" s="82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  <c r="BE606" s="80"/>
      <c r="BF606" s="80"/>
      <c r="BG606" s="80"/>
      <c r="BH606" s="80"/>
      <c r="BI606" s="80"/>
      <c r="BJ606" s="80"/>
      <c r="BK606" s="80"/>
      <c r="BL606" s="80"/>
      <c r="BM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2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4"/>
      <c r="V607" s="80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2"/>
      <c r="AH607" s="330"/>
      <c r="AI607" s="330"/>
      <c r="AJ607" s="331"/>
      <c r="AK607" s="80"/>
      <c r="AL607" s="331"/>
      <c r="AM607" s="82"/>
      <c r="AN607" s="82"/>
      <c r="AO607" s="82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  <c r="BB607" s="80"/>
      <c r="BC607" s="80"/>
      <c r="BD607" s="80"/>
      <c r="BE607" s="80"/>
      <c r="BF607" s="80"/>
      <c r="BG607" s="80"/>
      <c r="BH607" s="80"/>
      <c r="BI607" s="80"/>
      <c r="BJ607" s="80"/>
      <c r="BK607" s="80"/>
      <c r="BL607" s="80"/>
      <c r="BM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2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4"/>
      <c r="V608" s="80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2"/>
      <c r="AH608" s="330"/>
      <c r="AI608" s="330"/>
      <c r="AJ608" s="331"/>
      <c r="AK608" s="80"/>
      <c r="AL608" s="331"/>
      <c r="AM608" s="82"/>
      <c r="AN608" s="82"/>
      <c r="AO608" s="82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  <c r="BB608" s="80"/>
      <c r="BC608" s="80"/>
      <c r="BD608" s="80"/>
      <c r="BE608" s="80"/>
      <c r="BF608" s="80"/>
      <c r="BG608" s="80"/>
      <c r="BH608" s="80"/>
      <c r="BI608" s="80"/>
      <c r="BJ608" s="80"/>
      <c r="BK608" s="80"/>
      <c r="BL608" s="80"/>
      <c r="BM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2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4"/>
      <c r="V609" s="80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2"/>
      <c r="AH609" s="330"/>
      <c r="AI609" s="330"/>
      <c r="AJ609" s="331"/>
      <c r="AK609" s="80"/>
      <c r="AL609" s="331"/>
      <c r="AM609" s="82"/>
      <c r="AN609" s="82"/>
      <c r="AO609" s="82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  <c r="BB609" s="80"/>
      <c r="BC609" s="80"/>
      <c r="BD609" s="80"/>
      <c r="BE609" s="80"/>
      <c r="BF609" s="80"/>
      <c r="BG609" s="80"/>
      <c r="BH609" s="80"/>
      <c r="BI609" s="80"/>
      <c r="BJ609" s="80"/>
      <c r="BK609" s="80"/>
      <c r="BL609" s="80"/>
      <c r="BM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2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4"/>
      <c r="V610" s="80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2"/>
      <c r="AH610" s="330"/>
      <c r="AI610" s="330"/>
      <c r="AJ610" s="331"/>
      <c r="AK610" s="80"/>
      <c r="AL610" s="331"/>
      <c r="AM610" s="82"/>
      <c r="AN610" s="82"/>
      <c r="AO610" s="82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2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4"/>
      <c r="V611" s="80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2"/>
      <c r="AH611" s="330"/>
      <c r="AI611" s="330"/>
      <c r="AJ611" s="331"/>
      <c r="AK611" s="80"/>
      <c r="AL611" s="331"/>
      <c r="AM611" s="82"/>
      <c r="AN611" s="82"/>
      <c r="AO611" s="82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2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4"/>
      <c r="V612" s="80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2"/>
      <c r="AH612" s="330"/>
      <c r="AI612" s="330"/>
      <c r="AJ612" s="331"/>
      <c r="AK612" s="80"/>
      <c r="AL612" s="331"/>
      <c r="AM612" s="82"/>
      <c r="AN612" s="82"/>
      <c r="AO612" s="82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  <c r="BE612" s="80"/>
      <c r="BF612" s="80"/>
      <c r="BG612" s="80"/>
      <c r="BH612" s="80"/>
      <c r="BI612" s="80"/>
      <c r="BJ612" s="80"/>
      <c r="BK612" s="80"/>
      <c r="BL612" s="80"/>
      <c r="BM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2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4"/>
      <c r="V613" s="80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2"/>
      <c r="AH613" s="330"/>
      <c r="AI613" s="330"/>
      <c r="AJ613" s="331"/>
      <c r="AK613" s="80"/>
      <c r="AL613" s="331"/>
      <c r="AM613" s="82"/>
      <c r="AN613" s="82"/>
      <c r="AO613" s="82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2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4"/>
      <c r="V614" s="80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2"/>
      <c r="AH614" s="330"/>
      <c r="AI614" s="330"/>
      <c r="AJ614" s="331"/>
      <c r="AK614" s="80"/>
      <c r="AL614" s="331"/>
      <c r="AM614" s="82"/>
      <c r="AN614" s="82"/>
      <c r="AO614" s="82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2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4"/>
      <c r="V615" s="80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2"/>
      <c r="AH615" s="330"/>
      <c r="AI615" s="330"/>
      <c r="AJ615" s="331"/>
      <c r="AK615" s="80"/>
      <c r="AL615" s="331"/>
      <c r="AM615" s="82"/>
      <c r="AN615" s="82"/>
      <c r="AO615" s="82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2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4"/>
      <c r="V616" s="80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2"/>
      <c r="AH616" s="330"/>
      <c r="AI616" s="330"/>
      <c r="AJ616" s="331"/>
      <c r="AK616" s="80"/>
      <c r="AL616" s="331"/>
      <c r="AM616" s="82"/>
      <c r="AN616" s="82"/>
      <c r="AO616" s="82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  <c r="BE616" s="80"/>
      <c r="BF616" s="80"/>
      <c r="BG616" s="80"/>
      <c r="BH616" s="80"/>
      <c r="BI616" s="80"/>
      <c r="BJ616" s="80"/>
      <c r="BK616" s="80"/>
      <c r="BL616" s="80"/>
      <c r="BM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2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4"/>
      <c r="V617" s="80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2"/>
      <c r="AH617" s="330"/>
      <c r="AI617" s="330"/>
      <c r="AJ617" s="331"/>
      <c r="AK617" s="80"/>
      <c r="AL617" s="331"/>
      <c r="AM617" s="82"/>
      <c r="AN617" s="82"/>
      <c r="AO617" s="82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2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4"/>
      <c r="V618" s="80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2"/>
      <c r="AH618" s="330"/>
      <c r="AI618" s="330"/>
      <c r="AJ618" s="331"/>
      <c r="AK618" s="80"/>
      <c r="AL618" s="331"/>
      <c r="AM618" s="82"/>
      <c r="AN618" s="82"/>
      <c r="AO618" s="82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  <c r="BE618" s="80"/>
      <c r="BF618" s="80"/>
      <c r="BG618" s="80"/>
      <c r="BH618" s="80"/>
      <c r="BI618" s="80"/>
      <c r="BJ618" s="80"/>
      <c r="BK618" s="80"/>
      <c r="BL618" s="80"/>
      <c r="BM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2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4"/>
      <c r="V619" s="80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2"/>
      <c r="AH619" s="330"/>
      <c r="AI619" s="330"/>
      <c r="AJ619" s="331"/>
      <c r="AK619" s="80"/>
      <c r="AL619" s="331"/>
      <c r="AM619" s="82"/>
      <c r="AN619" s="82"/>
      <c r="AO619" s="82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2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4"/>
      <c r="V620" s="80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2"/>
      <c r="AH620" s="330"/>
      <c r="AI620" s="330"/>
      <c r="AJ620" s="331"/>
      <c r="AK620" s="80"/>
      <c r="AL620" s="331"/>
      <c r="AM620" s="82"/>
      <c r="AN620" s="82"/>
      <c r="AO620" s="82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  <c r="BE620" s="80"/>
      <c r="BF620" s="80"/>
      <c r="BG620" s="80"/>
      <c r="BH620" s="80"/>
      <c r="BI620" s="80"/>
      <c r="BJ620" s="80"/>
      <c r="BK620" s="80"/>
      <c r="BL620" s="80"/>
      <c r="BM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2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4"/>
      <c r="V621" s="80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2"/>
      <c r="AH621" s="330"/>
      <c r="AI621" s="330"/>
      <c r="AJ621" s="331"/>
      <c r="AK621" s="80"/>
      <c r="AL621" s="331"/>
      <c r="AM621" s="82"/>
      <c r="AN621" s="82"/>
      <c r="AO621" s="82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2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4"/>
      <c r="V622" s="80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2"/>
      <c r="AH622" s="330"/>
      <c r="AI622" s="330"/>
      <c r="AJ622" s="331"/>
      <c r="AK622" s="80"/>
      <c r="AL622" s="331"/>
      <c r="AM622" s="82"/>
      <c r="AN622" s="82"/>
      <c r="AO622" s="82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80"/>
      <c r="BK622" s="80"/>
      <c r="BL622" s="80"/>
      <c r="BM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2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4"/>
      <c r="V623" s="80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2"/>
      <c r="AH623" s="330"/>
      <c r="AI623" s="330"/>
      <c r="AJ623" s="331"/>
      <c r="AK623" s="80"/>
      <c r="AL623" s="331"/>
      <c r="AM623" s="82"/>
      <c r="AN623" s="82"/>
      <c r="AO623" s="82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2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4"/>
      <c r="V624" s="80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2"/>
      <c r="AH624" s="330"/>
      <c r="AI624" s="330"/>
      <c r="AJ624" s="331"/>
      <c r="AK624" s="80"/>
      <c r="AL624" s="331"/>
      <c r="AM624" s="82"/>
      <c r="AN624" s="82"/>
      <c r="AO624" s="82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  <c r="BE624" s="80"/>
      <c r="BF624" s="80"/>
      <c r="BG624" s="80"/>
      <c r="BH624" s="80"/>
      <c r="BI624" s="80"/>
      <c r="BJ624" s="80"/>
      <c r="BK624" s="80"/>
      <c r="BL624" s="80"/>
      <c r="BM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2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4"/>
      <c r="V625" s="80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2"/>
      <c r="AH625" s="330"/>
      <c r="AI625" s="330"/>
      <c r="AJ625" s="331"/>
      <c r="AK625" s="80"/>
      <c r="AL625" s="331"/>
      <c r="AM625" s="82"/>
      <c r="AN625" s="82"/>
      <c r="AO625" s="82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2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4"/>
      <c r="V626" s="80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2"/>
      <c r="AH626" s="330"/>
      <c r="AI626" s="330"/>
      <c r="AJ626" s="331"/>
      <c r="AK626" s="80"/>
      <c r="AL626" s="331"/>
      <c r="AM626" s="82"/>
      <c r="AN626" s="82"/>
      <c r="AO626" s="82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  <c r="BE626" s="80"/>
      <c r="BF626" s="80"/>
      <c r="BG626" s="80"/>
      <c r="BH626" s="80"/>
      <c r="BI626" s="80"/>
      <c r="BJ626" s="80"/>
      <c r="BK626" s="80"/>
      <c r="BL626" s="80"/>
      <c r="BM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2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4"/>
      <c r="V627" s="80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2"/>
      <c r="AH627" s="330"/>
      <c r="AI627" s="330"/>
      <c r="AJ627" s="331"/>
      <c r="AK627" s="80"/>
      <c r="AL627" s="331"/>
      <c r="AM627" s="82"/>
      <c r="AN627" s="82"/>
      <c r="AO627" s="82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2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4"/>
      <c r="V628" s="80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2"/>
      <c r="AH628" s="330"/>
      <c r="AI628" s="330"/>
      <c r="AJ628" s="331"/>
      <c r="AK628" s="80"/>
      <c r="AL628" s="331"/>
      <c r="AM628" s="82"/>
      <c r="AN628" s="82"/>
      <c r="AO628" s="82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  <c r="BE628" s="80"/>
      <c r="BF628" s="80"/>
      <c r="BG628" s="80"/>
      <c r="BH628" s="80"/>
      <c r="BI628" s="80"/>
      <c r="BJ628" s="80"/>
      <c r="BK628" s="80"/>
      <c r="BL628" s="80"/>
      <c r="BM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2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4"/>
      <c r="V629" s="80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2"/>
      <c r="AH629" s="330"/>
      <c r="AI629" s="330"/>
      <c r="AJ629" s="331"/>
      <c r="AK629" s="80"/>
      <c r="AL629" s="331"/>
      <c r="AM629" s="82"/>
      <c r="AN629" s="82"/>
      <c r="AO629" s="82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2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4"/>
      <c r="V630" s="80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2"/>
      <c r="AH630" s="330"/>
      <c r="AI630" s="330"/>
      <c r="AJ630" s="331"/>
      <c r="AK630" s="80"/>
      <c r="AL630" s="331"/>
      <c r="AM630" s="82"/>
      <c r="AN630" s="82"/>
      <c r="AO630" s="82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  <c r="BB630" s="80"/>
      <c r="BC630" s="80"/>
      <c r="BD630" s="80"/>
      <c r="BE630" s="80"/>
      <c r="BF630" s="80"/>
      <c r="BG630" s="80"/>
      <c r="BH630" s="80"/>
      <c r="BI630" s="80"/>
      <c r="BJ630" s="80"/>
      <c r="BK630" s="80"/>
      <c r="BL630" s="80"/>
      <c r="BM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2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4"/>
      <c r="V631" s="80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2"/>
      <c r="AH631" s="330"/>
      <c r="AI631" s="330"/>
      <c r="AJ631" s="331"/>
      <c r="AK631" s="80"/>
      <c r="AL631" s="331"/>
      <c r="AM631" s="82"/>
      <c r="AN631" s="82"/>
      <c r="AO631" s="82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2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4"/>
      <c r="V632" s="80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2"/>
      <c r="AH632" s="330"/>
      <c r="AI632" s="330"/>
      <c r="AJ632" s="331"/>
      <c r="AK632" s="80"/>
      <c r="AL632" s="331"/>
      <c r="AM632" s="82"/>
      <c r="AN632" s="82"/>
      <c r="AO632" s="82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  <c r="BA632" s="80"/>
      <c r="BB632" s="80"/>
      <c r="BC632" s="80"/>
      <c r="BD632" s="80"/>
      <c r="BE632" s="80"/>
      <c r="BF632" s="80"/>
      <c r="BG632" s="80"/>
      <c r="BH632" s="80"/>
      <c r="BI632" s="80"/>
      <c r="BJ632" s="80"/>
      <c r="BK632" s="80"/>
      <c r="BL632" s="80"/>
      <c r="BM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2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4"/>
      <c r="V633" s="80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2"/>
      <c r="AH633" s="330"/>
      <c r="AI633" s="330"/>
      <c r="AJ633" s="331"/>
      <c r="AK633" s="80"/>
      <c r="AL633" s="331"/>
      <c r="AM633" s="82"/>
      <c r="AN633" s="82"/>
      <c r="AO633" s="82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2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4"/>
      <c r="V634" s="80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2"/>
      <c r="AH634" s="330"/>
      <c r="AI634" s="330"/>
      <c r="AJ634" s="331"/>
      <c r="AK634" s="80"/>
      <c r="AL634" s="331"/>
      <c r="AM634" s="82"/>
      <c r="AN634" s="82"/>
      <c r="AO634" s="82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  <c r="BE634" s="80"/>
      <c r="BF634" s="80"/>
      <c r="BG634" s="80"/>
      <c r="BH634" s="80"/>
      <c r="BI634" s="80"/>
      <c r="BJ634" s="80"/>
      <c r="BK634" s="80"/>
      <c r="BL634" s="80"/>
      <c r="BM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2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4"/>
      <c r="V635" s="80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2"/>
      <c r="AH635" s="330"/>
      <c r="AI635" s="330"/>
      <c r="AJ635" s="331"/>
      <c r="AK635" s="80"/>
      <c r="AL635" s="331"/>
      <c r="AM635" s="82"/>
      <c r="AN635" s="82"/>
      <c r="AO635" s="82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2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4"/>
      <c r="V636" s="80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2"/>
      <c r="AH636" s="330"/>
      <c r="AI636" s="330"/>
      <c r="AJ636" s="331"/>
      <c r="AK636" s="80"/>
      <c r="AL636" s="331"/>
      <c r="AM636" s="82"/>
      <c r="AN636" s="82"/>
      <c r="AO636" s="82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2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4"/>
      <c r="V637" s="80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2"/>
      <c r="AH637" s="330"/>
      <c r="AI637" s="330"/>
      <c r="AJ637" s="331"/>
      <c r="AK637" s="80"/>
      <c r="AL637" s="331"/>
      <c r="AM637" s="82"/>
      <c r="AN637" s="82"/>
      <c r="AO637" s="82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2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4"/>
      <c r="V638" s="80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2"/>
      <c r="AH638" s="330"/>
      <c r="AI638" s="330"/>
      <c r="AJ638" s="331"/>
      <c r="AK638" s="80"/>
      <c r="AL638" s="331"/>
      <c r="AM638" s="82"/>
      <c r="AN638" s="82"/>
      <c r="AO638" s="82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  <c r="BE638" s="80"/>
      <c r="BF638" s="80"/>
      <c r="BG638" s="80"/>
      <c r="BH638" s="80"/>
      <c r="BI638" s="80"/>
      <c r="BJ638" s="80"/>
      <c r="BK638" s="80"/>
      <c r="BL638" s="80"/>
      <c r="BM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2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4"/>
      <c r="V639" s="80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2"/>
      <c r="AH639" s="330"/>
      <c r="AI639" s="330"/>
      <c r="AJ639" s="331"/>
      <c r="AK639" s="80"/>
      <c r="AL639" s="331"/>
      <c r="AM639" s="82"/>
      <c r="AN639" s="82"/>
      <c r="AO639" s="82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2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4"/>
      <c r="V640" s="80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2"/>
      <c r="AH640" s="330"/>
      <c r="AI640" s="330"/>
      <c r="AJ640" s="331"/>
      <c r="AK640" s="80"/>
      <c r="AL640" s="331"/>
      <c r="AM640" s="82"/>
      <c r="AN640" s="82"/>
      <c r="AO640" s="82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  <c r="BE640" s="80"/>
      <c r="BF640" s="80"/>
      <c r="BG640" s="80"/>
      <c r="BH640" s="80"/>
      <c r="BI640" s="80"/>
      <c r="BJ640" s="80"/>
      <c r="BK640" s="80"/>
      <c r="BL640" s="80"/>
      <c r="BM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2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4"/>
      <c r="V641" s="80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2"/>
      <c r="AH641" s="330"/>
      <c r="AI641" s="330"/>
      <c r="AJ641" s="331"/>
      <c r="AK641" s="80"/>
      <c r="AL641" s="331"/>
      <c r="AM641" s="82"/>
      <c r="AN641" s="82"/>
      <c r="AO641" s="82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2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4"/>
      <c r="V642" s="80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2"/>
      <c r="AH642" s="330"/>
      <c r="AI642" s="330"/>
      <c r="AJ642" s="331"/>
      <c r="AK642" s="80"/>
      <c r="AL642" s="331"/>
      <c r="AM642" s="82"/>
      <c r="AN642" s="82"/>
      <c r="AO642" s="82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  <c r="BE642" s="80"/>
      <c r="BF642" s="80"/>
      <c r="BG642" s="80"/>
      <c r="BH642" s="80"/>
      <c r="BI642" s="80"/>
      <c r="BJ642" s="80"/>
      <c r="BK642" s="80"/>
      <c r="BL642" s="80"/>
      <c r="BM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2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4"/>
      <c r="V643" s="80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2"/>
      <c r="AH643" s="330"/>
      <c r="AI643" s="330"/>
      <c r="AJ643" s="331"/>
      <c r="AK643" s="80"/>
      <c r="AL643" s="331"/>
      <c r="AM643" s="82"/>
      <c r="AN643" s="82"/>
      <c r="AO643" s="82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2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4"/>
      <c r="V644" s="80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2"/>
      <c r="AH644" s="330"/>
      <c r="AI644" s="330"/>
      <c r="AJ644" s="331"/>
      <c r="AK644" s="80"/>
      <c r="AL644" s="331"/>
      <c r="AM644" s="82"/>
      <c r="AN644" s="82"/>
      <c r="AO644" s="82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  <c r="BB644" s="80"/>
      <c r="BC644" s="80"/>
      <c r="BD644" s="80"/>
      <c r="BE644" s="80"/>
      <c r="BF644" s="80"/>
      <c r="BG644" s="80"/>
      <c r="BH644" s="80"/>
      <c r="BI644" s="80"/>
      <c r="BJ644" s="80"/>
      <c r="BK644" s="80"/>
      <c r="BL644" s="80"/>
      <c r="BM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2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4"/>
      <c r="V645" s="80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2"/>
      <c r="AH645" s="330"/>
      <c r="AI645" s="330"/>
      <c r="AJ645" s="331"/>
      <c r="AK645" s="80"/>
      <c r="AL645" s="331"/>
      <c r="AM645" s="82"/>
      <c r="AN645" s="82"/>
      <c r="AO645" s="82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2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4"/>
      <c r="V646" s="80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2"/>
      <c r="AH646" s="330"/>
      <c r="AI646" s="330"/>
      <c r="AJ646" s="331"/>
      <c r="AK646" s="80"/>
      <c r="AL646" s="331"/>
      <c r="AM646" s="82"/>
      <c r="AN646" s="82"/>
      <c r="AO646" s="82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  <c r="BE646" s="80"/>
      <c r="BF646" s="80"/>
      <c r="BG646" s="80"/>
      <c r="BH646" s="80"/>
      <c r="BI646" s="80"/>
      <c r="BJ646" s="80"/>
      <c r="BK646" s="80"/>
      <c r="BL646" s="80"/>
      <c r="BM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2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4"/>
      <c r="V647" s="80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2"/>
      <c r="AH647" s="330"/>
      <c r="AI647" s="330"/>
      <c r="AJ647" s="331"/>
      <c r="AK647" s="80"/>
      <c r="AL647" s="331"/>
      <c r="AM647" s="82"/>
      <c r="AN647" s="82"/>
      <c r="AO647" s="82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  <c r="BB647" s="80"/>
      <c r="BC647" s="80"/>
      <c r="BD647" s="80"/>
      <c r="BE647" s="80"/>
      <c r="BF647" s="80"/>
      <c r="BG647" s="80"/>
      <c r="BH647" s="80"/>
      <c r="BI647" s="80"/>
      <c r="BJ647" s="80"/>
      <c r="BK647" s="80"/>
      <c r="BL647" s="80"/>
      <c r="BM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2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4"/>
      <c r="V648" s="80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2"/>
      <c r="AH648" s="330"/>
      <c r="AI648" s="330"/>
      <c r="AJ648" s="331"/>
      <c r="AK648" s="80"/>
      <c r="AL648" s="331"/>
      <c r="AM648" s="82"/>
      <c r="AN648" s="82"/>
      <c r="AO648" s="82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  <c r="BE648" s="80"/>
      <c r="BF648" s="80"/>
      <c r="BG648" s="80"/>
      <c r="BH648" s="80"/>
      <c r="BI648" s="80"/>
      <c r="BJ648" s="80"/>
      <c r="BK648" s="80"/>
      <c r="BL648" s="80"/>
      <c r="BM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2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4"/>
      <c r="V649" s="80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2"/>
      <c r="AH649" s="330"/>
      <c r="AI649" s="330"/>
      <c r="AJ649" s="331"/>
      <c r="AK649" s="80"/>
      <c r="AL649" s="331"/>
      <c r="AM649" s="82"/>
      <c r="AN649" s="82"/>
      <c r="AO649" s="82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2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4"/>
      <c r="V650" s="80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2"/>
      <c r="AH650" s="330"/>
      <c r="AI650" s="330"/>
      <c r="AJ650" s="331"/>
      <c r="AK650" s="80"/>
      <c r="AL650" s="331"/>
      <c r="AM650" s="82"/>
      <c r="AN650" s="82"/>
      <c r="AO650" s="82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  <c r="BE650" s="80"/>
      <c r="BF650" s="80"/>
      <c r="BG650" s="80"/>
      <c r="BH650" s="80"/>
      <c r="BI650" s="80"/>
      <c r="BJ650" s="80"/>
      <c r="BK650" s="80"/>
      <c r="BL650" s="80"/>
      <c r="BM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2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4"/>
      <c r="V651" s="80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2"/>
      <c r="AH651" s="330"/>
      <c r="AI651" s="330"/>
      <c r="AJ651" s="331"/>
      <c r="AK651" s="80"/>
      <c r="AL651" s="331"/>
      <c r="AM651" s="82"/>
      <c r="AN651" s="82"/>
      <c r="AO651" s="82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2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4"/>
      <c r="V652" s="80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2"/>
      <c r="AH652" s="330"/>
      <c r="AI652" s="330"/>
      <c r="AJ652" s="331"/>
      <c r="AK652" s="80"/>
      <c r="AL652" s="331"/>
      <c r="AM652" s="82"/>
      <c r="AN652" s="82"/>
      <c r="AO652" s="82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2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4"/>
      <c r="V653" s="80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2"/>
      <c r="AH653" s="330"/>
      <c r="AI653" s="330"/>
      <c r="AJ653" s="331"/>
      <c r="AK653" s="80"/>
      <c r="AL653" s="331"/>
      <c r="AM653" s="82"/>
      <c r="AN653" s="82"/>
      <c r="AO653" s="82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2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4"/>
      <c r="V654" s="80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2"/>
      <c r="AH654" s="330"/>
      <c r="AI654" s="330"/>
      <c r="AJ654" s="331"/>
      <c r="AK654" s="80"/>
      <c r="AL654" s="331"/>
      <c r="AM654" s="82"/>
      <c r="AN654" s="82"/>
      <c r="AO654" s="82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  <c r="BE654" s="80"/>
      <c r="BF654" s="80"/>
      <c r="BG654" s="80"/>
      <c r="BH654" s="80"/>
      <c r="BI654" s="80"/>
      <c r="BJ654" s="80"/>
      <c r="BK654" s="80"/>
      <c r="BL654" s="80"/>
      <c r="BM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2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4"/>
      <c r="V655" s="80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2"/>
      <c r="AH655" s="330"/>
      <c r="AI655" s="330"/>
      <c r="AJ655" s="331"/>
      <c r="AK655" s="80"/>
      <c r="AL655" s="331"/>
      <c r="AM655" s="82"/>
      <c r="AN655" s="82"/>
      <c r="AO655" s="82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  <c r="BB655" s="80"/>
      <c r="BC655" s="80"/>
      <c r="BD655" s="80"/>
      <c r="BE655" s="80"/>
      <c r="BF655" s="80"/>
      <c r="BG655" s="80"/>
      <c r="BH655" s="80"/>
      <c r="BI655" s="80"/>
      <c r="BJ655" s="80"/>
      <c r="BK655" s="80"/>
      <c r="BL655" s="80"/>
      <c r="BM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2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4"/>
      <c r="V656" s="80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2"/>
      <c r="AH656" s="330"/>
      <c r="AI656" s="330"/>
      <c r="AJ656" s="331"/>
      <c r="AK656" s="80"/>
      <c r="AL656" s="331"/>
      <c r="AM656" s="82"/>
      <c r="AN656" s="82"/>
      <c r="AO656" s="82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  <c r="BE656" s="80"/>
      <c r="BF656" s="80"/>
      <c r="BG656" s="80"/>
      <c r="BH656" s="80"/>
      <c r="BI656" s="80"/>
      <c r="BJ656" s="80"/>
      <c r="BK656" s="80"/>
      <c r="BL656" s="80"/>
      <c r="BM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2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4"/>
      <c r="V657" s="80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2"/>
      <c r="AH657" s="330"/>
      <c r="AI657" s="330"/>
      <c r="AJ657" s="331"/>
      <c r="AK657" s="80"/>
      <c r="AL657" s="331"/>
      <c r="AM657" s="82"/>
      <c r="AN657" s="82"/>
      <c r="AO657" s="82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2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4"/>
      <c r="V658" s="80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2"/>
      <c r="AH658" s="330"/>
      <c r="AI658" s="330"/>
      <c r="AJ658" s="331"/>
      <c r="AK658" s="80"/>
      <c r="AL658" s="331"/>
      <c r="AM658" s="82"/>
      <c r="AN658" s="82"/>
      <c r="AO658" s="82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  <c r="BE658" s="80"/>
      <c r="BF658" s="80"/>
      <c r="BG658" s="80"/>
      <c r="BH658" s="80"/>
      <c r="BI658" s="80"/>
      <c r="BJ658" s="80"/>
      <c r="BK658" s="80"/>
      <c r="BL658" s="80"/>
      <c r="BM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2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4"/>
      <c r="V659" s="80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2"/>
      <c r="AH659" s="330"/>
      <c r="AI659" s="330"/>
      <c r="AJ659" s="331"/>
      <c r="AK659" s="80"/>
      <c r="AL659" s="331"/>
      <c r="AM659" s="82"/>
      <c r="AN659" s="82"/>
      <c r="AO659" s="82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2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4"/>
      <c r="V660" s="80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2"/>
      <c r="AH660" s="330"/>
      <c r="AI660" s="330"/>
      <c r="AJ660" s="331"/>
      <c r="AK660" s="80"/>
      <c r="AL660" s="331"/>
      <c r="AM660" s="82"/>
      <c r="AN660" s="82"/>
      <c r="AO660" s="82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  <c r="BE660" s="80"/>
      <c r="BF660" s="80"/>
      <c r="BG660" s="80"/>
      <c r="BH660" s="80"/>
      <c r="BI660" s="80"/>
      <c r="BJ660" s="80"/>
      <c r="BK660" s="80"/>
      <c r="BL660" s="80"/>
      <c r="BM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2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4"/>
      <c r="V661" s="80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2"/>
      <c r="AH661" s="330"/>
      <c r="AI661" s="330"/>
      <c r="AJ661" s="331"/>
      <c r="AK661" s="80"/>
      <c r="AL661" s="331"/>
      <c r="AM661" s="82"/>
      <c r="AN661" s="82"/>
      <c r="AO661" s="82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  <c r="BB661" s="80"/>
      <c r="BC661" s="80"/>
      <c r="BD661" s="80"/>
      <c r="BE661" s="80"/>
      <c r="BF661" s="80"/>
      <c r="BG661" s="80"/>
      <c r="BH661" s="80"/>
      <c r="BI661" s="80"/>
      <c r="BJ661" s="80"/>
      <c r="BK661" s="80"/>
      <c r="BL661" s="80"/>
      <c r="BM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2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4"/>
      <c r="V662" s="80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2"/>
      <c r="AH662" s="330"/>
      <c r="AI662" s="330"/>
      <c r="AJ662" s="331"/>
      <c r="AK662" s="80"/>
      <c r="AL662" s="331"/>
      <c r="AM662" s="82"/>
      <c r="AN662" s="82"/>
      <c r="AO662" s="82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  <c r="BB662" s="80"/>
      <c r="BC662" s="80"/>
      <c r="BD662" s="80"/>
      <c r="BE662" s="80"/>
      <c r="BF662" s="80"/>
      <c r="BG662" s="80"/>
      <c r="BH662" s="80"/>
      <c r="BI662" s="80"/>
      <c r="BJ662" s="80"/>
      <c r="BK662" s="80"/>
      <c r="BL662" s="80"/>
      <c r="BM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2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4"/>
      <c r="V663" s="80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2"/>
      <c r="AH663" s="330"/>
      <c r="AI663" s="330"/>
      <c r="AJ663" s="331"/>
      <c r="AK663" s="80"/>
      <c r="AL663" s="331"/>
      <c r="AM663" s="82"/>
      <c r="AN663" s="82"/>
      <c r="AO663" s="82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2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4"/>
      <c r="V664" s="80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2"/>
      <c r="AH664" s="330"/>
      <c r="AI664" s="330"/>
      <c r="AJ664" s="331"/>
      <c r="AK664" s="80"/>
      <c r="AL664" s="331"/>
      <c r="AM664" s="82"/>
      <c r="AN664" s="82"/>
      <c r="AO664" s="82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80"/>
      <c r="BK664" s="80"/>
      <c r="BL664" s="80"/>
      <c r="BM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2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4"/>
      <c r="V665" s="80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2"/>
      <c r="AH665" s="330"/>
      <c r="AI665" s="330"/>
      <c r="AJ665" s="331"/>
      <c r="AK665" s="80"/>
      <c r="AL665" s="331"/>
      <c r="AM665" s="82"/>
      <c r="AN665" s="82"/>
      <c r="AO665" s="82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2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4"/>
      <c r="V666" s="80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2"/>
      <c r="AH666" s="330"/>
      <c r="AI666" s="330"/>
      <c r="AJ666" s="331"/>
      <c r="AK666" s="80"/>
      <c r="AL666" s="331"/>
      <c r="AM666" s="82"/>
      <c r="AN666" s="82"/>
      <c r="AO666" s="82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80"/>
      <c r="BK666" s="80"/>
      <c r="BL666" s="80"/>
      <c r="BM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2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4"/>
      <c r="V667" s="80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2"/>
      <c r="AH667" s="330"/>
      <c r="AI667" s="330"/>
      <c r="AJ667" s="331"/>
      <c r="AK667" s="80"/>
      <c r="AL667" s="331"/>
      <c r="AM667" s="82"/>
      <c r="AN667" s="82"/>
      <c r="AO667" s="82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2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4"/>
      <c r="V668" s="80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2"/>
      <c r="AH668" s="330"/>
      <c r="AI668" s="330"/>
      <c r="AJ668" s="331"/>
      <c r="AK668" s="80"/>
      <c r="AL668" s="331"/>
      <c r="AM668" s="82"/>
      <c r="AN668" s="82"/>
      <c r="AO668" s="82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80"/>
      <c r="BI668" s="80"/>
      <c r="BJ668" s="80"/>
      <c r="BK668" s="80"/>
      <c r="BL668" s="80"/>
      <c r="BM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2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4"/>
      <c r="V669" s="80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2"/>
      <c r="AH669" s="330"/>
      <c r="AI669" s="330"/>
      <c r="AJ669" s="331"/>
      <c r="AK669" s="80"/>
      <c r="AL669" s="331"/>
      <c r="AM669" s="82"/>
      <c r="AN669" s="82"/>
      <c r="AO669" s="82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2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4"/>
      <c r="V670" s="80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2"/>
      <c r="AH670" s="330"/>
      <c r="AI670" s="330"/>
      <c r="AJ670" s="331"/>
      <c r="AK670" s="80"/>
      <c r="AL670" s="331"/>
      <c r="AM670" s="82"/>
      <c r="AN670" s="82"/>
      <c r="AO670" s="82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2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4"/>
      <c r="V671" s="80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2"/>
      <c r="AH671" s="330"/>
      <c r="AI671" s="330"/>
      <c r="AJ671" s="331"/>
      <c r="AK671" s="80"/>
      <c r="AL671" s="331"/>
      <c r="AM671" s="82"/>
      <c r="AN671" s="82"/>
      <c r="AO671" s="82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80"/>
      <c r="BI671" s="80"/>
      <c r="BJ671" s="80"/>
      <c r="BK671" s="80"/>
      <c r="BL671" s="80"/>
      <c r="BM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2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4"/>
      <c r="V672" s="80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2"/>
      <c r="AH672" s="330"/>
      <c r="AI672" s="330"/>
      <c r="AJ672" s="331"/>
      <c r="AK672" s="80"/>
      <c r="AL672" s="331"/>
      <c r="AM672" s="82"/>
      <c r="AN672" s="82"/>
      <c r="AO672" s="82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80"/>
      <c r="BI672" s="80"/>
      <c r="BJ672" s="80"/>
      <c r="BK672" s="80"/>
      <c r="BL672" s="80"/>
      <c r="BM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2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4"/>
      <c r="V673" s="80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2"/>
      <c r="AH673" s="330"/>
      <c r="AI673" s="330"/>
      <c r="AJ673" s="331"/>
      <c r="AK673" s="80"/>
      <c r="AL673" s="331"/>
      <c r="AM673" s="82"/>
      <c r="AN673" s="82"/>
      <c r="AO673" s="82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2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4"/>
      <c r="V674" s="80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2"/>
      <c r="AH674" s="330"/>
      <c r="AI674" s="330"/>
      <c r="AJ674" s="331"/>
      <c r="AK674" s="80"/>
      <c r="AL674" s="331"/>
      <c r="AM674" s="82"/>
      <c r="AN674" s="82"/>
      <c r="AO674" s="82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80"/>
      <c r="BI674" s="80"/>
      <c r="BJ674" s="80"/>
      <c r="BK674" s="80"/>
      <c r="BL674" s="80"/>
      <c r="BM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2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4"/>
      <c r="V675" s="80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2"/>
      <c r="AH675" s="330"/>
      <c r="AI675" s="330"/>
      <c r="AJ675" s="331"/>
      <c r="AK675" s="80"/>
      <c r="AL675" s="331"/>
      <c r="AM675" s="82"/>
      <c r="AN675" s="82"/>
      <c r="AO675" s="82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80"/>
      <c r="BI675" s="80"/>
      <c r="BJ675" s="80"/>
      <c r="BK675" s="80"/>
      <c r="BL675" s="80"/>
      <c r="BM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2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4"/>
      <c r="V676" s="80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2"/>
      <c r="AH676" s="330"/>
      <c r="AI676" s="330"/>
      <c r="AJ676" s="331"/>
      <c r="AK676" s="80"/>
      <c r="AL676" s="331"/>
      <c r="AM676" s="82"/>
      <c r="AN676" s="82"/>
      <c r="AO676" s="82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80"/>
      <c r="BI676" s="80"/>
      <c r="BJ676" s="80"/>
      <c r="BK676" s="80"/>
      <c r="BL676" s="80"/>
      <c r="BM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2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4"/>
      <c r="V677" s="80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2"/>
      <c r="AH677" s="330"/>
      <c r="AI677" s="330"/>
      <c r="AJ677" s="331"/>
      <c r="AK677" s="80"/>
      <c r="AL677" s="331"/>
      <c r="AM677" s="82"/>
      <c r="AN677" s="82"/>
      <c r="AO677" s="82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2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4"/>
      <c r="V678" s="80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2"/>
      <c r="AH678" s="330"/>
      <c r="AI678" s="330"/>
      <c r="AJ678" s="331"/>
      <c r="AK678" s="80"/>
      <c r="AL678" s="331"/>
      <c r="AM678" s="82"/>
      <c r="AN678" s="82"/>
      <c r="AO678" s="82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2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4"/>
      <c r="V679" s="80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2"/>
      <c r="AH679" s="330"/>
      <c r="AI679" s="330"/>
      <c r="AJ679" s="331"/>
      <c r="AK679" s="80"/>
      <c r="AL679" s="331"/>
      <c r="AM679" s="82"/>
      <c r="AN679" s="82"/>
      <c r="AO679" s="82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2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4"/>
      <c r="V680" s="80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2"/>
      <c r="AH680" s="330"/>
      <c r="AI680" s="330"/>
      <c r="AJ680" s="331"/>
      <c r="AK680" s="80"/>
      <c r="AL680" s="331"/>
      <c r="AM680" s="82"/>
      <c r="AN680" s="82"/>
      <c r="AO680" s="82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2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4"/>
      <c r="V681" s="80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2"/>
      <c r="AH681" s="330"/>
      <c r="AI681" s="330"/>
      <c r="AJ681" s="331"/>
      <c r="AK681" s="80"/>
      <c r="AL681" s="331"/>
      <c r="AM681" s="82"/>
      <c r="AN681" s="82"/>
      <c r="AO681" s="82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2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4"/>
      <c r="V682" s="80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2"/>
      <c r="AH682" s="330"/>
      <c r="AI682" s="330"/>
      <c r="AJ682" s="331"/>
      <c r="AK682" s="80"/>
      <c r="AL682" s="331"/>
      <c r="AM682" s="82"/>
      <c r="AN682" s="82"/>
      <c r="AO682" s="82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2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4"/>
      <c r="V683" s="80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2"/>
      <c r="AH683" s="330"/>
      <c r="AI683" s="330"/>
      <c r="AJ683" s="331"/>
      <c r="AK683" s="80"/>
      <c r="AL683" s="331"/>
      <c r="AM683" s="82"/>
      <c r="AN683" s="82"/>
      <c r="AO683" s="82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2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4"/>
      <c r="V684" s="80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2"/>
      <c r="AH684" s="330"/>
      <c r="AI684" s="330"/>
      <c r="AJ684" s="331"/>
      <c r="AK684" s="80"/>
      <c r="AL684" s="331"/>
      <c r="AM684" s="82"/>
      <c r="AN684" s="82"/>
      <c r="AO684" s="82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2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4"/>
      <c r="V685" s="80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2"/>
      <c r="AH685" s="330"/>
      <c r="AI685" s="330"/>
      <c r="AJ685" s="331"/>
      <c r="AK685" s="80"/>
      <c r="AL685" s="331"/>
      <c r="AM685" s="82"/>
      <c r="AN685" s="82"/>
      <c r="AO685" s="82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2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4"/>
      <c r="V686" s="80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2"/>
      <c r="AH686" s="330"/>
      <c r="AI686" s="330"/>
      <c r="AJ686" s="331"/>
      <c r="AK686" s="80"/>
      <c r="AL686" s="331"/>
      <c r="AM686" s="82"/>
      <c r="AN686" s="82"/>
      <c r="AO686" s="82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2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4"/>
      <c r="V687" s="80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2"/>
      <c r="AH687" s="330"/>
      <c r="AI687" s="330"/>
      <c r="AJ687" s="331"/>
      <c r="AK687" s="80"/>
      <c r="AL687" s="331"/>
      <c r="AM687" s="82"/>
      <c r="AN687" s="82"/>
      <c r="AO687" s="82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2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4"/>
      <c r="V688" s="80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2"/>
      <c r="AH688" s="330"/>
      <c r="AI688" s="330"/>
      <c r="AJ688" s="331"/>
      <c r="AK688" s="80"/>
      <c r="AL688" s="331"/>
      <c r="AM688" s="82"/>
      <c r="AN688" s="82"/>
      <c r="AO688" s="82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2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4"/>
      <c r="V689" s="80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2"/>
      <c r="AH689" s="330"/>
      <c r="AI689" s="330"/>
      <c r="AJ689" s="331"/>
      <c r="AK689" s="80"/>
      <c r="AL689" s="331"/>
      <c r="AM689" s="82"/>
      <c r="AN689" s="82"/>
      <c r="AO689" s="82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2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4"/>
      <c r="V690" s="80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2"/>
      <c r="AH690" s="330"/>
      <c r="AI690" s="330"/>
      <c r="AJ690" s="331"/>
      <c r="AK690" s="80"/>
      <c r="AL690" s="331"/>
      <c r="AM690" s="82"/>
      <c r="AN690" s="82"/>
      <c r="AO690" s="82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80"/>
      <c r="BI690" s="80"/>
      <c r="BJ690" s="80"/>
      <c r="BK690" s="80"/>
      <c r="BL690" s="80"/>
      <c r="BM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2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4"/>
      <c r="V691" s="80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2"/>
      <c r="AH691" s="330"/>
      <c r="AI691" s="330"/>
      <c r="AJ691" s="331"/>
      <c r="AK691" s="80"/>
      <c r="AL691" s="331"/>
      <c r="AM691" s="82"/>
      <c r="AN691" s="82"/>
      <c r="AO691" s="82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2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4"/>
      <c r="V692" s="80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2"/>
      <c r="AH692" s="330"/>
      <c r="AI692" s="330"/>
      <c r="AJ692" s="331"/>
      <c r="AK692" s="80"/>
      <c r="AL692" s="331"/>
      <c r="AM692" s="82"/>
      <c r="AN692" s="82"/>
      <c r="AO692" s="82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80"/>
      <c r="BK692" s="80"/>
      <c r="BL692" s="80"/>
      <c r="BM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2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4"/>
      <c r="V693" s="80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2"/>
      <c r="AH693" s="330"/>
      <c r="AI693" s="330"/>
      <c r="AJ693" s="331"/>
      <c r="AK693" s="80"/>
      <c r="AL693" s="331"/>
      <c r="AM693" s="82"/>
      <c r="AN693" s="82"/>
      <c r="AO693" s="82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2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4"/>
      <c r="V694" s="80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2"/>
      <c r="AH694" s="330"/>
      <c r="AI694" s="330"/>
      <c r="AJ694" s="331"/>
      <c r="AK694" s="80"/>
      <c r="AL694" s="331"/>
      <c r="AM694" s="82"/>
      <c r="AN694" s="82"/>
      <c r="AO694" s="82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80"/>
      <c r="BI694" s="80"/>
      <c r="BJ694" s="80"/>
      <c r="BK694" s="80"/>
      <c r="BL694" s="80"/>
      <c r="BM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2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4"/>
      <c r="V695" s="80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2"/>
      <c r="AH695" s="330"/>
      <c r="AI695" s="330"/>
      <c r="AJ695" s="331"/>
      <c r="AK695" s="80"/>
      <c r="AL695" s="331"/>
      <c r="AM695" s="82"/>
      <c r="AN695" s="82"/>
      <c r="AO695" s="82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80"/>
      <c r="BI695" s="80"/>
      <c r="BJ695" s="80"/>
      <c r="BK695" s="80"/>
      <c r="BL695" s="80"/>
      <c r="BM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2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4"/>
      <c r="V696" s="80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2"/>
      <c r="AH696" s="330"/>
      <c r="AI696" s="330"/>
      <c r="AJ696" s="331"/>
      <c r="AK696" s="80"/>
      <c r="AL696" s="331"/>
      <c r="AM696" s="82"/>
      <c r="AN696" s="82"/>
      <c r="AO696" s="82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80"/>
      <c r="BI696" s="80"/>
      <c r="BJ696" s="80"/>
      <c r="BK696" s="80"/>
      <c r="BL696" s="80"/>
      <c r="BM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2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4"/>
      <c r="V697" s="80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2"/>
      <c r="AH697" s="330"/>
      <c r="AI697" s="330"/>
      <c r="AJ697" s="331"/>
      <c r="AK697" s="80"/>
      <c r="AL697" s="331"/>
      <c r="AM697" s="82"/>
      <c r="AN697" s="82"/>
      <c r="AO697" s="82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2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4"/>
      <c r="V698" s="80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2"/>
      <c r="AH698" s="330"/>
      <c r="AI698" s="330"/>
      <c r="AJ698" s="331"/>
      <c r="AK698" s="80"/>
      <c r="AL698" s="331"/>
      <c r="AM698" s="82"/>
      <c r="AN698" s="82"/>
      <c r="AO698" s="82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/>
      <c r="BJ698" s="80"/>
      <c r="BK698" s="80"/>
      <c r="BL698" s="80"/>
      <c r="BM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2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4"/>
      <c r="V699" s="80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2"/>
      <c r="AH699" s="330"/>
      <c r="AI699" s="330"/>
      <c r="AJ699" s="331"/>
      <c r="AK699" s="80"/>
      <c r="AL699" s="331"/>
      <c r="AM699" s="82"/>
      <c r="AN699" s="82"/>
      <c r="AO699" s="82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2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4"/>
      <c r="V700" s="80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2"/>
      <c r="AH700" s="330"/>
      <c r="AI700" s="330"/>
      <c r="AJ700" s="331"/>
      <c r="AK700" s="80"/>
      <c r="AL700" s="331"/>
      <c r="AM700" s="82"/>
      <c r="AN700" s="82"/>
      <c r="AO700" s="82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/>
      <c r="BJ700" s="80"/>
      <c r="BK700" s="80"/>
      <c r="BL700" s="80"/>
      <c r="BM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2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4"/>
      <c r="V701" s="80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2"/>
      <c r="AH701" s="330"/>
      <c r="AI701" s="330"/>
      <c r="AJ701" s="331"/>
      <c r="AK701" s="80"/>
      <c r="AL701" s="331"/>
      <c r="AM701" s="82"/>
      <c r="AN701" s="82"/>
      <c r="AO701" s="82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2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4"/>
      <c r="V702" s="80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2"/>
      <c r="AH702" s="330"/>
      <c r="AI702" s="330"/>
      <c r="AJ702" s="331"/>
      <c r="AK702" s="80"/>
      <c r="AL702" s="331"/>
      <c r="AM702" s="82"/>
      <c r="AN702" s="82"/>
      <c r="AO702" s="82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80"/>
      <c r="BI702" s="80"/>
      <c r="BJ702" s="80"/>
      <c r="BK702" s="80"/>
      <c r="BL702" s="80"/>
      <c r="BM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2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4"/>
      <c r="V703" s="80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2"/>
      <c r="AH703" s="330"/>
      <c r="AI703" s="330"/>
      <c r="AJ703" s="331"/>
      <c r="AK703" s="80"/>
      <c r="AL703" s="331"/>
      <c r="AM703" s="82"/>
      <c r="AN703" s="82"/>
      <c r="AO703" s="82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2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4"/>
      <c r="V704" s="80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2"/>
      <c r="AH704" s="330"/>
      <c r="AI704" s="330"/>
      <c r="AJ704" s="331"/>
      <c r="AK704" s="80"/>
      <c r="AL704" s="331"/>
      <c r="AM704" s="82"/>
      <c r="AN704" s="82"/>
      <c r="AO704" s="82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/>
      <c r="BJ704" s="80"/>
      <c r="BK704" s="80"/>
      <c r="BL704" s="80"/>
      <c r="BM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2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4"/>
      <c r="V705" s="80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2"/>
      <c r="AH705" s="330"/>
      <c r="AI705" s="330"/>
      <c r="AJ705" s="331"/>
      <c r="AK705" s="80"/>
      <c r="AL705" s="331"/>
      <c r="AM705" s="82"/>
      <c r="AN705" s="82"/>
      <c r="AO705" s="82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2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4"/>
      <c r="V706" s="80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2"/>
      <c r="AH706" s="330"/>
      <c r="AI706" s="330"/>
      <c r="AJ706" s="331"/>
      <c r="AK706" s="80"/>
      <c r="AL706" s="331"/>
      <c r="AM706" s="82"/>
      <c r="AN706" s="82"/>
      <c r="AO706" s="82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80"/>
      <c r="BI706" s="80"/>
      <c r="BJ706" s="80"/>
      <c r="BK706" s="80"/>
      <c r="BL706" s="80"/>
      <c r="BM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2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4"/>
      <c r="V707" s="80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2"/>
      <c r="AH707" s="330"/>
      <c r="AI707" s="330"/>
      <c r="AJ707" s="331"/>
      <c r="AK707" s="80"/>
      <c r="AL707" s="331"/>
      <c r="AM707" s="82"/>
      <c r="AN707" s="82"/>
      <c r="AO707" s="82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2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4"/>
      <c r="V708" s="80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2"/>
      <c r="AH708" s="330"/>
      <c r="AI708" s="330"/>
      <c r="AJ708" s="331"/>
      <c r="AK708" s="80"/>
      <c r="AL708" s="331"/>
      <c r="AM708" s="82"/>
      <c r="AN708" s="82"/>
      <c r="AO708" s="82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80"/>
      <c r="BI708" s="80"/>
      <c r="BJ708" s="80"/>
      <c r="BK708" s="80"/>
      <c r="BL708" s="80"/>
      <c r="BM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2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4"/>
      <c r="V709" s="80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2"/>
      <c r="AH709" s="330"/>
      <c r="AI709" s="330"/>
      <c r="AJ709" s="331"/>
      <c r="AK709" s="80"/>
      <c r="AL709" s="331"/>
      <c r="AM709" s="82"/>
      <c r="AN709" s="82"/>
      <c r="AO709" s="82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2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4"/>
      <c r="V710" s="80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2"/>
      <c r="AH710" s="330"/>
      <c r="AI710" s="330"/>
      <c r="AJ710" s="331"/>
      <c r="AK710" s="80"/>
      <c r="AL710" s="331"/>
      <c r="AM710" s="82"/>
      <c r="AN710" s="82"/>
      <c r="AO710" s="82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80"/>
      <c r="BI710" s="80"/>
      <c r="BJ710" s="80"/>
      <c r="BK710" s="80"/>
      <c r="BL710" s="80"/>
      <c r="BM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2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4"/>
      <c r="V711" s="80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2"/>
      <c r="AH711" s="330"/>
      <c r="AI711" s="330"/>
      <c r="AJ711" s="331"/>
      <c r="AK711" s="80"/>
      <c r="AL711" s="331"/>
      <c r="AM711" s="82"/>
      <c r="AN711" s="82"/>
      <c r="AO711" s="82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2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4"/>
      <c r="V712" s="80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2"/>
      <c r="AH712" s="330"/>
      <c r="AI712" s="330"/>
      <c r="AJ712" s="331"/>
      <c r="AK712" s="80"/>
      <c r="AL712" s="331"/>
      <c r="AM712" s="82"/>
      <c r="AN712" s="82"/>
      <c r="AO712" s="82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/>
      <c r="BJ712" s="80"/>
      <c r="BK712" s="80"/>
      <c r="BL712" s="80"/>
      <c r="BM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2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4"/>
      <c r="V713" s="80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2"/>
      <c r="AH713" s="330"/>
      <c r="AI713" s="330"/>
      <c r="AJ713" s="331"/>
      <c r="AK713" s="80"/>
      <c r="AL713" s="331"/>
      <c r="AM713" s="82"/>
      <c r="AN713" s="82"/>
      <c r="AO713" s="82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2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4"/>
      <c r="V714" s="80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2"/>
      <c r="AH714" s="330"/>
      <c r="AI714" s="330"/>
      <c r="AJ714" s="331"/>
      <c r="AK714" s="80"/>
      <c r="AL714" s="331"/>
      <c r="AM714" s="82"/>
      <c r="AN714" s="82"/>
      <c r="AO714" s="82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80"/>
      <c r="BI714" s="80"/>
      <c r="BJ714" s="80"/>
      <c r="BK714" s="80"/>
      <c r="BL714" s="80"/>
      <c r="BM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2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4"/>
      <c r="V715" s="80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2"/>
      <c r="AH715" s="330"/>
      <c r="AI715" s="330"/>
      <c r="AJ715" s="331"/>
      <c r="AK715" s="80"/>
      <c r="AL715" s="331"/>
      <c r="AM715" s="82"/>
      <c r="AN715" s="82"/>
      <c r="AO715" s="82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80"/>
      <c r="BI715" s="80"/>
      <c r="BJ715" s="80"/>
      <c r="BK715" s="80"/>
      <c r="BL715" s="80"/>
      <c r="BM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2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4"/>
      <c r="V716" s="80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2"/>
      <c r="AH716" s="330"/>
      <c r="AI716" s="330"/>
      <c r="AJ716" s="331"/>
      <c r="AK716" s="80"/>
      <c r="AL716" s="331"/>
      <c r="AM716" s="82"/>
      <c r="AN716" s="82"/>
      <c r="AO716" s="82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  <c r="BE716" s="80"/>
      <c r="BF716" s="80"/>
      <c r="BG716" s="80"/>
      <c r="BH716" s="80"/>
      <c r="BI716" s="80"/>
      <c r="BJ716" s="80"/>
      <c r="BK716" s="80"/>
      <c r="BL716" s="80"/>
      <c r="BM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2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4"/>
      <c r="V717" s="80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2"/>
      <c r="AH717" s="330"/>
      <c r="AI717" s="330"/>
      <c r="AJ717" s="331"/>
      <c r="AK717" s="80"/>
      <c r="AL717" s="331"/>
      <c r="AM717" s="82"/>
      <c r="AN717" s="82"/>
      <c r="AO717" s="82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80"/>
      <c r="BI717" s="80"/>
      <c r="BJ717" s="80"/>
      <c r="BK717" s="80"/>
      <c r="BL717" s="80"/>
      <c r="BM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2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4"/>
      <c r="V718" s="80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2"/>
      <c r="AH718" s="330"/>
      <c r="AI718" s="330"/>
      <c r="AJ718" s="331"/>
      <c r="AK718" s="80"/>
      <c r="AL718" s="331"/>
      <c r="AM718" s="82"/>
      <c r="AN718" s="82"/>
      <c r="AO718" s="82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/>
      <c r="BJ718" s="80"/>
      <c r="BK718" s="80"/>
      <c r="BL718" s="80"/>
      <c r="BM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2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4"/>
      <c r="V719" s="80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2"/>
      <c r="AH719" s="330"/>
      <c r="AI719" s="330"/>
      <c r="AJ719" s="331"/>
      <c r="AK719" s="80"/>
      <c r="AL719" s="331"/>
      <c r="AM719" s="82"/>
      <c r="AN719" s="82"/>
      <c r="AO719" s="82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2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4"/>
      <c r="V720" s="80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2"/>
      <c r="AH720" s="330"/>
      <c r="AI720" s="330"/>
      <c r="AJ720" s="331"/>
      <c r="AK720" s="80"/>
      <c r="AL720" s="331"/>
      <c r="AM720" s="82"/>
      <c r="AN720" s="82"/>
      <c r="AO720" s="82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  <c r="BE720" s="80"/>
      <c r="BF720" s="80"/>
      <c r="BG720" s="80"/>
      <c r="BH720" s="80"/>
      <c r="BI720" s="80"/>
      <c r="BJ720" s="80"/>
      <c r="BK720" s="80"/>
      <c r="BL720" s="80"/>
      <c r="BM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2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4"/>
      <c r="V721" s="80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2"/>
      <c r="AH721" s="330"/>
      <c r="AI721" s="330"/>
      <c r="AJ721" s="331"/>
      <c r="AK721" s="80"/>
      <c r="AL721" s="331"/>
      <c r="AM721" s="82"/>
      <c r="AN721" s="82"/>
      <c r="AO721" s="82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2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4"/>
      <c r="V722" s="80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2"/>
      <c r="AH722" s="330"/>
      <c r="AI722" s="330"/>
      <c r="AJ722" s="331"/>
      <c r="AK722" s="80"/>
      <c r="AL722" s="331"/>
      <c r="AM722" s="82"/>
      <c r="AN722" s="82"/>
      <c r="AO722" s="82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80"/>
      <c r="BI722" s="80"/>
      <c r="BJ722" s="80"/>
      <c r="BK722" s="80"/>
      <c r="BL722" s="80"/>
      <c r="BM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2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4"/>
      <c r="V723" s="80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2"/>
      <c r="AH723" s="330"/>
      <c r="AI723" s="330"/>
      <c r="AJ723" s="331"/>
      <c r="AK723" s="80"/>
      <c r="AL723" s="331"/>
      <c r="AM723" s="82"/>
      <c r="AN723" s="82"/>
      <c r="AO723" s="82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2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4"/>
      <c r="V724" s="80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2"/>
      <c r="AH724" s="330"/>
      <c r="AI724" s="330"/>
      <c r="AJ724" s="331"/>
      <c r="AK724" s="80"/>
      <c r="AL724" s="331"/>
      <c r="AM724" s="82"/>
      <c r="AN724" s="82"/>
      <c r="AO724" s="82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80"/>
      <c r="BI724" s="80"/>
      <c r="BJ724" s="80"/>
      <c r="BK724" s="80"/>
      <c r="BL724" s="80"/>
      <c r="BM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2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4"/>
      <c r="V725" s="80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2"/>
      <c r="AH725" s="330"/>
      <c r="AI725" s="330"/>
      <c r="AJ725" s="331"/>
      <c r="AK725" s="80"/>
      <c r="AL725" s="331"/>
      <c r="AM725" s="82"/>
      <c r="AN725" s="82"/>
      <c r="AO725" s="82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2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4"/>
      <c r="V726" s="80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2"/>
      <c r="AH726" s="330"/>
      <c r="AI726" s="330"/>
      <c r="AJ726" s="331"/>
      <c r="AK726" s="80"/>
      <c r="AL726" s="331"/>
      <c r="AM726" s="82"/>
      <c r="AN726" s="82"/>
      <c r="AO726" s="82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80"/>
      <c r="BI726" s="80"/>
      <c r="BJ726" s="80"/>
      <c r="BK726" s="80"/>
      <c r="BL726" s="80"/>
      <c r="BM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2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4"/>
      <c r="V727" s="80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2"/>
      <c r="AH727" s="330"/>
      <c r="AI727" s="330"/>
      <c r="AJ727" s="331"/>
      <c r="AK727" s="80"/>
      <c r="AL727" s="331"/>
      <c r="AM727" s="82"/>
      <c r="AN727" s="82"/>
      <c r="AO727" s="82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2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4"/>
      <c r="V728" s="80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2"/>
      <c r="AH728" s="330"/>
      <c r="AI728" s="330"/>
      <c r="AJ728" s="331"/>
      <c r="AK728" s="80"/>
      <c r="AL728" s="331"/>
      <c r="AM728" s="82"/>
      <c r="AN728" s="82"/>
      <c r="AO728" s="82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  <c r="BE728" s="80"/>
      <c r="BF728" s="80"/>
      <c r="BG728" s="80"/>
      <c r="BH728" s="80"/>
      <c r="BI728" s="80"/>
      <c r="BJ728" s="80"/>
      <c r="BK728" s="80"/>
      <c r="BL728" s="80"/>
      <c r="BM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2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4"/>
      <c r="V729" s="80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2"/>
      <c r="AH729" s="330"/>
      <c r="AI729" s="330"/>
      <c r="AJ729" s="331"/>
      <c r="AK729" s="80"/>
      <c r="AL729" s="331"/>
      <c r="AM729" s="82"/>
      <c r="AN729" s="82"/>
      <c r="AO729" s="82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2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4"/>
      <c r="V730" s="80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2"/>
      <c r="AH730" s="330"/>
      <c r="AI730" s="330"/>
      <c r="AJ730" s="331"/>
      <c r="AK730" s="80"/>
      <c r="AL730" s="331"/>
      <c r="AM730" s="82"/>
      <c r="AN730" s="82"/>
      <c r="AO730" s="82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80"/>
      <c r="BI730" s="80"/>
      <c r="BJ730" s="80"/>
      <c r="BK730" s="80"/>
      <c r="BL730" s="80"/>
      <c r="BM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2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4"/>
      <c r="V731" s="80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2"/>
      <c r="AH731" s="330"/>
      <c r="AI731" s="330"/>
      <c r="AJ731" s="331"/>
      <c r="AK731" s="80"/>
      <c r="AL731" s="331"/>
      <c r="AM731" s="82"/>
      <c r="AN731" s="82"/>
      <c r="AO731" s="82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/>
      <c r="BJ731" s="80"/>
      <c r="BK731" s="80"/>
      <c r="BL731" s="80"/>
      <c r="BM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2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4"/>
      <c r="V732" s="80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2"/>
      <c r="AH732" s="330"/>
      <c r="AI732" s="330"/>
      <c r="AJ732" s="331"/>
      <c r="AK732" s="80"/>
      <c r="AL732" s="331"/>
      <c r="AM732" s="82"/>
      <c r="AN732" s="82"/>
      <c r="AO732" s="82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/>
      <c r="BJ732" s="80"/>
      <c r="BK732" s="80"/>
      <c r="BL732" s="80"/>
      <c r="BM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2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4"/>
      <c r="V733" s="80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2"/>
      <c r="AH733" s="330"/>
      <c r="AI733" s="330"/>
      <c r="AJ733" s="331"/>
      <c r="AK733" s="80"/>
      <c r="AL733" s="331"/>
      <c r="AM733" s="82"/>
      <c r="AN733" s="82"/>
      <c r="AO733" s="82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2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4"/>
      <c r="V734" s="80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2"/>
      <c r="AH734" s="330"/>
      <c r="AI734" s="330"/>
      <c r="AJ734" s="331"/>
      <c r="AK734" s="80"/>
      <c r="AL734" s="331"/>
      <c r="AM734" s="82"/>
      <c r="AN734" s="82"/>
      <c r="AO734" s="82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80"/>
      <c r="BI734" s="80"/>
      <c r="BJ734" s="80"/>
      <c r="BK734" s="80"/>
      <c r="BL734" s="80"/>
      <c r="BM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2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4"/>
      <c r="V735" s="80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2"/>
      <c r="AH735" s="330"/>
      <c r="AI735" s="330"/>
      <c r="AJ735" s="331"/>
      <c r="AK735" s="80"/>
      <c r="AL735" s="331"/>
      <c r="AM735" s="82"/>
      <c r="AN735" s="82"/>
      <c r="AO735" s="82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2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4"/>
      <c r="V736" s="80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2"/>
      <c r="AH736" s="330"/>
      <c r="AI736" s="330"/>
      <c r="AJ736" s="331"/>
      <c r="AK736" s="80"/>
      <c r="AL736" s="331"/>
      <c r="AM736" s="82"/>
      <c r="AN736" s="82"/>
      <c r="AO736" s="82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80"/>
      <c r="BI736" s="80"/>
      <c r="BJ736" s="80"/>
      <c r="BK736" s="80"/>
      <c r="BL736" s="80"/>
      <c r="BM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2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4"/>
      <c r="V737" s="80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2"/>
      <c r="AH737" s="330"/>
      <c r="AI737" s="330"/>
      <c r="AJ737" s="331"/>
      <c r="AK737" s="80"/>
      <c r="AL737" s="331"/>
      <c r="AM737" s="82"/>
      <c r="AN737" s="82"/>
      <c r="AO737" s="82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2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4"/>
      <c r="V738" s="80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2"/>
      <c r="AH738" s="330"/>
      <c r="AI738" s="330"/>
      <c r="AJ738" s="331"/>
      <c r="AK738" s="80"/>
      <c r="AL738" s="331"/>
      <c r="AM738" s="82"/>
      <c r="AN738" s="82"/>
      <c r="AO738" s="82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80"/>
      <c r="BI738" s="80"/>
      <c r="BJ738" s="80"/>
      <c r="BK738" s="80"/>
      <c r="BL738" s="80"/>
      <c r="BM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2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4"/>
      <c r="V739" s="80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2"/>
      <c r="AH739" s="330"/>
      <c r="AI739" s="330"/>
      <c r="AJ739" s="331"/>
      <c r="AK739" s="80"/>
      <c r="AL739" s="331"/>
      <c r="AM739" s="82"/>
      <c r="AN739" s="82"/>
      <c r="AO739" s="82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2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4"/>
      <c r="V740" s="80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2"/>
      <c r="AH740" s="330"/>
      <c r="AI740" s="330"/>
      <c r="AJ740" s="331"/>
      <c r="AK740" s="80"/>
      <c r="AL740" s="331"/>
      <c r="AM740" s="82"/>
      <c r="AN740" s="82"/>
      <c r="AO740" s="82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2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4"/>
      <c r="V741" s="80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2"/>
      <c r="AH741" s="330"/>
      <c r="AI741" s="330"/>
      <c r="AJ741" s="331"/>
      <c r="AK741" s="80"/>
      <c r="AL741" s="331"/>
      <c r="AM741" s="82"/>
      <c r="AN741" s="82"/>
      <c r="AO741" s="82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2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4"/>
      <c r="V742" s="80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2"/>
      <c r="AH742" s="330"/>
      <c r="AI742" s="330"/>
      <c r="AJ742" s="331"/>
      <c r="AK742" s="80"/>
      <c r="AL742" s="331"/>
      <c r="AM742" s="82"/>
      <c r="AN742" s="82"/>
      <c r="AO742" s="82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80"/>
      <c r="BI742" s="80"/>
      <c r="BJ742" s="80"/>
      <c r="BK742" s="80"/>
      <c r="BL742" s="80"/>
      <c r="BM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2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4"/>
      <c r="V743" s="80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2"/>
      <c r="AH743" s="330"/>
      <c r="AI743" s="330"/>
      <c r="AJ743" s="331"/>
      <c r="AK743" s="80"/>
      <c r="AL743" s="331"/>
      <c r="AM743" s="82"/>
      <c r="AN743" s="82"/>
      <c r="AO743" s="82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2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4"/>
      <c r="V744" s="80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2"/>
      <c r="AH744" s="330"/>
      <c r="AI744" s="330"/>
      <c r="AJ744" s="331"/>
      <c r="AK744" s="80"/>
      <c r="AL744" s="331"/>
      <c r="AM744" s="82"/>
      <c r="AN744" s="82"/>
      <c r="AO744" s="82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80"/>
      <c r="BI744" s="80"/>
      <c r="BJ744" s="80"/>
      <c r="BK744" s="80"/>
      <c r="BL744" s="80"/>
      <c r="BM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2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4"/>
      <c r="V745" s="80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2"/>
      <c r="AH745" s="330"/>
      <c r="AI745" s="330"/>
      <c r="AJ745" s="331"/>
      <c r="AK745" s="80"/>
      <c r="AL745" s="331"/>
      <c r="AM745" s="82"/>
      <c r="AN745" s="82"/>
      <c r="AO745" s="82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2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4"/>
      <c r="V746" s="80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2"/>
      <c r="AH746" s="330"/>
      <c r="AI746" s="330"/>
      <c r="AJ746" s="331"/>
      <c r="AK746" s="80"/>
      <c r="AL746" s="331"/>
      <c r="AM746" s="82"/>
      <c r="AN746" s="82"/>
      <c r="AO746" s="82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80"/>
      <c r="BI746" s="80"/>
      <c r="BJ746" s="80"/>
      <c r="BK746" s="80"/>
      <c r="BL746" s="80"/>
      <c r="BM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2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4"/>
      <c r="V747" s="80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2"/>
      <c r="AH747" s="330"/>
      <c r="AI747" s="330"/>
      <c r="AJ747" s="331"/>
      <c r="AK747" s="80"/>
      <c r="AL747" s="331"/>
      <c r="AM747" s="82"/>
      <c r="AN747" s="82"/>
      <c r="AO747" s="82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2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4"/>
      <c r="V748" s="80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2"/>
      <c r="AH748" s="330"/>
      <c r="AI748" s="330"/>
      <c r="AJ748" s="331"/>
      <c r="AK748" s="80"/>
      <c r="AL748" s="331"/>
      <c r="AM748" s="82"/>
      <c r="AN748" s="82"/>
      <c r="AO748" s="82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/>
      <c r="BJ748" s="80"/>
      <c r="BK748" s="80"/>
      <c r="BL748" s="80"/>
      <c r="BM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2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4"/>
      <c r="V749" s="80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2"/>
      <c r="AH749" s="330"/>
      <c r="AI749" s="330"/>
      <c r="AJ749" s="331"/>
      <c r="AK749" s="80"/>
      <c r="AL749" s="331"/>
      <c r="AM749" s="82"/>
      <c r="AN749" s="82"/>
      <c r="AO749" s="82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2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4"/>
      <c r="V750" s="80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2"/>
      <c r="AH750" s="330"/>
      <c r="AI750" s="330"/>
      <c r="AJ750" s="331"/>
      <c r="AK750" s="80"/>
      <c r="AL750" s="331"/>
      <c r="AM750" s="82"/>
      <c r="AN750" s="82"/>
      <c r="AO750" s="82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  <c r="BE750" s="80"/>
      <c r="BF750" s="80"/>
      <c r="BG750" s="80"/>
      <c r="BH750" s="80"/>
      <c r="BI750" s="80"/>
      <c r="BJ750" s="80"/>
      <c r="BK750" s="80"/>
      <c r="BL750" s="80"/>
      <c r="BM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2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4"/>
      <c r="V751" s="80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2"/>
      <c r="AH751" s="330"/>
      <c r="AI751" s="330"/>
      <c r="AJ751" s="331"/>
      <c r="AK751" s="80"/>
      <c r="AL751" s="331"/>
      <c r="AM751" s="82"/>
      <c r="AN751" s="82"/>
      <c r="AO751" s="82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2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4"/>
      <c r="V752" s="80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2"/>
      <c r="AH752" s="330"/>
      <c r="AI752" s="330"/>
      <c r="AJ752" s="331"/>
      <c r="AK752" s="80"/>
      <c r="AL752" s="331"/>
      <c r="AM752" s="82"/>
      <c r="AN752" s="82"/>
      <c r="AO752" s="82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80"/>
      <c r="BI752" s="80"/>
      <c r="BJ752" s="80"/>
      <c r="BK752" s="80"/>
      <c r="BL752" s="80"/>
      <c r="BM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2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4"/>
      <c r="V753" s="80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2"/>
      <c r="AH753" s="330"/>
      <c r="AI753" s="330"/>
      <c r="AJ753" s="331"/>
      <c r="AK753" s="80"/>
      <c r="AL753" s="331"/>
      <c r="AM753" s="82"/>
      <c r="AN753" s="82"/>
      <c r="AO753" s="82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2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4"/>
      <c r="V754" s="80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2"/>
      <c r="AH754" s="330"/>
      <c r="AI754" s="330"/>
      <c r="AJ754" s="331"/>
      <c r="AK754" s="80"/>
      <c r="AL754" s="331"/>
      <c r="AM754" s="82"/>
      <c r="AN754" s="82"/>
      <c r="AO754" s="82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80"/>
      <c r="BI754" s="80"/>
      <c r="BJ754" s="80"/>
      <c r="BK754" s="80"/>
      <c r="BL754" s="80"/>
      <c r="BM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2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4"/>
      <c r="V755" s="80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2"/>
      <c r="AH755" s="330"/>
      <c r="AI755" s="330"/>
      <c r="AJ755" s="331"/>
      <c r="AK755" s="80"/>
      <c r="AL755" s="331"/>
      <c r="AM755" s="82"/>
      <c r="AN755" s="82"/>
      <c r="AO755" s="82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2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4"/>
      <c r="V756" s="80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2"/>
      <c r="AH756" s="330"/>
      <c r="AI756" s="330"/>
      <c r="AJ756" s="331"/>
      <c r="AK756" s="80"/>
      <c r="AL756" s="331"/>
      <c r="AM756" s="82"/>
      <c r="AN756" s="82"/>
      <c r="AO756" s="82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/>
      <c r="BJ756" s="80"/>
      <c r="BK756" s="80"/>
      <c r="BL756" s="80"/>
      <c r="BM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2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4"/>
      <c r="V757" s="80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2"/>
      <c r="AH757" s="330"/>
      <c r="AI757" s="330"/>
      <c r="AJ757" s="331"/>
      <c r="AK757" s="80"/>
      <c r="AL757" s="331"/>
      <c r="AM757" s="82"/>
      <c r="AN757" s="82"/>
      <c r="AO757" s="82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2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4"/>
      <c r="V758" s="80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2"/>
      <c r="AH758" s="330"/>
      <c r="AI758" s="330"/>
      <c r="AJ758" s="331"/>
      <c r="AK758" s="80"/>
      <c r="AL758" s="331"/>
      <c r="AM758" s="82"/>
      <c r="AN758" s="82"/>
      <c r="AO758" s="82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80"/>
      <c r="BK758" s="80"/>
      <c r="BL758" s="80"/>
      <c r="BM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2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4"/>
      <c r="V759" s="80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2"/>
      <c r="AH759" s="330"/>
      <c r="AI759" s="330"/>
      <c r="AJ759" s="331"/>
      <c r="AK759" s="80"/>
      <c r="AL759" s="331"/>
      <c r="AM759" s="82"/>
      <c r="AN759" s="82"/>
      <c r="AO759" s="82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2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4"/>
      <c r="V760" s="80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2"/>
      <c r="AH760" s="330"/>
      <c r="AI760" s="330"/>
      <c r="AJ760" s="331"/>
      <c r="AK760" s="80"/>
      <c r="AL760" s="331"/>
      <c r="AM760" s="82"/>
      <c r="AN760" s="82"/>
      <c r="AO760" s="82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80"/>
      <c r="BK760" s="80"/>
      <c r="BL760" s="80"/>
      <c r="BM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2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4"/>
      <c r="V761" s="80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2"/>
      <c r="AH761" s="330"/>
      <c r="AI761" s="330"/>
      <c r="AJ761" s="331"/>
      <c r="AK761" s="80"/>
      <c r="AL761" s="331"/>
      <c r="AM761" s="82"/>
      <c r="AN761" s="82"/>
      <c r="AO761" s="82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2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4"/>
      <c r="V762" s="80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2"/>
      <c r="AH762" s="330"/>
      <c r="AI762" s="330"/>
      <c r="AJ762" s="331"/>
      <c r="AK762" s="80"/>
      <c r="AL762" s="331"/>
      <c r="AM762" s="82"/>
      <c r="AN762" s="82"/>
      <c r="AO762" s="82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80"/>
      <c r="BK762" s="80"/>
      <c r="BL762" s="80"/>
      <c r="BM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2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4"/>
      <c r="V763" s="80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2"/>
      <c r="AH763" s="330"/>
      <c r="AI763" s="330"/>
      <c r="AJ763" s="331"/>
      <c r="AK763" s="80"/>
      <c r="AL763" s="331"/>
      <c r="AM763" s="82"/>
      <c r="AN763" s="82"/>
      <c r="AO763" s="82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2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4"/>
      <c r="V764" s="80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2"/>
      <c r="AH764" s="330"/>
      <c r="AI764" s="330"/>
      <c r="AJ764" s="331"/>
      <c r="AK764" s="80"/>
      <c r="AL764" s="331"/>
      <c r="AM764" s="82"/>
      <c r="AN764" s="82"/>
      <c r="AO764" s="82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80"/>
      <c r="BI764" s="80"/>
      <c r="BJ764" s="80"/>
      <c r="BK764" s="80"/>
      <c r="BL764" s="80"/>
      <c r="BM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2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4"/>
      <c r="V765" s="80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2"/>
      <c r="AH765" s="330"/>
      <c r="AI765" s="330"/>
      <c r="AJ765" s="331"/>
      <c r="AK765" s="80"/>
      <c r="AL765" s="331"/>
      <c r="AM765" s="82"/>
      <c r="AN765" s="82"/>
      <c r="AO765" s="82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80"/>
      <c r="BI765" s="80"/>
      <c r="BJ765" s="80"/>
      <c r="BK765" s="80"/>
      <c r="BL765" s="80"/>
      <c r="BM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2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4"/>
      <c r="V766" s="80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2"/>
      <c r="AH766" s="330"/>
      <c r="AI766" s="330"/>
      <c r="AJ766" s="331"/>
      <c r="AK766" s="80"/>
      <c r="AL766" s="331"/>
      <c r="AM766" s="82"/>
      <c r="AN766" s="82"/>
      <c r="AO766" s="82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  <c r="BE766" s="80"/>
      <c r="BF766" s="80"/>
      <c r="BG766" s="80"/>
      <c r="BH766" s="80"/>
      <c r="BI766" s="80"/>
      <c r="BJ766" s="80"/>
      <c r="BK766" s="80"/>
      <c r="BL766" s="80"/>
      <c r="BM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2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4"/>
      <c r="V767" s="80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2"/>
      <c r="AH767" s="330"/>
      <c r="AI767" s="330"/>
      <c r="AJ767" s="331"/>
      <c r="AK767" s="80"/>
      <c r="AL767" s="331"/>
      <c r="AM767" s="82"/>
      <c r="AN767" s="82"/>
      <c r="AO767" s="82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2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4"/>
      <c r="V768" s="80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2"/>
      <c r="AH768" s="330"/>
      <c r="AI768" s="330"/>
      <c r="AJ768" s="331"/>
      <c r="AK768" s="80"/>
      <c r="AL768" s="331"/>
      <c r="AM768" s="82"/>
      <c r="AN768" s="82"/>
      <c r="AO768" s="82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80"/>
      <c r="BJ768" s="80"/>
      <c r="BK768" s="80"/>
      <c r="BL768" s="80"/>
      <c r="BM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2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4"/>
      <c r="V769" s="80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2"/>
      <c r="AH769" s="330"/>
      <c r="AI769" s="330"/>
      <c r="AJ769" s="331"/>
      <c r="AK769" s="80"/>
      <c r="AL769" s="331"/>
      <c r="AM769" s="82"/>
      <c r="AN769" s="82"/>
      <c r="AO769" s="82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2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4"/>
      <c r="V770" s="80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2"/>
      <c r="AH770" s="330"/>
      <c r="AI770" s="330"/>
      <c r="AJ770" s="331"/>
      <c r="AK770" s="80"/>
      <c r="AL770" s="331"/>
      <c r="AM770" s="82"/>
      <c r="AN770" s="82"/>
      <c r="AO770" s="82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80"/>
      <c r="BJ770" s="80"/>
      <c r="BK770" s="80"/>
      <c r="BL770" s="80"/>
      <c r="BM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2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4"/>
      <c r="V771" s="80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2"/>
      <c r="AH771" s="330"/>
      <c r="AI771" s="330"/>
      <c r="AJ771" s="331"/>
      <c r="AK771" s="80"/>
      <c r="AL771" s="331"/>
      <c r="AM771" s="82"/>
      <c r="AN771" s="82"/>
      <c r="AO771" s="82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2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4"/>
      <c r="V772" s="80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2"/>
      <c r="AH772" s="330"/>
      <c r="AI772" s="330"/>
      <c r="AJ772" s="331"/>
      <c r="AK772" s="80"/>
      <c r="AL772" s="331"/>
      <c r="AM772" s="82"/>
      <c r="AN772" s="82"/>
      <c r="AO772" s="82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80"/>
      <c r="BJ772" s="80"/>
      <c r="BK772" s="80"/>
      <c r="BL772" s="80"/>
      <c r="BM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2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4"/>
      <c r="V773" s="80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2"/>
      <c r="AH773" s="330"/>
      <c r="AI773" s="330"/>
      <c r="AJ773" s="331"/>
      <c r="AK773" s="80"/>
      <c r="AL773" s="331"/>
      <c r="AM773" s="82"/>
      <c r="AN773" s="82"/>
      <c r="AO773" s="82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2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4"/>
      <c r="V774" s="80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2"/>
      <c r="AH774" s="330"/>
      <c r="AI774" s="330"/>
      <c r="AJ774" s="331"/>
      <c r="AK774" s="80"/>
      <c r="AL774" s="331"/>
      <c r="AM774" s="82"/>
      <c r="AN774" s="82"/>
      <c r="AO774" s="82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80"/>
      <c r="BJ774" s="80"/>
      <c r="BK774" s="80"/>
      <c r="BL774" s="80"/>
      <c r="BM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2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4"/>
      <c r="V775" s="80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2"/>
      <c r="AH775" s="330"/>
      <c r="AI775" s="330"/>
      <c r="AJ775" s="331"/>
      <c r="AK775" s="80"/>
      <c r="AL775" s="331"/>
      <c r="AM775" s="82"/>
      <c r="AN775" s="82"/>
      <c r="AO775" s="82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2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4"/>
      <c r="V776" s="80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2"/>
      <c r="AH776" s="330"/>
      <c r="AI776" s="330"/>
      <c r="AJ776" s="331"/>
      <c r="AK776" s="80"/>
      <c r="AL776" s="331"/>
      <c r="AM776" s="82"/>
      <c r="AN776" s="82"/>
      <c r="AO776" s="82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2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4"/>
      <c r="V777" s="80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2"/>
      <c r="AH777" s="330"/>
      <c r="AI777" s="330"/>
      <c r="AJ777" s="331"/>
      <c r="AK777" s="80"/>
      <c r="AL777" s="331"/>
      <c r="AM777" s="82"/>
      <c r="AN777" s="82"/>
      <c r="AO777" s="82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2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4"/>
      <c r="V778" s="80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2"/>
      <c r="AH778" s="330"/>
      <c r="AI778" s="330"/>
      <c r="AJ778" s="331"/>
      <c r="AK778" s="80"/>
      <c r="AL778" s="331"/>
      <c r="AM778" s="82"/>
      <c r="AN778" s="82"/>
      <c r="AO778" s="82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2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4"/>
      <c r="V779" s="80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2"/>
      <c r="AH779" s="330"/>
      <c r="AI779" s="330"/>
      <c r="AJ779" s="331"/>
      <c r="AK779" s="80"/>
      <c r="AL779" s="331"/>
      <c r="AM779" s="82"/>
      <c r="AN779" s="82"/>
      <c r="AO779" s="82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2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4"/>
      <c r="V780" s="80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2"/>
      <c r="AH780" s="330"/>
      <c r="AI780" s="330"/>
      <c r="AJ780" s="331"/>
      <c r="AK780" s="80"/>
      <c r="AL780" s="331"/>
      <c r="AM780" s="82"/>
      <c r="AN780" s="82"/>
      <c r="AO780" s="82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2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4"/>
      <c r="V781" s="80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2"/>
      <c r="AH781" s="330"/>
      <c r="AI781" s="330"/>
      <c r="AJ781" s="331"/>
      <c r="AK781" s="80"/>
      <c r="AL781" s="331"/>
      <c r="AM781" s="82"/>
      <c r="AN781" s="82"/>
      <c r="AO781" s="82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2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4"/>
      <c r="V782" s="80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2"/>
      <c r="AH782" s="330"/>
      <c r="AI782" s="330"/>
      <c r="AJ782" s="331"/>
      <c r="AK782" s="80"/>
      <c r="AL782" s="331"/>
      <c r="AM782" s="82"/>
      <c r="AN782" s="82"/>
      <c r="AO782" s="82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2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4"/>
      <c r="V783" s="80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2"/>
      <c r="AH783" s="330"/>
      <c r="AI783" s="330"/>
      <c r="AJ783" s="331"/>
      <c r="AK783" s="80"/>
      <c r="AL783" s="331"/>
      <c r="AM783" s="82"/>
      <c r="AN783" s="82"/>
      <c r="AO783" s="82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2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4"/>
      <c r="V784" s="80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2"/>
      <c r="AH784" s="330"/>
      <c r="AI784" s="330"/>
      <c r="AJ784" s="331"/>
      <c r="AK784" s="80"/>
      <c r="AL784" s="331"/>
      <c r="AM784" s="82"/>
      <c r="AN784" s="82"/>
      <c r="AO784" s="82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2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4"/>
      <c r="V785" s="80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2"/>
      <c r="AH785" s="330"/>
      <c r="AI785" s="330"/>
      <c r="AJ785" s="331"/>
      <c r="AK785" s="80"/>
      <c r="AL785" s="331"/>
      <c r="AM785" s="82"/>
      <c r="AN785" s="82"/>
      <c r="AO785" s="82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80"/>
      <c r="BI785" s="80"/>
      <c r="BJ785" s="80"/>
      <c r="BK785" s="80"/>
      <c r="BL785" s="80"/>
      <c r="BM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2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4"/>
      <c r="V786" s="80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2"/>
      <c r="AH786" s="330"/>
      <c r="AI786" s="330"/>
      <c r="AJ786" s="331"/>
      <c r="AK786" s="80"/>
      <c r="AL786" s="331"/>
      <c r="AM786" s="82"/>
      <c r="AN786" s="82"/>
      <c r="AO786" s="82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80"/>
      <c r="BI786" s="80"/>
      <c r="BJ786" s="80"/>
      <c r="BK786" s="80"/>
      <c r="BL786" s="80"/>
      <c r="BM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2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4"/>
      <c r="V787" s="80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2"/>
      <c r="AH787" s="330"/>
      <c r="AI787" s="330"/>
      <c r="AJ787" s="331"/>
      <c r="AK787" s="80"/>
      <c r="AL787" s="331"/>
      <c r="AM787" s="82"/>
      <c r="AN787" s="82"/>
      <c r="AO787" s="82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2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4"/>
      <c r="V788" s="80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2"/>
      <c r="AH788" s="330"/>
      <c r="AI788" s="330"/>
      <c r="AJ788" s="331"/>
      <c r="AK788" s="80"/>
      <c r="AL788" s="331"/>
      <c r="AM788" s="82"/>
      <c r="AN788" s="82"/>
      <c r="AO788" s="82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2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4"/>
      <c r="V789" s="80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2"/>
      <c r="AH789" s="330"/>
      <c r="AI789" s="330"/>
      <c r="AJ789" s="331"/>
      <c r="AK789" s="80"/>
      <c r="AL789" s="331"/>
      <c r="AM789" s="82"/>
      <c r="AN789" s="82"/>
      <c r="AO789" s="82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2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4"/>
      <c r="V790" s="80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2"/>
      <c r="AH790" s="330"/>
      <c r="AI790" s="330"/>
      <c r="AJ790" s="331"/>
      <c r="AK790" s="80"/>
      <c r="AL790" s="331"/>
      <c r="AM790" s="82"/>
      <c r="AN790" s="82"/>
      <c r="AO790" s="82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2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4"/>
      <c r="V791" s="80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2"/>
      <c r="AH791" s="330"/>
      <c r="AI791" s="330"/>
      <c r="AJ791" s="331"/>
      <c r="AK791" s="80"/>
      <c r="AL791" s="331"/>
      <c r="AM791" s="82"/>
      <c r="AN791" s="82"/>
      <c r="AO791" s="82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2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4"/>
      <c r="V792" s="80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2"/>
      <c r="AH792" s="330"/>
      <c r="AI792" s="330"/>
      <c r="AJ792" s="331"/>
      <c r="AK792" s="80"/>
      <c r="AL792" s="331"/>
      <c r="AM792" s="82"/>
      <c r="AN792" s="82"/>
      <c r="AO792" s="82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80"/>
      <c r="BI792" s="80"/>
      <c r="BJ792" s="80"/>
      <c r="BK792" s="80"/>
      <c r="BL792" s="80"/>
      <c r="BM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2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4"/>
      <c r="V793" s="80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2"/>
      <c r="AH793" s="330"/>
      <c r="AI793" s="330"/>
      <c r="AJ793" s="331"/>
      <c r="AK793" s="80"/>
      <c r="AL793" s="331"/>
      <c r="AM793" s="82"/>
      <c r="AN793" s="82"/>
      <c r="AO793" s="82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2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4"/>
      <c r="V794" s="80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2"/>
      <c r="AH794" s="330"/>
      <c r="AI794" s="330"/>
      <c r="AJ794" s="331"/>
      <c r="AK794" s="80"/>
      <c r="AL794" s="331"/>
      <c r="AM794" s="82"/>
      <c r="AN794" s="82"/>
      <c r="AO794" s="82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80"/>
      <c r="BI794" s="80"/>
      <c r="BJ794" s="80"/>
      <c r="BK794" s="80"/>
      <c r="BL794" s="80"/>
      <c r="BM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2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4"/>
      <c r="V795" s="80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2"/>
      <c r="AH795" s="330"/>
      <c r="AI795" s="330"/>
      <c r="AJ795" s="331"/>
      <c r="AK795" s="80"/>
      <c r="AL795" s="331"/>
      <c r="AM795" s="82"/>
      <c r="AN795" s="82"/>
      <c r="AO795" s="82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2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4"/>
      <c r="V796" s="80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2"/>
      <c r="AH796" s="330"/>
      <c r="AI796" s="330"/>
      <c r="AJ796" s="331"/>
      <c r="AK796" s="80"/>
      <c r="AL796" s="331"/>
      <c r="AM796" s="82"/>
      <c r="AN796" s="82"/>
      <c r="AO796" s="82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80"/>
      <c r="BI796" s="80"/>
      <c r="BJ796" s="80"/>
      <c r="BK796" s="80"/>
      <c r="BL796" s="80"/>
      <c r="BM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2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4"/>
      <c r="V797" s="80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2"/>
      <c r="AH797" s="330"/>
      <c r="AI797" s="330"/>
      <c r="AJ797" s="331"/>
      <c r="AK797" s="80"/>
      <c r="AL797" s="331"/>
      <c r="AM797" s="82"/>
      <c r="AN797" s="82"/>
      <c r="AO797" s="82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2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4"/>
      <c r="V798" s="80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2"/>
      <c r="AH798" s="330"/>
      <c r="AI798" s="330"/>
      <c r="AJ798" s="331"/>
      <c r="AK798" s="80"/>
      <c r="AL798" s="331"/>
      <c r="AM798" s="82"/>
      <c r="AN798" s="82"/>
      <c r="AO798" s="82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80"/>
      <c r="BI798" s="80"/>
      <c r="BJ798" s="80"/>
      <c r="BK798" s="80"/>
      <c r="BL798" s="80"/>
      <c r="BM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2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4"/>
      <c r="V799" s="80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2"/>
      <c r="AH799" s="330"/>
      <c r="AI799" s="330"/>
      <c r="AJ799" s="331"/>
      <c r="AK799" s="80"/>
      <c r="AL799" s="331"/>
      <c r="AM799" s="82"/>
      <c r="AN799" s="82"/>
      <c r="AO799" s="82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2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4"/>
      <c r="V800" s="80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2"/>
      <c r="AH800" s="330"/>
      <c r="AI800" s="330"/>
      <c r="AJ800" s="331"/>
      <c r="AK800" s="80"/>
      <c r="AL800" s="331"/>
      <c r="AM800" s="82"/>
      <c r="AN800" s="82"/>
      <c r="AO800" s="82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/>
      <c r="BJ800" s="80"/>
      <c r="BK800" s="80"/>
      <c r="BL800" s="80"/>
      <c r="BM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2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4"/>
      <c r="V801" s="80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2"/>
      <c r="AH801" s="330"/>
      <c r="AI801" s="330"/>
      <c r="AJ801" s="331"/>
      <c r="AK801" s="80"/>
      <c r="AL801" s="331"/>
      <c r="AM801" s="82"/>
      <c r="AN801" s="82"/>
      <c r="AO801" s="82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2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4"/>
      <c r="V802" s="80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2"/>
      <c r="AH802" s="330"/>
      <c r="AI802" s="330"/>
      <c r="AJ802" s="331"/>
      <c r="AK802" s="80"/>
      <c r="AL802" s="331"/>
      <c r="AM802" s="82"/>
      <c r="AN802" s="82"/>
      <c r="AO802" s="82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80"/>
      <c r="BI802" s="80"/>
      <c r="BJ802" s="80"/>
      <c r="BK802" s="80"/>
      <c r="BL802" s="80"/>
      <c r="BM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2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4"/>
      <c r="V803" s="80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2"/>
      <c r="AH803" s="330"/>
      <c r="AI803" s="330"/>
      <c r="AJ803" s="331"/>
      <c r="AK803" s="80"/>
      <c r="AL803" s="331"/>
      <c r="AM803" s="82"/>
      <c r="AN803" s="82"/>
      <c r="AO803" s="82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2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4"/>
      <c r="V804" s="80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2"/>
      <c r="AH804" s="330"/>
      <c r="AI804" s="330"/>
      <c r="AJ804" s="331"/>
      <c r="AK804" s="80"/>
      <c r="AL804" s="331"/>
      <c r="AM804" s="82"/>
      <c r="AN804" s="82"/>
      <c r="AO804" s="82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80"/>
      <c r="BI804" s="80"/>
      <c r="BJ804" s="80"/>
      <c r="BK804" s="80"/>
      <c r="BL804" s="80"/>
      <c r="BM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2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4"/>
      <c r="V805" s="80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2"/>
      <c r="AH805" s="330"/>
      <c r="AI805" s="330"/>
      <c r="AJ805" s="331"/>
      <c r="AK805" s="80"/>
      <c r="AL805" s="331"/>
      <c r="AM805" s="82"/>
      <c r="AN805" s="82"/>
      <c r="AO805" s="82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2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4"/>
      <c r="V806" s="80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2"/>
      <c r="AH806" s="330"/>
      <c r="AI806" s="330"/>
      <c r="AJ806" s="331"/>
      <c r="AK806" s="80"/>
      <c r="AL806" s="331"/>
      <c r="AM806" s="82"/>
      <c r="AN806" s="82"/>
      <c r="AO806" s="82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80"/>
      <c r="BI806" s="80"/>
      <c r="BJ806" s="80"/>
      <c r="BK806" s="80"/>
      <c r="BL806" s="80"/>
      <c r="BM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2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4"/>
      <c r="V807" s="80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2"/>
      <c r="AH807" s="330"/>
      <c r="AI807" s="330"/>
      <c r="AJ807" s="331"/>
      <c r="AK807" s="80"/>
      <c r="AL807" s="331"/>
      <c r="AM807" s="82"/>
      <c r="AN807" s="82"/>
      <c r="AO807" s="82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2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4"/>
      <c r="V808" s="80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2"/>
      <c r="AH808" s="330"/>
      <c r="AI808" s="330"/>
      <c r="AJ808" s="331"/>
      <c r="AK808" s="80"/>
      <c r="AL808" s="331"/>
      <c r="AM808" s="82"/>
      <c r="AN808" s="82"/>
      <c r="AO808" s="82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80"/>
      <c r="BI808" s="80"/>
      <c r="BJ808" s="80"/>
      <c r="BK808" s="80"/>
      <c r="BL808" s="80"/>
      <c r="BM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2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4"/>
      <c r="V809" s="80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2"/>
      <c r="AH809" s="330"/>
      <c r="AI809" s="330"/>
      <c r="AJ809" s="331"/>
      <c r="AK809" s="80"/>
      <c r="AL809" s="331"/>
      <c r="AM809" s="82"/>
      <c r="AN809" s="82"/>
      <c r="AO809" s="82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2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4"/>
      <c r="V810" s="80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2"/>
      <c r="AH810" s="330"/>
      <c r="AI810" s="330"/>
      <c r="AJ810" s="331"/>
      <c r="AK810" s="80"/>
      <c r="AL810" s="331"/>
      <c r="AM810" s="82"/>
      <c r="AN810" s="82"/>
      <c r="AO810" s="82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80"/>
      <c r="BI810" s="80"/>
      <c r="BJ810" s="80"/>
      <c r="BK810" s="80"/>
      <c r="BL810" s="80"/>
      <c r="BM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2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4"/>
      <c r="V811" s="80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2"/>
      <c r="AH811" s="330"/>
      <c r="AI811" s="330"/>
      <c r="AJ811" s="331"/>
      <c r="AK811" s="80"/>
      <c r="AL811" s="331"/>
      <c r="AM811" s="82"/>
      <c r="AN811" s="82"/>
      <c r="AO811" s="82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/>
      <c r="BJ811" s="80"/>
      <c r="BK811" s="80"/>
      <c r="BL811" s="80"/>
      <c r="BM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2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4"/>
      <c r="V812" s="80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2"/>
      <c r="AH812" s="330"/>
      <c r="AI812" s="330"/>
      <c r="AJ812" s="331"/>
      <c r="AK812" s="80"/>
      <c r="AL812" s="331"/>
      <c r="AM812" s="82"/>
      <c r="AN812" s="82"/>
      <c r="AO812" s="82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80"/>
      <c r="BI812" s="80"/>
      <c r="BJ812" s="80"/>
      <c r="BK812" s="80"/>
      <c r="BL812" s="80"/>
      <c r="BM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2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4"/>
      <c r="V813" s="80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2"/>
      <c r="AH813" s="330"/>
      <c r="AI813" s="330"/>
      <c r="AJ813" s="331"/>
      <c r="AK813" s="80"/>
      <c r="AL813" s="331"/>
      <c r="AM813" s="82"/>
      <c r="AN813" s="82"/>
      <c r="AO813" s="82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2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4"/>
      <c r="V814" s="80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2"/>
      <c r="AH814" s="330"/>
      <c r="AI814" s="330"/>
      <c r="AJ814" s="331"/>
      <c r="AK814" s="80"/>
      <c r="AL814" s="331"/>
      <c r="AM814" s="82"/>
      <c r="AN814" s="82"/>
      <c r="AO814" s="82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80"/>
      <c r="BI814" s="80"/>
      <c r="BJ814" s="80"/>
      <c r="BK814" s="80"/>
      <c r="BL814" s="80"/>
      <c r="BM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2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4"/>
      <c r="V815" s="80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2"/>
      <c r="AH815" s="330"/>
      <c r="AI815" s="330"/>
      <c r="AJ815" s="331"/>
      <c r="AK815" s="80"/>
      <c r="AL815" s="331"/>
      <c r="AM815" s="82"/>
      <c r="AN815" s="82"/>
      <c r="AO815" s="82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2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4"/>
      <c r="V816" s="80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2"/>
      <c r="AH816" s="330"/>
      <c r="AI816" s="330"/>
      <c r="AJ816" s="331"/>
      <c r="AK816" s="80"/>
      <c r="AL816" s="331"/>
      <c r="AM816" s="82"/>
      <c r="AN816" s="82"/>
      <c r="AO816" s="82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/>
      <c r="BJ816" s="80"/>
      <c r="BK816" s="80"/>
      <c r="BL816" s="80"/>
      <c r="BM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2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4"/>
      <c r="V817" s="80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2"/>
      <c r="AH817" s="330"/>
      <c r="AI817" s="330"/>
      <c r="AJ817" s="331"/>
      <c r="AK817" s="80"/>
      <c r="AL817" s="331"/>
      <c r="AM817" s="82"/>
      <c r="AN817" s="82"/>
      <c r="AO817" s="82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2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4"/>
      <c r="V818" s="80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2"/>
      <c r="AH818" s="330"/>
      <c r="AI818" s="330"/>
      <c r="AJ818" s="331"/>
      <c r="AK818" s="80"/>
      <c r="AL818" s="331"/>
      <c r="AM818" s="82"/>
      <c r="AN818" s="82"/>
      <c r="AO818" s="82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80"/>
      <c r="BI818" s="80"/>
      <c r="BJ818" s="80"/>
      <c r="BK818" s="80"/>
      <c r="BL818" s="80"/>
      <c r="BM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2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4"/>
      <c r="V819" s="80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2"/>
      <c r="AH819" s="330"/>
      <c r="AI819" s="330"/>
      <c r="AJ819" s="331"/>
      <c r="AK819" s="80"/>
      <c r="AL819" s="331"/>
      <c r="AM819" s="82"/>
      <c r="AN819" s="82"/>
      <c r="AO819" s="82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2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4"/>
      <c r="V820" s="80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2"/>
      <c r="AH820" s="330"/>
      <c r="AI820" s="330"/>
      <c r="AJ820" s="331"/>
      <c r="AK820" s="80"/>
      <c r="AL820" s="331"/>
      <c r="AM820" s="82"/>
      <c r="AN820" s="82"/>
      <c r="AO820" s="82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80"/>
      <c r="BI820" s="80"/>
      <c r="BJ820" s="80"/>
      <c r="BK820" s="80"/>
      <c r="BL820" s="80"/>
      <c r="BM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2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4"/>
      <c r="V821" s="80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2"/>
      <c r="AH821" s="330"/>
      <c r="AI821" s="330"/>
      <c r="AJ821" s="331"/>
      <c r="AK821" s="80"/>
      <c r="AL821" s="331"/>
      <c r="AM821" s="82"/>
      <c r="AN821" s="82"/>
      <c r="AO821" s="82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80"/>
      <c r="BI821" s="80"/>
      <c r="BJ821" s="80"/>
      <c r="BK821" s="80"/>
      <c r="BL821" s="80"/>
      <c r="BM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2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4"/>
      <c r="V822" s="80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2"/>
      <c r="AH822" s="330"/>
      <c r="AI822" s="330"/>
      <c r="AJ822" s="331"/>
      <c r="AK822" s="80"/>
      <c r="AL822" s="331"/>
      <c r="AM822" s="82"/>
      <c r="AN822" s="82"/>
      <c r="AO822" s="82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80"/>
      <c r="BI822" s="80"/>
      <c r="BJ822" s="80"/>
      <c r="BK822" s="80"/>
      <c r="BL822" s="80"/>
      <c r="BM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2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4"/>
      <c r="V823" s="80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2"/>
      <c r="AH823" s="330"/>
      <c r="AI823" s="330"/>
      <c r="AJ823" s="331"/>
      <c r="AK823" s="80"/>
      <c r="AL823" s="331"/>
      <c r="AM823" s="82"/>
      <c r="AN823" s="82"/>
      <c r="AO823" s="82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80"/>
      <c r="BI823" s="80"/>
      <c r="BJ823" s="80"/>
      <c r="BK823" s="80"/>
      <c r="BL823" s="80"/>
      <c r="BM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2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4"/>
      <c r="V824" s="80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2"/>
      <c r="AH824" s="330"/>
      <c r="AI824" s="330"/>
      <c r="AJ824" s="331"/>
      <c r="AK824" s="80"/>
      <c r="AL824" s="331"/>
      <c r="AM824" s="82"/>
      <c r="AN824" s="82"/>
      <c r="AO824" s="82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80"/>
      <c r="BI824" s="80"/>
      <c r="BJ824" s="80"/>
      <c r="BK824" s="80"/>
      <c r="BL824" s="80"/>
      <c r="BM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2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4"/>
      <c r="V825" s="80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2"/>
      <c r="AH825" s="330"/>
      <c r="AI825" s="330"/>
      <c r="AJ825" s="331"/>
      <c r="AK825" s="80"/>
      <c r="AL825" s="331"/>
      <c r="AM825" s="82"/>
      <c r="AN825" s="82"/>
      <c r="AO825" s="82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2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4"/>
      <c r="V826" s="80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2"/>
      <c r="AH826" s="330"/>
      <c r="AI826" s="330"/>
      <c r="AJ826" s="331"/>
      <c r="AK826" s="80"/>
      <c r="AL826" s="331"/>
      <c r="AM826" s="82"/>
      <c r="AN826" s="82"/>
      <c r="AO826" s="82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  <c r="BE826" s="80"/>
      <c r="BF826" s="80"/>
      <c r="BG826" s="80"/>
      <c r="BH826" s="80"/>
      <c r="BI826" s="80"/>
      <c r="BJ826" s="80"/>
      <c r="BK826" s="80"/>
      <c r="BL826" s="80"/>
      <c r="BM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2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4"/>
      <c r="V827" s="80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2"/>
      <c r="AH827" s="330"/>
      <c r="AI827" s="330"/>
      <c r="AJ827" s="331"/>
      <c r="AK827" s="80"/>
      <c r="AL827" s="331"/>
      <c r="AM827" s="82"/>
      <c r="AN827" s="82"/>
      <c r="AO827" s="82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80"/>
      <c r="BI827" s="80"/>
      <c r="BJ827" s="80"/>
      <c r="BK827" s="80"/>
      <c r="BL827" s="80"/>
      <c r="BM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2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4"/>
      <c r="V828" s="80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2"/>
      <c r="AH828" s="330"/>
      <c r="AI828" s="330"/>
      <c r="AJ828" s="331"/>
      <c r="AK828" s="80"/>
      <c r="AL828" s="331"/>
      <c r="AM828" s="82"/>
      <c r="AN828" s="82"/>
      <c r="AO828" s="82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80"/>
      <c r="BI828" s="80"/>
      <c r="BJ828" s="80"/>
      <c r="BK828" s="80"/>
      <c r="BL828" s="80"/>
      <c r="BM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2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4"/>
      <c r="V829" s="80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2"/>
      <c r="AH829" s="330"/>
      <c r="AI829" s="330"/>
      <c r="AJ829" s="331"/>
      <c r="AK829" s="80"/>
      <c r="AL829" s="331"/>
      <c r="AM829" s="82"/>
      <c r="AN829" s="82"/>
      <c r="AO829" s="82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2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4"/>
      <c r="V830" s="80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2"/>
      <c r="AH830" s="330"/>
      <c r="AI830" s="330"/>
      <c r="AJ830" s="331"/>
      <c r="AK830" s="80"/>
      <c r="AL830" s="331"/>
      <c r="AM830" s="82"/>
      <c r="AN830" s="82"/>
      <c r="AO830" s="82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80"/>
      <c r="BI830" s="80"/>
      <c r="BJ830" s="80"/>
      <c r="BK830" s="80"/>
      <c r="BL830" s="80"/>
      <c r="BM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2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4"/>
      <c r="V831" s="80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2"/>
      <c r="AH831" s="330"/>
      <c r="AI831" s="330"/>
      <c r="AJ831" s="331"/>
      <c r="AK831" s="80"/>
      <c r="AL831" s="331"/>
      <c r="AM831" s="82"/>
      <c r="AN831" s="82"/>
      <c r="AO831" s="82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2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4"/>
      <c r="V832" s="80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2"/>
      <c r="AH832" s="330"/>
      <c r="AI832" s="330"/>
      <c r="AJ832" s="331"/>
      <c r="AK832" s="80"/>
      <c r="AL832" s="331"/>
      <c r="AM832" s="82"/>
      <c r="AN832" s="82"/>
      <c r="AO832" s="82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80"/>
      <c r="BI832" s="80"/>
      <c r="BJ832" s="80"/>
      <c r="BK832" s="80"/>
      <c r="BL832" s="80"/>
      <c r="BM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2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4"/>
      <c r="V833" s="80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2"/>
      <c r="AH833" s="330"/>
      <c r="AI833" s="330"/>
      <c r="AJ833" s="331"/>
      <c r="AK833" s="80"/>
      <c r="AL833" s="331"/>
      <c r="AM833" s="82"/>
      <c r="AN833" s="82"/>
      <c r="AO833" s="82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2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4"/>
      <c r="V834" s="80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2"/>
      <c r="AH834" s="330"/>
      <c r="AI834" s="330"/>
      <c r="AJ834" s="331"/>
      <c r="AK834" s="80"/>
      <c r="AL834" s="331"/>
      <c r="AM834" s="82"/>
      <c r="AN834" s="82"/>
      <c r="AO834" s="82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80"/>
      <c r="BI834" s="80"/>
      <c r="BJ834" s="80"/>
      <c r="BK834" s="80"/>
      <c r="BL834" s="80"/>
      <c r="BM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2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4"/>
      <c r="V835" s="80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2"/>
      <c r="AH835" s="330"/>
      <c r="AI835" s="330"/>
      <c r="AJ835" s="331"/>
      <c r="AK835" s="80"/>
      <c r="AL835" s="331"/>
      <c r="AM835" s="82"/>
      <c r="AN835" s="82"/>
      <c r="AO835" s="82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80"/>
      <c r="BI835" s="80"/>
      <c r="BJ835" s="80"/>
      <c r="BK835" s="80"/>
      <c r="BL835" s="80"/>
      <c r="BM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2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4"/>
      <c r="V836" s="80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2"/>
      <c r="AH836" s="330"/>
      <c r="AI836" s="330"/>
      <c r="AJ836" s="331"/>
      <c r="AK836" s="80"/>
      <c r="AL836" s="331"/>
      <c r="AM836" s="82"/>
      <c r="AN836" s="82"/>
      <c r="AO836" s="82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80"/>
      <c r="BI836" s="80"/>
      <c r="BJ836" s="80"/>
      <c r="BK836" s="80"/>
      <c r="BL836" s="80"/>
      <c r="BM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2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4"/>
      <c r="V837" s="80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2"/>
      <c r="AH837" s="330"/>
      <c r="AI837" s="330"/>
      <c r="AJ837" s="331"/>
      <c r="AK837" s="80"/>
      <c r="AL837" s="331"/>
      <c r="AM837" s="82"/>
      <c r="AN837" s="82"/>
      <c r="AO837" s="82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2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4"/>
      <c r="V838" s="80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2"/>
      <c r="AH838" s="330"/>
      <c r="AI838" s="330"/>
      <c r="AJ838" s="331"/>
      <c r="AK838" s="80"/>
      <c r="AL838" s="331"/>
      <c r="AM838" s="82"/>
      <c r="AN838" s="82"/>
      <c r="AO838" s="82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80"/>
      <c r="BI838" s="80"/>
      <c r="BJ838" s="80"/>
      <c r="BK838" s="80"/>
      <c r="BL838" s="80"/>
      <c r="BM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2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4"/>
      <c r="V839" s="80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2"/>
      <c r="AH839" s="330"/>
      <c r="AI839" s="330"/>
      <c r="AJ839" s="331"/>
      <c r="AK839" s="80"/>
      <c r="AL839" s="331"/>
      <c r="AM839" s="82"/>
      <c r="AN839" s="82"/>
      <c r="AO839" s="82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2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4"/>
      <c r="V840" s="80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2"/>
      <c r="AH840" s="330"/>
      <c r="AI840" s="330"/>
      <c r="AJ840" s="331"/>
      <c r="AK840" s="80"/>
      <c r="AL840" s="331"/>
      <c r="AM840" s="82"/>
      <c r="AN840" s="82"/>
      <c r="AO840" s="82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80"/>
      <c r="BI840" s="80"/>
      <c r="BJ840" s="80"/>
      <c r="BK840" s="80"/>
      <c r="BL840" s="80"/>
      <c r="BM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2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4"/>
      <c r="V841" s="80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2"/>
      <c r="AH841" s="330"/>
      <c r="AI841" s="330"/>
      <c r="AJ841" s="331"/>
      <c r="AK841" s="80"/>
      <c r="AL841" s="331"/>
      <c r="AM841" s="82"/>
      <c r="AN841" s="82"/>
      <c r="AO841" s="82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2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4"/>
      <c r="V842" s="80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2"/>
      <c r="AH842" s="330"/>
      <c r="AI842" s="330"/>
      <c r="AJ842" s="331"/>
      <c r="AK842" s="80"/>
      <c r="AL842" s="331"/>
      <c r="AM842" s="82"/>
      <c r="AN842" s="82"/>
      <c r="AO842" s="82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80"/>
      <c r="BI842" s="80"/>
      <c r="BJ842" s="80"/>
      <c r="BK842" s="80"/>
      <c r="BL842" s="80"/>
      <c r="BM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2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4"/>
      <c r="V843" s="80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2"/>
      <c r="AH843" s="330"/>
      <c r="AI843" s="330"/>
      <c r="AJ843" s="331"/>
      <c r="AK843" s="80"/>
      <c r="AL843" s="331"/>
      <c r="AM843" s="82"/>
      <c r="AN843" s="82"/>
      <c r="AO843" s="82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2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4"/>
      <c r="V844" s="80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2"/>
      <c r="AH844" s="330"/>
      <c r="AI844" s="330"/>
      <c r="AJ844" s="331"/>
      <c r="AK844" s="80"/>
      <c r="AL844" s="331"/>
      <c r="AM844" s="82"/>
      <c r="AN844" s="82"/>
      <c r="AO844" s="82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80"/>
      <c r="BI844" s="80"/>
      <c r="BJ844" s="80"/>
      <c r="BK844" s="80"/>
      <c r="BL844" s="80"/>
      <c r="BM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2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4"/>
      <c r="V845" s="80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2"/>
      <c r="AH845" s="330"/>
      <c r="AI845" s="330"/>
      <c r="AJ845" s="331"/>
      <c r="AK845" s="80"/>
      <c r="AL845" s="331"/>
      <c r="AM845" s="82"/>
      <c r="AN845" s="82"/>
      <c r="AO845" s="82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80"/>
      <c r="BI845" s="80"/>
      <c r="BJ845" s="80"/>
      <c r="BK845" s="80"/>
      <c r="BL845" s="80"/>
      <c r="BM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2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4"/>
      <c r="V846" s="80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2"/>
      <c r="AH846" s="330"/>
      <c r="AI846" s="330"/>
      <c r="AJ846" s="331"/>
      <c r="AK846" s="80"/>
      <c r="AL846" s="331"/>
      <c r="AM846" s="82"/>
      <c r="AN846" s="82"/>
      <c r="AO846" s="82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80"/>
      <c r="BI846" s="80"/>
      <c r="BJ846" s="80"/>
      <c r="BK846" s="80"/>
      <c r="BL846" s="80"/>
      <c r="BM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2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4"/>
      <c r="V847" s="80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2"/>
      <c r="AH847" s="330"/>
      <c r="AI847" s="330"/>
      <c r="AJ847" s="331"/>
      <c r="AK847" s="80"/>
      <c r="AL847" s="331"/>
      <c r="AM847" s="82"/>
      <c r="AN847" s="82"/>
      <c r="AO847" s="82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2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4"/>
      <c r="V848" s="80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2"/>
      <c r="AH848" s="330"/>
      <c r="AI848" s="330"/>
      <c r="AJ848" s="331"/>
      <c r="AK848" s="80"/>
      <c r="AL848" s="331"/>
      <c r="AM848" s="82"/>
      <c r="AN848" s="82"/>
      <c r="AO848" s="82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80"/>
      <c r="BI848" s="80"/>
      <c r="BJ848" s="80"/>
      <c r="BK848" s="80"/>
      <c r="BL848" s="80"/>
      <c r="BM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2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4"/>
      <c r="V849" s="80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2"/>
      <c r="AH849" s="330"/>
      <c r="AI849" s="330"/>
      <c r="AJ849" s="331"/>
      <c r="AK849" s="80"/>
      <c r="AL849" s="331"/>
      <c r="AM849" s="82"/>
      <c r="AN849" s="82"/>
      <c r="AO849" s="82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2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4"/>
      <c r="V850" s="80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2"/>
      <c r="AH850" s="330"/>
      <c r="AI850" s="330"/>
      <c r="AJ850" s="331"/>
      <c r="AK850" s="80"/>
      <c r="AL850" s="331"/>
      <c r="AM850" s="82"/>
      <c r="AN850" s="82"/>
      <c r="AO850" s="82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80"/>
      <c r="BI850" s="80"/>
      <c r="BJ850" s="80"/>
      <c r="BK850" s="80"/>
      <c r="BL850" s="80"/>
      <c r="BM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2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4"/>
      <c r="V851" s="80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2"/>
      <c r="AH851" s="330"/>
      <c r="AI851" s="330"/>
      <c r="AJ851" s="331"/>
      <c r="AK851" s="80"/>
      <c r="AL851" s="331"/>
      <c r="AM851" s="82"/>
      <c r="AN851" s="82"/>
      <c r="AO851" s="82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2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4"/>
      <c r="V852" s="80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2"/>
      <c r="AH852" s="330"/>
      <c r="AI852" s="330"/>
      <c r="AJ852" s="331"/>
      <c r="AK852" s="80"/>
      <c r="AL852" s="331"/>
      <c r="AM852" s="82"/>
      <c r="AN852" s="82"/>
      <c r="AO852" s="82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80"/>
      <c r="BI852" s="80"/>
      <c r="BJ852" s="80"/>
      <c r="BK852" s="80"/>
      <c r="BL852" s="80"/>
      <c r="BM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2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4"/>
      <c r="V853" s="80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2"/>
      <c r="AH853" s="330"/>
      <c r="AI853" s="330"/>
      <c r="AJ853" s="331"/>
      <c r="AK853" s="80"/>
      <c r="AL853" s="331"/>
      <c r="AM853" s="82"/>
      <c r="AN853" s="82"/>
      <c r="AO853" s="82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2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4"/>
      <c r="V854" s="80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2"/>
      <c r="AH854" s="330"/>
      <c r="AI854" s="330"/>
      <c r="AJ854" s="331"/>
      <c r="AK854" s="80"/>
      <c r="AL854" s="331"/>
      <c r="AM854" s="82"/>
      <c r="AN854" s="82"/>
      <c r="AO854" s="82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80"/>
      <c r="BI854" s="80"/>
      <c r="BJ854" s="80"/>
      <c r="BK854" s="80"/>
      <c r="BL854" s="80"/>
      <c r="BM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2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4"/>
      <c r="V855" s="80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2"/>
      <c r="AH855" s="330"/>
      <c r="AI855" s="330"/>
      <c r="AJ855" s="331"/>
      <c r="AK855" s="80"/>
      <c r="AL855" s="331"/>
      <c r="AM855" s="82"/>
      <c r="AN855" s="82"/>
      <c r="AO855" s="82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2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4"/>
      <c r="V856" s="80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2"/>
      <c r="AH856" s="330"/>
      <c r="AI856" s="330"/>
      <c r="AJ856" s="331"/>
      <c r="AK856" s="80"/>
      <c r="AL856" s="331"/>
      <c r="AM856" s="82"/>
      <c r="AN856" s="82"/>
      <c r="AO856" s="82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  <c r="BE856" s="80"/>
      <c r="BF856" s="80"/>
      <c r="BG856" s="80"/>
      <c r="BH856" s="80"/>
      <c r="BI856" s="80"/>
      <c r="BJ856" s="80"/>
      <c r="BK856" s="80"/>
      <c r="BL856" s="80"/>
      <c r="BM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2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4"/>
      <c r="V857" s="80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2"/>
      <c r="AH857" s="330"/>
      <c r="AI857" s="330"/>
      <c r="AJ857" s="331"/>
      <c r="AK857" s="80"/>
      <c r="AL857" s="331"/>
      <c r="AM857" s="82"/>
      <c r="AN857" s="82"/>
      <c r="AO857" s="82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2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4"/>
      <c r="V858" s="80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2"/>
      <c r="AH858" s="330"/>
      <c r="AI858" s="330"/>
      <c r="AJ858" s="331"/>
      <c r="AK858" s="80"/>
      <c r="AL858" s="331"/>
      <c r="AM858" s="82"/>
      <c r="AN858" s="82"/>
      <c r="AO858" s="82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80"/>
      <c r="BI858" s="80"/>
      <c r="BJ858" s="80"/>
      <c r="BK858" s="80"/>
      <c r="BL858" s="80"/>
      <c r="BM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2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4"/>
      <c r="V859" s="80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2"/>
      <c r="AH859" s="330"/>
      <c r="AI859" s="330"/>
      <c r="AJ859" s="331"/>
      <c r="AK859" s="80"/>
      <c r="AL859" s="331"/>
      <c r="AM859" s="82"/>
      <c r="AN859" s="82"/>
      <c r="AO859" s="82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2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4"/>
      <c r="V860" s="80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2"/>
      <c r="AH860" s="330"/>
      <c r="AI860" s="330"/>
      <c r="AJ860" s="331"/>
      <c r="AK860" s="80"/>
      <c r="AL860" s="331"/>
      <c r="AM860" s="82"/>
      <c r="AN860" s="82"/>
      <c r="AO860" s="82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  <c r="BE860" s="80"/>
      <c r="BF860" s="80"/>
      <c r="BG860" s="80"/>
      <c r="BH860" s="80"/>
      <c r="BI860" s="80"/>
      <c r="BJ860" s="80"/>
      <c r="BK860" s="80"/>
      <c r="BL860" s="80"/>
      <c r="BM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2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4"/>
      <c r="V861" s="80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2"/>
      <c r="AH861" s="330"/>
      <c r="AI861" s="330"/>
      <c r="AJ861" s="331"/>
      <c r="AK861" s="80"/>
      <c r="AL861" s="331"/>
      <c r="AM861" s="82"/>
      <c r="AN861" s="82"/>
      <c r="AO861" s="82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2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4"/>
      <c r="V862" s="80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2"/>
      <c r="AH862" s="330"/>
      <c r="AI862" s="330"/>
      <c r="AJ862" s="331"/>
      <c r="AK862" s="80"/>
      <c r="AL862" s="331"/>
      <c r="AM862" s="82"/>
      <c r="AN862" s="82"/>
      <c r="AO862" s="82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80"/>
      <c r="BI862" s="80"/>
      <c r="BJ862" s="80"/>
      <c r="BK862" s="80"/>
      <c r="BL862" s="80"/>
      <c r="BM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2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4"/>
      <c r="V863" s="80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2"/>
      <c r="AH863" s="330"/>
      <c r="AI863" s="330"/>
      <c r="AJ863" s="331"/>
      <c r="AK863" s="80"/>
      <c r="AL863" s="331"/>
      <c r="AM863" s="82"/>
      <c r="AN863" s="82"/>
      <c r="AO863" s="82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2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4"/>
      <c r="V864" s="80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2"/>
      <c r="AH864" s="330"/>
      <c r="AI864" s="330"/>
      <c r="AJ864" s="331"/>
      <c r="AK864" s="80"/>
      <c r="AL864" s="331"/>
      <c r="AM864" s="82"/>
      <c r="AN864" s="82"/>
      <c r="AO864" s="82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80"/>
      <c r="BI864" s="80"/>
      <c r="BJ864" s="80"/>
      <c r="BK864" s="80"/>
      <c r="BL864" s="80"/>
      <c r="BM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2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4"/>
      <c r="V865" s="80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2"/>
      <c r="AH865" s="330"/>
      <c r="AI865" s="330"/>
      <c r="AJ865" s="331"/>
      <c r="AK865" s="80"/>
      <c r="AL865" s="331"/>
      <c r="AM865" s="82"/>
      <c r="AN865" s="82"/>
      <c r="AO865" s="82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80"/>
      <c r="BI865" s="80"/>
      <c r="BJ865" s="80"/>
      <c r="BK865" s="80"/>
      <c r="BL865" s="80"/>
      <c r="BM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2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4"/>
      <c r="V866" s="80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2"/>
      <c r="AH866" s="330"/>
      <c r="AI866" s="330"/>
      <c r="AJ866" s="331"/>
      <c r="AK866" s="80"/>
      <c r="AL866" s="331"/>
      <c r="AM866" s="82"/>
      <c r="AN866" s="82"/>
      <c r="AO866" s="82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  <c r="BE866" s="80"/>
      <c r="BF866" s="80"/>
      <c r="BG866" s="80"/>
      <c r="BH866" s="80"/>
      <c r="BI866" s="80"/>
      <c r="BJ866" s="80"/>
      <c r="BK866" s="80"/>
      <c r="BL866" s="80"/>
      <c r="BM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2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4"/>
      <c r="V867" s="80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2"/>
      <c r="AH867" s="330"/>
      <c r="AI867" s="330"/>
      <c r="AJ867" s="331"/>
      <c r="AK867" s="80"/>
      <c r="AL867" s="331"/>
      <c r="AM867" s="82"/>
      <c r="AN867" s="82"/>
      <c r="AO867" s="82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2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4"/>
      <c r="V868" s="80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2"/>
      <c r="AH868" s="330"/>
      <c r="AI868" s="330"/>
      <c r="AJ868" s="331"/>
      <c r="AK868" s="80"/>
      <c r="AL868" s="331"/>
      <c r="AM868" s="82"/>
      <c r="AN868" s="82"/>
      <c r="AO868" s="82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80"/>
      <c r="BI868" s="80"/>
      <c r="BJ868" s="80"/>
      <c r="BK868" s="80"/>
      <c r="BL868" s="80"/>
      <c r="BM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2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4"/>
      <c r="V869" s="80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2"/>
      <c r="AH869" s="330"/>
      <c r="AI869" s="330"/>
      <c r="AJ869" s="331"/>
      <c r="AK869" s="80"/>
      <c r="AL869" s="331"/>
      <c r="AM869" s="82"/>
      <c r="AN869" s="82"/>
      <c r="AO869" s="82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2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4"/>
      <c r="V870" s="80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2"/>
      <c r="AH870" s="330"/>
      <c r="AI870" s="330"/>
      <c r="AJ870" s="331"/>
      <c r="AK870" s="80"/>
      <c r="AL870" s="331"/>
      <c r="AM870" s="82"/>
      <c r="AN870" s="82"/>
      <c r="AO870" s="82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  <c r="BE870" s="80"/>
      <c r="BF870" s="80"/>
      <c r="BG870" s="80"/>
      <c r="BH870" s="80"/>
      <c r="BI870" s="80"/>
      <c r="BJ870" s="80"/>
      <c r="BK870" s="80"/>
      <c r="BL870" s="80"/>
      <c r="BM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2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4"/>
      <c r="V871" s="80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2"/>
      <c r="AH871" s="330"/>
      <c r="AI871" s="330"/>
      <c r="AJ871" s="331"/>
      <c r="AK871" s="80"/>
      <c r="AL871" s="331"/>
      <c r="AM871" s="82"/>
      <c r="AN871" s="82"/>
      <c r="AO871" s="82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2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4"/>
      <c r="V872" s="80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2"/>
      <c r="AH872" s="330"/>
      <c r="AI872" s="330"/>
      <c r="AJ872" s="331"/>
      <c r="AK872" s="80"/>
      <c r="AL872" s="331"/>
      <c r="AM872" s="82"/>
      <c r="AN872" s="82"/>
      <c r="AO872" s="82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80"/>
      <c r="BI872" s="80"/>
      <c r="BJ872" s="80"/>
      <c r="BK872" s="80"/>
      <c r="BL872" s="80"/>
      <c r="BM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2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4"/>
      <c r="V873" s="80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2"/>
      <c r="AH873" s="330"/>
      <c r="AI873" s="330"/>
      <c r="AJ873" s="331"/>
      <c r="AK873" s="80"/>
      <c r="AL873" s="331"/>
      <c r="AM873" s="82"/>
      <c r="AN873" s="82"/>
      <c r="AO873" s="82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2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4"/>
      <c r="V874" s="80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2"/>
      <c r="AH874" s="330"/>
      <c r="AI874" s="330"/>
      <c r="AJ874" s="331"/>
      <c r="AK874" s="80"/>
      <c r="AL874" s="331"/>
      <c r="AM874" s="82"/>
      <c r="AN874" s="82"/>
      <c r="AO874" s="82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  <c r="BE874" s="80"/>
      <c r="BF874" s="80"/>
      <c r="BG874" s="80"/>
      <c r="BH874" s="80"/>
      <c r="BI874" s="80"/>
      <c r="BJ874" s="80"/>
      <c r="BK874" s="80"/>
      <c r="BL874" s="80"/>
      <c r="BM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2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4"/>
      <c r="V875" s="80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2"/>
      <c r="AH875" s="330"/>
      <c r="AI875" s="330"/>
      <c r="AJ875" s="331"/>
      <c r="AK875" s="80"/>
      <c r="AL875" s="331"/>
      <c r="AM875" s="82"/>
      <c r="AN875" s="82"/>
      <c r="AO875" s="82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2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4"/>
      <c r="V876" s="80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2"/>
      <c r="AH876" s="330"/>
      <c r="AI876" s="330"/>
      <c r="AJ876" s="331"/>
      <c r="AK876" s="80"/>
      <c r="AL876" s="331"/>
      <c r="AM876" s="82"/>
      <c r="AN876" s="82"/>
      <c r="AO876" s="82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80"/>
      <c r="BI876" s="80"/>
      <c r="BJ876" s="80"/>
      <c r="BK876" s="80"/>
      <c r="BL876" s="80"/>
      <c r="BM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2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4"/>
      <c r="V877" s="80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2"/>
      <c r="AH877" s="330"/>
      <c r="AI877" s="330"/>
      <c r="AJ877" s="331"/>
      <c r="AK877" s="80"/>
      <c r="AL877" s="331"/>
      <c r="AM877" s="82"/>
      <c r="AN877" s="82"/>
      <c r="AO877" s="82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2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4"/>
      <c r="V878" s="80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2"/>
      <c r="AH878" s="330"/>
      <c r="AI878" s="330"/>
      <c r="AJ878" s="331"/>
      <c r="AK878" s="80"/>
      <c r="AL878" s="331"/>
      <c r="AM878" s="82"/>
      <c r="AN878" s="82"/>
      <c r="AO878" s="82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80"/>
      <c r="BI878" s="80"/>
      <c r="BJ878" s="80"/>
      <c r="BK878" s="80"/>
      <c r="BL878" s="80"/>
      <c r="BM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2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4"/>
      <c r="V879" s="80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2"/>
      <c r="AH879" s="330"/>
      <c r="AI879" s="330"/>
      <c r="AJ879" s="331"/>
      <c r="AK879" s="80"/>
      <c r="AL879" s="331"/>
      <c r="AM879" s="82"/>
      <c r="AN879" s="82"/>
      <c r="AO879" s="82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2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4"/>
      <c r="V880" s="80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2"/>
      <c r="AH880" s="330"/>
      <c r="AI880" s="330"/>
      <c r="AJ880" s="331"/>
      <c r="AK880" s="80"/>
      <c r="AL880" s="331"/>
      <c r="AM880" s="82"/>
      <c r="AN880" s="82"/>
      <c r="AO880" s="82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  <c r="BE880" s="80"/>
      <c r="BF880" s="80"/>
      <c r="BG880" s="80"/>
      <c r="BH880" s="80"/>
      <c r="BI880" s="80"/>
      <c r="BJ880" s="80"/>
      <c r="BK880" s="80"/>
      <c r="BL880" s="80"/>
      <c r="BM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2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4"/>
      <c r="V881" s="80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2"/>
      <c r="AH881" s="330"/>
      <c r="AI881" s="330"/>
      <c r="AJ881" s="331"/>
      <c r="AK881" s="80"/>
      <c r="AL881" s="331"/>
      <c r="AM881" s="82"/>
      <c r="AN881" s="82"/>
      <c r="AO881" s="82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80"/>
      <c r="BI881" s="80"/>
      <c r="BJ881" s="80"/>
      <c r="BK881" s="80"/>
      <c r="BL881" s="80"/>
      <c r="BM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2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4"/>
      <c r="V882" s="80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2"/>
      <c r="AH882" s="330"/>
      <c r="AI882" s="330"/>
      <c r="AJ882" s="331"/>
      <c r="AK882" s="80"/>
      <c r="AL882" s="331"/>
      <c r="AM882" s="82"/>
      <c r="AN882" s="82"/>
      <c r="AO882" s="82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80"/>
      <c r="BI882" s="80"/>
      <c r="BJ882" s="80"/>
      <c r="BK882" s="80"/>
      <c r="BL882" s="80"/>
      <c r="BM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2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4"/>
      <c r="V883" s="80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2"/>
      <c r="AH883" s="330"/>
      <c r="AI883" s="330"/>
      <c r="AJ883" s="331"/>
      <c r="AK883" s="80"/>
      <c r="AL883" s="331"/>
      <c r="AM883" s="82"/>
      <c r="AN883" s="82"/>
      <c r="AO883" s="82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2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4"/>
      <c r="V884" s="80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2"/>
      <c r="AH884" s="330"/>
      <c r="AI884" s="330"/>
      <c r="AJ884" s="331"/>
      <c r="AK884" s="80"/>
      <c r="AL884" s="331"/>
      <c r="AM884" s="82"/>
      <c r="AN884" s="82"/>
      <c r="AO884" s="82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80"/>
      <c r="BI884" s="80"/>
      <c r="BJ884" s="80"/>
      <c r="BK884" s="80"/>
      <c r="BL884" s="80"/>
      <c r="BM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2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4"/>
      <c r="V885" s="80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2"/>
      <c r="AH885" s="330"/>
      <c r="AI885" s="330"/>
      <c r="AJ885" s="331"/>
      <c r="AK885" s="80"/>
      <c r="AL885" s="331"/>
      <c r="AM885" s="82"/>
      <c r="AN885" s="82"/>
      <c r="AO885" s="82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2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4"/>
      <c r="V886" s="80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2"/>
      <c r="AH886" s="330"/>
      <c r="AI886" s="330"/>
      <c r="AJ886" s="331"/>
      <c r="AK886" s="80"/>
      <c r="AL886" s="331"/>
      <c r="AM886" s="82"/>
      <c r="AN886" s="82"/>
      <c r="AO886" s="82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80"/>
      <c r="BI886" s="80"/>
      <c r="BJ886" s="80"/>
      <c r="BK886" s="80"/>
      <c r="BL886" s="80"/>
      <c r="BM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2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4"/>
      <c r="V887" s="80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2"/>
      <c r="AH887" s="330"/>
      <c r="AI887" s="330"/>
      <c r="AJ887" s="331"/>
      <c r="AK887" s="80"/>
      <c r="AL887" s="331"/>
      <c r="AM887" s="82"/>
      <c r="AN887" s="82"/>
      <c r="AO887" s="82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2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4"/>
      <c r="V888" s="80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2"/>
      <c r="AH888" s="330"/>
      <c r="AI888" s="330"/>
      <c r="AJ888" s="331"/>
      <c r="AK888" s="80"/>
      <c r="AL888" s="331"/>
      <c r="AM888" s="82"/>
      <c r="AN888" s="82"/>
      <c r="AO888" s="82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  <c r="BE888" s="80"/>
      <c r="BF888" s="80"/>
      <c r="BG888" s="80"/>
      <c r="BH888" s="80"/>
      <c r="BI888" s="80"/>
      <c r="BJ888" s="80"/>
      <c r="BK888" s="80"/>
      <c r="BL888" s="80"/>
      <c r="BM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2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4"/>
      <c r="V889" s="80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2"/>
      <c r="AH889" s="330"/>
      <c r="AI889" s="330"/>
      <c r="AJ889" s="331"/>
      <c r="AK889" s="80"/>
      <c r="AL889" s="331"/>
      <c r="AM889" s="82"/>
      <c r="AN889" s="82"/>
      <c r="AO889" s="82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2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4"/>
      <c r="V890" s="80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2"/>
      <c r="AH890" s="330"/>
      <c r="AI890" s="330"/>
      <c r="AJ890" s="331"/>
      <c r="AK890" s="80"/>
      <c r="AL890" s="331"/>
      <c r="AM890" s="82"/>
      <c r="AN890" s="82"/>
      <c r="AO890" s="82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80"/>
      <c r="BI890" s="80"/>
      <c r="BJ890" s="80"/>
      <c r="BK890" s="80"/>
      <c r="BL890" s="80"/>
      <c r="BM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2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4"/>
      <c r="V891" s="80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2"/>
      <c r="AH891" s="330"/>
      <c r="AI891" s="330"/>
      <c r="AJ891" s="331"/>
      <c r="AK891" s="80"/>
      <c r="AL891" s="331"/>
      <c r="AM891" s="82"/>
      <c r="AN891" s="82"/>
      <c r="AO891" s="82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2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4"/>
      <c r="V892" s="80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2"/>
      <c r="AH892" s="330"/>
      <c r="AI892" s="330"/>
      <c r="AJ892" s="331"/>
      <c r="AK892" s="80"/>
      <c r="AL892" s="331"/>
      <c r="AM892" s="82"/>
      <c r="AN892" s="82"/>
      <c r="AO892" s="82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80"/>
      <c r="BI892" s="80"/>
      <c r="BJ892" s="80"/>
      <c r="BK892" s="80"/>
      <c r="BL892" s="80"/>
      <c r="BM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2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4"/>
      <c r="V893" s="80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2"/>
      <c r="AH893" s="330"/>
      <c r="AI893" s="330"/>
      <c r="AJ893" s="331"/>
      <c r="AK893" s="80"/>
      <c r="AL893" s="331"/>
      <c r="AM893" s="82"/>
      <c r="AN893" s="82"/>
      <c r="AO893" s="82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2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4"/>
      <c r="V894" s="80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2"/>
      <c r="AH894" s="330"/>
      <c r="AI894" s="330"/>
      <c r="AJ894" s="331"/>
      <c r="AK894" s="80"/>
      <c r="AL894" s="331"/>
      <c r="AM894" s="82"/>
      <c r="AN894" s="82"/>
      <c r="AO894" s="82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80"/>
      <c r="BI894" s="80"/>
      <c r="BJ894" s="80"/>
      <c r="BK894" s="80"/>
      <c r="BL894" s="80"/>
      <c r="BM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2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4"/>
      <c r="V895" s="80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2"/>
      <c r="AH895" s="330"/>
      <c r="AI895" s="330"/>
      <c r="AJ895" s="331"/>
      <c r="AK895" s="80"/>
      <c r="AL895" s="331"/>
      <c r="AM895" s="82"/>
      <c r="AN895" s="82"/>
      <c r="AO895" s="82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2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4"/>
      <c r="V896" s="80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2"/>
      <c r="AH896" s="330"/>
      <c r="AI896" s="330"/>
      <c r="AJ896" s="331"/>
      <c r="AK896" s="80"/>
      <c r="AL896" s="331"/>
      <c r="AM896" s="82"/>
      <c r="AN896" s="82"/>
      <c r="AO896" s="82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80"/>
      <c r="BI896" s="80"/>
      <c r="BJ896" s="80"/>
      <c r="BK896" s="80"/>
      <c r="BL896" s="80"/>
      <c r="BM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2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4"/>
      <c r="V897" s="80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2"/>
      <c r="AH897" s="330"/>
      <c r="AI897" s="330"/>
      <c r="AJ897" s="331"/>
      <c r="AK897" s="80"/>
      <c r="AL897" s="331"/>
      <c r="AM897" s="82"/>
      <c r="AN897" s="82"/>
      <c r="AO897" s="82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2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4"/>
      <c r="V898" s="80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2"/>
      <c r="AH898" s="330"/>
      <c r="AI898" s="330"/>
      <c r="AJ898" s="331"/>
      <c r="AK898" s="80"/>
      <c r="AL898" s="331"/>
      <c r="AM898" s="82"/>
      <c r="AN898" s="82"/>
      <c r="AO898" s="82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80"/>
      <c r="BI898" s="80"/>
      <c r="BJ898" s="80"/>
      <c r="BK898" s="80"/>
      <c r="BL898" s="80"/>
      <c r="BM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2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4"/>
      <c r="V899" s="80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2"/>
      <c r="AH899" s="330"/>
      <c r="AI899" s="330"/>
      <c r="AJ899" s="331"/>
      <c r="AK899" s="80"/>
      <c r="AL899" s="331"/>
      <c r="AM899" s="82"/>
      <c r="AN899" s="82"/>
      <c r="AO899" s="82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2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4"/>
      <c r="V900" s="80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2"/>
      <c r="AH900" s="330"/>
      <c r="AI900" s="330"/>
      <c r="AJ900" s="331"/>
      <c r="AK900" s="80"/>
      <c r="AL900" s="331"/>
      <c r="AM900" s="82"/>
      <c r="AN900" s="82"/>
      <c r="AO900" s="82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80"/>
      <c r="BI900" s="80"/>
      <c r="BJ900" s="80"/>
      <c r="BK900" s="80"/>
      <c r="BL900" s="80"/>
      <c r="BM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2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4"/>
      <c r="V901" s="80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2"/>
      <c r="AH901" s="330"/>
      <c r="AI901" s="330"/>
      <c r="AJ901" s="331"/>
      <c r="AK901" s="80"/>
      <c r="AL901" s="331"/>
      <c r="AM901" s="82"/>
      <c r="AN901" s="82"/>
      <c r="AO901" s="82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2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4"/>
      <c r="V902" s="80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2"/>
      <c r="AH902" s="330"/>
      <c r="AI902" s="330"/>
      <c r="AJ902" s="331"/>
      <c r="AK902" s="80"/>
      <c r="AL902" s="331"/>
      <c r="AM902" s="82"/>
      <c r="AN902" s="82"/>
      <c r="AO902" s="82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  <c r="BE902" s="80"/>
      <c r="BF902" s="80"/>
      <c r="BG902" s="80"/>
      <c r="BH902" s="80"/>
      <c r="BI902" s="80"/>
      <c r="BJ902" s="80"/>
      <c r="BK902" s="80"/>
      <c r="BL902" s="80"/>
      <c r="BM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2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4"/>
      <c r="V903" s="80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2"/>
      <c r="AH903" s="330"/>
      <c r="AI903" s="330"/>
      <c r="AJ903" s="331"/>
      <c r="AK903" s="80"/>
      <c r="AL903" s="331"/>
      <c r="AM903" s="82"/>
      <c r="AN903" s="82"/>
      <c r="AO903" s="82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2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4"/>
      <c r="V904" s="80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2"/>
      <c r="AH904" s="330"/>
      <c r="AI904" s="330"/>
      <c r="AJ904" s="331"/>
      <c r="AK904" s="80"/>
      <c r="AL904" s="331"/>
      <c r="AM904" s="82"/>
      <c r="AN904" s="82"/>
      <c r="AO904" s="82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80"/>
      <c r="BI904" s="80"/>
      <c r="BJ904" s="80"/>
      <c r="BK904" s="80"/>
      <c r="BL904" s="80"/>
      <c r="BM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2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4"/>
      <c r="V905" s="80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2"/>
      <c r="AH905" s="330"/>
      <c r="AI905" s="330"/>
      <c r="AJ905" s="331"/>
      <c r="AK905" s="80"/>
      <c r="AL905" s="331"/>
      <c r="AM905" s="82"/>
      <c r="AN905" s="82"/>
      <c r="AO905" s="82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2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4"/>
      <c r="V906" s="80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2"/>
      <c r="AH906" s="330"/>
      <c r="AI906" s="330"/>
      <c r="AJ906" s="331"/>
      <c r="AK906" s="80"/>
      <c r="AL906" s="331"/>
      <c r="AM906" s="82"/>
      <c r="AN906" s="82"/>
      <c r="AO906" s="82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80"/>
      <c r="BI906" s="80"/>
      <c r="BJ906" s="80"/>
      <c r="BK906" s="80"/>
      <c r="BL906" s="80"/>
      <c r="BM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2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4"/>
      <c r="V907" s="80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2"/>
      <c r="AH907" s="330"/>
      <c r="AI907" s="330"/>
      <c r="AJ907" s="331"/>
      <c r="AK907" s="80"/>
      <c r="AL907" s="331"/>
      <c r="AM907" s="82"/>
      <c r="AN907" s="82"/>
      <c r="AO907" s="82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80"/>
      <c r="BI907" s="80"/>
      <c r="BJ907" s="80"/>
      <c r="BK907" s="80"/>
      <c r="BL907" s="80"/>
      <c r="BM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2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4"/>
      <c r="V908" s="80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2"/>
      <c r="AH908" s="330"/>
      <c r="AI908" s="330"/>
      <c r="AJ908" s="331"/>
      <c r="AK908" s="80"/>
      <c r="AL908" s="331"/>
      <c r="AM908" s="82"/>
      <c r="AN908" s="82"/>
      <c r="AO908" s="82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80"/>
      <c r="BI908" s="80"/>
      <c r="BJ908" s="80"/>
      <c r="BK908" s="80"/>
      <c r="BL908" s="80"/>
      <c r="BM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2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4"/>
      <c r="V909" s="80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2"/>
      <c r="AH909" s="330"/>
      <c r="AI909" s="330"/>
      <c r="AJ909" s="331"/>
      <c r="AK909" s="80"/>
      <c r="AL909" s="331"/>
      <c r="AM909" s="82"/>
      <c r="AN909" s="82"/>
      <c r="AO909" s="82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2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4"/>
      <c r="V910" s="80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2"/>
      <c r="AH910" s="330"/>
      <c r="AI910" s="330"/>
      <c r="AJ910" s="331"/>
      <c r="AK910" s="80"/>
      <c r="AL910" s="331"/>
      <c r="AM910" s="82"/>
      <c r="AN910" s="82"/>
      <c r="AO910" s="82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80"/>
      <c r="BI910" s="80"/>
      <c r="BJ910" s="80"/>
      <c r="BK910" s="80"/>
      <c r="BL910" s="80"/>
      <c r="BM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2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4"/>
      <c r="V911" s="80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2"/>
      <c r="AH911" s="330"/>
      <c r="AI911" s="330"/>
      <c r="AJ911" s="331"/>
      <c r="AK911" s="80"/>
      <c r="AL911" s="331"/>
      <c r="AM911" s="82"/>
      <c r="AN911" s="82"/>
      <c r="AO911" s="82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2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4"/>
      <c r="V912" s="80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2"/>
      <c r="AH912" s="330"/>
      <c r="AI912" s="330"/>
      <c r="AJ912" s="331"/>
      <c r="AK912" s="80"/>
      <c r="AL912" s="331"/>
      <c r="AM912" s="82"/>
      <c r="AN912" s="82"/>
      <c r="AO912" s="82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80"/>
      <c r="BI912" s="80"/>
      <c r="BJ912" s="80"/>
      <c r="BK912" s="80"/>
      <c r="BL912" s="80"/>
      <c r="BM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2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4"/>
      <c r="V913" s="80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2"/>
      <c r="AH913" s="330"/>
      <c r="AI913" s="330"/>
      <c r="AJ913" s="331"/>
      <c r="AK913" s="80"/>
      <c r="AL913" s="331"/>
      <c r="AM913" s="82"/>
      <c r="AN913" s="82"/>
      <c r="AO913" s="82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80"/>
      <c r="BI913" s="80"/>
      <c r="BJ913" s="80"/>
      <c r="BK913" s="80"/>
      <c r="BL913" s="80"/>
      <c r="BM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2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4"/>
      <c r="V914" s="80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2"/>
      <c r="AH914" s="330"/>
      <c r="AI914" s="330"/>
      <c r="AJ914" s="331"/>
      <c r="AK914" s="80"/>
      <c r="AL914" s="331"/>
      <c r="AM914" s="82"/>
      <c r="AN914" s="82"/>
      <c r="AO914" s="82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80"/>
      <c r="BI914" s="80"/>
      <c r="BJ914" s="80"/>
      <c r="BK914" s="80"/>
      <c r="BL914" s="80"/>
      <c r="BM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2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4"/>
      <c r="V915" s="80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2"/>
      <c r="AH915" s="330"/>
      <c r="AI915" s="330"/>
      <c r="AJ915" s="331"/>
      <c r="AK915" s="80"/>
      <c r="AL915" s="331"/>
      <c r="AM915" s="82"/>
      <c r="AN915" s="82"/>
      <c r="AO915" s="82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2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4"/>
      <c r="V916" s="80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2"/>
      <c r="AH916" s="330"/>
      <c r="AI916" s="330"/>
      <c r="AJ916" s="331"/>
      <c r="AK916" s="80"/>
      <c r="AL916" s="331"/>
      <c r="AM916" s="82"/>
      <c r="AN916" s="82"/>
      <c r="AO916" s="82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80"/>
      <c r="BI916" s="80"/>
      <c r="BJ916" s="80"/>
      <c r="BK916" s="80"/>
      <c r="BL916" s="80"/>
      <c r="BM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2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4"/>
      <c r="V917" s="80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2"/>
      <c r="AH917" s="330"/>
      <c r="AI917" s="330"/>
      <c r="AJ917" s="331"/>
      <c r="AK917" s="80"/>
      <c r="AL917" s="331"/>
      <c r="AM917" s="82"/>
      <c r="AN917" s="82"/>
      <c r="AO917" s="82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2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4"/>
      <c r="V918" s="80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2"/>
      <c r="AH918" s="330"/>
      <c r="AI918" s="330"/>
      <c r="AJ918" s="331"/>
      <c r="AK918" s="80"/>
      <c r="AL918" s="331"/>
      <c r="AM918" s="82"/>
      <c r="AN918" s="82"/>
      <c r="AO918" s="82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80"/>
      <c r="BI918" s="80"/>
      <c r="BJ918" s="80"/>
      <c r="BK918" s="80"/>
      <c r="BL918" s="80"/>
      <c r="BM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2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4"/>
      <c r="V919" s="80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2"/>
      <c r="AH919" s="330"/>
      <c r="AI919" s="330"/>
      <c r="AJ919" s="331"/>
      <c r="AK919" s="80"/>
      <c r="AL919" s="331"/>
      <c r="AM919" s="82"/>
      <c r="AN919" s="82"/>
      <c r="AO919" s="82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80"/>
      <c r="BI919" s="80"/>
      <c r="BJ919" s="80"/>
      <c r="BK919" s="80"/>
      <c r="BL919" s="80"/>
      <c r="BM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2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4"/>
      <c r="V920" s="80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2"/>
      <c r="AH920" s="330"/>
      <c r="AI920" s="330"/>
      <c r="AJ920" s="331"/>
      <c r="AK920" s="80"/>
      <c r="AL920" s="331"/>
      <c r="AM920" s="82"/>
      <c r="AN920" s="82"/>
      <c r="AO920" s="82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80"/>
      <c r="BI920" s="80"/>
      <c r="BJ920" s="80"/>
      <c r="BK920" s="80"/>
      <c r="BL920" s="80"/>
      <c r="BM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2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4"/>
      <c r="V921" s="80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2"/>
      <c r="AH921" s="330"/>
      <c r="AI921" s="330"/>
      <c r="AJ921" s="331"/>
      <c r="AK921" s="80"/>
      <c r="AL921" s="331"/>
      <c r="AM921" s="82"/>
      <c r="AN921" s="82"/>
      <c r="AO921" s="82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2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4"/>
      <c r="V922" s="80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2"/>
      <c r="AH922" s="330"/>
      <c r="AI922" s="330"/>
      <c r="AJ922" s="331"/>
      <c r="AK922" s="80"/>
      <c r="AL922" s="331"/>
      <c r="AM922" s="82"/>
      <c r="AN922" s="82"/>
      <c r="AO922" s="82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80"/>
      <c r="BI922" s="80"/>
      <c r="BJ922" s="80"/>
      <c r="BK922" s="80"/>
      <c r="BL922" s="80"/>
      <c r="BM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2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4"/>
      <c r="V923" s="80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2"/>
      <c r="AH923" s="330"/>
      <c r="AI923" s="330"/>
      <c r="AJ923" s="331"/>
      <c r="AK923" s="80"/>
      <c r="AL923" s="331"/>
      <c r="AM923" s="82"/>
      <c r="AN923" s="82"/>
      <c r="AO923" s="82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2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4"/>
      <c r="V924" s="80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2"/>
      <c r="AH924" s="330"/>
      <c r="AI924" s="330"/>
      <c r="AJ924" s="331"/>
      <c r="AK924" s="80"/>
      <c r="AL924" s="331"/>
      <c r="AM924" s="82"/>
      <c r="AN924" s="82"/>
      <c r="AO924" s="82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80"/>
      <c r="BI924" s="80"/>
      <c r="BJ924" s="80"/>
      <c r="BK924" s="80"/>
      <c r="BL924" s="80"/>
      <c r="BM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2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4"/>
      <c r="V925" s="80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2"/>
      <c r="AH925" s="330"/>
      <c r="AI925" s="330"/>
      <c r="AJ925" s="331"/>
      <c r="AK925" s="80"/>
      <c r="AL925" s="331"/>
      <c r="AM925" s="82"/>
      <c r="AN925" s="82"/>
      <c r="AO925" s="82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2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4"/>
      <c r="V926" s="80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2"/>
      <c r="AH926" s="330"/>
      <c r="AI926" s="330"/>
      <c r="AJ926" s="331"/>
      <c r="AK926" s="80"/>
      <c r="AL926" s="331"/>
      <c r="AM926" s="82"/>
      <c r="AN926" s="82"/>
      <c r="AO926" s="82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  <c r="BE926" s="80"/>
      <c r="BF926" s="80"/>
      <c r="BG926" s="80"/>
      <c r="BH926" s="80"/>
      <c r="BI926" s="80"/>
      <c r="BJ926" s="80"/>
      <c r="BK926" s="80"/>
      <c r="BL926" s="80"/>
      <c r="BM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2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4"/>
      <c r="V927" s="80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2"/>
      <c r="AH927" s="330"/>
      <c r="AI927" s="330"/>
      <c r="AJ927" s="331"/>
      <c r="AK927" s="80"/>
      <c r="AL927" s="331"/>
      <c r="AM927" s="82"/>
      <c r="AN927" s="82"/>
      <c r="AO927" s="82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2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4"/>
      <c r="V928" s="80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2"/>
      <c r="AH928" s="330"/>
      <c r="AI928" s="330"/>
      <c r="AJ928" s="331"/>
      <c r="AK928" s="80"/>
      <c r="AL928" s="331"/>
      <c r="AM928" s="82"/>
      <c r="AN928" s="82"/>
      <c r="AO928" s="82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80"/>
      <c r="BI928" s="80"/>
      <c r="BJ928" s="80"/>
      <c r="BK928" s="80"/>
      <c r="BL928" s="80"/>
      <c r="BM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2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4"/>
      <c r="V929" s="80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2"/>
      <c r="AH929" s="330"/>
      <c r="AI929" s="330"/>
      <c r="AJ929" s="331"/>
      <c r="AK929" s="80"/>
      <c r="AL929" s="331"/>
      <c r="AM929" s="82"/>
      <c r="AN929" s="82"/>
      <c r="AO929" s="82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2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4"/>
      <c r="V930" s="80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2"/>
      <c r="AH930" s="330"/>
      <c r="AI930" s="330"/>
      <c r="AJ930" s="331"/>
      <c r="AK930" s="80"/>
      <c r="AL930" s="331"/>
      <c r="AM930" s="82"/>
      <c r="AN930" s="82"/>
      <c r="AO930" s="82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80"/>
      <c r="BI930" s="80"/>
      <c r="BJ930" s="80"/>
      <c r="BK930" s="80"/>
      <c r="BL930" s="80"/>
      <c r="BM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2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4"/>
      <c r="V931" s="80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2"/>
      <c r="AH931" s="330"/>
      <c r="AI931" s="330"/>
      <c r="AJ931" s="331"/>
      <c r="AK931" s="80"/>
      <c r="AL931" s="331"/>
      <c r="AM931" s="82"/>
      <c r="AN931" s="82"/>
      <c r="AO931" s="82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2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4"/>
      <c r="V932" s="80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2"/>
      <c r="AH932" s="330"/>
      <c r="AI932" s="330"/>
      <c r="AJ932" s="331"/>
      <c r="AK932" s="80"/>
      <c r="AL932" s="331"/>
      <c r="AM932" s="82"/>
      <c r="AN932" s="82"/>
      <c r="AO932" s="82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80"/>
      <c r="BI932" s="80"/>
      <c r="BJ932" s="80"/>
      <c r="BK932" s="80"/>
      <c r="BL932" s="80"/>
      <c r="BM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2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4"/>
      <c r="V933" s="80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2"/>
      <c r="AH933" s="330"/>
      <c r="AI933" s="330"/>
      <c r="AJ933" s="331"/>
      <c r="AK933" s="80"/>
      <c r="AL933" s="331"/>
      <c r="AM933" s="82"/>
      <c r="AN933" s="82"/>
      <c r="AO933" s="82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2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4"/>
      <c r="V934" s="80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2"/>
      <c r="AH934" s="330"/>
      <c r="AI934" s="330"/>
      <c r="AJ934" s="331"/>
      <c r="AK934" s="80"/>
      <c r="AL934" s="331"/>
      <c r="AM934" s="82"/>
      <c r="AN934" s="82"/>
      <c r="AO934" s="82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80"/>
      <c r="BI934" s="80"/>
      <c r="BJ934" s="80"/>
      <c r="BK934" s="80"/>
      <c r="BL934" s="80"/>
      <c r="BM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2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4"/>
      <c r="V935" s="80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2"/>
      <c r="AH935" s="330"/>
      <c r="AI935" s="330"/>
      <c r="AJ935" s="331"/>
      <c r="AK935" s="80"/>
      <c r="AL935" s="331"/>
      <c r="AM935" s="82"/>
      <c r="AN935" s="82"/>
      <c r="AO935" s="82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2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4"/>
      <c r="V936" s="80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2"/>
      <c r="AH936" s="330"/>
      <c r="AI936" s="330"/>
      <c r="AJ936" s="331"/>
      <c r="AK936" s="80"/>
      <c r="AL936" s="331"/>
      <c r="AM936" s="82"/>
      <c r="AN936" s="82"/>
      <c r="AO936" s="82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80"/>
      <c r="BI936" s="80"/>
      <c r="BJ936" s="80"/>
      <c r="BK936" s="80"/>
      <c r="BL936" s="80"/>
      <c r="BM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2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4"/>
      <c r="V937" s="80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2"/>
      <c r="AH937" s="330"/>
      <c r="AI937" s="330"/>
      <c r="AJ937" s="331"/>
      <c r="AK937" s="80"/>
      <c r="AL937" s="331"/>
      <c r="AM937" s="82"/>
      <c r="AN937" s="82"/>
      <c r="AO937" s="82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2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4"/>
      <c r="V938" s="80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2"/>
      <c r="AH938" s="330"/>
      <c r="AI938" s="330"/>
      <c r="AJ938" s="331"/>
      <c r="AK938" s="80"/>
      <c r="AL938" s="331"/>
      <c r="AM938" s="82"/>
      <c r="AN938" s="82"/>
      <c r="AO938" s="82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80"/>
      <c r="BI938" s="80"/>
      <c r="BJ938" s="80"/>
      <c r="BK938" s="80"/>
      <c r="BL938" s="80"/>
      <c r="BM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2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4"/>
      <c r="V939" s="80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2"/>
      <c r="AH939" s="330"/>
      <c r="AI939" s="330"/>
      <c r="AJ939" s="331"/>
      <c r="AK939" s="80"/>
      <c r="AL939" s="331"/>
      <c r="AM939" s="82"/>
      <c r="AN939" s="82"/>
      <c r="AO939" s="82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2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4"/>
      <c r="V940" s="80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2"/>
      <c r="AH940" s="330"/>
      <c r="AI940" s="330"/>
      <c r="AJ940" s="331"/>
      <c r="AK940" s="80"/>
      <c r="AL940" s="331"/>
      <c r="AM940" s="82"/>
      <c r="AN940" s="82"/>
      <c r="AO940" s="82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  <c r="BE940" s="80"/>
      <c r="BF940" s="80"/>
      <c r="BG940" s="80"/>
      <c r="BH940" s="80"/>
      <c r="BI940" s="80"/>
      <c r="BJ940" s="80"/>
      <c r="BK940" s="80"/>
      <c r="BL940" s="80"/>
      <c r="BM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2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4"/>
      <c r="V941" s="80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2"/>
      <c r="AH941" s="330"/>
      <c r="AI941" s="330"/>
      <c r="AJ941" s="331"/>
      <c r="AK941" s="80"/>
      <c r="AL941" s="331"/>
      <c r="AM941" s="82"/>
      <c r="AN941" s="82"/>
      <c r="AO941" s="82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2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4"/>
      <c r="V942" s="80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2"/>
      <c r="AH942" s="330"/>
      <c r="AI942" s="330"/>
      <c r="AJ942" s="331"/>
      <c r="AK942" s="80"/>
      <c r="AL942" s="331"/>
      <c r="AM942" s="82"/>
      <c r="AN942" s="82"/>
      <c r="AO942" s="82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80"/>
      <c r="BI942" s="80"/>
      <c r="BJ942" s="80"/>
      <c r="BK942" s="80"/>
      <c r="BL942" s="80"/>
      <c r="BM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2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4"/>
      <c r="V943" s="80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2"/>
      <c r="AH943" s="330"/>
      <c r="AI943" s="330"/>
      <c r="AJ943" s="331"/>
      <c r="AK943" s="80"/>
      <c r="AL943" s="331"/>
      <c r="AM943" s="82"/>
      <c r="AN943" s="82"/>
      <c r="AO943" s="82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80"/>
      <c r="BI943" s="80"/>
      <c r="BJ943" s="80"/>
      <c r="BK943" s="80"/>
      <c r="BL943" s="80"/>
      <c r="BM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2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4"/>
      <c r="V944" s="80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2"/>
      <c r="AH944" s="330"/>
      <c r="AI944" s="330"/>
      <c r="AJ944" s="331"/>
      <c r="AK944" s="80"/>
      <c r="AL944" s="331"/>
      <c r="AM944" s="82"/>
      <c r="AN944" s="82"/>
      <c r="AO944" s="82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80"/>
      <c r="BI944" s="80"/>
      <c r="BJ944" s="80"/>
      <c r="BK944" s="80"/>
      <c r="BL944" s="80"/>
      <c r="BM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2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4"/>
      <c r="V945" s="80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2"/>
      <c r="AH945" s="330"/>
      <c r="AI945" s="330"/>
      <c r="AJ945" s="331"/>
      <c r="AK945" s="80"/>
      <c r="AL945" s="331"/>
      <c r="AM945" s="82"/>
      <c r="AN945" s="82"/>
      <c r="AO945" s="82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2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4"/>
      <c r="V946" s="80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2"/>
      <c r="AH946" s="330"/>
      <c r="AI946" s="330"/>
      <c r="AJ946" s="331"/>
      <c r="AK946" s="80"/>
      <c r="AL946" s="331"/>
      <c r="AM946" s="82"/>
      <c r="AN946" s="82"/>
      <c r="AO946" s="82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80"/>
      <c r="BI946" s="80"/>
      <c r="BJ946" s="80"/>
      <c r="BK946" s="80"/>
      <c r="BL946" s="80"/>
      <c r="BM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2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4"/>
      <c r="V947" s="80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2"/>
      <c r="AH947" s="330"/>
      <c r="AI947" s="330"/>
      <c r="AJ947" s="331"/>
      <c r="AK947" s="80"/>
      <c r="AL947" s="331"/>
      <c r="AM947" s="82"/>
      <c r="AN947" s="82"/>
      <c r="AO947" s="82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2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4"/>
      <c r="V948" s="80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2"/>
      <c r="AH948" s="330"/>
      <c r="AI948" s="330"/>
      <c r="AJ948" s="331"/>
      <c r="AK948" s="80"/>
      <c r="AL948" s="331"/>
      <c r="AM948" s="82"/>
      <c r="AN948" s="82"/>
      <c r="AO948" s="82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80"/>
      <c r="BI948" s="80"/>
      <c r="BJ948" s="80"/>
      <c r="BK948" s="80"/>
      <c r="BL948" s="80"/>
      <c r="BM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2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4"/>
      <c r="V949" s="80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2"/>
      <c r="AH949" s="330"/>
      <c r="AI949" s="330"/>
      <c r="AJ949" s="331"/>
      <c r="AK949" s="80"/>
      <c r="AL949" s="331"/>
      <c r="AM949" s="82"/>
      <c r="AN949" s="82"/>
      <c r="AO949" s="82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2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4"/>
      <c r="V950" s="80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2"/>
      <c r="AH950" s="330"/>
      <c r="AI950" s="330"/>
      <c r="AJ950" s="331"/>
      <c r="AK950" s="80"/>
      <c r="AL950" s="331"/>
      <c r="AM950" s="82"/>
      <c r="AN950" s="82"/>
      <c r="AO950" s="82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80"/>
      <c r="BI950" s="80"/>
      <c r="BJ950" s="80"/>
      <c r="BK950" s="80"/>
      <c r="BL950" s="80"/>
      <c r="BM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2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4"/>
      <c r="V951" s="80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2"/>
      <c r="AH951" s="330"/>
      <c r="AI951" s="330"/>
      <c r="AJ951" s="331"/>
      <c r="AK951" s="80"/>
      <c r="AL951" s="331"/>
      <c r="AM951" s="82"/>
      <c r="AN951" s="82"/>
      <c r="AO951" s="82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2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4"/>
      <c r="V952" s="80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2"/>
      <c r="AH952" s="330"/>
      <c r="AI952" s="330"/>
      <c r="AJ952" s="331"/>
      <c r="AK952" s="80"/>
      <c r="AL952" s="331"/>
      <c r="AM952" s="82"/>
      <c r="AN952" s="82"/>
      <c r="AO952" s="82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80"/>
      <c r="BI952" s="80"/>
      <c r="BJ952" s="80"/>
      <c r="BK952" s="80"/>
      <c r="BL952" s="80"/>
      <c r="BM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2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4"/>
      <c r="V953" s="80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2"/>
      <c r="AH953" s="330"/>
      <c r="AI953" s="330"/>
      <c r="AJ953" s="331"/>
      <c r="AK953" s="80"/>
      <c r="AL953" s="331"/>
      <c r="AM953" s="82"/>
      <c r="AN953" s="82"/>
      <c r="AO953" s="82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2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4"/>
      <c r="V954" s="80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2"/>
      <c r="AH954" s="330"/>
      <c r="AI954" s="330"/>
      <c r="AJ954" s="331"/>
      <c r="AK954" s="80"/>
      <c r="AL954" s="331"/>
      <c r="AM954" s="82"/>
      <c r="AN954" s="82"/>
      <c r="AO954" s="82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  <c r="BE954" s="80"/>
      <c r="BF954" s="80"/>
      <c r="BG954" s="80"/>
      <c r="BH954" s="80"/>
      <c r="BI954" s="80"/>
      <c r="BJ954" s="80"/>
      <c r="BK954" s="80"/>
      <c r="BL954" s="80"/>
      <c r="BM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2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4"/>
      <c r="V955" s="80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2"/>
      <c r="AH955" s="330"/>
      <c r="AI955" s="330"/>
      <c r="AJ955" s="331"/>
      <c r="AK955" s="80"/>
      <c r="AL955" s="331"/>
      <c r="AM955" s="82"/>
      <c r="AN955" s="82"/>
      <c r="AO955" s="82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2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4"/>
      <c r="V956" s="80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2"/>
      <c r="AH956" s="330"/>
      <c r="AI956" s="330"/>
      <c r="AJ956" s="331"/>
      <c r="AK956" s="80"/>
      <c r="AL956" s="331"/>
      <c r="AM956" s="82"/>
      <c r="AN956" s="82"/>
      <c r="AO956" s="82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80"/>
      <c r="BI956" s="80"/>
      <c r="BJ956" s="80"/>
      <c r="BK956" s="80"/>
      <c r="BL956" s="80"/>
      <c r="BM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2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4"/>
      <c r="V957" s="80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2"/>
      <c r="AH957" s="330"/>
      <c r="AI957" s="330"/>
      <c r="AJ957" s="331"/>
      <c r="AK957" s="80"/>
      <c r="AL957" s="331"/>
      <c r="AM957" s="82"/>
      <c r="AN957" s="82"/>
      <c r="AO957" s="82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2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4"/>
      <c r="V958" s="80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2"/>
      <c r="AH958" s="330"/>
      <c r="AI958" s="330"/>
      <c r="AJ958" s="331"/>
      <c r="AK958" s="80"/>
      <c r="AL958" s="331"/>
      <c r="AM958" s="82"/>
      <c r="AN958" s="82"/>
      <c r="AO958" s="82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  <c r="BE958" s="80"/>
      <c r="BF958" s="80"/>
      <c r="BG958" s="80"/>
      <c r="BH958" s="80"/>
      <c r="BI958" s="80"/>
      <c r="BJ958" s="80"/>
      <c r="BK958" s="80"/>
      <c r="BL958" s="80"/>
      <c r="BM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2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4"/>
      <c r="V959" s="80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2"/>
      <c r="AH959" s="330"/>
      <c r="AI959" s="330"/>
      <c r="AJ959" s="331"/>
      <c r="AK959" s="80"/>
      <c r="AL959" s="331"/>
      <c r="AM959" s="82"/>
      <c r="AN959" s="82"/>
      <c r="AO959" s="82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2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4"/>
      <c r="V960" s="80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2"/>
      <c r="AH960" s="330"/>
      <c r="AI960" s="330"/>
      <c r="AJ960" s="331"/>
      <c r="AK960" s="80"/>
      <c r="AL960" s="331"/>
      <c r="AM960" s="82"/>
      <c r="AN960" s="82"/>
      <c r="AO960" s="82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80"/>
      <c r="BI960" s="80"/>
      <c r="BJ960" s="80"/>
      <c r="BK960" s="80"/>
      <c r="BL960" s="80"/>
      <c r="BM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2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4"/>
      <c r="V961" s="80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2"/>
      <c r="AH961" s="330"/>
      <c r="AI961" s="330"/>
      <c r="AJ961" s="331"/>
      <c r="AK961" s="80"/>
      <c r="AL961" s="331"/>
      <c r="AM961" s="82"/>
      <c r="AN961" s="82"/>
      <c r="AO961" s="82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2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4"/>
      <c r="V962" s="80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2"/>
      <c r="AH962" s="330"/>
      <c r="AI962" s="330"/>
      <c r="AJ962" s="331"/>
      <c r="AK962" s="80"/>
      <c r="AL962" s="331"/>
      <c r="AM962" s="82"/>
      <c r="AN962" s="82"/>
      <c r="AO962" s="82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80"/>
      <c r="BI962" s="80"/>
      <c r="BJ962" s="80"/>
      <c r="BK962" s="80"/>
      <c r="BL962" s="80"/>
      <c r="BM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2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4"/>
      <c r="V963" s="80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2"/>
      <c r="AH963" s="330"/>
      <c r="AI963" s="330"/>
      <c r="AJ963" s="331"/>
      <c r="AK963" s="80"/>
      <c r="AL963" s="331"/>
      <c r="AM963" s="82"/>
      <c r="AN963" s="82"/>
      <c r="AO963" s="82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80"/>
      <c r="BI963" s="80"/>
      <c r="BJ963" s="80"/>
      <c r="BK963" s="80"/>
      <c r="BL963" s="80"/>
      <c r="BM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2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4"/>
      <c r="V964" s="80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2"/>
      <c r="AH964" s="330"/>
      <c r="AI964" s="330"/>
      <c r="AJ964" s="331"/>
      <c r="AK964" s="80"/>
      <c r="AL964" s="331"/>
      <c r="AM964" s="82"/>
      <c r="AN964" s="82"/>
      <c r="AO964" s="82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80"/>
      <c r="BI964" s="80"/>
      <c r="BJ964" s="80"/>
      <c r="BK964" s="80"/>
      <c r="BL964" s="80"/>
      <c r="BM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2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4"/>
      <c r="V965" s="80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2"/>
      <c r="AH965" s="330"/>
      <c r="AI965" s="330"/>
      <c r="AJ965" s="331"/>
      <c r="AK965" s="80"/>
      <c r="AL965" s="331"/>
      <c r="AM965" s="82"/>
      <c r="AN965" s="82"/>
      <c r="AO965" s="82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2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4"/>
      <c r="V966" s="80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2"/>
      <c r="AH966" s="330"/>
      <c r="AI966" s="330"/>
      <c r="AJ966" s="331"/>
      <c r="AK966" s="80"/>
      <c r="AL966" s="331"/>
      <c r="AM966" s="82"/>
      <c r="AN966" s="82"/>
      <c r="AO966" s="82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  <c r="BE966" s="80"/>
      <c r="BF966" s="80"/>
      <c r="BG966" s="80"/>
      <c r="BH966" s="80"/>
      <c r="BI966" s="80"/>
      <c r="BJ966" s="80"/>
      <c r="BK966" s="80"/>
      <c r="BL966" s="80"/>
      <c r="BM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2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4"/>
      <c r="V967" s="80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2"/>
      <c r="AH967" s="330"/>
      <c r="AI967" s="330"/>
      <c r="AJ967" s="331"/>
      <c r="AK967" s="80"/>
      <c r="AL967" s="331"/>
      <c r="AM967" s="82"/>
      <c r="AN967" s="82"/>
      <c r="AO967" s="82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80"/>
      <c r="BI967" s="80"/>
      <c r="BJ967" s="80"/>
      <c r="BK967" s="80"/>
      <c r="BL967" s="80"/>
      <c r="BM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2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4"/>
      <c r="V968" s="80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2"/>
      <c r="AH968" s="330"/>
      <c r="AI968" s="330"/>
      <c r="AJ968" s="331"/>
      <c r="AK968" s="80"/>
      <c r="AL968" s="331"/>
      <c r="AM968" s="82"/>
      <c r="AN968" s="82"/>
      <c r="AO968" s="82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80"/>
      <c r="BF968" s="80"/>
      <c r="BG968" s="80"/>
      <c r="BH968" s="80"/>
      <c r="BI968" s="80"/>
      <c r="BJ968" s="80"/>
      <c r="BK968" s="80"/>
      <c r="BL968" s="80"/>
      <c r="BM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2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4"/>
      <c r="V969" s="80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2"/>
      <c r="AH969" s="330"/>
      <c r="AI969" s="330"/>
      <c r="AJ969" s="331"/>
      <c r="AK969" s="80"/>
      <c r="AL969" s="331"/>
      <c r="AM969" s="82"/>
      <c r="AN969" s="82"/>
      <c r="AO969" s="82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80"/>
      <c r="BI969" s="80"/>
      <c r="BJ969" s="80"/>
      <c r="BK969" s="80"/>
      <c r="BL969" s="80"/>
      <c r="BM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2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4"/>
      <c r="V970" s="80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2"/>
      <c r="AH970" s="330"/>
      <c r="AI970" s="330"/>
      <c r="AJ970" s="331"/>
      <c r="AK970" s="80"/>
      <c r="AL970" s="331"/>
      <c r="AM970" s="82"/>
      <c r="AN970" s="82"/>
      <c r="AO970" s="82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  <c r="BE970" s="80"/>
      <c r="BF970" s="80"/>
      <c r="BG970" s="80"/>
      <c r="BH970" s="80"/>
      <c r="BI970" s="80"/>
      <c r="BJ970" s="80"/>
      <c r="BK970" s="80"/>
      <c r="BL970" s="80"/>
      <c r="BM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2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4"/>
      <c r="V971" s="80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2"/>
      <c r="AH971" s="330"/>
      <c r="AI971" s="330"/>
      <c r="AJ971" s="331"/>
      <c r="AK971" s="80"/>
      <c r="AL971" s="331"/>
      <c r="AM971" s="82"/>
      <c r="AN971" s="82"/>
      <c r="AO971" s="82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2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4"/>
      <c r="V972" s="80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2"/>
      <c r="AH972" s="330"/>
      <c r="AI972" s="330"/>
      <c r="AJ972" s="331"/>
      <c r="AK972" s="80"/>
      <c r="AL972" s="331"/>
      <c r="AM972" s="82"/>
      <c r="AN972" s="82"/>
      <c r="AO972" s="82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80"/>
      <c r="BI972" s="80"/>
      <c r="BJ972" s="80"/>
      <c r="BK972" s="80"/>
      <c r="BL972" s="80"/>
      <c r="BM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2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4"/>
      <c r="V973" s="80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2"/>
      <c r="AH973" s="330"/>
      <c r="AI973" s="330"/>
      <c r="AJ973" s="331"/>
      <c r="AK973" s="80"/>
      <c r="AL973" s="331"/>
      <c r="AM973" s="82"/>
      <c r="AN973" s="82"/>
      <c r="AO973" s="82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2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4"/>
      <c r="V974" s="80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2"/>
      <c r="AH974" s="330"/>
      <c r="AI974" s="330"/>
      <c r="AJ974" s="331"/>
      <c r="AK974" s="80"/>
      <c r="AL974" s="331"/>
      <c r="AM974" s="82"/>
      <c r="AN974" s="82"/>
      <c r="AO974" s="82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80"/>
      <c r="BI974" s="80"/>
      <c r="BJ974" s="80"/>
      <c r="BK974" s="80"/>
      <c r="BL974" s="80"/>
      <c r="BM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2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4"/>
      <c r="V975" s="80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2"/>
      <c r="AH975" s="330"/>
      <c r="AI975" s="330"/>
      <c r="AJ975" s="331"/>
      <c r="AK975" s="80"/>
      <c r="AL975" s="331"/>
      <c r="AM975" s="82"/>
      <c r="AN975" s="82"/>
      <c r="AO975" s="82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2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4"/>
      <c r="V976" s="80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2"/>
      <c r="AH976" s="330"/>
      <c r="AI976" s="330"/>
      <c r="AJ976" s="331"/>
      <c r="AK976" s="80"/>
      <c r="AL976" s="331"/>
      <c r="AM976" s="82"/>
      <c r="AN976" s="82"/>
      <c r="AO976" s="82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80"/>
      <c r="BI976" s="80"/>
      <c r="BJ976" s="80"/>
      <c r="BK976" s="80"/>
      <c r="BL976" s="80"/>
      <c r="BM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2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4"/>
      <c r="V977" s="80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2"/>
      <c r="AH977" s="330"/>
      <c r="AI977" s="330"/>
      <c r="AJ977" s="331"/>
      <c r="AK977" s="80"/>
      <c r="AL977" s="331"/>
      <c r="AM977" s="82"/>
      <c r="AN977" s="82"/>
      <c r="AO977" s="82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80"/>
      <c r="BI977" s="80"/>
      <c r="BJ977" s="80"/>
      <c r="BK977" s="80"/>
      <c r="BL977" s="80"/>
      <c r="BM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2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4"/>
      <c r="V978" s="80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2"/>
      <c r="AH978" s="330"/>
      <c r="AI978" s="330"/>
      <c r="AJ978" s="331"/>
      <c r="AK978" s="80"/>
      <c r="AL978" s="331"/>
      <c r="AM978" s="82"/>
      <c r="AN978" s="82"/>
      <c r="AO978" s="82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80"/>
      <c r="BI978" s="80"/>
      <c r="BJ978" s="80"/>
      <c r="BK978" s="80"/>
      <c r="BL978" s="80"/>
      <c r="BM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2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4"/>
      <c r="V979" s="80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2"/>
      <c r="AH979" s="330"/>
      <c r="AI979" s="330"/>
      <c r="AJ979" s="331"/>
      <c r="AK979" s="80"/>
      <c r="AL979" s="331"/>
      <c r="AM979" s="82"/>
      <c r="AN979" s="82"/>
      <c r="AO979" s="82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2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4"/>
      <c r="V980" s="80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2"/>
      <c r="AH980" s="330"/>
      <c r="AI980" s="330"/>
      <c r="AJ980" s="331"/>
      <c r="AK980" s="80"/>
      <c r="AL980" s="331"/>
      <c r="AM980" s="82"/>
      <c r="AN980" s="82"/>
      <c r="AO980" s="82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80"/>
      <c r="BI980" s="80"/>
      <c r="BJ980" s="80"/>
      <c r="BK980" s="80"/>
      <c r="BL980" s="80"/>
      <c r="BM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2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4"/>
      <c r="V981" s="80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2"/>
      <c r="AH981" s="330"/>
      <c r="AI981" s="330"/>
      <c r="AJ981" s="331"/>
      <c r="AK981" s="80"/>
      <c r="AL981" s="331"/>
      <c r="AM981" s="82"/>
      <c r="AN981" s="82"/>
      <c r="AO981" s="82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2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4"/>
      <c r="V982" s="80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2"/>
      <c r="AH982" s="330"/>
      <c r="AI982" s="330"/>
      <c r="AJ982" s="331"/>
      <c r="AK982" s="80"/>
      <c r="AL982" s="331"/>
      <c r="AM982" s="82"/>
      <c r="AN982" s="82"/>
      <c r="AO982" s="82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80"/>
      <c r="BI982" s="80"/>
      <c r="BJ982" s="80"/>
      <c r="BK982" s="80"/>
      <c r="BL982" s="80"/>
      <c r="BM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2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4"/>
      <c r="V983" s="80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2"/>
      <c r="AH983" s="330"/>
      <c r="AI983" s="330"/>
      <c r="AJ983" s="331"/>
      <c r="AK983" s="80"/>
      <c r="AL983" s="331"/>
      <c r="AM983" s="82"/>
      <c r="AN983" s="82"/>
      <c r="AO983" s="82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2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4"/>
      <c r="V984" s="80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2"/>
      <c r="AH984" s="330"/>
      <c r="AI984" s="330"/>
      <c r="AJ984" s="331"/>
      <c r="AK984" s="80"/>
      <c r="AL984" s="331"/>
      <c r="AM984" s="82"/>
      <c r="AN984" s="82"/>
      <c r="AO984" s="82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80"/>
      <c r="BI984" s="80"/>
      <c r="BJ984" s="80"/>
      <c r="BK984" s="80"/>
      <c r="BL984" s="80"/>
      <c r="BM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2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4"/>
      <c r="V985" s="80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2"/>
      <c r="AH985" s="330"/>
      <c r="AI985" s="330"/>
      <c r="AJ985" s="331"/>
      <c r="AK985" s="80"/>
      <c r="AL985" s="331"/>
      <c r="AM985" s="82"/>
      <c r="AN985" s="82"/>
      <c r="AO985" s="82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2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4"/>
      <c r="V986" s="80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2"/>
      <c r="AH986" s="330"/>
      <c r="AI986" s="330"/>
      <c r="AJ986" s="331"/>
      <c r="AK986" s="80"/>
      <c r="AL986" s="331"/>
      <c r="AM986" s="82"/>
      <c r="AN986" s="82"/>
      <c r="AO986" s="82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80"/>
      <c r="BI986" s="80"/>
      <c r="BJ986" s="80"/>
      <c r="BK986" s="80"/>
      <c r="BL986" s="80"/>
      <c r="BM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2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4"/>
      <c r="V987" s="80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2"/>
      <c r="AH987" s="330"/>
      <c r="AI987" s="330"/>
      <c r="AJ987" s="331"/>
      <c r="AK987" s="80"/>
      <c r="AL987" s="331"/>
      <c r="AM987" s="82"/>
      <c r="AN987" s="82"/>
      <c r="AO987" s="82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80"/>
      <c r="BI987" s="80"/>
      <c r="BJ987" s="80"/>
      <c r="BK987" s="80"/>
      <c r="BL987" s="80"/>
      <c r="BM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2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4"/>
      <c r="V988" s="80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2"/>
      <c r="AH988" s="330"/>
      <c r="AI988" s="330"/>
      <c r="AJ988" s="331"/>
      <c r="AK988" s="80"/>
      <c r="AL988" s="331"/>
      <c r="AM988" s="82"/>
      <c r="AN988" s="82"/>
      <c r="AO988" s="82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80"/>
      <c r="BI988" s="80"/>
      <c r="BJ988" s="80"/>
      <c r="BK988" s="80"/>
      <c r="BL988" s="80"/>
      <c r="BM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2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4"/>
      <c r="V989" s="80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2"/>
      <c r="AH989" s="330"/>
      <c r="AI989" s="330"/>
      <c r="AJ989" s="331"/>
      <c r="AK989" s="80"/>
      <c r="AL989" s="331"/>
      <c r="AM989" s="82"/>
      <c r="AN989" s="82"/>
      <c r="AO989" s="82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2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4"/>
      <c r="V990" s="80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2"/>
      <c r="AH990" s="330"/>
      <c r="AI990" s="330"/>
      <c r="AJ990" s="331"/>
      <c r="AK990" s="80"/>
      <c r="AL990" s="331"/>
      <c r="AM990" s="82"/>
      <c r="AN990" s="82"/>
      <c r="AO990" s="82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  <c r="BE990" s="80"/>
      <c r="BF990" s="80"/>
      <c r="BG990" s="80"/>
      <c r="BH990" s="80"/>
      <c r="BI990" s="80"/>
      <c r="BJ990" s="80"/>
      <c r="BK990" s="80"/>
      <c r="BL990" s="80"/>
      <c r="BM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2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4"/>
      <c r="V991" s="80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2"/>
      <c r="AH991" s="330"/>
      <c r="AI991" s="330"/>
      <c r="AJ991" s="331"/>
      <c r="AK991" s="80"/>
      <c r="AL991" s="331"/>
      <c r="AM991" s="82"/>
      <c r="AN991" s="82"/>
      <c r="AO991" s="82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2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4"/>
      <c r="V992" s="80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2"/>
      <c r="AH992" s="330"/>
      <c r="AI992" s="330"/>
      <c r="AJ992" s="331"/>
      <c r="AK992" s="80"/>
      <c r="AL992" s="331"/>
      <c r="AM992" s="82"/>
      <c r="AN992" s="82"/>
      <c r="AO992" s="82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80"/>
      <c r="BI992" s="80"/>
      <c r="BJ992" s="80"/>
      <c r="BK992" s="80"/>
      <c r="BL992" s="80"/>
      <c r="BM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2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4"/>
      <c r="V993" s="80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2"/>
      <c r="AH993" s="330"/>
      <c r="AI993" s="330"/>
      <c r="AJ993" s="331"/>
      <c r="AK993" s="80"/>
      <c r="AL993" s="331"/>
      <c r="AM993" s="82"/>
      <c r="AN993" s="82"/>
      <c r="AO993" s="82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2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4"/>
      <c r="V994" s="80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2"/>
      <c r="AH994" s="330"/>
      <c r="AI994" s="330"/>
      <c r="AJ994" s="331"/>
      <c r="AK994" s="80"/>
      <c r="AL994" s="331"/>
      <c r="AM994" s="82"/>
      <c r="AN994" s="82"/>
      <c r="AO994" s="82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  <c r="BE994" s="80"/>
      <c r="BF994" s="80"/>
      <c r="BG994" s="80"/>
      <c r="BH994" s="80"/>
      <c r="BI994" s="80"/>
      <c r="BJ994" s="80"/>
      <c r="BK994" s="80"/>
      <c r="BL994" s="80"/>
      <c r="BM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2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4"/>
      <c r="V995" s="80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2"/>
      <c r="AH995" s="330"/>
      <c r="AI995" s="330"/>
      <c r="AJ995" s="331"/>
      <c r="AK995" s="80"/>
      <c r="AL995" s="331"/>
      <c r="AM995" s="82"/>
      <c r="AN995" s="82"/>
      <c r="AO995" s="82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2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4"/>
      <c r="V996" s="80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2"/>
      <c r="AH996" s="330"/>
      <c r="AI996" s="330"/>
      <c r="AJ996" s="331"/>
      <c r="AK996" s="80"/>
      <c r="AL996" s="331"/>
      <c r="AM996" s="82"/>
      <c r="AN996" s="82"/>
      <c r="AO996" s="82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80"/>
      <c r="BI996" s="80"/>
      <c r="BJ996" s="80"/>
      <c r="BK996" s="80"/>
      <c r="BL996" s="80"/>
      <c r="BM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2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4"/>
      <c r="V997" s="80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2"/>
      <c r="AH997" s="330"/>
      <c r="AI997" s="330"/>
      <c r="AJ997" s="331"/>
      <c r="AK997" s="80"/>
      <c r="AL997" s="331"/>
      <c r="AM997" s="82"/>
      <c r="AN997" s="82"/>
      <c r="AO997" s="82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80"/>
      <c r="BI997" s="80"/>
      <c r="BJ997" s="80"/>
      <c r="BK997" s="80"/>
      <c r="BL997" s="80"/>
      <c r="BM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2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4"/>
      <c r="V998" s="80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2"/>
      <c r="AH998" s="330"/>
      <c r="AI998" s="330"/>
      <c r="AJ998" s="331"/>
      <c r="AK998" s="80"/>
      <c r="AL998" s="331"/>
      <c r="AM998" s="82"/>
      <c r="AN998" s="82"/>
      <c r="AO998" s="82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80"/>
      <c r="BI998" s="80"/>
      <c r="BJ998" s="80"/>
      <c r="BK998" s="80"/>
      <c r="BL998" s="80"/>
      <c r="BM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2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4"/>
      <c r="V999" s="80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2"/>
      <c r="AH999" s="330"/>
      <c r="AI999" s="330"/>
      <c r="AJ999" s="331"/>
      <c r="AK999" s="80"/>
      <c r="AL999" s="331"/>
      <c r="AM999" s="82"/>
      <c r="AN999" s="82"/>
      <c r="AO999" s="82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2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4"/>
      <c r="V1000" s="80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2"/>
      <c r="AH1000" s="330"/>
      <c r="AI1000" s="330"/>
      <c r="AJ1000" s="331"/>
      <c r="AK1000" s="80"/>
      <c r="AL1000" s="331"/>
      <c r="AM1000" s="82"/>
      <c r="AN1000" s="82"/>
      <c r="AO1000" s="82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80"/>
      <c r="BI1000" s="80"/>
      <c r="BJ1000" s="80"/>
      <c r="BK1000" s="80"/>
      <c r="BL1000" s="80"/>
      <c r="BM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2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4"/>
      <c r="V1001" s="80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2"/>
      <c r="AH1001" s="330"/>
      <c r="AI1001" s="330"/>
      <c r="AJ1001" s="331"/>
      <c r="AK1001" s="80"/>
      <c r="AL1001" s="331"/>
      <c r="AM1001" s="82"/>
      <c r="AN1001" s="82"/>
      <c r="AO1001" s="82"/>
      <c r="AP1001" s="80"/>
      <c r="AQ1001" s="80"/>
      <c r="AR1001" s="80"/>
      <c r="AS1001" s="80"/>
      <c r="AT1001" s="80"/>
      <c r="AU1001" s="80"/>
      <c r="AV1001" s="80"/>
      <c r="AW1001" s="80"/>
      <c r="AX1001" s="80"/>
      <c r="AY1001" s="80"/>
      <c r="AZ1001" s="80"/>
      <c r="BA1001" s="80"/>
      <c r="BB1001" s="80"/>
      <c r="BC1001" s="80"/>
      <c r="BD1001" s="80"/>
      <c r="BE1001" s="80"/>
      <c r="BF1001" s="80"/>
      <c r="BG1001" s="80"/>
      <c r="BH1001" s="80"/>
      <c r="BI1001" s="80"/>
      <c r="BJ1001" s="80"/>
      <c r="BK1001" s="80"/>
      <c r="BL1001" s="80"/>
      <c r="BM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2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4"/>
      <c r="V1002" s="80"/>
      <c r="W1002" s="86"/>
      <c r="X1002" s="86"/>
      <c r="Y1002" s="86"/>
      <c r="Z1002" s="86"/>
      <c r="AA1002" s="86"/>
      <c r="AB1002" s="86"/>
      <c r="AC1002" s="86"/>
      <c r="AD1002" s="86"/>
      <c r="AE1002" s="86"/>
      <c r="AF1002" s="86"/>
      <c r="AG1002" s="82"/>
      <c r="AH1002" s="330"/>
      <c r="AI1002" s="330"/>
      <c r="AJ1002" s="331"/>
      <c r="AK1002" s="80"/>
      <c r="AL1002" s="331"/>
      <c r="AM1002" s="82"/>
      <c r="AN1002" s="82"/>
      <c r="AO1002" s="82"/>
      <c r="AP1002" s="80"/>
      <c r="AQ1002" s="80"/>
      <c r="AR1002" s="80"/>
      <c r="AS1002" s="80"/>
      <c r="AT1002" s="80"/>
      <c r="AU1002" s="80"/>
      <c r="AV1002" s="80"/>
      <c r="AW1002" s="80"/>
      <c r="AX1002" s="80"/>
      <c r="AY1002" s="80"/>
      <c r="AZ1002" s="80"/>
      <c r="BA1002" s="80"/>
      <c r="BB1002" s="80"/>
      <c r="BC1002" s="80"/>
      <c r="BD1002" s="80"/>
      <c r="BE1002" s="80"/>
      <c r="BF1002" s="80"/>
      <c r="BG1002" s="80"/>
      <c r="BH1002" s="80"/>
      <c r="BI1002" s="80"/>
      <c r="BJ1002" s="80"/>
      <c r="BK1002" s="80"/>
      <c r="BL1002" s="80"/>
      <c r="BM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2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4"/>
      <c r="V1003" s="80"/>
      <c r="W1003" s="86"/>
      <c r="X1003" s="86"/>
      <c r="Y1003" s="86"/>
      <c r="Z1003" s="86"/>
      <c r="AA1003" s="86"/>
      <c r="AB1003" s="86"/>
      <c r="AC1003" s="86"/>
      <c r="AD1003" s="86"/>
      <c r="AE1003" s="86"/>
      <c r="AF1003" s="86"/>
      <c r="AG1003" s="82"/>
      <c r="AH1003" s="330"/>
      <c r="AI1003" s="330"/>
      <c r="AJ1003" s="331"/>
      <c r="AK1003" s="80"/>
      <c r="AL1003" s="331"/>
      <c r="AM1003" s="82"/>
      <c r="AN1003" s="82"/>
      <c r="AO1003" s="82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80"/>
      <c r="BH1003" s="80"/>
      <c r="BI1003" s="80"/>
      <c r="BJ1003" s="80"/>
      <c r="BK1003" s="80"/>
      <c r="BL1003" s="80"/>
      <c r="BM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2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4"/>
      <c r="V1004" s="80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2"/>
      <c r="AH1004" s="330"/>
      <c r="AI1004" s="330"/>
      <c r="AJ1004" s="331"/>
      <c r="AK1004" s="80"/>
      <c r="AL1004" s="331"/>
      <c r="AM1004" s="82"/>
      <c r="AN1004" s="82"/>
      <c r="AO1004" s="82"/>
      <c r="AP1004" s="80"/>
      <c r="AQ1004" s="80"/>
      <c r="AR1004" s="80"/>
      <c r="AS1004" s="80"/>
      <c r="AT1004" s="80"/>
      <c r="AU1004" s="80"/>
      <c r="AV1004" s="80"/>
      <c r="AW1004" s="80"/>
      <c r="AX1004" s="80"/>
      <c r="AY1004" s="80"/>
      <c r="AZ1004" s="80"/>
      <c r="BA1004" s="80"/>
      <c r="BB1004" s="80"/>
      <c r="BC1004" s="80"/>
      <c r="BD1004" s="80"/>
      <c r="BE1004" s="80"/>
      <c r="BF1004" s="80"/>
      <c r="BG1004" s="80"/>
      <c r="BH1004" s="80"/>
      <c r="BI1004" s="80"/>
      <c r="BJ1004" s="80"/>
      <c r="BK1004" s="80"/>
      <c r="BL1004" s="80"/>
      <c r="BM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2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4"/>
      <c r="V1005" s="80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2"/>
      <c r="AH1005" s="330"/>
      <c r="AI1005" s="330"/>
      <c r="AJ1005" s="331"/>
      <c r="AK1005" s="80"/>
      <c r="AL1005" s="331"/>
      <c r="AM1005" s="82"/>
      <c r="AN1005" s="82"/>
      <c r="AO1005" s="82"/>
      <c r="AP1005" s="80"/>
      <c r="AQ1005" s="80"/>
      <c r="AR1005" s="80"/>
      <c r="AS1005" s="80"/>
      <c r="AT1005" s="80"/>
      <c r="AU1005" s="80"/>
      <c r="AV1005" s="80"/>
      <c r="AW1005" s="80"/>
      <c r="AX1005" s="80"/>
      <c r="AY1005" s="80"/>
      <c r="AZ1005" s="80"/>
      <c r="BA1005" s="80"/>
      <c r="BB1005" s="80"/>
      <c r="BC1005" s="80"/>
      <c r="BD1005" s="80"/>
      <c r="BE1005" s="80"/>
      <c r="BF1005" s="80"/>
      <c r="BG1005" s="80"/>
      <c r="BH1005" s="80"/>
      <c r="BI1005" s="80"/>
      <c r="BJ1005" s="80"/>
      <c r="BK1005" s="80"/>
      <c r="BL1005" s="80"/>
      <c r="BM1005" s="80"/>
    </row>
    <row r="1006">
      <c r="A1006" s="80"/>
      <c r="B1006" s="80"/>
      <c r="C1006" s="80"/>
      <c r="D1006" s="80"/>
      <c r="E1006" s="80"/>
      <c r="F1006" s="80"/>
      <c r="G1006" s="80"/>
      <c r="H1006" s="80"/>
      <c r="I1006" s="80"/>
      <c r="J1006" s="82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4"/>
      <c r="V1006" s="80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2"/>
      <c r="AH1006" s="330"/>
      <c r="AI1006" s="330"/>
      <c r="AJ1006" s="331"/>
      <c r="AK1006" s="80"/>
      <c r="AL1006" s="331"/>
      <c r="AM1006" s="82"/>
      <c r="AN1006" s="82"/>
      <c r="AO1006" s="82"/>
      <c r="AP1006" s="80"/>
      <c r="AQ1006" s="80"/>
      <c r="AR1006" s="80"/>
      <c r="AS1006" s="80"/>
      <c r="AT1006" s="80"/>
      <c r="AU1006" s="80"/>
      <c r="AV1006" s="80"/>
      <c r="AW1006" s="80"/>
      <c r="AX1006" s="80"/>
      <c r="AY1006" s="80"/>
      <c r="AZ1006" s="80"/>
      <c r="BA1006" s="80"/>
      <c r="BB1006" s="80"/>
      <c r="BC1006" s="80"/>
      <c r="BD1006" s="80"/>
      <c r="BE1006" s="80"/>
      <c r="BF1006" s="80"/>
      <c r="BG1006" s="80"/>
      <c r="BH1006" s="80"/>
      <c r="BI1006" s="80"/>
      <c r="BJ1006" s="80"/>
      <c r="BK1006" s="80"/>
      <c r="BL1006" s="80"/>
      <c r="BM1006" s="80"/>
    </row>
    <row r="1007">
      <c r="A1007" s="80"/>
      <c r="B1007" s="80"/>
      <c r="C1007" s="80"/>
      <c r="D1007" s="80"/>
      <c r="E1007" s="80"/>
      <c r="F1007" s="80"/>
      <c r="G1007" s="80"/>
      <c r="H1007" s="80"/>
      <c r="I1007" s="80"/>
      <c r="J1007" s="82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4"/>
      <c r="V1007" s="80"/>
      <c r="W1007" s="86"/>
      <c r="X1007" s="86"/>
      <c r="Y1007" s="86"/>
      <c r="Z1007" s="86"/>
      <c r="AA1007" s="86"/>
      <c r="AB1007" s="86"/>
      <c r="AC1007" s="86"/>
      <c r="AD1007" s="86"/>
      <c r="AE1007" s="86"/>
      <c r="AF1007" s="86"/>
      <c r="AG1007" s="82"/>
      <c r="AH1007" s="330"/>
      <c r="AI1007" s="330"/>
      <c r="AJ1007" s="331"/>
      <c r="AK1007" s="80"/>
      <c r="AL1007" s="331"/>
      <c r="AM1007" s="82"/>
      <c r="AN1007" s="82"/>
      <c r="AO1007" s="82"/>
      <c r="AP1007" s="80"/>
      <c r="AQ1007" s="80"/>
      <c r="AR1007" s="80"/>
      <c r="AS1007" s="80"/>
      <c r="AT1007" s="80"/>
      <c r="AU1007" s="80"/>
      <c r="AV1007" s="80"/>
      <c r="AW1007" s="80"/>
      <c r="AX1007" s="80"/>
      <c r="AY1007" s="80"/>
      <c r="AZ1007" s="80"/>
      <c r="BA1007" s="80"/>
      <c r="BB1007" s="80"/>
      <c r="BC1007" s="80"/>
      <c r="BD1007" s="80"/>
      <c r="BE1007" s="80"/>
      <c r="BF1007" s="80"/>
      <c r="BG1007" s="80"/>
      <c r="BH1007" s="80"/>
      <c r="BI1007" s="80"/>
      <c r="BJ1007" s="80"/>
      <c r="BK1007" s="80"/>
      <c r="BL1007" s="80"/>
      <c r="BM1007" s="80"/>
    </row>
    <row r="1008">
      <c r="A1008" s="80"/>
      <c r="B1008" s="80"/>
      <c r="C1008" s="80"/>
      <c r="D1008" s="80"/>
      <c r="E1008" s="80"/>
      <c r="F1008" s="80"/>
      <c r="G1008" s="80"/>
      <c r="H1008" s="80"/>
      <c r="I1008" s="80"/>
      <c r="J1008" s="82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4"/>
      <c r="V1008" s="80"/>
      <c r="W1008" s="86"/>
      <c r="X1008" s="86"/>
      <c r="Y1008" s="86"/>
      <c r="Z1008" s="86"/>
      <c r="AA1008" s="86"/>
      <c r="AB1008" s="86"/>
      <c r="AC1008" s="86"/>
      <c r="AD1008" s="86"/>
      <c r="AE1008" s="86"/>
      <c r="AF1008" s="86"/>
      <c r="AG1008" s="82"/>
      <c r="AH1008" s="330"/>
      <c r="AI1008" s="330"/>
      <c r="AJ1008" s="331"/>
      <c r="AK1008" s="80"/>
      <c r="AL1008" s="331"/>
      <c r="AM1008" s="82"/>
      <c r="AN1008" s="82"/>
      <c r="AO1008" s="82"/>
      <c r="AP1008" s="80"/>
      <c r="AQ1008" s="80"/>
      <c r="AR1008" s="80"/>
      <c r="AS1008" s="80"/>
      <c r="AT1008" s="80"/>
      <c r="AU1008" s="80"/>
      <c r="AV1008" s="80"/>
      <c r="AW1008" s="80"/>
      <c r="AX1008" s="80"/>
      <c r="AY1008" s="80"/>
      <c r="AZ1008" s="80"/>
      <c r="BA1008" s="80"/>
      <c r="BB1008" s="80"/>
      <c r="BC1008" s="80"/>
      <c r="BD1008" s="80"/>
      <c r="BE1008" s="80"/>
      <c r="BF1008" s="80"/>
      <c r="BG1008" s="80"/>
      <c r="BH1008" s="80"/>
      <c r="BI1008" s="80"/>
      <c r="BJ1008" s="80"/>
      <c r="BK1008" s="80"/>
      <c r="BL1008" s="80"/>
      <c r="BM1008" s="80"/>
    </row>
    <row r="1009">
      <c r="A1009" s="80"/>
      <c r="B1009" s="80"/>
      <c r="C1009" s="80"/>
      <c r="D1009" s="80"/>
      <c r="E1009" s="80"/>
      <c r="F1009" s="80"/>
      <c r="G1009" s="80"/>
      <c r="H1009" s="80"/>
      <c r="I1009" s="80"/>
      <c r="J1009" s="82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4"/>
      <c r="V1009" s="80"/>
      <c r="W1009" s="86"/>
      <c r="X1009" s="86"/>
      <c r="Y1009" s="86"/>
      <c r="Z1009" s="86"/>
      <c r="AA1009" s="86"/>
      <c r="AB1009" s="86"/>
      <c r="AC1009" s="86"/>
      <c r="AD1009" s="86"/>
      <c r="AE1009" s="86"/>
      <c r="AF1009" s="86"/>
      <c r="AG1009" s="82"/>
      <c r="AH1009" s="330"/>
      <c r="AI1009" s="330"/>
      <c r="AJ1009" s="331"/>
      <c r="AK1009" s="80"/>
      <c r="AL1009" s="331"/>
      <c r="AM1009" s="82"/>
      <c r="AN1009" s="82"/>
      <c r="AO1009" s="82"/>
      <c r="AP1009" s="80"/>
      <c r="AQ1009" s="80"/>
      <c r="AR1009" s="80"/>
      <c r="AS1009" s="80"/>
      <c r="AT1009" s="80"/>
      <c r="AU1009" s="80"/>
      <c r="AV1009" s="80"/>
      <c r="AW1009" s="80"/>
      <c r="AX1009" s="80"/>
      <c r="AY1009" s="80"/>
      <c r="AZ1009" s="80"/>
      <c r="BA1009" s="80"/>
      <c r="BB1009" s="80"/>
      <c r="BC1009" s="80"/>
      <c r="BD1009" s="80"/>
      <c r="BE1009" s="80"/>
      <c r="BF1009" s="80"/>
      <c r="BG1009" s="80"/>
      <c r="BH1009" s="80"/>
      <c r="BI1009" s="80"/>
      <c r="BJ1009" s="80"/>
      <c r="BK1009" s="80"/>
      <c r="BL1009" s="80"/>
      <c r="BM1009" s="80"/>
    </row>
    <row r="1010">
      <c r="A1010" s="80"/>
      <c r="B1010" s="80"/>
      <c r="C1010" s="80"/>
      <c r="D1010" s="80"/>
      <c r="E1010" s="80"/>
      <c r="F1010" s="80"/>
      <c r="G1010" s="80"/>
      <c r="H1010" s="80"/>
      <c r="I1010" s="80"/>
      <c r="J1010" s="82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4"/>
      <c r="V1010" s="80"/>
      <c r="W1010" s="86"/>
      <c r="X1010" s="86"/>
      <c r="Y1010" s="86"/>
      <c r="Z1010" s="86"/>
      <c r="AA1010" s="86"/>
      <c r="AB1010" s="86"/>
      <c r="AC1010" s="86"/>
      <c r="AD1010" s="86"/>
      <c r="AE1010" s="86"/>
      <c r="AF1010" s="86"/>
      <c r="AG1010" s="82"/>
      <c r="AH1010" s="330"/>
      <c r="AI1010" s="330"/>
      <c r="AJ1010" s="331"/>
      <c r="AK1010" s="80"/>
      <c r="AL1010" s="331"/>
      <c r="AM1010" s="82"/>
      <c r="AN1010" s="82"/>
      <c r="AO1010" s="82"/>
      <c r="AP1010" s="80"/>
      <c r="AQ1010" s="80"/>
      <c r="AR1010" s="80"/>
      <c r="AS1010" s="80"/>
      <c r="AT1010" s="80"/>
      <c r="AU1010" s="80"/>
      <c r="AV1010" s="80"/>
      <c r="AW1010" s="80"/>
      <c r="AX1010" s="80"/>
      <c r="AY1010" s="80"/>
      <c r="AZ1010" s="80"/>
      <c r="BA1010" s="80"/>
      <c r="BB1010" s="80"/>
      <c r="BC1010" s="80"/>
      <c r="BD1010" s="80"/>
      <c r="BE1010" s="80"/>
      <c r="BF1010" s="80"/>
      <c r="BG1010" s="80"/>
      <c r="BH1010" s="80"/>
      <c r="BI1010" s="80"/>
      <c r="BJ1010" s="80"/>
      <c r="BK1010" s="80"/>
      <c r="BL1010" s="80"/>
      <c r="BM1010" s="80"/>
    </row>
    <row r="1011">
      <c r="A1011" s="80"/>
      <c r="B1011" s="80"/>
      <c r="C1011" s="80"/>
      <c r="D1011" s="80"/>
      <c r="E1011" s="80"/>
      <c r="F1011" s="80"/>
      <c r="G1011" s="80"/>
      <c r="H1011" s="80"/>
      <c r="I1011" s="80"/>
      <c r="J1011" s="82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4"/>
      <c r="V1011" s="80"/>
      <c r="W1011" s="86"/>
      <c r="X1011" s="86"/>
      <c r="Y1011" s="86"/>
      <c r="Z1011" s="86"/>
      <c r="AA1011" s="86"/>
      <c r="AB1011" s="86"/>
      <c r="AC1011" s="86"/>
      <c r="AD1011" s="86"/>
      <c r="AE1011" s="86"/>
      <c r="AF1011" s="86"/>
      <c r="AG1011" s="82"/>
      <c r="AH1011" s="330"/>
      <c r="AI1011" s="330"/>
      <c r="AJ1011" s="331"/>
      <c r="AK1011" s="80"/>
      <c r="AL1011" s="331"/>
      <c r="AM1011" s="82"/>
      <c r="AN1011" s="82"/>
      <c r="AO1011" s="82"/>
      <c r="AP1011" s="80"/>
      <c r="AQ1011" s="80"/>
      <c r="AR1011" s="80"/>
      <c r="AS1011" s="80"/>
      <c r="AT1011" s="80"/>
      <c r="AU1011" s="80"/>
      <c r="AV1011" s="80"/>
      <c r="AW1011" s="80"/>
      <c r="AX1011" s="80"/>
      <c r="AY1011" s="80"/>
      <c r="AZ1011" s="80"/>
      <c r="BA1011" s="80"/>
      <c r="BB1011" s="80"/>
      <c r="BC1011" s="80"/>
      <c r="BD1011" s="80"/>
      <c r="BE1011" s="80"/>
      <c r="BF1011" s="80"/>
      <c r="BG1011" s="80"/>
      <c r="BH1011" s="80"/>
      <c r="BI1011" s="80"/>
      <c r="BJ1011" s="80"/>
      <c r="BK1011" s="80"/>
      <c r="BL1011" s="80"/>
      <c r="BM1011" s="80"/>
    </row>
    <row r="1012">
      <c r="A1012" s="80"/>
      <c r="B1012" s="80"/>
      <c r="C1012" s="80"/>
      <c r="D1012" s="80"/>
      <c r="E1012" s="80"/>
      <c r="F1012" s="80"/>
      <c r="G1012" s="80"/>
      <c r="H1012" s="80"/>
      <c r="I1012" s="80"/>
      <c r="J1012" s="82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84"/>
      <c r="V1012" s="80"/>
      <c r="W1012" s="86"/>
      <c r="X1012" s="86"/>
      <c r="Y1012" s="86"/>
      <c r="Z1012" s="86"/>
      <c r="AA1012" s="86"/>
      <c r="AB1012" s="86"/>
      <c r="AC1012" s="86"/>
      <c r="AD1012" s="86"/>
      <c r="AE1012" s="86"/>
      <c r="AF1012" s="86"/>
      <c r="AG1012" s="82"/>
      <c r="AH1012" s="330"/>
      <c r="AI1012" s="330"/>
      <c r="AJ1012" s="331"/>
      <c r="AK1012" s="80"/>
      <c r="AL1012" s="331"/>
      <c r="AM1012" s="82"/>
      <c r="AN1012" s="82"/>
      <c r="AO1012" s="82"/>
      <c r="AP1012" s="80"/>
      <c r="AQ1012" s="80"/>
      <c r="AR1012" s="80"/>
      <c r="AS1012" s="80"/>
      <c r="AT1012" s="80"/>
      <c r="AU1012" s="80"/>
      <c r="AV1012" s="80"/>
      <c r="AW1012" s="80"/>
      <c r="AX1012" s="80"/>
      <c r="AY1012" s="80"/>
      <c r="AZ1012" s="80"/>
      <c r="BA1012" s="80"/>
      <c r="BB1012" s="80"/>
      <c r="BC1012" s="80"/>
      <c r="BD1012" s="80"/>
      <c r="BE1012" s="80"/>
      <c r="BF1012" s="80"/>
      <c r="BG1012" s="80"/>
      <c r="BH1012" s="80"/>
      <c r="BI1012" s="80"/>
      <c r="BJ1012" s="80"/>
      <c r="BK1012" s="80"/>
      <c r="BL1012" s="80"/>
      <c r="BM1012" s="80"/>
    </row>
    <row r="1013">
      <c r="A1013" s="80"/>
      <c r="B1013" s="80"/>
      <c r="C1013" s="80"/>
      <c r="D1013" s="80"/>
      <c r="E1013" s="80"/>
      <c r="F1013" s="80"/>
      <c r="G1013" s="80"/>
      <c r="H1013" s="80"/>
      <c r="I1013" s="80"/>
      <c r="J1013" s="82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4"/>
      <c r="V1013" s="80"/>
      <c r="W1013" s="86"/>
      <c r="X1013" s="86"/>
      <c r="Y1013" s="86"/>
      <c r="Z1013" s="86"/>
      <c r="AA1013" s="86"/>
      <c r="AB1013" s="86"/>
      <c r="AC1013" s="86"/>
      <c r="AD1013" s="86"/>
      <c r="AE1013" s="86"/>
      <c r="AF1013" s="86"/>
      <c r="AG1013" s="82"/>
      <c r="AH1013" s="330"/>
      <c r="AI1013" s="330"/>
      <c r="AJ1013" s="331"/>
      <c r="AK1013" s="80"/>
      <c r="AL1013" s="331"/>
      <c r="AM1013" s="82"/>
      <c r="AN1013" s="82"/>
      <c r="AO1013" s="82"/>
      <c r="AP1013" s="80"/>
      <c r="AQ1013" s="80"/>
      <c r="AR1013" s="80"/>
      <c r="AS1013" s="80"/>
      <c r="AT1013" s="80"/>
      <c r="AU1013" s="80"/>
      <c r="AV1013" s="80"/>
      <c r="AW1013" s="80"/>
      <c r="AX1013" s="80"/>
      <c r="AY1013" s="80"/>
      <c r="AZ1013" s="80"/>
      <c r="BA1013" s="80"/>
      <c r="BB1013" s="80"/>
      <c r="BC1013" s="80"/>
      <c r="BD1013" s="80"/>
      <c r="BE1013" s="80"/>
      <c r="BF1013" s="80"/>
      <c r="BG1013" s="80"/>
      <c r="BH1013" s="80"/>
      <c r="BI1013" s="80"/>
      <c r="BJ1013" s="80"/>
      <c r="BK1013" s="80"/>
      <c r="BL1013" s="80"/>
      <c r="BM1013" s="80"/>
    </row>
    <row r="1014">
      <c r="A1014" s="80"/>
      <c r="B1014" s="80"/>
      <c r="C1014" s="80"/>
      <c r="D1014" s="80"/>
      <c r="E1014" s="80"/>
      <c r="F1014" s="80"/>
      <c r="G1014" s="80"/>
      <c r="H1014" s="80"/>
      <c r="I1014" s="80"/>
      <c r="J1014" s="82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4"/>
      <c r="V1014" s="80"/>
      <c r="W1014" s="86"/>
      <c r="X1014" s="86"/>
      <c r="Y1014" s="86"/>
      <c r="Z1014" s="86"/>
      <c r="AA1014" s="86"/>
      <c r="AB1014" s="86"/>
      <c r="AC1014" s="86"/>
      <c r="AD1014" s="86"/>
      <c r="AE1014" s="86"/>
      <c r="AF1014" s="86"/>
      <c r="AG1014" s="82"/>
      <c r="AH1014" s="330"/>
      <c r="AI1014" s="330"/>
      <c r="AJ1014" s="331"/>
      <c r="AK1014" s="80"/>
      <c r="AL1014" s="331"/>
      <c r="AM1014" s="82"/>
      <c r="AN1014" s="82"/>
      <c r="AO1014" s="82"/>
      <c r="AP1014" s="80"/>
      <c r="AQ1014" s="80"/>
      <c r="AR1014" s="80"/>
      <c r="AS1014" s="80"/>
      <c r="AT1014" s="80"/>
      <c r="AU1014" s="80"/>
      <c r="AV1014" s="80"/>
      <c r="AW1014" s="80"/>
      <c r="AX1014" s="80"/>
      <c r="AY1014" s="80"/>
      <c r="AZ1014" s="80"/>
      <c r="BA1014" s="80"/>
      <c r="BB1014" s="80"/>
      <c r="BC1014" s="80"/>
      <c r="BD1014" s="80"/>
      <c r="BE1014" s="80"/>
      <c r="BF1014" s="80"/>
      <c r="BG1014" s="80"/>
      <c r="BH1014" s="80"/>
      <c r="BI1014" s="80"/>
      <c r="BJ1014" s="80"/>
      <c r="BK1014" s="80"/>
      <c r="BL1014" s="80"/>
      <c r="BM1014" s="80"/>
    </row>
    <row r="1015">
      <c r="A1015" s="80"/>
      <c r="B1015" s="80"/>
      <c r="C1015" s="80"/>
      <c r="D1015" s="80"/>
      <c r="E1015" s="80"/>
      <c r="F1015" s="80"/>
      <c r="G1015" s="80"/>
      <c r="H1015" s="80"/>
      <c r="I1015" s="80"/>
      <c r="J1015" s="82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84"/>
      <c r="V1015" s="80"/>
      <c r="W1015" s="86"/>
      <c r="X1015" s="86"/>
      <c r="Y1015" s="86"/>
      <c r="Z1015" s="86"/>
      <c r="AA1015" s="86"/>
      <c r="AB1015" s="86"/>
      <c r="AC1015" s="86"/>
      <c r="AD1015" s="86"/>
      <c r="AE1015" s="86"/>
      <c r="AF1015" s="86"/>
      <c r="AG1015" s="82"/>
      <c r="AH1015" s="330"/>
      <c r="AI1015" s="330"/>
      <c r="AJ1015" s="331"/>
      <c r="AK1015" s="80"/>
      <c r="AL1015" s="331"/>
      <c r="AM1015" s="82"/>
      <c r="AN1015" s="82"/>
      <c r="AO1015" s="82"/>
      <c r="AP1015" s="80"/>
      <c r="AQ1015" s="80"/>
      <c r="AR1015" s="80"/>
      <c r="AS1015" s="80"/>
      <c r="AT1015" s="80"/>
      <c r="AU1015" s="80"/>
      <c r="AV1015" s="80"/>
      <c r="AW1015" s="80"/>
      <c r="AX1015" s="80"/>
      <c r="AY1015" s="80"/>
      <c r="AZ1015" s="80"/>
      <c r="BA1015" s="80"/>
      <c r="BB1015" s="80"/>
      <c r="BC1015" s="80"/>
      <c r="BD1015" s="80"/>
      <c r="BE1015" s="80"/>
      <c r="BF1015" s="80"/>
      <c r="BG1015" s="80"/>
      <c r="BH1015" s="80"/>
      <c r="BI1015" s="80"/>
      <c r="BJ1015" s="80"/>
      <c r="BK1015" s="80"/>
      <c r="BL1015" s="80"/>
      <c r="BM1015" s="80"/>
    </row>
    <row r="1016">
      <c r="A1016" s="80"/>
      <c r="B1016" s="80"/>
      <c r="C1016" s="80"/>
      <c r="D1016" s="80"/>
      <c r="E1016" s="80"/>
      <c r="F1016" s="80"/>
      <c r="G1016" s="80"/>
      <c r="H1016" s="80"/>
      <c r="I1016" s="80"/>
      <c r="J1016" s="82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84"/>
      <c r="V1016" s="80"/>
      <c r="W1016" s="86"/>
      <c r="X1016" s="86"/>
      <c r="Y1016" s="86"/>
      <c r="Z1016" s="86"/>
      <c r="AA1016" s="86"/>
      <c r="AB1016" s="86"/>
      <c r="AC1016" s="86"/>
      <c r="AD1016" s="86"/>
      <c r="AE1016" s="86"/>
      <c r="AF1016" s="86"/>
      <c r="AG1016" s="82"/>
      <c r="AH1016" s="330"/>
      <c r="AI1016" s="330"/>
      <c r="AJ1016" s="331"/>
      <c r="AK1016" s="80"/>
      <c r="AL1016" s="331"/>
      <c r="AM1016" s="82"/>
      <c r="AN1016" s="82"/>
      <c r="AO1016" s="82"/>
      <c r="AP1016" s="80"/>
      <c r="AQ1016" s="80"/>
      <c r="AR1016" s="80"/>
      <c r="AS1016" s="80"/>
      <c r="AT1016" s="80"/>
      <c r="AU1016" s="80"/>
      <c r="AV1016" s="80"/>
      <c r="AW1016" s="80"/>
      <c r="AX1016" s="80"/>
      <c r="AY1016" s="80"/>
      <c r="AZ1016" s="80"/>
      <c r="BA1016" s="80"/>
      <c r="BB1016" s="80"/>
      <c r="BC1016" s="80"/>
      <c r="BD1016" s="80"/>
      <c r="BE1016" s="80"/>
      <c r="BF1016" s="80"/>
      <c r="BG1016" s="80"/>
      <c r="BH1016" s="80"/>
      <c r="BI1016" s="80"/>
      <c r="BJ1016" s="80"/>
      <c r="BK1016" s="80"/>
      <c r="BL1016" s="80"/>
      <c r="BM1016" s="80"/>
    </row>
    <row r="1017">
      <c r="A1017" s="80"/>
      <c r="B1017" s="80"/>
      <c r="C1017" s="80"/>
      <c r="D1017" s="80"/>
      <c r="E1017" s="80"/>
      <c r="F1017" s="80"/>
      <c r="G1017" s="80"/>
      <c r="H1017" s="80"/>
      <c r="I1017" s="80"/>
      <c r="J1017" s="82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84"/>
      <c r="V1017" s="80"/>
      <c r="W1017" s="86"/>
      <c r="X1017" s="86"/>
      <c r="Y1017" s="86"/>
      <c r="Z1017" s="86"/>
      <c r="AA1017" s="86"/>
      <c r="AB1017" s="86"/>
      <c r="AC1017" s="86"/>
      <c r="AD1017" s="86"/>
      <c r="AE1017" s="86"/>
      <c r="AF1017" s="86"/>
      <c r="AG1017" s="82"/>
      <c r="AH1017" s="330"/>
      <c r="AI1017" s="330"/>
      <c r="AJ1017" s="331"/>
      <c r="AK1017" s="80"/>
      <c r="AL1017" s="331"/>
      <c r="AM1017" s="82"/>
      <c r="AN1017" s="82"/>
      <c r="AO1017" s="82"/>
      <c r="AP1017" s="80"/>
      <c r="AQ1017" s="80"/>
      <c r="AR1017" s="80"/>
      <c r="AS1017" s="80"/>
      <c r="AT1017" s="80"/>
      <c r="AU1017" s="80"/>
      <c r="AV1017" s="80"/>
      <c r="AW1017" s="80"/>
      <c r="AX1017" s="80"/>
      <c r="AY1017" s="80"/>
      <c r="AZ1017" s="80"/>
      <c r="BA1017" s="80"/>
      <c r="BB1017" s="80"/>
      <c r="BC1017" s="80"/>
      <c r="BD1017" s="80"/>
      <c r="BE1017" s="80"/>
      <c r="BF1017" s="80"/>
      <c r="BG1017" s="80"/>
      <c r="BH1017" s="80"/>
      <c r="BI1017" s="80"/>
      <c r="BJ1017" s="80"/>
      <c r="BK1017" s="80"/>
      <c r="BL1017" s="80"/>
      <c r="BM1017" s="80"/>
    </row>
    <row r="1018">
      <c r="A1018" s="80"/>
      <c r="B1018" s="80"/>
      <c r="C1018" s="80"/>
      <c r="D1018" s="80"/>
      <c r="E1018" s="80"/>
      <c r="F1018" s="80"/>
      <c r="G1018" s="80"/>
      <c r="H1018" s="80"/>
      <c r="I1018" s="80"/>
      <c r="J1018" s="82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84"/>
      <c r="V1018" s="80"/>
      <c r="W1018" s="86"/>
      <c r="X1018" s="86"/>
      <c r="Y1018" s="86"/>
      <c r="Z1018" s="86"/>
      <c r="AA1018" s="86"/>
      <c r="AB1018" s="86"/>
      <c r="AC1018" s="86"/>
      <c r="AD1018" s="86"/>
      <c r="AE1018" s="86"/>
      <c r="AF1018" s="86"/>
      <c r="AG1018" s="82"/>
      <c r="AH1018" s="330"/>
      <c r="AI1018" s="330"/>
      <c r="AJ1018" s="331"/>
      <c r="AK1018" s="80"/>
      <c r="AL1018" s="331"/>
      <c r="AM1018" s="82"/>
      <c r="AN1018" s="82"/>
      <c r="AO1018" s="82"/>
      <c r="AP1018" s="80"/>
      <c r="AQ1018" s="80"/>
      <c r="AR1018" s="80"/>
      <c r="AS1018" s="80"/>
      <c r="AT1018" s="80"/>
      <c r="AU1018" s="80"/>
      <c r="AV1018" s="80"/>
      <c r="AW1018" s="80"/>
      <c r="AX1018" s="80"/>
      <c r="AY1018" s="80"/>
      <c r="AZ1018" s="80"/>
      <c r="BA1018" s="80"/>
      <c r="BB1018" s="80"/>
      <c r="BC1018" s="80"/>
      <c r="BD1018" s="80"/>
      <c r="BE1018" s="80"/>
      <c r="BF1018" s="80"/>
      <c r="BG1018" s="80"/>
      <c r="BH1018" s="80"/>
      <c r="BI1018" s="80"/>
      <c r="BJ1018" s="80"/>
      <c r="BK1018" s="80"/>
      <c r="BL1018" s="80"/>
      <c r="BM1018" s="80"/>
    </row>
    <row r="1019">
      <c r="A1019" s="80"/>
      <c r="B1019" s="80"/>
      <c r="C1019" s="80"/>
      <c r="D1019" s="80"/>
      <c r="E1019" s="80"/>
      <c r="F1019" s="80"/>
      <c r="G1019" s="80"/>
      <c r="H1019" s="80"/>
      <c r="I1019" s="80"/>
      <c r="J1019" s="82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84"/>
      <c r="V1019" s="80"/>
      <c r="W1019" s="86"/>
      <c r="X1019" s="86"/>
      <c r="Y1019" s="86"/>
      <c r="Z1019" s="86"/>
      <c r="AA1019" s="86"/>
      <c r="AB1019" s="86"/>
      <c r="AC1019" s="86"/>
      <c r="AD1019" s="86"/>
      <c r="AE1019" s="86"/>
      <c r="AF1019" s="86"/>
      <c r="AG1019" s="82"/>
      <c r="AH1019" s="330"/>
      <c r="AI1019" s="330"/>
      <c r="AJ1019" s="331"/>
      <c r="AK1019" s="80"/>
      <c r="AL1019" s="331"/>
      <c r="AM1019" s="82"/>
      <c r="AN1019" s="82"/>
      <c r="AO1019" s="82"/>
      <c r="AP1019" s="80"/>
      <c r="AQ1019" s="80"/>
      <c r="AR1019" s="80"/>
      <c r="AS1019" s="80"/>
      <c r="AT1019" s="80"/>
      <c r="AU1019" s="80"/>
      <c r="AV1019" s="80"/>
      <c r="AW1019" s="80"/>
      <c r="AX1019" s="80"/>
      <c r="AY1019" s="80"/>
      <c r="AZ1019" s="80"/>
      <c r="BA1019" s="80"/>
      <c r="BB1019" s="80"/>
      <c r="BC1019" s="80"/>
      <c r="BD1019" s="80"/>
      <c r="BE1019" s="80"/>
      <c r="BF1019" s="80"/>
      <c r="BG1019" s="80"/>
      <c r="BH1019" s="80"/>
      <c r="BI1019" s="80"/>
      <c r="BJ1019" s="80"/>
      <c r="BK1019" s="80"/>
      <c r="BL1019" s="80"/>
      <c r="BM1019" s="80"/>
    </row>
    <row r="1020">
      <c r="A1020" s="80"/>
      <c r="B1020" s="80"/>
      <c r="C1020" s="80"/>
      <c r="D1020" s="80"/>
      <c r="E1020" s="80"/>
      <c r="F1020" s="80"/>
      <c r="G1020" s="80"/>
      <c r="H1020" s="80"/>
      <c r="I1020" s="80"/>
      <c r="J1020" s="82"/>
      <c r="K1020" s="80"/>
      <c r="L1020" s="80"/>
      <c r="M1020" s="80"/>
      <c r="N1020" s="80"/>
      <c r="O1020" s="80"/>
      <c r="P1020" s="80"/>
      <c r="Q1020" s="80"/>
      <c r="R1020" s="80"/>
      <c r="S1020" s="80"/>
      <c r="T1020" s="80"/>
      <c r="U1020" s="84"/>
      <c r="V1020" s="80"/>
      <c r="W1020" s="86"/>
      <c r="X1020" s="86"/>
      <c r="Y1020" s="86"/>
      <c r="Z1020" s="86"/>
      <c r="AA1020" s="86"/>
      <c r="AB1020" s="86"/>
      <c r="AC1020" s="86"/>
      <c r="AD1020" s="86"/>
      <c r="AE1020" s="86"/>
      <c r="AF1020" s="86"/>
      <c r="AG1020" s="82"/>
      <c r="AH1020" s="330"/>
      <c r="AI1020" s="330"/>
      <c r="AJ1020" s="331"/>
      <c r="AK1020" s="80"/>
      <c r="AL1020" s="331"/>
      <c r="AM1020" s="82"/>
      <c r="AN1020" s="82"/>
      <c r="AO1020" s="82"/>
      <c r="AP1020" s="80"/>
      <c r="AQ1020" s="80"/>
      <c r="AR1020" s="80"/>
      <c r="AS1020" s="80"/>
      <c r="AT1020" s="80"/>
      <c r="AU1020" s="80"/>
      <c r="AV1020" s="80"/>
      <c r="AW1020" s="80"/>
      <c r="AX1020" s="80"/>
      <c r="AY1020" s="80"/>
      <c r="AZ1020" s="80"/>
      <c r="BA1020" s="80"/>
      <c r="BB1020" s="80"/>
      <c r="BC1020" s="80"/>
      <c r="BD1020" s="80"/>
      <c r="BE1020" s="80"/>
      <c r="BF1020" s="80"/>
      <c r="BG1020" s="80"/>
      <c r="BH1020" s="80"/>
      <c r="BI1020" s="80"/>
      <c r="BJ1020" s="80"/>
      <c r="BK1020" s="80"/>
      <c r="BL1020" s="80"/>
      <c r="BM1020" s="80"/>
    </row>
    <row r="1021">
      <c r="A1021" s="80"/>
      <c r="B1021" s="80"/>
      <c r="C1021" s="80"/>
      <c r="D1021" s="80"/>
      <c r="E1021" s="80"/>
      <c r="F1021" s="80"/>
      <c r="G1021" s="80"/>
      <c r="H1021" s="80"/>
      <c r="I1021" s="80"/>
      <c r="J1021" s="82"/>
      <c r="K1021" s="80"/>
      <c r="L1021" s="80"/>
      <c r="M1021" s="80"/>
      <c r="N1021" s="80"/>
      <c r="O1021" s="80"/>
      <c r="P1021" s="80"/>
      <c r="Q1021" s="80"/>
      <c r="R1021" s="80"/>
      <c r="S1021" s="80"/>
      <c r="T1021" s="80"/>
      <c r="U1021" s="84"/>
      <c r="V1021" s="80"/>
      <c r="W1021" s="86"/>
      <c r="X1021" s="86"/>
      <c r="Y1021" s="86"/>
      <c r="Z1021" s="86"/>
      <c r="AA1021" s="86"/>
      <c r="AB1021" s="86"/>
      <c r="AC1021" s="86"/>
      <c r="AD1021" s="86"/>
      <c r="AE1021" s="86"/>
      <c r="AF1021" s="86"/>
      <c r="AG1021" s="82"/>
      <c r="AH1021" s="330"/>
      <c r="AI1021" s="330"/>
      <c r="AJ1021" s="331"/>
      <c r="AK1021" s="80"/>
      <c r="AL1021" s="331"/>
      <c r="AM1021" s="82"/>
      <c r="AN1021" s="82"/>
      <c r="AO1021" s="82"/>
      <c r="AP1021" s="80"/>
      <c r="AQ1021" s="80"/>
      <c r="AR1021" s="80"/>
      <c r="AS1021" s="80"/>
      <c r="AT1021" s="80"/>
      <c r="AU1021" s="80"/>
      <c r="AV1021" s="80"/>
      <c r="AW1021" s="80"/>
      <c r="AX1021" s="80"/>
      <c r="AY1021" s="80"/>
      <c r="AZ1021" s="80"/>
      <c r="BA1021" s="80"/>
      <c r="BB1021" s="80"/>
      <c r="BC1021" s="80"/>
      <c r="BD1021" s="80"/>
      <c r="BE1021" s="80"/>
      <c r="BF1021" s="80"/>
      <c r="BG1021" s="80"/>
      <c r="BH1021" s="80"/>
      <c r="BI1021" s="80"/>
      <c r="BJ1021" s="80"/>
      <c r="BK1021" s="80"/>
      <c r="BL1021" s="80"/>
      <c r="BM1021" s="80"/>
    </row>
  </sheetData>
  <mergeCells count="3">
    <mergeCell ref="C1:O1"/>
    <mergeCell ref="AI1:AR1"/>
    <mergeCell ref="AU1:BD1"/>
  </mergeCells>
  <dataValidations>
    <dataValidation type="list" allowBlank="1" sqref="B3:B40">
      <formula1>"YES,NO"</formula1>
    </dataValidation>
    <dataValidation type="list" allowBlank="1" sqref="H3:H40">
      <formula1>"YES,NO"</formula1>
    </dataValidation>
    <dataValidation type="list" allowBlank="1" sqref="E3:E40">
      <formula1>"El Paso,Santa Teresa,Sunland Park,Horizon City,Las Cruces"</formula1>
    </dataValidation>
    <dataValidation type="list" allowBlank="1" sqref="O3:O40">
      <formula1>"Arturo Esparza,Matt Cannon,Vania Castañeda,Mario Cabrera,Arnold Varela,Dione Serna,David Acosta ,Edgar Barrio ,Juan Bruselas,Nydia Cano,Lynette Garcia ,Deleina Galvan ,Mark Morales,Israel Cordova,Angie Utajara,Lina Miramontes,Daisy Melendez,Lizeth Lozano,"&amp;"Joe Lopez,Tracey Escobedo,Alejandro Morales"</formula1>
    </dataValidation>
    <dataValidation type="list" allowBlank="1" sqref="S3:S40">
      <formula1>"1ST Community,BARRETT,Cadence Lending,CASH,Change Mortgage,CMG,CITI Bank,EMI Funding,Empire Mortgage,RMMC,View Mortgage,Veterans United"</formula1>
    </dataValidation>
    <dataValidation type="list" allowBlank="1" sqref="I3:I40">
      <formula1>"NO,Pending Sale,Presale,Custom,30 Days Out,Late Closing,Early Closing,Pending Builder"</formula1>
    </dataValidation>
    <dataValidation type="custom" allowBlank="1" showDropDown="1" sqref="K3:M40">
      <formula1>OR(NOT(ISERROR(DATEVALUE(K3))), AND(ISNUMBER(K3), LEFT(CELL("format", K3))="D"))</formula1>
    </dataValidation>
    <dataValidation type="list" allowBlank="1" sqref="F3:F40">
      <formula1>"TX,N.M. "</formula1>
    </dataValidation>
    <dataValidation type="list" allowBlank="1" sqref="G3:G40">
      <formula1>"88063,88008,79938,79927,79928,88088,79934,79924,88001"</formula1>
    </dataValidation>
    <dataValidation type="custom" allowBlank="1" showDropDown="1" sqref="J3:J40 W3:AG40">
      <formula1>AND(ISNUMBER(J3),(NOT(OR(NOT(ISERROR(DATEVALUE(J3))), AND(ISNUMBER(J3), LEFT(CELL("format", J3))="D")))))</formula1>
    </dataValidation>
    <dataValidation type="list" allowBlank="1" sqref="P3:P40">
      <formula1>"Loan Documents,Disclosures Sent,Disclosures Signed,Appraisal Ordered,Work In Progress,Initial UW,Rate Lock,CD Needs to be sent,Final UW,CTC,Closed ,Funded,Transfer ,CD Issued,BOM,CD Signed,Pending UW"</formula1>
    </dataValidation>
  </dataValidations>
  <drawing r:id="rId1"/>
  <tableParts count="1">
    <tablePart r:id="rId3"/>
  </tableParts>
</worksheet>
</file>